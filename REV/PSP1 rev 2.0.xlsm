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linkm\Downloads\"/>
    </mc:Choice>
  </mc:AlternateContent>
  <bookViews>
    <workbookView xWindow="0" yWindow="0" windowWidth="19200" windowHeight="6750" activeTab="7"/>
  </bookViews>
  <sheets>
    <sheet name="HOME" sheetId="13" r:id="rId1"/>
    <sheet name="ReportTemplate" sheetId="14" state="hidden" r:id="rId2"/>
    <sheet name="Chute" sheetId="8" state="hidden" r:id="rId3"/>
    <sheet name="Setup" sheetId="2" state="hidden" r:id="rId4"/>
    <sheet name="Ship" sheetId="5" state="hidden" r:id="rId5"/>
    <sheet name="Dock PPR" sheetId="1" state="hidden" r:id="rId6"/>
    <sheet name="PPR" sheetId="4" state="hidden" r:id="rId7"/>
    <sheet name="PSP1Report" sheetId="26" r:id="rId8"/>
    <sheet name="LGB7Report" sheetId="27" r:id="rId9"/>
    <sheet name="BFL1Report" sheetId="28" r:id="rId10"/>
    <sheet name="LGB3Report" sheetId="29" r:id="rId11"/>
    <sheet name="BOI2Report" sheetId="30" r:id="rId12"/>
  </sheets>
  <externalReferences>
    <externalReference r:id="rId13"/>
  </externalReferences>
  <definedNames>
    <definedName name="PPA" localSheetId="5">'Dock PPR'!$A$1:$A$716</definedName>
    <definedName name="PPA" localSheetId="6">PPR!$A$1:$P$201</definedName>
    <definedName name="PPA" localSheetId="4">Ship!$AI$1:$AJ$268</definedName>
    <definedName name="PPA_1" localSheetId="5">'Dock PPR'!$A$1:$A$716</definedName>
    <definedName name="PPA_1" localSheetId="6">PPR!$A$1:$P$201</definedName>
    <definedName name="PPA_1" localSheetId="4">Ship!$AI$1:$AJ$3198</definedName>
    <definedName name="PPA_10" localSheetId="5">'Dock PPR'!$A$1:$A$427</definedName>
    <definedName name="PPA_10" localSheetId="6">PPR!$A$1:$P$201</definedName>
    <definedName name="PPA_10" localSheetId="4">Ship!$W$1:$X$3190</definedName>
    <definedName name="PPA_100" localSheetId="5">'Dock PPR'!$A$1:$A$106</definedName>
    <definedName name="PPA_100" localSheetId="6">PPR!$A$1:$P$201</definedName>
    <definedName name="PPA_101" localSheetId="5">'Dock PPR'!$A$1:$A$115</definedName>
    <definedName name="PPA_101" localSheetId="6">PPR!$A$1:$P$201</definedName>
    <definedName name="PPA_102" localSheetId="5">'Dock PPR'!$A$1:$A$53</definedName>
    <definedName name="PPA_102" localSheetId="6">PPR!$A$1:$P$201</definedName>
    <definedName name="PPA_103" localSheetId="5">'Dock PPR'!$A$1:$A$109</definedName>
    <definedName name="PPA_103" localSheetId="6">PPR!$A$1:$P$201</definedName>
    <definedName name="PPA_103" localSheetId="4">Ship!$W$1:$X$3894</definedName>
    <definedName name="PPA_104" localSheetId="5">'Dock PPR'!$A$1:$A$133</definedName>
    <definedName name="PPA_104" localSheetId="4">Ship!$W$1:$X$3902</definedName>
    <definedName name="PPA_105" localSheetId="5">'Dock PPR'!$A$1:$A$69</definedName>
    <definedName name="PPA_105" localSheetId="6">PPR!$A$1:$P$201</definedName>
    <definedName name="PPA_106" localSheetId="5">'Dock PPR'!$A$1:$A$104</definedName>
    <definedName name="PPA_106" localSheetId="6">PPR!$A$1:$P$201</definedName>
    <definedName name="PPA_106" localSheetId="4">Ship!$W$1:$X$3894</definedName>
    <definedName name="PPA_107" localSheetId="5">'Dock PPR'!$A$1:$A$120</definedName>
    <definedName name="PPA_107" localSheetId="6">PPR!$A$1:$P$201</definedName>
    <definedName name="PPA_107" localSheetId="4">Ship!$W$1:$X$3846</definedName>
    <definedName name="PPA_108" localSheetId="5">'Dock PPR'!$A$1:$A$80</definedName>
    <definedName name="PPA_108" localSheetId="6">PPR!$A$1:$P$201</definedName>
    <definedName name="PPA_108" localSheetId="4">Ship!$W$1:$X$3822</definedName>
    <definedName name="PPA_109" localSheetId="5">'Dock PPR'!$A$1:$A$118</definedName>
    <definedName name="PPA_109" localSheetId="6">PPR!$A$1:$P$201</definedName>
    <definedName name="PPA_109" localSheetId="4">Ship!$W$1:$X$3830</definedName>
    <definedName name="PPA_11" localSheetId="5">'Dock PPR'!$A$1:$A$1042</definedName>
    <definedName name="PPA_11" localSheetId="6">PPR!$A$1:$P$201</definedName>
    <definedName name="PPA_11" localSheetId="4">Ship!$W$1:$X$3190</definedName>
    <definedName name="PPA_110" localSheetId="5">'Dock PPR'!$A$1:$A$150</definedName>
    <definedName name="PPA_110" localSheetId="6">PPR!$A$1:$P$201</definedName>
    <definedName name="PPA_110" localSheetId="4">Ship!$W$1:$X$3902</definedName>
    <definedName name="PPA_111" localSheetId="5">'Dock PPR'!$A$1:$A$60</definedName>
    <definedName name="PPA_111" localSheetId="6">PPR!$A$1:$P$201</definedName>
    <definedName name="PPA_111" localSheetId="4">Ship!$W$1:$X$3902</definedName>
    <definedName name="PPA_112" localSheetId="5">'Dock PPR'!$A$1:$A$96</definedName>
    <definedName name="PPA_112" localSheetId="6">PPR!$A$1:$P$201</definedName>
    <definedName name="PPA_112" localSheetId="4">Ship!$W$1:$X$3894</definedName>
    <definedName name="PPA_113" localSheetId="5">'Dock PPR'!$A$1:$A$132</definedName>
    <definedName name="PPA_113" localSheetId="6">PPR!$A$1:$P$201</definedName>
    <definedName name="PPA_113" localSheetId="4">Ship!$W$1:$X$3894</definedName>
    <definedName name="PPA_114" localSheetId="5">'Dock PPR'!$A$1:$A$96</definedName>
    <definedName name="PPA_114" localSheetId="6">PPR!$A$1:$P$201</definedName>
    <definedName name="PPA_115" localSheetId="5">'Dock PPR'!$A$1:$A$58</definedName>
    <definedName name="PPA_115" localSheetId="6">PPR!$A$1:$P$201</definedName>
    <definedName name="PPA_115" localSheetId="4">Ship!$W$1:$X$3894</definedName>
    <definedName name="PPA_116" localSheetId="5">'Dock PPR'!$A$1:$A$110</definedName>
    <definedName name="PPA_116" localSheetId="6">PPR!$A$1:$P$201</definedName>
    <definedName name="PPA_116" localSheetId="4">Ship!$W$1:$X$3894</definedName>
    <definedName name="PPA_117" localSheetId="5">'Dock PPR'!$A$1:$A$110</definedName>
    <definedName name="PPA_117" localSheetId="6">PPR!$A$1:$C$12</definedName>
    <definedName name="PPA_117" localSheetId="4">Ship!$W$1:$X$3886</definedName>
    <definedName name="PPA_118" localSheetId="5">'Dock PPR'!$A$1:$A$55</definedName>
    <definedName name="PPA_118" localSheetId="6">PPR!$A$1:$P$201</definedName>
    <definedName name="PPA_118" localSheetId="4">Ship!$W$1:$X$3886</definedName>
    <definedName name="PPA_119" localSheetId="5">'Dock PPR'!$A$1:$B$6</definedName>
    <definedName name="PPA_119" localSheetId="6">PPR!$A$1:$P$201</definedName>
    <definedName name="PPA_119" localSheetId="4">Ship!$W$1:$X$3886</definedName>
    <definedName name="PPA_12" localSheetId="5">'Dock PPR'!$A$1:$A$427</definedName>
    <definedName name="PPA_12" localSheetId="6">PPR!$A$1:$P$201</definedName>
    <definedName name="PPA_12" localSheetId="4">Ship!$W$1:$X$3190</definedName>
    <definedName name="PPA_120" localSheetId="5">'Dock PPR'!$A$1:$A$96</definedName>
    <definedName name="PPA_120" localSheetId="6">PPR!$A$1:$P$201</definedName>
    <definedName name="PPA_120" localSheetId="4">Ship!$W$1:$X$3878</definedName>
    <definedName name="PPA_121" localSheetId="5">'Dock PPR'!$A$1:$A$55</definedName>
    <definedName name="PPA_121" localSheetId="6">PPR!$A$1:$P$201</definedName>
    <definedName name="PPA_121" localSheetId="4">Ship!$W$1:$X$3878</definedName>
    <definedName name="PPA_122" localSheetId="5">'Dock PPR'!$A$1:$A$101</definedName>
    <definedName name="PPA_122" localSheetId="6">PPR!$A$1:$P$201</definedName>
    <definedName name="PPA_122" localSheetId="4">Ship!$W$1:$X$3870</definedName>
    <definedName name="PPA_123" localSheetId="5">'Dock PPR'!$A$1:$A$46</definedName>
    <definedName name="PPA_123" localSheetId="6">PPR!$A$1:$P$201</definedName>
    <definedName name="PPA_123" localSheetId="4">Ship!$W$1:$X$3870</definedName>
    <definedName name="PPA_124" localSheetId="5">'Dock PPR'!$A$1:$A$101</definedName>
    <definedName name="PPA_124" localSheetId="6">PPR!$A$1:$P$201</definedName>
    <definedName name="PPA_124" localSheetId="4">Ship!$W$1:$X$3870</definedName>
    <definedName name="PPA_125" localSheetId="5">'Dock PPR'!$A$1:$A$99</definedName>
    <definedName name="PPA_125" localSheetId="6">PPR!$A$1:$P$201</definedName>
    <definedName name="PPA_125" localSheetId="4">Ship!$W$1:$X$3854</definedName>
    <definedName name="PPA_126" localSheetId="5">'Dock PPR'!$A$1:$A$124</definedName>
    <definedName name="PPA_126" localSheetId="6">PPR!$A$1:$C$12</definedName>
    <definedName name="PPA_126" localSheetId="4">Ship!$W$1:$X$3854</definedName>
    <definedName name="PPA_127" localSheetId="5">'Dock PPR'!$A$1:$A$50</definedName>
    <definedName name="PPA_127" localSheetId="6">PPR!$A$1:$P$201</definedName>
    <definedName name="PPA_127" localSheetId="4">Ship!$W$1:$X$3846</definedName>
    <definedName name="PPA_128" localSheetId="5">'Dock PPR'!$A$1:$B$6</definedName>
    <definedName name="PPA_128" localSheetId="6">PPR!$A$1:$P$201</definedName>
    <definedName name="PPA_129" localSheetId="5">'Dock PPR'!$A$1:$A$92</definedName>
    <definedName name="PPA_129" localSheetId="6">PPR!$A$1:$P$201</definedName>
    <definedName name="PPA_129" localSheetId="4">Ship!$W$1:$X$3846</definedName>
    <definedName name="PPA_13" localSheetId="5">'Dock PPR'!$A$1:$A$779</definedName>
    <definedName name="PPA_13" localSheetId="6">PPR!$A$1:$P$201</definedName>
    <definedName name="PPA_13" localSheetId="4">Ship!$W$1:$X$3190</definedName>
    <definedName name="PPA_130" localSheetId="5">'Dock PPR'!$A$1:$A$128</definedName>
    <definedName name="PPA_130" localSheetId="6">PPR!$A$1:$P$201</definedName>
    <definedName name="PPA_130" localSheetId="4">Ship!$W$1:$X$3846</definedName>
    <definedName name="PPA_131" localSheetId="5">'Dock PPR'!$A$1:$A$99</definedName>
    <definedName name="PPA_131" localSheetId="6">PPR!$A$1:$P$201</definedName>
    <definedName name="PPA_131" localSheetId="4">Ship!$W$1:$X$3846</definedName>
    <definedName name="PPA_132" localSheetId="5">'Dock PPR'!$A$1:$A$114</definedName>
    <definedName name="PPA_132" localSheetId="6">PPR!$A$1:$P$201</definedName>
    <definedName name="PPA_132" localSheetId="4">Ship!$W$1:$X$3846</definedName>
    <definedName name="PPA_133" localSheetId="5">'Dock PPR'!$A$1:$A$137</definedName>
    <definedName name="PPA_133" localSheetId="6">PPR!$A$1:$P$201</definedName>
    <definedName name="PPA_133" localSheetId="4">Ship!$W$1:$X$3846</definedName>
    <definedName name="PPA_134" localSheetId="5">'Dock PPR'!$A$1:$A$91</definedName>
    <definedName name="PPA_134" localSheetId="6">PPR!$A$1:$P$201</definedName>
    <definedName name="PPA_134" localSheetId="4">Ship!$W$1:$X$3854</definedName>
    <definedName name="PPA_135" localSheetId="5">'Dock PPR'!$A$1:$A$120</definedName>
    <definedName name="PPA_135" localSheetId="6">PPR!$A$1:$P$201</definedName>
    <definedName name="PPA_135" localSheetId="4">Ship!$W$1:$X$3854</definedName>
    <definedName name="PPA_136" localSheetId="5">'Dock PPR'!$A$1:$A$83</definedName>
    <definedName name="PPA_136" localSheetId="6">PPR!$A$1:$P$201</definedName>
    <definedName name="PPA_136" localSheetId="4">Ship!$W$1:$X$3838</definedName>
    <definedName name="PPA_137" localSheetId="5">'Dock PPR'!$A$1:$A$154</definedName>
    <definedName name="PPA_137" localSheetId="6">PPR!$A$1:$P$201</definedName>
    <definedName name="PPA_137" localSheetId="4">Ship!$W$1:$X$3782</definedName>
    <definedName name="PPA_138" localSheetId="5">'Dock PPR'!$A$1:$A$70</definedName>
    <definedName name="PPA_138" localSheetId="6">PPR!$A$1:$P$201</definedName>
    <definedName name="PPA_138" localSheetId="4">Ship!$W$1:$X$3774</definedName>
    <definedName name="PPA_139" localSheetId="5">'Dock PPR'!$A$1:$A$87</definedName>
    <definedName name="PPA_139" localSheetId="6">PPR!$A$1:$P$201</definedName>
    <definedName name="PPA_139" localSheetId="4">Ship!$W$1:$X$3774</definedName>
    <definedName name="PPA_14" localSheetId="5">'Dock PPR'!$A$1:$A$169</definedName>
    <definedName name="PPA_14" localSheetId="6">PPR!$A$1:$P$201</definedName>
    <definedName name="PPA_14" localSheetId="4">Ship!$W$1:$X$3190</definedName>
    <definedName name="PPA_140" localSheetId="5">'Dock PPR'!$A$1:$A$117</definedName>
    <definedName name="PPA_140" localSheetId="6">PPR!$A$1:$P$201</definedName>
    <definedName name="PPA_140" localSheetId="4">Ship!$W$1:$X$3774</definedName>
    <definedName name="PPA_141" localSheetId="5">'Dock PPR'!$A$1:$A$123</definedName>
    <definedName name="PPA_141" localSheetId="6">PPR!$A$1:$P$201</definedName>
    <definedName name="PPA_141" localSheetId="4">Ship!$W$1:$X$3774</definedName>
    <definedName name="PPA_142" localSheetId="5">'Dock PPR'!$A$1:$A$65</definedName>
    <definedName name="PPA_142" localSheetId="6">PPR!$A$1:$P$201</definedName>
    <definedName name="PPA_142" localSheetId="4">Ship!$W$1:$X$3774</definedName>
    <definedName name="PPA_143" localSheetId="5">'Dock PPR'!$A$1:$A$99</definedName>
    <definedName name="PPA_143" localSheetId="6">PPR!$A$1:$P$201</definedName>
    <definedName name="PPA_143" localSheetId="4">Ship!$W$1:$X$3774</definedName>
    <definedName name="PPA_144" localSheetId="5">'Dock PPR'!$A$1:$A$99</definedName>
    <definedName name="PPA_144" localSheetId="6">PPR!$A$1:$P$201</definedName>
    <definedName name="PPA_145" localSheetId="5">'Dock PPR'!$A$1:$A$42</definedName>
    <definedName name="PPA_145" localSheetId="6">PPR!$A$1:$P$201</definedName>
    <definedName name="PPA_145" localSheetId="4">Ship!$W$1:$X$3774</definedName>
    <definedName name="PPA_146" localSheetId="5">'Dock PPR'!$A$1:$A$95</definedName>
    <definedName name="PPA_146" localSheetId="6">PPR!$A$1:$P$201</definedName>
    <definedName name="PPA_147" localSheetId="5">'Dock PPR'!$A$1:$A$124</definedName>
    <definedName name="PPA_147" localSheetId="6">PPR!$A$1:$P$201</definedName>
    <definedName name="PPA_147" localSheetId="4">Ship!$W$1:$X$3774</definedName>
    <definedName name="PPA_148" localSheetId="5">'Dock PPR'!$A$1:$A$58</definedName>
    <definedName name="PPA_148" localSheetId="6">PPR!$A$1:$P$201</definedName>
    <definedName name="PPA_148" localSheetId="4">Ship!$W$1:$X$3774</definedName>
    <definedName name="PPA_149" localSheetId="5">'Dock PPR'!$A$1:$A$114</definedName>
    <definedName name="PPA_149" localSheetId="6">PPR!$A$1:$P$201</definedName>
    <definedName name="PPA_149" localSheetId="4">Ship!$W$1:$X$3774</definedName>
    <definedName name="PPA_15" localSheetId="5">'Dock PPR'!$A$1:$A$162</definedName>
    <definedName name="PPA_15" localSheetId="6">PPR!$A$1:$P$201</definedName>
    <definedName name="PPA_15" localSheetId="4">Ship!$W$1:$X$3190</definedName>
    <definedName name="PPA_150" localSheetId="5">'Dock PPR'!$A$1:$A$136</definedName>
    <definedName name="PPA_150" localSheetId="6">PPR!$A$1:$P$201</definedName>
    <definedName name="PPA_151" localSheetId="5">'Dock PPR'!$A$1:$A$70</definedName>
    <definedName name="PPA_151" localSheetId="6">PPR!$A$1:$P$201</definedName>
    <definedName name="PPA_151" localSheetId="4">Ship!$W$1:$X$3774</definedName>
    <definedName name="PPA_152" localSheetId="5">'Dock PPR'!$A$1:$A$122</definedName>
    <definedName name="PPA_152" localSheetId="6">PPR!$A$1:$P$201</definedName>
    <definedName name="PPA_152" localSheetId="4">Ship!$W$1:$X$3774</definedName>
    <definedName name="PPA_153" localSheetId="5">'Dock PPR'!$A$1:$A$162</definedName>
    <definedName name="PPA_153" localSheetId="6">PPR!$A$1:$P$201</definedName>
    <definedName name="PPA_153" localSheetId="4">Ship!$W$1:$X$3750</definedName>
    <definedName name="PPA_154" localSheetId="5">'Dock PPR'!$A$1:$A$93</definedName>
    <definedName name="PPA_154" localSheetId="6">PPR!$A$1:$P$201</definedName>
    <definedName name="PPA_155" localSheetId="5">'Dock PPR'!$A$1:$A$110</definedName>
    <definedName name="PPA_155" localSheetId="6">PPR!$A$1:$P$201</definedName>
    <definedName name="PPA_155" localSheetId="4">Ship!$W$1:$X$3750</definedName>
    <definedName name="PPA_156" localSheetId="5">'Dock PPR'!$A$1:$A$126</definedName>
    <definedName name="PPA_156" localSheetId="6">PPR!$A$1:$P$201</definedName>
    <definedName name="PPA_156" localSheetId="4">Ship!$W$1:$X$3742</definedName>
    <definedName name="PPA_157" localSheetId="5">'Dock PPR'!$A$1:$A$60</definedName>
    <definedName name="PPA_157" localSheetId="6">PPR!$A$1:$P$201</definedName>
    <definedName name="PPA_157" localSheetId="4">Ship!$W$1:$X$3694</definedName>
    <definedName name="PPA_158" localSheetId="5">'Dock PPR'!$A$1:$A$88</definedName>
    <definedName name="PPA_158" localSheetId="6">PPR!$A$1:$P$201</definedName>
    <definedName name="PPA_159" localSheetId="5">'Dock PPR'!$A$1:$A$133</definedName>
    <definedName name="PPA_159" localSheetId="6">PPR!$A$1:$P$201</definedName>
    <definedName name="PPA_159" localSheetId="4">Ship!$W$1:$X$3662</definedName>
    <definedName name="PPA_16" localSheetId="5">'Dock PPR'!$A$1:$A$94</definedName>
    <definedName name="PPA_16" localSheetId="6">PPR!$A$1:$P$201</definedName>
    <definedName name="PPA_16" localSheetId="4">Ship!$W$1:$X$3190</definedName>
    <definedName name="PPA_160" localSheetId="5">'Dock PPR'!$A$1:$A$62</definedName>
    <definedName name="PPA_160" localSheetId="6">PPR!$A$1:$P$201</definedName>
    <definedName name="PPA_160" localSheetId="4">Ship!$W$1:$X$3670</definedName>
    <definedName name="PPA_161" localSheetId="5">'Dock PPR'!$A$1:$A$133</definedName>
    <definedName name="PPA_161" localSheetId="6">PPR!$A$1:$P$201</definedName>
    <definedName name="PPA_161" localSheetId="4">Ship!$W$1:$X$3646</definedName>
    <definedName name="PPA_162" localSheetId="5">'Dock PPR'!$A$1:$A$112</definedName>
    <definedName name="PPA_162" localSheetId="6">PPR!$A$1:$P$201</definedName>
    <definedName name="PPA_162" localSheetId="4">Ship!$W$1:$X$3646</definedName>
    <definedName name="PPA_163" localSheetId="5">'Dock PPR'!$A$1:$A$144</definedName>
    <definedName name="PPA_163" localSheetId="6">PPR!$A$1:$P$201</definedName>
    <definedName name="PPA_163" localSheetId="4">Ship!$W$1:$X$3630</definedName>
    <definedName name="PPA_164" localSheetId="5">'Dock PPR'!$A$1:$A$58</definedName>
    <definedName name="PPA_164" localSheetId="6">PPR!$A$1:$P$201</definedName>
    <definedName name="PPA_164" localSheetId="4">Ship!$W$1:$X$3614</definedName>
    <definedName name="PPA_165" localSheetId="5">'Dock PPR'!$A$1:$A$94</definedName>
    <definedName name="PPA_165" localSheetId="6">PPR!$A$1:$P$201</definedName>
    <definedName name="PPA_165" localSheetId="4">Ship!$W$1:$X$3614</definedName>
    <definedName name="PPA_166" localSheetId="5">'Dock PPR'!$A$1:$A$103</definedName>
    <definedName name="PPA_166" localSheetId="6">PPR!$A$1:$P$201</definedName>
    <definedName name="PPA_166" localSheetId="4">Ship!$W$1:$X$3614</definedName>
    <definedName name="PPA_167" localSheetId="5">'Dock PPR'!$A$1:$A$57</definedName>
    <definedName name="PPA_167" localSheetId="6">PPR!$A$1:$P$201</definedName>
    <definedName name="PPA_167" localSheetId="4">Ship!$W$1:$X$3622</definedName>
    <definedName name="PPA_168" localSheetId="5">'Dock PPR'!$A$1:$A$97</definedName>
    <definedName name="PPA_168" localSheetId="6">PPR!$A$1:$P$201</definedName>
    <definedName name="PPA_169" localSheetId="5">'Dock PPR'!$A$1:$A$137</definedName>
    <definedName name="PPA_169" localSheetId="6">PPR!$A$1:$P$201</definedName>
    <definedName name="PPA_17" localSheetId="5">'Dock PPR'!$A$1:$A$117</definedName>
    <definedName name="PPA_17" localSheetId="6">PPR!$A$1:$P$201</definedName>
    <definedName name="PPA_170" localSheetId="5">'Dock PPR'!$A$1:$A$53</definedName>
    <definedName name="PPA_170" localSheetId="6">PPR!$A$1:$P$201</definedName>
    <definedName name="PPA_170" localSheetId="4">Ship!$W$1:$X$3622</definedName>
    <definedName name="PPA_171" localSheetId="5">'Dock PPR'!$A$1:$A$201</definedName>
    <definedName name="PPA_171" localSheetId="6">PPR!$A$1:$P$201</definedName>
    <definedName name="PPA_171" localSheetId="4">Ship!$W$1:$X$3622</definedName>
    <definedName name="PPA_172" localSheetId="5">'Dock PPR'!$A$1:$A$103</definedName>
    <definedName name="PPA_172" localSheetId="6">PPR!$A$1:$P$201</definedName>
    <definedName name="PPA_172" localSheetId="4">Ship!$W$1:$X$3622</definedName>
    <definedName name="PPA_173" localSheetId="5">'Dock PPR'!$A$1:$A$147</definedName>
    <definedName name="PPA_173" localSheetId="6">PPR!$A$1:$P$201</definedName>
    <definedName name="PPA_173" localSheetId="4">Ship!$W$1:$X$3622</definedName>
    <definedName name="PPA_174" localSheetId="5">'Dock PPR'!$A$1:$A$65</definedName>
    <definedName name="PPA_174" localSheetId="6">PPR!$A$1:$P$201</definedName>
    <definedName name="PPA_174" localSheetId="4">Ship!$W$1:$X$3622</definedName>
    <definedName name="PPA_175" localSheetId="5">'Dock PPR'!$A$1:$A$94</definedName>
    <definedName name="PPA_175" localSheetId="6">PPR!$A$1:$P$201</definedName>
    <definedName name="PPA_175" localSheetId="4">Ship!$W$1:$X$3630</definedName>
    <definedName name="PPA_176" localSheetId="5">'Dock PPR'!$A$1:$A$162</definedName>
    <definedName name="PPA_176" localSheetId="6">PPR!$A$1:$P$201</definedName>
    <definedName name="PPA_176" localSheetId="4">Ship!$W$1:$X$3662</definedName>
    <definedName name="PPA_177" localSheetId="5">'Dock PPR'!$A$1:$A$91</definedName>
    <definedName name="PPA_177" localSheetId="6">PPR!$A$1:$P$201</definedName>
    <definedName name="PPA_177" localSheetId="4">Ship!$W$1:$X$3662</definedName>
    <definedName name="PPA_178" localSheetId="5">'Dock PPR'!$A$1:$A$131</definedName>
    <definedName name="PPA_178" localSheetId="6">PPR!$A$1:$P$201</definedName>
    <definedName name="PPA_179" localSheetId="5">'Dock PPR'!$A$1:$A$120</definedName>
    <definedName name="PPA_179" localSheetId="6">PPR!$A$1:$P$201</definedName>
    <definedName name="PPA_18" localSheetId="5">'Dock PPR'!$A$1:$A$141</definedName>
    <definedName name="PPA_18" localSheetId="6">PPR!$A$1:$P$201</definedName>
    <definedName name="PPA_18" localSheetId="4">Ship!$W$1:$X$3190</definedName>
    <definedName name="PPA_180" localSheetId="5">'Dock PPR'!$A$1:$A$70</definedName>
    <definedName name="PPA_180" localSheetId="6">PPR!$A$1:$P$201</definedName>
    <definedName name="PPA_180" localSheetId="4">Ship!$W$1:$X$3670</definedName>
    <definedName name="PPA_181" localSheetId="5">'Dock PPR'!$A$1:$A$120</definedName>
    <definedName name="PPA_181" localSheetId="6">PPR!$A$1:$P$201</definedName>
    <definedName name="PPA_181" localSheetId="4">Ship!$W$1:$X$3694</definedName>
    <definedName name="PPA_182" localSheetId="5">'Dock PPR'!$A$1:$A$119</definedName>
    <definedName name="PPA_182" localSheetId="6">PPR!$A$1:$P$201</definedName>
    <definedName name="PPA_182" localSheetId="4">Ship!$W$1:$X$3750</definedName>
    <definedName name="PPA_183" localSheetId="5">'Dock PPR'!$A$1:$A$135</definedName>
    <definedName name="PPA_183" localSheetId="6">PPR!$A$1:$P$201</definedName>
    <definedName name="PPA_183" localSheetId="4">Ship!$W$1:$X$3750</definedName>
    <definedName name="PPA_184" localSheetId="5">'Dock PPR'!$A$1:$A$84</definedName>
    <definedName name="PPA_184" localSheetId="6">PPR!$A$1:$P$201</definedName>
    <definedName name="PPA_184" localSheetId="4">Ship!$W$1:$X$3766</definedName>
    <definedName name="PPA_185" localSheetId="5">'Dock PPR'!$A$1:$A$116</definedName>
    <definedName name="PPA_185" localSheetId="6">PPR!$A$1:$P$201</definedName>
    <definedName name="PPA_185" localSheetId="4">Ship!$W$1:$X$3758</definedName>
    <definedName name="PPA_186" localSheetId="5">'Dock PPR'!$A$1:$A$126</definedName>
    <definedName name="PPA_186" localSheetId="6">PPR!$A$1:$P$201</definedName>
    <definedName name="PPA_186" localSheetId="4">Ship!$W$1:$X$3758</definedName>
    <definedName name="PPA_187" localSheetId="5">'Dock PPR'!$A$1:$A$206</definedName>
    <definedName name="PPA_187" localSheetId="6">PPR!$A$1:$P$201</definedName>
    <definedName name="PPA_187" localSheetId="4">Ship!$W$1:$X$3822</definedName>
    <definedName name="PPA_188" localSheetId="5">'Dock PPR'!$A$1:$A$103</definedName>
    <definedName name="PPA_188" localSheetId="6">PPR!$A$1:$P$201</definedName>
    <definedName name="PPA_188" localSheetId="4">Ship!$W$1</definedName>
    <definedName name="PPA_189" localSheetId="5">'Dock PPR'!$A$1:$A$106</definedName>
    <definedName name="PPA_189" localSheetId="6">PPR!$A$1:$P$201</definedName>
    <definedName name="PPA_189" localSheetId="4">Ship!$W$1:$X$3822</definedName>
    <definedName name="PPA_19" localSheetId="5">'Dock PPR'!$A$1:$A$141</definedName>
    <definedName name="PPA_19" localSheetId="6">PPR!$A$1:$P$201</definedName>
    <definedName name="PPA_19" localSheetId="4">Ship!$W$1:$X$3190</definedName>
    <definedName name="PPA_190" localSheetId="5">'Dock PPR'!$A$1:$A$53</definedName>
    <definedName name="PPA_190" localSheetId="6">PPR!$A$1:$P$201</definedName>
    <definedName name="PPA_190" localSheetId="4">Ship!$W$1:$X$3822</definedName>
    <definedName name="PPA_191" localSheetId="5">'Dock PPR'!$A$1:$A$91</definedName>
    <definedName name="PPA_191" localSheetId="6">PPR!$A$1:$P$201</definedName>
    <definedName name="PPA_192" localSheetId="5">'Dock PPR'!$A$1:$A$128</definedName>
    <definedName name="PPA_192" localSheetId="6">PPR!$A$1:$P$201</definedName>
    <definedName name="PPA_192" localSheetId="4">Ship!$W$1:$X$3878</definedName>
    <definedName name="PPA_193" localSheetId="5">'Dock PPR'!$A$1:$A$82</definedName>
    <definedName name="PPA_193" localSheetId="6">PPR!$A$1:$P$201</definedName>
    <definedName name="PPA_194" localSheetId="5">'Dock PPR'!$A$1:$A$98</definedName>
    <definedName name="PPA_194" localSheetId="6">PPR!$A$1:$P$201</definedName>
    <definedName name="PPA_194" localSheetId="4">Ship!$W$1:$X$3878</definedName>
    <definedName name="PPA_195" localSheetId="5">'Dock PPR'!$A$1:$A$156</definedName>
    <definedName name="PPA_195" localSheetId="6">PPR!$A$1:$P$201</definedName>
    <definedName name="PPA_195" localSheetId="4">Ship!$W$1:$X$3942</definedName>
    <definedName name="PPA_196" localSheetId="5">'Dock PPR'!$A$1:$A$80</definedName>
    <definedName name="PPA_196" localSheetId="6">PPR!$A$1:$P$201</definedName>
    <definedName name="PPA_196" localSheetId="4">Ship!$W$1:$X$3942</definedName>
    <definedName name="PPA_197" localSheetId="5">'Dock PPR'!$A$1:$A$145</definedName>
    <definedName name="PPA_197" localSheetId="6">PPR!$A$1:$P$201</definedName>
    <definedName name="PPA_197" localSheetId="4">Ship!$W$1:$X$3942</definedName>
    <definedName name="PPA_198" localSheetId="5">'Dock PPR'!$A$1:$A$149</definedName>
    <definedName name="PPA_198" localSheetId="6">PPR!$A$1:$P$201</definedName>
    <definedName name="PPA_198" localSheetId="4">Ship!$W$1:$X$3974</definedName>
    <definedName name="PPA_199" localSheetId="5">'Dock PPR'!$A$1:$A$232</definedName>
    <definedName name="PPA_199" localSheetId="6">PPR!$A$1:$P$201</definedName>
    <definedName name="PPA_199" localSheetId="4">Ship!$W$1:$X$3982</definedName>
    <definedName name="PPA_2" localSheetId="5">'Dock PPR'!$A$1:$A$779</definedName>
    <definedName name="PPA_2" localSheetId="6">PPR!$A$1:$P$201</definedName>
    <definedName name="PPA_2" localSheetId="4">Ship!$AG$1:$AH$3190</definedName>
    <definedName name="PPA_20" localSheetId="5">'Dock PPR'!$A$1:$A$122</definedName>
    <definedName name="PPA_20" localSheetId="6">PPR!$A$1:$P$201</definedName>
    <definedName name="PPA_200" localSheetId="5">'Dock PPR'!$A$1:$A$129</definedName>
    <definedName name="PPA_200" localSheetId="6">PPR!$A$1:$P$201</definedName>
    <definedName name="PPA_200" localSheetId="4">Ship!$W$1:$X$3998</definedName>
    <definedName name="PPA_201" localSheetId="5">'Dock PPR'!$A$1:$A$123</definedName>
    <definedName name="PPA_201" localSheetId="6">PPR!$A$1:$C$12</definedName>
    <definedName name="PPA_201" localSheetId="4">Ship!$W$1:$X$3998</definedName>
    <definedName name="PPA_202" localSheetId="5">'Dock PPR'!$A$1:$A$68</definedName>
    <definedName name="PPA_202" localSheetId="6">PPR!$A$1:$P$201</definedName>
    <definedName name="PPA_202" localSheetId="4">Ship!$W$1:$X$4014</definedName>
    <definedName name="PPA_203" localSheetId="5">'Dock PPR'!$A$1:$B$6</definedName>
    <definedName name="PPA_203" localSheetId="6">PPR!$A$1:$P$201</definedName>
    <definedName name="PPA_203" localSheetId="4">Ship!$W$1:$X$4022</definedName>
    <definedName name="PPA_204" localSheetId="5">'Dock PPR'!$A$1:$A$109</definedName>
    <definedName name="PPA_204" localSheetId="6">PPR!$A$1:$P$201</definedName>
    <definedName name="PPA_204" localSheetId="4">Ship!$W$1:$X$4046</definedName>
    <definedName name="PPA_205" localSheetId="5">'Dock PPR'!$A$1:$A$131</definedName>
    <definedName name="PPA_205" localSheetId="6">PPR!$A$1:$P$201</definedName>
    <definedName name="PPA_206" localSheetId="5">'Dock PPR'!$A$1:$A$77</definedName>
    <definedName name="PPA_206" localSheetId="6">PPR!$A$1:$P$201</definedName>
    <definedName name="PPA_206" localSheetId="4">Ship!$W$1:$X$4046</definedName>
    <definedName name="PPA_207" localSheetId="5">'Dock PPR'!$A$1:$A$111</definedName>
    <definedName name="PPA_207" localSheetId="6">PPR!$A$1:$P$201</definedName>
    <definedName name="PPA_207" localSheetId="4">Ship!$W$1:$X$4046</definedName>
    <definedName name="PPA_208" localSheetId="5">'Dock PPR'!$A$1:$A$138</definedName>
    <definedName name="PPA_208" localSheetId="6">PPR!$A$1:$P$201</definedName>
    <definedName name="PPA_208" localSheetId="4">Ship!$W$1:$X$4046</definedName>
    <definedName name="PPA_209" localSheetId="5">'Dock PPR'!$A$1:$A$84</definedName>
    <definedName name="PPA_209" localSheetId="6">PPR!$A$1:$P$201</definedName>
    <definedName name="PPA_209" localSheetId="4">Ship!$W$1:$X$4046</definedName>
    <definedName name="PPA_21" localSheetId="5">'Dock PPR'!$A$1:$A$264</definedName>
    <definedName name="PPA_21" localSheetId="6">PPR!$A$1:$P$201</definedName>
    <definedName name="PPA_21" localSheetId="4">Ship!$W$1:$X$3190</definedName>
    <definedName name="PPA_210" localSheetId="5">'Dock PPR'!$A$1:$A$128</definedName>
    <definedName name="PPA_210" localSheetId="6">PPR!$A$1:$P$201</definedName>
    <definedName name="PPA_210" localSheetId="4">Ship!$W$1:$X$4046</definedName>
    <definedName name="PPA_211" localSheetId="5">'Dock PPR'!$A$1:$A$121</definedName>
    <definedName name="PPA_211" localSheetId="6">PPR!$A$1:$P$201</definedName>
    <definedName name="PPA_211" localSheetId="4">Ship!$W$1:$X$4038</definedName>
    <definedName name="PPA_212" localSheetId="5">'Dock PPR'!$A$1:$A$51</definedName>
    <definedName name="PPA_212" localSheetId="6">PPR!$A$1:$P$201</definedName>
    <definedName name="PPA_212" localSheetId="4">Ship!$W$1:$X$4038</definedName>
    <definedName name="PPA_213" localSheetId="5">'Dock PPR'!$A$1:$A$120</definedName>
    <definedName name="PPA_213" localSheetId="6">PPR!$A$1:$P$201</definedName>
    <definedName name="PPA_213" localSheetId="4">Ship!$W$1:$X$4278</definedName>
    <definedName name="PPA_214" localSheetId="5">'Dock PPR'!$A$1:$A$134</definedName>
    <definedName name="PPA_214" localSheetId="6">PPR!$A$1:$P$201</definedName>
    <definedName name="PPA_214" localSheetId="4">Ship!$W$1:$X$4302</definedName>
    <definedName name="PPA_215" localSheetId="5">'Dock PPR'!$A$1:$A$85</definedName>
    <definedName name="PPA_215" localSheetId="6">PPR!$A$1:$P$201</definedName>
    <definedName name="PPA_215" localSheetId="4">Ship!$W$1:$X$4302</definedName>
    <definedName name="PPA_216" localSheetId="5">'Dock PPR'!$A$1:$A$126</definedName>
    <definedName name="PPA_216" localSheetId="6">PPR!$A$1:$P$201</definedName>
    <definedName name="PPA_216" localSheetId="4">Ship!$W$1:$X$4302</definedName>
    <definedName name="PPA_217" localSheetId="5">'Dock PPR'!$A$1:$A$123</definedName>
    <definedName name="PPA_217" localSheetId="6">PPR!$A$1:$P$201</definedName>
    <definedName name="PPA_217" localSheetId="4">Ship!$W$1:$X$4302</definedName>
    <definedName name="PPA_218" localSheetId="5">'Dock PPR'!$A$1:$A$163</definedName>
    <definedName name="PPA_218" localSheetId="6">PPR!$A$1:$P$201</definedName>
    <definedName name="PPA_218" localSheetId="4">Ship!$W$1:$X$4870</definedName>
    <definedName name="PPA_219" localSheetId="5">'Dock PPR'!$A$1:$A$123</definedName>
    <definedName name="PPA_219" localSheetId="6">PPR!$A$1:$P$201</definedName>
    <definedName name="PPA_219" localSheetId="4">Ship!$U$1:$V$4870</definedName>
    <definedName name="PPA_22" localSheetId="5">'Dock PPR'!$A$1:$A$288</definedName>
    <definedName name="PPA_22" localSheetId="6">PPR!$A$1:$P$201</definedName>
    <definedName name="PPA_22" localSheetId="4">Ship!$W$1:$X$3190</definedName>
    <definedName name="PPA_220" localSheetId="5">'Dock PPR'!$A$1:$A$134</definedName>
    <definedName name="PPA_220" localSheetId="6">PPR!$A$1:$P$201</definedName>
    <definedName name="PPA_220" localSheetId="4">Ship!$S$1:$T$4870</definedName>
    <definedName name="PPA_221" localSheetId="5">'Dock PPR'!$A$1:$A$206</definedName>
    <definedName name="PPA_221" localSheetId="6">PPR!$A$1:$P$201</definedName>
    <definedName name="PPA_222" localSheetId="5">'Dock PPR'!$A$1:$A$108</definedName>
    <definedName name="PPA_222" localSheetId="6">PPR!$A$1:$P$201</definedName>
    <definedName name="PPA_222" localSheetId="4">Ship!$Q$1:$R$4870</definedName>
    <definedName name="PPA_223" localSheetId="5">'Dock PPR'!$A$1:$A$190</definedName>
    <definedName name="PPA_223" localSheetId="6">PPR!$A$1:$P$201</definedName>
    <definedName name="PPA_223" localSheetId="4">Ship!$Q$1:$R$15</definedName>
    <definedName name="PPA_224" localSheetId="5">'Dock PPR'!$A$1:$A$144</definedName>
    <definedName name="PPA_224" localSheetId="6">PPR!$A$1:$P$201</definedName>
    <definedName name="PPA_224" localSheetId="4">Ship!$Q$1:$R$15</definedName>
    <definedName name="PPA_225" localSheetId="5">'Dock PPR'!$A$1:$A$92</definedName>
    <definedName name="PPA_225" localSheetId="6">PPR!$A$1:$P$201</definedName>
    <definedName name="PPA_225" localSheetId="4">Ship!$O$1:$P$4870</definedName>
    <definedName name="PPA_226" localSheetId="5">'Dock PPR'!$A$1:$A$89</definedName>
    <definedName name="PPA_226" localSheetId="6">PPR!$A$1:$P$201</definedName>
    <definedName name="PPA_226" localSheetId="4">Ship!$O$1:$P$15</definedName>
    <definedName name="PPA_227" localSheetId="5">'Dock PPR'!$A$1:$A$125</definedName>
    <definedName name="PPA_227" localSheetId="6">PPR!$A$1:$P$201</definedName>
    <definedName name="PPA_227" localSheetId="4">Ship!$O$1:$P$15</definedName>
    <definedName name="PPA_228" localSheetId="5">'Dock PPR'!$A$1:$A$89</definedName>
    <definedName name="PPA_228" localSheetId="6">PPR!$A$1:$P$201</definedName>
    <definedName name="PPA_228" localSheetId="4">Ship!$O$1:$P$15</definedName>
    <definedName name="PPA_229" localSheetId="5">'Dock PPR'!$A$1:$A$97</definedName>
    <definedName name="PPA_229" localSheetId="6">PPR!$A$1:$P$201</definedName>
    <definedName name="PPA_229" localSheetId="4">Ship!$O$1:$P$15</definedName>
    <definedName name="PPA_23" localSheetId="5">'Dock PPR'!$A$1:$A$64</definedName>
    <definedName name="PPA_23" localSheetId="6">PPR!$A$1:$P$201</definedName>
    <definedName name="PPA_23" localSheetId="4">Ship!$W$1:$X$3190</definedName>
    <definedName name="PPA_230" localSheetId="5">'Dock PPR'!$A$1:$A$109</definedName>
    <definedName name="PPA_230" localSheetId="6">PPR!$A$1:$P$201</definedName>
    <definedName name="PPA_230" localSheetId="4">Ship!$M$1:$N$4870</definedName>
    <definedName name="PPA_231" localSheetId="5">'Dock PPR'!$A$1:$A$109</definedName>
    <definedName name="PPA_231" localSheetId="6">PPR!$A$1:$P$201</definedName>
    <definedName name="PPA_231" localSheetId="4">Ship!$M$1:$N$15</definedName>
    <definedName name="PPA_232" localSheetId="5">'Dock PPR'!$A$1:$A$109</definedName>
    <definedName name="PPA_232" localSheetId="6">PPR!$A$1:$P$201</definedName>
    <definedName name="PPA_232" localSheetId="4">Ship!$M$1:$N$15</definedName>
    <definedName name="PPA_233" localSheetId="5">'Dock PPR'!$A$1:$A$109</definedName>
    <definedName name="PPA_233" localSheetId="4">Ship!$M$1:$N$15</definedName>
    <definedName name="PPA_234" localSheetId="5">'Dock PPR'!$A$1:$A$133</definedName>
    <definedName name="PPA_234" localSheetId="6">PPR!$A$1:$P$201</definedName>
    <definedName name="PPA_234" localSheetId="4">Ship!$M$1:$N$15</definedName>
    <definedName name="PPA_235" localSheetId="5">'Dock PPR'!$A$1:$A$109</definedName>
    <definedName name="PPA_235" localSheetId="6">PPR!$A$1:$P$201</definedName>
    <definedName name="PPA_235" localSheetId="4">Ship!$K$1:$L$4870</definedName>
    <definedName name="PPA_236" localSheetId="5">'Dock PPR'!$A$1:$A$133</definedName>
    <definedName name="PPA_236" localSheetId="6">PPR!$A$1:$P$201</definedName>
    <definedName name="PPA_236" localSheetId="4">Ship!$K$1:$L$15</definedName>
    <definedName name="PPA_237" localSheetId="5">'Dock PPR'!$A$1:$A$139</definedName>
    <definedName name="PPA_237" localSheetId="6">PPR!$A$1:$P$201</definedName>
    <definedName name="PPA_237" localSheetId="4">Ship!$K$1:$L$15</definedName>
    <definedName name="PPA_238" localSheetId="5">'Dock PPR'!$A$1:$A$269</definedName>
    <definedName name="PPA_238" localSheetId="6">PPR!$A$1:$P$201</definedName>
    <definedName name="PPA_238" localSheetId="4">Ship!$K$1:$L$15</definedName>
    <definedName name="PPA_239" localSheetId="5">'Dock PPR'!$A$1:$A$99</definedName>
    <definedName name="PPA_239" localSheetId="6">PPR!$A$1:$P$201</definedName>
    <definedName name="PPA_239" localSheetId="4">Ship!$K$1:$L$15</definedName>
    <definedName name="PPA_24" localSheetId="5">'Dock PPR'!$A$1:$A$86</definedName>
    <definedName name="PPA_24" localSheetId="6">PPR!$A$1:$P$201</definedName>
    <definedName name="PPA_24" localSheetId="4">Ship!$W$1:$X$3190</definedName>
    <definedName name="PPA_240" localSheetId="5">'Dock PPR'!$A$1:$A$97</definedName>
    <definedName name="PPA_240" localSheetId="6">PPR!$A$1:$P$201</definedName>
    <definedName name="PPA_240" localSheetId="4">Ship!$K$1:$L$4870</definedName>
    <definedName name="PPA_241" localSheetId="5">'Dock PPR'!$A$1:$A$152</definedName>
    <definedName name="PPA_241" localSheetId="6">PPR!$A$1:$P$201</definedName>
    <definedName name="PPA_241" localSheetId="4">Ship!$K$1:$L$15</definedName>
    <definedName name="PPA_242" localSheetId="5">'Dock PPR'!$A$1:$A$153</definedName>
    <definedName name="PPA_242" localSheetId="6">PPR!$A$1:$P$201</definedName>
    <definedName name="PPA_242" localSheetId="4">Ship!$K$1:$L$15</definedName>
    <definedName name="PPA_243" localSheetId="5">'Dock PPR'!$A$1:$A$272</definedName>
    <definedName name="PPA_243" localSheetId="6">PPR!$A$1:$P$201</definedName>
    <definedName name="PPA_243" localSheetId="4">Ship!$K$1:$L$15</definedName>
    <definedName name="PPA_244" localSheetId="5">'Dock PPR'!$A$1:$A$101</definedName>
    <definedName name="PPA_244" localSheetId="6">PPR!$A$1:$P$201</definedName>
    <definedName name="PPA_244" localSheetId="4">Ship!$K$1:$L$15</definedName>
    <definedName name="PPA_245" localSheetId="5">'Dock PPR'!$A$1:$A$97</definedName>
    <definedName name="PPA_245" localSheetId="6">PPR!$A$1:$P$201</definedName>
    <definedName name="PPA_246" localSheetId="5">'Dock PPR'!$A$1:$A$152</definedName>
    <definedName name="PPA_246" localSheetId="6">PPR!$A$1:$P$201</definedName>
    <definedName name="PPA_247" localSheetId="5">'Dock PPR'!$A$1:$A$153</definedName>
    <definedName name="PPA_247" localSheetId="6">PPR!$A$1:$P$201</definedName>
    <definedName name="PPA_248" localSheetId="5">'Dock PPR'!$A$1:$A$272</definedName>
    <definedName name="PPA_248" localSheetId="6">PPR!$A$1:$P$201</definedName>
    <definedName name="PPA_248" localSheetId="4">Ship!$I$1:$J$4894</definedName>
    <definedName name="PPA_249" localSheetId="5">'Dock PPR'!$A$1:$A$101</definedName>
    <definedName name="PPA_249" localSheetId="6">PPR!$A$1:$P$201</definedName>
    <definedName name="PPA_25" localSheetId="5">'Dock PPR'!$A$1:$A$439</definedName>
    <definedName name="PPA_25" localSheetId="6">PPR!$A$1:$P$201</definedName>
    <definedName name="PPA_25" localSheetId="4">Ship!$W$1:$X$3190</definedName>
    <definedName name="PPA_250" localSheetId="5">'Dock PPR'!$A$1:$A$109</definedName>
    <definedName name="PPA_250" localSheetId="6">PPR!$A$1:$P$201</definedName>
    <definedName name="PPA_250" localSheetId="4">Ship!$G$1:$H$4894</definedName>
    <definedName name="PPA_251" localSheetId="5">'Dock PPR'!$A$1:$A$133</definedName>
    <definedName name="PPA_251" localSheetId="6">PPR!$A$1:$P$201</definedName>
    <definedName name="PPA_251" localSheetId="4">Ship!$E$1:$F$4894</definedName>
    <definedName name="PPA_252" localSheetId="5">'Dock PPR'!$A$1:$A$139</definedName>
    <definedName name="PPA_252" localSheetId="6">PPR!$A$1:$P$201</definedName>
    <definedName name="PPA_252" localSheetId="4">Ship!$E$1:$F$3326</definedName>
    <definedName name="PPA_253" localSheetId="5">'Dock PPR'!$A$1:$A$269</definedName>
    <definedName name="PPA_253" localSheetId="6">PPR!$A$1:$P$201</definedName>
    <definedName name="PPA_253" localSheetId="4">Ship!$E$1:$F$4421</definedName>
    <definedName name="PPA_254" localSheetId="5">'Dock PPR'!$A$1:$A$99</definedName>
    <definedName name="PPA_254" localSheetId="6">PPR!$A$1:$P$201</definedName>
    <definedName name="PPA_254" localSheetId="4">Ship!$E$1:$F$332</definedName>
    <definedName name="PPA_255" localSheetId="5">'Dock PPR'!$A$1:$A$109</definedName>
    <definedName name="PPA_255" localSheetId="6">PPR!$A$1:$P$201</definedName>
    <definedName name="PPA_255" localSheetId="4">Ship!$E$1:$F$3589</definedName>
    <definedName name="PPA_256" localSheetId="5">'Dock PPR'!$A$1:$A$133</definedName>
    <definedName name="PPA_256" localSheetId="6">PPR!$A$1:$P$201</definedName>
    <definedName name="PPA_256" localSheetId="4">Ship!$C$1:$D$4894</definedName>
    <definedName name="PPA_257" localSheetId="6">PPR!$A$1:$P$201</definedName>
    <definedName name="PPA_257" localSheetId="4">Ship!$C$1:$D$3326</definedName>
    <definedName name="PPA_258" localSheetId="5">'Dock PPR'!$A$1:$A$109</definedName>
    <definedName name="PPA_258" localSheetId="6">PPR!$A$1:$P$201</definedName>
    <definedName name="PPA_258" localSheetId="4">Ship!$C$1:$D$4421</definedName>
    <definedName name="PPA_259" localSheetId="5">'Dock PPR'!$A$1:$A$109</definedName>
    <definedName name="PPA_259" localSheetId="6">PPR!$A$1:$P$201</definedName>
    <definedName name="PPA_259" localSheetId="4">Ship!$C$1:$D$332</definedName>
    <definedName name="PPA_26" localSheetId="5">'Dock PPR'!$A$1:$A$174</definedName>
    <definedName name="PPA_26" localSheetId="6">PPR!$A$1:$P$201</definedName>
    <definedName name="PPA_26" localSheetId="4">Ship!$W$1:$X$3190</definedName>
    <definedName name="PPA_260" localSheetId="5">'Dock PPR'!$A$1:$A$133</definedName>
    <definedName name="PPA_260" localSheetId="6">PPR!$A$1:$P$201</definedName>
    <definedName name="PPA_260" localSheetId="4">Ship!$C$1:$D$3589</definedName>
    <definedName name="PPA_261" localSheetId="5">'Dock PPR'!$A$1:$A$139</definedName>
    <definedName name="PPA_261" localSheetId="6">PPR!$A$1:$P$201</definedName>
    <definedName name="PPA_261" localSheetId="4">Ship!$A$1:$B$4894</definedName>
    <definedName name="PPA_262" localSheetId="5">'Dock PPR'!$A$1:$A$269</definedName>
    <definedName name="PPA_262" localSheetId="6">PPR!$A$1:$P$201</definedName>
    <definedName name="PPA_262" localSheetId="4">Ship!$A$1:$B$3326</definedName>
    <definedName name="PPA_263" localSheetId="5">'Dock PPR'!$A$1:$A$99</definedName>
    <definedName name="PPA_263" localSheetId="6">PPR!$A$1:$P$201</definedName>
    <definedName name="PPA_263" localSheetId="4">Ship!$A$1:$B$4421</definedName>
    <definedName name="PPA_264" localSheetId="5">'Dock PPR'!$A$1:$A$109</definedName>
    <definedName name="PPA_264" localSheetId="6">PPR!$A$1:$P$201</definedName>
    <definedName name="PPA_264" localSheetId="4">Ship!$A$1:$B$332</definedName>
    <definedName name="PPA_265" localSheetId="5">'Dock PPR'!$A$1:$A$133</definedName>
    <definedName name="PPA_265" localSheetId="6">PPR!$A$1:$P$201</definedName>
    <definedName name="PPA_265" localSheetId="4">Ship!$A$1:$B$3589</definedName>
    <definedName name="PPA_266" localSheetId="5">'Dock PPR'!$A$1:$A$139</definedName>
    <definedName name="PPA_266" localSheetId="6">PPR!$A$1:$P$201</definedName>
    <definedName name="PPA_267" localSheetId="5">'Dock PPR'!$A$1:$A$269</definedName>
    <definedName name="PPA_267" localSheetId="6">PPR!$A$1:$P$201</definedName>
    <definedName name="PPA_268" localSheetId="5">'Dock PPR'!$A$1:$A$99</definedName>
    <definedName name="PPA_268" localSheetId="6">PPR!$A$1:$P$201</definedName>
    <definedName name="PPA_269" localSheetId="5">'Dock PPR'!$A$1:$A$104</definedName>
    <definedName name="PPA_269" localSheetId="6">PPR!$A$1:$P$201</definedName>
    <definedName name="PPA_27" localSheetId="5">'Dock PPR'!$A$1:$A$407</definedName>
    <definedName name="PPA_27" localSheetId="6">PPR!$A$1:$P$201</definedName>
    <definedName name="PPA_27" localSheetId="4">Ship!$W$1:$X$3190</definedName>
    <definedName name="PPA_270" localSheetId="5">'Dock PPR'!$A$1:$A$174</definedName>
    <definedName name="PPA_270" localSheetId="6">PPR!$A$1:$P$201</definedName>
    <definedName name="PPA_271" localSheetId="5">'Dock PPR'!$A$1:$A$138</definedName>
    <definedName name="PPA_271" localSheetId="6">PPR!$A$1:$P$201</definedName>
    <definedName name="PPA_272" localSheetId="5">'Dock PPR'!$A$1:$A$289</definedName>
    <definedName name="PPA_272" localSheetId="6">PPR!$A$1:$P$201</definedName>
    <definedName name="PPA_273" localSheetId="5">'Dock PPR'!$A$1:$A$113</definedName>
    <definedName name="PPA_28" localSheetId="5">'Dock PPR'!$A$1:$A$161</definedName>
    <definedName name="PPA_28" localSheetId="6">PPR!$A$1:$P$201</definedName>
    <definedName name="PPA_28" localSheetId="4">Ship!$W$1:$X$3190</definedName>
    <definedName name="PPA_29" localSheetId="5">'Dock PPR'!$A$1:$A$120</definedName>
    <definedName name="PPA_29" localSheetId="6">PPR!$A$1:$P$201</definedName>
    <definedName name="PPA_29" localSheetId="4">Ship!$W$1:$X$15</definedName>
    <definedName name="PPA_3" localSheetId="5">'Dock PPR'!$A$1:$A$427</definedName>
    <definedName name="PPA_3" localSheetId="6">PPR!$A$1:$P$201</definedName>
    <definedName name="PPA_3" localSheetId="4">Ship!$AE$1:$AF$3190</definedName>
    <definedName name="PPA_30" localSheetId="5">'Dock PPR'!$A$1:$A$96</definedName>
    <definedName name="PPA_30" localSheetId="6">PPR!$A$1:$P$201</definedName>
    <definedName name="PPA_30" localSheetId="4">Ship!$W$1:$X$15</definedName>
    <definedName name="PPA_31" localSheetId="5">'Dock PPR'!$A$1:$A$302</definedName>
    <definedName name="PPA_31" localSheetId="6">PPR!$A$1:$P$201</definedName>
    <definedName name="PPA_31" localSheetId="4">Ship!$W$1:$X$4022</definedName>
    <definedName name="PPA_32" localSheetId="5">'Dock PPR'!$A$1:$A$62</definedName>
    <definedName name="PPA_32" localSheetId="6">PPR!$A$1:$P$201</definedName>
    <definedName name="PPA_32" localSheetId="4">Ship!$W$1:$X$4022</definedName>
    <definedName name="PPA_33" localSheetId="5">'Dock PPR'!$A$1:$A$106</definedName>
    <definedName name="PPA_33" localSheetId="6">PPR!$A$1:$P$201</definedName>
    <definedName name="PPA_33" localSheetId="4">Ship!$W$1:$X$4022</definedName>
    <definedName name="PPA_34" localSheetId="5">'Dock PPR'!$A$1:$A$349</definedName>
    <definedName name="PPA_34" localSheetId="6">PPR!$A$1:$P$201</definedName>
    <definedName name="PPA_34" localSheetId="4">Ship!$W$1:$X$4022</definedName>
    <definedName name="PPA_35" localSheetId="5">'Dock PPR'!$A$1:$A$113</definedName>
    <definedName name="PPA_35" localSheetId="6">PPR!$A$1:$P$201</definedName>
    <definedName name="PPA_35" localSheetId="4">Ship!$W$1:$X$4022</definedName>
    <definedName name="PPA_36" localSheetId="5">'Dock PPR'!$A$1:$A$133</definedName>
    <definedName name="PPA_36" localSheetId="6">PPR!$A$1:$P$201</definedName>
    <definedName name="PPA_36" localSheetId="4">Ship!$W$1:$X$4022</definedName>
    <definedName name="PPA_37" localSheetId="5">'Dock PPR'!$A$1:$A$122</definedName>
    <definedName name="PPA_37" localSheetId="6">PPR!$A$1:$P$201</definedName>
    <definedName name="PPA_37" localSheetId="4">Ship!$W$1:$X$4022</definedName>
    <definedName name="PPA_38" localSheetId="5">'Dock PPR'!$A$1:$A$413</definedName>
    <definedName name="PPA_38" localSheetId="6">PPR!$A$1:$P$201</definedName>
    <definedName name="PPA_38" localSheetId="4">Ship!$W$1:$X$4022</definedName>
    <definedName name="PPA_39" localSheetId="5">'Dock PPR'!$A$1:$A$176</definedName>
    <definedName name="PPA_39" localSheetId="6">PPR!$A$1:$P$201</definedName>
    <definedName name="PPA_39" localSheetId="4">Ship!$W$1:$X$4022</definedName>
    <definedName name="PPA_4" localSheetId="5">'Dock PPR'!$A$1:$A$779</definedName>
    <definedName name="PPA_4" localSheetId="6">PPR!$A$1:$P$201</definedName>
    <definedName name="PPA_4" localSheetId="4">Ship!$AC$1:$AD$3190</definedName>
    <definedName name="PPA_40" localSheetId="5">'Dock PPR'!$A$1:$A$323</definedName>
    <definedName name="PPA_40" localSheetId="6">PPR!$A$1:$P$201</definedName>
    <definedName name="PPA_40" localSheetId="4">Ship!$W$1:$X$4022</definedName>
    <definedName name="PPA_41" localSheetId="5">'Dock PPR'!$A$1:$A$865</definedName>
    <definedName name="PPA_41" localSheetId="6">PPR!$A$1:$P$201</definedName>
    <definedName name="PPA_41" localSheetId="4">Ship!$W$1:$X$4022</definedName>
    <definedName name="PPA_42" localSheetId="5">'Dock PPR'!$A$1:$A$340</definedName>
    <definedName name="PPA_42" localSheetId="6">PPR!$A$1:$P$201</definedName>
    <definedName name="PPA_42" localSheetId="4">Ship!$W$1:$X$4022</definedName>
    <definedName name="PPA_43" localSheetId="5">'Dock PPR'!$A$1:$A$865</definedName>
    <definedName name="PPA_43" localSheetId="6">PPR!$A$1:$P$201</definedName>
    <definedName name="PPA_43" localSheetId="4">Ship!$W$1:$X$4022</definedName>
    <definedName name="PPA_44" localSheetId="5">'Dock PPR'!$A$1:$A$341</definedName>
    <definedName name="PPA_44" localSheetId="6">PPR!$A$1:$P$201</definedName>
    <definedName name="PPA_44" localSheetId="4">Ship!$W$1:$X$4022</definedName>
    <definedName name="PPA_45" localSheetId="5">'Dock PPR'!$A$1:$A$353</definedName>
    <definedName name="PPA_45" localSheetId="6">PPR!$A$1:$P$201</definedName>
    <definedName name="PPA_45" localSheetId="4">Ship!$W$1:$X$4022</definedName>
    <definedName name="PPA_46" localSheetId="5">'Dock PPR'!$A$1:$A$169</definedName>
    <definedName name="PPA_46" localSheetId="6">PPR!$A$1:$P$201</definedName>
    <definedName name="PPA_46" localSheetId="4">Ship!$W$1:$X$4006</definedName>
    <definedName name="PPA_47" localSheetId="5">'Dock PPR'!$A$1:$A$162</definedName>
    <definedName name="PPA_47" localSheetId="6">PPR!$A$1:$P$201</definedName>
    <definedName name="PPA_47" localSheetId="4">Ship!$W$1:$X$4006</definedName>
    <definedName name="PPA_48" localSheetId="5">'Dock PPR'!$A$1:$A$169</definedName>
    <definedName name="PPA_48" localSheetId="6">PPR!$A$1:$P$201</definedName>
    <definedName name="PPA_48" localSheetId="4">Ship!$W$1:$X$4006</definedName>
    <definedName name="PPA_49" localSheetId="5">'Dock PPR'!$A$1:$A$162</definedName>
    <definedName name="PPA_49" localSheetId="6">PPR!$A$1:$P$201</definedName>
    <definedName name="PPA_49" localSheetId="4">Ship!$W$1:$X$4022</definedName>
    <definedName name="PPA_5" localSheetId="5">'Dock PPR'!$A$1:$A$427</definedName>
    <definedName name="PPA_5" localSheetId="6">PPR!$A$1:$P$201</definedName>
    <definedName name="PPA_5" localSheetId="4">Ship!$AA$1:$AB$3190</definedName>
    <definedName name="PPA_50" localSheetId="5">'Dock PPR'!$A$1:$A$169</definedName>
    <definedName name="PPA_50" localSheetId="6">PPR!$A$1:$P$201</definedName>
    <definedName name="PPA_50" localSheetId="4">Ship!$W$1:$X$4126</definedName>
    <definedName name="PPA_51" localSheetId="5">'Dock PPR'!$A$1:$A$162</definedName>
    <definedName name="PPA_51" localSheetId="6">PPR!$A$1:$P$201</definedName>
    <definedName name="PPA_52" localSheetId="5">'Dock PPR'!$A$1:$A$169</definedName>
    <definedName name="PPA_52" localSheetId="6">PPR!$A$1:$P$201</definedName>
    <definedName name="PPA_52" localSheetId="4">Ship!$W$1:$X$4086</definedName>
    <definedName name="PPA_53" localSheetId="5">'Dock PPR'!$A$1:$A$140</definedName>
    <definedName name="PPA_53" localSheetId="6">PPR!$A$1:$P$201</definedName>
    <definedName name="PPA_53" localSheetId="4">Ship!$W$1:$X$4014</definedName>
    <definedName name="PPA_54" localSheetId="5">'Dock PPR'!$A$1:$A$140</definedName>
    <definedName name="PPA_54" localSheetId="6">PPR!$A$1:$P$201</definedName>
    <definedName name="PPA_55" localSheetId="5">'Dock PPR'!$A$1:$A$148</definedName>
    <definedName name="PPA_55" localSheetId="6">PPR!$A$1:$P$201</definedName>
    <definedName name="PPA_56" localSheetId="5">'Dock PPR'!$A$1:$A$139</definedName>
    <definedName name="PPA_56" localSheetId="6">PPR!$A$1:$P$201</definedName>
    <definedName name="PPA_56" localSheetId="4">Ship!$W$1:$X$3942</definedName>
    <definedName name="PPA_57" localSheetId="5">'Dock PPR'!$A$1:$A$161</definedName>
    <definedName name="PPA_57" localSheetId="6">PPR!$A$1:$P$201</definedName>
    <definedName name="PPA_57" localSheetId="4">Ship!$W$1:$X$3910</definedName>
    <definedName name="PPA_58" localSheetId="5">'Dock PPR'!$A$1:$A$139</definedName>
    <definedName name="PPA_58" localSheetId="6">PPR!$A$1:$P$201</definedName>
    <definedName name="PPA_58" localSheetId="4">Ship!$W$1:$X$3910</definedName>
    <definedName name="PPA_59" localSheetId="5">'Dock PPR'!$A$1:$A$140</definedName>
    <definedName name="PPA_59" localSheetId="6">PPR!$A$1:$P$201</definedName>
    <definedName name="PPA_59" localSheetId="4">Ship!$W$1:$X$3910</definedName>
    <definedName name="PPA_6" localSheetId="5">'Dock PPR'!$A$1:$A$779</definedName>
    <definedName name="PPA_6" localSheetId="6">PPR!$A$1:$P$201</definedName>
    <definedName name="PPA_6" localSheetId="4">Ship!$Y$1:$Z$3190</definedName>
    <definedName name="PPA_60" localSheetId="5">'Dock PPR'!$A$1:$A$152</definedName>
    <definedName name="PPA_60" localSheetId="6">PPR!$A$1:$P$201</definedName>
    <definedName name="PPA_60" localSheetId="4">Ship!$W$1:$X$3918</definedName>
    <definedName name="PPA_61" localSheetId="5">'Dock PPR'!$A$1:$A$148</definedName>
    <definedName name="PPA_61" localSheetId="6">PPR!$A$1:$P$201</definedName>
    <definedName name="PPA_61" localSheetId="4">Ship!$W$1:$X$3918</definedName>
    <definedName name="PPA_62" localSheetId="5">'Dock PPR'!$A$1:$A$129</definedName>
    <definedName name="PPA_62" localSheetId="6">PPR!$A$1:$P$201</definedName>
    <definedName name="PPA_62" localSheetId="4">Ship!$W$1:$X$3918</definedName>
    <definedName name="PPA_63" localSheetId="5">'Dock PPR'!$A$1:$A$169</definedName>
    <definedName name="PPA_63" localSheetId="6">PPR!$A$1:$P$201</definedName>
    <definedName name="PPA_63" localSheetId="4">Ship!$W$1:$X$3918</definedName>
    <definedName name="PPA_64" localSheetId="5">'Dock PPR'!$A$1:$A$162</definedName>
    <definedName name="PPA_64" localSheetId="6">PPR!$A$1:$P$201</definedName>
    <definedName name="PPA_64" localSheetId="4">Ship!$W$1:$X$3918</definedName>
    <definedName name="PPA_65" localSheetId="5">'Dock PPR'!$A$1:$A$161</definedName>
    <definedName name="PPA_65" localSheetId="6">PPR!$A$1:$P$201</definedName>
    <definedName name="PPA_65" localSheetId="4">Ship!$W$1:$X$3934</definedName>
    <definedName name="PPA_66" localSheetId="5">'Dock PPR'!$A$1:$A$133</definedName>
    <definedName name="PPA_66" localSheetId="6">PPR!$A$1:$P$201</definedName>
    <definedName name="PPA_67" localSheetId="5">'Dock PPR'!$A$1:$A$139</definedName>
    <definedName name="PPA_67" localSheetId="6">PPR!$A$1:$P$201</definedName>
    <definedName name="PPA_67" localSheetId="4">Ship!$W$1:$X$3934</definedName>
    <definedName name="PPA_68" localSheetId="5">'Dock PPR'!$A$1:$A$147</definedName>
    <definedName name="PPA_68" localSheetId="6">PPR!$A$1:$P$201</definedName>
    <definedName name="PPA_68" localSheetId="4">Ship!$W$1:$X$3934</definedName>
    <definedName name="PPA_69" localSheetId="5">'Dock PPR'!$A$1:$A$63</definedName>
    <definedName name="PPA_69" localSheetId="6">PPR!$A$1:$P$201</definedName>
    <definedName name="PPA_69" localSheetId="4">Ship!$W$1:$X$3942</definedName>
    <definedName name="PPA_7" localSheetId="5">'Dock PPR'!$A$1:$A$716</definedName>
    <definedName name="PPA_7" localSheetId="6">PPR!$A$1:$P$201</definedName>
    <definedName name="PPA_7" localSheetId="4">Ship!$W$1:$X$3190</definedName>
    <definedName name="PPA_70" localSheetId="5">'Dock PPR'!$A$1:$A$97</definedName>
    <definedName name="PPA_70" localSheetId="6">PPR!$A$1:$P$201</definedName>
    <definedName name="PPA_70" localSheetId="4">Ship!$W$1:$X$3990</definedName>
    <definedName name="PPA_71" localSheetId="5">'Dock PPR'!$A$1:$A$97</definedName>
    <definedName name="PPA_71" localSheetId="6">PPR!$A$1:$P$201</definedName>
    <definedName name="PPA_72" localSheetId="5">'Dock PPR'!$A$1:$A$114</definedName>
    <definedName name="PPA_72" localSheetId="6">PPR!$A$1:$P$201</definedName>
    <definedName name="PPA_73" localSheetId="5">'Dock PPR'!$A$1:$A$97</definedName>
    <definedName name="PPA_73" localSheetId="6">PPR!$A$1:$P$201</definedName>
    <definedName name="PPA_73" localSheetId="4">Ship!$W$1:$X$3990</definedName>
    <definedName name="PPA_74" localSheetId="5">'Dock PPR'!$A$1:$A$125</definedName>
    <definedName name="PPA_74" localSheetId="6">PPR!$A$1:$P$201</definedName>
    <definedName name="PPA_74" localSheetId="4">Ship!$W$1:$X$3982</definedName>
    <definedName name="PPA_75" localSheetId="5">'Dock PPR'!$A$1:$A$116</definedName>
    <definedName name="PPA_75" localSheetId="6">PPR!$A$1:$P$201</definedName>
    <definedName name="PPA_75" localSheetId="4">Ship!$W$1:$X$3982</definedName>
    <definedName name="PPA_76" localSheetId="6">PPR!$A$1:$P$201</definedName>
    <definedName name="PPA_76" localSheetId="4">Ship!$W$1:$X$3982</definedName>
    <definedName name="PPA_77" localSheetId="5">'Dock PPR'!$A$1:$A$140</definedName>
    <definedName name="PPA_77" localSheetId="6">PPR!$A$1:$P$201</definedName>
    <definedName name="PPA_77" localSheetId="4">Ship!$W$1:$X$3982</definedName>
    <definedName name="PPA_78" localSheetId="5">'Dock PPR'!$A$1:$A$126</definedName>
    <definedName name="PPA_78" localSheetId="6">PPR!$A$1:$P$201</definedName>
    <definedName name="PPA_78" localSheetId="4">Ship!$W$1:$X$3982</definedName>
    <definedName name="PPA_79" localSheetId="5">'Dock PPR'!$A$1:$A$117</definedName>
    <definedName name="PPA_79" localSheetId="6">PPR!$A$1:$P$201</definedName>
    <definedName name="PPA_79" localSheetId="4">Ship!$W$1:$X$3982</definedName>
    <definedName name="PPA_8" localSheetId="5">'Dock PPR'!$A$1:$A$716</definedName>
    <definedName name="PPA_8" localSheetId="6">PPR!$A$1:$P$201</definedName>
    <definedName name="PPA_8" localSheetId="4">Ship!$W$1:$X$3190</definedName>
    <definedName name="PPA_80" localSheetId="5">'Dock PPR'!$A$1:$A$94</definedName>
    <definedName name="PPA_80" localSheetId="6">PPR!$A$1:$P$201</definedName>
    <definedName name="PPA_80" localSheetId="4">Ship!$W$1:$X$3982</definedName>
    <definedName name="PPA_81" localSheetId="6">PPR!$A$1:$P$201</definedName>
    <definedName name="PPA_81" localSheetId="4">Ship!$W$1:$X$3982</definedName>
    <definedName name="PPA_82" localSheetId="5">'Dock PPR'!$A$1:$A$116</definedName>
    <definedName name="PPA_82" localSheetId="6">PPR!$A$1:$P$201</definedName>
    <definedName name="PPA_83" localSheetId="5">'Dock PPR'!$A$1:$A$111</definedName>
    <definedName name="PPA_83" localSheetId="6">PPR!$A$1:$P$201</definedName>
    <definedName name="PPA_83" localSheetId="4">Ship!$W$1:$X$3982</definedName>
    <definedName name="PPA_84" localSheetId="5">'Dock PPR'!$A$1:$A$95</definedName>
    <definedName name="PPA_84" localSheetId="6">PPR!$A$1:$P$201</definedName>
    <definedName name="PPA_84" localSheetId="4">Ship!$W$1:$X$3966</definedName>
    <definedName name="PPA_85" localSheetId="5">'Dock PPR'!$A$1:$A$63</definedName>
    <definedName name="PPA_85" localSheetId="6">PPR!$A$1:$P$201</definedName>
    <definedName name="PPA_85" localSheetId="4">Ship!$W$1:$X$3974</definedName>
    <definedName name="PPA_86" localSheetId="5">'Dock PPR'!$A$1:$A$40</definedName>
    <definedName name="PPA_86" localSheetId="6">PPR!$A$1:$P$201</definedName>
    <definedName name="PPA_87" localSheetId="5">'Dock PPR'!$A$1:$A$4</definedName>
    <definedName name="PPA_87" localSheetId="6">PPR!$A$1:$P$201</definedName>
    <definedName name="PPA_87" localSheetId="4">Ship!$W$1:$X$3926</definedName>
    <definedName name="PPA_88" localSheetId="5">'Dock PPR'!$A$1:$A$148</definedName>
    <definedName name="PPA_88" localSheetId="6">PPR!$A$1:$P$201</definedName>
    <definedName name="PPA_88" localSheetId="4">Ship!$W$1:$X$3926</definedName>
    <definedName name="PPA_89" localSheetId="5">'Dock PPR'!$A$1:$A$100</definedName>
    <definedName name="PPA_89" localSheetId="6">PPR!$A$1:$P$201</definedName>
    <definedName name="PPA_89" localSheetId="4">Ship!$W$1</definedName>
    <definedName name="PPA_9" localSheetId="5">'Dock PPR'!$A$1:$A$779</definedName>
    <definedName name="PPA_9" localSheetId="6">PPR!$A$1:$P$201</definedName>
    <definedName name="PPA_9" localSheetId="4">Ship!$W$1:$X$3190</definedName>
    <definedName name="PPA_90" localSheetId="5">'Dock PPR'!$A$1:$A$134</definedName>
    <definedName name="PPA_90" localSheetId="6">PPR!$A$1:$P$201</definedName>
    <definedName name="PPA_90" localSheetId="4">Ship!$W$1:$X$3926</definedName>
    <definedName name="PPA_91" localSheetId="5">'Dock PPR'!$A$1:$A$99</definedName>
    <definedName name="PPA_91" localSheetId="6">PPR!$A$1:$P$201</definedName>
    <definedName name="PPA_91" localSheetId="4">Ship!$W$1:$X$3926</definedName>
    <definedName name="PPA_92" localSheetId="5">'Dock PPR'!$A$1:$A$122</definedName>
    <definedName name="PPA_92" localSheetId="6">PPR!$A$1:$P$201</definedName>
    <definedName name="PPA_92" localSheetId="4">Ship!$W$1:$X$3926</definedName>
    <definedName name="PPA_93" localSheetId="5">'Dock PPR'!$A$1:$A$81</definedName>
    <definedName name="PPA_93" localSheetId="6">PPR!$A$1:$P$201</definedName>
    <definedName name="PPA_93" localSheetId="4">Ship!$W$1:$X$3926</definedName>
    <definedName name="PPA_94" localSheetId="5">'Dock PPR'!$A$1:$A$79</definedName>
    <definedName name="PPA_94" localSheetId="6">PPR!$A$1:$P$201</definedName>
    <definedName name="PPA_94" localSheetId="4">Ship!$W$1:$X$3926</definedName>
    <definedName name="PPA_95" localSheetId="5">'Dock PPR'!$A$1:$A$121</definedName>
    <definedName name="PPA_95" localSheetId="4">Ship!$W$1:$X$3926</definedName>
    <definedName name="PPA_96" localSheetId="5">'Dock PPR'!$A$1:$A$97</definedName>
    <definedName name="PPA_96" localSheetId="6">PPR!$A$1:$P$201</definedName>
    <definedName name="PPA_96" localSheetId="4">Ship!$W$1:$X$3910</definedName>
    <definedName name="PPA_97" localSheetId="5">'Dock PPR'!$A$1:$A$137</definedName>
    <definedName name="PPA_97" localSheetId="6">PPR!$A$1:$P$201</definedName>
    <definedName name="PPA_97" localSheetId="4">Ship!$W$1:$X$3910</definedName>
    <definedName name="PPA_98" localSheetId="5">'Dock PPR'!$A$1:$A$114</definedName>
    <definedName name="PPA_98" localSheetId="6">PPR!$A$1:$P$201</definedName>
    <definedName name="PPA_98" localSheetId="4">Ship!$W$1:$X$3910</definedName>
    <definedName name="PPA_99" localSheetId="5">'Dock PPR'!$A$1:$A$126</definedName>
    <definedName name="PPA_99" localSheetId="6">PPR!$A$1:$P$201</definedName>
    <definedName name="PPA_99" localSheetId="4">Ship!$W$1:$X$3910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9" i="8" l="1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G15" i="2"/>
  <c r="C5" i="2" l="1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J21" i="14" l="1"/>
  <c r="D13" i="14" l="1"/>
  <c r="B2" i="14"/>
  <c r="H19" i="14"/>
  <c r="D19" i="14"/>
  <c r="D18" i="14"/>
  <c r="D17" i="14"/>
  <c r="D16" i="14"/>
  <c r="D26" i="14" s="1"/>
  <c r="D15" i="14"/>
  <c r="D25" i="14" s="1"/>
  <c r="D14" i="14"/>
  <c r="H12" i="14"/>
  <c r="D12" i="14"/>
  <c r="P10" i="14"/>
  <c r="D10" i="14"/>
  <c r="H9" i="14"/>
  <c r="D9" i="14"/>
  <c r="D8" i="14"/>
  <c r="H8" i="14" s="1"/>
  <c r="D6" i="14"/>
  <c r="B6" i="14"/>
  <c r="J5" i="14"/>
  <c r="D5" i="14"/>
  <c r="B5" i="14"/>
  <c r="C6" i="2"/>
  <c r="H10" i="14" l="1"/>
  <c r="D20" i="14"/>
  <c r="A20" i="14"/>
  <c r="D23" i="14"/>
  <c r="J23" i="14" l="1"/>
  <c r="J25" i="14"/>
  <c r="H17" i="14" l="1"/>
  <c r="D24" i="14"/>
  <c r="D22" i="14"/>
  <c r="H13" i="14"/>
  <c r="H16" i="14"/>
  <c r="H14" i="14"/>
  <c r="B6" i="2"/>
  <c r="B5" i="2"/>
  <c r="D5" i="2" s="1"/>
  <c r="E4" i="2"/>
  <c r="D4" i="2" s="1"/>
  <c r="B4" i="2"/>
  <c r="E3" i="2"/>
  <c r="D3" i="2" s="1"/>
  <c r="B3" i="2"/>
  <c r="G34" i="2"/>
  <c r="G33" i="2"/>
  <c r="G32" i="2"/>
  <c r="G31" i="2"/>
  <c r="G30" i="2"/>
  <c r="G29" i="2"/>
  <c r="K28" i="2"/>
  <c r="G28" i="2"/>
  <c r="G27" i="2"/>
  <c r="I26" i="2"/>
  <c r="G26" i="2"/>
  <c r="I25" i="2"/>
  <c r="G25" i="2"/>
  <c r="I24" i="2"/>
  <c r="G24" i="2"/>
  <c r="I23" i="2"/>
  <c r="G23" i="2"/>
  <c r="I22" i="2"/>
  <c r="G22" i="2"/>
  <c r="I21" i="2"/>
  <c r="G21" i="2"/>
  <c r="I20" i="2"/>
  <c r="G20" i="2"/>
  <c r="I19" i="2"/>
  <c r="G19" i="2"/>
  <c r="I18" i="2"/>
  <c r="G18" i="2"/>
  <c r="I17" i="2"/>
  <c r="G17" i="2"/>
  <c r="I16" i="2"/>
  <c r="G16" i="2"/>
  <c r="I15" i="2"/>
  <c r="D11" i="2"/>
  <c r="C11" i="2"/>
  <c r="B11" i="2"/>
  <c r="H15" i="14" l="1"/>
  <c r="H20" i="14" s="1"/>
  <c r="C4" i="2"/>
  <c r="E6" i="2"/>
  <c r="D6" i="2"/>
  <c r="E5" i="2" l="1"/>
  <c r="C3" i="2"/>
  <c r="B1" i="2" s="1"/>
  <c r="B2" i="2" l="1"/>
  <c r="B8" i="2"/>
  <c r="B7" i="2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2" type="4" refreshedVersion="0" deleted="1" background="1" saveData="1">
    <webPr htmlTables="1" htmlFormat="all"/>
  </connection>
  <connection id="4" name="Connection3" type="4" refreshedVersion="0" deleted="1" background="1" saveData="1">
    <webPr htmlTables="1" htmlFormat="all"/>
  </connection>
  <connection id="5" name="Connection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<sst xmlns="http://schemas.openxmlformats.org/spreadsheetml/2006/main" count="13584" uniqueCount="5894">
  <si>
    <t>Flats</t>
  </si>
  <si>
    <t>Ship</t>
  </si>
  <si>
    <t>Start Date</t>
  </si>
  <si>
    <t>End Date</t>
  </si>
  <si>
    <t>Start Time</t>
  </si>
  <si>
    <t>End Time</t>
  </si>
  <si>
    <t>PPR</t>
  </si>
  <si>
    <t>Dock PPR</t>
  </si>
  <si>
    <t>FC</t>
  </si>
  <si>
    <t>TimeZone</t>
  </si>
  <si>
    <t>For Timezone Input:</t>
  </si>
  <si>
    <t>Spurs</t>
  </si>
  <si>
    <t>Doors</t>
  </si>
  <si>
    <t>EST</t>
  </si>
  <si>
    <t>S0101: Success</t>
  </si>
  <si>
    <t>S0109: Success</t>
  </si>
  <si>
    <t>CST</t>
  </si>
  <si>
    <t>S0102: Success</t>
  </si>
  <si>
    <t>S0110: Success</t>
  </si>
  <si>
    <t>MST</t>
  </si>
  <si>
    <t>S0103: Success</t>
  </si>
  <si>
    <t>S0113: Success</t>
  </si>
  <si>
    <t>PST</t>
  </si>
  <si>
    <t>S0104: Success</t>
  </si>
  <si>
    <t>S0114: Success</t>
  </si>
  <si>
    <t>S0105: Success</t>
  </si>
  <si>
    <t>S0122: Success</t>
  </si>
  <si>
    <t>Sorter Edit (If your FC is not pulling Ship Sorter data, select the alternate)</t>
  </si>
  <si>
    <t>S0106: Success</t>
  </si>
  <si>
    <t>S0123: Success</t>
  </si>
  <si>
    <t>ShippingSorterController</t>
  </si>
  <si>
    <t>S0107: Success</t>
  </si>
  <si>
    <t>S0125: Success</t>
  </si>
  <si>
    <t>FlatsRouterController</t>
  </si>
  <si>
    <t>S0108: Success</t>
  </si>
  <si>
    <t>S0127: Success</t>
  </si>
  <si>
    <t>ShippingRouterController</t>
  </si>
  <si>
    <t>S0111: Success</t>
  </si>
  <si>
    <t>S0129: Success</t>
  </si>
  <si>
    <t>S0112: Success</t>
  </si>
  <si>
    <t>S0130: Success</t>
  </si>
  <si>
    <t>FlatSorterController</t>
  </si>
  <si>
    <t>S0115: Success</t>
  </si>
  <si>
    <t>S0131: Success</t>
  </si>
  <si>
    <t>S0116: Success</t>
  </si>
  <si>
    <t>S0132: Success</t>
  </si>
  <si>
    <t>S0117: Success</t>
  </si>
  <si>
    <t>S0118: Success</t>
  </si>
  <si>
    <t>S0119: Success</t>
  </si>
  <si>
    <t>S0120: Success</t>
  </si>
  <si>
    <t>S0121: Success</t>
  </si>
  <si>
    <t>S0124: Success</t>
  </si>
  <si>
    <t>S0126: Success</t>
  </si>
  <si>
    <t>S0128: Success</t>
  </si>
  <si>
    <t>Start Date/Time</t>
  </si>
  <si>
    <t>End Date/Time</t>
  </si>
  <si>
    <t>Performance - Actual</t>
  </si>
  <si>
    <t>Performance - Plan</t>
  </si>
  <si>
    <t>OB Volume</t>
  </si>
  <si>
    <t xml:space="preserve">Ship Dock </t>
  </si>
  <si>
    <t>OB Dock Hours</t>
  </si>
  <si>
    <t>Dock Hours</t>
  </si>
  <si>
    <t>Dock Rate</t>
  </si>
  <si>
    <t>Dock Hours Breakdown - Actual (Hrs Used)</t>
  </si>
  <si>
    <t>Dock Hours Breakdown - Plan (Hrs Exp)</t>
  </si>
  <si>
    <t>TDR Operator</t>
  </si>
  <si>
    <t>Dock Palletize</t>
  </si>
  <si>
    <t>Flat Induct</t>
  </si>
  <si>
    <t>Flat Waterspider</t>
  </si>
  <si>
    <t>Pallet Loader</t>
  </si>
  <si>
    <t>Fluid Loading</t>
  </si>
  <si>
    <t>Outbound Dock Crew</t>
  </si>
  <si>
    <t>Shipping Clerk</t>
  </si>
  <si>
    <t>Total Hours</t>
  </si>
  <si>
    <t>Ship Dock</t>
  </si>
  <si>
    <t>Dock Process Rates - Actual (UPH)</t>
  </si>
  <si>
    <t>Dock Process Rates - Plan</t>
  </si>
  <si>
    <t>Flats Induct</t>
  </si>
  <si>
    <t>Pallet Waterspider</t>
  </si>
  <si>
    <t>Name</t>
  </si>
  <si>
    <t>Units</t>
  </si>
  <si>
    <t xml:space="preserve"> </t>
  </si>
  <si>
    <t>Process Name</t>
  </si>
  <si>
    <t>Function Name</t>
  </si>
  <si>
    <t>Employee Type</t>
  </si>
  <si>
    <t>Employee Id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</si>
  <si>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</si>
  <si>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</si>
  <si>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</si>
  <si>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</si>
  <si>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</si>
  <si>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</si>
  <si>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</si>
  <si>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</si>
  <si>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</si>
  <si>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</si>
  <si>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Size</t>
  </si>
  <si>
    <t>UPH</t>
  </si>
  <si>
    <t>AMZN</t>
  </si>
  <si>
    <t>Directed_Palletize</t>
  </si>
  <si>
    <t>Anonymous</t>
  </si>
  <si>
    <t>PackagePalletized</t>
  </si>
  <si>
    <t>Package</t>
  </si>
  <si>
    <t>Total</t>
  </si>
  <si>
    <t>Pallet</t>
  </si>
  <si>
    <t>EACH</t>
  </si>
  <si>
    <t>Process Path Rollup</t>
  </si>
  <si>
    <t xml:space="preserve">Warehouse </t>
  </si>
  <si>
    <t>Report Date Range Day Week Month</t>
  </si>
  <si>
    <t>Intraday</t>
  </si>
  <si>
    <t>to</t>
  </si>
  <si>
    <t xml:space="preserve">Options Adjust Plan Hours for Intraday ? Hide Empty Line Items </t>
  </si>
  <si>
    <t>View Legacy Version CSVHTML</t>
  </si>
  <si>
    <t>Actual</t>
  </si>
  <si>
    <t>Plan</t>
  </si>
  <si>
    <t>YOY Improvement</t>
  </si>
  <si>
    <t>Main Processes</t>
  </si>
  <si>
    <t>Core Processes</t>
  </si>
  <si>
    <t>Line Items</t>
  </si>
  <si>
    <t>Unit</t>
  </si>
  <si>
    <t>Vol</t>
  </si>
  <si>
    <t>Hrs</t>
  </si>
  <si>
    <t>Rate</t>
  </si>
  <si>
    <t>Δ to Plan (Hrs)</t>
  </si>
  <si>
    <t>% to Plan</t>
  </si>
  <si>
    <t>PY Volume (Base)</t>
  </si>
  <si>
    <t>PY Rate</t>
  </si>
  <si>
    <t>Hrs @ CY Rate</t>
  </si>
  <si>
    <t>Hrs @ PY Rate</t>
  </si>
  <si>
    <t>YOY %</t>
  </si>
  <si>
    <t>Inbound</t>
  </si>
  <si>
    <t>Receive</t>
  </si>
  <si>
    <t xml:space="preserve">Receive Dock </t>
  </si>
  <si>
    <t>-</t>
  </si>
  <si>
    <t xml:space="preserve">Each Receive - Small </t>
  </si>
  <si>
    <t xml:space="preserve">Each Receive - Medium </t>
  </si>
  <si>
    <t xml:space="preserve">Each Receive - Large </t>
  </si>
  <si>
    <t xml:space="preserve">Each Receive - Heavy/Bulky </t>
  </si>
  <si>
    <t xml:space="preserve">Each Receive - Total </t>
  </si>
  <si>
    <t xml:space="preserve">Each To Bin - Small </t>
  </si>
  <si>
    <t xml:space="preserve">Each To Bin - Medium </t>
  </si>
  <si>
    <t xml:space="preserve">Each To Bin - Large </t>
  </si>
  <si>
    <t xml:space="preserve">Each To Bin - Heavy/Bulky </t>
  </si>
  <si>
    <t xml:space="preserve">Each To Bin - Total </t>
  </si>
  <si>
    <t xml:space="preserve">Case Receive </t>
  </si>
  <si>
    <t>Case</t>
  </si>
  <si>
    <t xml:space="preserve">LP Receive </t>
  </si>
  <si>
    <t xml:space="preserve">Pallet Receive </t>
  </si>
  <si>
    <t xml:space="preserve">Receive Support </t>
  </si>
  <si>
    <t xml:space="preserve">Receive - Total </t>
  </si>
  <si>
    <t>Transfer In and Stow</t>
  </si>
  <si>
    <t xml:space="preserve">Transfer In Decant </t>
  </si>
  <si>
    <t xml:space="preserve">Each Transfer In - Small </t>
  </si>
  <si>
    <t xml:space="preserve">Each Transfer In - Medium </t>
  </si>
  <si>
    <t xml:space="preserve">Each Transfer In - Large </t>
  </si>
  <si>
    <t xml:space="preserve">Each Transfer In - Heavy/Bulky </t>
  </si>
  <si>
    <t xml:space="preserve">Each Transfer In - Total </t>
  </si>
  <si>
    <t xml:space="preserve">Case Transfer In </t>
  </si>
  <si>
    <t xml:space="preserve">Pallet Transfer In </t>
  </si>
  <si>
    <t xml:space="preserve">Transfer In Support </t>
  </si>
  <si>
    <t xml:space="preserve">Transfer In - Total </t>
  </si>
  <si>
    <t>IB Prep</t>
  </si>
  <si>
    <t xml:space="preserve">Cubiscan </t>
  </si>
  <si>
    <t xml:space="preserve">Sample Center </t>
  </si>
  <si>
    <t xml:space="preserve">Prep Recorder - Small </t>
  </si>
  <si>
    <t xml:space="preserve">Prep Recorder - Medium </t>
  </si>
  <si>
    <t xml:space="preserve">Prep Recorder - Large </t>
  </si>
  <si>
    <t xml:space="preserve">Prep Recorder - Heavy/Bulky </t>
  </si>
  <si>
    <t xml:space="preserve">Prep Recorder - Total </t>
  </si>
  <si>
    <t xml:space="preserve">Prep Support </t>
  </si>
  <si>
    <t xml:space="preserve">Prep - Total </t>
  </si>
  <si>
    <t>Stow to Prime</t>
  </si>
  <si>
    <t xml:space="preserve">Each Stow To Prime - Small </t>
  </si>
  <si>
    <t xml:space="preserve">Each Stow To Prime - Medium </t>
  </si>
  <si>
    <t xml:space="preserve">Each Stow To Prime - Large </t>
  </si>
  <si>
    <t xml:space="preserve">Each Stow To Prime - Heavy/Bulky </t>
  </si>
  <si>
    <t xml:space="preserve">Each Stow to Prime - Total </t>
  </si>
  <si>
    <t xml:space="preserve">Case Stow to Prime </t>
  </si>
  <si>
    <t xml:space="preserve">Pallet Stow to Prime </t>
  </si>
  <si>
    <t xml:space="preserve">Stow to Prime Support </t>
  </si>
  <si>
    <t xml:space="preserve">Stow to Prime - Total </t>
  </si>
  <si>
    <t>RSR</t>
  </si>
  <si>
    <t xml:space="preserve">Case Stow to Reserve </t>
  </si>
  <si>
    <t xml:space="preserve">Case Replenishment </t>
  </si>
  <si>
    <t>CASE</t>
  </si>
  <si>
    <t xml:space="preserve">Pallet Stow Reserve </t>
  </si>
  <si>
    <t xml:space="preserve">Pallet Replenishment </t>
  </si>
  <si>
    <t>PALLET</t>
  </si>
  <si>
    <t xml:space="preserve">RSR Support </t>
  </si>
  <si>
    <t xml:space="preserve">RSR - Total </t>
  </si>
  <si>
    <t>IB Lead/PA</t>
  </si>
  <si>
    <t xml:space="preserve">IB Lead/PA </t>
  </si>
  <si>
    <t>IB Defect</t>
  </si>
  <si>
    <t xml:space="preserve">IB Problem Solve </t>
  </si>
  <si>
    <t>TOTAL</t>
  </si>
  <si>
    <t xml:space="preserve">IB Total </t>
  </si>
  <si>
    <t>DA - Building to Building Transfer</t>
  </si>
  <si>
    <t>RC Stow</t>
  </si>
  <si>
    <t xml:space="preserve">RC Case Stow </t>
  </si>
  <si>
    <t xml:space="preserve">RC Pallet Stow </t>
  </si>
  <si>
    <t>RC Pick</t>
  </si>
  <si>
    <t xml:space="preserve">RC Pick - Library </t>
  </si>
  <si>
    <t xml:space="preserve">RC Pick - Pallet Rack </t>
  </si>
  <si>
    <t>RC Sort</t>
  </si>
  <si>
    <t xml:space="preserve">RC Presort Cases </t>
  </si>
  <si>
    <t xml:space="preserve">RC Sort - Small </t>
  </si>
  <si>
    <t xml:space="preserve">RC Sort - Medium </t>
  </si>
  <si>
    <t xml:space="preserve">RC Sort - Large </t>
  </si>
  <si>
    <t xml:space="preserve">RC Sort - Heavy/Bulky </t>
  </si>
  <si>
    <t xml:space="preserve">RC Sort - Total </t>
  </si>
  <si>
    <t>Transfer Out Pick</t>
  </si>
  <si>
    <t xml:space="preserve">Transfer Out Pick - Small </t>
  </si>
  <si>
    <t xml:space="preserve">Transfer Out Pick - Medium </t>
  </si>
  <si>
    <t xml:space="preserve">Transfer Out Pick - Large </t>
  </si>
  <si>
    <t xml:space="preserve">Transfer Out Pick - Heavy/Bulky </t>
  </si>
  <si>
    <t xml:space="preserve">Transfer Out Pick - Total </t>
  </si>
  <si>
    <t>Transfer Out</t>
  </si>
  <si>
    <t xml:space="preserve">Transfer Out </t>
  </si>
  <si>
    <t>Transfer Out Dock</t>
  </si>
  <si>
    <t xml:space="preserve">Transfer Out Dock </t>
  </si>
  <si>
    <t>TO Lead/PA</t>
  </si>
  <si>
    <t xml:space="preserve">TO Lead/PA </t>
  </si>
  <si>
    <t>TO Defect</t>
  </si>
  <si>
    <t xml:space="preserve">TO Problem Solve </t>
  </si>
  <si>
    <t xml:space="preserve">DA Bldg to Bldg Transfer TOTAL </t>
  </si>
  <si>
    <t>Outbound</t>
  </si>
  <si>
    <t>Pick</t>
  </si>
  <si>
    <t xml:space="preserve">Pick - Small </t>
  </si>
  <si>
    <t xml:space="preserve">Pick - Medium </t>
  </si>
  <si>
    <t xml:space="preserve">Pick - Large </t>
  </si>
  <si>
    <t xml:space="preserve">Pick - Heavy/Bulky </t>
  </si>
  <si>
    <t xml:space="preserve">Pick - Total </t>
  </si>
  <si>
    <t xml:space="preserve">Pick Support </t>
  </si>
  <si>
    <t xml:space="preserve">Pick Total (Incl. Support) </t>
  </si>
  <si>
    <t>Sort</t>
  </si>
  <si>
    <t xml:space="preserve">Batch Sort - Small </t>
  </si>
  <si>
    <t xml:space="preserve">Batch Sort - Medium </t>
  </si>
  <si>
    <t xml:space="preserve">Batch Sort - Large </t>
  </si>
  <si>
    <t xml:space="preserve">Batch Sort - Heavy/Bulky </t>
  </si>
  <si>
    <t xml:space="preserve">Batch Sort - Total </t>
  </si>
  <si>
    <t xml:space="preserve">Flow Sort - Small </t>
  </si>
  <si>
    <t xml:space="preserve">Flow Sort - Medium </t>
  </si>
  <si>
    <t xml:space="preserve">Flow Sort - Large </t>
  </si>
  <si>
    <t xml:space="preserve">Flow Sort - Heavy/Bulky </t>
  </si>
  <si>
    <t xml:space="preserve">Flow Sort - Total </t>
  </si>
  <si>
    <t xml:space="preserve">Sort Support </t>
  </si>
  <si>
    <t xml:space="preserve">Sort - Total </t>
  </si>
  <si>
    <t>Pack</t>
  </si>
  <si>
    <t xml:space="preserve">Chutings - Small </t>
  </si>
  <si>
    <t xml:space="preserve">Chutings - Medium </t>
  </si>
  <si>
    <t xml:space="preserve">Chutings - Large </t>
  </si>
  <si>
    <t xml:space="preserve">Chutings - Heavy/Bulky </t>
  </si>
  <si>
    <t xml:space="preserve">Pack Chuting - Total </t>
  </si>
  <si>
    <t xml:space="preserve">Auto Slam </t>
  </si>
  <si>
    <t xml:space="preserve">Pack - Autobox </t>
  </si>
  <si>
    <t xml:space="preserve">Pack - Lev/Autofold </t>
  </si>
  <si>
    <t xml:space="preserve">Pack Singles - Small </t>
  </si>
  <si>
    <t xml:space="preserve">Pack Singles - Medium </t>
  </si>
  <si>
    <t xml:space="preserve">Pack Singles - Large </t>
  </si>
  <si>
    <t xml:space="preserve">Pack Singles - Heavy/Bulky </t>
  </si>
  <si>
    <t xml:space="preserve">Pack Singles - Total </t>
  </si>
  <si>
    <t xml:space="preserve">Pack Multis - Small </t>
  </si>
  <si>
    <t xml:space="preserve">Pack Multis - Medium </t>
  </si>
  <si>
    <t xml:space="preserve">Pack Multis - Large </t>
  </si>
  <si>
    <t xml:space="preserve">Pack Multis - Heavy/Bulky </t>
  </si>
  <si>
    <t xml:space="preserve">Pack Multis - Total </t>
  </si>
  <si>
    <t xml:space="preserve">Pack Support </t>
  </si>
  <si>
    <t>Outbound Prep</t>
  </si>
  <si>
    <t xml:space="preserve">Giftwrap </t>
  </si>
  <si>
    <t xml:space="preserve">Partner Prep </t>
  </si>
  <si>
    <t xml:space="preserve">Library Services </t>
  </si>
  <si>
    <t xml:space="preserve">Custom Packaging </t>
  </si>
  <si>
    <t xml:space="preserve">Pack and OB Prep Total </t>
  </si>
  <si>
    <t>OB Lead/PA</t>
  </si>
  <si>
    <t xml:space="preserve">OB Lead/PA </t>
  </si>
  <si>
    <t>OB Defect</t>
  </si>
  <si>
    <t xml:space="preserve">OB Problem Solve </t>
  </si>
  <si>
    <t xml:space="preserve">OB TOTAL </t>
  </si>
  <si>
    <t>Reverse Logistics</t>
  </si>
  <si>
    <t>C-Return</t>
  </si>
  <si>
    <t xml:space="preserve">C-Returns Processed - Small </t>
  </si>
  <si>
    <t xml:space="preserve">C-Returns Processed - Medium </t>
  </si>
  <si>
    <t xml:space="preserve">C-Returns Processed - Large </t>
  </si>
  <si>
    <t xml:space="preserve">C-Returns Processed - Heavy/Bulky </t>
  </si>
  <si>
    <t xml:space="preserve">C-Return Processed - Total </t>
  </si>
  <si>
    <t xml:space="preserve">C-Return Stow - Small </t>
  </si>
  <si>
    <t xml:space="preserve">C-Return Stow - Medium </t>
  </si>
  <si>
    <t xml:space="preserve">C-Return Stow - Large </t>
  </si>
  <si>
    <t xml:space="preserve">C-Return Stow - Heavy/Bulky </t>
  </si>
  <si>
    <t xml:space="preserve">C-Return Stow - Total </t>
  </si>
  <si>
    <t xml:space="preserve">C-Return Support </t>
  </si>
  <si>
    <t xml:space="preserve">Customer Returns - Total </t>
  </si>
  <si>
    <t>V-Return</t>
  </si>
  <si>
    <t xml:space="preserve">V-Return Pick - Small </t>
  </si>
  <si>
    <t xml:space="preserve">V-Return Pick - Medium </t>
  </si>
  <si>
    <t xml:space="preserve">V-Return Pick - Large </t>
  </si>
  <si>
    <t xml:space="preserve">V-Return Pick - Heavy/Bulky </t>
  </si>
  <si>
    <t xml:space="preserve">V-Return Pick - Total </t>
  </si>
  <si>
    <t xml:space="preserve">V-Return Pack - Small </t>
  </si>
  <si>
    <t xml:space="preserve">V-Return Pack - Medium </t>
  </si>
  <si>
    <t xml:space="preserve">V-Return Pack - Large </t>
  </si>
  <si>
    <t xml:space="preserve">V-Return Pack - Heavy/Bulky </t>
  </si>
  <si>
    <t xml:space="preserve">V-Return Pack - Total </t>
  </si>
  <si>
    <t xml:space="preserve">V-Return Support </t>
  </si>
  <si>
    <t xml:space="preserve">Vendor Returns - Total </t>
  </si>
  <si>
    <t>Warehouse Deals</t>
  </si>
  <si>
    <t xml:space="preserve">WHD Grading </t>
  </si>
  <si>
    <t xml:space="preserve">WHD Specialty Grading </t>
  </si>
  <si>
    <t xml:space="preserve">WHD Support </t>
  </si>
  <si>
    <t xml:space="preserve">Warehouse Deals - Total </t>
  </si>
  <si>
    <t>External Repairs</t>
  </si>
  <si>
    <t xml:space="preserve">External Repair Prep </t>
  </si>
  <si>
    <t xml:space="preserve">External Repair Support </t>
  </si>
  <si>
    <t xml:space="preserve">External Repair - Total </t>
  </si>
  <si>
    <t>Trade In</t>
  </si>
  <si>
    <t xml:space="preserve">Trade In Grading </t>
  </si>
  <si>
    <t xml:space="preserve">Trade In Support </t>
  </si>
  <si>
    <t xml:space="preserve">Trade In - Total </t>
  </si>
  <si>
    <t>Kindle Diagnostics</t>
  </si>
  <si>
    <t xml:space="preserve">Kindle Diagnostics </t>
  </si>
  <si>
    <t xml:space="preserve">REVERSE LOGISTICS TOTAL </t>
  </si>
  <si>
    <t>On-Demand</t>
  </si>
  <si>
    <t>On Demand</t>
  </si>
  <si>
    <t xml:space="preserve">Print On Demand </t>
  </si>
  <si>
    <t xml:space="preserve">Disc On Demand </t>
  </si>
  <si>
    <t xml:space="preserve">Create Your Own Ring (CYOR) </t>
  </si>
  <si>
    <t>Support</t>
  </si>
  <si>
    <t xml:space="preserve">Admin/HR/IT </t>
  </si>
  <si>
    <t xml:space="preserve">On Boarding </t>
  </si>
  <si>
    <t xml:space="preserve">AR Support </t>
  </si>
  <si>
    <t xml:space="preserve">Non_FC_Controllable </t>
  </si>
  <si>
    <t xml:space="preserve">IC/QA/CS </t>
  </si>
  <si>
    <t xml:space="preserve">Facilities </t>
  </si>
  <si>
    <t>Transport</t>
  </si>
  <si>
    <t>AmTran</t>
  </si>
  <si>
    <t xml:space="preserve">Amtran In </t>
  </si>
  <si>
    <t xml:space="preserve">Amtran Sortation </t>
  </si>
  <si>
    <t xml:space="preserve">Amtran Out </t>
  </si>
  <si>
    <t>FC Summary</t>
  </si>
  <si>
    <t xml:space="preserve">Vendor Rec (incl. Stow+Prep+RSR) </t>
  </si>
  <si>
    <t xml:space="preserve">Transfer-In </t>
  </si>
  <si>
    <t xml:space="preserve">Total Inbound </t>
  </si>
  <si>
    <t xml:space="preserve">Outbound </t>
  </si>
  <si>
    <t xml:space="preserve">Transfer-Out </t>
  </si>
  <si>
    <t xml:space="preserve">Reverse Logistics </t>
  </si>
  <si>
    <t xml:space="preserve">On Demand </t>
  </si>
  <si>
    <t xml:space="preserve">Support </t>
  </si>
  <si>
    <t xml:space="preserve">Transport </t>
  </si>
  <si>
    <t xml:space="preserve">THROUGHPUT </t>
  </si>
  <si>
    <t>RC Summary</t>
  </si>
  <si>
    <t xml:space="preserve">Inbound </t>
  </si>
  <si>
    <t xml:space="preserve">DA </t>
  </si>
  <si>
    <t>An override is already open. Select from following options to continue:</t>
  </si>
  <si>
    <t>Save the open override</t>
  </si>
  <si>
    <t>Cancel the open override and continue</t>
  </si>
  <si>
    <t>Delete the open override</t>
  </si>
  <si>
    <t>Do not continue</t>
  </si>
  <si>
    <t>DOCK SNAPSHOT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</si>
  <si>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</si>
  <si>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</si>
  <si>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</si>
  <si>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</si>
  <si>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</si>
  <si>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</si>
  <si>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</si>
  <si>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</si>
  <si>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</si>
  <si>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</si>
  <si>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S010101: Success</t>
  </si>
  <si>
    <t>S010102: Success</t>
  </si>
  <si>
    <t>S010104: Success</t>
  </si>
  <si>
    <t>S010105: Success</t>
  </si>
  <si>
    <t>S010106: Success</t>
  </si>
  <si>
    <t>S010107: Success</t>
  </si>
  <si>
    <t>S010108: Success</t>
  </si>
  <si>
    <t>S010110: Success</t>
  </si>
  <si>
    <t>S010111: Success</t>
  </si>
  <si>
    <t>S010112: Success</t>
  </si>
  <si>
    <t>S010113: Success</t>
  </si>
  <si>
    <t>S010114: Success</t>
  </si>
  <si>
    <t>S010115: Success</t>
  </si>
  <si>
    <t>S010116: Success</t>
  </si>
  <si>
    <t>S010117: Success</t>
  </si>
  <si>
    <t>S010118: Success</t>
  </si>
  <si>
    <t>S010119: Success</t>
  </si>
  <si>
    <t>S010120: Success</t>
  </si>
  <si>
    <t>S010121: Success</t>
  </si>
  <si>
    <t>S010122: Success</t>
  </si>
  <si>
    <t>S010123: Success</t>
  </si>
  <si>
    <t>S010124: Success</t>
  </si>
  <si>
    <t>S010125: Success</t>
  </si>
  <si>
    <t>S010126: Success</t>
  </si>
  <si>
    <t>S010127: Success</t>
  </si>
  <si>
    <t>S010128: Success</t>
  </si>
  <si>
    <t>S010129: Success</t>
  </si>
  <si>
    <t>S010130: Success</t>
  </si>
  <si>
    <t>S010131: Success</t>
  </si>
  <si>
    <t>S010132: Success</t>
  </si>
  <si>
    <t>S010133: Success</t>
  </si>
  <si>
    <t>S010134: Success</t>
  </si>
  <si>
    <t>S010201: Success</t>
  </si>
  <si>
    <t>S010203: Success</t>
  </si>
  <si>
    <t>S010204: Success</t>
  </si>
  <si>
    <t>S010205: Success</t>
  </si>
  <si>
    <t>S010206: Success</t>
  </si>
  <si>
    <t>S010207: Success</t>
  </si>
  <si>
    <t>S010208: Success</t>
  </si>
  <si>
    <t>S010209: Success</t>
  </si>
  <si>
    <t>S010210: Success</t>
  </si>
  <si>
    <t>S010211: Success</t>
  </si>
  <si>
    <t>S010212: Success</t>
  </si>
  <si>
    <t>S010213: Success</t>
  </si>
  <si>
    <t>S010214: Success</t>
  </si>
  <si>
    <t>S010215: Success</t>
  </si>
  <si>
    <t>S010216: Success</t>
  </si>
  <si>
    <t>S010217: Success</t>
  </si>
  <si>
    <t>S010219: Success</t>
  </si>
  <si>
    <t>S010221: Success</t>
  </si>
  <si>
    <t>S010222: Success</t>
  </si>
  <si>
    <t>S010223: Success</t>
  </si>
  <si>
    <t>S010224: Success</t>
  </si>
  <si>
    <t>S010301: Success</t>
  </si>
  <si>
    <t>S010303: Success</t>
  </si>
  <si>
    <t>S010304: Success</t>
  </si>
  <si>
    <t>S010305: Success</t>
  </si>
  <si>
    <t>S010306: Success</t>
  </si>
  <si>
    <t>S010307: Success</t>
  </si>
  <si>
    <t>S010308: Success</t>
  </si>
  <si>
    <t>S010309: Success</t>
  </si>
  <si>
    <t>S010310: Success</t>
  </si>
  <si>
    <t>S010311: Success</t>
  </si>
  <si>
    <t>S010312: Success</t>
  </si>
  <si>
    <t>S010313: Success</t>
  </si>
  <si>
    <t>S010314: Success</t>
  </si>
  <si>
    <t>S010315: Success</t>
  </si>
  <si>
    <t>S010317: Success</t>
  </si>
  <si>
    <t>S010318: Success</t>
  </si>
  <si>
    <t>S010319: Success</t>
  </si>
  <si>
    <t>S010320: Success</t>
  </si>
  <si>
    <t>S010321: Success</t>
  </si>
  <si>
    <t>S010322: Success</t>
  </si>
  <si>
    <t>S010323: Success</t>
  </si>
  <si>
    <t>S010325: Success</t>
  </si>
  <si>
    <t>S010326: Success</t>
  </si>
  <si>
    <t>S010327: Success</t>
  </si>
  <si>
    <t>S010328: Success</t>
  </si>
  <si>
    <t>S010329: Success</t>
  </si>
  <si>
    <t>S010341: Success</t>
  </si>
  <si>
    <t>S010401: Success</t>
  </si>
  <si>
    <t>S010411: Success</t>
  </si>
  <si>
    <t>S010413: Success</t>
  </si>
  <si>
    <t>S010415: Success</t>
  </si>
  <si>
    <t>S010417: Success</t>
  </si>
  <si>
    <t>S010419: Success</t>
  </si>
  <si>
    <t>S010421: Success</t>
  </si>
  <si>
    <t>S010423: Success</t>
  </si>
  <si>
    <t>S010425: Success</t>
  </si>
  <si>
    <t>S010427: Success</t>
  </si>
  <si>
    <t>S010429: Success</t>
  </si>
  <si>
    <t>S010502: Success</t>
  </si>
  <si>
    <t>S010504: Success</t>
  </si>
  <si>
    <t>S010506: Success</t>
  </si>
  <si>
    <t>S010508: Success</t>
  </si>
  <si>
    <t>S010510: Success</t>
  </si>
  <si>
    <t>S010512: Success</t>
  </si>
  <si>
    <t>S010514: Success</t>
  </si>
  <si>
    <t>S010518: Success</t>
  </si>
  <si>
    <t>S010520: Success</t>
  </si>
  <si>
    <t>S010532: Success</t>
  </si>
  <si>
    <t>S010533: Success</t>
  </si>
  <si>
    <t>S010538: Success</t>
  </si>
  <si>
    <t>S010539: Success</t>
  </si>
  <si>
    <t>S010540: Success</t>
  </si>
  <si>
    <t>S010542: Success</t>
  </si>
  <si>
    <t>S010543: Success</t>
  </si>
  <si>
    <t>S010544: Success</t>
  </si>
  <si>
    <t>S010546: Success</t>
  </si>
  <si>
    <t>S010547: Success</t>
  </si>
  <si>
    <t>S010548: Success</t>
  </si>
  <si>
    <t>S010550: Success</t>
  </si>
  <si>
    <t>S010551: Success</t>
  </si>
  <si>
    <t>S010552: Success</t>
  </si>
  <si>
    <t>S010601: Success</t>
  </si>
  <si>
    <t>S010602: Success</t>
  </si>
  <si>
    <t>S010603: Success</t>
  </si>
  <si>
    <t>S010604: Success</t>
  </si>
  <si>
    <t>S010605: Success</t>
  </si>
  <si>
    <t>S010606: Success</t>
  </si>
  <si>
    <t>S010608: Success</t>
  </si>
  <si>
    <t>S010609: Success</t>
  </si>
  <si>
    <t>S010611: Success</t>
  </si>
  <si>
    <t>S010612: Success</t>
  </si>
  <si>
    <t>S010613: Success</t>
  </si>
  <si>
    <t>S010614: Success</t>
  </si>
  <si>
    <t>S010616: Success</t>
  </si>
  <si>
    <t>S010617: Success</t>
  </si>
  <si>
    <t>S010618: Success</t>
  </si>
  <si>
    <t>S010619: Success</t>
  </si>
  <si>
    <t>S010620: Success</t>
  </si>
  <si>
    <t>S010621: Success</t>
  </si>
  <si>
    <t>S010622: Success</t>
  </si>
  <si>
    <t>S010623: Success</t>
  </si>
  <si>
    <t>S010624: Success</t>
  </si>
  <si>
    <t>S010625: Success</t>
  </si>
  <si>
    <t>S010626: Success</t>
  </si>
  <si>
    <t>S010627: Success</t>
  </si>
  <si>
    <t>S010630: Success</t>
  </si>
  <si>
    <t>S010701: Success</t>
  </si>
  <si>
    <t>S010702: Success</t>
  </si>
  <si>
    <t>S010703: Success</t>
  </si>
  <si>
    <t>S010704: Success</t>
  </si>
  <si>
    <t>S010705: Success</t>
  </si>
  <si>
    <t>S010706: Success</t>
  </si>
  <si>
    <t>S010707: Success</t>
  </si>
  <si>
    <t>S010708: Success</t>
  </si>
  <si>
    <t>S010709: Success</t>
  </si>
  <si>
    <t>S010710: Success</t>
  </si>
  <si>
    <t>S010711: Success</t>
  </si>
  <si>
    <t>S010712: Success</t>
  </si>
  <si>
    <t>S010713: Success</t>
  </si>
  <si>
    <t>S010714: Success</t>
  </si>
  <si>
    <t>S010715: Success</t>
  </si>
  <si>
    <t>S010716: Success</t>
  </si>
  <si>
    <t>S010717: Success</t>
  </si>
  <si>
    <t>S010718: Success</t>
  </si>
  <si>
    <t>S010719: Success</t>
  </si>
  <si>
    <t>S010720: Success</t>
  </si>
  <si>
    <t>S010721: Success</t>
  </si>
  <si>
    <t>S010722: Success</t>
  </si>
  <si>
    <t>S010723: Success</t>
  </si>
  <si>
    <t>S010724: Success</t>
  </si>
  <si>
    <t>S010725: Success</t>
  </si>
  <si>
    <t>S010726: Success</t>
  </si>
  <si>
    <t>S010803: Success</t>
  </si>
  <si>
    <t>S010804: Success</t>
  </si>
  <si>
    <t>S010809: Success</t>
  </si>
  <si>
    <t>S010810: Success</t>
  </si>
  <si>
    <t>S010815: Success</t>
  </si>
  <si>
    <t>S010816: Success</t>
  </si>
  <si>
    <t>S010821: Success</t>
  </si>
  <si>
    <t>S010822: Success</t>
  </si>
  <si>
    <t>S010831: Success</t>
  </si>
  <si>
    <t>S010833: Success</t>
  </si>
  <si>
    <t>S010834: Success</t>
  </si>
  <si>
    <t>S010837: Success</t>
  </si>
  <si>
    <t>S010840: Success</t>
  </si>
  <si>
    <t>S010852: Success</t>
  </si>
  <si>
    <t>S010855: Success</t>
  </si>
  <si>
    <t>S010858: Success</t>
  </si>
  <si>
    <t>S010861: Success</t>
  </si>
  <si>
    <t>S010864: Success</t>
  </si>
  <si>
    <t>S010873: Success</t>
  </si>
  <si>
    <t>S010876: Success</t>
  </si>
  <si>
    <t>S010879: Success</t>
  </si>
  <si>
    <t>S010882: Success</t>
  </si>
  <si>
    <t>S010885: Success</t>
  </si>
  <si>
    <t>S010888: Success</t>
  </si>
  <si>
    <t>S010891: Success</t>
  </si>
  <si>
    <t>S010894: Success</t>
  </si>
  <si>
    <t>S010903: Success</t>
  </si>
  <si>
    <t>S010906: Success</t>
  </si>
  <si>
    <t>S010909: Success</t>
  </si>
  <si>
    <t>S010912: Success</t>
  </si>
  <si>
    <t>S010915: Success</t>
  </si>
  <si>
    <t>S010918: Success</t>
  </si>
  <si>
    <t>S011002: Success</t>
  </si>
  <si>
    <t>S011005: Success</t>
  </si>
  <si>
    <t>S011011: Success</t>
  </si>
  <si>
    <t>S011017: Success</t>
  </si>
  <si>
    <t>S011020: Success</t>
  </si>
  <si>
    <t>S011023: Success</t>
  </si>
  <si>
    <t>S011026: Success</t>
  </si>
  <si>
    <t>S011029: Success</t>
  </si>
  <si>
    <t>S011032: Success</t>
  </si>
  <si>
    <t>S011035: Success</t>
  </si>
  <si>
    <t>S011038: Success</t>
  </si>
  <si>
    <t>S011044: Success</t>
  </si>
  <si>
    <t>S011050: Success</t>
  </si>
  <si>
    <t>S011056: Success</t>
  </si>
  <si>
    <t>S011062: Success</t>
  </si>
  <si>
    <t>S011103: Success</t>
  </si>
  <si>
    <t>S011110: Success</t>
  </si>
  <si>
    <t>S011116: Success</t>
  </si>
  <si>
    <t>S011122: Success</t>
  </si>
  <si>
    <t>S011128: Success</t>
  </si>
  <si>
    <t>S011134: Success</t>
  </si>
  <si>
    <t>S011140: Success</t>
  </si>
  <si>
    <t>S011146: Success</t>
  </si>
  <si>
    <t>S011152: Success</t>
  </si>
  <si>
    <t>S011158: Success</t>
  </si>
  <si>
    <t>S011164: Success</t>
  </si>
  <si>
    <t>S011188: Success</t>
  </si>
  <si>
    <t>S011194: Success</t>
  </si>
  <si>
    <t>S011200: Success</t>
  </si>
  <si>
    <t>S011206: Success</t>
  </si>
  <si>
    <t>S011212: Success</t>
  </si>
  <si>
    <t>S011224: Success</t>
  </si>
  <si>
    <t>S011229: Success</t>
  </si>
  <si>
    <t>S011230: Success</t>
  </si>
  <si>
    <t>S011235: Success</t>
  </si>
  <si>
    <t>S011236: Success</t>
  </si>
  <si>
    <t>S011241: Success</t>
  </si>
  <si>
    <t>S011247: Success</t>
  </si>
  <si>
    <t>S011248: Success</t>
  </si>
  <si>
    <t>S011253: Success</t>
  </si>
  <si>
    <t>S011254: Success</t>
  </si>
  <si>
    <t>S011259: Success</t>
  </si>
  <si>
    <t>S011260: Success</t>
  </si>
  <si>
    <t>S011266: Success</t>
  </si>
  <si>
    <t>S011283: Success</t>
  </si>
  <si>
    <t>S011284: Success</t>
  </si>
  <si>
    <t>S011289: Success</t>
  </si>
  <si>
    <t>S011295: Success</t>
  </si>
  <si>
    <t>S011296: Success</t>
  </si>
  <si>
    <t>S011301: Success</t>
  </si>
  <si>
    <t>S011302: Success</t>
  </si>
  <si>
    <t>S011308: Success</t>
  </si>
  <si>
    <t>S011314: Success</t>
  </si>
  <si>
    <t>S011320: Success</t>
  </si>
  <si>
    <t>S011326: Success</t>
  </si>
  <si>
    <t>Fluid Load Volume</t>
  </si>
  <si>
    <t>Palletize Volume</t>
  </si>
  <si>
    <t>Per Diverts in AWCS</t>
  </si>
  <si>
    <t>Flats Volume</t>
  </si>
  <si>
    <t>nodeId</t>
  </si>
  <si>
    <t>sorterId</t>
  </si>
  <si>
    <t>chuteId</t>
  </si>
  <si>
    <t>resourceLabel</t>
  </si>
  <si>
    <t>action</t>
  </si>
  <si>
    <t>NO_CHANGE</t>
  </si>
  <si>
    <t>FR-0626</t>
  </si>
  <si>
    <t>FR-0628</t>
  </si>
  <si>
    <t>FR-1103</t>
  </si>
  <si>
    <t>FR-1109</t>
  </si>
  <si>
    <t>FR-1115</t>
  </si>
  <si>
    <t>FR-1121</t>
  </si>
  <si>
    <t>FR-1127</t>
  </si>
  <si>
    <t>FR-1133</t>
  </si>
  <si>
    <t>FR-1139</t>
  </si>
  <si>
    <t>FR-1145</t>
  </si>
  <si>
    <t>FR-1151</t>
  </si>
  <si>
    <t>FR-1157</t>
  </si>
  <si>
    <t>FR-1163</t>
  </si>
  <si>
    <t>FR-1169</t>
  </si>
  <si>
    <t>FR-1175</t>
  </si>
  <si>
    <t>FR-1181</t>
  </si>
  <si>
    <t>FR-1187</t>
  </si>
  <si>
    <t>FR-1193</t>
  </si>
  <si>
    <t>FR-1199</t>
  </si>
  <si>
    <t>FR-1205</t>
  </si>
  <si>
    <t>FR-1211</t>
  </si>
  <si>
    <t>FR-1217</t>
  </si>
  <si>
    <t>FR-1223</t>
  </si>
  <si>
    <t>FR-1229</t>
  </si>
  <si>
    <t>FR-1235</t>
  </si>
  <si>
    <t>FR-1241</t>
  </si>
  <si>
    <t>FR-1247</t>
  </si>
  <si>
    <t>FR-1253</t>
  </si>
  <si>
    <t>FR-1259</t>
  </si>
  <si>
    <t>FR-1265</t>
  </si>
  <si>
    <t>FR-1284</t>
  </si>
  <si>
    <t>FR-1290</t>
  </si>
  <si>
    <t>FR-1296</t>
  </si>
  <si>
    <t>FR-1302</t>
  </si>
  <si>
    <t>FR-1308</t>
  </si>
  <si>
    <t>FR-1314</t>
  </si>
  <si>
    <t>FR-1320</t>
  </si>
  <si>
    <t>FR-1326</t>
  </si>
  <si>
    <t>SR-0218-A</t>
  </si>
  <si>
    <t>S010801: Success</t>
  </si>
  <si>
    <t>S010805: Success</t>
  </si>
  <si>
    <t>S010802: Success</t>
  </si>
  <si>
    <t>S010806: Success</t>
  </si>
  <si>
    <t>S010807: Success</t>
  </si>
  <si>
    <t>S010811: Success</t>
  </si>
  <si>
    <t>S010808: Success</t>
  </si>
  <si>
    <t>S010812: Success</t>
  </si>
  <si>
    <t>S010813: Success</t>
  </si>
  <si>
    <t>S010817: Success</t>
  </si>
  <si>
    <t>S010814: Success</t>
  </si>
  <si>
    <t>S010818: Success</t>
  </si>
  <si>
    <t>S010819: Success</t>
  </si>
  <si>
    <t>S010823: Success</t>
  </si>
  <si>
    <t>S010820: Success</t>
  </si>
  <si>
    <t>S010824: Success</t>
  </si>
  <si>
    <t>S010832: Success</t>
  </si>
  <si>
    <t>S010836: Success</t>
  </si>
  <si>
    <t>S010835: Success</t>
  </si>
  <si>
    <t>S010839: Success</t>
  </si>
  <si>
    <t>S010838: Success</t>
  </si>
  <si>
    <t>S010851: Success</t>
  </si>
  <si>
    <t>S010854: Success</t>
  </si>
  <si>
    <t>S010853: Success</t>
  </si>
  <si>
    <t>S010857: Success</t>
  </si>
  <si>
    <t>S010856: Success</t>
  </si>
  <si>
    <t>S010860: Success</t>
  </si>
  <si>
    <t>S010859: Success</t>
  </si>
  <si>
    <t>S010863: Success</t>
  </si>
  <si>
    <t>S010862: Success</t>
  </si>
  <si>
    <t>S010872: Success</t>
  </si>
  <si>
    <t>S010871: Success</t>
  </si>
  <si>
    <t>S010875: Success</t>
  </si>
  <si>
    <t>S010874: Success</t>
  </si>
  <si>
    <t>S010878: Success</t>
  </si>
  <si>
    <t>S010877: Success</t>
  </si>
  <si>
    <t>S010881: Success</t>
  </si>
  <si>
    <t>S010880: Success</t>
  </si>
  <si>
    <t>S010884: Success</t>
  </si>
  <si>
    <t>S010883: Success</t>
  </si>
  <si>
    <t>S010887: Success</t>
  </si>
  <si>
    <t>S010886: Success</t>
  </si>
  <si>
    <t>S010890: Success</t>
  </si>
  <si>
    <t>S010889: Success</t>
  </si>
  <si>
    <t>S010893: Success</t>
  </si>
  <si>
    <t>S010892: Success</t>
  </si>
  <si>
    <t>S010896: Success</t>
  </si>
  <si>
    <t>S010895: Success</t>
  </si>
  <si>
    <t>S010902: Success</t>
  </si>
  <si>
    <t>S010901: Success</t>
  </si>
  <si>
    <t>S010905: Success</t>
  </si>
  <si>
    <t>S010904: Success</t>
  </si>
  <si>
    <t>S010908: Success</t>
  </si>
  <si>
    <t>S010907: Success</t>
  </si>
  <si>
    <t>S010911: Success</t>
  </si>
  <si>
    <t>S010910: Success</t>
  </si>
  <si>
    <t>S010914: Success</t>
  </si>
  <si>
    <t>S010913: Success</t>
  </si>
  <si>
    <t>S010917: Success</t>
  </si>
  <si>
    <t>S010916: Success</t>
  </si>
  <si>
    <t>S010920: Success</t>
  </si>
  <si>
    <t>S010919: Success</t>
  </si>
  <si>
    <t>S011001: Success</t>
  </si>
  <si>
    <t>S011004: Success</t>
  </si>
  <si>
    <t>S011003: Success</t>
  </si>
  <si>
    <t>S011006: Success</t>
  </si>
  <si>
    <t>S011010: Success</t>
  </si>
  <si>
    <t>S011012: Success</t>
  </si>
  <si>
    <t>S011016: Success</t>
  </si>
  <si>
    <t>S011019: Success</t>
  </si>
  <si>
    <t>S011018: Success</t>
  </si>
  <si>
    <t>S011022: Success</t>
  </si>
  <si>
    <t>S011021: Success</t>
  </si>
  <si>
    <t>S011025: Success</t>
  </si>
  <si>
    <t>S011024: Success</t>
  </si>
  <si>
    <t>S011028: Success</t>
  </si>
  <si>
    <t>S011027: Success</t>
  </si>
  <si>
    <t>S011031: Success</t>
  </si>
  <si>
    <t>S011030: Success</t>
  </si>
  <si>
    <t>S011034: Success</t>
  </si>
  <si>
    <t>S011033: Success</t>
  </si>
  <si>
    <t>S011037: Success</t>
  </si>
  <si>
    <t>S011036: Success</t>
  </si>
  <si>
    <t>S011040: Success</t>
  </si>
  <si>
    <t>S011042: Success</t>
  </si>
  <si>
    <t>S011046: Success</t>
  </si>
  <si>
    <t>S011048: Success</t>
  </si>
  <si>
    <t>S011052: Success</t>
  </si>
  <si>
    <t>S011054: Success</t>
  </si>
  <si>
    <t>S011058: Success</t>
  </si>
  <si>
    <t>S011060: Success</t>
  </si>
  <si>
    <t>S011064: Success</t>
  </si>
  <si>
    <t>S011066: Success</t>
  </si>
  <si>
    <t>S011070: Success</t>
  </si>
  <si>
    <t>S011072: Success</t>
  </si>
  <si>
    <t>S011076: Success</t>
  </si>
  <si>
    <t>S011078: Success</t>
  </si>
  <si>
    <t>S011082: Success</t>
  </si>
  <si>
    <t>S011101: Success</t>
  </si>
  <si>
    <t>S011105: Success</t>
  </si>
  <si>
    <t>S011102: Success</t>
  </si>
  <si>
    <t>S011106: Success</t>
  </si>
  <si>
    <t>S011107: Success</t>
  </si>
  <si>
    <t>S011111: Success</t>
  </si>
  <si>
    <t>S011108: Success</t>
  </si>
  <si>
    <t>S011112: Success</t>
  </si>
  <si>
    <t>S011113: Success</t>
  </si>
  <si>
    <t>S011117: Success</t>
  </si>
  <si>
    <t>S011114: Success</t>
  </si>
  <si>
    <t>S011118: Success</t>
  </si>
  <si>
    <t>S011119: Success</t>
  </si>
  <si>
    <t>S011123: Success</t>
  </si>
  <si>
    <t>S011120: Success</t>
  </si>
  <si>
    <t>S011124: Success</t>
  </si>
  <si>
    <t>S011125: Success</t>
  </si>
  <si>
    <t>S011129: Success</t>
  </si>
  <si>
    <t>S011126: Success</t>
  </si>
  <si>
    <t>S011130: Success</t>
  </si>
  <si>
    <t>S011131: Success</t>
  </si>
  <si>
    <t>S011135: Success</t>
  </si>
  <si>
    <t>S011132: Success</t>
  </si>
  <si>
    <t>S011136: Success</t>
  </si>
  <si>
    <t>S011137: Success</t>
  </si>
  <si>
    <t>S011141: Success</t>
  </si>
  <si>
    <t>S011138: Success</t>
  </si>
  <si>
    <t>S011142: Success</t>
  </si>
  <si>
    <t>S011143: Success</t>
  </si>
  <si>
    <t>S011147: Success</t>
  </si>
  <si>
    <t>S011144: Success</t>
  </si>
  <si>
    <t>S011148: Success</t>
  </si>
  <si>
    <t>S011149: Success</t>
  </si>
  <si>
    <t>S011153: Success</t>
  </si>
  <si>
    <t>S011150: Success</t>
  </si>
  <si>
    <t>S011154: Success</t>
  </si>
  <si>
    <t>S011155: Success</t>
  </si>
  <si>
    <t>S011159: Success</t>
  </si>
  <si>
    <t>S011156: Success</t>
  </si>
  <si>
    <t>S011160: Success</t>
  </si>
  <si>
    <t>S011161: Success</t>
  </si>
  <si>
    <t>S011165: Success</t>
  </si>
  <si>
    <t>S011162: Success</t>
  </si>
  <si>
    <t>S011166: Success</t>
  </si>
  <si>
    <t>S011167: Success</t>
  </si>
  <si>
    <t>S011171: Success</t>
  </si>
  <si>
    <t>S011168: Success</t>
  </si>
  <si>
    <t>S011172: Success</t>
  </si>
  <si>
    <t>S011173: Success</t>
  </si>
  <si>
    <t>S011177: Success</t>
  </si>
  <si>
    <t>S011174: Success</t>
  </si>
  <si>
    <t>S011178: Success</t>
  </si>
  <si>
    <t>S011179: Success</t>
  </si>
  <si>
    <t>S011183: Success</t>
  </si>
  <si>
    <t>S011180: Success</t>
  </si>
  <si>
    <t>S011184: Success</t>
  </si>
  <si>
    <t>S011185: Success</t>
  </si>
  <si>
    <t>S011189: Success</t>
  </si>
  <si>
    <t>S011186: Success</t>
  </si>
  <si>
    <t>S011190: Success</t>
  </si>
  <si>
    <t>S011191: Success</t>
  </si>
  <si>
    <t>S011195: Success</t>
  </si>
  <si>
    <t>S011192: Success</t>
  </si>
  <si>
    <t>S011196: Success</t>
  </si>
  <si>
    <t>S011197: Success</t>
  </si>
  <si>
    <t>S011201: Success</t>
  </si>
  <si>
    <t>S011198: Success</t>
  </si>
  <si>
    <t>S011202: Success</t>
  </si>
  <si>
    <t>S011203: Success</t>
  </si>
  <si>
    <t>S011207: Success</t>
  </si>
  <si>
    <t>S011204: Success</t>
  </si>
  <si>
    <t>S011208: Success</t>
  </si>
  <si>
    <t>S011209: Success</t>
  </si>
  <si>
    <t>S011213: Success</t>
  </si>
  <si>
    <t>S011210: Success</t>
  </si>
  <si>
    <t>S011214: Success</t>
  </si>
  <si>
    <t>S011215: Success</t>
  </si>
  <si>
    <t>S011219: Success</t>
  </si>
  <si>
    <t>S011216: Success</t>
  </si>
  <si>
    <t>S011220: Success</t>
  </si>
  <si>
    <t>S011221: Success</t>
  </si>
  <si>
    <t>S011225: Success</t>
  </si>
  <si>
    <t>S011222: Success</t>
  </si>
  <si>
    <t>S011226: Success</t>
  </si>
  <si>
    <t>S011227: Success</t>
  </si>
  <si>
    <t>S011231: Success</t>
  </si>
  <si>
    <t>S011228: Success</t>
  </si>
  <si>
    <t>S011232: Success</t>
  </si>
  <si>
    <t>S011233: Success</t>
  </si>
  <si>
    <t>S011237: Success</t>
  </si>
  <si>
    <t>S011234: Success</t>
  </si>
  <si>
    <t>S011238: Success</t>
  </si>
  <si>
    <t>S011239: Success</t>
  </si>
  <si>
    <t>S011243: Success</t>
  </si>
  <si>
    <t>S011240: Success</t>
  </si>
  <si>
    <t>S011244: Success</t>
  </si>
  <si>
    <t>S011245: Success</t>
  </si>
  <si>
    <t>S011249: Success</t>
  </si>
  <si>
    <t>S011246: Success</t>
  </si>
  <si>
    <t>S011250: Success</t>
  </si>
  <si>
    <t>S011251: Success</t>
  </si>
  <si>
    <t>S011255: Success</t>
  </si>
  <si>
    <t>S011252: Success</t>
  </si>
  <si>
    <t>S011256: Success</t>
  </si>
  <si>
    <t>S011257: Success</t>
  </si>
  <si>
    <t>S011261: Success</t>
  </si>
  <si>
    <t>S011258: Success</t>
  </si>
  <si>
    <t>S011262: Success</t>
  </si>
  <si>
    <t>S011263: Success</t>
  </si>
  <si>
    <t>S011267: Success</t>
  </si>
  <si>
    <t>S011264: Success</t>
  </si>
  <si>
    <t>S011268: Success</t>
  </si>
  <si>
    <t>S011269: Success</t>
  </si>
  <si>
    <t>S011270: Success</t>
  </si>
  <si>
    <t>S011281: Success</t>
  </si>
  <si>
    <t>S011285: Success</t>
  </si>
  <si>
    <t>S011282: Success</t>
  </si>
  <si>
    <t>S011286: Success</t>
  </si>
  <si>
    <t>S011287: Success</t>
  </si>
  <si>
    <t>S011291: Success</t>
  </si>
  <si>
    <t>S011288: Success</t>
  </si>
  <si>
    <t>S011292: Success</t>
  </si>
  <si>
    <t>S011293: Success</t>
  </si>
  <si>
    <t>S011297: Success</t>
  </si>
  <si>
    <t>S011294: Success</t>
  </si>
  <si>
    <t>S011298: Success</t>
  </si>
  <si>
    <t>S011299: Success</t>
  </si>
  <si>
    <t>S011303: Success</t>
  </si>
  <si>
    <t>S011300: Success</t>
  </si>
  <si>
    <t>S011304: Success</t>
  </si>
  <si>
    <t>S011305: Success</t>
  </si>
  <si>
    <t>S011309: Success</t>
  </si>
  <si>
    <t>S011306: Success</t>
  </si>
  <si>
    <t>S011310: Success</t>
  </si>
  <si>
    <t>S011312: Success</t>
  </si>
  <si>
    <t>S011316: Success</t>
  </si>
  <si>
    <t>S011318: Success</t>
  </si>
  <si>
    <t>S011322: Success</t>
  </si>
  <si>
    <t>S011324: Success</t>
  </si>
  <si>
    <t>S011328: Success</t>
  </si>
  <si>
    <t>BR</t>
  </si>
  <si>
    <t>DD</t>
  </si>
  <si>
    <t>FR</t>
  </si>
  <si>
    <t>SR</t>
  </si>
  <si>
    <t>S010220: Success</t>
  </si>
  <si>
    <t>S010534: Success</t>
  </si>
  <si>
    <t>S010103: Success</t>
  </si>
  <si>
    <t>S010109: Success</t>
  </si>
  <si>
    <t>S010610: Success</t>
  </si>
  <si>
    <t>S010628: Success</t>
  </si>
  <si>
    <t>S011068: Success</t>
  </si>
  <si>
    <t>S011074: Success</t>
  </si>
  <si>
    <t>S011080: Success</t>
  </si>
  <si>
    <t>S011104: Success</t>
  </si>
  <si>
    <t>S011109: Success</t>
  </si>
  <si>
    <t>S011115: Success</t>
  </si>
  <si>
    <t>S011121: Success</t>
  </si>
  <si>
    <t>S011127: Success</t>
  </si>
  <si>
    <t>S011133: Success</t>
  </si>
  <si>
    <t>S011139: Success</t>
  </si>
  <si>
    <t>S011145: Success</t>
  </si>
  <si>
    <t>S011151: Success</t>
  </si>
  <si>
    <t>S011157: Success</t>
  </si>
  <si>
    <t>S011163: Success</t>
  </si>
  <si>
    <t>S011169: Success</t>
  </si>
  <si>
    <t>S011170: Success</t>
  </si>
  <si>
    <t>S011175: Success</t>
  </si>
  <si>
    <t>S011176: Success</t>
  </si>
  <si>
    <t>S011181: Success</t>
  </si>
  <si>
    <t>S011182: Success</t>
  </si>
  <si>
    <t>S011187: Success</t>
  </si>
  <si>
    <t>S011193: Success</t>
  </si>
  <si>
    <t>S011199: Success</t>
  </si>
  <si>
    <t>S011205: Success</t>
  </si>
  <si>
    <t>S011211: Success</t>
  </si>
  <si>
    <t>S011217: Success</t>
  </si>
  <si>
    <t>S011218: Success</t>
  </si>
  <si>
    <t>S011223: Success</t>
  </si>
  <si>
    <t>S011242: Success</t>
  </si>
  <si>
    <t>S011265: Success</t>
  </si>
  <si>
    <t>S011290: Success</t>
  </si>
  <si>
    <t>S011307: Success</t>
  </si>
  <si>
    <t>S010202: Success</t>
  </si>
  <si>
    <t>S010218: Success</t>
  </si>
  <si>
    <t>S010536: Success</t>
  </si>
  <si>
    <t>S010516: Success</t>
  </si>
  <si>
    <t>PSP1</t>
  </si>
  <si>
    <t>PSP1-ShippingSorter1</t>
  </si>
  <si>
    <t>SR-0001-A</t>
  </si>
  <si>
    <t>SR-0002-A</t>
  </si>
  <si>
    <t>SR-0003-A</t>
  </si>
  <si>
    <t>SR-0004-A</t>
  </si>
  <si>
    <t>SR-0005-A</t>
  </si>
  <si>
    <t>SR-0006-A</t>
  </si>
  <si>
    <t>SR-0007-A</t>
  </si>
  <si>
    <t>SR-0008-A</t>
  </si>
  <si>
    <t>SR-0009-A</t>
  </si>
  <si>
    <t>SR-0010-A</t>
  </si>
  <si>
    <t>SR-0011-A</t>
  </si>
  <si>
    <t>SR-0012-A</t>
  </si>
  <si>
    <t>SR-0013-A</t>
  </si>
  <si>
    <t>SR-0014-A</t>
  </si>
  <si>
    <t>SR-0015-A</t>
  </si>
  <si>
    <t>SR-0016-A</t>
  </si>
  <si>
    <t>SR-0017-A</t>
  </si>
  <si>
    <t>SR-0018-A</t>
  </si>
  <si>
    <t>SR-0019-A</t>
  </si>
  <si>
    <t>SR-0020-A</t>
  </si>
  <si>
    <t>SR-0031-A</t>
  </si>
  <si>
    <t>SR-0032-A</t>
  </si>
  <si>
    <t>SR-0033-A</t>
  </si>
  <si>
    <t>SR-0034-A</t>
  </si>
  <si>
    <t>SR-0035-A</t>
  </si>
  <si>
    <t>SR-0036-A</t>
  </si>
  <si>
    <t>SR-0037-A</t>
  </si>
  <si>
    <t>SR-0038-A</t>
  </si>
  <si>
    <t>SR-0039-A</t>
  </si>
  <si>
    <t>SR-0040-A</t>
  </si>
  <si>
    <t>SR-0041-A</t>
  </si>
  <si>
    <t>SR-0042-A</t>
  </si>
  <si>
    <t>SR-0043-A</t>
  </si>
  <si>
    <t>SR-0044-A</t>
  </si>
  <si>
    <t>SR-0045-A</t>
  </si>
  <si>
    <t>SR-0046-A</t>
  </si>
  <si>
    <t>SR-0047-A</t>
  </si>
  <si>
    <t>SR-0048-A</t>
  </si>
  <si>
    <t>SR-0049-A</t>
  </si>
  <si>
    <t>SR-0050-A</t>
  </si>
  <si>
    <t>SR-0051-A</t>
  </si>
  <si>
    <t>SR-0052-A</t>
  </si>
  <si>
    <t>SR-0053-A</t>
  </si>
  <si>
    <t>SR-0054-A</t>
  </si>
  <si>
    <t>SR-0055-A</t>
  </si>
  <si>
    <t>SR-0056-A</t>
  </si>
  <si>
    <t>SR-0061-A</t>
  </si>
  <si>
    <t>SR-0062-A</t>
  </si>
  <si>
    <t>SR-0063-A</t>
  </si>
  <si>
    <t>SR-0064-A</t>
  </si>
  <si>
    <t>SR-0065-A</t>
  </si>
  <si>
    <t>SR-0066-A</t>
  </si>
  <si>
    <t>SR-0067-A</t>
  </si>
  <si>
    <t>SR-0068-A</t>
  </si>
  <si>
    <t>SR-0069-A</t>
  </si>
  <si>
    <t>SR-0070-A</t>
  </si>
  <si>
    <t>SR-0071-A</t>
  </si>
  <si>
    <t>SR-0072-A</t>
  </si>
  <si>
    <t>SR-0073-A</t>
  </si>
  <si>
    <t>SR-0074-A</t>
  </si>
  <si>
    <t>SR-0081-A</t>
  </si>
  <si>
    <t>SR-0082-A</t>
  </si>
  <si>
    <t>SR-0083-A</t>
  </si>
  <si>
    <t>SR-0084-A</t>
  </si>
  <si>
    <t>SR-0085-A</t>
  </si>
  <si>
    <t>SR-0086-A</t>
  </si>
  <si>
    <t>SR-0087-A</t>
  </si>
  <si>
    <t>SR-0088-A</t>
  </si>
  <si>
    <t>SR-0089-A</t>
  </si>
  <si>
    <t>SR-0090-A</t>
  </si>
  <si>
    <t>SR-0101-A</t>
  </si>
  <si>
    <t>SR-0102-A</t>
  </si>
  <si>
    <t>SR-0103-A</t>
  </si>
  <si>
    <t>SR-0104-A</t>
  </si>
  <si>
    <t>SR-0105-A</t>
  </si>
  <si>
    <t>SR-0106-A</t>
  </si>
  <si>
    <t>SR-0107-A</t>
  </si>
  <si>
    <t>SR-0108-A</t>
  </si>
  <si>
    <t>SR-0109-A</t>
  </si>
  <si>
    <t>SR-0110-A</t>
  </si>
  <si>
    <t>SR-0111-A</t>
  </si>
  <si>
    <t>SR-0112-A</t>
  </si>
  <si>
    <t>SR-0113-A</t>
  </si>
  <si>
    <t>SR-0114-A</t>
  </si>
  <si>
    <t>SR-0115-A</t>
  </si>
  <si>
    <t>SR-0116-A</t>
  </si>
  <si>
    <t>SR-0117-A</t>
  </si>
  <si>
    <t>SR-0118-A</t>
  </si>
  <si>
    <t>SR-0119-A</t>
  </si>
  <si>
    <t>SR-0120-A</t>
  </si>
  <si>
    <t>SR-0121-A</t>
  </si>
  <si>
    <t>SR-0122-A</t>
  </si>
  <si>
    <t>SR-0123-A</t>
  </si>
  <si>
    <t>SR-0124-A</t>
  </si>
  <si>
    <t>SR-0125-A</t>
  </si>
  <si>
    <t>SR-0126-A</t>
  </si>
  <si>
    <t>SR-0127-A</t>
  </si>
  <si>
    <t>SR-0128-A</t>
  </si>
  <si>
    <t>SR-0129-A</t>
  </si>
  <si>
    <t>SR-0130-A</t>
  </si>
  <si>
    <t>SR-0131-A</t>
  </si>
  <si>
    <t>SR-0132-A</t>
  </si>
  <si>
    <t>SR-0133-A</t>
  </si>
  <si>
    <t>SR-0134-A</t>
  </si>
  <si>
    <t>SR-0141-A</t>
  </si>
  <si>
    <t>SR-0142-A</t>
  </si>
  <si>
    <t>SR-0143-A</t>
  </si>
  <si>
    <t>SR-0144-A</t>
  </si>
  <si>
    <t>SR-0145-A</t>
  </si>
  <si>
    <t>SR-0146-A</t>
  </si>
  <si>
    <t>SR-0147-A</t>
  </si>
  <si>
    <t>SR-0148-A</t>
  </si>
  <si>
    <t>SR-0149-A</t>
  </si>
  <si>
    <t>SR-0150-A</t>
  </si>
  <si>
    <t>SR-0151-A</t>
  </si>
  <si>
    <t>SR-0152-A</t>
  </si>
  <si>
    <t>SR-0153-A</t>
  </si>
  <si>
    <t>SR-0154-A</t>
  </si>
  <si>
    <t>SR-0155-A</t>
  </si>
  <si>
    <t>SR-0156-A</t>
  </si>
  <si>
    <t>SR-0157-A</t>
  </si>
  <si>
    <t>SR-0158-A</t>
  </si>
  <si>
    <t>SR-0159-A</t>
  </si>
  <si>
    <t>SR-0160-A</t>
  </si>
  <si>
    <t>SR-0161-A</t>
  </si>
  <si>
    <t>SR-0162-A</t>
  </si>
  <si>
    <t>SR-0163-A</t>
  </si>
  <si>
    <t>SR-0164-A</t>
  </si>
  <si>
    <t>SR-0165-A</t>
  </si>
  <si>
    <t>SR-0166-A</t>
  </si>
  <si>
    <t>SR-0167-A</t>
  </si>
  <si>
    <t>SR-0168-A</t>
  </si>
  <si>
    <t>SR-0171-A</t>
  </si>
  <si>
    <t>SR-0172-A</t>
  </si>
  <si>
    <t>SR-0173-A</t>
  </si>
  <si>
    <t>SR-0174-A</t>
  </si>
  <si>
    <t>SR-0175-A</t>
  </si>
  <si>
    <t>SR-0176-A</t>
  </si>
  <si>
    <t>SR-0177-A</t>
  </si>
  <si>
    <t>SR-0178-A</t>
  </si>
  <si>
    <t>SR-0179-A</t>
  </si>
  <si>
    <t>SR-0180-A</t>
  </si>
  <si>
    <t>SR-0181-A</t>
  </si>
  <si>
    <t>SR-0182-A</t>
  </si>
  <si>
    <t>SR-0183-A</t>
  </si>
  <si>
    <t>SR-0184-A</t>
  </si>
  <si>
    <t>SR-0185-A</t>
  </si>
  <si>
    <t>SR-0186-A</t>
  </si>
  <si>
    <t>SR-0187-A</t>
  </si>
  <si>
    <t>SR-0188-A</t>
  </si>
  <si>
    <t>SR-0189-A</t>
  </si>
  <si>
    <t>SR-0190-A</t>
  </si>
  <si>
    <t>SR-0191-A</t>
  </si>
  <si>
    <t>SR-0192-A</t>
  </si>
  <si>
    <t>SR-0193-A</t>
  </si>
  <si>
    <t>SR-0194-A</t>
  </si>
  <si>
    <t>SR-0195-A</t>
  </si>
  <si>
    <t>SR-0196-A</t>
  </si>
  <si>
    <t>SR-0197-A</t>
  </si>
  <si>
    <t>SR-0198-A</t>
  </si>
  <si>
    <t>SR-0199-A</t>
  </si>
  <si>
    <t>SR-0200-A</t>
  </si>
  <si>
    <t>SR-0201-A</t>
  </si>
  <si>
    <t>SR-0202-A</t>
  </si>
  <si>
    <t>SR-0203-A</t>
  </si>
  <si>
    <t>SR-0204-A</t>
  </si>
  <si>
    <t>SR-0205-A</t>
  </si>
  <si>
    <t>SR-0206-A</t>
  </si>
  <si>
    <t>SR-0207-A</t>
  </si>
  <si>
    <t>SR-0208-A</t>
  </si>
  <si>
    <t>SR-0209-A</t>
  </si>
  <si>
    <t>SR-0210-A</t>
  </si>
  <si>
    <t>SR-0211-A</t>
  </si>
  <si>
    <t>SR-0212-A</t>
  </si>
  <si>
    <t>SR-0213-A</t>
  </si>
  <si>
    <t>SR-0214-A</t>
  </si>
  <si>
    <t>SR-0215-A</t>
  </si>
  <si>
    <t>SR-0216-A</t>
  </si>
  <si>
    <t>SR-0217-A</t>
  </si>
  <si>
    <t>SR-0219-A</t>
  </si>
  <si>
    <t>SR-0220-A</t>
  </si>
  <si>
    <t>SR-0221-A</t>
  </si>
  <si>
    <t>SR-0222-A</t>
  </si>
  <si>
    <t>SR-0223-A</t>
  </si>
  <si>
    <t>SR-0224-A</t>
  </si>
  <si>
    <t>FR-0301</t>
  </si>
  <si>
    <t>FR-0303</t>
  </si>
  <si>
    <t>SR-0304-A</t>
  </si>
  <si>
    <t>FR-0305</t>
  </si>
  <si>
    <t>SR-0306-A</t>
  </si>
  <si>
    <t>FR-0307</t>
  </si>
  <si>
    <t>SR-0308-A</t>
  </si>
  <si>
    <t>FR-0309</t>
  </si>
  <si>
    <t>SR-0310-A</t>
  </si>
  <si>
    <t>FR-0311</t>
  </si>
  <si>
    <t>SR-0312-A</t>
  </si>
  <si>
    <t>FR-0313</t>
  </si>
  <si>
    <t>SR-0314-A</t>
  </si>
  <si>
    <t>FR-0315</t>
  </si>
  <si>
    <t>FR-0317</t>
  </si>
  <si>
    <t>SR-0318-A</t>
  </si>
  <si>
    <t>FR-0319</t>
  </si>
  <si>
    <t>SR-0320-A</t>
  </si>
  <si>
    <t>FR-0321</t>
  </si>
  <si>
    <t>SR-0322-A</t>
  </si>
  <si>
    <t>FR-0323</t>
  </si>
  <si>
    <t>FR-0325</t>
  </si>
  <si>
    <t>SR-0326-A</t>
  </si>
  <si>
    <t>FR-0327</t>
  </si>
  <si>
    <t>SR-0328-A</t>
  </si>
  <si>
    <t>FR-0329</t>
  </si>
  <si>
    <t>SR-0330-A</t>
  </si>
  <si>
    <t>FR-0341</t>
  </si>
  <si>
    <t>FR-0343</t>
  </si>
  <si>
    <t>FR-0345</t>
  </si>
  <si>
    <t>DD209</t>
  </si>
  <si>
    <t>FR-0347</t>
  </si>
  <si>
    <t>FR-0349</t>
  </si>
  <si>
    <t>FR-0351</t>
  </si>
  <si>
    <t>DD210</t>
  </si>
  <si>
    <t>FR-0353</t>
  </si>
  <si>
    <t>FR-0355</t>
  </si>
  <si>
    <t>DD211</t>
  </si>
  <si>
    <t>FR-0357</t>
  </si>
  <si>
    <t>FR-0359</t>
  </si>
  <si>
    <t>DD212</t>
  </si>
  <si>
    <t>FR-0361</t>
  </si>
  <si>
    <t>FR-0363</t>
  </si>
  <si>
    <t>DD213</t>
  </si>
  <si>
    <t>FR-0365</t>
  </si>
  <si>
    <t>FR-0367</t>
  </si>
  <si>
    <t>FR-0369</t>
  </si>
  <si>
    <t>FR-0381</t>
  </si>
  <si>
    <t>DD214</t>
  </si>
  <si>
    <t>FR-0383</t>
  </si>
  <si>
    <t>FR-0385</t>
  </si>
  <si>
    <t>DD215</t>
  </si>
  <si>
    <t>FR-0387</t>
  </si>
  <si>
    <t>FR-0389</t>
  </si>
  <si>
    <t>DD216</t>
  </si>
  <si>
    <t>FR-0391</t>
  </si>
  <si>
    <t>FR-0393</t>
  </si>
  <si>
    <t>DD217</t>
  </si>
  <si>
    <t>FR-0395</t>
  </si>
  <si>
    <t>FR-0397</t>
  </si>
  <si>
    <t>FR-0399</t>
  </si>
  <si>
    <t>DD218</t>
  </si>
  <si>
    <t>FR-0401</t>
  </si>
  <si>
    <t>FR-0411</t>
  </si>
  <si>
    <t>FR-0413</t>
  </si>
  <si>
    <t>FR-0415</t>
  </si>
  <si>
    <t>FR-0417</t>
  </si>
  <si>
    <t>FR-0419</t>
  </si>
  <si>
    <t>FR-0421</t>
  </si>
  <si>
    <t>FR-0423</t>
  </si>
  <si>
    <t>FR-0425</t>
  </si>
  <si>
    <t>FR-0427</t>
  </si>
  <si>
    <t>FR-0429</t>
  </si>
  <si>
    <t>FR-1001</t>
  </si>
  <si>
    <t>BR-1002</t>
  </si>
  <si>
    <t>BR-1003</t>
  </si>
  <si>
    <t>FR-1004</t>
  </si>
  <si>
    <t>BR-1005</t>
  </si>
  <si>
    <t>BR-1006</t>
  </si>
  <si>
    <t>FR-1010</t>
  </si>
  <si>
    <t>BR-1011</t>
  </si>
  <si>
    <t>BR-1012</t>
  </si>
  <si>
    <t>FR-1016</t>
  </si>
  <si>
    <t>BR-1017</t>
  </si>
  <si>
    <t>BR-1018</t>
  </si>
  <si>
    <t>FR-1019</t>
  </si>
  <si>
    <t>BR-1020</t>
  </si>
  <si>
    <t>BR-1021</t>
  </si>
  <si>
    <t>FR-1022</t>
  </si>
  <si>
    <t>BR-1023</t>
  </si>
  <si>
    <t>BR-1024</t>
  </si>
  <si>
    <t>FR-1025</t>
  </si>
  <si>
    <t>BR-1026</t>
  </si>
  <si>
    <t>BR-1027</t>
  </si>
  <si>
    <t>FR-1028</t>
  </si>
  <si>
    <t>BR-1029</t>
  </si>
  <si>
    <t>BR-1030</t>
  </si>
  <si>
    <t>FR-1031</t>
  </si>
  <si>
    <t>BR-1032</t>
  </si>
  <si>
    <t>BR-1033</t>
  </si>
  <si>
    <t>FR-1034</t>
  </si>
  <si>
    <t>BR-1035</t>
  </si>
  <si>
    <t>BR-1036</t>
  </si>
  <si>
    <t>FR-1037</t>
  </si>
  <si>
    <t>BR-1038</t>
  </si>
  <si>
    <t>BR-1039</t>
  </si>
  <si>
    <t>FR-1040</t>
  </si>
  <si>
    <t>BR-1041</t>
  </si>
  <si>
    <t>BR-1042</t>
  </si>
  <si>
    <t>FR-1043</t>
  </si>
  <si>
    <t>BR-1044</t>
  </si>
  <si>
    <t>BR-1045</t>
  </si>
  <si>
    <t>FR-1046</t>
  </si>
  <si>
    <t>BR-1047</t>
  </si>
  <si>
    <t>BR-1048</t>
  </si>
  <si>
    <t>FR-1049</t>
  </si>
  <si>
    <t>BR-1050</t>
  </si>
  <si>
    <t>BR-1051</t>
  </si>
  <si>
    <t>FR-1052</t>
  </si>
  <si>
    <t>BR-1053</t>
  </si>
  <si>
    <t>BR-1054</t>
  </si>
  <si>
    <t>FR-1055</t>
  </si>
  <si>
    <t>BR-1056</t>
  </si>
  <si>
    <t>BR-1057</t>
  </si>
  <si>
    <t>FR-1058</t>
  </si>
  <si>
    <t>BR-1059</t>
  </si>
  <si>
    <t>BR-1060</t>
  </si>
  <si>
    <t>FR-1061</t>
  </si>
  <si>
    <t>BR-1062</t>
  </si>
  <si>
    <t>BR-1063</t>
  </si>
  <si>
    <t>FR-1064</t>
  </si>
  <si>
    <t>BR-1065</t>
  </si>
  <si>
    <t>BR-1066</t>
  </si>
  <si>
    <t>FR-1067</t>
  </si>
  <si>
    <t>BR-1068</t>
  </si>
  <si>
    <t>BR-1069</t>
  </si>
  <si>
    <t>FR-1070</t>
  </si>
  <si>
    <t>BR-1071</t>
  </si>
  <si>
    <t>BR-1072</t>
  </si>
  <si>
    <t>FR-1073</t>
  </si>
  <si>
    <t>BR-1074</t>
  </si>
  <si>
    <t>BR-1075</t>
  </si>
  <si>
    <t>FR-1076</t>
  </si>
  <si>
    <t>BR-1077</t>
  </si>
  <si>
    <t>BR-1078</t>
  </si>
  <si>
    <t>FR-1079</t>
  </si>
  <si>
    <t>BR-1080</t>
  </si>
  <si>
    <t>BR-1081</t>
  </si>
  <si>
    <t>FR-1082</t>
  </si>
  <si>
    <t>BR-1083</t>
  </si>
  <si>
    <t>BR-1084</t>
  </si>
  <si>
    <t>FR-1085</t>
  </si>
  <si>
    <t>BR-1086</t>
  </si>
  <si>
    <t>BR-1087</t>
  </si>
  <si>
    <t>FR-1088</t>
  </si>
  <si>
    <t>BR-1089</t>
  </si>
  <si>
    <t>BR-1090</t>
  </si>
  <si>
    <t>FR-1091</t>
  </si>
  <si>
    <t>BR-1092</t>
  </si>
  <si>
    <t>BR-1093</t>
  </si>
  <si>
    <t>FR-1094</t>
  </si>
  <si>
    <t>BR-1095</t>
  </si>
  <si>
    <t>BR-1096</t>
  </si>
  <si>
    <t>FR-1097</t>
  </si>
  <si>
    <t>BR-1098</t>
  </si>
  <si>
    <t>BR-1099</t>
  </si>
  <si>
    <t>FR-1100</t>
  </si>
  <si>
    <t>BR-1101</t>
  </si>
  <si>
    <t>BR-1102</t>
  </si>
  <si>
    <t>BR-1104</t>
  </si>
  <si>
    <t>BR-1105</t>
  </si>
  <si>
    <t>FR-1106</t>
  </si>
  <si>
    <t>BR-1107</t>
  </si>
  <si>
    <t>BR-1108</t>
  </si>
  <si>
    <t>BR-1110</t>
  </si>
  <si>
    <t>BR-1111</t>
  </si>
  <si>
    <t>FR-1112</t>
  </si>
  <si>
    <t>BR-1113</t>
  </si>
  <si>
    <t>BR-1114</t>
  </si>
  <si>
    <t>BR-1116</t>
  </si>
  <si>
    <t>BR-1117</t>
  </si>
  <si>
    <t>FR-1118</t>
  </si>
  <si>
    <t>BR-1119</t>
  </si>
  <si>
    <t>BR-1120</t>
  </si>
  <si>
    <t>BR-1122</t>
  </si>
  <si>
    <t>BR-1123</t>
  </si>
  <si>
    <t>FR-1124</t>
  </si>
  <si>
    <t>BR-1125</t>
  </si>
  <si>
    <t>BR-1126</t>
  </si>
  <si>
    <t>BR-1128</t>
  </si>
  <si>
    <t>BR-1129</t>
  </si>
  <si>
    <t>FR-1130</t>
  </si>
  <si>
    <t>BR-1131</t>
  </si>
  <si>
    <t>BR-1132</t>
  </si>
  <si>
    <t>BR-1134</t>
  </si>
  <si>
    <t>BR-1135</t>
  </si>
  <si>
    <t>FR-1136</t>
  </si>
  <si>
    <t>BR-1137</t>
  </si>
  <si>
    <t>BR-1138</t>
  </si>
  <si>
    <t>BR-1140</t>
  </si>
  <si>
    <t>BR-1141</t>
  </si>
  <si>
    <t>FR-1142</t>
  </si>
  <si>
    <t>BR-1143</t>
  </si>
  <si>
    <t>BR-1144</t>
  </si>
  <si>
    <t>BR-1146</t>
  </si>
  <si>
    <t>BR-1147</t>
  </si>
  <si>
    <t>FR-1148</t>
  </si>
  <si>
    <t>BR-1149</t>
  </si>
  <si>
    <t>BR-1150</t>
  </si>
  <si>
    <t>BR-1152</t>
  </si>
  <si>
    <t>BR-1153</t>
  </si>
  <si>
    <t>FR-1154</t>
  </si>
  <si>
    <t>BR-1155</t>
  </si>
  <si>
    <t>BR-1156</t>
  </si>
  <si>
    <t>BR-1158</t>
  </si>
  <si>
    <t>BR-1159</t>
  </si>
  <si>
    <t>FR-1160</t>
  </si>
  <si>
    <t>BR-1161</t>
  </si>
  <si>
    <t>BR-1162</t>
  </si>
  <si>
    <t>BR-1164</t>
  </si>
  <si>
    <t>BR-1165</t>
  </si>
  <si>
    <t>FR-1166</t>
  </si>
  <si>
    <t>BR-1167</t>
  </si>
  <si>
    <t>BR-1168</t>
  </si>
  <si>
    <t>BR-1170</t>
  </si>
  <si>
    <t>BR-1171</t>
  </si>
  <si>
    <t>FR-1172</t>
  </si>
  <si>
    <t>BR-1173</t>
  </si>
  <si>
    <t>BR-1174</t>
  </si>
  <si>
    <t>BR-1176</t>
  </si>
  <si>
    <t>BR-1177</t>
  </si>
  <si>
    <t>FR-1178</t>
  </si>
  <si>
    <t>BR-1179</t>
  </si>
  <si>
    <t>BR-1180</t>
  </si>
  <si>
    <t>BR-1182</t>
  </si>
  <si>
    <t>BR-1183</t>
  </si>
  <si>
    <t>FR-1184</t>
  </si>
  <si>
    <t>BR-1185</t>
  </si>
  <si>
    <t>BR-1186</t>
  </si>
  <si>
    <t>BR-1188</t>
  </si>
  <si>
    <t>BR-1189</t>
  </si>
  <si>
    <t>FR-1190</t>
  </si>
  <si>
    <t>BR-1191</t>
  </si>
  <si>
    <t>BR-1192</t>
  </si>
  <si>
    <t>BR-1194</t>
  </si>
  <si>
    <t>BR-1195</t>
  </si>
  <si>
    <t>FR-1196</t>
  </si>
  <si>
    <t>BR-1197</t>
  </si>
  <si>
    <t>BR-1198</t>
  </si>
  <si>
    <t>BR-1200</t>
  </si>
  <si>
    <t>BR-1201</t>
  </si>
  <si>
    <t>FR-1202</t>
  </si>
  <si>
    <t>BR-1203</t>
  </si>
  <si>
    <t>BR-1204</t>
  </si>
  <si>
    <t>BR-1206</t>
  </si>
  <si>
    <t>BR-1207</t>
  </si>
  <si>
    <t>FR-1208</t>
  </si>
  <si>
    <t>BR-1209</t>
  </si>
  <si>
    <t>BR-1210</t>
  </si>
  <si>
    <t>BR-1212</t>
  </si>
  <si>
    <t>BR-1213</t>
  </si>
  <si>
    <t>FR-1214</t>
  </si>
  <si>
    <t>BR-1215</t>
  </si>
  <si>
    <t>BR-1216</t>
  </si>
  <si>
    <t>BR-1218</t>
  </si>
  <si>
    <t>BR-1219</t>
  </si>
  <si>
    <t>FR-1220</t>
  </si>
  <si>
    <t>BR-1221</t>
  </si>
  <si>
    <t>BR-1222</t>
  </si>
  <si>
    <t>BR-1224</t>
  </si>
  <si>
    <t>BR-1225</t>
  </si>
  <si>
    <t>FR-1226</t>
  </si>
  <si>
    <t>BR-1227</t>
  </si>
  <si>
    <t>BR-1228</t>
  </si>
  <si>
    <t>BR-1230</t>
  </si>
  <si>
    <t>BR-1231</t>
  </si>
  <si>
    <t>FR-1232</t>
  </si>
  <si>
    <t>BR-1233</t>
  </si>
  <si>
    <t>BR-1234</t>
  </si>
  <si>
    <t>BR-1236</t>
  </si>
  <si>
    <t>BR-1237</t>
  </si>
  <si>
    <t>FR-1238</t>
  </si>
  <si>
    <t>BR-1239</t>
  </si>
  <si>
    <t>BR-1240</t>
  </si>
  <si>
    <t>BR-1242</t>
  </si>
  <si>
    <t>BR-1243</t>
  </si>
  <si>
    <t>FR-1244</t>
  </si>
  <si>
    <t>BR-1245</t>
  </si>
  <si>
    <t>BR-1246</t>
  </si>
  <si>
    <t>BR-1248</t>
  </si>
  <si>
    <t>BR-1249</t>
  </si>
  <si>
    <t>FR-1250</t>
  </si>
  <si>
    <t>BR-1251</t>
  </si>
  <si>
    <t>BR-1252</t>
  </si>
  <si>
    <t>BR-1254</t>
  </si>
  <si>
    <t>BR-1255</t>
  </si>
  <si>
    <t>FR-1256</t>
  </si>
  <si>
    <t>BR-1257</t>
  </si>
  <si>
    <t>BR-1258</t>
  </si>
  <si>
    <t>BR-1260</t>
  </si>
  <si>
    <t>BR-1261</t>
  </si>
  <si>
    <t>FR-1262</t>
  </si>
  <si>
    <t>BR-1263</t>
  </si>
  <si>
    <t>BR-1264</t>
  </si>
  <si>
    <t>BR-1266</t>
  </si>
  <si>
    <t>BR-1267</t>
  </si>
  <si>
    <t>FR-1268</t>
  </si>
  <si>
    <t>BR-1269</t>
  </si>
  <si>
    <t>BR-1270</t>
  </si>
  <si>
    <t>FR-1281</t>
  </si>
  <si>
    <t>BR-1282</t>
  </si>
  <si>
    <t>BR-1283</t>
  </si>
  <si>
    <t>BR-1285</t>
  </si>
  <si>
    <t>BR-1286</t>
  </si>
  <si>
    <t>FR-1287</t>
  </si>
  <si>
    <t>BR-1288</t>
  </si>
  <si>
    <t>BR-1289</t>
  </si>
  <si>
    <t>BR-1291</t>
  </si>
  <si>
    <t>BR-1292</t>
  </si>
  <si>
    <t>FR-1293</t>
  </si>
  <si>
    <t>BR-1294</t>
  </si>
  <si>
    <t>BR-1295</t>
  </si>
  <si>
    <t>BR-1297</t>
  </si>
  <si>
    <t>BR-1298</t>
  </si>
  <si>
    <t>FR-1299</t>
  </si>
  <si>
    <t>BR-1300</t>
  </si>
  <si>
    <t>BR-1301</t>
  </si>
  <si>
    <t>BR-1303</t>
  </si>
  <si>
    <t>BR-1304</t>
  </si>
  <si>
    <t>FR-1305</t>
  </si>
  <si>
    <t>BR-1306</t>
  </si>
  <si>
    <t>BR-1307</t>
  </si>
  <si>
    <t>BR-1309</t>
  </si>
  <si>
    <t>BR-1310</t>
  </si>
  <si>
    <t>FR-1311</t>
  </si>
  <si>
    <t>BR-1312</t>
  </si>
  <si>
    <t>BR-1313</t>
  </si>
  <si>
    <t>BR-1315</t>
  </si>
  <si>
    <t>BR-1316</t>
  </si>
  <si>
    <t>FR-1317</t>
  </si>
  <si>
    <t>BR-1318</t>
  </si>
  <si>
    <t>BR-1319</t>
  </si>
  <si>
    <t>BR-1321</t>
  </si>
  <si>
    <t>BR-1322</t>
  </si>
  <si>
    <t>FR-1323</t>
  </si>
  <si>
    <t>BR-1324</t>
  </si>
  <si>
    <t>BR-1325</t>
  </si>
  <si>
    <t>BR-1327</t>
  </si>
  <si>
    <t>BR-1328</t>
  </si>
  <si>
    <t>FR-1329</t>
  </si>
  <si>
    <t>BR-1330</t>
  </si>
  <si>
    <t>BR-1331</t>
  </si>
  <si>
    <t>FR-1332</t>
  </si>
  <si>
    <t>BR-1333</t>
  </si>
  <si>
    <t>BR-1334</t>
  </si>
  <si>
    <t>FR-1335</t>
  </si>
  <si>
    <t>BR-1336</t>
  </si>
  <si>
    <t>BR-1337</t>
  </si>
  <si>
    <t>FR-1338</t>
  </si>
  <si>
    <t>BR-1339</t>
  </si>
  <si>
    <t>BR-1340</t>
  </si>
  <si>
    <t>FR-1341</t>
  </si>
  <si>
    <t>BR-1342</t>
  </si>
  <si>
    <t>BR-1343</t>
  </si>
  <si>
    <t>FR-1344</t>
  </si>
  <si>
    <t>BR-1345</t>
  </si>
  <si>
    <t>BR-1346</t>
  </si>
  <si>
    <t>FR-1347</t>
  </si>
  <si>
    <t>BR-1348</t>
  </si>
  <si>
    <t>BR-1349</t>
  </si>
  <si>
    <t>FR-1350</t>
  </si>
  <si>
    <t>BR-1351</t>
  </si>
  <si>
    <t>BR-1352</t>
  </si>
  <si>
    <t>FR-1353</t>
  </si>
  <si>
    <t>BR-1354</t>
  </si>
  <si>
    <t>BR-1355</t>
  </si>
  <si>
    <t>FR-1356</t>
  </si>
  <si>
    <t>BR-1357</t>
  </si>
  <si>
    <t>BR-1358</t>
  </si>
  <si>
    <t>FR-1359</t>
  </si>
  <si>
    <t>BR-1360</t>
  </si>
  <si>
    <t>BR-1361</t>
  </si>
  <si>
    <t>FR-1362</t>
  </si>
  <si>
    <t>BR-1363</t>
  </si>
  <si>
    <t>BR-1364</t>
  </si>
  <si>
    <t>FR-1365</t>
  </si>
  <si>
    <t>BR-1366</t>
  </si>
  <si>
    <t>BR-1367</t>
  </si>
  <si>
    <t>FR-1368</t>
  </si>
  <si>
    <t>BR-1369</t>
  </si>
  <si>
    <t>BR-1370</t>
  </si>
  <si>
    <t>FR-1371</t>
  </si>
  <si>
    <t>BR-1372</t>
  </si>
  <si>
    <t>BR-1373</t>
  </si>
  <si>
    <t>FR-1374</t>
  </si>
  <si>
    <t>BR-1375</t>
  </si>
  <si>
    <t>BR-1376</t>
  </si>
  <si>
    <t>FR-1377</t>
  </si>
  <si>
    <t>BR-1378</t>
  </si>
  <si>
    <t>BR-1379</t>
  </si>
  <si>
    <t>FR-1380</t>
  </si>
  <si>
    <t>BR-1381</t>
  </si>
  <si>
    <t>BR-1382</t>
  </si>
  <si>
    <t>FR-1383</t>
  </si>
  <si>
    <t>BR-1384</t>
  </si>
  <si>
    <t>BR-1385</t>
  </si>
  <si>
    <t>FR-1386</t>
  </si>
  <si>
    <t>BR-1387</t>
  </si>
  <si>
    <t>BR-1388</t>
  </si>
  <si>
    <t>FR-1389</t>
  </si>
  <si>
    <t>BR-1390</t>
  </si>
  <si>
    <t>BR-1391</t>
  </si>
  <si>
    <t>FR-1392</t>
  </si>
  <si>
    <t>BR-1393</t>
  </si>
  <si>
    <t>BR-1394</t>
  </si>
  <si>
    <t>FR-1395</t>
  </si>
  <si>
    <t>BR-1396</t>
  </si>
  <si>
    <t>BR-1397</t>
  </si>
  <si>
    <t>FR-1398</t>
  </si>
  <si>
    <t>BR-1399</t>
  </si>
  <si>
    <t>BR-1400</t>
  </si>
  <si>
    <t>FR-1401</t>
  </si>
  <si>
    <t>BR-1402</t>
  </si>
  <si>
    <t>BR-1403</t>
  </si>
  <si>
    <t>FR-1404</t>
  </si>
  <si>
    <t>BR-1405</t>
  </si>
  <si>
    <t>BR-1406</t>
  </si>
  <si>
    <t>FR-1407</t>
  </si>
  <si>
    <t>BR-1408</t>
  </si>
  <si>
    <t>BR-1409</t>
  </si>
  <si>
    <t>FR-1410</t>
  </si>
  <si>
    <t>BR-1411</t>
  </si>
  <si>
    <t>BR-1412</t>
  </si>
  <si>
    <t>FR-1413</t>
  </si>
  <si>
    <t>BR-1414</t>
  </si>
  <si>
    <t>BR-1415</t>
  </si>
  <si>
    <t>FR-1416</t>
  </si>
  <si>
    <t>BR-1417</t>
  </si>
  <si>
    <t>BR-1418</t>
  </si>
  <si>
    <t>FR-1419</t>
  </si>
  <si>
    <t>BR-1420</t>
  </si>
  <si>
    <t>BR-1421</t>
  </si>
  <si>
    <t>FR-1422</t>
  </si>
  <si>
    <t>BR-1423</t>
  </si>
  <si>
    <t>BR-1424</t>
  </si>
  <si>
    <t>FR-1425</t>
  </si>
  <si>
    <t>BR-1426</t>
  </si>
  <si>
    <t>BR-1427</t>
  </si>
  <si>
    <t>FR-1428</t>
  </si>
  <si>
    <t>BR-1429</t>
  </si>
  <si>
    <t>BR-1430</t>
  </si>
  <si>
    <t>FR-1431</t>
  </si>
  <si>
    <t>BR-1432</t>
  </si>
  <si>
    <t>BR-1433</t>
  </si>
  <si>
    <t>FR-1434</t>
  </si>
  <si>
    <t>BR-1435</t>
  </si>
  <si>
    <t>BR-1436</t>
  </si>
  <si>
    <t>FR-1437</t>
  </si>
  <si>
    <t>BR-1438</t>
  </si>
  <si>
    <t>BR-1439</t>
  </si>
  <si>
    <t>FR-1440</t>
  </si>
  <si>
    <t>BR-1441</t>
  </si>
  <si>
    <t>BR-1442</t>
  </si>
  <si>
    <t>FR-1443</t>
  </si>
  <si>
    <t>BR-1444</t>
  </si>
  <si>
    <t>BR-1445</t>
  </si>
  <si>
    <t>FR-1446</t>
  </si>
  <si>
    <t>BR-1447</t>
  </si>
  <si>
    <t>BR-1448</t>
  </si>
  <si>
    <t>FR-1449</t>
  </si>
  <si>
    <t>BR-1450</t>
  </si>
  <si>
    <t>BR-1451</t>
  </si>
  <si>
    <t>FR-1452</t>
  </si>
  <si>
    <t>BR-1453</t>
  </si>
  <si>
    <t>BR-1454</t>
  </si>
  <si>
    <t>FR-1455</t>
  </si>
  <si>
    <t>BR-1456</t>
  </si>
  <si>
    <t>BR-1457</t>
  </si>
  <si>
    <t>FR-1458</t>
  </si>
  <si>
    <t>BR-1459</t>
  </si>
  <si>
    <t>BR-1460</t>
  </si>
  <si>
    <t>FR-1461</t>
  </si>
  <si>
    <t>BR-1462</t>
  </si>
  <si>
    <t>BR-1463</t>
  </si>
  <si>
    <t>FR-1464</t>
  </si>
  <si>
    <t>BR-1465</t>
  </si>
  <si>
    <t>BR-1466</t>
  </si>
  <si>
    <t>FR-1467</t>
  </si>
  <si>
    <t>BR-1468</t>
  </si>
  <si>
    <t>BR-1469</t>
  </si>
  <si>
    <t>FR-1470</t>
  </si>
  <si>
    <t>BR-1471</t>
  </si>
  <si>
    <t>BR-1472</t>
  </si>
  <si>
    <t>FR-1473</t>
  </si>
  <si>
    <t>BR-1474</t>
  </si>
  <si>
    <t>BR-1475</t>
  </si>
  <si>
    <t>FR-1476</t>
  </si>
  <si>
    <t>BR-1477</t>
  </si>
  <si>
    <t>BR-1478</t>
  </si>
  <si>
    <t>FR-1479</t>
  </si>
  <si>
    <t>BR-1480</t>
  </si>
  <si>
    <t>BR-1481</t>
  </si>
  <si>
    <t>FR-1482</t>
  </si>
  <si>
    <t>BR-1483</t>
  </si>
  <si>
    <t>BR-1484</t>
  </si>
  <si>
    <t>FR-1485</t>
  </si>
  <si>
    <t>BR-1486</t>
  </si>
  <si>
    <t>BR-1487</t>
  </si>
  <si>
    <t>FR-1488</t>
  </si>
  <si>
    <t>BR-1489</t>
  </si>
  <si>
    <t>BR-1490</t>
  </si>
  <si>
    <t>FR-1491</t>
  </si>
  <si>
    <t>BR-1492</t>
  </si>
  <si>
    <t>BR-1493</t>
  </si>
  <si>
    <t>FR-1494</t>
  </si>
  <si>
    <t>BR-1495</t>
  </si>
  <si>
    <t>BR-1496</t>
  </si>
  <si>
    <t>S011039: Success</t>
  </si>
  <si>
    <t>S011041: Success</t>
  </si>
  <si>
    <t>S011045: Success</t>
  </si>
  <si>
    <t>S011047: Success</t>
  </si>
  <si>
    <t>S011051: Success</t>
  </si>
  <si>
    <t>S011053: Success</t>
  </si>
  <si>
    <t>S011057: Success</t>
  </si>
  <si>
    <t>S011059: Success</t>
  </si>
  <si>
    <t>S011063: Success</t>
  </si>
  <si>
    <t>S011065: Success</t>
  </si>
  <si>
    <t>S011069: Success</t>
  </si>
  <si>
    <t>S011071: Success</t>
  </si>
  <si>
    <t>S011075: Success</t>
  </si>
  <si>
    <t>S011077: Success</t>
  </si>
  <si>
    <t>S011081: Success</t>
  </si>
  <si>
    <t>S011083: Success</t>
  </si>
  <si>
    <t>S011084: Success</t>
  </si>
  <si>
    <t>S011086: Success</t>
  </si>
  <si>
    <t>S011087: Success</t>
  </si>
  <si>
    <t>S011089: Success</t>
  </si>
  <si>
    <t>S011090: Success</t>
  </si>
  <si>
    <t>S011092: Success</t>
  </si>
  <si>
    <t>S011093: Success</t>
  </si>
  <si>
    <t>S011095: Success</t>
  </si>
  <si>
    <t>S011096: Success</t>
  </si>
  <si>
    <t>S011098: Success</t>
  </si>
  <si>
    <t>S011099: Success</t>
  </si>
  <si>
    <t>S011313: Success</t>
  </si>
  <si>
    <t>S011315: Success</t>
  </si>
  <si>
    <t>S011319: Success</t>
  </si>
  <si>
    <t>S011321: Success</t>
  </si>
  <si>
    <t>S011325: Success</t>
  </si>
  <si>
    <t>S011327: Success</t>
  </si>
  <si>
    <t>S011330: Success</t>
  </si>
  <si>
    <t>S011331: Success</t>
  </si>
  <si>
    <t>S011333: Success</t>
  </si>
  <si>
    <t>S011334: Success</t>
  </si>
  <si>
    <t>S011336: Success</t>
  </si>
  <si>
    <t>S011337: Success</t>
  </si>
  <si>
    <t>S011339: Success</t>
  </si>
  <si>
    <t>S011340: Success</t>
  </si>
  <si>
    <t>S011342: Success</t>
  </si>
  <si>
    <t>S011343: Success</t>
  </si>
  <si>
    <t>S011345: Success</t>
  </si>
  <si>
    <t>S011346: Success</t>
  </si>
  <si>
    <t>S011348: Success</t>
  </si>
  <si>
    <t>S011349: Success</t>
  </si>
  <si>
    <t>S011351: Success</t>
  </si>
  <si>
    <t>S011352: Success</t>
  </si>
  <si>
    <t>S011354: Success</t>
  </si>
  <si>
    <t>S011355: Success</t>
  </si>
  <si>
    <t>S011357: Success</t>
  </si>
  <si>
    <t>S011358: Success</t>
  </si>
  <si>
    <t>S011360: Success</t>
  </si>
  <si>
    <t>S011361: Success</t>
  </si>
  <si>
    <t>S011363: Success</t>
  </si>
  <si>
    <t>S011364: Success</t>
  </si>
  <si>
    <t>S011366: Success</t>
  </si>
  <si>
    <t>S011367: Success</t>
  </si>
  <si>
    <t>S011369: Success</t>
  </si>
  <si>
    <t>S011370: Success</t>
  </si>
  <si>
    <t>S011372: Success</t>
  </si>
  <si>
    <t>S011373: Success</t>
  </si>
  <si>
    <t>S011375: Success</t>
  </si>
  <si>
    <t>S011376: Success</t>
  </si>
  <si>
    <t>S011378: Success</t>
  </si>
  <si>
    <t>S011379: Success</t>
  </si>
  <si>
    <t>S011381: Success</t>
  </si>
  <si>
    <t>S011382: Success</t>
  </si>
  <si>
    <t>S011384: Success</t>
  </si>
  <si>
    <t>S011385: Success</t>
  </si>
  <si>
    <t>S011387: Success</t>
  </si>
  <si>
    <t>S011388: Success</t>
  </si>
  <si>
    <t>S011390: Success</t>
  </si>
  <si>
    <t>S011391: Success</t>
  </si>
  <si>
    <t>S011393: Success</t>
  </si>
  <si>
    <t>S011394: Success</t>
  </si>
  <si>
    <t>S011396: Success</t>
  </si>
  <si>
    <t>S011397: Success</t>
  </si>
  <si>
    <t>S011399: Success</t>
  </si>
  <si>
    <t>S011400: Success</t>
  </si>
  <si>
    <t>S011402: Success</t>
  </si>
  <si>
    <t>S011403: Success</t>
  </si>
  <si>
    <t>S011405: Success</t>
  </si>
  <si>
    <t>S011406: Success</t>
  </si>
  <si>
    <t>S011408: Success</t>
  </si>
  <si>
    <t>S011409: Success</t>
  </si>
  <si>
    <t>S011411: Success</t>
  </si>
  <si>
    <t>S011412: Success</t>
  </si>
  <si>
    <t>S011414: Success</t>
  </si>
  <si>
    <t>S011415: Success</t>
  </si>
  <si>
    <t>S011417: Success</t>
  </si>
  <si>
    <t>S011418: Success</t>
  </si>
  <si>
    <t>S011420: Success</t>
  </si>
  <si>
    <t>S011421: Success</t>
  </si>
  <si>
    <t>S011423: Success</t>
  </si>
  <si>
    <t>S011424: Success</t>
  </si>
  <si>
    <t>S011426: Success</t>
  </si>
  <si>
    <t>S011427: Success</t>
  </si>
  <si>
    <t>S011429: Success</t>
  </si>
  <si>
    <t>S011430: Success</t>
  </si>
  <si>
    <t>S011432: Success</t>
  </si>
  <si>
    <t>S011433: Success</t>
  </si>
  <si>
    <t>S011435: Success</t>
  </si>
  <si>
    <t>S011436: Success</t>
  </si>
  <si>
    <t>S011438: Success</t>
  </si>
  <si>
    <t>S011439: Success</t>
  </si>
  <si>
    <t>S011441: Success</t>
  </si>
  <si>
    <t>S011442: Success</t>
  </si>
  <si>
    <t>S011444: Success</t>
  </si>
  <si>
    <t>S011445: Success</t>
  </si>
  <si>
    <t>S011447: Success</t>
  </si>
  <si>
    <t>S011448: Success</t>
  </si>
  <si>
    <t>S011450: Success</t>
  </si>
  <si>
    <t>S011451: Success</t>
  </si>
  <si>
    <t>S011453: Success</t>
  </si>
  <si>
    <t>S011454: Success</t>
  </si>
  <si>
    <t>S011456: Success</t>
  </si>
  <si>
    <t>S011457: Success</t>
  </si>
  <si>
    <t>S011459: Success</t>
  </si>
  <si>
    <t>S011460: Success</t>
  </si>
  <si>
    <t>S011462: Success</t>
  </si>
  <si>
    <t>S011463: Success</t>
  </si>
  <si>
    <t>S011465: Success</t>
  </si>
  <si>
    <t>S011466: Success</t>
  </si>
  <si>
    <t>S011468: Success</t>
  </si>
  <si>
    <t>S011469: Success</t>
  </si>
  <si>
    <t>S011471: Success</t>
  </si>
  <si>
    <t>S011472: Success</t>
  </si>
  <si>
    <t>S011474: Success</t>
  </si>
  <si>
    <t>S011475: Success</t>
  </si>
  <si>
    <t>S011477: Success</t>
  </si>
  <si>
    <t>S011478: Success</t>
  </si>
  <si>
    <t>S011480: Success</t>
  </si>
  <si>
    <t>S011481: Success</t>
  </si>
  <si>
    <t>S011483: Success</t>
  </si>
  <si>
    <t>S011484: Success</t>
  </si>
  <si>
    <t>S011486: Success</t>
  </si>
  <si>
    <t>S011487: Success</t>
  </si>
  <si>
    <t>S011489: Success</t>
  </si>
  <si>
    <t>S011490: Success</t>
  </si>
  <si>
    <t>S011492: Success</t>
  </si>
  <si>
    <t>S011493: Success</t>
  </si>
  <si>
    <t>S011495: Success</t>
  </si>
  <si>
    <t>S011496: Success</t>
  </si>
  <si>
    <t>S010346: Success</t>
  </si>
  <si>
    <t>S010352: Success</t>
  </si>
  <si>
    <t>S010356: Success</t>
  </si>
  <si>
    <t>S010360: Success</t>
  </si>
  <si>
    <t>S010364: Success</t>
  </si>
  <si>
    <t>S010382: Success</t>
  </si>
  <si>
    <t>S010386: Success</t>
  </si>
  <si>
    <t>S010390: Success</t>
  </si>
  <si>
    <t>S010394: Success</t>
  </si>
  <si>
    <t>S010400: Success</t>
  </si>
  <si>
    <t>S010567: Success</t>
  </si>
  <si>
    <t>S010571: Success</t>
  </si>
  <si>
    <t>S010575: Success</t>
  </si>
  <si>
    <t>S010579: Success</t>
  </si>
  <si>
    <t>S010585: Success</t>
  </si>
  <si>
    <t>S010343: Success</t>
  </si>
  <si>
    <t>S010345: Success</t>
  </si>
  <si>
    <t>S010347: Success</t>
  </si>
  <si>
    <t>S010349: Success</t>
  </si>
  <si>
    <t>S010351: Success</t>
  </si>
  <si>
    <t>S010353: Success</t>
  </si>
  <si>
    <t>S010355: Success</t>
  </si>
  <si>
    <t>S010357: Success</t>
  </si>
  <si>
    <t>S010359: Success</t>
  </si>
  <si>
    <t>S010361: Success</t>
  </si>
  <si>
    <t>S010363: Success</t>
  </si>
  <si>
    <t>S010365: Success</t>
  </si>
  <si>
    <t>S010367: Success</t>
  </si>
  <si>
    <t>S010369: Success</t>
  </si>
  <si>
    <t>S010381: Success</t>
  </si>
  <si>
    <t>S010383: Success</t>
  </si>
  <si>
    <t>S010385: Success</t>
  </si>
  <si>
    <t>S010387: Success</t>
  </si>
  <si>
    <t>S010389: Success</t>
  </si>
  <si>
    <t>S010391: Success</t>
  </si>
  <si>
    <t>S010393: Success</t>
  </si>
  <si>
    <t>S010395: Success</t>
  </si>
  <si>
    <t>S010397: Success</t>
  </si>
  <si>
    <t>S010399: Success</t>
  </si>
  <si>
    <t>S010562: Success</t>
  </si>
  <si>
    <t>S010564: Success</t>
  </si>
  <si>
    <t>S010566: Success</t>
  </si>
  <si>
    <t>S010568: Success</t>
  </si>
  <si>
    <t>S010570: Success</t>
  </si>
  <si>
    <t>S010572: Success</t>
  </si>
  <si>
    <t>S010574: Success</t>
  </si>
  <si>
    <t>S010576: Success</t>
  </si>
  <si>
    <t>S010578: Success</t>
  </si>
  <si>
    <t>S010580: Success</t>
  </si>
  <si>
    <t>S010582: Success</t>
  </si>
  <si>
    <t>S010584: Success</t>
  </si>
  <si>
    <t>S010586: Success</t>
  </si>
  <si>
    <t>S010588: Success</t>
  </si>
  <si>
    <t>S010590: Success</t>
  </si>
  <si>
    <t>S011043: Success</t>
  </si>
  <si>
    <t>S011049: Success</t>
  </si>
  <si>
    <t>S011055: Success</t>
  </si>
  <si>
    <t>S011061: Success</t>
  </si>
  <si>
    <t>S011067: Success</t>
  </si>
  <si>
    <t>S011073: Success</t>
  </si>
  <si>
    <t>S011079: Success</t>
  </si>
  <si>
    <t>S011085: Success</t>
  </si>
  <si>
    <t>S011088: Success</t>
  </si>
  <si>
    <t>S011091: Success</t>
  </si>
  <si>
    <t>S011094: Success</t>
  </si>
  <si>
    <t>S011097: Success</t>
  </si>
  <si>
    <t>S011100: Success</t>
  </si>
  <si>
    <t>S011311: Success</t>
  </si>
  <si>
    <t>S011317: Success</t>
  </si>
  <si>
    <t>S011323: Success</t>
  </si>
  <si>
    <t>S011329: Success</t>
  </si>
  <si>
    <t>S011332: Success</t>
  </si>
  <si>
    <t>S011335: Success</t>
  </si>
  <si>
    <t>S011338: Success</t>
  </si>
  <si>
    <t>S011341: Success</t>
  </si>
  <si>
    <t>S011344: Success</t>
  </si>
  <si>
    <t>S011347: Success</t>
  </si>
  <si>
    <t>S011350: Success</t>
  </si>
  <si>
    <t>S011353: Success</t>
  </si>
  <si>
    <t>S011356: Success</t>
  </si>
  <si>
    <t>S011359: Success</t>
  </si>
  <si>
    <t>S011362: Success</t>
  </si>
  <si>
    <t>S011365: Success</t>
  </si>
  <si>
    <t>S011368: Success</t>
  </si>
  <si>
    <t>S011371: Success</t>
  </si>
  <si>
    <t>S011374: Success</t>
  </si>
  <si>
    <t>S011377: Success</t>
  </si>
  <si>
    <t>S011380: Success</t>
  </si>
  <si>
    <t>S011383: Success</t>
  </si>
  <si>
    <t>S011386: Success</t>
  </si>
  <si>
    <t>S011389: Success</t>
  </si>
  <si>
    <t>S011392: Success</t>
  </si>
  <si>
    <t>S011395: Success</t>
  </si>
  <si>
    <t>S011398: Success</t>
  </si>
  <si>
    <t>S011401: Success</t>
  </si>
  <si>
    <t>S011404: Success</t>
  </si>
  <si>
    <t>S011407: Success</t>
  </si>
  <si>
    <t>S011410: Success</t>
  </si>
  <si>
    <t>S011413: Success</t>
  </si>
  <si>
    <t>S011416: Success</t>
  </si>
  <si>
    <t>S011419: Success</t>
  </si>
  <si>
    <t>S011422: Success</t>
  </si>
  <si>
    <t>S011425: Success</t>
  </si>
  <si>
    <t>S011428: Success</t>
  </si>
  <si>
    <t>S011431: Success</t>
  </si>
  <si>
    <t>S011434: Success</t>
  </si>
  <si>
    <t>S011437: Success</t>
  </si>
  <si>
    <t>S011440: Success</t>
  </si>
  <si>
    <t>S011443: Success</t>
  </si>
  <si>
    <t>S011446: Success</t>
  </si>
  <si>
    <t>S011449: Success</t>
  </si>
  <si>
    <t>S011452: Success</t>
  </si>
  <si>
    <t>S011455: Success</t>
  </si>
  <si>
    <t>S011458: Success</t>
  </si>
  <si>
    <t>S011461: Success</t>
  </si>
  <si>
    <t>S011464: Success</t>
  </si>
  <si>
    <t>S011467: Success</t>
  </si>
  <si>
    <t>S011470: Success</t>
  </si>
  <si>
    <t>S011473: Success</t>
  </si>
  <si>
    <t>S011476: Success</t>
  </si>
  <si>
    <t>S011479: Success</t>
  </si>
  <si>
    <t>S011482: Success</t>
  </si>
  <si>
    <t>S011485: Success</t>
  </si>
  <si>
    <t>S011488: Success</t>
  </si>
  <si>
    <t>S011491: Success</t>
  </si>
  <si>
    <t>S011494: Success</t>
  </si>
  <si>
    <t>S010001: Success</t>
  </si>
  <si>
    <t>S010002: Success</t>
  </si>
  <si>
    <t>S010003: Success</t>
  </si>
  <si>
    <t>S010004: Success</t>
  </si>
  <si>
    <t>S010005: Success</t>
  </si>
  <si>
    <t>S010006: Success</t>
  </si>
  <si>
    <t>S010007: Success</t>
  </si>
  <si>
    <t>S010008: Success</t>
  </si>
  <si>
    <t>S010009: Success</t>
  </si>
  <si>
    <t>S010010: Success</t>
  </si>
  <si>
    <t>S010011: Success</t>
  </si>
  <si>
    <t>S010012: Success</t>
  </si>
  <si>
    <t>S010013: Success</t>
  </si>
  <si>
    <t>S010014: Success</t>
  </si>
  <si>
    <t>S010015: Success</t>
  </si>
  <si>
    <t>S010016: Success</t>
  </si>
  <si>
    <t>S010017: Success</t>
  </si>
  <si>
    <t>S010018: Success</t>
  </si>
  <si>
    <t>S010019: Success</t>
  </si>
  <si>
    <t>S010020: Success</t>
  </si>
  <si>
    <t>S010031: Success</t>
  </si>
  <si>
    <t>S010032: Success</t>
  </si>
  <si>
    <t>S010033: Success</t>
  </si>
  <si>
    <t>S010034: Success</t>
  </si>
  <si>
    <t>S010035: Success</t>
  </si>
  <si>
    <t>S010036: Success</t>
  </si>
  <si>
    <t>S010037: Success</t>
  </si>
  <si>
    <t>S010038: Success</t>
  </si>
  <si>
    <t>S010039: Success</t>
  </si>
  <si>
    <t>S010040: Success</t>
  </si>
  <si>
    <t>S010041: Success</t>
  </si>
  <si>
    <t>S010042: Success</t>
  </si>
  <si>
    <t>S010043: Success</t>
  </si>
  <si>
    <t>S010044: Success</t>
  </si>
  <si>
    <t>S010045: Success</t>
  </si>
  <si>
    <t>S010046: Success</t>
  </si>
  <si>
    <t>S010047: Success</t>
  </si>
  <si>
    <t>S010048: Success</t>
  </si>
  <si>
    <t>S010049: Success</t>
  </si>
  <si>
    <t>S010050: Success</t>
  </si>
  <si>
    <t>S010051: Success</t>
  </si>
  <si>
    <t>S010052: Success</t>
  </si>
  <si>
    <t>S010053: Success</t>
  </si>
  <si>
    <t>S010054: Success</t>
  </si>
  <si>
    <t>S010055: Success</t>
  </si>
  <si>
    <t>S010056: Success</t>
  </si>
  <si>
    <t>S010061: Success</t>
  </si>
  <si>
    <t>S010062: Success</t>
  </si>
  <si>
    <t>S010063: Success</t>
  </si>
  <si>
    <t>S010064: Success</t>
  </si>
  <si>
    <t>S010065: Success</t>
  </si>
  <si>
    <t>S010066: Success</t>
  </si>
  <si>
    <t>S010067: Success</t>
  </si>
  <si>
    <t>S010068: Success</t>
  </si>
  <si>
    <t>S010069: Success</t>
  </si>
  <si>
    <t>S010070: Success</t>
  </si>
  <si>
    <t>S010071: Success</t>
  </si>
  <si>
    <t>S010072: Success</t>
  </si>
  <si>
    <t>S010073: Success</t>
  </si>
  <si>
    <t>S010074: Success</t>
  </si>
  <si>
    <t>S010081: Success</t>
  </si>
  <si>
    <t>S010082: Success</t>
  </si>
  <si>
    <t>S010083: Success</t>
  </si>
  <si>
    <t>S010084: Success</t>
  </si>
  <si>
    <t>S010085: Success</t>
  </si>
  <si>
    <t>S010086: Success</t>
  </si>
  <si>
    <t>S010087: Success</t>
  </si>
  <si>
    <t>S010088: Success</t>
  </si>
  <si>
    <t>S010089: Success</t>
  </si>
  <si>
    <t>S010090: Success</t>
  </si>
  <si>
    <t>S010141: Success</t>
  </si>
  <si>
    <t>S010142: Success</t>
  </si>
  <si>
    <t>S010143: Success</t>
  </si>
  <si>
    <t>S010144: Success</t>
  </si>
  <si>
    <t>S010145: Success</t>
  </si>
  <si>
    <t>S010146: Success</t>
  </si>
  <si>
    <t>S010147: Success</t>
  </si>
  <si>
    <t>S010148: Success</t>
  </si>
  <si>
    <t>S010149: Success</t>
  </si>
  <si>
    <t>S010150: Success</t>
  </si>
  <si>
    <t>S010151: Success</t>
  </si>
  <si>
    <t>S010152: Success</t>
  </si>
  <si>
    <t>S010153: Success</t>
  </si>
  <si>
    <t>S010154: Success</t>
  </si>
  <si>
    <t>S010155: Success</t>
  </si>
  <si>
    <t>S010156: Success</t>
  </si>
  <si>
    <t>S010157: Success</t>
  </si>
  <si>
    <t>S010158: Success</t>
  </si>
  <si>
    <t>S010159: Success</t>
  </si>
  <si>
    <t>S010160: Success</t>
  </si>
  <si>
    <t>S010161: Success</t>
  </si>
  <si>
    <t>S010162: Success</t>
  </si>
  <si>
    <t>S010163: Success</t>
  </si>
  <si>
    <t>S010164: Success</t>
  </si>
  <si>
    <t>S010165: Success</t>
  </si>
  <si>
    <t>S010166: Success</t>
  </si>
  <si>
    <t>S010167: Success</t>
  </si>
  <si>
    <t>S010168: Success</t>
  </si>
  <si>
    <t>S010171: Success</t>
  </si>
  <si>
    <t>S010172: Success</t>
  </si>
  <si>
    <t>S010173: Success</t>
  </si>
  <si>
    <t>S010174: Success</t>
  </si>
  <si>
    <t>S010175: Success</t>
  </si>
  <si>
    <t>S010176: Success</t>
  </si>
  <si>
    <t>S010177: Success</t>
  </si>
  <si>
    <t>S010178: Success</t>
  </si>
  <si>
    <t>S010179: Success</t>
  </si>
  <si>
    <t>S010180: Success</t>
  </si>
  <si>
    <t>S010181: Success</t>
  </si>
  <si>
    <t>S010182: Success</t>
  </si>
  <si>
    <t>S010183: Success</t>
  </si>
  <si>
    <t>S010184: Success</t>
  </si>
  <si>
    <t>S010185: Success</t>
  </si>
  <si>
    <t>S010186: Success</t>
  </si>
  <si>
    <t>S010187: Success</t>
  </si>
  <si>
    <t>S010188: Success</t>
  </si>
  <si>
    <t>S010189: Success</t>
  </si>
  <si>
    <t>S010190: Success</t>
  </si>
  <si>
    <t>S010191: Success</t>
  </si>
  <si>
    <t>S010192: Success</t>
  </si>
  <si>
    <t>S010193: Success</t>
  </si>
  <si>
    <t>S010194: Success</t>
  </si>
  <si>
    <t>S010195: Success</t>
  </si>
  <si>
    <t>S010196: Success</t>
  </si>
  <si>
    <t>S010197: Success</t>
  </si>
  <si>
    <t>S010198: Success</t>
  </si>
  <si>
    <t>S010199: Success</t>
  </si>
  <si>
    <t>S010200: Success</t>
  </si>
  <si>
    <t>S010330: Success</t>
  </si>
  <si>
    <t>S010727: Success</t>
  </si>
  <si>
    <t>S010728: Success</t>
  </si>
  <si>
    <t>S010729: Success</t>
  </si>
  <si>
    <t>S010730: Success</t>
  </si>
  <si>
    <t>S010731: Success</t>
  </si>
  <si>
    <t>S010732: Success</t>
  </si>
  <si>
    <t>S010733: Success</t>
  </si>
  <si>
    <t>S010734: Success</t>
  </si>
  <si>
    <t>S010735: Success</t>
  </si>
  <si>
    <t>S010736: Success</t>
  </si>
  <si>
    <t>S010737: Success</t>
  </si>
  <si>
    <t>S010738: Success</t>
  </si>
  <si>
    <t>S010739: Success</t>
  </si>
  <si>
    <t>S010740: Success</t>
  </si>
  <si>
    <t>S010741: Success</t>
  </si>
  <si>
    <t>S010742: Success</t>
  </si>
  <si>
    <t>S010743: Success</t>
  </si>
  <si>
    <t>S010744: Success</t>
  </si>
  <si>
    <t>S010745: Success</t>
  </si>
  <si>
    <t>S010746: Success</t>
  </si>
  <si>
    <t>S010747: Success</t>
  </si>
  <si>
    <t>S010748: Success</t>
  </si>
  <si>
    <t>S010749: Success</t>
  </si>
  <si>
    <t>S010750: Success</t>
  </si>
  <si>
    <t>S010751: Success</t>
  </si>
  <si>
    <t>S010752: Success</t>
  </si>
  <si>
    <t>S010753: Success</t>
  </si>
  <si>
    <t>S010754: Success</t>
  </si>
  <si>
    <t>S010761: Success</t>
  </si>
  <si>
    <t>S010762: Success</t>
  </si>
  <si>
    <t>S010763: Success</t>
  </si>
  <si>
    <t>S010764: Success</t>
  </si>
  <si>
    <t>S010765: Success</t>
  </si>
  <si>
    <t>S010766: Success</t>
  </si>
  <si>
    <t>S010767: Success</t>
  </si>
  <si>
    <t>S010768: Success</t>
  </si>
  <si>
    <t>S010769: Success</t>
  </si>
  <si>
    <t>S010770: Success</t>
  </si>
  <si>
    <t>S010771: Success</t>
  </si>
  <si>
    <t>S010772: Success</t>
  </si>
  <si>
    <t>S010773: Success</t>
  </si>
  <si>
    <t>S010774: Success</t>
  </si>
  <si>
    <t>S010775: Success</t>
  </si>
  <si>
    <t>S010776: Success</t>
  </si>
  <si>
    <t>S010777: Success</t>
  </si>
  <si>
    <t>S010778: Success</t>
  </si>
  <si>
    <t>S010779: Success</t>
  </si>
  <si>
    <t>S010780: Success</t>
  </si>
  <si>
    <t>S010781: Success</t>
  </si>
  <si>
    <t>S010782: Success</t>
  </si>
  <si>
    <t>S010783: Success</t>
  </si>
  <si>
    <t>S010784: Success</t>
  </si>
  <si>
    <t>S010785: Success</t>
  </si>
  <si>
    <t>S010786: Success</t>
  </si>
  <si>
    <t>S010787: Success</t>
  </si>
  <si>
    <t>S010788: Success</t>
  </si>
  <si>
    <t>S010791: Success</t>
  </si>
  <si>
    <t>S010792: Success</t>
  </si>
  <si>
    <t>S010793: Success</t>
  </si>
  <si>
    <t>S010794: Success</t>
  </si>
  <si>
    <t>S010795: Success</t>
  </si>
  <si>
    <t>S010796: Success</t>
  </si>
  <si>
    <t>S010797: Success</t>
  </si>
  <si>
    <t>S010798: Success</t>
  </si>
  <si>
    <t>S010799: Success</t>
  </si>
  <si>
    <t>S010800: Success</t>
  </si>
  <si>
    <t>ShippingSorter1Controller</t>
  </si>
  <si>
    <t>S011344: Gap Error</t>
  </si>
  <si>
    <t>S011344: No Destination Received</t>
  </si>
  <si>
    <t>S011347: Lane Full</t>
  </si>
  <si>
    <t>S011347: Lane Non-Operational</t>
  </si>
  <si>
    <t>S011347: Throughput Limit</t>
  </si>
  <si>
    <t>S011347: Failed to Divert</t>
  </si>
  <si>
    <t>S011347: Tracking Error</t>
  </si>
  <si>
    <t>S011347: Gap Error</t>
  </si>
  <si>
    <t>S011347: No Destination Received</t>
  </si>
  <si>
    <t>S011353: Lane Full</t>
  </si>
  <si>
    <t>S011353: Lane Non-Operational</t>
  </si>
  <si>
    <t>S011353: Throughput Limit</t>
  </si>
  <si>
    <t>S011353: Failed to Divert</t>
  </si>
  <si>
    <t>S011353: Tracking Error</t>
  </si>
  <si>
    <t>S011353: Gap Error</t>
  </si>
  <si>
    <t>S011353: No Destination Received</t>
  </si>
  <si>
    <t>S011356: Lane Full</t>
  </si>
  <si>
    <t>S011356: Lane Non-Operational</t>
  </si>
  <si>
    <t>S011356: Throughput Limit</t>
  </si>
  <si>
    <t>S011356: Failed to Divert</t>
  </si>
  <si>
    <t>S011356: Tracking Error</t>
  </si>
  <si>
    <t>S011356: Gap Error</t>
  </si>
  <si>
    <t>S011356: No Destination Received</t>
  </si>
  <si>
    <t>S011359: Lane Full</t>
  </si>
  <si>
    <t>S011359: Lane Non-Operational</t>
  </si>
  <si>
    <t>S011359: Throughput Limit</t>
  </si>
  <si>
    <t>S011359: Failed to Divert</t>
  </si>
  <si>
    <t>S011359: Tracking Error</t>
  </si>
  <si>
    <t>S011359: Gap Error</t>
  </si>
  <si>
    <t>S011359: No Destination Received</t>
  </si>
  <si>
    <t>S011365: Lane Full</t>
  </si>
  <si>
    <t>S011365: Lane Non-Operational</t>
  </si>
  <si>
    <t>S011365: Throughput Limit</t>
  </si>
  <si>
    <t>S011365: Failed to Divert</t>
  </si>
  <si>
    <t>S011365: Tracking Error</t>
  </si>
  <si>
    <t>S011365: Gap Error</t>
  </si>
  <si>
    <t>S011365: No Destination Received</t>
  </si>
  <si>
    <t>S011368: Lane Full</t>
  </si>
  <si>
    <t>S011368: Lane Non-Operational</t>
  </si>
  <si>
    <t>S011368: Throughput Limit</t>
  </si>
  <si>
    <t>S011368: Failed to Divert</t>
  </si>
  <si>
    <t>S011368: Tracking Error</t>
  </si>
  <si>
    <t>S011368: Gap Error</t>
  </si>
  <si>
    <t>S011368: No Destination Received</t>
  </si>
  <si>
    <t>S011371: Lane Full</t>
  </si>
  <si>
    <t>S011371: Lane Non-Operational</t>
  </si>
  <si>
    <t>S011371: Throughput Limit</t>
  </si>
  <si>
    <t>S011371: Failed to Divert</t>
  </si>
  <si>
    <t>S011371: Tracking Error</t>
  </si>
  <si>
    <t>S011371: Gap Error</t>
  </si>
  <si>
    <t>S011371: No Destination Received</t>
  </si>
  <si>
    <t>S011377: Lane Full</t>
  </si>
  <si>
    <t>S011377: Lane Non-Operational</t>
  </si>
  <si>
    <t>S011377: Throughput Limit</t>
  </si>
  <si>
    <t>S011377: Failed to Divert</t>
  </si>
  <si>
    <t>S011377: Tracking Error</t>
  </si>
  <si>
    <t>S011377: Gap Error</t>
  </si>
  <si>
    <t>S011377: No Destination Received</t>
  </si>
  <si>
    <t>S011383: Lane Full</t>
  </si>
  <si>
    <t>S011383: Lane Non-Operational</t>
  </si>
  <si>
    <t>S011383: Throughput Limit</t>
  </si>
  <si>
    <t>S011383: Failed to Divert</t>
  </si>
  <si>
    <t>S011383: Tracking Error</t>
  </si>
  <si>
    <t>S011383: Gap Error</t>
  </si>
  <si>
    <t>S011383: No Destination Received</t>
  </si>
  <si>
    <t>S011386: Lane Full</t>
  </si>
  <si>
    <t>S011386: Lane Non-Operational</t>
  </si>
  <si>
    <t>S011386: Throughput Limit</t>
  </si>
  <si>
    <t>S011386: Failed to Divert</t>
  </si>
  <si>
    <t>S011386: Tracking Error</t>
  </si>
  <si>
    <t>S011386: Gap Error</t>
  </si>
  <si>
    <t>S011386: No Destination Received</t>
  </si>
  <si>
    <t>S011389: Lane Full</t>
  </si>
  <si>
    <t>S011389: Lane Non-Operational</t>
  </si>
  <si>
    <t>S011389: Throughput Limit</t>
  </si>
  <si>
    <t>S011389: Failed to Divert</t>
  </si>
  <si>
    <t>S011389: Tracking Error</t>
  </si>
  <si>
    <t>S011389: Gap Error</t>
  </si>
  <si>
    <t>S011389: No Destination Received</t>
  </si>
  <si>
    <t>S011392: Lane Full</t>
  </si>
  <si>
    <t>S011392: Lane Non-Operational</t>
  </si>
  <si>
    <t>S011392: Throughput Limit</t>
  </si>
  <si>
    <t>S011392: Failed to Divert</t>
  </si>
  <si>
    <t>S011392: Tracking Error</t>
  </si>
  <si>
    <t>S011392: Gap Error</t>
  </si>
  <si>
    <t>S011392: No Destination Received</t>
  </si>
  <si>
    <t>S011395: Lane Full</t>
  </si>
  <si>
    <t>S011395: Lane Non-Operational</t>
  </si>
  <si>
    <t>S011395: Throughput Limit</t>
  </si>
  <si>
    <t>S011395: Failed to Divert</t>
  </si>
  <si>
    <t>S011395: Tracking Error</t>
  </si>
  <si>
    <t>S011395: Gap Error</t>
  </si>
  <si>
    <t>S011395: No Destination Received</t>
  </si>
  <si>
    <t>S011398: Lane Full</t>
  </si>
  <si>
    <t>S011398: Lane Non-Operational</t>
  </si>
  <si>
    <t>S011398: Throughput Limit</t>
  </si>
  <si>
    <t>S011398: Failed to Divert</t>
  </si>
  <si>
    <t>S011398: Tracking Error</t>
  </si>
  <si>
    <t>S011398: Gap Error</t>
  </si>
  <si>
    <t>S011398: No Destination Received</t>
  </si>
  <si>
    <t>S011401: Lane Full</t>
  </si>
  <si>
    <t>S011401: Lane Non-Operational</t>
  </si>
  <si>
    <t>S011401: Throughput Limit</t>
  </si>
  <si>
    <t>S011401: Failed to Divert</t>
  </si>
  <si>
    <t>S011401: Tracking Error</t>
  </si>
  <si>
    <t>S011401: Gap Error</t>
  </si>
  <si>
    <t>S011401: No Destination Received</t>
  </si>
  <si>
    <t>S011404: Lane Full</t>
  </si>
  <si>
    <t>S011404: Lane Non-Operational</t>
  </si>
  <si>
    <t>S011404: Throughput Limit</t>
  </si>
  <si>
    <t>S011404: Failed to Divert</t>
  </si>
  <si>
    <t>S011404: Tracking Error</t>
  </si>
  <si>
    <t>S011404: Gap Error</t>
  </si>
  <si>
    <t>S011404: No Destination Received</t>
  </si>
  <si>
    <t>S011407: Lane Full</t>
  </si>
  <si>
    <t>S011407: Lane Non-Operational</t>
  </si>
  <si>
    <t>S011407: Throughput Limit</t>
  </si>
  <si>
    <t>S011407: Failed to Divert</t>
  </si>
  <si>
    <t>S011407: Tracking Error</t>
  </si>
  <si>
    <t>S011407: Gap Error</t>
  </si>
  <si>
    <t>S011407: No Destination Received</t>
  </si>
  <si>
    <t>S011410: Lane Full</t>
  </si>
  <si>
    <t>S011410: Lane Non-Operational</t>
  </si>
  <si>
    <t>S011410: Throughput Limit</t>
  </si>
  <si>
    <t>S011410: Failed to Divert</t>
  </si>
  <si>
    <t>S011410: Tracking Error</t>
  </si>
  <si>
    <t>S011410: Gap Error</t>
  </si>
  <si>
    <t>S011410: No Destination Received</t>
  </si>
  <si>
    <t>S011413: Lane Full</t>
  </si>
  <si>
    <t>S011413: Lane Non-Operational</t>
  </si>
  <si>
    <t>S011413: Throughput Limit</t>
  </si>
  <si>
    <t>S011413: Failed to Divert</t>
  </si>
  <si>
    <t>S011413: Tracking Error</t>
  </si>
  <si>
    <t>S011413: Gap Error</t>
  </si>
  <si>
    <t>S011413: No Destination Received</t>
  </si>
  <si>
    <t>S011416: Lane Full</t>
  </si>
  <si>
    <t>S011416: Lane Non-Operational</t>
  </si>
  <si>
    <t>S011416: Throughput Limit</t>
  </si>
  <si>
    <t>S011416: Failed to Divert</t>
  </si>
  <si>
    <t>S011416: Tracking Error</t>
  </si>
  <si>
    <t>S011416: Gap Error</t>
  </si>
  <si>
    <t>S011416: No Destination Received</t>
  </si>
  <si>
    <t>S011419: Lane Full</t>
  </si>
  <si>
    <t>S011419: Lane Non-Operational</t>
  </si>
  <si>
    <t>S011419: Throughput Limit</t>
  </si>
  <si>
    <t>S011419: Failed to Divert</t>
  </si>
  <si>
    <t>S011419: Tracking Error</t>
  </si>
  <si>
    <t>S011419: Gap Error</t>
  </si>
  <si>
    <t>S011419: No Destination Received</t>
  </si>
  <si>
    <t>S011422: Lane Full</t>
  </si>
  <si>
    <t>S011422: Lane Non-Operational</t>
  </si>
  <si>
    <t>S011422: Throughput Limit</t>
  </si>
  <si>
    <t>S011422: Failed to Divert</t>
  </si>
  <si>
    <t>S011422: Tracking Error</t>
  </si>
  <si>
    <t>S011422: Gap Error</t>
  </si>
  <si>
    <t>S011422: No Destination Received</t>
  </si>
  <si>
    <t>S011425: Lane Full</t>
  </si>
  <si>
    <t>S011425: Lane Non-Operational</t>
  </si>
  <si>
    <t>S011425: Throughput Limit</t>
  </si>
  <si>
    <t>S011425: Failed to Divert</t>
  </si>
  <si>
    <t>S011425: Tracking Error</t>
  </si>
  <si>
    <t>S011425: Gap Error</t>
  </si>
  <si>
    <t>S011425: No Destination Received</t>
  </si>
  <si>
    <t>S011431: Lane Full</t>
  </si>
  <si>
    <t>S011431: Lane Non-Operational</t>
  </si>
  <si>
    <t>S011431: Throughput Limit</t>
  </si>
  <si>
    <t>S011431: Failed to Divert</t>
  </si>
  <si>
    <t>S011431: Tracking Error</t>
  </si>
  <si>
    <t>S011431: Gap Error</t>
  </si>
  <si>
    <t>S011431: No Destination Received</t>
  </si>
  <si>
    <t>S011434: Lane Full</t>
  </si>
  <si>
    <t>S011434: Lane Non-Operational</t>
  </si>
  <si>
    <t>S011434: Throughput Limit</t>
  </si>
  <si>
    <t>S011434: Failed to Divert</t>
  </si>
  <si>
    <t>S011434: Tracking Error</t>
  </si>
  <si>
    <t>S011434: Gap Error</t>
  </si>
  <si>
    <t>S011434: No Destination Received</t>
  </si>
  <si>
    <t>S011437: Lane Full</t>
  </si>
  <si>
    <t>S011437: Lane Non-Operational</t>
  </si>
  <si>
    <t>S011437: Throughput Limit</t>
  </si>
  <si>
    <t>S011437: Failed to Divert</t>
  </si>
  <si>
    <t>S011437: Tracking Error</t>
  </si>
  <si>
    <t>S011437: Gap Error</t>
  </si>
  <si>
    <t>S011437: No Destination Received</t>
  </si>
  <si>
    <t>S011440: Lane Full</t>
  </si>
  <si>
    <t>S011440: Lane Non-Operational</t>
  </si>
  <si>
    <t>S011440: Throughput Limit</t>
  </si>
  <si>
    <t>S011440: Failed to Divert</t>
  </si>
  <si>
    <t>S011440: Tracking Error</t>
  </si>
  <si>
    <t>S011440: Gap Error</t>
  </si>
  <si>
    <t>S011440: No Destination Received</t>
  </si>
  <si>
    <t>S011443: Lane Full</t>
  </si>
  <si>
    <t>S011443: Lane Non-Operational</t>
  </si>
  <si>
    <t>S011443: Throughput Limit</t>
  </si>
  <si>
    <t>S011443: Failed to Divert</t>
  </si>
  <si>
    <t>S011443: Tracking Error</t>
  </si>
  <si>
    <t>S011443: Gap Error</t>
  </si>
  <si>
    <t>S011443: No Destination Received</t>
  </si>
  <si>
    <t>S011446: Lane Full</t>
  </si>
  <si>
    <t>S011446: Lane Non-Operational</t>
  </si>
  <si>
    <t>S011446: Throughput Limit</t>
  </si>
  <si>
    <t>S011446: Failed to Divert</t>
  </si>
  <si>
    <t>S011446: Tracking Error</t>
  </si>
  <si>
    <t>S011446: Gap Error</t>
  </si>
  <si>
    <t>S011446: No Destination Received</t>
  </si>
  <si>
    <t>S011452: Lane Full</t>
  </si>
  <si>
    <t>S011452: Lane Non-Operational</t>
  </si>
  <si>
    <t>S011452: Throughput Limit</t>
  </si>
  <si>
    <t>S011452: Failed to Divert</t>
  </si>
  <si>
    <t>S011452: Tracking Error</t>
  </si>
  <si>
    <t>S011452: Gap Error</t>
  </si>
  <si>
    <t>S011452: No Destination Received</t>
  </si>
  <si>
    <t>S011455: Lane Full</t>
  </si>
  <si>
    <t>S011455: Lane Non-Operational</t>
  </si>
  <si>
    <t>S011455: Throughput Limit</t>
  </si>
  <si>
    <t>S011455: Failed to Divert</t>
  </si>
  <si>
    <t>S011455: Tracking Error</t>
  </si>
  <si>
    <t>S011455: Gap Error</t>
  </si>
  <si>
    <t>S011455: No Destination Received</t>
  </si>
  <si>
    <t>S011458: Lane Full</t>
  </si>
  <si>
    <t>S011458: Lane Non-Operational</t>
  </si>
  <si>
    <t>S011458: Throughput Limit</t>
  </si>
  <si>
    <t>S011458: Failed to Divert</t>
  </si>
  <si>
    <t>S011458: Tracking Error</t>
  </si>
  <si>
    <t>S011458: Gap Error</t>
  </si>
  <si>
    <t>S011458: No Destination Received</t>
  </si>
  <si>
    <t>S011461: Lane Full</t>
  </si>
  <si>
    <t>S011461: Lane Non-Operational</t>
  </si>
  <si>
    <t>S011461: Throughput Limit</t>
  </si>
  <si>
    <t>S011461: Failed to Divert</t>
  </si>
  <si>
    <t>S011461: Tracking Error</t>
  </si>
  <si>
    <t>S011461: Gap Error</t>
  </si>
  <si>
    <t>S011461: No Destination Received</t>
  </si>
  <si>
    <t>S011464: Lane Full</t>
  </si>
  <si>
    <t>S011464: Lane Non-Operational</t>
  </si>
  <si>
    <t>S011464: Throughput Limit</t>
  </si>
  <si>
    <t>S011464: Failed to Divert</t>
  </si>
  <si>
    <t>S011464: Tracking Error</t>
  </si>
  <si>
    <t>S011464: Gap Error</t>
  </si>
  <si>
    <t>S011464: No Destination Received</t>
  </si>
  <si>
    <t>S011467: Lane Full</t>
  </si>
  <si>
    <t>S011467: Lane Non-Operational</t>
  </si>
  <si>
    <t>S011467: Throughput Limit</t>
  </si>
  <si>
    <t>S011467: Failed to Divert</t>
  </si>
  <si>
    <t>S011467: Tracking Error</t>
  </si>
  <si>
    <t>S011467: Gap Error</t>
  </si>
  <si>
    <t>S011467: No Destination Received</t>
  </si>
  <si>
    <t>S011476: Lane Full</t>
  </si>
  <si>
    <t>S011476: Lane Non-Operational</t>
  </si>
  <si>
    <t>S011476: Throughput Limit</t>
  </si>
  <si>
    <t>S011476: Failed to Divert</t>
  </si>
  <si>
    <t>S011476: Tracking Error</t>
  </si>
  <si>
    <t>S011476: Gap Error</t>
  </si>
  <si>
    <t>S011476: No Destination Received</t>
  </si>
  <si>
    <t>S011479: Lane Full</t>
  </si>
  <si>
    <t>S011479: Lane Non-Operational</t>
  </si>
  <si>
    <t>S011479: Throughput Limit</t>
  </si>
  <si>
    <t>S011479: Failed to Divert</t>
  </si>
  <si>
    <t>S011479: Tracking Error</t>
  </si>
  <si>
    <t>S011479: Gap Error</t>
  </si>
  <si>
    <t>S011479: No Destination Received</t>
  </si>
  <si>
    <t>S011485: Lane Full</t>
  </si>
  <si>
    <t>S011485: Lane Non-Operational</t>
  </si>
  <si>
    <t>S011485: Throughput Limit</t>
  </si>
  <si>
    <t>S011485: Failed to Divert</t>
  </si>
  <si>
    <t>S011485: Tracking Error</t>
  </si>
  <si>
    <t>S011485: Gap Error</t>
  </si>
  <si>
    <t>S011485: No Destination Received</t>
  </si>
  <si>
    <t>S011488: Lane Full</t>
  </si>
  <si>
    <t>S011488: Lane Non-Operational</t>
  </si>
  <si>
    <t>S011488: Throughput Limit</t>
  </si>
  <si>
    <t>S011488: Failed to Divert</t>
  </si>
  <si>
    <t>S011488: Tracking Error</t>
  </si>
  <si>
    <t>S011488: Gap Error</t>
  </si>
  <si>
    <t>S011488: No Destination Received</t>
  </si>
  <si>
    <t>S011494: Lane Full</t>
  </si>
  <si>
    <t>S011494: Lane Non-Operational</t>
  </si>
  <si>
    <t>S011494: Throughput Limit</t>
  </si>
  <si>
    <t>S011494: Failed to Divert</t>
  </si>
  <si>
    <t>S011494: Tracking Error</t>
  </si>
  <si>
    <t>S011494: Gap Error</t>
  </si>
  <si>
    <t>S011494: No Destination Received</t>
  </si>
  <si>
    <t>S011511: Success</t>
  </si>
  <si>
    <t>S011511: Lane Full</t>
  </si>
  <si>
    <t>S011511: Lane Non-Operational</t>
  </si>
  <si>
    <t>S011511: Throughput Limit</t>
  </si>
  <si>
    <t>S011511: Failed to Divert</t>
  </si>
  <si>
    <t>S011511: Tracking Error</t>
  </si>
  <si>
    <t>S011511: Gap Error</t>
  </si>
  <si>
    <t>S011511: No Destination Received</t>
  </si>
  <si>
    <t>PalletMoved</t>
  </si>
  <si>
    <t>PalletLoaded</t>
  </si>
  <si>
    <t>S011491: Lane Full</t>
  </si>
  <si>
    <t>S011491: Lane Non-Operational</t>
  </si>
  <si>
    <t>S011491: Throughput Limit</t>
  </si>
  <si>
    <t>S011491: Failed to Divert</t>
  </si>
  <si>
    <t>S011491: Tracking Error</t>
  </si>
  <si>
    <t>S011491: Gap Error</t>
  </si>
  <si>
    <t>S011491: No Destination Received</t>
  </si>
  <si>
    <t>S011482: Lane Full</t>
  </si>
  <si>
    <t>S011482: Lane Non-Operational</t>
  </si>
  <si>
    <t>S011482: Throughput Limit</t>
  </si>
  <si>
    <t>S011482: Failed to Divert</t>
  </si>
  <si>
    <t>S011482: Tracking Error</t>
  </si>
  <si>
    <t>S011482: Gap Error</t>
  </si>
  <si>
    <t>S011482: No Destination Received</t>
  </si>
  <si>
    <t>S011428: Lane Full</t>
  </si>
  <si>
    <t>S011428: Lane Non-Operational</t>
  </si>
  <si>
    <t>S011428: Throughput Limit</t>
  </si>
  <si>
    <t>S011428: Failed to Divert</t>
  </si>
  <si>
    <t>S011428: Tracking Error</t>
  </si>
  <si>
    <t>S011428: Gap Error</t>
  </si>
  <si>
    <t>S011428: No Destination Received</t>
  </si>
  <si>
    <t>S011473: Lane Full</t>
  </si>
  <si>
    <t>S011473: Lane Non-Operational</t>
  </si>
  <si>
    <t>S011473: Throughput Limit</t>
  </si>
  <si>
    <t>S011473: Failed to Divert</t>
  </si>
  <si>
    <t>S011473: Tracking Error</t>
  </si>
  <si>
    <t>S011473: Gap Error</t>
  </si>
  <si>
    <t>S011473: No Destination Received</t>
  </si>
  <si>
    <t>Jackpot Operator</t>
  </si>
  <si>
    <t>S011470: Lane Full</t>
  </si>
  <si>
    <t>S011470: Lane Non-Operational</t>
  </si>
  <si>
    <t>S011470: Throughput Limit</t>
  </si>
  <si>
    <t>S011470: Failed to Divert</t>
  </si>
  <si>
    <t>S011470: Tracking Error</t>
  </si>
  <si>
    <t>S011470: Gap Error</t>
  </si>
  <si>
    <t>S011470: No Destination Received</t>
  </si>
  <si>
    <t>Process Guide Ship</t>
  </si>
  <si>
    <t>LGB7</t>
  </si>
  <si>
    <t>BFL1</t>
  </si>
  <si>
    <t>LGB3</t>
  </si>
  <si>
    <t>BOI2</t>
  </si>
  <si>
    <t>FC:</t>
  </si>
  <si>
    <t>PackageInducted</t>
  </si>
  <si>
    <t>Zavaleta,Jennifer</t>
  </si>
  <si>
    <t>Ramos,Tyler</t>
  </si>
  <si>
    <t>Spencer,Jerrold</t>
  </si>
  <si>
    <t>Welborn,River</t>
  </si>
  <si>
    <t>Stevens,Lance Allen</t>
  </si>
  <si>
    <t>Osman,Ahmed Mohamed</t>
  </si>
  <si>
    <t>Martinez,Christine</t>
  </si>
  <si>
    <t>Smith,Zack</t>
  </si>
  <si>
    <t>Coelho,Sabrina</t>
  </si>
  <si>
    <t>Eld,Rikki</t>
  </si>
  <si>
    <t>Albor,Alejandro</t>
  </si>
  <si>
    <t>Pierce,L</t>
  </si>
  <si>
    <t>Rangel,Alba</t>
  </si>
  <si>
    <t>Griffin,Larry</t>
  </si>
  <si>
    <t>Escutia,Eduard</t>
  </si>
  <si>
    <t>Little,Austin</t>
  </si>
  <si>
    <t>Frost,Jack</t>
  </si>
  <si>
    <t>Stengel,Jake</t>
  </si>
  <si>
    <t>Parke,Joshua</t>
  </si>
  <si>
    <t>Medrano,Oscar</t>
  </si>
  <si>
    <t>lowies,cody</t>
  </si>
  <si>
    <t>Provolt,Ashley</t>
  </si>
  <si>
    <t>McCarty,Ashlee</t>
  </si>
  <si>
    <t>Moll,Rob</t>
  </si>
  <si>
    <t>Switzer,Ryan</t>
  </si>
  <si>
    <t>Ship Ambassador</t>
  </si>
  <si>
    <t>S01aa - Scans</t>
  </si>
  <si>
    <t>S01aa - No-Reads</t>
  </si>
  <si>
    <t>S01aa - No-Reads %</t>
  </si>
  <si>
    <t>S01aa - No-Codes</t>
  </si>
  <si>
    <t>S01aa - No-Codes %</t>
  </si>
  <si>
    <t>S01ab - Scans</t>
  </si>
  <si>
    <t>S01ab - No-Reads</t>
  </si>
  <si>
    <t>S01ab - No-Reads %</t>
  </si>
  <si>
    <t>S01ab - No-Codes</t>
  </si>
  <si>
    <t>S01ab - No-Codes %</t>
  </si>
  <si>
    <t>S01ac - Scans</t>
  </si>
  <si>
    <t>S01ac - No-Reads</t>
  </si>
  <si>
    <t>S01ac - No-Reads %</t>
  </si>
  <si>
    <t>S01ac - No-Codes</t>
  </si>
  <si>
    <t>S01ac - No-Codes %</t>
  </si>
  <si>
    <t>S010001: Lane Full</t>
  </si>
  <si>
    <t>S010001: Lane Non-Operational</t>
  </si>
  <si>
    <t>S010001: Throughput Limit</t>
  </si>
  <si>
    <t>S010001: Failed to Divert</t>
  </si>
  <si>
    <t>S010001: Tracking Error</t>
  </si>
  <si>
    <t>S010001: Gap Error</t>
  </si>
  <si>
    <t>S010001: No Destination Received</t>
  </si>
  <si>
    <t>S010002: Lane Full</t>
  </si>
  <si>
    <t>S010002: Lane Non-Operational</t>
  </si>
  <si>
    <t>S010002: Throughput Limit</t>
  </si>
  <si>
    <t>S010002: Failed to Divert</t>
  </si>
  <si>
    <t>S010002: Tracking Error</t>
  </si>
  <si>
    <t>S010002: Gap Error</t>
  </si>
  <si>
    <t>S010002: No Destination Received</t>
  </si>
  <si>
    <t>S010003: Lane Full</t>
  </si>
  <si>
    <t>S010003: Lane Non-Operational</t>
  </si>
  <si>
    <t>S010003: Throughput Limit</t>
  </si>
  <si>
    <t>S010003: Failed to Divert</t>
  </si>
  <si>
    <t>S010003: Tracking Error</t>
  </si>
  <si>
    <t>S010003: Gap Error</t>
  </si>
  <si>
    <t>S010003: No Destination Received</t>
  </si>
  <si>
    <t>S010004: Lane Full</t>
  </si>
  <si>
    <t>S010004: Lane Non-Operational</t>
  </si>
  <si>
    <t>S010004: Throughput Limit</t>
  </si>
  <si>
    <t>S010004: Failed to Divert</t>
  </si>
  <si>
    <t>S010004: Tracking Error</t>
  </si>
  <si>
    <t>S010004: Gap Error</t>
  </si>
  <si>
    <t>S010004: No Destination Received</t>
  </si>
  <si>
    <t>S010005: Lane Full</t>
  </si>
  <si>
    <t>S010005: Lane Non-Operational</t>
  </si>
  <si>
    <t>S010005: Throughput Limit</t>
  </si>
  <si>
    <t>S010005: Failed to Divert</t>
  </si>
  <si>
    <t>S010005: Tracking Error</t>
  </si>
  <si>
    <t>S010005: Gap Error</t>
  </si>
  <si>
    <t>S010005: No Destination Received</t>
  </si>
  <si>
    <t>S010006: Lane Full</t>
  </si>
  <si>
    <t>S010006: Lane Non-Operational</t>
  </si>
  <si>
    <t>S010006: Throughput Limit</t>
  </si>
  <si>
    <t>S010006: Failed to Divert</t>
  </si>
  <si>
    <t>S010006: Tracking Error</t>
  </si>
  <si>
    <t>S010006: Gap Error</t>
  </si>
  <si>
    <t>S010006: No Destination Received</t>
  </si>
  <si>
    <t>S010007: Lane Full</t>
  </si>
  <si>
    <t>S010007: Lane Non-Operational</t>
  </si>
  <si>
    <t>S010007: Throughput Limit</t>
  </si>
  <si>
    <t>S010007: Failed to Divert</t>
  </si>
  <si>
    <t>S010007: Tracking Error</t>
  </si>
  <si>
    <t>S010007: Gap Error</t>
  </si>
  <si>
    <t>S010007: No Destination Received</t>
  </si>
  <si>
    <t>S010008: Lane Full</t>
  </si>
  <si>
    <t>S010008: Lane Non-Operational</t>
  </si>
  <si>
    <t>S010008: Throughput Limit</t>
  </si>
  <si>
    <t>S010008: Failed to Divert</t>
  </si>
  <si>
    <t>S010008: Tracking Error</t>
  </si>
  <si>
    <t>S010008: Gap Error</t>
  </si>
  <si>
    <t>S010008: No Destination Received</t>
  </si>
  <si>
    <t>S010009: Lane Full</t>
  </si>
  <si>
    <t>S010009: Lane Non-Operational</t>
  </si>
  <si>
    <t>S010009: Throughput Limit</t>
  </si>
  <si>
    <t>S010009: Failed to Divert</t>
  </si>
  <si>
    <t>S010009: Tracking Error</t>
  </si>
  <si>
    <t>S010009: Gap Error</t>
  </si>
  <si>
    <t>S010009: No Destination Received</t>
  </si>
  <si>
    <t>S010010: Lane Full</t>
  </si>
  <si>
    <t>S010010: Lane Non-Operational</t>
  </si>
  <si>
    <t>S010010: Throughput Limit</t>
  </si>
  <si>
    <t>S010010: Failed to Divert</t>
  </si>
  <si>
    <t>S010010: Tracking Error</t>
  </si>
  <si>
    <t>S010010: Gap Error</t>
  </si>
  <si>
    <t>S010010: No Destination Received</t>
  </si>
  <si>
    <t>S010011: Lane Full</t>
  </si>
  <si>
    <t>S010011: Lane Non-Operational</t>
  </si>
  <si>
    <t>S010011: Throughput Limit</t>
  </si>
  <si>
    <t>S010011: Failed to Divert</t>
  </si>
  <si>
    <t>S010011: Tracking Error</t>
  </si>
  <si>
    <t>S010011: Gap Error</t>
  </si>
  <si>
    <t>S010011: No Destination Received</t>
  </si>
  <si>
    <t>S010012: Lane Full</t>
  </si>
  <si>
    <t>S010012: Lane Non-Operational</t>
  </si>
  <si>
    <t>S010012: Throughput Limit</t>
  </si>
  <si>
    <t>S010012: Failed to Divert</t>
  </si>
  <si>
    <t>S010012: Tracking Error</t>
  </si>
  <si>
    <t>S010012: Gap Error</t>
  </si>
  <si>
    <t>S010012: No Destination Received</t>
  </si>
  <si>
    <t>S010013: Lane Full</t>
  </si>
  <si>
    <t>S010013: Lane Non-Operational</t>
  </si>
  <si>
    <t>S010013: Throughput Limit</t>
  </si>
  <si>
    <t>S010013: Failed to Divert</t>
  </si>
  <si>
    <t>S010013: Tracking Error</t>
  </si>
  <si>
    <t>S010013: Gap Error</t>
  </si>
  <si>
    <t>S010013: No Destination Received</t>
  </si>
  <si>
    <t>S010014: Lane Full</t>
  </si>
  <si>
    <t>S010014: Lane Non-Operational</t>
  </si>
  <si>
    <t>S010014: Throughput Limit</t>
  </si>
  <si>
    <t>S010014: Failed to Divert</t>
  </si>
  <si>
    <t>S010014: Tracking Error</t>
  </si>
  <si>
    <t>S010014: Gap Error</t>
  </si>
  <si>
    <t>S010014: No Destination Received</t>
  </si>
  <si>
    <t>S010016: Lane Full</t>
  </si>
  <si>
    <t>S010016: Lane Non-Operational</t>
  </si>
  <si>
    <t>S010016: Throughput Limit</t>
  </si>
  <si>
    <t>S010016: Failed to Divert</t>
  </si>
  <si>
    <t>S010016: Tracking Error</t>
  </si>
  <si>
    <t>S010016: Gap Error</t>
  </si>
  <si>
    <t>S010016: No Destination Received</t>
  </si>
  <si>
    <t>S010017: Lane Full</t>
  </si>
  <si>
    <t>S010017: Lane Non-Operational</t>
  </si>
  <si>
    <t>S010017: Throughput Limit</t>
  </si>
  <si>
    <t>S010017: Failed to Divert</t>
  </si>
  <si>
    <t>S010017: Tracking Error</t>
  </si>
  <si>
    <t>S010017: Gap Error</t>
  </si>
  <si>
    <t>S010017: No Destination Received</t>
  </si>
  <si>
    <t>S010018: Lane Full</t>
  </si>
  <si>
    <t>S010018: Lane Non-Operational</t>
  </si>
  <si>
    <t>S010018: Throughput Limit</t>
  </si>
  <si>
    <t>S010018: Failed to Divert</t>
  </si>
  <si>
    <t>S010018: Tracking Error</t>
  </si>
  <si>
    <t>S010018: Gap Error</t>
  </si>
  <si>
    <t>S010018: No Destination Received</t>
  </si>
  <si>
    <t>S010019: Lane Full</t>
  </si>
  <si>
    <t>S010019: Lane Non-Operational</t>
  </si>
  <si>
    <t>S010019: Throughput Limit</t>
  </si>
  <si>
    <t>S010019: Failed to Divert</t>
  </si>
  <si>
    <t>S010019: Tracking Error</t>
  </si>
  <si>
    <t>S010019: Gap Error</t>
  </si>
  <si>
    <t>S010019: No Destination Received</t>
  </si>
  <si>
    <t>S010020: Lane Full</t>
  </si>
  <si>
    <t>S010020: Lane Non-Operational</t>
  </si>
  <si>
    <t>S010020: Throughput Limit</t>
  </si>
  <si>
    <t>S010020: Failed to Divert</t>
  </si>
  <si>
    <t>S010020: Tracking Error</t>
  </si>
  <si>
    <t>S010020: Gap Error</t>
  </si>
  <si>
    <t>S010020: No Destination Received</t>
  </si>
  <si>
    <t>S010031: Lane Full</t>
  </si>
  <si>
    <t>S010031: Lane Non-Operational</t>
  </si>
  <si>
    <t>S010031: Throughput Limit</t>
  </si>
  <si>
    <t>S010031: Failed to Divert</t>
  </si>
  <si>
    <t>S010031: Tracking Error</t>
  </si>
  <si>
    <t>S010031: Gap Error</t>
  </si>
  <si>
    <t>S010031: No Destination Received</t>
  </si>
  <si>
    <t>S010035: Lane Full</t>
  </si>
  <si>
    <t>S010035: Lane Non-Operational</t>
  </si>
  <si>
    <t>S010035: Throughput Limit</t>
  </si>
  <si>
    <t>S010035: Failed to Divert</t>
  </si>
  <si>
    <t>S010035: Tracking Error</t>
  </si>
  <si>
    <t>S010035: Gap Error</t>
  </si>
  <si>
    <t>S010035: No Destination Received</t>
  </si>
  <si>
    <t>S010036: Lane Full</t>
  </si>
  <si>
    <t>S010036: Lane Non-Operational</t>
  </si>
  <si>
    <t>S010036: Throughput Limit</t>
  </si>
  <si>
    <t>S010036: Failed to Divert</t>
  </si>
  <si>
    <t>S010036: Tracking Error</t>
  </si>
  <si>
    <t>S010036: Gap Error</t>
  </si>
  <si>
    <t>S010036: No Destination Received</t>
  </si>
  <si>
    <t>S010037: Lane Full</t>
  </si>
  <si>
    <t>S010037: Lane Non-Operational</t>
  </si>
  <si>
    <t>S010037: Throughput Limit</t>
  </si>
  <si>
    <t>S010037: Failed to Divert</t>
  </si>
  <si>
    <t>S010037: Tracking Error</t>
  </si>
  <si>
    <t>S010037: Gap Error</t>
  </si>
  <si>
    <t>S010037: No Destination Received</t>
  </si>
  <si>
    <t>S010038: Lane Full</t>
  </si>
  <si>
    <t>S010038: Lane Non-Operational</t>
  </si>
  <si>
    <t>S010038: Throughput Limit</t>
  </si>
  <si>
    <t>S010038: Failed to Divert</t>
  </si>
  <si>
    <t>S010038: Tracking Error</t>
  </si>
  <si>
    <t>S010038: Gap Error</t>
  </si>
  <si>
    <t>S010038: No Destination Received</t>
  </si>
  <si>
    <t>S010039: Lane Full</t>
  </si>
  <si>
    <t>S010039: Lane Non-Operational</t>
  </si>
  <si>
    <t>S010039: Throughput Limit</t>
  </si>
  <si>
    <t>S010039: Failed to Divert</t>
  </si>
  <si>
    <t>S010039: Tracking Error</t>
  </si>
  <si>
    <t>S010039: Gap Error</t>
  </si>
  <si>
    <t>S010039: No Destination Received</t>
  </si>
  <si>
    <t>S010040: Lane Full</t>
  </si>
  <si>
    <t>S010040: Lane Non-Operational</t>
  </si>
  <si>
    <t>S010040: Throughput Limit</t>
  </si>
  <si>
    <t>S010040: Failed to Divert</t>
  </si>
  <si>
    <t>S010040: Tracking Error</t>
  </si>
  <si>
    <t>S010040: Gap Error</t>
  </si>
  <si>
    <t>S010040: No Destination Received</t>
  </si>
  <si>
    <t>S010041: Lane Full</t>
  </si>
  <si>
    <t>S010041: Lane Non-Operational</t>
  </si>
  <si>
    <t>S010041: Throughput Limit</t>
  </si>
  <si>
    <t>S010041: Failed to Divert</t>
  </si>
  <si>
    <t>S010041: Tracking Error</t>
  </si>
  <si>
    <t>S010041: Gap Error</t>
  </si>
  <si>
    <t>S010041: No Destination Received</t>
  </si>
  <si>
    <t>S010042: Lane Full</t>
  </si>
  <si>
    <t>S010042: Lane Non-Operational</t>
  </si>
  <si>
    <t>S010042: Throughput Limit</t>
  </si>
  <si>
    <t>S010042: Failed to Divert</t>
  </si>
  <si>
    <t>S010042: Tracking Error</t>
  </si>
  <si>
    <t>S010042: Gap Error</t>
  </si>
  <si>
    <t>S010042: No Destination Received</t>
  </si>
  <si>
    <t>S010046: Lane Full</t>
  </si>
  <si>
    <t>S010046: Lane Non-Operational</t>
  </si>
  <si>
    <t>S010046: Throughput Limit</t>
  </si>
  <si>
    <t>S010046: Failed to Divert</t>
  </si>
  <si>
    <t>S010046: Tracking Error</t>
  </si>
  <si>
    <t>S010046: Gap Error</t>
  </si>
  <si>
    <t>S010046: No Destination Received</t>
  </si>
  <si>
    <t>S010048: Lane Full</t>
  </si>
  <si>
    <t>S010048: Lane Non-Operational</t>
  </si>
  <si>
    <t>S010048: Throughput Limit</t>
  </si>
  <si>
    <t>S010048: Failed to Divert</t>
  </si>
  <si>
    <t>S010048: Tracking Error</t>
  </si>
  <si>
    <t>S010048: Gap Error</t>
  </si>
  <si>
    <t>S010048: No Destination Received</t>
  </si>
  <si>
    <t>S010049: Lane Full</t>
  </si>
  <si>
    <t>S010049: Lane Non-Operational</t>
  </si>
  <si>
    <t>S010049: Throughput Limit</t>
  </si>
  <si>
    <t>S010049: Failed to Divert</t>
  </si>
  <si>
    <t>S010049: Tracking Error</t>
  </si>
  <si>
    <t>S010049: Gap Error</t>
  </si>
  <si>
    <t>S010049: No Destination Received</t>
  </si>
  <si>
    <t>S010050: Lane Full</t>
  </si>
  <si>
    <t>S010050: Lane Non-Operational</t>
  </si>
  <si>
    <t>S010050: Throughput Limit</t>
  </si>
  <si>
    <t>S010050: Failed to Divert</t>
  </si>
  <si>
    <t>S010050: Tracking Error</t>
  </si>
  <si>
    <t>S010050: Gap Error</t>
  </si>
  <si>
    <t>S010050: No Destination Received</t>
  </si>
  <si>
    <t>S010051: Lane Full</t>
  </si>
  <si>
    <t>S010051: Lane Non-Operational</t>
  </si>
  <si>
    <t>S010051: Throughput Limit</t>
  </si>
  <si>
    <t>S010051: Failed to Divert</t>
  </si>
  <si>
    <t>S010051: Tracking Error</t>
  </si>
  <si>
    <t>S010051: Gap Error</t>
  </si>
  <si>
    <t>S010051: No Destination Received</t>
  </si>
  <si>
    <t>S010052: Lane Full</t>
  </si>
  <si>
    <t>S010052: Lane Non-Operational</t>
  </si>
  <si>
    <t>S010052: Throughput Limit</t>
  </si>
  <si>
    <t>S010052: Failed to Divert</t>
  </si>
  <si>
    <t>S010052: Tracking Error</t>
  </si>
  <si>
    <t>S010052: Gap Error</t>
  </si>
  <si>
    <t>S010052: No Destination Received</t>
  </si>
  <si>
    <t>S010054: Lane Full</t>
  </si>
  <si>
    <t>S010054: Lane Non-Operational</t>
  </si>
  <si>
    <t>S010054: Throughput Limit</t>
  </si>
  <si>
    <t>S010054: Failed to Divert</t>
  </si>
  <si>
    <t>S010054: Tracking Error</t>
  </si>
  <si>
    <t>S010054: Gap Error</t>
  </si>
  <si>
    <t>S010054: No Destination Received</t>
  </si>
  <si>
    <t>S010056: Lane Full</t>
  </si>
  <si>
    <t>S010056: Lane Non-Operational</t>
  </si>
  <si>
    <t>S010056: Throughput Limit</t>
  </si>
  <si>
    <t>S010056: Failed to Divert</t>
  </si>
  <si>
    <t>S010056: Tracking Error</t>
  </si>
  <si>
    <t>S010056: Gap Error</t>
  </si>
  <si>
    <t>S010056: No Destination Received</t>
  </si>
  <si>
    <t>S010061: Lane Full</t>
  </si>
  <si>
    <t>S010061: Lane Non-Operational</t>
  </si>
  <si>
    <t>S010061: Throughput Limit</t>
  </si>
  <si>
    <t>S010061: Failed to Divert</t>
  </si>
  <si>
    <t>S010061: Tracking Error</t>
  </si>
  <si>
    <t>S010061: Gap Error</t>
  </si>
  <si>
    <t>S010061: No Destination Received</t>
  </si>
  <si>
    <t>S010063: Lane Full</t>
  </si>
  <si>
    <t>S010063: Lane Non-Operational</t>
  </si>
  <si>
    <t>S010063: Throughput Limit</t>
  </si>
  <si>
    <t>S010063: Failed to Divert</t>
  </si>
  <si>
    <t>S010063: Tracking Error</t>
  </si>
  <si>
    <t>S010063: Gap Error</t>
  </si>
  <si>
    <t>S010063: No Destination Received</t>
  </si>
  <si>
    <t>S010064: Lane Full</t>
  </si>
  <si>
    <t>S010064: Lane Non-Operational</t>
  </si>
  <si>
    <t>S010064: Throughput Limit</t>
  </si>
  <si>
    <t>S010064: Failed to Divert</t>
  </si>
  <si>
    <t>S010064: Tracking Error</t>
  </si>
  <si>
    <t>S010064: Gap Error</t>
  </si>
  <si>
    <t>S010064: No Destination Received</t>
  </si>
  <si>
    <t>S010065: Lane Full</t>
  </si>
  <si>
    <t>S010065: Lane Non-Operational</t>
  </si>
  <si>
    <t>S010065: Throughput Limit</t>
  </si>
  <si>
    <t>S010065: Failed to Divert</t>
  </si>
  <si>
    <t>S010065: Tracking Error</t>
  </si>
  <si>
    <t>S010065: Gap Error</t>
  </si>
  <si>
    <t>S010065: No Destination Received</t>
  </si>
  <si>
    <t>S010066: Lane Full</t>
  </si>
  <si>
    <t>S010066: Lane Non-Operational</t>
  </si>
  <si>
    <t>S010066: Throughput Limit</t>
  </si>
  <si>
    <t>S010066: Failed to Divert</t>
  </si>
  <si>
    <t>S010066: Tracking Error</t>
  </si>
  <si>
    <t>S010066: Gap Error</t>
  </si>
  <si>
    <t>S010066: No Destination Received</t>
  </si>
  <si>
    <t>S010068: Lane Full</t>
  </si>
  <si>
    <t>S010068: Lane Non-Operational</t>
  </si>
  <si>
    <t>S010068: Throughput Limit</t>
  </si>
  <si>
    <t>S010068: Failed to Divert</t>
  </si>
  <si>
    <t>S010068: Tracking Error</t>
  </si>
  <si>
    <t>S010068: Gap Error</t>
  </si>
  <si>
    <t>S010068: No Destination Received</t>
  </si>
  <si>
    <t>S010072: Lane Full</t>
  </si>
  <si>
    <t>S010072: Lane Non-Operational</t>
  </si>
  <si>
    <t>S010072: Throughput Limit</t>
  </si>
  <si>
    <t>S010072: Failed to Divert</t>
  </si>
  <si>
    <t>S010072: Tracking Error</t>
  </si>
  <si>
    <t>S010072: Gap Error</t>
  </si>
  <si>
    <t>S010072: No Destination Received</t>
  </si>
  <si>
    <t>S010073: Lane Full</t>
  </si>
  <si>
    <t>S010073: Lane Non-Operational</t>
  </si>
  <si>
    <t>S010073: Throughput Limit</t>
  </si>
  <si>
    <t>S010073: Failed to Divert</t>
  </si>
  <si>
    <t>S010073: Tracking Error</t>
  </si>
  <si>
    <t>S010073: Gap Error</t>
  </si>
  <si>
    <t>S010073: No Destination Received</t>
  </si>
  <si>
    <t>S010074: Lane Full</t>
  </si>
  <si>
    <t>S010074: Lane Non-Operational</t>
  </si>
  <si>
    <t>S010074: Throughput Limit</t>
  </si>
  <si>
    <t>S010074: Failed to Divert</t>
  </si>
  <si>
    <t>S010074: Tracking Error</t>
  </si>
  <si>
    <t>S010074: Gap Error</t>
  </si>
  <si>
    <t>S010074: No Destination Received</t>
  </si>
  <si>
    <t>S010081: Lane Full</t>
  </si>
  <si>
    <t>S010081: Lane Non-Operational</t>
  </si>
  <si>
    <t>S010081: Throughput Limit</t>
  </si>
  <si>
    <t>S010081: Failed to Divert</t>
  </si>
  <si>
    <t>S010081: Tracking Error</t>
  </si>
  <si>
    <t>S010081: Gap Error</t>
  </si>
  <si>
    <t>S010081: No Destination Received</t>
  </si>
  <si>
    <t>S010082: Lane Full</t>
  </si>
  <si>
    <t>S010082: Lane Non-Operational</t>
  </si>
  <si>
    <t>S010082: Throughput Limit</t>
  </si>
  <si>
    <t>S010082: Failed to Divert</t>
  </si>
  <si>
    <t>S010082: Tracking Error</t>
  </si>
  <si>
    <t>S010082: Gap Error</t>
  </si>
  <si>
    <t>S010082: No Destination Received</t>
  </si>
  <si>
    <t>S010083: Lane Full</t>
  </si>
  <si>
    <t>S010083: Lane Non-Operational</t>
  </si>
  <si>
    <t>S010083: Throughput Limit</t>
  </si>
  <si>
    <t>S010083: Failed to Divert</t>
  </si>
  <si>
    <t>S010083: Tracking Error</t>
  </si>
  <si>
    <t>S010083: Gap Error</t>
  </si>
  <si>
    <t>S010083: No Destination Received</t>
  </si>
  <si>
    <t>S010084: Lane Full</t>
  </si>
  <si>
    <t>S010084: Lane Non-Operational</t>
  </si>
  <si>
    <t>S010084: Throughput Limit</t>
  </si>
  <si>
    <t>S010084: Failed to Divert</t>
  </si>
  <si>
    <t>S010084: Tracking Error</t>
  </si>
  <si>
    <t>S010084: Gap Error</t>
  </si>
  <si>
    <t>S010084: No Destination Received</t>
  </si>
  <si>
    <t>S010085: Lane Full</t>
  </si>
  <si>
    <t>S010085: Lane Non-Operational</t>
  </si>
  <si>
    <t>S010085: Throughput Limit</t>
  </si>
  <si>
    <t>S010085: Failed to Divert</t>
  </si>
  <si>
    <t>S010085: Tracking Error</t>
  </si>
  <si>
    <t>S010085: Gap Error</t>
  </si>
  <si>
    <t>S010085: No Destination Received</t>
  </si>
  <si>
    <t>S010086: Lane Full</t>
  </si>
  <si>
    <t>S010086: Lane Non-Operational</t>
  </si>
  <si>
    <t>S010086: Throughput Limit</t>
  </si>
  <si>
    <t>S010086: Failed to Divert</t>
  </si>
  <si>
    <t>S010086: Tracking Error</t>
  </si>
  <si>
    <t>S010086: Gap Error</t>
  </si>
  <si>
    <t>S010086: No Destination Received</t>
  </si>
  <si>
    <t>S010087: Lane Full</t>
  </si>
  <si>
    <t>S010087: Lane Non-Operational</t>
  </si>
  <si>
    <t>S010087: Throughput Limit</t>
  </si>
  <si>
    <t>S010087: Failed to Divert</t>
  </si>
  <si>
    <t>S010087: Tracking Error</t>
  </si>
  <si>
    <t>S010087: Gap Error</t>
  </si>
  <si>
    <t>S010087: No Destination Received</t>
  </si>
  <si>
    <t>S010088: Lane Full</t>
  </si>
  <si>
    <t>S010088: Lane Non-Operational</t>
  </si>
  <si>
    <t>S010088: Throughput Limit</t>
  </si>
  <si>
    <t>S010088: Failed to Divert</t>
  </si>
  <si>
    <t>S010088: Tracking Error</t>
  </si>
  <si>
    <t>S010088: Gap Error</t>
  </si>
  <si>
    <t>S010088: No Destination Received</t>
  </si>
  <si>
    <t>S010089: Lane Full</t>
  </si>
  <si>
    <t>S010089: Lane Non-Operational</t>
  </si>
  <si>
    <t>S010089: Throughput Limit</t>
  </si>
  <si>
    <t>S010089: Failed to Divert</t>
  </si>
  <si>
    <t>S010089: Tracking Error</t>
  </si>
  <si>
    <t>S010089: Gap Error</t>
  </si>
  <si>
    <t>S010089: No Destination Received</t>
  </si>
  <si>
    <t>S010090: Lane Full</t>
  </si>
  <si>
    <t>S010090: Lane Non-Operational</t>
  </si>
  <si>
    <t>S010090: Throughput Limit</t>
  </si>
  <si>
    <t>S010090: Failed to Divert</t>
  </si>
  <si>
    <t>S010090: Tracking Error</t>
  </si>
  <si>
    <t>S010090: Gap Error</t>
  </si>
  <si>
    <t>S010090: No Destination Received</t>
  </si>
  <si>
    <t>S010102: Lane Full</t>
  </si>
  <si>
    <t>S010102: Lane Non-Operational</t>
  </si>
  <si>
    <t>S010102: Throughput Limit</t>
  </si>
  <si>
    <t>S010102: Failed to Divert</t>
  </si>
  <si>
    <t>S010102: Tracking Error</t>
  </si>
  <si>
    <t>S010102: Gap Error</t>
  </si>
  <si>
    <t>S010102: No Destination Received</t>
  </si>
  <si>
    <t>S010104: Lane Full</t>
  </si>
  <si>
    <t>S010104: Lane Non-Operational</t>
  </si>
  <si>
    <t>S010104: Throughput Limit</t>
  </si>
  <si>
    <t>S010104: Failed to Divert</t>
  </si>
  <si>
    <t>S010104: Tracking Error</t>
  </si>
  <si>
    <t>S010104: Gap Error</t>
  </si>
  <si>
    <t>S010104: No Destination Received</t>
  </si>
  <si>
    <t>S010106: Lane Full</t>
  </si>
  <si>
    <t>S010106: Lane Non-Operational</t>
  </si>
  <si>
    <t>S010106: Throughput Limit</t>
  </si>
  <si>
    <t>S010106: Failed to Divert</t>
  </si>
  <si>
    <t>S010106: Tracking Error</t>
  </si>
  <si>
    <t>S010106: Gap Error</t>
  </si>
  <si>
    <t>S010106: No Destination Received</t>
  </si>
  <si>
    <t>S010107: Lane Full</t>
  </si>
  <si>
    <t>S010107: Lane Non-Operational</t>
  </si>
  <si>
    <t>S010107: Throughput Limit</t>
  </si>
  <si>
    <t>S010107: Failed to Divert</t>
  </si>
  <si>
    <t>S010107: Tracking Error</t>
  </si>
  <si>
    <t>S010107: Gap Error</t>
  </si>
  <si>
    <t>S010107: No Destination Received</t>
  </si>
  <si>
    <t>S010108: Lane Full</t>
  </si>
  <si>
    <t>S010108: Lane Non-Operational</t>
  </si>
  <si>
    <t>S010108: Throughput Limit</t>
  </si>
  <si>
    <t>S010108: Failed to Divert</t>
  </si>
  <si>
    <t>S010108: Tracking Error</t>
  </si>
  <si>
    <t>S010108: Gap Error</t>
  </si>
  <si>
    <t>S010108: No Destination Received</t>
  </si>
  <si>
    <t>S010109: Lane Full</t>
  </si>
  <si>
    <t>S010109: Lane Non-Operational</t>
  </si>
  <si>
    <t>S010109: Throughput Limit</t>
  </si>
  <si>
    <t>S010109: Failed to Divert</t>
  </si>
  <si>
    <t>S010109: Tracking Error</t>
  </si>
  <si>
    <t>S010109: Gap Error</t>
  </si>
  <si>
    <t>S010109: No Destination Received</t>
  </si>
  <si>
    <t>S010110: Lane Full</t>
  </si>
  <si>
    <t>S010110: Lane Non-Operational</t>
  </si>
  <si>
    <t>S010110: Throughput Limit</t>
  </si>
  <si>
    <t>S010110: Failed to Divert</t>
  </si>
  <si>
    <t>S010110: Tracking Error</t>
  </si>
  <si>
    <t>S010110: Gap Error</t>
  </si>
  <si>
    <t>S010110: No Destination Received</t>
  </si>
  <si>
    <t>S010112: Lane Full</t>
  </si>
  <si>
    <t>S010112: Lane Non-Operational</t>
  </si>
  <si>
    <t>S010112: Throughput Limit</t>
  </si>
  <si>
    <t>S010112: Failed to Divert</t>
  </si>
  <si>
    <t>S010112: Tracking Error</t>
  </si>
  <si>
    <t>S010112: Gap Error</t>
  </si>
  <si>
    <t>S010112: No Destination Received</t>
  </si>
  <si>
    <t>S010113: Lane Full</t>
  </si>
  <si>
    <t>S010113: Lane Non-Operational</t>
  </si>
  <si>
    <t>S010113: Throughput Limit</t>
  </si>
  <si>
    <t>S010113: Failed to Divert</t>
  </si>
  <si>
    <t>S010113: Tracking Error</t>
  </si>
  <si>
    <t>S010113: Gap Error</t>
  </si>
  <si>
    <t>S010113: No Destination Received</t>
  </si>
  <si>
    <t>S010114: Lane Full</t>
  </si>
  <si>
    <t>S010114: Lane Non-Operational</t>
  </si>
  <si>
    <t>S010114: Throughput Limit</t>
  </si>
  <si>
    <t>S010114: Failed to Divert</t>
  </si>
  <si>
    <t>S010114: Tracking Error</t>
  </si>
  <si>
    <t>S010114: Gap Error</t>
  </si>
  <si>
    <t>S010114: No Destination Received</t>
  </si>
  <si>
    <t>S010115: Lane Full</t>
  </si>
  <si>
    <t>S010115: Lane Non-Operational</t>
  </si>
  <si>
    <t>S010115: Throughput Limit</t>
  </si>
  <si>
    <t>S010115: Failed to Divert</t>
  </si>
  <si>
    <t>S010115: Tracking Error</t>
  </si>
  <si>
    <t>S010115: Gap Error</t>
  </si>
  <si>
    <t>S010115: No Destination Received</t>
  </si>
  <si>
    <t>S010116: Lane Full</t>
  </si>
  <si>
    <t>S010116: Lane Non-Operational</t>
  </si>
  <si>
    <t>S010116: Throughput Limit</t>
  </si>
  <si>
    <t>S010116: Failed to Divert</t>
  </si>
  <si>
    <t>S010116: Tracking Error</t>
  </si>
  <si>
    <t>S010116: Gap Error</t>
  </si>
  <si>
    <t>S010116: No Destination Received</t>
  </si>
  <si>
    <t>S010117: Lane Full</t>
  </si>
  <si>
    <t>S010117: Lane Non-Operational</t>
  </si>
  <si>
    <t>S010117: Throughput Limit</t>
  </si>
  <si>
    <t>S010117: Failed to Divert</t>
  </si>
  <si>
    <t>S010117: Tracking Error</t>
  </si>
  <si>
    <t>S010117: Gap Error</t>
  </si>
  <si>
    <t>S010117: No Destination Received</t>
  </si>
  <si>
    <t>S010118: Lane Full</t>
  </si>
  <si>
    <t>S010118: Lane Non-Operational</t>
  </si>
  <si>
    <t>S010118: Throughput Limit</t>
  </si>
  <si>
    <t>S010118: Failed to Divert</t>
  </si>
  <si>
    <t>S010118: Tracking Error</t>
  </si>
  <si>
    <t>S010118: Gap Error</t>
  </si>
  <si>
    <t>S010118: No Destination Received</t>
  </si>
  <si>
    <t>S010119: Lane Full</t>
  </si>
  <si>
    <t>S010119: Lane Non-Operational</t>
  </si>
  <si>
    <t>S010119: Throughput Limit</t>
  </si>
  <si>
    <t>S010119: Failed to Divert</t>
  </si>
  <si>
    <t>S010119: Tracking Error</t>
  </si>
  <si>
    <t>S010119: Gap Error</t>
  </si>
  <si>
    <t>S010119: No Destination Received</t>
  </si>
  <si>
    <t>S010120: Lane Full</t>
  </si>
  <si>
    <t>S010120: Lane Non-Operational</t>
  </si>
  <si>
    <t>S010120: Throughput Limit</t>
  </si>
  <si>
    <t>S010120: Failed to Divert</t>
  </si>
  <si>
    <t>S010120: Tracking Error</t>
  </si>
  <si>
    <t>S010120: Gap Error</t>
  </si>
  <si>
    <t>S010120: No Destination Received</t>
  </si>
  <si>
    <t>S010121: Lane Full</t>
  </si>
  <si>
    <t>S010121: Lane Non-Operational</t>
  </si>
  <si>
    <t>S010121: Throughput Limit</t>
  </si>
  <si>
    <t>S010121: Failed to Divert</t>
  </si>
  <si>
    <t>S010121: Tracking Error</t>
  </si>
  <si>
    <t>S010121: Gap Error</t>
  </si>
  <si>
    <t>S010121: No Destination Received</t>
  </si>
  <si>
    <t>S010122: Lane Full</t>
  </si>
  <si>
    <t>S010122: Lane Non-Operational</t>
  </si>
  <si>
    <t>S010122: Throughput Limit</t>
  </si>
  <si>
    <t>S010122: Failed to Divert</t>
  </si>
  <si>
    <t>S010122: Tracking Error</t>
  </si>
  <si>
    <t>S010122: Gap Error</t>
  </si>
  <si>
    <t>S010122: No Destination Received</t>
  </si>
  <si>
    <t>S010124: Lane Full</t>
  </si>
  <si>
    <t>S010124: Lane Non-Operational</t>
  </si>
  <si>
    <t>S010124: Throughput Limit</t>
  </si>
  <si>
    <t>S010124: Failed to Divert</t>
  </si>
  <si>
    <t>S010124: Tracking Error</t>
  </si>
  <si>
    <t>S010124: Gap Error</t>
  </si>
  <si>
    <t>S010124: No Destination Received</t>
  </si>
  <si>
    <t>S010125: Lane Full</t>
  </si>
  <si>
    <t>S010125: Lane Non-Operational</t>
  </si>
  <si>
    <t>S010125: Throughput Limit</t>
  </si>
  <si>
    <t>S010125: Failed to Divert</t>
  </si>
  <si>
    <t>S010125: Tracking Error</t>
  </si>
  <si>
    <t>S010125: Gap Error</t>
  </si>
  <si>
    <t>S010125: No Destination Received</t>
  </si>
  <si>
    <t>S010126: Lane Full</t>
  </si>
  <si>
    <t>S010126: Lane Non-Operational</t>
  </si>
  <si>
    <t>S010126: Throughput Limit</t>
  </si>
  <si>
    <t>S010126: Failed to Divert</t>
  </si>
  <si>
    <t>S010126: Tracking Error</t>
  </si>
  <si>
    <t>S010126: Gap Error</t>
  </si>
  <si>
    <t>S010126: No Destination Received</t>
  </si>
  <si>
    <t>S010129: Lane Full</t>
  </si>
  <si>
    <t>S010129: Lane Non-Operational</t>
  </si>
  <si>
    <t>S010129: Throughput Limit</t>
  </si>
  <si>
    <t>S010129: Failed to Divert</t>
  </si>
  <si>
    <t>S010129: Tracking Error</t>
  </si>
  <si>
    <t>S010129: Gap Error</t>
  </si>
  <si>
    <t>S010129: No Destination Received</t>
  </si>
  <si>
    <t>S010130: Lane Full</t>
  </si>
  <si>
    <t>S010130: Lane Non-Operational</t>
  </si>
  <si>
    <t>S010130: Throughput Limit</t>
  </si>
  <si>
    <t>S010130: Failed to Divert</t>
  </si>
  <si>
    <t>S010130: Tracking Error</t>
  </si>
  <si>
    <t>S010130: Gap Error</t>
  </si>
  <si>
    <t>S010130: No Destination Received</t>
  </si>
  <si>
    <t>S010134: Lane Full</t>
  </si>
  <si>
    <t>S010134: Lane Non-Operational</t>
  </si>
  <si>
    <t>S010134: Throughput Limit</t>
  </si>
  <si>
    <t>S010134: Failed to Divert</t>
  </si>
  <si>
    <t>S010134: Tracking Error</t>
  </si>
  <si>
    <t>S010134: Gap Error</t>
  </si>
  <si>
    <t>S010134: No Destination Received</t>
  </si>
  <si>
    <t>S010141: Lane Full</t>
  </si>
  <si>
    <t>S010141: Lane Non-Operational</t>
  </si>
  <si>
    <t>S010141: Throughput Limit</t>
  </si>
  <si>
    <t>S010141: Failed to Divert</t>
  </si>
  <si>
    <t>S010141: Tracking Error</t>
  </si>
  <si>
    <t>S010141: Gap Error</t>
  </si>
  <si>
    <t>S010141: No Destination Received</t>
  </si>
  <si>
    <t>S010142: Lane Full</t>
  </si>
  <si>
    <t>S010142: Lane Non-Operational</t>
  </si>
  <si>
    <t>S010142: Throughput Limit</t>
  </si>
  <si>
    <t>S010142: Failed to Divert</t>
  </si>
  <si>
    <t>S010142: Tracking Error</t>
  </si>
  <si>
    <t>S010142: Gap Error</t>
  </si>
  <si>
    <t>S010142: No Destination Received</t>
  </si>
  <si>
    <t>S010144: Lane Full</t>
  </si>
  <si>
    <t>S010144: Lane Non-Operational</t>
  </si>
  <si>
    <t>S010144: Throughput Limit</t>
  </si>
  <si>
    <t>S010144: Failed to Divert</t>
  </si>
  <si>
    <t>S010144: Tracking Error</t>
  </si>
  <si>
    <t>S010144: Gap Error</t>
  </si>
  <si>
    <t>S010144: No Destination Received</t>
  </si>
  <si>
    <t>S010145: Lane Full</t>
  </si>
  <si>
    <t>S010145: Lane Non-Operational</t>
  </si>
  <si>
    <t>S010145: Throughput Limit</t>
  </si>
  <si>
    <t>S010145: Failed to Divert</t>
  </si>
  <si>
    <t>S010145: Tracking Error</t>
  </si>
  <si>
    <t>S010145: Gap Error</t>
  </si>
  <si>
    <t>S010145: No Destination Received</t>
  </si>
  <si>
    <t>S010146: Lane Full</t>
  </si>
  <si>
    <t>S010146: Lane Non-Operational</t>
  </si>
  <si>
    <t>S010146: Throughput Limit</t>
  </si>
  <si>
    <t>S010146: Failed to Divert</t>
  </si>
  <si>
    <t>S010146: Tracking Error</t>
  </si>
  <si>
    <t>S010146: Gap Error</t>
  </si>
  <si>
    <t>S010146: No Destination Received</t>
  </si>
  <si>
    <t>S010147: Lane Full</t>
  </si>
  <si>
    <t>S010147: Lane Non-Operational</t>
  </si>
  <si>
    <t>S010147: Throughput Limit</t>
  </si>
  <si>
    <t>S010147: Failed to Divert</t>
  </si>
  <si>
    <t>S010147: Tracking Error</t>
  </si>
  <si>
    <t>S010147: Gap Error</t>
  </si>
  <si>
    <t>S010147: No Destination Received</t>
  </si>
  <si>
    <t>S010149: Lane Full</t>
  </si>
  <si>
    <t>S010149: Lane Non-Operational</t>
  </si>
  <si>
    <t>S010149: Throughput Limit</t>
  </si>
  <si>
    <t>S010149: Failed to Divert</t>
  </si>
  <si>
    <t>S010149: Tracking Error</t>
  </si>
  <si>
    <t>S010149: Gap Error</t>
  </si>
  <si>
    <t>S010149: No Destination Received</t>
  </si>
  <si>
    <t>S010150: Lane Full</t>
  </si>
  <si>
    <t>S010150: Lane Non-Operational</t>
  </si>
  <si>
    <t>S010150: Throughput Limit</t>
  </si>
  <si>
    <t>S010150: Failed to Divert</t>
  </si>
  <si>
    <t>S010150: Tracking Error</t>
  </si>
  <si>
    <t>S010150: Gap Error</t>
  </si>
  <si>
    <t>S010150: No Destination Received</t>
  </si>
  <si>
    <t>S010151: Lane Full</t>
  </si>
  <si>
    <t>S010151: Lane Non-Operational</t>
  </si>
  <si>
    <t>S010151: Throughput Limit</t>
  </si>
  <si>
    <t>S010151: Failed to Divert</t>
  </si>
  <si>
    <t>S010151: Tracking Error</t>
  </si>
  <si>
    <t>S010151: Gap Error</t>
  </si>
  <si>
    <t>S010151: No Destination Received</t>
  </si>
  <si>
    <t>S010152: Lane Full</t>
  </si>
  <si>
    <t>S010152: Lane Non-Operational</t>
  </si>
  <si>
    <t>S010152: Throughput Limit</t>
  </si>
  <si>
    <t>S010152: Failed to Divert</t>
  </si>
  <si>
    <t>S010152: Tracking Error</t>
  </si>
  <si>
    <t>S010152: Gap Error</t>
  </si>
  <si>
    <t>S010152: No Destination Received</t>
  </si>
  <si>
    <t>S010153: Lane Full</t>
  </si>
  <si>
    <t>S010153: Lane Non-Operational</t>
  </si>
  <si>
    <t>S010153: Throughput Limit</t>
  </si>
  <si>
    <t>S010153: Failed to Divert</t>
  </si>
  <si>
    <t>S010153: Tracking Error</t>
  </si>
  <si>
    <t>S010153: Gap Error</t>
  </si>
  <si>
    <t>S010153: No Destination Received</t>
  </si>
  <si>
    <t>S010154: Lane Full</t>
  </si>
  <si>
    <t>S010154: Lane Non-Operational</t>
  </si>
  <si>
    <t>S010154: Throughput Limit</t>
  </si>
  <si>
    <t>S010154: Failed to Divert</t>
  </si>
  <si>
    <t>S010154: Tracking Error</t>
  </si>
  <si>
    <t>S010154: Gap Error</t>
  </si>
  <si>
    <t>S010154: No Destination Received</t>
  </si>
  <si>
    <t>S010155: Lane Full</t>
  </si>
  <si>
    <t>S010155: Lane Non-Operational</t>
  </si>
  <si>
    <t>S010155: Throughput Limit</t>
  </si>
  <si>
    <t>S010155: Failed to Divert</t>
  </si>
  <si>
    <t>S010155: Tracking Error</t>
  </si>
  <si>
    <t>S010155: Gap Error</t>
  </si>
  <si>
    <t>S010155: No Destination Received</t>
  </si>
  <si>
    <t>S010156: Lane Full</t>
  </si>
  <si>
    <t>S010156: Lane Non-Operational</t>
  </si>
  <si>
    <t>S010156: Throughput Limit</t>
  </si>
  <si>
    <t>S010156: Failed to Divert</t>
  </si>
  <si>
    <t>S010156: Tracking Error</t>
  </si>
  <si>
    <t>S010156: Gap Error</t>
  </si>
  <si>
    <t>S010156: No Destination Received</t>
  </si>
  <si>
    <t>S010157: Lane Full</t>
  </si>
  <si>
    <t>S010157: Lane Non-Operational</t>
  </si>
  <si>
    <t>S010157: Throughput Limit</t>
  </si>
  <si>
    <t>S010157: Failed to Divert</t>
  </si>
  <si>
    <t>S010157: Tracking Error</t>
  </si>
  <si>
    <t>S010157: Gap Error</t>
  </si>
  <si>
    <t>S010157: No Destination Received</t>
  </si>
  <si>
    <t>S010158: Lane Full</t>
  </si>
  <si>
    <t>S010158: Lane Non-Operational</t>
  </si>
  <si>
    <t>S010158: Throughput Limit</t>
  </si>
  <si>
    <t>S010158: Failed to Divert</t>
  </si>
  <si>
    <t>S010158: Tracking Error</t>
  </si>
  <si>
    <t>S010158: Gap Error</t>
  </si>
  <si>
    <t>S010158: No Destination Received</t>
  </si>
  <si>
    <t>S010201: Lane Full</t>
  </si>
  <si>
    <t>S010201: Lane Non-Operational</t>
  </si>
  <si>
    <t>S010201: Throughput Limit</t>
  </si>
  <si>
    <t>S010201: Failed to Divert</t>
  </si>
  <si>
    <t>S010201: Tracking Error</t>
  </si>
  <si>
    <t>S010201: Gap Error</t>
  </si>
  <si>
    <t>S010201: No Destination Received</t>
  </si>
  <si>
    <t>S010203: Lane Full</t>
  </si>
  <si>
    <t>S010203: Lane Non-Operational</t>
  </si>
  <si>
    <t>S010203: Throughput Limit</t>
  </si>
  <si>
    <t>S010203: Failed to Divert</t>
  </si>
  <si>
    <t>S010203: Tracking Error</t>
  </si>
  <si>
    <t>S010203: Gap Error</t>
  </si>
  <si>
    <t>S010203: No Destination Received</t>
  </si>
  <si>
    <t>S010204: Lane Full</t>
  </si>
  <si>
    <t>S010204: Lane Non-Operational</t>
  </si>
  <si>
    <t>S010204: Throughput Limit</t>
  </si>
  <si>
    <t>S010204: Failed to Divert</t>
  </si>
  <si>
    <t>S010204: Tracking Error</t>
  </si>
  <si>
    <t>S010204: Gap Error</t>
  </si>
  <si>
    <t>S010204: No Destination Received</t>
  </si>
  <si>
    <t>S010205: Lane Full</t>
  </si>
  <si>
    <t>S010205: Lane Non-Operational</t>
  </si>
  <si>
    <t>S010205: Throughput Limit</t>
  </si>
  <si>
    <t>S010205: Failed to Divert</t>
  </si>
  <si>
    <t>S010205: Tracking Error</t>
  </si>
  <si>
    <t>S010205: Gap Error</t>
  </si>
  <si>
    <t>S010205: No Destination Received</t>
  </si>
  <si>
    <t>S010207: Lane Full</t>
  </si>
  <si>
    <t>S010207: Lane Non-Operational</t>
  </si>
  <si>
    <t>S010207: Throughput Limit</t>
  </si>
  <si>
    <t>S010207: Failed to Divert</t>
  </si>
  <si>
    <t>S010207: Tracking Error</t>
  </si>
  <si>
    <t>S010207: Gap Error</t>
  </si>
  <si>
    <t>S010207: No Destination Received</t>
  </si>
  <si>
    <t>S010208: Lane Full</t>
  </si>
  <si>
    <t>S010208: Lane Non-Operational</t>
  </si>
  <si>
    <t>S010208: Throughput Limit</t>
  </si>
  <si>
    <t>S010208: Failed to Divert</t>
  </si>
  <si>
    <t>S010208: Tracking Error</t>
  </si>
  <si>
    <t>S010208: Gap Error</t>
  </si>
  <si>
    <t>S010208: No Destination Received</t>
  </si>
  <si>
    <t>S010210: Lane Full</t>
  </si>
  <si>
    <t>S010210: Lane Non-Operational</t>
  </si>
  <si>
    <t>S010210: Throughput Limit</t>
  </si>
  <si>
    <t>S010210: Failed to Divert</t>
  </si>
  <si>
    <t>S010210: Tracking Error</t>
  </si>
  <si>
    <t>S010210: Gap Error</t>
  </si>
  <si>
    <t>S010210: No Destination Received</t>
  </si>
  <si>
    <t>S010213: Lane Full</t>
  </si>
  <si>
    <t>S010213: Lane Non-Operational</t>
  </si>
  <si>
    <t>S010213: Throughput Limit</t>
  </si>
  <si>
    <t>S010213: Failed to Divert</t>
  </si>
  <si>
    <t>S010213: Tracking Error</t>
  </si>
  <si>
    <t>S010213: Gap Error</t>
  </si>
  <si>
    <t>S010213: No Destination Received</t>
  </si>
  <si>
    <t>S010214: Lane Full</t>
  </si>
  <si>
    <t>S010214: Lane Non-Operational</t>
  </si>
  <si>
    <t>S010214: Throughput Limit</t>
  </si>
  <si>
    <t>S010214: Failed to Divert</t>
  </si>
  <si>
    <t>S010214: Tracking Error</t>
  </si>
  <si>
    <t>S010214: Gap Error</t>
  </si>
  <si>
    <t>S010214: No Destination Received</t>
  </si>
  <si>
    <t>S010215: Lane Full</t>
  </si>
  <si>
    <t>S010215: Lane Non-Operational</t>
  </si>
  <si>
    <t>S010215: Throughput Limit</t>
  </si>
  <si>
    <t>S010215: Failed to Divert</t>
  </si>
  <si>
    <t>S010215: Tracking Error</t>
  </si>
  <si>
    <t>S010215: Gap Error</t>
  </si>
  <si>
    <t>S010215: No Destination Received</t>
  </si>
  <si>
    <t>S010216: Lane Full</t>
  </si>
  <si>
    <t>S010216: Lane Non-Operational</t>
  </si>
  <si>
    <t>S010216: Throughput Limit</t>
  </si>
  <si>
    <t>S010216: Failed to Divert</t>
  </si>
  <si>
    <t>S010216: Tracking Error</t>
  </si>
  <si>
    <t>S010216: Gap Error</t>
  </si>
  <si>
    <t>S010216: No Destination Received</t>
  </si>
  <si>
    <t>S010217: Lane Full</t>
  </si>
  <si>
    <t>S010217: Lane Non-Operational</t>
  </si>
  <si>
    <t>S010217: Throughput Limit</t>
  </si>
  <si>
    <t>S010217: Failed to Divert</t>
  </si>
  <si>
    <t>S010217: Tracking Error</t>
  </si>
  <si>
    <t>S010217: Gap Error</t>
  </si>
  <si>
    <t>S010217: No Destination Received</t>
  </si>
  <si>
    <t>S010218: Lane Full</t>
  </si>
  <si>
    <t>S010218: Lane Non-Operational</t>
  </si>
  <si>
    <t>S010218: Throughput Limit</t>
  </si>
  <si>
    <t>S010218: Failed to Divert</t>
  </si>
  <si>
    <t>S010218: Tracking Error</t>
  </si>
  <si>
    <t>S010218: Gap Error</t>
  </si>
  <si>
    <t>S010218: No Destination Received</t>
  </si>
  <si>
    <t>S010219: Lane Full</t>
  </si>
  <si>
    <t>S010219: Lane Non-Operational</t>
  </si>
  <si>
    <t>S010219: Throughput Limit</t>
  </si>
  <si>
    <t>S010219: Failed to Divert</t>
  </si>
  <si>
    <t>S010219: Tracking Error</t>
  </si>
  <si>
    <t>S010219: Gap Error</t>
  </si>
  <si>
    <t>S010219: No Destination Received</t>
  </si>
  <si>
    <t>S010220: Lane Full</t>
  </si>
  <si>
    <t>S010220: Lane Non-Operational</t>
  </si>
  <si>
    <t>S010220: Throughput Limit</t>
  </si>
  <si>
    <t>S010220: Failed to Divert</t>
  </si>
  <si>
    <t>S010220: Tracking Error</t>
  </si>
  <si>
    <t>S010220: Gap Error</t>
  </si>
  <si>
    <t>S010220: No Destination Received</t>
  </si>
  <si>
    <t>S010221: Lane Full</t>
  </si>
  <si>
    <t>S010221: Lane Non-Operational</t>
  </si>
  <si>
    <t>S010221: Throughput Limit</t>
  </si>
  <si>
    <t>S010221: Failed to Divert</t>
  </si>
  <si>
    <t>S010221: Tracking Error</t>
  </si>
  <si>
    <t>S010221: Gap Error</t>
  </si>
  <si>
    <t>S010221: No Destination Received</t>
  </si>
  <si>
    <t>S010222: Lane Full</t>
  </si>
  <si>
    <t>S010222: Lane Non-Operational</t>
  </si>
  <si>
    <t>S010222: Throughput Limit</t>
  </si>
  <si>
    <t>S010222: Failed to Divert</t>
  </si>
  <si>
    <t>S010222: Tracking Error</t>
  </si>
  <si>
    <t>S010222: Gap Error</t>
  </si>
  <si>
    <t>S010222: No Destination Received</t>
  </si>
  <si>
    <t>S010223: Lane Full</t>
  </si>
  <si>
    <t>S010223: Lane Non-Operational</t>
  </si>
  <si>
    <t>S010223: Throughput Limit</t>
  </si>
  <si>
    <t>S010223: Failed to Divert</t>
  </si>
  <si>
    <t>S010223: Tracking Error</t>
  </si>
  <si>
    <t>S010223: Gap Error</t>
  </si>
  <si>
    <t>S010223: No Destination Received</t>
  </si>
  <si>
    <t>S010224: Lane Full</t>
  </si>
  <si>
    <t>S010224: Lane Non-Operational</t>
  </si>
  <si>
    <t>S010224: Throughput Limit</t>
  </si>
  <si>
    <t>S010224: Failed to Divert</t>
  </si>
  <si>
    <t>S010224: Tracking Error</t>
  </si>
  <si>
    <t>S010224: Gap Error</t>
  </si>
  <si>
    <t>S010224: No Destination Received</t>
  </si>
  <si>
    <t>S010401: Lane Full</t>
  </si>
  <si>
    <t>S010401: Lane Non-Operational</t>
  </si>
  <si>
    <t>S010401: Throughput Limit</t>
  </si>
  <si>
    <t>S010401: Failed to Divert</t>
  </si>
  <si>
    <t>S010401: Tracking Error</t>
  </si>
  <si>
    <t>S010401: Gap Error</t>
  </si>
  <si>
    <t>S010401: No Destination Received</t>
  </si>
  <si>
    <t>S010411: Lane Full</t>
  </si>
  <si>
    <t>S010411: Lane Non-Operational</t>
  </si>
  <si>
    <t>S010411: Throughput Limit</t>
  </si>
  <si>
    <t>S010411: Failed to Divert</t>
  </si>
  <si>
    <t>S010411: Tracking Error</t>
  </si>
  <si>
    <t>S010411: Gap Error</t>
  </si>
  <si>
    <t>S010411: No Destination Received</t>
  </si>
  <si>
    <t>S010413: Lane Full</t>
  </si>
  <si>
    <t>S010413: Lane Non-Operational</t>
  </si>
  <si>
    <t>S010413: Throughput Limit</t>
  </si>
  <si>
    <t>S010413: Failed to Divert</t>
  </si>
  <si>
    <t>S010413: Tracking Error</t>
  </si>
  <si>
    <t>S010413: Gap Error</t>
  </si>
  <si>
    <t>S010413: No Destination Received</t>
  </si>
  <si>
    <t>S010415: Lane Full</t>
  </si>
  <si>
    <t>S010415: Lane Non-Operational</t>
  </si>
  <si>
    <t>S010415: Throughput Limit</t>
  </si>
  <si>
    <t>S010415: Failed to Divert</t>
  </si>
  <si>
    <t>S010415: Tracking Error</t>
  </si>
  <si>
    <t>S010415: Gap Error</t>
  </si>
  <si>
    <t>S010415: No Destination Received</t>
  </si>
  <si>
    <t>S010417: Lane Full</t>
  </si>
  <si>
    <t>S010417: Lane Non-Operational</t>
  </si>
  <si>
    <t>S010417: Throughput Limit</t>
  </si>
  <si>
    <t>S010417: Failed to Divert</t>
  </si>
  <si>
    <t>S010417: Tracking Error</t>
  </si>
  <si>
    <t>S010417: Gap Error</t>
  </si>
  <si>
    <t>S010417: No Destination Received</t>
  </si>
  <si>
    <t>S010419: Lane Full</t>
  </si>
  <si>
    <t>S010419: Lane Non-Operational</t>
  </si>
  <si>
    <t>S010419: Throughput Limit</t>
  </si>
  <si>
    <t>S010419: Failed to Divert</t>
  </si>
  <si>
    <t>S010419: Tracking Error</t>
  </si>
  <si>
    <t>S010419: Gap Error</t>
  </si>
  <si>
    <t>S010419: No Destination Received</t>
  </si>
  <si>
    <t>S010421: Lane Full</t>
  </si>
  <si>
    <t>S010421: Lane Non-Operational</t>
  </si>
  <si>
    <t>S010421: Throughput Limit</t>
  </si>
  <si>
    <t>S010421: Failed to Divert</t>
  </si>
  <si>
    <t>S010421: Tracking Error</t>
  </si>
  <si>
    <t>S010421: Gap Error</t>
  </si>
  <si>
    <t>S010421: No Destination Received</t>
  </si>
  <si>
    <t>S010423: Lane Full</t>
  </si>
  <si>
    <t>S010423: Lane Non-Operational</t>
  </si>
  <si>
    <t>S010423: Throughput Limit</t>
  </si>
  <si>
    <t>S010423: Failed to Divert</t>
  </si>
  <si>
    <t>S010423: Tracking Error</t>
  </si>
  <si>
    <t>S010423: Gap Error</t>
  </si>
  <si>
    <t>S010423: No Destination Received</t>
  </si>
  <si>
    <t>S010425: Lane Full</t>
  </si>
  <si>
    <t>S010425: Lane Non-Operational</t>
  </si>
  <si>
    <t>S010425: Throughput Limit</t>
  </si>
  <si>
    <t>S010425: Failed to Divert</t>
  </si>
  <si>
    <t>S010425: Tracking Error</t>
  </si>
  <si>
    <t>S010425: Gap Error</t>
  </si>
  <si>
    <t>S010425: No Destination Received</t>
  </si>
  <si>
    <t>S010427: Lane Full</t>
  </si>
  <si>
    <t>S010427: Lane Non-Operational</t>
  </si>
  <si>
    <t>S010427: Throughput Limit</t>
  </si>
  <si>
    <t>S010427: Failed to Divert</t>
  </si>
  <si>
    <t>S010427: Tracking Error</t>
  </si>
  <si>
    <t>S010427: Gap Error</t>
  </si>
  <si>
    <t>S010427: No Destination Received</t>
  </si>
  <si>
    <t>S010429: Lane Full</t>
  </si>
  <si>
    <t>S010429: Lane Non-Operational</t>
  </si>
  <si>
    <t>S010429: Throughput Limit</t>
  </si>
  <si>
    <t>S010429: Failed to Divert</t>
  </si>
  <si>
    <t>S010429: Tracking Error</t>
  </si>
  <si>
    <t>S010429: Gap Error</t>
  </si>
  <si>
    <t>S010429: No Destination Received</t>
  </si>
  <si>
    <t>S010441: Success</t>
  </si>
  <si>
    <t>S010441: Lane Full</t>
  </si>
  <si>
    <t>S010441: Lane Non-Operational</t>
  </si>
  <si>
    <t>S010441: Throughput Limit</t>
  </si>
  <si>
    <t>S010441: Failed to Divert</t>
  </si>
  <si>
    <t>S010441: Tracking Error</t>
  </si>
  <si>
    <t>S010441: Gap Error</t>
  </si>
  <si>
    <t>S010441: No Destination Received</t>
  </si>
  <si>
    <t>S010504: Lane Full</t>
  </si>
  <si>
    <t>S010504: Lane Non-Operational</t>
  </si>
  <si>
    <t>S010504: Throughput Limit</t>
  </si>
  <si>
    <t>S010504: Failed to Divert</t>
  </si>
  <si>
    <t>S010504: Tracking Error</t>
  </si>
  <si>
    <t>S010504: Gap Error</t>
  </si>
  <si>
    <t>S010504: No Destination Received</t>
  </si>
  <si>
    <t>S010506: Lane Full</t>
  </si>
  <si>
    <t>S010506: Lane Non-Operational</t>
  </si>
  <si>
    <t>S010506: Throughput Limit</t>
  </si>
  <si>
    <t>S010506: Failed to Divert</t>
  </si>
  <si>
    <t>S010506: Tracking Error</t>
  </si>
  <si>
    <t>S010506: Gap Error</t>
  </si>
  <si>
    <t>S010506: No Destination Received</t>
  </si>
  <si>
    <t>S010508: Lane Full</t>
  </si>
  <si>
    <t>S010508: Lane Non-Operational</t>
  </si>
  <si>
    <t>S010508: Throughput Limit</t>
  </si>
  <si>
    <t>S010508: Failed to Divert</t>
  </si>
  <si>
    <t>S010508: Tracking Error</t>
  </si>
  <si>
    <t>S010508: Gap Error</t>
  </si>
  <si>
    <t>S010508: No Destination Received</t>
  </si>
  <si>
    <t>S010510: Lane Full</t>
  </si>
  <si>
    <t>S010510: Lane Non-Operational</t>
  </si>
  <si>
    <t>S010510: Throughput Limit</t>
  </si>
  <si>
    <t>S010510: Failed to Divert</t>
  </si>
  <si>
    <t>S010510: Tracking Error</t>
  </si>
  <si>
    <t>S010510: Gap Error</t>
  </si>
  <si>
    <t>S010510: No Destination Received</t>
  </si>
  <si>
    <t>S010516: Lane Full</t>
  </si>
  <si>
    <t>S010516: Lane Non-Operational</t>
  </si>
  <si>
    <t>S010516: Throughput Limit</t>
  </si>
  <si>
    <t>S010516: Failed to Divert</t>
  </si>
  <si>
    <t>S010516: Tracking Error</t>
  </si>
  <si>
    <t>S010516: Gap Error</t>
  </si>
  <si>
    <t>S010516: No Destination Received</t>
  </si>
  <si>
    <t>S010520: Lane Full</t>
  </si>
  <si>
    <t>S010520: Lane Non-Operational</t>
  </si>
  <si>
    <t>S010520: Throughput Limit</t>
  </si>
  <si>
    <t>S010520: Failed to Divert</t>
  </si>
  <si>
    <t>S010520: Tracking Error</t>
  </si>
  <si>
    <t>S010520: Gap Error</t>
  </si>
  <si>
    <t>S010520: No Destination Received</t>
  </si>
  <si>
    <t>S010532: Lane Full</t>
  </si>
  <si>
    <t>S010532: Lane Non-Operational</t>
  </si>
  <si>
    <t>S010532: Throughput Limit</t>
  </si>
  <si>
    <t>S010532: Failed to Divert</t>
  </si>
  <si>
    <t>S010532: Tracking Error</t>
  </si>
  <si>
    <t>S010532: Gap Error</t>
  </si>
  <si>
    <t>S010532: No Destination Received</t>
  </si>
  <si>
    <t>S010533: Lane Full</t>
  </si>
  <si>
    <t>S010533: Lane Non-Operational</t>
  </si>
  <si>
    <t>S010533: Throughput Limit</t>
  </si>
  <si>
    <t>S010533: Failed to Divert</t>
  </si>
  <si>
    <t>S010533: Tracking Error</t>
  </si>
  <si>
    <t>S010533: Gap Error</t>
  </si>
  <si>
    <t>S010533: No Destination Received</t>
  </si>
  <si>
    <t>S010534: Lane Full</t>
  </si>
  <si>
    <t>S010534: Lane Non-Operational</t>
  </si>
  <si>
    <t>S010534: Throughput Limit</t>
  </si>
  <si>
    <t>S010534: Failed to Divert</t>
  </si>
  <si>
    <t>S010534: Tracking Error</t>
  </si>
  <si>
    <t>S010534: Gap Error</t>
  </si>
  <si>
    <t>S010534: No Destination Received</t>
  </si>
  <si>
    <t>S010536: Lane Full</t>
  </si>
  <si>
    <t>S010536: Lane Non-Operational</t>
  </si>
  <si>
    <t>S010536: Throughput Limit</t>
  </si>
  <si>
    <t>S010536: Failed to Divert</t>
  </si>
  <si>
    <t>S010536: Tracking Error</t>
  </si>
  <si>
    <t>S010536: Gap Error</t>
  </si>
  <si>
    <t>S010536: No Destination Received</t>
  </si>
  <si>
    <t>S010538: Lane Full</t>
  </si>
  <si>
    <t>S010538: Lane Non-Operational</t>
  </si>
  <si>
    <t>S010538: Throughput Limit</t>
  </si>
  <si>
    <t>S010538: Failed to Divert</t>
  </si>
  <si>
    <t>S010538: Tracking Error</t>
  </si>
  <si>
    <t>S010538: Gap Error</t>
  </si>
  <si>
    <t>S010538: No Destination Received</t>
  </si>
  <si>
    <t>S010539: Lane Full</t>
  </si>
  <si>
    <t>S010539: Lane Non-Operational</t>
  </si>
  <si>
    <t>S010539: Throughput Limit</t>
  </si>
  <si>
    <t>S010539: Failed to Divert</t>
  </si>
  <si>
    <t>S010539: Tracking Error</t>
  </si>
  <si>
    <t>S010539: Gap Error</t>
  </si>
  <si>
    <t>S010539: No Destination Received</t>
  </si>
  <si>
    <t>S010542: Lane Full</t>
  </si>
  <si>
    <t>S010542: Lane Non-Operational</t>
  </si>
  <si>
    <t>S010542: Throughput Limit</t>
  </si>
  <si>
    <t>S010542: Failed to Divert</t>
  </si>
  <si>
    <t>S010542: Tracking Error</t>
  </si>
  <si>
    <t>S010542: Gap Error</t>
  </si>
  <si>
    <t>S010542: No Destination Received</t>
  </si>
  <si>
    <t>S010543: Lane Full</t>
  </si>
  <si>
    <t>S010543: Lane Non-Operational</t>
  </si>
  <si>
    <t>S010543: Throughput Limit</t>
  </si>
  <si>
    <t>S010543: Failed to Divert</t>
  </si>
  <si>
    <t>S010543: Tracking Error</t>
  </si>
  <si>
    <t>S010543: Gap Error</t>
  </si>
  <si>
    <t>S010543: No Destination Received</t>
  </si>
  <si>
    <t>S010544: Lane Full</t>
  </si>
  <si>
    <t>S010544: Lane Non-Operational</t>
  </si>
  <si>
    <t>S010544: Throughput Limit</t>
  </si>
  <si>
    <t>S010544: Failed to Divert</t>
  </si>
  <si>
    <t>S010544: Tracking Error</t>
  </si>
  <si>
    <t>S010544: Gap Error</t>
  </si>
  <si>
    <t>S010544: No Destination Received</t>
  </si>
  <si>
    <t>S010546: Lane Full</t>
  </si>
  <si>
    <t>S010546: Lane Non-Operational</t>
  </si>
  <si>
    <t>S010546: Throughput Limit</t>
  </si>
  <si>
    <t>S010546: Failed to Divert</t>
  </si>
  <si>
    <t>S010546: Tracking Error</t>
  </si>
  <si>
    <t>S010546: Gap Error</t>
  </si>
  <si>
    <t>S010546: No Destination Received</t>
  </si>
  <si>
    <t>S010547: Lane Full</t>
  </si>
  <si>
    <t>S010547: Lane Non-Operational</t>
  </si>
  <si>
    <t>S010547: Throughput Limit</t>
  </si>
  <si>
    <t>S010547: Failed to Divert</t>
  </si>
  <si>
    <t>S010547: Tracking Error</t>
  </si>
  <si>
    <t>S010547: Gap Error</t>
  </si>
  <si>
    <t>S010547: No Destination Received</t>
  </si>
  <si>
    <t>S010548: Lane Full</t>
  </si>
  <si>
    <t>S010548: Lane Non-Operational</t>
  </si>
  <si>
    <t>S010548: Throughput Limit</t>
  </si>
  <si>
    <t>S010548: Failed to Divert</t>
  </si>
  <si>
    <t>S010548: Tracking Error</t>
  </si>
  <si>
    <t>S010548: Gap Error</t>
  </si>
  <si>
    <t>S010548: No Destination Received</t>
  </si>
  <si>
    <t>S010550: Lane Full</t>
  </si>
  <si>
    <t>S010550: Lane Non-Operational</t>
  </si>
  <si>
    <t>S010550: Throughput Limit</t>
  </si>
  <si>
    <t>S010550: Failed to Divert</t>
  </si>
  <si>
    <t>S010550: Tracking Error</t>
  </si>
  <si>
    <t>S010550: Gap Error</t>
  </si>
  <si>
    <t>S010550: No Destination Received</t>
  </si>
  <si>
    <t>S010551: Lane Full</t>
  </si>
  <si>
    <t>S010551: Lane Non-Operational</t>
  </si>
  <si>
    <t>S010551: Throughput Limit</t>
  </si>
  <si>
    <t>S010551: Failed to Divert</t>
  </si>
  <si>
    <t>S010551: Tracking Error</t>
  </si>
  <si>
    <t>S010551: Gap Error</t>
  </si>
  <si>
    <t>S010551: No Destination Received</t>
  </si>
  <si>
    <t>S010552: Lane Full</t>
  </si>
  <si>
    <t>S010552: Lane Non-Operational</t>
  </si>
  <si>
    <t>S010552: Throughput Limit</t>
  </si>
  <si>
    <t>S010552: Failed to Divert</t>
  </si>
  <si>
    <t>S010552: Tracking Error</t>
  </si>
  <si>
    <t>S010552: Gap Error</t>
  </si>
  <si>
    <t>S010552: No Destination Received</t>
  </si>
  <si>
    <t>S010601: Lane Full</t>
  </si>
  <si>
    <t>S010601: Lane Non-Operational</t>
  </si>
  <si>
    <t>S010601: Throughput Limit</t>
  </si>
  <si>
    <t>S010601: Failed to Divert</t>
  </si>
  <si>
    <t>S010601: Tracking Error</t>
  </si>
  <si>
    <t>S010601: Gap Error</t>
  </si>
  <si>
    <t>S010601: No Destination Received</t>
  </si>
  <si>
    <t>S010604: Lane Full</t>
  </si>
  <si>
    <t>S010604: Lane Non-Operational</t>
  </si>
  <si>
    <t>S010604: Throughput Limit</t>
  </si>
  <si>
    <t>S010604: Failed to Divert</t>
  </si>
  <si>
    <t>S010604: Tracking Error</t>
  </si>
  <si>
    <t>S010604: Gap Error</t>
  </si>
  <si>
    <t>S010604: No Destination Received</t>
  </si>
  <si>
    <t>S010606: Lane Full</t>
  </si>
  <si>
    <t>S010606: Lane Non-Operational</t>
  </si>
  <si>
    <t>S010606: Throughput Limit</t>
  </si>
  <si>
    <t>S010606: Failed to Divert</t>
  </si>
  <si>
    <t>S010606: Tracking Error</t>
  </si>
  <si>
    <t>S010606: Gap Error</t>
  </si>
  <si>
    <t>S010606: No Destination Received</t>
  </si>
  <si>
    <t>S010701: Lane Full</t>
  </si>
  <si>
    <t>S010701: Lane Non-Operational</t>
  </si>
  <si>
    <t>S010701: Throughput Limit</t>
  </si>
  <si>
    <t>S010701: Failed to Divert</t>
  </si>
  <si>
    <t>S010701: Tracking Error</t>
  </si>
  <si>
    <t>S010701: Gap Error</t>
  </si>
  <si>
    <t>S010701: No Destination Received</t>
  </si>
  <si>
    <t>S010705: Lane Full</t>
  </si>
  <si>
    <t>S010705: Lane Non-Operational</t>
  </si>
  <si>
    <t>S010705: Throughput Limit</t>
  </si>
  <si>
    <t>S010705: Failed to Divert</t>
  </si>
  <si>
    <t>S010705: Tracking Error</t>
  </si>
  <si>
    <t>S010705: Gap Error</t>
  </si>
  <si>
    <t>S010705: No Destination Received</t>
  </si>
  <si>
    <t>S010706: Lane Full</t>
  </si>
  <si>
    <t>S010706: Lane Non-Operational</t>
  </si>
  <si>
    <t>S010706: Throughput Limit</t>
  </si>
  <si>
    <t>S010706: Failed to Divert</t>
  </si>
  <si>
    <t>S010706: Tracking Error</t>
  </si>
  <si>
    <t>S010706: Gap Error</t>
  </si>
  <si>
    <t>S010706: No Destination Received</t>
  </si>
  <si>
    <t>S010712: Lane Full</t>
  </si>
  <si>
    <t>S010712: Lane Non-Operational</t>
  </si>
  <si>
    <t>S010712: Throughput Limit</t>
  </si>
  <si>
    <t>S010712: Failed to Divert</t>
  </si>
  <si>
    <t>S010712: Tracking Error</t>
  </si>
  <si>
    <t>S010712: Gap Error</t>
  </si>
  <si>
    <t>S010712: No Destination Received</t>
  </si>
  <si>
    <t>S010715: Lane Full</t>
  </si>
  <si>
    <t>S010715: Lane Non-Operational</t>
  </si>
  <si>
    <t>S010715: Throughput Limit</t>
  </si>
  <si>
    <t>S010715: Failed to Divert</t>
  </si>
  <si>
    <t>S010715: Tracking Error</t>
  </si>
  <si>
    <t>S010715: Gap Error</t>
  </si>
  <si>
    <t>S010715: No Destination Received</t>
  </si>
  <si>
    <t>S010718: Lane Full</t>
  </si>
  <si>
    <t>S010718: Lane Non-Operational</t>
  </si>
  <si>
    <t>S010718: Throughput Limit</t>
  </si>
  <si>
    <t>S010718: Failed to Divert</t>
  </si>
  <si>
    <t>S010718: Tracking Error</t>
  </si>
  <si>
    <t>S010718: Gap Error</t>
  </si>
  <si>
    <t>S010718: No Destination Received</t>
  </si>
  <si>
    <t>S010721: Lane Full</t>
  </si>
  <si>
    <t>S010721: Lane Non-Operational</t>
  </si>
  <si>
    <t>S010721: Throughput Limit</t>
  </si>
  <si>
    <t>S010721: Failed to Divert</t>
  </si>
  <si>
    <t>S010721: Tracking Error</t>
  </si>
  <si>
    <t>S010721: Gap Error</t>
  </si>
  <si>
    <t>S010721: No Destination Received</t>
  </si>
  <si>
    <t>S010724: Lane Full</t>
  </si>
  <si>
    <t>S010724: Lane Non-Operational</t>
  </si>
  <si>
    <t>S010724: Throughput Limit</t>
  </si>
  <si>
    <t>S010724: Failed to Divert</t>
  </si>
  <si>
    <t>S010724: Tracking Error</t>
  </si>
  <si>
    <t>S010724: Gap Error</t>
  </si>
  <si>
    <t>S010724: No Destination Received</t>
  </si>
  <si>
    <t>S010736: Lane Full</t>
  </si>
  <si>
    <t>S010736: Lane Non-Operational</t>
  </si>
  <si>
    <t>S010736: Throughput Limit</t>
  </si>
  <si>
    <t>S010736: Failed to Divert</t>
  </si>
  <si>
    <t>S010736: Tracking Error</t>
  </si>
  <si>
    <t>S010736: Gap Error</t>
  </si>
  <si>
    <t>S010736: No Destination Received</t>
  </si>
  <si>
    <t>S010739: Lane Full</t>
  </si>
  <si>
    <t>S010739: Lane Non-Operational</t>
  </si>
  <si>
    <t>S010739: Throughput Limit</t>
  </si>
  <si>
    <t>S010739: Failed to Divert</t>
  </si>
  <si>
    <t>S010739: Tracking Error</t>
  </si>
  <si>
    <t>S010739: Gap Error</t>
  </si>
  <si>
    <t>S010739: No Destination Received</t>
  </si>
  <si>
    <t>S010742: Lane Full</t>
  </si>
  <si>
    <t>S010742: Lane Non-Operational</t>
  </si>
  <si>
    <t>S010742: Throughput Limit</t>
  </si>
  <si>
    <t>S010742: Failed to Divert</t>
  </si>
  <si>
    <t>S010742: Tracking Error</t>
  </si>
  <si>
    <t>S010742: Gap Error</t>
  </si>
  <si>
    <t>S010742: No Destination Received</t>
  </si>
  <si>
    <t>S010745: Lane Full</t>
  </si>
  <si>
    <t>S010745: Lane Non-Operational</t>
  </si>
  <si>
    <t>S010745: Throughput Limit</t>
  </si>
  <si>
    <t>S010745: Failed to Divert</t>
  </si>
  <si>
    <t>S010745: Tracking Error</t>
  </si>
  <si>
    <t>S010745: Gap Error</t>
  </si>
  <si>
    <t>S010745: No Destination Received</t>
  </si>
  <si>
    <t>S010751: Lane Full</t>
  </si>
  <si>
    <t>S010751: Lane Non-Operational</t>
  </si>
  <si>
    <t>S010751: Throughput Limit</t>
  </si>
  <si>
    <t>S010751: Failed to Divert</t>
  </si>
  <si>
    <t>S010751: Tracking Error</t>
  </si>
  <si>
    <t>S010751: Gap Error</t>
  </si>
  <si>
    <t>S010751: No Destination Received</t>
  </si>
  <si>
    <t>S010754: Lane Full</t>
  </si>
  <si>
    <t>S010754: Lane Non-Operational</t>
  </si>
  <si>
    <t>S010754: Throughput Limit</t>
  </si>
  <si>
    <t>S010754: Failed to Divert</t>
  </si>
  <si>
    <t>S010754: Tracking Error</t>
  </si>
  <si>
    <t>S010754: Gap Error</t>
  </si>
  <si>
    <t>S010754: No Destination Received</t>
  </si>
  <si>
    <t>S010766: Lane Full</t>
  </si>
  <si>
    <t>S010766: Lane Non-Operational</t>
  </si>
  <si>
    <t>S010766: Throughput Limit</t>
  </si>
  <si>
    <t>S010766: Failed to Divert</t>
  </si>
  <si>
    <t>S010766: Tracking Error</t>
  </si>
  <si>
    <t>S010766: Gap Error</t>
  </si>
  <si>
    <t>S010766: No Destination Received</t>
  </si>
  <si>
    <t>S010769: Lane Full</t>
  </si>
  <si>
    <t>S010769: Lane Non-Operational</t>
  </si>
  <si>
    <t>S010769: Throughput Limit</t>
  </si>
  <si>
    <t>S010769: Failed to Divert</t>
  </si>
  <si>
    <t>S010769: Tracking Error</t>
  </si>
  <si>
    <t>S010769: Gap Error</t>
  </si>
  <si>
    <t>S010769: No Destination Received</t>
  </si>
  <si>
    <t>S010772: Lane Full</t>
  </si>
  <si>
    <t>S010772: Lane Non-Operational</t>
  </si>
  <si>
    <t>S010772: Throughput Limit</t>
  </si>
  <si>
    <t>S010772: Failed to Divert</t>
  </si>
  <si>
    <t>S010772: Tracking Error</t>
  </si>
  <si>
    <t>S010772: Gap Error</t>
  </si>
  <si>
    <t>S010772: No Destination Received</t>
  </si>
  <si>
    <t>S010775: Lane Full</t>
  </si>
  <si>
    <t>S010775: Lane Non-Operational</t>
  </si>
  <si>
    <t>S010775: Throughput Limit</t>
  </si>
  <si>
    <t>S010775: Failed to Divert</t>
  </si>
  <si>
    <t>S010775: Tracking Error</t>
  </si>
  <si>
    <t>S010775: Gap Error</t>
  </si>
  <si>
    <t>S010775: No Destination Received</t>
  </si>
  <si>
    <t>S010778: Lane Full</t>
  </si>
  <si>
    <t>S010778: Lane Non-Operational</t>
  </si>
  <si>
    <t>S010778: Throughput Limit</t>
  </si>
  <si>
    <t>S010778: Failed to Divert</t>
  </si>
  <si>
    <t>S010778: Tracking Error</t>
  </si>
  <si>
    <t>S010778: Gap Error</t>
  </si>
  <si>
    <t>S010778: No Destination Received</t>
  </si>
  <si>
    <t>S010784: Lane Full</t>
  </si>
  <si>
    <t>S010784: Lane Non-Operational</t>
  </si>
  <si>
    <t>S010784: Throughput Limit</t>
  </si>
  <si>
    <t>S010784: Failed to Divert</t>
  </si>
  <si>
    <t>S010784: Tracking Error</t>
  </si>
  <si>
    <t>S010784: Gap Error</t>
  </si>
  <si>
    <t>S010784: No Destination Received</t>
  </si>
  <si>
    <t>S010787: Lane Full</t>
  </si>
  <si>
    <t>S010787: Lane Non-Operational</t>
  </si>
  <si>
    <t>S010787: Throughput Limit</t>
  </si>
  <si>
    <t>S010787: Failed to Divert</t>
  </si>
  <si>
    <t>S010787: Tracking Error</t>
  </si>
  <si>
    <t>S010787: Gap Error</t>
  </si>
  <si>
    <t>S010787: No Destination Received</t>
  </si>
  <si>
    <t>S010796: Lane Full</t>
  </si>
  <si>
    <t>S010796: Lane Non-Operational</t>
  </si>
  <si>
    <t>S010796: Throughput Limit</t>
  </si>
  <si>
    <t>S010796: Failed to Divert</t>
  </si>
  <si>
    <t>S010796: Tracking Error</t>
  </si>
  <si>
    <t>S010796: Gap Error</t>
  </si>
  <si>
    <t>S010796: No Destination Received</t>
  </si>
  <si>
    <t>S010799: Lane Full</t>
  </si>
  <si>
    <t>S010799: Lane Non-Operational</t>
  </si>
  <si>
    <t>S010799: Throughput Limit</t>
  </si>
  <si>
    <t>S010799: Failed to Divert</t>
  </si>
  <si>
    <t>S010799: Tracking Error</t>
  </si>
  <si>
    <t>S010799: Gap Error</t>
  </si>
  <si>
    <t>S010799: No Destination Received</t>
  </si>
  <si>
    <t>S010802: Lane Full</t>
  </si>
  <si>
    <t>S010802: Lane Non-Operational</t>
  </si>
  <si>
    <t>S010802: Throughput Limit</t>
  </si>
  <si>
    <t>S010802: Failed to Divert</t>
  </si>
  <si>
    <t>S010802: Tracking Error</t>
  </si>
  <si>
    <t>S010802: Gap Error</t>
  </si>
  <si>
    <t>S010802: No Destination Received</t>
  </si>
  <si>
    <t>S010808: Lane Full</t>
  </si>
  <si>
    <t>S010808: Lane Non-Operational</t>
  </si>
  <si>
    <t>S010808: Throughput Limit</t>
  </si>
  <si>
    <t>S010808: Failed to Divert</t>
  </si>
  <si>
    <t>S010808: Tracking Error</t>
  </si>
  <si>
    <t>S010808: Gap Error</t>
  </si>
  <si>
    <t>S010808: No Destination Received</t>
  </si>
  <si>
    <t>S010811: Lane Full</t>
  </si>
  <si>
    <t>S010811: Lane Non-Operational</t>
  </si>
  <si>
    <t>S010811: Throughput Limit</t>
  </si>
  <si>
    <t>S010811: Failed to Divert</t>
  </si>
  <si>
    <t>S010811: Tracking Error</t>
  </si>
  <si>
    <t>S010811: Gap Error</t>
  </si>
  <si>
    <t>S010811: No Destination Received</t>
  </si>
  <si>
    <t>S010817: Lane Full</t>
  </si>
  <si>
    <t>S010817: Lane Non-Operational</t>
  </si>
  <si>
    <t>S010817: Throughput Limit</t>
  </si>
  <si>
    <t>S010817: Failed to Divert</t>
  </si>
  <si>
    <t>S010817: Tracking Error</t>
  </si>
  <si>
    <t>S010817: Gap Error</t>
  </si>
  <si>
    <t>S010817: No Destination Received</t>
  </si>
  <si>
    <t>S010832: Lane Full</t>
  </si>
  <si>
    <t>S010832: Lane Non-Operational</t>
  </si>
  <si>
    <t>S010832: Throughput Limit</t>
  </si>
  <si>
    <t>S010832: Failed to Divert</t>
  </si>
  <si>
    <t>S010832: Tracking Error</t>
  </si>
  <si>
    <t>S010832: Gap Error</t>
  </si>
  <si>
    <t>S010832: No Destination Received</t>
  </si>
  <si>
    <t>S010835: Lane Full</t>
  </si>
  <si>
    <t>S010835: Lane Non-Operational</t>
  </si>
  <si>
    <t>S010835: Throughput Limit</t>
  </si>
  <si>
    <t>S010835: Failed to Divert</t>
  </si>
  <si>
    <t>S010835: Tracking Error</t>
  </si>
  <si>
    <t>S010835: Gap Error</t>
  </si>
  <si>
    <t>S010835: No Destination Received</t>
  </si>
  <si>
    <t>S010838: Lane Full</t>
  </si>
  <si>
    <t>S010838: Lane Non-Operational</t>
  </si>
  <si>
    <t>S010838: Throughput Limit</t>
  </si>
  <si>
    <t>S010838: Failed to Divert</t>
  </si>
  <si>
    <t>S010838: Tracking Error</t>
  </si>
  <si>
    <t>S010838: Gap Error</t>
  </si>
  <si>
    <t>S010838: No Destination Received</t>
  </si>
  <si>
    <t>S010853: Lane Full</t>
  </si>
  <si>
    <t>S010853: Lane Non-Operational</t>
  </si>
  <si>
    <t>S010853: Throughput Limit</t>
  </si>
  <si>
    <t>S010853: Failed to Divert</t>
  </si>
  <si>
    <t>S010853: Tracking Error</t>
  </si>
  <si>
    <t>S010853: Gap Error</t>
  </si>
  <si>
    <t>S010853: No Destination Received</t>
  </si>
  <si>
    <t>S010859: Lane Full</t>
  </si>
  <si>
    <t>S010859: Lane Non-Operational</t>
  </si>
  <si>
    <t>S010859: Throughput Limit</t>
  </si>
  <si>
    <t>S010859: Failed to Divert</t>
  </si>
  <si>
    <t>S010859: Tracking Error</t>
  </si>
  <si>
    <t>S010859: Gap Error</t>
  </si>
  <si>
    <t>S010859: No Destination Received</t>
  </si>
  <si>
    <t>S010862: Lane Full</t>
  </si>
  <si>
    <t>S010862: Lane Non-Operational</t>
  </si>
  <si>
    <t>S010862: Throughput Limit</t>
  </si>
  <si>
    <t>S010862: Failed to Divert</t>
  </si>
  <si>
    <t>S010862: Tracking Error</t>
  </si>
  <si>
    <t>S010862: Gap Error</t>
  </si>
  <si>
    <t>S010862: No Destination Received</t>
  </si>
  <si>
    <t>S010904: Lane Full</t>
  </si>
  <si>
    <t>S010904: Lane Non-Operational</t>
  </si>
  <si>
    <t>S010904: Throughput Limit</t>
  </si>
  <si>
    <t>S010904: Failed to Divert</t>
  </si>
  <si>
    <t>S010904: Tracking Error</t>
  </si>
  <si>
    <t>S010904: Gap Error</t>
  </si>
  <si>
    <t>S010904: No Destination Received</t>
  </si>
  <si>
    <t>S010907: Lane Full</t>
  </si>
  <si>
    <t>S010907: Lane Non-Operational</t>
  </si>
  <si>
    <t>S010907: Throughput Limit</t>
  </si>
  <si>
    <t>S010907: Failed to Divert</t>
  </si>
  <si>
    <t>S010907: Tracking Error</t>
  </si>
  <si>
    <t>S010907: Gap Error</t>
  </si>
  <si>
    <t>S010907: No Destination Received</t>
  </si>
  <si>
    <t>S010910: Lane Full</t>
  </si>
  <si>
    <t>S010910: Lane Non-Operational</t>
  </si>
  <si>
    <t>S010910: Throughput Limit</t>
  </si>
  <si>
    <t>S010910: Failed to Divert</t>
  </si>
  <si>
    <t>S010910: Tracking Error</t>
  </si>
  <si>
    <t>S010910: Gap Error</t>
  </si>
  <si>
    <t>S010910: No Destination Received</t>
  </si>
  <si>
    <t>S010913: Lane Full</t>
  </si>
  <si>
    <t>S010913: Lane Non-Operational</t>
  </si>
  <si>
    <t>S010913: Throughput Limit</t>
  </si>
  <si>
    <t>S010913: Failed to Divert</t>
  </si>
  <si>
    <t>S010913: Tracking Error</t>
  </si>
  <si>
    <t>S010913: Gap Error</t>
  </si>
  <si>
    <t>S010913: No Destination Received</t>
  </si>
  <si>
    <t>S010916: Lane Full</t>
  </si>
  <si>
    <t>S010916: Lane Non-Operational</t>
  </si>
  <si>
    <t>S010916: Throughput Limit</t>
  </si>
  <si>
    <t>S010916: Failed to Divert</t>
  </si>
  <si>
    <t>S010916: Tracking Error</t>
  </si>
  <si>
    <t>S010916: Gap Error</t>
  </si>
  <si>
    <t>S010916: No Destination Received</t>
  </si>
  <si>
    <t>S010919: Lane Full</t>
  </si>
  <si>
    <t>S010919: Lane Non-Operational</t>
  </si>
  <si>
    <t>S010919: Throughput Limit</t>
  </si>
  <si>
    <t>S010919: Failed to Divert</t>
  </si>
  <si>
    <t>S010919: Tracking Error</t>
  </si>
  <si>
    <t>S010919: Gap Error</t>
  </si>
  <si>
    <t>S010919: No Destination Received</t>
  </si>
  <si>
    <t>S011335: Gap Error</t>
  </si>
  <si>
    <t>S011335: No Destination Received</t>
  </si>
  <si>
    <t>S011338: Lane Full</t>
  </si>
  <si>
    <t>S011338: Lane Non-Operational</t>
  </si>
  <si>
    <t>S011338: Throughput Limit</t>
  </si>
  <si>
    <t>S011338: Failed to Divert</t>
  </si>
  <si>
    <t>S011338: Tracking Error</t>
  </si>
  <si>
    <t>S011338: Gap Error</t>
  </si>
  <si>
    <t>S011338: No Destination Received</t>
  </si>
  <si>
    <t>S011341: Lane Full</t>
  </si>
  <si>
    <t>S011341: Lane Non-Operational</t>
  </si>
  <si>
    <t>S011341: Throughput Limit</t>
  </si>
  <si>
    <t>S011341: Failed to Divert</t>
  </si>
  <si>
    <t>S011341: Tracking Error</t>
  </si>
  <si>
    <t>S011341: Gap Error</t>
  </si>
  <si>
    <t>S011341: No Destination Received</t>
  </si>
  <si>
    <t>S011344: Lane Full</t>
  </si>
  <si>
    <t>S011344: Lane Non-Operational</t>
  </si>
  <si>
    <t>S011344: Throughput Limit</t>
  </si>
  <si>
    <t>S011344: Failed to Divert</t>
  </si>
  <si>
    <t>S011344: Tracking Error</t>
  </si>
  <si>
    <t>S010101: Lane Full</t>
  </si>
  <si>
    <t>S010101: Lane Non-Operational</t>
  </si>
  <si>
    <t>S010101: Throughput Limit</t>
  </si>
  <si>
    <t>S010101: Failed to Divert</t>
  </si>
  <si>
    <t>S010101: Tracking Error</t>
  </si>
  <si>
    <t>S010101: Gap Error</t>
  </si>
  <si>
    <t>S010101: No Destination Received</t>
  </si>
  <si>
    <t>S010105: Lane Full</t>
  </si>
  <si>
    <t>S010105: Lane Non-Operational</t>
  </si>
  <si>
    <t>S010105: Throughput Limit</t>
  </si>
  <si>
    <t>S010105: Failed to Divert</t>
  </si>
  <si>
    <t>S010105: Tracking Error</t>
  </si>
  <si>
    <t>S010105: Gap Error</t>
  </si>
  <si>
    <t>S010105: No Destination Received</t>
  </si>
  <si>
    <t>S010111: Lane Full</t>
  </si>
  <si>
    <t>S010111: Lane Non-Operational</t>
  </si>
  <si>
    <t>S010111: Throughput Limit</t>
  </si>
  <si>
    <t>S010111: Failed to Divert</t>
  </si>
  <si>
    <t>S010111: Tracking Error</t>
  </si>
  <si>
    <t>S010111: Gap Error</t>
  </si>
  <si>
    <t>S010111: No Destination Received</t>
  </si>
  <si>
    <t>S010127: Lane Full</t>
  </si>
  <si>
    <t>S010127: Lane Non-Operational</t>
  </si>
  <si>
    <t>S010127: Throughput Limit</t>
  </si>
  <si>
    <t>S010127: Failed to Divert</t>
  </si>
  <si>
    <t>S010127: Tracking Error</t>
  </si>
  <si>
    <t>S010127: Gap Error</t>
  </si>
  <si>
    <t>S010127: No Destination Received</t>
  </si>
  <si>
    <t>S010128: Lane Full</t>
  </si>
  <si>
    <t>S010128: Lane Non-Operational</t>
  </si>
  <si>
    <t>S010128: Throughput Limit</t>
  </si>
  <si>
    <t>S010128: Failed to Divert</t>
  </si>
  <si>
    <t>S010128: Tracking Error</t>
  </si>
  <si>
    <t>S010128: Gap Error</t>
  </si>
  <si>
    <t>S010128: No Destination Received</t>
  </si>
  <si>
    <t>S010131: Lane Full</t>
  </si>
  <si>
    <t>S010131: Lane Non-Operational</t>
  </si>
  <si>
    <t>S010131: Throughput Limit</t>
  </si>
  <si>
    <t>S010131: Failed to Divert</t>
  </si>
  <si>
    <t>S010131: Tracking Error</t>
  </si>
  <si>
    <t>S010131: Gap Error</t>
  </si>
  <si>
    <t>S010131: No Destination Received</t>
  </si>
  <si>
    <t>S010132: Lane Full</t>
  </si>
  <si>
    <t>S010132: Lane Non-Operational</t>
  </si>
  <si>
    <t>S010132: Throughput Limit</t>
  </si>
  <si>
    <t>S010132: Failed to Divert</t>
  </si>
  <si>
    <t>S010132: Tracking Error</t>
  </si>
  <si>
    <t>S010132: Gap Error</t>
  </si>
  <si>
    <t>S010132: No Destination Received</t>
  </si>
  <si>
    <t>S010133: Lane Full</t>
  </si>
  <si>
    <t>S010133: Lane Non-Operational</t>
  </si>
  <si>
    <t>S010133: Throughput Limit</t>
  </si>
  <si>
    <t>S010133: Failed to Divert</t>
  </si>
  <si>
    <t>S010133: Tracking Error</t>
  </si>
  <si>
    <t>S010133: Gap Error</t>
  </si>
  <si>
    <t>S010133: No Destination Received</t>
  </si>
  <si>
    <t>S010135: Success</t>
  </si>
  <si>
    <t>S010135: Lane Full</t>
  </si>
  <si>
    <t>S010135: Lane Non-Operational</t>
  </si>
  <si>
    <t>S010135: Throughput Limit</t>
  </si>
  <si>
    <t>S010135: Failed to Divert</t>
  </si>
  <si>
    <t>S010135: Tracking Error</t>
  </si>
  <si>
    <t>S010135: Gap Error</t>
  </si>
  <si>
    <t>S010135: No Destination Received</t>
  </si>
  <si>
    <t>S010136: Success</t>
  </si>
  <si>
    <t>S010136: Lane Full</t>
  </si>
  <si>
    <t>S010136: Lane Non-Operational</t>
  </si>
  <si>
    <t>S010136: Throughput Limit</t>
  </si>
  <si>
    <t>S010136: Failed to Divert</t>
  </si>
  <si>
    <t>S010136: Tracking Error</t>
  </si>
  <si>
    <t>S010136: Gap Error</t>
  </si>
  <si>
    <t>S010136: No Destination Received</t>
  </si>
  <si>
    <t>S010212: Lane Full</t>
  </si>
  <si>
    <t>S010212: Lane Non-Operational</t>
  </si>
  <si>
    <t>S010212: Throughput Limit</t>
  </si>
  <si>
    <t>S010212: Failed to Divert</t>
  </si>
  <si>
    <t>S010212: Tracking Error</t>
  </si>
  <si>
    <t>S010212: Gap Error</t>
  </si>
  <si>
    <t>S010212: No Destination Received</t>
  </si>
  <si>
    <t>S010225: Success</t>
  </si>
  <si>
    <t>S010225: Lane Full</t>
  </si>
  <si>
    <t>S010225: Lane Non-Operational</t>
  </si>
  <si>
    <t>S010225: Throughput Limit</t>
  </si>
  <si>
    <t>S010225: Failed to Divert</t>
  </si>
  <si>
    <t>S010225: Tracking Error</t>
  </si>
  <si>
    <t>S010225: Gap Error</t>
  </si>
  <si>
    <t>S010225: No Destination Received</t>
  </si>
  <si>
    <t>S010227: Success</t>
  </si>
  <si>
    <t>S010227: Lane Full</t>
  </si>
  <si>
    <t>S010227: Lane Non-Operational</t>
  </si>
  <si>
    <t>S010227: Throughput Limit</t>
  </si>
  <si>
    <t>S010227: Failed to Divert</t>
  </si>
  <si>
    <t>S010227: Tracking Error</t>
  </si>
  <si>
    <t>S010227: Gap Error</t>
  </si>
  <si>
    <t>S010227: No Destination Received</t>
  </si>
  <si>
    <t>S010229: Success</t>
  </si>
  <si>
    <t>S010229: Lane Full</t>
  </si>
  <si>
    <t>S010229: Lane Non-Operational</t>
  </si>
  <si>
    <t>S010229: Throughput Limit</t>
  </si>
  <si>
    <t>S010229: Failed to Divert</t>
  </si>
  <si>
    <t>S010229: Tracking Error</t>
  </si>
  <si>
    <t>S010229: Gap Error</t>
  </si>
  <si>
    <t>S010229: No Destination Received</t>
  </si>
  <si>
    <t>S010231: Success</t>
  </si>
  <si>
    <t>S010231: Lane Full</t>
  </si>
  <si>
    <t>S010231: Lane Non-Operational</t>
  </si>
  <si>
    <t>S010231: Throughput Limit</t>
  </si>
  <si>
    <t>S010231: Failed to Divert</t>
  </si>
  <si>
    <t>S010231: Tracking Error</t>
  </si>
  <si>
    <t>S010231: Gap Error</t>
  </si>
  <si>
    <t>S010231: No Destination Received</t>
  </si>
  <si>
    <t>S010232: Success</t>
  </si>
  <si>
    <t>S010232: Lane Full</t>
  </si>
  <si>
    <t>S010232: Lane Non-Operational</t>
  </si>
  <si>
    <t>S010232: Throughput Limit</t>
  </si>
  <si>
    <t>S010232: Failed to Divert</t>
  </si>
  <si>
    <t>S010232: Tracking Error</t>
  </si>
  <si>
    <t>S010232: Gap Error</t>
  </si>
  <si>
    <t>S010232: No Destination Received</t>
  </si>
  <si>
    <t>S010234: Success</t>
  </si>
  <si>
    <t>S010234: Lane Full</t>
  </si>
  <si>
    <t>S010234: Lane Non-Operational</t>
  </si>
  <si>
    <t>S010234: Throughput Limit</t>
  </si>
  <si>
    <t>S010234: Failed to Divert</t>
  </si>
  <si>
    <t>S010234: Tracking Error</t>
  </si>
  <si>
    <t>S010234: Gap Error</t>
  </si>
  <si>
    <t>S010234: No Destination Received</t>
  </si>
  <si>
    <t>S010236: Success</t>
  </si>
  <si>
    <t>S010236: Lane Full</t>
  </si>
  <si>
    <t>S010236: Lane Non-Operational</t>
  </si>
  <si>
    <t>S010236: Throughput Limit</t>
  </si>
  <si>
    <t>S010236: Failed to Divert</t>
  </si>
  <si>
    <t>S010236: Tracking Error</t>
  </si>
  <si>
    <t>S010236: Gap Error</t>
  </si>
  <si>
    <t>S010236: No Destination Received</t>
  </si>
  <si>
    <t>S010240: Success</t>
  </si>
  <si>
    <t>S010240: Lane Full</t>
  </si>
  <si>
    <t>S010240: Lane Non-Operational</t>
  </si>
  <si>
    <t>S010240: Throughput Limit</t>
  </si>
  <si>
    <t>S010240: Failed to Divert</t>
  </si>
  <si>
    <t>S010240: Tracking Error</t>
  </si>
  <si>
    <t>S010240: Gap Error</t>
  </si>
  <si>
    <t>S010240: No Destination Received</t>
  </si>
  <si>
    <t>S010242: Success</t>
  </si>
  <si>
    <t>S010242: Lane Full</t>
  </si>
  <si>
    <t>S010242: Lane Non-Operational</t>
  </si>
  <si>
    <t>S010242: Throughput Limit</t>
  </si>
  <si>
    <t>S010242: Failed to Divert</t>
  </si>
  <si>
    <t>S010242: Tracking Error</t>
  </si>
  <si>
    <t>S010242: Gap Error</t>
  </si>
  <si>
    <t>S010242: No Destination Received</t>
  </si>
  <si>
    <t>S010244: Success</t>
  </si>
  <si>
    <t>S010244: Lane Full</t>
  </si>
  <si>
    <t>S010244: Lane Non-Operational</t>
  </si>
  <si>
    <t>S010244: Throughput Limit</t>
  </si>
  <si>
    <t>S010244: Failed to Divert</t>
  </si>
  <si>
    <t>S010244: Tracking Error</t>
  </si>
  <si>
    <t>S010244: Gap Error</t>
  </si>
  <si>
    <t>S010244: No Destination Received</t>
  </si>
  <si>
    <t>S010246: Success</t>
  </si>
  <si>
    <t>S010246: Lane Full</t>
  </si>
  <si>
    <t>S010246: Lane Non-Operational</t>
  </si>
  <si>
    <t>S010246: Throughput Limit</t>
  </si>
  <si>
    <t>S010246: Failed to Divert</t>
  </si>
  <si>
    <t>S010246: Tracking Error</t>
  </si>
  <si>
    <t>S010246: Gap Error</t>
  </si>
  <si>
    <t>S010246: No Destination Received</t>
  </si>
  <si>
    <t>S010248: Success</t>
  </si>
  <si>
    <t>S010248: Lane Full</t>
  </si>
  <si>
    <t>S010248: Lane Non-Operational</t>
  </si>
  <si>
    <t>S010248: Throughput Limit</t>
  </si>
  <si>
    <t>S010248: Failed to Divert</t>
  </si>
  <si>
    <t>S010248: Tracking Error</t>
  </si>
  <si>
    <t>S010248: Gap Error</t>
  </si>
  <si>
    <t>S010248: No Destination Received</t>
  </si>
  <si>
    <t>S010263: Success</t>
  </si>
  <si>
    <t>S010263: Lane Full</t>
  </si>
  <si>
    <t>S010263: Lane Non-Operational</t>
  </si>
  <si>
    <t>S010263: Throughput Limit</t>
  </si>
  <si>
    <t>S010263: Failed to Divert</t>
  </si>
  <si>
    <t>S010263: Tracking Error</t>
  </si>
  <si>
    <t>S010263: Gap Error</t>
  </si>
  <si>
    <t>S010263: No Destination Received</t>
  </si>
  <si>
    <t>S010301: Lane Full</t>
  </si>
  <si>
    <t>S010301: Lane Non-Operational</t>
  </si>
  <si>
    <t>S010301: Throughput Limit</t>
  </si>
  <si>
    <t>S010301: Failed to Divert</t>
  </si>
  <si>
    <t>S010301: Tracking Error</t>
  </si>
  <si>
    <t>S010301: Gap Error</t>
  </si>
  <si>
    <t>S010301: No Destination Received</t>
  </si>
  <si>
    <t>S010307: Lane Full</t>
  </si>
  <si>
    <t>S010307: Lane Non-Operational</t>
  </si>
  <si>
    <t>S010307: Throughput Limit</t>
  </si>
  <si>
    <t>S010307: Failed to Divert</t>
  </si>
  <si>
    <t>S010307: Tracking Error</t>
  </si>
  <si>
    <t>S010307: Gap Error</t>
  </si>
  <si>
    <t>S010307: No Destination Received</t>
  </si>
  <si>
    <t>S010309: Lane Full</t>
  </si>
  <si>
    <t>S010309: Lane Non-Operational</t>
  </si>
  <si>
    <t>S010309: Throughput Limit</t>
  </si>
  <si>
    <t>S010309: Failed to Divert</t>
  </si>
  <si>
    <t>S010309: Tracking Error</t>
  </si>
  <si>
    <t>S010309: Gap Error</t>
  </si>
  <si>
    <t>S010309: No Destination Received</t>
  </si>
  <si>
    <t>S010311: Lane Full</t>
  </si>
  <si>
    <t>S010311: Lane Non-Operational</t>
  </si>
  <si>
    <t>S010311: Throughput Limit</t>
  </si>
  <si>
    <t>S010311: Failed to Divert</t>
  </si>
  <si>
    <t>S010311: Tracking Error</t>
  </si>
  <si>
    <t>S010311: Gap Error</t>
  </si>
  <si>
    <t>S010311: No Destination Received</t>
  </si>
  <si>
    <t>S010313: Lane Full</t>
  </si>
  <si>
    <t>S010313: Lane Non-Operational</t>
  </si>
  <si>
    <t>S010313: Throughput Limit</t>
  </si>
  <si>
    <t>S010313: Failed to Divert</t>
  </si>
  <si>
    <t>S010313: Tracking Error</t>
  </si>
  <si>
    <t>S010313: Gap Error</t>
  </si>
  <si>
    <t>S010313: No Destination Received</t>
  </si>
  <si>
    <t>S010315: Lane Full</t>
  </si>
  <si>
    <t>S010315: Lane Non-Operational</t>
  </si>
  <si>
    <t>S010315: Throughput Limit</t>
  </si>
  <si>
    <t>S010315: Failed to Divert</t>
  </si>
  <si>
    <t>S010315: Tracking Error</t>
  </si>
  <si>
    <t>S010315: Gap Error</t>
  </si>
  <si>
    <t>S010315: No Destination Received</t>
  </si>
  <si>
    <t>S010317: Lane Full</t>
  </si>
  <si>
    <t>S010317: Lane Non-Operational</t>
  </si>
  <si>
    <t>S010317: Throughput Limit</t>
  </si>
  <si>
    <t>S010317: Failed to Divert</t>
  </si>
  <si>
    <t>S010317: Tracking Error</t>
  </si>
  <si>
    <t>S010317: Gap Error</t>
  </si>
  <si>
    <t>S010317: No Destination Received</t>
  </si>
  <si>
    <t>S010319: Lane Full</t>
  </si>
  <si>
    <t>S010319: Lane Non-Operational</t>
  </si>
  <si>
    <t>S010319: Throughput Limit</t>
  </si>
  <si>
    <t>S010319: Failed to Divert</t>
  </si>
  <si>
    <t>S010319: Tracking Error</t>
  </si>
  <si>
    <t>S010319: Gap Error</t>
  </si>
  <si>
    <t>S010319: No Destination Received</t>
  </si>
  <si>
    <t>S010402: Success</t>
  </si>
  <si>
    <t>S010402: Lane Full</t>
  </si>
  <si>
    <t>S010402: Lane Non-Operational</t>
  </si>
  <si>
    <t>S010402: Throughput Limit</t>
  </si>
  <si>
    <t>S010402: Failed to Divert</t>
  </si>
  <si>
    <t>S010402: Tracking Error</t>
  </si>
  <si>
    <t>S010402: Gap Error</t>
  </si>
  <si>
    <t>S010402: No Destination Received</t>
  </si>
  <si>
    <t>S010403: Success</t>
  </si>
  <si>
    <t>S010403: Lane Full</t>
  </si>
  <si>
    <t>S010403: Lane Non-Operational</t>
  </si>
  <si>
    <t>S010403: Throughput Limit</t>
  </si>
  <si>
    <t>S010403: Failed to Divert</t>
  </si>
  <si>
    <t>S010403: Tracking Error</t>
  </si>
  <si>
    <t>S010403: Gap Error</t>
  </si>
  <si>
    <t>S010403: No Destination Received</t>
  </si>
  <si>
    <t>S010404: Success</t>
  </si>
  <si>
    <t>S010404: Lane Full</t>
  </si>
  <si>
    <t>S010404: Lane Non-Operational</t>
  </si>
  <si>
    <t>S010404: Throughput Limit</t>
  </si>
  <si>
    <t>S010404: Failed to Divert</t>
  </si>
  <si>
    <t>S010404: Tracking Error</t>
  </si>
  <si>
    <t>S010404: Gap Error</t>
  </si>
  <si>
    <t>S010404: No Destination Received</t>
  </si>
  <si>
    <t>S010405: Success</t>
  </si>
  <si>
    <t>S010405: Lane Full</t>
  </si>
  <si>
    <t>S010405: Lane Non-Operational</t>
  </si>
  <si>
    <t>S010405: Throughput Limit</t>
  </si>
  <si>
    <t>S010405: Failed to Divert</t>
  </si>
  <si>
    <t>S010405: Tracking Error</t>
  </si>
  <si>
    <t>S010405: Gap Error</t>
  </si>
  <si>
    <t>S010405: No Destination Received</t>
  </si>
  <si>
    <t>S010406: Success</t>
  </si>
  <si>
    <t>S010406: Lane Full</t>
  </si>
  <si>
    <t>S010406: Lane Non-Operational</t>
  </si>
  <si>
    <t>S010406: Throughput Limit</t>
  </si>
  <si>
    <t>S010406: Failed to Divert</t>
  </si>
  <si>
    <t>S010406: Tracking Error</t>
  </si>
  <si>
    <t>S010406: Gap Error</t>
  </si>
  <si>
    <t>S010406: No Destination Received</t>
  </si>
  <si>
    <t>S010407: Success</t>
  </si>
  <si>
    <t>S010407: Lane Full</t>
  </si>
  <si>
    <t>S010407: Lane Non-Operational</t>
  </si>
  <si>
    <t>S010407: Throughput Limit</t>
  </si>
  <si>
    <t>S010407: Failed to Divert</t>
  </si>
  <si>
    <t>S010407: Tracking Error</t>
  </si>
  <si>
    <t>S010407: Gap Error</t>
  </si>
  <si>
    <t>S010407: No Destination Received</t>
  </si>
  <si>
    <t>S010408: Success</t>
  </si>
  <si>
    <t>S010408: Lane Full</t>
  </si>
  <si>
    <t>S010408: Lane Non-Operational</t>
  </si>
  <si>
    <t>S010408: Throughput Limit</t>
  </si>
  <si>
    <t>S010408: Failed to Divert</t>
  </si>
  <si>
    <t>S010408: Tracking Error</t>
  </si>
  <si>
    <t>S010408: Gap Error</t>
  </si>
  <si>
    <t>S010408: No Destination Received</t>
  </si>
  <si>
    <t>S010409: Success</t>
  </si>
  <si>
    <t>S010409: Lane Full</t>
  </si>
  <si>
    <t>S010409: Lane Non-Operational</t>
  </si>
  <si>
    <t>S010409: Throughput Limit</t>
  </si>
  <si>
    <t>S010409: Failed to Divert</t>
  </si>
  <si>
    <t>S010409: Tracking Error</t>
  </si>
  <si>
    <t>S010409: Gap Error</t>
  </si>
  <si>
    <t>S010409: No Destination Received</t>
  </si>
  <si>
    <t>S010410: Success</t>
  </si>
  <si>
    <t>S010410: Lane Full</t>
  </si>
  <si>
    <t>S010410: Lane Non-Operational</t>
  </si>
  <si>
    <t>S010410: Throughput Limit</t>
  </si>
  <si>
    <t>S010410: Failed to Divert</t>
  </si>
  <si>
    <t>S010410: Tracking Error</t>
  </si>
  <si>
    <t>S010410: Gap Error</t>
  </si>
  <si>
    <t>S010410: No Destination Received</t>
  </si>
  <si>
    <t>S010412: Success</t>
  </si>
  <si>
    <t>S010412: Lane Full</t>
  </si>
  <si>
    <t>S010412: Lane Non-Operational</t>
  </si>
  <si>
    <t>S010412: Throughput Limit</t>
  </si>
  <si>
    <t>S010412: Failed to Divert</t>
  </si>
  <si>
    <t>S010412: Tracking Error</t>
  </si>
  <si>
    <t>S010412: Gap Error</t>
  </si>
  <si>
    <t>S010412: No Destination Received</t>
  </si>
  <si>
    <t>S010414: Success</t>
  </si>
  <si>
    <t>S010414: Lane Full</t>
  </si>
  <si>
    <t>S010414: Lane Non-Operational</t>
  </si>
  <si>
    <t>S010414: Throughput Limit</t>
  </si>
  <si>
    <t>S010414: Failed to Divert</t>
  </si>
  <si>
    <t>S010414: Tracking Error</t>
  </si>
  <si>
    <t>S010414: Gap Error</t>
  </si>
  <si>
    <t>S010414: No Destination Received</t>
  </si>
  <si>
    <t>S010416: Success</t>
  </si>
  <si>
    <t>S010416: Lane Full</t>
  </si>
  <si>
    <t>S010416: Lane Non-Operational</t>
  </si>
  <si>
    <t>S010416: Throughput Limit</t>
  </si>
  <si>
    <t>S010416: Failed to Divert</t>
  </si>
  <si>
    <t>S010416: Tracking Error</t>
  </si>
  <si>
    <t>S010416: Gap Error</t>
  </si>
  <si>
    <t>S010416: No Destination Received</t>
  </si>
  <si>
    <t>S010418: Success</t>
  </si>
  <si>
    <t>S010418: Lane Full</t>
  </si>
  <si>
    <t>S010418: Lane Non-Operational</t>
  </si>
  <si>
    <t>S010418: Throughput Limit</t>
  </si>
  <si>
    <t>S010418: Failed to Divert</t>
  </si>
  <si>
    <t>S010418: Tracking Error</t>
  </si>
  <si>
    <t>S010418: Gap Error</t>
  </si>
  <si>
    <t>S010418: No Destination Received</t>
  </si>
  <si>
    <t>S010420: Success</t>
  </si>
  <si>
    <t>S010420: Lane Full</t>
  </si>
  <si>
    <t>S010420: Lane Non-Operational</t>
  </si>
  <si>
    <t>S010420: Throughput Limit</t>
  </si>
  <si>
    <t>S010420: Failed to Divert</t>
  </si>
  <si>
    <t>S010420: Tracking Error</t>
  </si>
  <si>
    <t>S010420: Gap Error</t>
  </si>
  <si>
    <t>S010420: No Destination Received</t>
  </si>
  <si>
    <t>S010422: Success</t>
  </si>
  <si>
    <t>S010422: Lane Full</t>
  </si>
  <si>
    <t>S010422: Lane Non-Operational</t>
  </si>
  <si>
    <t>S010422: Throughput Limit</t>
  </si>
  <si>
    <t>S010422: Failed to Divert</t>
  </si>
  <si>
    <t>S010422: Tracking Error</t>
  </si>
  <si>
    <t>S010422: Gap Error</t>
  </si>
  <si>
    <t>S010422: No Destination Received</t>
  </si>
  <si>
    <t>S010426: Success</t>
  </si>
  <si>
    <t>S010426: Lane Full</t>
  </si>
  <si>
    <t>S010426: Lane Non-Operational</t>
  </si>
  <si>
    <t>S010426: Throughput Limit</t>
  </si>
  <si>
    <t>S010426: Failed to Divert</t>
  </si>
  <si>
    <t>S010426: Tracking Error</t>
  </si>
  <si>
    <t>S010426: Gap Error</t>
  </si>
  <si>
    <t>S010426: No Destination Received</t>
  </si>
  <si>
    <t>S010431: Success</t>
  </si>
  <si>
    <t>S010431: Lane Full</t>
  </si>
  <si>
    <t>S010431: Lane Non-Operational</t>
  </si>
  <si>
    <t>S010431: Throughput Limit</t>
  </si>
  <si>
    <t>S010431: Failed to Divert</t>
  </si>
  <si>
    <t>S010431: Tracking Error</t>
  </si>
  <si>
    <t>S010431: Gap Error</t>
  </si>
  <si>
    <t>S010431: No Destination Received</t>
  </si>
  <si>
    <t>S010433: Success</t>
  </si>
  <si>
    <t>S010433: Lane Full</t>
  </si>
  <si>
    <t>S010433: Lane Non-Operational</t>
  </si>
  <si>
    <t>S010433: Throughput Limit</t>
  </si>
  <si>
    <t>S010433: Failed to Divert</t>
  </si>
  <si>
    <t>S010433: Tracking Error</t>
  </si>
  <si>
    <t>S010433: Gap Error</t>
  </si>
  <si>
    <t>S010433: No Destination Received</t>
  </si>
  <si>
    <t>S010435: Success</t>
  </si>
  <si>
    <t>S010435: Lane Full</t>
  </si>
  <si>
    <t>S010435: Lane Non-Operational</t>
  </si>
  <si>
    <t>S010435: Throughput Limit</t>
  </si>
  <si>
    <t>S010435: Failed to Divert</t>
  </si>
  <si>
    <t>S010435: Tracking Error</t>
  </si>
  <si>
    <t>S010435: Gap Error</t>
  </si>
  <si>
    <t>S010435: No Destination Received</t>
  </si>
  <si>
    <t>S010437: Success</t>
  </si>
  <si>
    <t>S010437: Lane Full</t>
  </si>
  <si>
    <t>S010437: Lane Non-Operational</t>
  </si>
  <si>
    <t>S010437: Throughput Limit</t>
  </si>
  <si>
    <t>S010437: Failed to Divert</t>
  </si>
  <si>
    <t>S010437: Tracking Error</t>
  </si>
  <si>
    <t>S010437: Gap Error</t>
  </si>
  <si>
    <t>S010437: No Destination Received</t>
  </si>
  <si>
    <t>S010501: Success</t>
  </si>
  <si>
    <t>S010501: Lane Full</t>
  </si>
  <si>
    <t>S010501: Lane Non-Operational</t>
  </si>
  <si>
    <t>S010501: Throughput Limit</t>
  </si>
  <si>
    <t>S010501: Failed to Divert</t>
  </si>
  <si>
    <t>S010501: Tracking Error</t>
  </si>
  <si>
    <t>S010501: Gap Error</t>
  </si>
  <si>
    <t>S010501: No Destination Received</t>
  </si>
  <si>
    <t>S010502: Lane Full</t>
  </si>
  <si>
    <t>S010502: Lane Non-Operational</t>
  </si>
  <si>
    <t>S010502: Throughput Limit</t>
  </si>
  <si>
    <t>S010502: Failed to Divert</t>
  </si>
  <si>
    <t>S010502: Tracking Error</t>
  </si>
  <si>
    <t>S010502: Gap Error</t>
  </si>
  <si>
    <t>S010502: No Destination Received</t>
  </si>
  <si>
    <t>S010503: Success</t>
  </si>
  <si>
    <t>S010503: Lane Full</t>
  </si>
  <si>
    <t>S010503: Lane Non-Operational</t>
  </si>
  <si>
    <t>S010503: Throughput Limit</t>
  </si>
  <si>
    <t>S010503: Failed to Divert</t>
  </si>
  <si>
    <t>S010503: Tracking Error</t>
  </si>
  <si>
    <t>S010503: Gap Error</t>
  </si>
  <si>
    <t>S010503: No Destination Received</t>
  </si>
  <si>
    <t>S010505: Success</t>
  </si>
  <si>
    <t>S010505: Lane Full</t>
  </si>
  <si>
    <t>S010505: Lane Non-Operational</t>
  </si>
  <si>
    <t>S010505: Throughput Limit</t>
  </si>
  <si>
    <t>S010505: Failed to Divert</t>
  </si>
  <si>
    <t>S010505: Tracking Error</t>
  </si>
  <si>
    <t>S010505: Gap Error</t>
  </si>
  <si>
    <t>S010505: No Destination Received</t>
  </si>
  <si>
    <t>S010507: Success</t>
  </si>
  <si>
    <t>S010507: Lane Full</t>
  </si>
  <si>
    <t>S010507: Lane Non-Operational</t>
  </si>
  <si>
    <t>S010507: Throughput Limit</t>
  </si>
  <si>
    <t>S010507: Failed to Divert</t>
  </si>
  <si>
    <t>S010507: Tracking Error</t>
  </si>
  <si>
    <t>S010507: Gap Error</t>
  </si>
  <si>
    <t>S010507: No Destination Received</t>
  </si>
  <si>
    <t>S010509: Success</t>
  </si>
  <si>
    <t>S010509: Lane Full</t>
  </si>
  <si>
    <t>S010509: Lane Non-Operational</t>
  </si>
  <si>
    <t>S010509: Throughput Limit</t>
  </si>
  <si>
    <t>S010509: Failed to Divert</t>
  </si>
  <si>
    <t>S010509: Tracking Error</t>
  </si>
  <si>
    <t>S010509: Gap Error</t>
  </si>
  <si>
    <t>S010509: No Destination Received</t>
  </si>
  <si>
    <t>S010511: Success</t>
  </si>
  <si>
    <t>S010511: Lane Full</t>
  </si>
  <si>
    <t>S010511: Lane Non-Operational</t>
  </si>
  <si>
    <t>S010511: Throughput Limit</t>
  </si>
  <si>
    <t>S010511: Failed to Divert</t>
  </si>
  <si>
    <t>S010511: Tracking Error</t>
  </si>
  <si>
    <t>S010511: Gap Error</t>
  </si>
  <si>
    <t>S010511: No Destination Received</t>
  </si>
  <si>
    <t>S010513: Success</t>
  </si>
  <si>
    <t>S010513: Lane Full</t>
  </si>
  <si>
    <t>S010513: Lane Non-Operational</t>
  </si>
  <si>
    <t>S010513: Throughput Limit</t>
  </si>
  <si>
    <t>S010513: Failed to Divert</t>
  </si>
  <si>
    <t>S010513: Tracking Error</t>
  </si>
  <si>
    <t>S010513: Gap Error</t>
  </si>
  <si>
    <t>S010513: No Destination Received</t>
  </si>
  <si>
    <t>S010519: Success</t>
  </si>
  <si>
    <t>S010519: Lane Full</t>
  </si>
  <si>
    <t>S010519: Lane Non-Operational</t>
  </si>
  <si>
    <t>S010519: Throughput Limit</t>
  </si>
  <si>
    <t>S010519: Failed to Divert</t>
  </si>
  <si>
    <t>S010519: Tracking Error</t>
  </si>
  <si>
    <t>S010519: Gap Error</t>
  </si>
  <si>
    <t>S010519: No Destination Received</t>
  </si>
  <si>
    <t>S010521: Success</t>
  </si>
  <si>
    <t>S010521: Lane Full</t>
  </si>
  <si>
    <t>S010521: Lane Non-Operational</t>
  </si>
  <si>
    <t>S010521: Throughput Limit</t>
  </si>
  <si>
    <t>S010521: Failed to Divert</t>
  </si>
  <si>
    <t>S010521: Tracking Error</t>
  </si>
  <si>
    <t>S010521: Gap Error</t>
  </si>
  <si>
    <t>S010521: No Destination Received</t>
  </si>
  <si>
    <t>S010522: Success</t>
  </si>
  <si>
    <t>S010522: Lane Full</t>
  </si>
  <si>
    <t>S010522: Lane Non-Operational</t>
  </si>
  <si>
    <t>S010522: Throughput Limit</t>
  </si>
  <si>
    <t>S010522: Failed to Divert</t>
  </si>
  <si>
    <t>S010522: Tracking Error</t>
  </si>
  <si>
    <t>S010522: Gap Error</t>
  </si>
  <si>
    <t>S010522: No Destination Received</t>
  </si>
  <si>
    <t>S010523: Success</t>
  </si>
  <si>
    <t>S010523: Lane Full</t>
  </si>
  <si>
    <t>S010523: Lane Non-Operational</t>
  </si>
  <si>
    <t>S010523: Throughput Limit</t>
  </si>
  <si>
    <t>S010523: Failed to Divert</t>
  </si>
  <si>
    <t>S010523: Tracking Error</t>
  </si>
  <si>
    <t>S010523: Gap Error</t>
  </si>
  <si>
    <t>S010523: No Destination Received</t>
  </si>
  <si>
    <t>S010524: Success</t>
  </si>
  <si>
    <t>S010524: Lane Full</t>
  </si>
  <si>
    <t>S010524: Lane Non-Operational</t>
  </si>
  <si>
    <t>S010524: Throughput Limit</t>
  </si>
  <si>
    <t>S010524: Failed to Divert</t>
  </si>
  <si>
    <t>S010524: Tracking Error</t>
  </si>
  <si>
    <t>S010524: Gap Error</t>
  </si>
  <si>
    <t>S010524: No Destination Received</t>
  </si>
  <si>
    <t>S010525: Success</t>
  </si>
  <si>
    <t>S010525: Lane Full</t>
  </si>
  <si>
    <t>S010525: Lane Non-Operational</t>
  </si>
  <si>
    <t>S010525: Throughput Limit</t>
  </si>
  <si>
    <t>S010525: Failed to Divert</t>
  </si>
  <si>
    <t>S010525: Tracking Error</t>
  </si>
  <si>
    <t>S010525: Gap Error</t>
  </si>
  <si>
    <t>S010525: No Destination Received</t>
  </si>
  <si>
    <t>S010526: Success</t>
  </si>
  <si>
    <t>S010526: Lane Full</t>
  </si>
  <si>
    <t>S010526: Lane Non-Operational</t>
  </si>
  <si>
    <t>S010526: Throughput Limit</t>
  </si>
  <si>
    <t>S010526: Failed to Divert</t>
  </si>
  <si>
    <t>S010526: Tracking Error</t>
  </si>
  <si>
    <t>S010526: Gap Error</t>
  </si>
  <si>
    <t>S010526: No Destination Received</t>
  </si>
  <si>
    <t>S010528: Success</t>
  </si>
  <si>
    <t>S010528: Lane Full</t>
  </si>
  <si>
    <t>S010528: Lane Non-Operational</t>
  </si>
  <si>
    <t>S010528: Throughput Limit</t>
  </si>
  <si>
    <t>S010528: Failed to Divert</t>
  </si>
  <si>
    <t>S010528: Tracking Error</t>
  </si>
  <si>
    <t>S010528: Gap Error</t>
  </si>
  <si>
    <t>S010528: No Destination Received</t>
  </si>
  <si>
    <t>S010530: Success</t>
  </si>
  <si>
    <t>S010530: Lane Full</t>
  </si>
  <si>
    <t>S010530: Lane Non-Operational</t>
  </si>
  <si>
    <t>S010530: Throughput Limit</t>
  </si>
  <si>
    <t>S010530: Failed to Divert</t>
  </si>
  <si>
    <t>S010530: Tracking Error</t>
  </si>
  <si>
    <t>S010530: Gap Error</t>
  </si>
  <si>
    <t>S010530: No Destination Received</t>
  </si>
  <si>
    <t>S010535: Success</t>
  </si>
  <si>
    <t>S010535: Lane Full</t>
  </si>
  <si>
    <t>S010535: Lane Non-Operational</t>
  </si>
  <si>
    <t>S010535: Throughput Limit</t>
  </si>
  <si>
    <t>S010535: Failed to Divert</t>
  </si>
  <si>
    <t>S010535: Tracking Error</t>
  </si>
  <si>
    <t>S010535: Gap Error</t>
  </si>
  <si>
    <t>S010535: No Destination Received</t>
  </si>
  <si>
    <t>S010537: Success</t>
  </si>
  <si>
    <t>S010537: Lane Full</t>
  </si>
  <si>
    <t>S010537: Lane Non-Operational</t>
  </si>
  <si>
    <t>S010537: Throughput Limit</t>
  </si>
  <si>
    <t>S010537: Failed to Divert</t>
  </si>
  <si>
    <t>S010537: Tracking Error</t>
  </si>
  <si>
    <t>S010537: Gap Error</t>
  </si>
  <si>
    <t>S010537: No Destination Received</t>
  </si>
  <si>
    <t>S010541: Success</t>
  </si>
  <si>
    <t>S010541: Lane Full</t>
  </si>
  <si>
    <t>S010541: Lane Non-Operational</t>
  </si>
  <si>
    <t>S010541: Throughput Limit</t>
  </si>
  <si>
    <t>S010541: Failed to Divert</t>
  </si>
  <si>
    <t>S010541: Tracking Error</t>
  </si>
  <si>
    <t>S010541: Gap Error</t>
  </si>
  <si>
    <t>S010541: No Destination Received</t>
  </si>
  <si>
    <t>S010545: Success</t>
  </si>
  <si>
    <t>S010545: Lane Full</t>
  </si>
  <si>
    <t>S010545: Lane Non-Operational</t>
  </si>
  <si>
    <t>S010545: Throughput Limit</t>
  </si>
  <si>
    <t>S010545: Failed to Divert</t>
  </si>
  <si>
    <t>S010545: Tracking Error</t>
  </si>
  <si>
    <t>S010545: Gap Error</t>
  </si>
  <si>
    <t>S010545: No Destination Received</t>
  </si>
  <si>
    <t>S010549: Success</t>
  </si>
  <si>
    <t>S010549: Lane Full</t>
  </si>
  <si>
    <t>S010549: Lane Non-Operational</t>
  </si>
  <si>
    <t>S010549: Throughput Limit</t>
  </si>
  <si>
    <t>S010549: Failed to Divert</t>
  </si>
  <si>
    <t>S010549: Tracking Error</t>
  </si>
  <si>
    <t>S010549: Gap Error</t>
  </si>
  <si>
    <t>S010549: No Destination Received</t>
  </si>
  <si>
    <t>S010553: Success</t>
  </si>
  <si>
    <t>S010553: Lane Full</t>
  </si>
  <si>
    <t>S010553: Lane Non-Operational</t>
  </si>
  <si>
    <t>S010553: Throughput Limit</t>
  </si>
  <si>
    <t>S010553: Failed to Divert</t>
  </si>
  <si>
    <t>S010553: Tracking Error</t>
  </si>
  <si>
    <t>S010553: Gap Error</t>
  </si>
  <si>
    <t>S010553: No Destination Received</t>
  </si>
  <si>
    <t>S010555: Success</t>
  </si>
  <si>
    <t>S010555: Lane Full</t>
  </si>
  <si>
    <t>S010555: Lane Non-Operational</t>
  </si>
  <si>
    <t>S010555: Throughput Limit</t>
  </si>
  <si>
    <t>S010555: Failed to Divert</t>
  </si>
  <si>
    <t>S010555: Tracking Error</t>
  </si>
  <si>
    <t>S010555: Gap Error</t>
  </si>
  <si>
    <t>S010555: No Destination Received</t>
  </si>
  <si>
    <t>S010557: Success</t>
  </si>
  <si>
    <t>S010557: Lane Full</t>
  </si>
  <si>
    <t>S010557: Lane Non-Operational</t>
  </si>
  <si>
    <t>S010557: Throughput Limit</t>
  </si>
  <si>
    <t>S010557: Failed to Divert</t>
  </si>
  <si>
    <t>S010557: Tracking Error</t>
  </si>
  <si>
    <t>S010557: Gap Error</t>
  </si>
  <si>
    <t>S010557: No Destination Received</t>
  </si>
  <si>
    <t>S010603: Lane Full</t>
  </si>
  <si>
    <t>S010603: Lane Non-Operational</t>
  </si>
  <si>
    <t>S010603: Throughput Limit</t>
  </si>
  <si>
    <t>S010603: Failed to Divert</t>
  </si>
  <si>
    <t>S010603: Tracking Error</t>
  </si>
  <si>
    <t>S010603: Gap Error</t>
  </si>
  <si>
    <t>S010603: No Destination Received</t>
  </si>
  <si>
    <t>S01ad - Scans</t>
  </si>
  <si>
    <t>S01ad - No-Reads</t>
  </si>
  <si>
    <t>S01ad - No-Reads %</t>
  </si>
  <si>
    <t>S01ad - No-Codes</t>
  </si>
  <si>
    <t>S01ad - No-Codes %</t>
  </si>
  <si>
    <t>S01ae - Scans</t>
  </si>
  <si>
    <t>S01ae - No-Reads</t>
  </si>
  <si>
    <t>S01ae - No-Reads %</t>
  </si>
  <si>
    <t>S01ae - No-Codes</t>
  </si>
  <si>
    <t>S01ae - No-Codes %</t>
  </si>
  <si>
    <t>S01af - Scans</t>
  </si>
  <si>
    <t>S01af - No-Reads</t>
  </si>
  <si>
    <t>S01af - No-Reads %</t>
  </si>
  <si>
    <t>S01af - No-Codes</t>
  </si>
  <si>
    <t>S01af - No-Codes %</t>
  </si>
  <si>
    <t>S010015: Lane Full</t>
  </si>
  <si>
    <t>S010015: Lane Non-Operational</t>
  </si>
  <si>
    <t>S010015: Throughput Limit</t>
  </si>
  <si>
    <t>S010015: Failed to Divert</t>
  </si>
  <si>
    <t>S010015: Tracking Error</t>
  </si>
  <si>
    <t>S010015: Gap Error</t>
  </si>
  <si>
    <t>S010015: No Destination Received</t>
  </si>
  <si>
    <t>S010021: Success</t>
  </si>
  <si>
    <t>S010021: Lane Full</t>
  </si>
  <si>
    <t>S010021: Lane Non-Operational</t>
  </si>
  <si>
    <t>S010021: Throughput Limit</t>
  </si>
  <si>
    <t>S010021: Failed to Divert</t>
  </si>
  <si>
    <t>S010021: Tracking Error</t>
  </si>
  <si>
    <t>S010021: Gap Error</t>
  </si>
  <si>
    <t>S010021: No Destination Received</t>
  </si>
  <si>
    <t>S010022: Success</t>
  </si>
  <si>
    <t>S010022: Lane Full</t>
  </si>
  <si>
    <t>S010022: Lane Non-Operational</t>
  </si>
  <si>
    <t>S010022: Throughput Limit</t>
  </si>
  <si>
    <t>S010022: Failed to Divert</t>
  </si>
  <si>
    <t>S010022: Tracking Error</t>
  </si>
  <si>
    <t>S010022: Gap Error</t>
  </si>
  <si>
    <t>S010022: No Destination Received</t>
  </si>
  <si>
    <t>S010023: Success</t>
  </si>
  <si>
    <t>S010023: Lane Full</t>
  </si>
  <si>
    <t>S010023: Lane Non-Operational</t>
  </si>
  <si>
    <t>S010023: Throughput Limit</t>
  </si>
  <si>
    <t>S010023: Failed to Divert</t>
  </si>
  <si>
    <t>S010023: Tracking Error</t>
  </si>
  <si>
    <t>S010023: Gap Error</t>
  </si>
  <si>
    <t>S010023: No Destination Received</t>
  </si>
  <si>
    <t>S010024: Success</t>
  </si>
  <si>
    <t>S010024: Lane Full</t>
  </si>
  <si>
    <t>S010024: Lane Non-Operational</t>
  </si>
  <si>
    <t>S010024: Throughput Limit</t>
  </si>
  <si>
    <t>S010024: Failed to Divert</t>
  </si>
  <si>
    <t>S010024: Tracking Error</t>
  </si>
  <si>
    <t>S010024: Gap Error</t>
  </si>
  <si>
    <t>S010024: No Destination Received</t>
  </si>
  <si>
    <t>S010025: Success</t>
  </si>
  <si>
    <t>S010025: Lane Full</t>
  </si>
  <si>
    <t>S010025: Lane Non-Operational</t>
  </si>
  <si>
    <t>S010025: Throughput Limit</t>
  </si>
  <si>
    <t>S010025: Failed to Divert</t>
  </si>
  <si>
    <t>S010025: Tracking Error</t>
  </si>
  <si>
    <t>S010025: Gap Error</t>
  </si>
  <si>
    <t>S010025: No Destination Received</t>
  </si>
  <si>
    <t>S010026: Success</t>
  </si>
  <si>
    <t>S010026: Lane Full</t>
  </si>
  <si>
    <t>S010026: Lane Non-Operational</t>
  </si>
  <si>
    <t>S010026: Throughput Limit</t>
  </si>
  <si>
    <t>S010026: Failed to Divert</t>
  </si>
  <si>
    <t>S010026: Tracking Error</t>
  </si>
  <si>
    <t>S010026: Gap Error</t>
  </si>
  <si>
    <t>S010026: No Destination Received</t>
  </si>
  <si>
    <t>S010027: Success</t>
  </si>
  <si>
    <t>S010027: Lane Full</t>
  </si>
  <si>
    <t>S010027: Lane Non-Operational</t>
  </si>
  <si>
    <t>S010027: Throughput Limit</t>
  </si>
  <si>
    <t>S010027: Failed to Divert</t>
  </si>
  <si>
    <t>S010027: Tracking Error</t>
  </si>
  <si>
    <t>S010027: Gap Error</t>
  </si>
  <si>
    <t>S010027: No Destination Received</t>
  </si>
  <si>
    <t>S010028: Success</t>
  </si>
  <si>
    <t>S010028: Lane Full</t>
  </si>
  <si>
    <t>S010028: Lane Non-Operational</t>
  </si>
  <si>
    <t>S010028: Throughput Limit</t>
  </si>
  <si>
    <t>S010028: Failed to Divert</t>
  </si>
  <si>
    <t>S010028: Tracking Error</t>
  </si>
  <si>
    <t>S010028: Gap Error</t>
  </si>
  <si>
    <t>S010028: No Destination Received</t>
  </si>
  <si>
    <t>S010029: Success</t>
  </si>
  <si>
    <t>S010029: Lane Full</t>
  </si>
  <si>
    <t>S010029: Lane Non-Operational</t>
  </si>
  <si>
    <t>S010029: Throughput Limit</t>
  </si>
  <si>
    <t>S010029: Failed to Divert</t>
  </si>
  <si>
    <t>S010029: Tracking Error</t>
  </si>
  <si>
    <t>S010029: Gap Error</t>
  </si>
  <si>
    <t>S010029: No Destination Received</t>
  </si>
  <si>
    <t>S010030: Success</t>
  </si>
  <si>
    <t>S010030: Lane Full</t>
  </si>
  <si>
    <t>S010030: Lane Non-Operational</t>
  </si>
  <si>
    <t>S010030: Throughput Limit</t>
  </si>
  <si>
    <t>S010030: Failed to Divert</t>
  </si>
  <si>
    <t>S010030: Tracking Error</t>
  </si>
  <si>
    <t>S010030: Gap Error</t>
  </si>
  <si>
    <t>S010030: No Destination Received</t>
  </si>
  <si>
    <t>S010047: Lane Full</t>
  </si>
  <si>
    <t>S010047: Lane Non-Operational</t>
  </si>
  <si>
    <t>S010047: Throughput Limit</t>
  </si>
  <si>
    <t>S010047: Failed to Divert</t>
  </si>
  <si>
    <t>S010047: Tracking Error</t>
  </si>
  <si>
    <t>S010047: Gap Error</t>
  </si>
  <si>
    <t>S010047: No Destination Received</t>
  </si>
  <si>
    <t>S010053: Lane Full</t>
  </si>
  <si>
    <t>S010053: Lane Non-Operational</t>
  </si>
  <si>
    <t>S010053: Throughput Limit</t>
  </si>
  <si>
    <t>S010053: Failed to Divert</t>
  </si>
  <si>
    <t>S010053: Tracking Error</t>
  </si>
  <si>
    <t>S010053: Gap Error</t>
  </si>
  <si>
    <t>S010053: No Destination Received</t>
  </si>
  <si>
    <t>S010055: Lane Full</t>
  </si>
  <si>
    <t>S010055: Lane Non-Operational</t>
  </si>
  <si>
    <t>S010055: Throughput Limit</t>
  </si>
  <si>
    <t>S010055: Failed to Divert</t>
  </si>
  <si>
    <t>S010055: Tracking Error</t>
  </si>
  <si>
    <t>S010055: Gap Error</t>
  </si>
  <si>
    <t>S010055: No Destination Received</t>
  </si>
  <si>
    <t>S010057: Success</t>
  </si>
  <si>
    <t>S010057: Lane Full</t>
  </si>
  <si>
    <t>S010057: Lane Non-Operational</t>
  </si>
  <si>
    <t>S010057: Throughput Limit</t>
  </si>
  <si>
    <t>S010057: Failed to Divert</t>
  </si>
  <si>
    <t>S010057: Tracking Error</t>
  </si>
  <si>
    <t>S010057: Gap Error</t>
  </si>
  <si>
    <t>S010057: No Destination Received</t>
  </si>
  <si>
    <t>S010058: Success</t>
  </si>
  <si>
    <t>S010058: Lane Full</t>
  </si>
  <si>
    <t>S010058: Lane Non-Operational</t>
  </si>
  <si>
    <t>S010058: Throughput Limit</t>
  </si>
  <si>
    <t>S010058: Failed to Divert</t>
  </si>
  <si>
    <t>S010058: Tracking Error</t>
  </si>
  <si>
    <t>S010058: Gap Error</t>
  </si>
  <si>
    <t>S010058: No Destination Received</t>
  </si>
  <si>
    <t>S010059: Success</t>
  </si>
  <si>
    <t>S010059: Lane Full</t>
  </si>
  <si>
    <t>S010059: Lane Non-Operational</t>
  </si>
  <si>
    <t>S010059: Throughput Limit</t>
  </si>
  <si>
    <t>S010059: Failed to Divert</t>
  </si>
  <si>
    <t>S010059: Tracking Error</t>
  </si>
  <si>
    <t>S010059: Gap Error</t>
  </si>
  <si>
    <t>S010059: No Destination Received</t>
  </si>
  <si>
    <t>S010060: Success</t>
  </si>
  <si>
    <t>S010060: Lane Full</t>
  </si>
  <si>
    <t>S010060: Lane Non-Operational</t>
  </si>
  <si>
    <t>S010060: Throughput Limit</t>
  </si>
  <si>
    <t>S010060: Failed to Divert</t>
  </si>
  <si>
    <t>S010060: Tracking Error</t>
  </si>
  <si>
    <t>S010060: Gap Error</t>
  </si>
  <si>
    <t>S010060: No Destination Received</t>
  </si>
  <si>
    <t>S010067: Lane Full</t>
  </si>
  <si>
    <t>S010067: Lane Non-Operational</t>
  </si>
  <si>
    <t>S010067: Throughput Limit</t>
  </si>
  <si>
    <t>S010067: Failed to Divert</t>
  </si>
  <si>
    <t>S010067: Tracking Error</t>
  </si>
  <si>
    <t>S010067: Gap Error</t>
  </si>
  <si>
    <t>S010067: No Destination Received</t>
  </si>
  <si>
    <t>S010070: Lane Full</t>
  </si>
  <si>
    <t>S010070: Lane Non-Operational</t>
  </si>
  <si>
    <t>S010070: Throughput Limit</t>
  </si>
  <si>
    <t>S010070: Failed to Divert</t>
  </si>
  <si>
    <t>S010070: Tracking Error</t>
  </si>
  <si>
    <t>S010070: Gap Error</t>
  </si>
  <si>
    <t>S010070: No Destination Received</t>
  </si>
  <si>
    <t>S010075: Success</t>
  </si>
  <si>
    <t>S010075: Lane Full</t>
  </si>
  <si>
    <t>S010075: Lane Non-Operational</t>
  </si>
  <si>
    <t>S010075: Throughput Limit</t>
  </si>
  <si>
    <t>S010075: Failed to Divert</t>
  </si>
  <si>
    <t>S010075: Tracking Error</t>
  </si>
  <si>
    <t>S010075: Gap Error</t>
  </si>
  <si>
    <t>S010075: No Destination Received</t>
  </si>
  <si>
    <t>S010076: Success</t>
  </si>
  <si>
    <t>S010076: Lane Full</t>
  </si>
  <si>
    <t>S010076: Lane Non-Operational</t>
  </si>
  <si>
    <t>S010076: Throughput Limit</t>
  </si>
  <si>
    <t>S010076: Failed to Divert</t>
  </si>
  <si>
    <t>S010076: Tracking Error</t>
  </si>
  <si>
    <t>S010076: Gap Error</t>
  </si>
  <si>
    <t>S010076: No Destination Received</t>
  </si>
  <si>
    <t>S010077: Success</t>
  </si>
  <si>
    <t>S010077: Lane Full</t>
  </si>
  <si>
    <t>S010077: Lane Non-Operational</t>
  </si>
  <si>
    <t>S010077: Throughput Limit</t>
  </si>
  <si>
    <t>S010077: Failed to Divert</t>
  </si>
  <si>
    <t>S010077: Tracking Error</t>
  </si>
  <si>
    <t>S010077: Gap Error</t>
  </si>
  <si>
    <t>S010077: No Destination Received</t>
  </si>
  <si>
    <t>S010078: Success</t>
  </si>
  <si>
    <t>S010078: Lane Full</t>
  </si>
  <si>
    <t>S010078: Lane Non-Operational</t>
  </si>
  <si>
    <t>S010078: Throughput Limit</t>
  </si>
  <si>
    <t>S010078: Failed to Divert</t>
  </si>
  <si>
    <t>S010078: Tracking Error</t>
  </si>
  <si>
    <t>S010078: Gap Error</t>
  </si>
  <si>
    <t>S010078: No Destination Received</t>
  </si>
  <si>
    <t>S010079: Success</t>
  </si>
  <si>
    <t>S010079: Lane Full</t>
  </si>
  <si>
    <t>S010079: Lane Non-Operational</t>
  </si>
  <si>
    <t>S010079: Throughput Limit</t>
  </si>
  <si>
    <t>S010079: Failed to Divert</t>
  </si>
  <si>
    <t>S010079: Tracking Error</t>
  </si>
  <si>
    <t>S010079: Gap Error</t>
  </si>
  <si>
    <t>S010079: No Destination Received</t>
  </si>
  <si>
    <t>S010080: Success</t>
  </si>
  <si>
    <t>S010080: Lane Full</t>
  </si>
  <si>
    <t>S010080: Lane Non-Operational</t>
  </si>
  <si>
    <t>S010080: Throughput Limit</t>
  </si>
  <si>
    <t>S010080: Failed to Divert</t>
  </si>
  <si>
    <t>S010080: Tracking Error</t>
  </si>
  <si>
    <t>S010080: Gap Error</t>
  </si>
  <si>
    <t>S010080: No Destination Received</t>
  </si>
  <si>
    <t>S010091: Success</t>
  </si>
  <si>
    <t>S010091: Lane Full</t>
  </si>
  <si>
    <t>S010091: Lane Non-Operational</t>
  </si>
  <si>
    <t>S010091: Throughput Limit</t>
  </si>
  <si>
    <t>S010091: Failed to Divert</t>
  </si>
  <si>
    <t>S010091: Tracking Error</t>
  </si>
  <si>
    <t>S010091: Gap Error</t>
  </si>
  <si>
    <t>S010091: No Destination Received</t>
  </si>
  <si>
    <t>S010092: Success</t>
  </si>
  <si>
    <t>S010092: Lane Full</t>
  </si>
  <si>
    <t>S010092: Lane Non-Operational</t>
  </si>
  <si>
    <t>S010092: Throughput Limit</t>
  </si>
  <si>
    <t>S010092: Failed to Divert</t>
  </si>
  <si>
    <t>S010092: Tracking Error</t>
  </si>
  <si>
    <t>S010092: Gap Error</t>
  </si>
  <si>
    <t>S010092: No Destination Received</t>
  </si>
  <si>
    <t>S010093: Success</t>
  </si>
  <si>
    <t>S010093: Lane Full</t>
  </si>
  <si>
    <t>S010093: Lane Non-Operational</t>
  </si>
  <si>
    <t>S010093: Throughput Limit</t>
  </si>
  <si>
    <t>S010093: Failed to Divert</t>
  </si>
  <si>
    <t>S010093: Tracking Error</t>
  </si>
  <si>
    <t>S010093: Gap Error</t>
  </si>
  <si>
    <t>S010093: No Destination Received</t>
  </si>
  <si>
    <t>S010094: Success</t>
  </si>
  <si>
    <t>S010094: Lane Full</t>
  </si>
  <si>
    <t>S010094: Lane Non-Operational</t>
  </si>
  <si>
    <t>S010094: Throughput Limit</t>
  </si>
  <si>
    <t>S010094: Failed to Divert</t>
  </si>
  <si>
    <t>S010094: Tracking Error</t>
  </si>
  <si>
    <t>S010094: Gap Error</t>
  </si>
  <si>
    <t>S010094: No Destination Received</t>
  </si>
  <si>
    <t>S010095: Success</t>
  </si>
  <si>
    <t>S010095: Lane Full</t>
  </si>
  <si>
    <t>S010095: Lane Non-Operational</t>
  </si>
  <si>
    <t>S010095: Throughput Limit</t>
  </si>
  <si>
    <t>S010095: Failed to Divert</t>
  </si>
  <si>
    <t>S010095: Tracking Error</t>
  </si>
  <si>
    <t>S010095: Gap Error</t>
  </si>
  <si>
    <t>S010095: No Destination Received</t>
  </si>
  <si>
    <t>S010096: Success</t>
  </si>
  <si>
    <t>S010096: Lane Full</t>
  </si>
  <si>
    <t>S010096: Lane Non-Operational</t>
  </si>
  <si>
    <t>S010096: Throughput Limit</t>
  </si>
  <si>
    <t>S010096: Failed to Divert</t>
  </si>
  <si>
    <t>S010096: Tracking Error</t>
  </si>
  <si>
    <t>S010096: Gap Error</t>
  </si>
  <si>
    <t>S010096: No Destination Received</t>
  </si>
  <si>
    <t>S010097: Success</t>
  </si>
  <si>
    <t>S010097: Lane Full</t>
  </si>
  <si>
    <t>S010097: Lane Non-Operational</t>
  </si>
  <si>
    <t>S010097: Throughput Limit</t>
  </si>
  <si>
    <t>S010097: Failed to Divert</t>
  </si>
  <si>
    <t>S010097: Tracking Error</t>
  </si>
  <si>
    <t>S010097: Gap Error</t>
  </si>
  <si>
    <t>S010097: No Destination Received</t>
  </si>
  <si>
    <t>S010098: Success</t>
  </si>
  <si>
    <t>S010098: Lane Full</t>
  </si>
  <si>
    <t>S010098: Lane Non-Operational</t>
  </si>
  <si>
    <t>S010098: Throughput Limit</t>
  </si>
  <si>
    <t>S010098: Failed to Divert</t>
  </si>
  <si>
    <t>S010098: Tracking Error</t>
  </si>
  <si>
    <t>S010098: Gap Error</t>
  </si>
  <si>
    <t>S010098: No Destination Received</t>
  </si>
  <si>
    <t>S010099: Success</t>
  </si>
  <si>
    <t>S010099: Lane Full</t>
  </si>
  <si>
    <t>S010099: Lane Non-Operational</t>
  </si>
  <si>
    <t>S010099: Throughput Limit</t>
  </si>
  <si>
    <t>S010099: Failed to Divert</t>
  </si>
  <si>
    <t>S010099: Tracking Error</t>
  </si>
  <si>
    <t>S010099: Gap Error</t>
  </si>
  <si>
    <t>S010099: No Destination Received</t>
  </si>
  <si>
    <t>S010100: Success</t>
  </si>
  <si>
    <t>S010100: Lane Full</t>
  </si>
  <si>
    <t>S010100: Lane Non-Operational</t>
  </si>
  <si>
    <t>S010100: Throughput Limit</t>
  </si>
  <si>
    <t>S010100: Failed to Divert</t>
  </si>
  <si>
    <t>S010100: Tracking Error</t>
  </si>
  <si>
    <t>S010100: Gap Error</t>
  </si>
  <si>
    <t>S010100: No Destination Received</t>
  </si>
  <si>
    <t>S010138: Success</t>
  </si>
  <si>
    <t>S010138: Lane Full</t>
  </si>
  <si>
    <t>S010138: Lane Non-Operational</t>
  </si>
  <si>
    <t>S010138: Throughput Limit</t>
  </si>
  <si>
    <t>S010138: Failed to Divert</t>
  </si>
  <si>
    <t>S010138: Tracking Error</t>
  </si>
  <si>
    <t>S010138: Gap Error</t>
  </si>
  <si>
    <t>S010138: No Destination Received</t>
  </si>
  <si>
    <t>S010139: Success</t>
  </si>
  <si>
    <t>S010139: Lane Full</t>
  </si>
  <si>
    <t>S010139: Lane Non-Operational</t>
  </si>
  <si>
    <t>S010139: Throughput Limit</t>
  </si>
  <si>
    <t>S010139: Failed to Divert</t>
  </si>
  <si>
    <t>S010139: Tracking Error</t>
  </si>
  <si>
    <t>S010139: Gap Error</t>
  </si>
  <si>
    <t>S010139: No Destination Received</t>
  </si>
  <si>
    <t>S010140: Success</t>
  </si>
  <si>
    <t>S010140: Lane Full</t>
  </si>
  <si>
    <t>S010140: Lane Non-Operational</t>
  </si>
  <si>
    <t>S010140: Throughput Limit</t>
  </si>
  <si>
    <t>S010140: Failed to Divert</t>
  </si>
  <si>
    <t>S010140: Tracking Error</t>
  </si>
  <si>
    <t>S010140: Gap Error</t>
  </si>
  <si>
    <t>S010140: No Destination Received</t>
  </si>
  <si>
    <t>S010143: Lane Full</t>
  </si>
  <si>
    <t>S010143: Lane Non-Operational</t>
  </si>
  <si>
    <t>S010143: Throughput Limit</t>
  </si>
  <si>
    <t>S010143: Failed to Divert</t>
  </si>
  <si>
    <t>S010143: Tracking Error</t>
  </si>
  <si>
    <t>S010143: Gap Error</t>
  </si>
  <si>
    <t>S010143: No Destination Received</t>
  </si>
  <si>
    <t>S010148: Lane Full</t>
  </si>
  <si>
    <t>S010148: Lane Non-Operational</t>
  </si>
  <si>
    <t>S010148: Throughput Limit</t>
  </si>
  <si>
    <t>S010148: Failed to Divert</t>
  </si>
  <si>
    <t>S010148: Tracking Error</t>
  </si>
  <si>
    <t>S010148: Gap Error</t>
  </si>
  <si>
    <t>S010148: No Destination Received</t>
  </si>
  <si>
    <t>S010238: Success</t>
  </si>
  <si>
    <t>S010238: Lane Full</t>
  </si>
  <si>
    <t>S010238: Lane Non-Operational</t>
  </si>
  <si>
    <t>S010238: Throughput Limit</t>
  </si>
  <si>
    <t>S010238: Failed to Divert</t>
  </si>
  <si>
    <t>S010238: Tracking Error</t>
  </si>
  <si>
    <t>S010238: Gap Error</t>
  </si>
  <si>
    <t>S010238: No Destination Received</t>
  </si>
  <si>
    <t>S010254: Success</t>
  </si>
  <si>
    <t>S010254: Lane Full</t>
  </si>
  <si>
    <t>S010254: Lane Non-Operational</t>
  </si>
  <si>
    <t>S010254: Throughput Limit</t>
  </si>
  <si>
    <t>S010254: Failed to Divert</t>
  </si>
  <si>
    <t>S010254: Tracking Error</t>
  </si>
  <si>
    <t>S010254: Gap Error</t>
  </si>
  <si>
    <t>S010254: No Destination Received</t>
  </si>
  <si>
    <t>S010256: Success</t>
  </si>
  <si>
    <t>S010256: Lane Full</t>
  </si>
  <si>
    <t>S010256: Lane Non-Operational</t>
  </si>
  <si>
    <t>S010256: Throughput Limit</t>
  </si>
  <si>
    <t>S010256: Failed to Divert</t>
  </si>
  <si>
    <t>S010256: Tracking Error</t>
  </si>
  <si>
    <t>S010256: Gap Error</t>
  </si>
  <si>
    <t>S010256: No Destination Received</t>
  </si>
  <si>
    <t>S010258: Success</t>
  </si>
  <si>
    <t>S010258: Lane Full</t>
  </si>
  <si>
    <t>S010258: Lane Non-Operational</t>
  </si>
  <si>
    <t>S010258: Throughput Limit</t>
  </si>
  <si>
    <t>S010258: Failed to Divert</t>
  </si>
  <si>
    <t>S010258: Tracking Error</t>
  </si>
  <si>
    <t>S010258: Gap Error</t>
  </si>
  <si>
    <t>S010258: No Destination Received</t>
  </si>
  <si>
    <t>S010265: Success</t>
  </si>
  <si>
    <t>S010265: Lane Full</t>
  </si>
  <si>
    <t>S010265: Lane Non-Operational</t>
  </si>
  <si>
    <t>S010265: Throughput Limit</t>
  </si>
  <si>
    <t>S010265: Failed to Divert</t>
  </si>
  <si>
    <t>S010265: Tracking Error</t>
  </si>
  <si>
    <t>S010265: Gap Error</t>
  </si>
  <si>
    <t>S010265: No Destination Received</t>
  </si>
  <si>
    <t>S010267: Success</t>
  </si>
  <si>
    <t>S010267: Lane Full</t>
  </si>
  <si>
    <t>S010267: Lane Non-Operational</t>
  </si>
  <si>
    <t>S010267: Throughput Limit</t>
  </si>
  <si>
    <t>S010267: Failed to Divert</t>
  </si>
  <si>
    <t>S010267: Tracking Error</t>
  </si>
  <si>
    <t>S010267: Gap Error</t>
  </si>
  <si>
    <t>S010267: No Destination Received</t>
  </si>
  <si>
    <t>S010277: Success</t>
  </si>
  <si>
    <t>S010277: Lane Full</t>
  </si>
  <si>
    <t>S010277: Lane Non-Operational</t>
  </si>
  <si>
    <t>S010277: Throughput Limit</t>
  </si>
  <si>
    <t>S010277: Failed to Divert</t>
  </si>
  <si>
    <t>S010277: Tracking Error</t>
  </si>
  <si>
    <t>S010277: Gap Error</t>
  </si>
  <si>
    <t>S010277: No Destination Received</t>
  </si>
  <si>
    <t>S010424: Success</t>
  </si>
  <si>
    <t>S010424: Lane Full</t>
  </si>
  <si>
    <t>S010424: Lane Non-Operational</t>
  </si>
  <si>
    <t>S010424: Throughput Limit</t>
  </si>
  <si>
    <t>S010424: Failed to Divert</t>
  </si>
  <si>
    <t>S010424: Tracking Error</t>
  </si>
  <si>
    <t>S010424: Gap Error</t>
  </si>
  <si>
    <t>S010424: No Destination Received</t>
  </si>
  <si>
    <t>S010428: Success</t>
  </si>
  <si>
    <t>S010428: Lane Full</t>
  </si>
  <si>
    <t>S010428: Lane Non-Operational</t>
  </si>
  <si>
    <t>S010428: Throughput Limit</t>
  </si>
  <si>
    <t>S010428: Failed to Divert</t>
  </si>
  <si>
    <t>S010428: Tracking Error</t>
  </si>
  <si>
    <t>S010428: Gap Error</t>
  </si>
  <si>
    <t>S010428: No Destination Received</t>
  </si>
  <si>
    <t>S010430: Success</t>
  </si>
  <si>
    <t>S010430: Lane Full</t>
  </si>
  <si>
    <t>S010430: Lane Non-Operational</t>
  </si>
  <si>
    <t>S010430: Throughput Limit</t>
  </si>
  <si>
    <t>S010430: Failed to Divert</t>
  </si>
  <si>
    <t>S010430: Tracking Error</t>
  </si>
  <si>
    <t>S010430: Gap Error</t>
  </si>
  <si>
    <t>S010430: No Destination Received</t>
  </si>
  <si>
    <t>S010432: Success</t>
  </si>
  <si>
    <t>S010432: Lane Full</t>
  </si>
  <si>
    <t>S010432: Lane Non-Operational</t>
  </si>
  <si>
    <t>S010432: Throughput Limit</t>
  </si>
  <si>
    <t>S010432: Failed to Divert</t>
  </si>
  <si>
    <t>S010432: Tracking Error</t>
  </si>
  <si>
    <t>S010432: Gap Error</t>
  </si>
  <si>
    <t>S010432: No Destination Received</t>
  </si>
  <si>
    <t>S010434: Success</t>
  </si>
  <si>
    <t>S010434: Lane Full</t>
  </si>
  <si>
    <t>S010434: Lane Non-Operational</t>
  </si>
  <si>
    <t>S010434: Throughput Limit</t>
  </si>
  <si>
    <t>S010434: Failed to Divert</t>
  </si>
  <si>
    <t>S010434: Tracking Error</t>
  </si>
  <si>
    <t>S010434: Gap Error</t>
  </si>
  <si>
    <t>S010434: No Destination Received</t>
  </si>
  <si>
    <t>S010436: Success</t>
  </si>
  <si>
    <t>S010436: Lane Full</t>
  </si>
  <si>
    <t>S010436: Lane Non-Operational</t>
  </si>
  <si>
    <t>S010436: Throughput Limit</t>
  </si>
  <si>
    <t>S010436: Failed to Divert</t>
  </si>
  <si>
    <t>S010436: Tracking Error</t>
  </si>
  <si>
    <t>S010436: Gap Error</t>
  </si>
  <si>
    <t>S010436: No Destination Received</t>
  </si>
  <si>
    <t>S010438: Success</t>
  </si>
  <si>
    <t>S010438: Lane Full</t>
  </si>
  <si>
    <t>S010438: Lane Non-Operational</t>
  </si>
  <si>
    <t>S010438: Throughput Limit</t>
  </si>
  <si>
    <t>S010438: Failed to Divert</t>
  </si>
  <si>
    <t>S010438: Tracking Error</t>
  </si>
  <si>
    <t>S010438: Gap Error</t>
  </si>
  <si>
    <t>S010438: No Destination Received</t>
  </si>
  <si>
    <t>S010439: Success</t>
  </si>
  <si>
    <t>S010439: Lane Full</t>
  </si>
  <si>
    <t>S010439: Lane Non-Operational</t>
  </si>
  <si>
    <t>S010439: Throughput Limit</t>
  </si>
  <si>
    <t>S010439: Failed to Divert</t>
  </si>
  <si>
    <t>S010439: Tracking Error</t>
  </si>
  <si>
    <t>S010439: Gap Error</t>
  </si>
  <si>
    <t>S010439: No Destination Received</t>
  </si>
  <si>
    <t>S010440: Success</t>
  </si>
  <si>
    <t>S010440: Lane Full</t>
  </si>
  <si>
    <t>S010440: Lane Non-Operational</t>
  </si>
  <si>
    <t>S010440: Throughput Limit</t>
  </si>
  <si>
    <t>S010440: Failed to Divert</t>
  </si>
  <si>
    <t>S010440: Tracking Error</t>
  </si>
  <si>
    <t>S010440: Gap Error</t>
  </si>
  <si>
    <t>S010440: No Destination Received</t>
  </si>
  <si>
    <t>S010442: Success</t>
  </si>
  <si>
    <t>S010442: Lane Full</t>
  </si>
  <si>
    <t>S010442: Lane Non-Operational</t>
  </si>
  <si>
    <t>S010442: Throughput Limit</t>
  </si>
  <si>
    <t>S010442: Failed to Divert</t>
  </si>
  <si>
    <t>S010442: Tracking Error</t>
  </si>
  <si>
    <t>S010442: Gap Error</t>
  </si>
  <si>
    <t>S010442: No Destination Received</t>
  </si>
  <si>
    <t>S010443: Success</t>
  </si>
  <si>
    <t>S010443: Lane Full</t>
  </si>
  <si>
    <t>S010443: Lane Non-Operational</t>
  </si>
  <si>
    <t>S010443: Throughput Limit</t>
  </si>
  <si>
    <t>S010443: Failed to Divert</t>
  </si>
  <si>
    <t>S010443: Tracking Error</t>
  </si>
  <si>
    <t>S010443: Gap Error</t>
  </si>
  <si>
    <t>S010443: No Destination Received</t>
  </si>
  <si>
    <t>S010444: Success</t>
  </si>
  <si>
    <t>S010444: Lane Full</t>
  </si>
  <si>
    <t>S010444: Lane Non-Operational</t>
  </si>
  <si>
    <t>S010444: Throughput Limit</t>
  </si>
  <si>
    <t>S010444: Failed to Divert</t>
  </si>
  <si>
    <t>S010444: Tracking Error</t>
  </si>
  <si>
    <t>S010444: Gap Error</t>
  </si>
  <si>
    <t>S010444: No Destination Received</t>
  </si>
  <si>
    <t>S010445: Success</t>
  </si>
  <si>
    <t>S010445: Lane Full</t>
  </si>
  <si>
    <t>S010445: Lane Non-Operational</t>
  </si>
  <si>
    <t>S010445: Throughput Limit</t>
  </si>
  <si>
    <t>S010445: Failed to Divert</t>
  </si>
  <si>
    <t>S010445: Tracking Error</t>
  </si>
  <si>
    <t>S010445: Gap Error</t>
  </si>
  <si>
    <t>S010445: No Destination Received</t>
  </si>
  <si>
    <t>S010446: Success</t>
  </si>
  <si>
    <t>S010446: Lane Full</t>
  </si>
  <si>
    <t>S010446: Lane Non-Operational</t>
  </si>
  <si>
    <t>S010446: Throughput Limit</t>
  </si>
  <si>
    <t>S010446: Failed to Divert</t>
  </si>
  <si>
    <t>S010446: Tracking Error</t>
  </si>
  <si>
    <t>S010446: Gap Error</t>
  </si>
  <si>
    <t>S010446: No Destination Received</t>
  </si>
  <si>
    <t>S010447: Success</t>
  </si>
  <si>
    <t>S010447: Lane Full</t>
  </si>
  <si>
    <t>S010447: Lane Non-Operational</t>
  </si>
  <si>
    <t>S010447: Throughput Limit</t>
  </si>
  <si>
    <t>S010447: Failed to Divert</t>
  </si>
  <si>
    <t>S010447: Tracking Error</t>
  </si>
  <si>
    <t>S010447: Gap Error</t>
  </si>
  <si>
    <t>S010447: No Destination Received</t>
  </si>
  <si>
    <t>S010448: Success</t>
  </si>
  <si>
    <t>S010448: Lane Full</t>
  </si>
  <si>
    <t>S010448: Lane Non-Operational</t>
  </si>
  <si>
    <t>S010448: Throughput Limit</t>
  </si>
  <si>
    <t>S010448: Failed to Divert</t>
  </si>
  <si>
    <t>S010448: Tracking Error</t>
  </si>
  <si>
    <t>S010448: Gap Error</t>
  </si>
  <si>
    <t>S010448: No Destination Received</t>
  </si>
  <si>
    <t>S010449: Success</t>
  </si>
  <si>
    <t>S010449: Lane Full</t>
  </si>
  <si>
    <t>S010449: Lane Non-Operational</t>
  </si>
  <si>
    <t>S010449: Throughput Limit</t>
  </si>
  <si>
    <t>S010449: Failed to Divert</t>
  </si>
  <si>
    <t>S010449: Tracking Error</t>
  </si>
  <si>
    <t>S010449: Gap Error</t>
  </si>
  <si>
    <t>S010449: No Destination Received</t>
  </si>
  <si>
    <t>S010450: Success</t>
  </si>
  <si>
    <t>S010450: Lane Full</t>
  </si>
  <si>
    <t>S010450: Lane Non-Operational</t>
  </si>
  <si>
    <t>S010450: Throughput Limit</t>
  </si>
  <si>
    <t>S010450: Failed to Divert</t>
  </si>
  <si>
    <t>S010450: Tracking Error</t>
  </si>
  <si>
    <t>S010450: Gap Error</t>
  </si>
  <si>
    <t>S010450: No Destination Received</t>
  </si>
  <si>
    <t>S010451: Success</t>
  </si>
  <si>
    <t>S010451: Lane Full</t>
  </si>
  <si>
    <t>S010451: Lane Non-Operational</t>
  </si>
  <si>
    <t>S010451: Throughput Limit</t>
  </si>
  <si>
    <t>S010451: Failed to Divert</t>
  </si>
  <si>
    <t>S010451: Tracking Error</t>
  </si>
  <si>
    <t>S010451: Gap Error</t>
  </si>
  <si>
    <t>S010451: No Destination Received</t>
  </si>
  <si>
    <t>S010452: Success</t>
  </si>
  <si>
    <t>S010452: Lane Full</t>
  </si>
  <si>
    <t>S010452: Lane Non-Operational</t>
  </si>
  <si>
    <t>S010452: Throughput Limit</t>
  </si>
  <si>
    <t>S010452: Failed to Divert</t>
  </si>
  <si>
    <t>S010452: Tracking Error</t>
  </si>
  <si>
    <t>S010452: Gap Error</t>
  </si>
  <si>
    <t>S010452: No Destination Received</t>
  </si>
  <si>
    <t>S010453: Success</t>
  </si>
  <si>
    <t>S010453: Lane Full</t>
  </si>
  <si>
    <t>S010453: Lane Non-Operational</t>
  </si>
  <si>
    <t>S010453: Throughput Limit</t>
  </si>
  <si>
    <t>S010453: Failed to Divert</t>
  </si>
  <si>
    <t>S010453: Tracking Error</t>
  </si>
  <si>
    <t>S010453: Gap Error</t>
  </si>
  <si>
    <t>S010453: No Destination Received</t>
  </si>
  <si>
    <t>S010454: Success</t>
  </si>
  <si>
    <t>S010454: Lane Full</t>
  </si>
  <si>
    <t>S010454: Lane Non-Operational</t>
  </si>
  <si>
    <t>S010454: Throughput Limit</t>
  </si>
  <si>
    <t>S010454: Failed to Divert</t>
  </si>
  <si>
    <t>S010454: Tracking Error</t>
  </si>
  <si>
    <t>S010454: Gap Error</t>
  </si>
  <si>
    <t>S010454: No Destination Received</t>
  </si>
  <si>
    <t>S010455: Success</t>
  </si>
  <si>
    <t>S010455: Lane Full</t>
  </si>
  <si>
    <t>S010455: Lane Non-Operational</t>
  </si>
  <si>
    <t>S010455: Throughput Limit</t>
  </si>
  <si>
    <t>S010455: Failed to Divert</t>
  </si>
  <si>
    <t>S010455: Tracking Error</t>
  </si>
  <si>
    <t>S010455: Gap Error</t>
  </si>
  <si>
    <t>S010455: No Destination Received</t>
  </si>
  <si>
    <t>S010457: Success</t>
  </si>
  <si>
    <t>S010457: Lane Full</t>
  </si>
  <si>
    <t>S010457: Lane Non-Operational</t>
  </si>
  <si>
    <t>S010457: Throughput Limit</t>
  </si>
  <si>
    <t>S010457: Failed to Divert</t>
  </si>
  <si>
    <t>S010457: Tracking Error</t>
  </si>
  <si>
    <t>S010457: Gap Error</t>
  </si>
  <si>
    <t>S010457: No Destination Received</t>
  </si>
  <si>
    <t>S010458: Success</t>
  </si>
  <si>
    <t>S010458: Lane Full</t>
  </si>
  <si>
    <t>S010458: Lane Non-Operational</t>
  </si>
  <si>
    <t>S010458: Throughput Limit</t>
  </si>
  <si>
    <t>S010458: Failed to Divert</t>
  </si>
  <si>
    <t>S010458: Tracking Error</t>
  </si>
  <si>
    <t>S010458: Gap Error</t>
  </si>
  <si>
    <t>S010458: No Destination Received</t>
  </si>
  <si>
    <t>S010459: Success</t>
  </si>
  <si>
    <t>S010459: Lane Full</t>
  </si>
  <si>
    <t>S010459: Lane Non-Operational</t>
  </si>
  <si>
    <t>S010459: Throughput Limit</t>
  </si>
  <si>
    <t>S010459: Failed to Divert</t>
  </si>
  <si>
    <t>S010459: Tracking Error</t>
  </si>
  <si>
    <t>S010459: Gap Error</t>
  </si>
  <si>
    <t>S010459: No Destination Received</t>
  </si>
  <si>
    <t>S010460: Success</t>
  </si>
  <si>
    <t>S010460: Lane Full</t>
  </si>
  <si>
    <t>S010460: Lane Non-Operational</t>
  </si>
  <si>
    <t>S010460: Throughput Limit</t>
  </si>
  <si>
    <t>S010460: Failed to Divert</t>
  </si>
  <si>
    <t>S010460: Tracking Error</t>
  </si>
  <si>
    <t>S010460: Gap Error</t>
  </si>
  <si>
    <t>S010460: No Destination Received</t>
  </si>
  <si>
    <t>S010461: Success</t>
  </si>
  <si>
    <t>S010461: Lane Full</t>
  </si>
  <si>
    <t>S010461: Lane Non-Operational</t>
  </si>
  <si>
    <t>S010461: Throughput Limit</t>
  </si>
  <si>
    <t>S010461: Failed to Divert</t>
  </si>
  <si>
    <t>S010461: Tracking Error</t>
  </si>
  <si>
    <t>S010461: Gap Error</t>
  </si>
  <si>
    <t>S010461: No Destination Received</t>
  </si>
  <si>
    <t>S010462: Success</t>
  </si>
  <si>
    <t>S010462: Lane Full</t>
  </si>
  <si>
    <t>S010462: Lane Non-Operational</t>
  </si>
  <si>
    <t>S010462: Throughput Limit</t>
  </si>
  <si>
    <t>S010462: Failed to Divert</t>
  </si>
  <si>
    <t>S010462: Tracking Error</t>
  </si>
  <si>
    <t>S010462: Gap Error</t>
  </si>
  <si>
    <t>S010462: No Destination Received</t>
  </si>
  <si>
    <t>S010463: Success</t>
  </si>
  <si>
    <t>S010463: Lane Full</t>
  </si>
  <si>
    <t>S010463: Lane Non-Operational</t>
  </si>
  <si>
    <t>S010463: Throughput Limit</t>
  </si>
  <si>
    <t>S010463: Failed to Divert</t>
  </si>
  <si>
    <t>S010463: Tracking Error</t>
  </si>
  <si>
    <t>S010463: Gap Error</t>
  </si>
  <si>
    <t>S010463: No Destination Received</t>
  </si>
  <si>
    <t>S010464: Success</t>
  </si>
  <si>
    <t>S010464: Lane Full</t>
  </si>
  <si>
    <t>S010464: Lane Non-Operational</t>
  </si>
  <si>
    <t>S010464: Throughput Limit</t>
  </si>
  <si>
    <t>S010464: Failed to Divert</t>
  </si>
  <si>
    <t>S010464: Tracking Error</t>
  </si>
  <si>
    <t>S010464: Gap Error</t>
  </si>
  <si>
    <t>S010464: No Destination Received</t>
  </si>
  <si>
    <t>S010465: Success</t>
  </si>
  <si>
    <t>S010465: Lane Full</t>
  </si>
  <si>
    <t>S010465: Lane Non-Operational</t>
  </si>
  <si>
    <t>S010465: Throughput Limit</t>
  </si>
  <si>
    <t>S010465: Failed to Divert</t>
  </si>
  <si>
    <t>S010465: Tracking Error</t>
  </si>
  <si>
    <t>S010465: Gap Error</t>
  </si>
  <si>
    <t>S010465: No Destination Received</t>
  </si>
  <si>
    <t>S010466: Success</t>
  </si>
  <si>
    <t>S010466: Lane Full</t>
  </si>
  <si>
    <t>S010466: Lane Non-Operational</t>
  </si>
  <si>
    <t>S010466: Throughput Limit</t>
  </si>
  <si>
    <t>S010466: Failed to Divert</t>
  </si>
  <si>
    <t>S010466: Tracking Error</t>
  </si>
  <si>
    <t>S010466: Gap Error</t>
  </si>
  <si>
    <t>S010466: No Destination Received</t>
  </si>
  <si>
    <t>S010467: Success</t>
  </si>
  <si>
    <t>S010467: Lane Full</t>
  </si>
  <si>
    <t>S010467: Lane Non-Operational</t>
  </si>
  <si>
    <t>S010467: Throughput Limit</t>
  </si>
  <si>
    <t>S010467: Failed to Divert</t>
  </si>
  <si>
    <t>S010467: Tracking Error</t>
  </si>
  <si>
    <t>S010467: Gap Error</t>
  </si>
  <si>
    <t>S010467: No Destination Received</t>
  </si>
  <si>
    <t>S010468: Success</t>
  </si>
  <si>
    <t>S010468: Lane Full</t>
  </si>
  <si>
    <t>S010468: Lane Non-Operational</t>
  </si>
  <si>
    <t>S010468: Throughput Limit</t>
  </si>
  <si>
    <t>S010468: Failed to Divert</t>
  </si>
  <si>
    <t>S010468: Tracking Error</t>
  </si>
  <si>
    <t>S010468: Gap Error</t>
  </si>
  <si>
    <t>S010468: No Destination Received</t>
  </si>
  <si>
    <t>S010469: Success</t>
  </si>
  <si>
    <t>S010469: Lane Full</t>
  </si>
  <si>
    <t>S010469: Lane Non-Operational</t>
  </si>
  <si>
    <t>S010469: Throughput Limit</t>
  </si>
  <si>
    <t>S010469: Failed to Divert</t>
  </si>
  <si>
    <t>S010469: Tracking Error</t>
  </si>
  <si>
    <t>S010469: Gap Error</t>
  </si>
  <si>
    <t>S010469: No Destination Received</t>
  </si>
  <si>
    <t>S010470: Success</t>
  </si>
  <si>
    <t>S010470: Lane Full</t>
  </si>
  <si>
    <t>S010470: Lane Non-Operational</t>
  </si>
  <si>
    <t>S010470: Throughput Limit</t>
  </si>
  <si>
    <t>S010470: Failed to Divert</t>
  </si>
  <si>
    <t>S010470: Tracking Error</t>
  </si>
  <si>
    <t>S010470: Gap Error</t>
  </si>
  <si>
    <t>S010470: No Destination Received</t>
  </si>
  <si>
    <t>S010471: Success</t>
  </si>
  <si>
    <t>S010471: Lane Full</t>
  </si>
  <si>
    <t>S010471: Lane Non-Operational</t>
  </si>
  <si>
    <t>S010471: Throughput Limit</t>
  </si>
  <si>
    <t>S010471: Failed to Divert</t>
  </si>
  <si>
    <t>S010471: Tracking Error</t>
  </si>
  <si>
    <t>S010471: Gap Error</t>
  </si>
  <si>
    <t>S010471: No Destination Received</t>
  </si>
  <si>
    <t>S010472: Success</t>
  </si>
  <si>
    <t>S010472: Lane Full</t>
  </si>
  <si>
    <t>S010472: Lane Non-Operational</t>
  </si>
  <si>
    <t>S010472: Throughput Limit</t>
  </si>
  <si>
    <t>S010472: Failed to Divert</t>
  </si>
  <si>
    <t>S010472: Tracking Error</t>
  </si>
  <si>
    <t>S010472: Gap Error</t>
  </si>
  <si>
    <t>S010472: No Destination Received</t>
  </si>
  <si>
    <t>S010473: Success</t>
  </si>
  <si>
    <t>S010473: Lane Full</t>
  </si>
  <si>
    <t>S010473: Lane Non-Operational</t>
  </si>
  <si>
    <t>S010473: Throughput Limit</t>
  </si>
  <si>
    <t>S010473: Failed to Divert</t>
  </si>
  <si>
    <t>S010473: Tracking Error</t>
  </si>
  <si>
    <t>S010473: Gap Error</t>
  </si>
  <si>
    <t>S010473: No Destination Received</t>
  </si>
  <si>
    <t>S010474: Success</t>
  </si>
  <si>
    <t>S010474: Lane Full</t>
  </si>
  <si>
    <t>S010474: Lane Non-Operational</t>
  </si>
  <si>
    <t>S010474: Throughput Limit</t>
  </si>
  <si>
    <t>S010474: Failed to Divert</t>
  </si>
  <si>
    <t>S010474: Tracking Error</t>
  </si>
  <si>
    <t>S010474: Gap Error</t>
  </si>
  <si>
    <t>S010474: No Destination Received</t>
  </si>
  <si>
    <t>S010475: Success</t>
  </si>
  <si>
    <t>S010475: Lane Full</t>
  </si>
  <si>
    <t>S010475: Lane Non-Operational</t>
  </si>
  <si>
    <t>S010475: Throughput Limit</t>
  </si>
  <si>
    <t>S010475: Failed to Divert</t>
  </si>
  <si>
    <t>S010475: Tracking Error</t>
  </si>
  <si>
    <t>S010475: Gap Error</t>
  </si>
  <si>
    <t>S010475: No Destination Received</t>
  </si>
  <si>
    <t>S010476: Success</t>
  </si>
  <si>
    <t>S010476: Lane Full</t>
  </si>
  <si>
    <t>S010476: Lane Non-Operational</t>
  </si>
  <si>
    <t>S010476: Throughput Limit</t>
  </si>
  <si>
    <t>S010476: Failed to Divert</t>
  </si>
  <si>
    <t>S010476: Tracking Error</t>
  </si>
  <si>
    <t>S010476: Gap Error</t>
  </si>
  <si>
    <t>S010476: No Destination Received</t>
  </si>
  <si>
    <t>S010477: Success</t>
  </si>
  <si>
    <t>S010477: Lane Full</t>
  </si>
  <si>
    <t>S010477: Lane Non-Operational</t>
  </si>
  <si>
    <t>S010477: Throughput Limit</t>
  </si>
  <si>
    <t>S010477: Failed to Divert</t>
  </si>
  <si>
    <t>S010477: Tracking Error</t>
  </si>
  <si>
    <t>S010477: Gap Error</t>
  </si>
  <si>
    <t>S010477: No Destination Received</t>
  </si>
  <si>
    <t>S010478: Success</t>
  </si>
  <si>
    <t>S010478: Lane Full</t>
  </si>
  <si>
    <t>S010478: Lane Non-Operational</t>
  </si>
  <si>
    <t>S010478: Throughput Limit</t>
  </si>
  <si>
    <t>S010478: Failed to Divert</t>
  </si>
  <si>
    <t>S010478: Tracking Error</t>
  </si>
  <si>
    <t>S010478: Gap Error</t>
  </si>
  <si>
    <t>S010478: No Destination Received</t>
  </si>
  <si>
    <t>S010479: Success</t>
  </si>
  <si>
    <t>S010479: Lane Full</t>
  </si>
  <si>
    <t>S010479: Lane Non-Operational</t>
  </si>
  <si>
    <t>S010479: Throughput Limit</t>
  </si>
  <si>
    <t>S010479: Failed to Divert</t>
  </si>
  <si>
    <t>S010479: Tracking Error</t>
  </si>
  <si>
    <t>S010479: Gap Error</t>
  </si>
  <si>
    <t>S010479: No Destination Received</t>
  </si>
  <si>
    <t>S010480: Success</t>
  </si>
  <si>
    <t>S010480: Lane Full</t>
  </si>
  <si>
    <t>S010480: Lane Non-Operational</t>
  </si>
  <si>
    <t>S010480: Throughput Limit</t>
  </si>
  <si>
    <t>S010480: Failed to Divert</t>
  </si>
  <si>
    <t>S010480: Tracking Error</t>
  </si>
  <si>
    <t>S010480: Gap Error</t>
  </si>
  <si>
    <t>S010480: No Destination Received</t>
  </si>
  <si>
    <t>S010481: Success</t>
  </si>
  <si>
    <t>S010481: Lane Full</t>
  </si>
  <si>
    <t>S010481: Lane Non-Operational</t>
  </si>
  <si>
    <t>S010481: Throughput Limit</t>
  </si>
  <si>
    <t>S010481: Failed to Divert</t>
  </si>
  <si>
    <t>S010481: Tracking Error</t>
  </si>
  <si>
    <t>S010481: Gap Error</t>
  </si>
  <si>
    <t>S010481: No Destination Received</t>
  </si>
  <si>
    <t>S010482: Success</t>
  </si>
  <si>
    <t>S010482: Lane Full</t>
  </si>
  <si>
    <t>S010482: Lane Non-Operational</t>
  </si>
  <si>
    <t>S010482: Throughput Limit</t>
  </si>
  <si>
    <t>S010482: Failed to Divert</t>
  </si>
  <si>
    <t>S010482: Tracking Error</t>
  </si>
  <si>
    <t>S010482: Gap Error</t>
  </si>
  <si>
    <t>S010482: No Destination Received</t>
  </si>
  <si>
    <t>S010483: Success</t>
  </si>
  <si>
    <t>S010483: Lane Full</t>
  </si>
  <si>
    <t>S010483: Lane Non-Operational</t>
  </si>
  <si>
    <t>S010483: Throughput Limit</t>
  </si>
  <si>
    <t>S010483: Failed to Divert</t>
  </si>
  <si>
    <t>S010483: Tracking Error</t>
  </si>
  <si>
    <t>S010483: Gap Error</t>
  </si>
  <si>
    <t>S010483: No Destination Received</t>
  </si>
  <si>
    <t>S010484: Success</t>
  </si>
  <si>
    <t>S010484: Lane Full</t>
  </si>
  <si>
    <t>S010484: Lane Non-Operational</t>
  </si>
  <si>
    <t>S010484: Throughput Limit</t>
  </si>
  <si>
    <t>S010484: Failed to Divert</t>
  </si>
  <si>
    <t>S010484: Tracking Error</t>
  </si>
  <si>
    <t>S010484: Gap Error</t>
  </si>
  <si>
    <t>S010484: No Destination Received</t>
  </si>
  <si>
    <t>S010485: Success</t>
  </si>
  <si>
    <t>S010485: Lane Full</t>
  </si>
  <si>
    <t>S010485: Lane Non-Operational</t>
  </si>
  <si>
    <t>S010485: Throughput Limit</t>
  </si>
  <si>
    <t>S010485: Failed to Divert</t>
  </si>
  <si>
    <t>S010485: Tracking Error</t>
  </si>
  <si>
    <t>S010485: Gap Error</t>
  </si>
  <si>
    <t>S010485: No Destination Received</t>
  </si>
  <si>
    <t>S010486: Success</t>
  </si>
  <si>
    <t>S010486: Lane Full</t>
  </si>
  <si>
    <t>S010486: Lane Non-Operational</t>
  </si>
  <si>
    <t>S010486: Throughput Limit</t>
  </si>
  <si>
    <t>S010486: Failed to Divert</t>
  </si>
  <si>
    <t>S010486: Tracking Error</t>
  </si>
  <si>
    <t>S010486: Gap Error</t>
  </si>
  <si>
    <t>S010486: No Destination Received</t>
  </si>
  <si>
    <t>S010487: Success</t>
  </si>
  <si>
    <t>S010487: Lane Full</t>
  </si>
  <si>
    <t>S010487: Lane Non-Operational</t>
  </si>
  <si>
    <t>S010487: Throughput Limit</t>
  </si>
  <si>
    <t>S010487: Failed to Divert</t>
  </si>
  <si>
    <t>S010487: Tracking Error</t>
  </si>
  <si>
    <t>S010487: Gap Error</t>
  </si>
  <si>
    <t>S010487: No Destination Received</t>
  </si>
  <si>
    <t>S010489: Success</t>
  </si>
  <si>
    <t>S010489: Lane Full</t>
  </si>
  <si>
    <t>S010489: Lane Non-Operational</t>
  </si>
  <si>
    <t>S010489: Throughput Limit</t>
  </si>
  <si>
    <t>S010489: Failed to Divert</t>
  </si>
  <si>
    <t>S010489: Tracking Error</t>
  </si>
  <si>
    <t>S010489: Gap Error</t>
  </si>
  <si>
    <t>S010489: No Destination Received</t>
  </si>
  <si>
    <t>S010491: Success</t>
  </si>
  <si>
    <t>S010491: Lane Full</t>
  </si>
  <si>
    <t>S010491: Lane Non-Operational</t>
  </si>
  <si>
    <t>S010491: Throughput Limit</t>
  </si>
  <si>
    <t>S010491: Failed to Divert</t>
  </si>
  <si>
    <t>S010491: Tracking Error</t>
  </si>
  <si>
    <t>S010491: Gap Error</t>
  </si>
  <si>
    <t>S010491: No Destination Received</t>
  </si>
  <si>
    <t>S010492: Success</t>
  </si>
  <si>
    <t>S010492: Lane Full</t>
  </si>
  <si>
    <t>S010492: Lane Non-Operational</t>
  </si>
  <si>
    <t>S010492: Throughput Limit</t>
  </si>
  <si>
    <t>S010492: Failed to Divert</t>
  </si>
  <si>
    <t>S010492: Tracking Error</t>
  </si>
  <si>
    <t>S010492: Gap Error</t>
  </si>
  <si>
    <t>S010492: No Destination Received</t>
  </si>
  <si>
    <t>S010493: Success</t>
  </si>
  <si>
    <t>S010493: Lane Full</t>
  </si>
  <si>
    <t>S010493: Lane Non-Operational</t>
  </si>
  <si>
    <t>S010493: Throughput Limit</t>
  </si>
  <si>
    <t>S010493: Failed to Divert</t>
  </si>
  <si>
    <t>S010493: Tracking Error</t>
  </si>
  <si>
    <t>S010493: Gap Error</t>
  </si>
  <si>
    <t>S010493: No Destination Received</t>
  </si>
  <si>
    <t>S010494: Success</t>
  </si>
  <si>
    <t>S010494: Lane Full</t>
  </si>
  <si>
    <t>S010494: Lane Non-Operational</t>
  </si>
  <si>
    <t>S010494: Throughput Limit</t>
  </si>
  <si>
    <t>S010494: Failed to Divert</t>
  </si>
  <si>
    <t>S010494: Tracking Error</t>
  </si>
  <si>
    <t>S010494: Gap Error</t>
  </si>
  <si>
    <t>S010494: No Destination Received</t>
  </si>
  <si>
    <t>S010495: Success</t>
  </si>
  <si>
    <t>S010495: Lane Full</t>
  </si>
  <si>
    <t>S010495: Lane Non-Operational</t>
  </si>
  <si>
    <t>S010495: Throughput Limit</t>
  </si>
  <si>
    <t>S010495: Failed to Divert</t>
  </si>
  <si>
    <t>S010495: Tracking Error</t>
  </si>
  <si>
    <t>S010495: Gap Error</t>
  </si>
  <si>
    <t>S010495: No Destination Received</t>
  </si>
  <si>
    <t>S010496: Success</t>
  </si>
  <si>
    <t>S010496: Lane Full</t>
  </si>
  <si>
    <t>S010496: Lane Non-Operational</t>
  </si>
  <si>
    <t>S010496: Throughput Limit</t>
  </si>
  <si>
    <t>S010496: Failed to Divert</t>
  </si>
  <si>
    <t>S010496: Tracking Error</t>
  </si>
  <si>
    <t>S010496: Gap Error</t>
  </si>
  <si>
    <t>S010496: No Destination Received</t>
  </si>
  <si>
    <t>S010498: Success</t>
  </si>
  <si>
    <t>S010498: Lane Full</t>
  </si>
  <si>
    <t>S010498: Lane Non-Operational</t>
  </si>
  <si>
    <t>S010498: Throughput Limit</t>
  </si>
  <si>
    <t>S010498: Failed to Divert</t>
  </si>
  <si>
    <t>S010498: Tracking Error</t>
  </si>
  <si>
    <t>S010498: Gap Error</t>
  </si>
  <si>
    <t>S010498: No Destination Received</t>
  </si>
  <si>
    <t>S010499: Success</t>
  </si>
  <si>
    <t>S010499: Lane Full</t>
  </si>
  <si>
    <t>S010499: Lane Non-Operational</t>
  </si>
  <si>
    <t>S010499: Throughput Limit</t>
  </si>
  <si>
    <t>S010499: Failed to Divert</t>
  </si>
  <si>
    <t>S010499: Tracking Error</t>
  </si>
  <si>
    <t>S010499: Gap Error</t>
  </si>
  <si>
    <t>S010499: No Destination Received</t>
  </si>
  <si>
    <t>S010500: Success</t>
  </si>
  <si>
    <t>S010500: Lane Full</t>
  </si>
  <si>
    <t>S010500: Lane Non-Operational</t>
  </si>
  <si>
    <t>S010500: Throughput Limit</t>
  </si>
  <si>
    <t>S010500: Failed to Divert</t>
  </si>
  <si>
    <t>S010500: Tracking Error</t>
  </si>
  <si>
    <t>S010500: Gap Error</t>
  </si>
  <si>
    <t>S010500: No Destination Received</t>
  </si>
  <si>
    <t>S010748: Lane Full</t>
  </si>
  <si>
    <t>S010748: Lane Non-Operational</t>
  </si>
  <si>
    <t>S010748: Throughput Limit</t>
  </si>
  <si>
    <t>S010748: Failed to Divert</t>
  </si>
  <si>
    <t>S010748: Tracking Error</t>
  </si>
  <si>
    <t>S010748: Gap Error</t>
  </si>
  <si>
    <t>S010748: No Destination Received</t>
  </si>
  <si>
    <t>S010760: Success</t>
  </si>
  <si>
    <t>S010760: Lane Full</t>
  </si>
  <si>
    <t>S010760: Lane Non-Operational</t>
  </si>
  <si>
    <t>S010760: Throughput Limit</t>
  </si>
  <si>
    <t>S010760: Failed to Divert</t>
  </si>
  <si>
    <t>S010760: Tracking Error</t>
  </si>
  <si>
    <t>S010760: Gap Error</t>
  </si>
  <si>
    <t>S010760: No Destination Received</t>
  </si>
  <si>
    <t>S010763: Lane Full</t>
  </si>
  <si>
    <t>S010763: Lane Non-Operational</t>
  </si>
  <si>
    <t>S010763: Throughput Limit</t>
  </si>
  <si>
    <t>S010763: Failed to Divert</t>
  </si>
  <si>
    <t>S010763: Tracking Error</t>
  </si>
  <si>
    <t>S010763: Gap Error</t>
  </si>
  <si>
    <t>S010763: No Destination Received</t>
  </si>
  <si>
    <t>S010781: Lane Full</t>
  </si>
  <si>
    <t>S010781: Lane Non-Operational</t>
  </si>
  <si>
    <t>S010781: Throughput Limit</t>
  </si>
  <si>
    <t>S010781: Failed to Divert</t>
  </si>
  <si>
    <t>S010781: Tracking Error</t>
  </si>
  <si>
    <t>S010781: Gap Error</t>
  </si>
  <si>
    <t>S010781: No Destination Received</t>
  </si>
  <si>
    <t>S010790: Success</t>
  </si>
  <si>
    <t>S010790: Lane Full</t>
  </si>
  <si>
    <t>S010790: Lane Non-Operational</t>
  </si>
  <si>
    <t>S010790: Throughput Limit</t>
  </si>
  <si>
    <t>S010790: Failed to Divert</t>
  </si>
  <si>
    <t>S010790: Tracking Error</t>
  </si>
  <si>
    <t>S010790: Gap Error</t>
  </si>
  <si>
    <t>S010790: No Destination Received</t>
  </si>
  <si>
    <t>S010793: Lane Full</t>
  </si>
  <si>
    <t>S010793: Lane Non-Operational</t>
  </si>
  <si>
    <t>S010793: Throughput Limit</t>
  </si>
  <si>
    <t>S010793: Failed to Divert</t>
  </si>
  <si>
    <t>S010793: Tracking Error</t>
  </si>
  <si>
    <t>S010793: Gap Error</t>
  </si>
  <si>
    <t>S010793: No Destination Received</t>
  </si>
  <si>
    <t>S010814: Lane Full</t>
  </si>
  <si>
    <t>S010814: Lane Non-Operational</t>
  </si>
  <si>
    <t>S010814: Throughput Limit</t>
  </si>
  <si>
    <t>S010814: Failed to Divert</t>
  </si>
  <si>
    <t>S010814: Tracking Error</t>
  </si>
  <si>
    <t>S010814: Gap Error</t>
  </si>
  <si>
    <t>S010814: No Destination Received</t>
  </si>
  <si>
    <t>S010820: Lane Full</t>
  </si>
  <si>
    <t>S010820: Lane Non-Operational</t>
  </si>
  <si>
    <t>S010820: Throughput Limit</t>
  </si>
  <si>
    <t>S010820: Failed to Divert</t>
  </si>
  <si>
    <t>S010820: Tracking Error</t>
  </si>
  <si>
    <t>S010820: Gap Error</t>
  </si>
  <si>
    <t>S010820: No Destination Received</t>
  </si>
  <si>
    <t>S010826: Success</t>
  </si>
  <si>
    <t>S010826: Lane Full</t>
  </si>
  <si>
    <t>S010826: Lane Non-Operational</t>
  </si>
  <si>
    <t>S010826: Throughput Limit</t>
  </si>
  <si>
    <t>S010826: Failed to Divert</t>
  </si>
  <si>
    <t>S010826: Tracking Error</t>
  </si>
  <si>
    <t>S010826: Gap Error</t>
  </si>
  <si>
    <t>S010826: No Destination Received</t>
  </si>
  <si>
    <t>S010829: Success</t>
  </si>
  <si>
    <t>S010829: Lane Full</t>
  </si>
  <si>
    <t>S010829: Lane Non-Operational</t>
  </si>
  <si>
    <t>S010829: Throughput Limit</t>
  </si>
  <si>
    <t>S010829: Failed to Divert</t>
  </si>
  <si>
    <t>S010829: Tracking Error</t>
  </si>
  <si>
    <t>S010829: Gap Error</t>
  </si>
  <si>
    <t>S010829: No Destination Received</t>
  </si>
  <si>
    <t>S010841: Success</t>
  </si>
  <si>
    <t>S010841: Lane Full</t>
  </si>
  <si>
    <t>S010841: Lane Non-Operational</t>
  </si>
  <si>
    <t>S010841: Throughput Limit</t>
  </si>
  <si>
    <t>S010841: Failed to Divert</t>
  </si>
  <si>
    <t>S010841: Tracking Error</t>
  </si>
  <si>
    <t>S010841: Gap Error</t>
  </si>
  <si>
    <t>S010841: No Destination Received</t>
  </si>
  <si>
    <t>S010844: Success</t>
  </si>
  <si>
    <t>S010844: Lane Full</t>
  </si>
  <si>
    <t>S010844: Lane Non-Operational</t>
  </si>
  <si>
    <t>S010844: Throughput Limit</t>
  </si>
  <si>
    <t>S010844: Failed to Divert</t>
  </si>
  <si>
    <t>S010844: Tracking Error</t>
  </si>
  <si>
    <t>S010844: Gap Error</t>
  </si>
  <si>
    <t>S010844: No Destination Received</t>
  </si>
  <si>
    <t>S010847: Success</t>
  </si>
  <si>
    <t>S010847: Lane Full</t>
  </si>
  <si>
    <t>S010847: Lane Non-Operational</t>
  </si>
  <si>
    <t>S010847: Throughput Limit</t>
  </si>
  <si>
    <t>S010847: Failed to Divert</t>
  </si>
  <si>
    <t>S010847: Tracking Error</t>
  </si>
  <si>
    <t>S010847: Gap Error</t>
  </si>
  <si>
    <t>S010847: No Destination Received</t>
  </si>
  <si>
    <t>S010850: Success</t>
  </si>
  <si>
    <t>S010850: Lane Full</t>
  </si>
  <si>
    <t>S010850: Lane Non-Operational</t>
  </si>
  <si>
    <t>S010850: Throughput Limit</t>
  </si>
  <si>
    <t>S010850: Failed to Divert</t>
  </si>
  <si>
    <t>S010850: Tracking Error</t>
  </si>
  <si>
    <t>S010850: Gap Error</t>
  </si>
  <si>
    <t>S010850: No Destination Received</t>
  </si>
  <si>
    <t>S010856: Lane Full</t>
  </si>
  <si>
    <t>S010856: Lane Non-Operational</t>
  </si>
  <si>
    <t>S010856: Throughput Limit</t>
  </si>
  <si>
    <t>S010856: Failed to Divert</t>
  </si>
  <si>
    <t>S010856: Tracking Error</t>
  </si>
  <si>
    <t>S010856: Gap Error</t>
  </si>
  <si>
    <t>S010856: No Destination Received</t>
  </si>
  <si>
    <t>S010865: Success</t>
  </si>
  <si>
    <t>S010865: Lane Full</t>
  </si>
  <si>
    <t>S010865: Lane Non-Operational</t>
  </si>
  <si>
    <t>S010865: Throughput Limit</t>
  </si>
  <si>
    <t>S010865: Failed to Divert</t>
  </si>
  <si>
    <t>S010865: Tracking Error</t>
  </si>
  <si>
    <t>S010865: Gap Error</t>
  </si>
  <si>
    <t>S010865: No Destination Received</t>
  </si>
  <si>
    <t>S010868: Success</t>
  </si>
  <si>
    <t>S010868: Lane Full</t>
  </si>
  <si>
    <t>S010868: Lane Non-Operational</t>
  </si>
  <si>
    <t>S010868: Throughput Limit</t>
  </si>
  <si>
    <t>S010868: Failed to Divert</t>
  </si>
  <si>
    <t>S010868: Tracking Error</t>
  </si>
  <si>
    <t>S010868: Gap Error</t>
  </si>
  <si>
    <t>S010868: No Destination Received</t>
  </si>
  <si>
    <t>S010922: Success</t>
  </si>
  <si>
    <t>S010922: Lane Full</t>
  </si>
  <si>
    <t>S010922: Lane Non-Operational</t>
  </si>
  <si>
    <t>S010922: Throughput Limit</t>
  </si>
  <si>
    <t>S010922: Failed to Divert</t>
  </si>
  <si>
    <t>S010922: Tracking Error</t>
  </si>
  <si>
    <t>S010922: Gap Error</t>
  </si>
  <si>
    <t>S010922: No Destination Received</t>
  </si>
  <si>
    <t>S010925: Success</t>
  </si>
  <si>
    <t>S010925: Lane Full</t>
  </si>
  <si>
    <t>S010925: Lane Non-Operational</t>
  </si>
  <si>
    <t>S010925: Throughput Limit</t>
  </si>
  <si>
    <t>S010925: Failed to Divert</t>
  </si>
  <si>
    <t>S010925: Tracking Error</t>
  </si>
  <si>
    <t>S010925: Gap Error</t>
  </si>
  <si>
    <t>S010925: No Destination Received</t>
  </si>
  <si>
    <t>S010934: Success</t>
  </si>
  <si>
    <t>S010934: Lane Full</t>
  </si>
  <si>
    <t>S010934: Lane Non-Operational</t>
  </si>
  <si>
    <t>S010934: Throughput Limit</t>
  </si>
  <si>
    <t>S010934: Failed to Divert</t>
  </si>
  <si>
    <t>S010934: Tracking Error</t>
  </si>
  <si>
    <t>S010934: Gap Error</t>
  </si>
  <si>
    <t>S010934: No Destination Received</t>
  </si>
  <si>
    <t>S010943: Success</t>
  </si>
  <si>
    <t>S010943: Lane Full</t>
  </si>
  <si>
    <t>S010943: Lane Non-Operational</t>
  </si>
  <si>
    <t>S010943: Throughput Limit</t>
  </si>
  <si>
    <t>S010943: Failed to Divert</t>
  </si>
  <si>
    <t>S010943: Tracking Error</t>
  </si>
  <si>
    <t>S010943: Gap Error</t>
  </si>
  <si>
    <t>S010943: No Destination Received</t>
  </si>
  <si>
    <t>S010949: Success</t>
  </si>
  <si>
    <t>S010949: Lane Full</t>
  </si>
  <si>
    <t>S010949: Lane Non-Operational</t>
  </si>
  <si>
    <t>S010949: Throughput Limit</t>
  </si>
  <si>
    <t>S010949: Failed to Divert</t>
  </si>
  <si>
    <t>S010949: Tracking Error</t>
  </si>
  <si>
    <t>S010949: Gap Error</t>
  </si>
  <si>
    <t>S010949: No Destination Received</t>
  </si>
  <si>
    <t>S010952: Success</t>
  </si>
  <si>
    <t>S010952: Lane Full</t>
  </si>
  <si>
    <t>S010952: Lane Non-Operational</t>
  </si>
  <si>
    <t>S010952: Throughput Limit</t>
  </si>
  <si>
    <t>S010952: Failed to Divert</t>
  </si>
  <si>
    <t>S010952: Tracking Error</t>
  </si>
  <si>
    <t>S010952: Gap Error</t>
  </si>
  <si>
    <t>S010952: No Destination Received</t>
  </si>
  <si>
    <t>S010955: Success</t>
  </si>
  <si>
    <t>S010955: Lane Full</t>
  </si>
  <si>
    <t>S010955: Lane Non-Operational</t>
  </si>
  <si>
    <t>S010955: Throughput Limit</t>
  </si>
  <si>
    <t>S010955: Failed to Divert</t>
  </si>
  <si>
    <t>S010955: Tracking Error</t>
  </si>
  <si>
    <t>S010955: Gap Error</t>
  </si>
  <si>
    <t>S010955: No Destination Received</t>
  </si>
  <si>
    <t>S010958: Success</t>
  </si>
  <si>
    <t>S010958: Lane Full</t>
  </si>
  <si>
    <t>S010958: Lane Non-Operational</t>
  </si>
  <si>
    <t>S010958: Throughput Limit</t>
  </si>
  <si>
    <t>S010958: Failed to Divert</t>
  </si>
  <si>
    <t>S010958: Tracking Error</t>
  </si>
  <si>
    <t>S010958: Gap Error</t>
  </si>
  <si>
    <t>S010958: No Destination Received</t>
  </si>
  <si>
    <t>S010961: Success</t>
  </si>
  <si>
    <t>S010961: Lane Full</t>
  </si>
  <si>
    <t>S010961: Lane Non-Operational</t>
  </si>
  <si>
    <t>S010961: Throughput Limit</t>
  </si>
  <si>
    <t>S010961: Failed to Divert</t>
  </si>
  <si>
    <t>S010961: Tracking Error</t>
  </si>
  <si>
    <t>S010961: Gap Error</t>
  </si>
  <si>
    <t>S010961: No Destination Received</t>
  </si>
  <si>
    <t>S010964: Success</t>
  </si>
  <si>
    <t>S010964: Lane Full</t>
  </si>
  <si>
    <t>S010964: Lane Non-Operational</t>
  </si>
  <si>
    <t>S010964: Throughput Limit</t>
  </si>
  <si>
    <t>S010964: Failed to Divert</t>
  </si>
  <si>
    <t>S010964: Tracking Error</t>
  </si>
  <si>
    <t>S010964: Gap Error</t>
  </si>
  <si>
    <t>S010964: No Destination Received</t>
  </si>
  <si>
    <t>S010967: Success</t>
  </si>
  <si>
    <t>S010967: Lane Full</t>
  </si>
  <si>
    <t>S010967: Lane Non-Operational</t>
  </si>
  <si>
    <t>S010967: Throughput Limit</t>
  </si>
  <si>
    <t>S010967: Failed to Divert</t>
  </si>
  <si>
    <t>S010967: Tracking Error</t>
  </si>
  <si>
    <t>S010967: Gap Error</t>
  </si>
  <si>
    <t>S010967: No Destination Received</t>
  </si>
  <si>
    <t>S010970: Success</t>
  </si>
  <si>
    <t>S010970: Lane Full</t>
  </si>
  <si>
    <t>S010970: Lane Non-Operational</t>
  </si>
  <si>
    <t>S010970: Throughput Limit</t>
  </si>
  <si>
    <t>S010970: Failed to Divert</t>
  </si>
  <si>
    <t>S010970: Tracking Error</t>
  </si>
  <si>
    <t>S010970: Gap Error</t>
  </si>
  <si>
    <t>S010970: No Destination Received</t>
  </si>
  <si>
    <t>S010973: Success</t>
  </si>
  <si>
    <t>S010973: Lane Full</t>
  </si>
  <si>
    <t>S010973: Lane Non-Operational</t>
  </si>
  <si>
    <t>S010973: Throughput Limit</t>
  </si>
  <si>
    <t>S010973: Failed to Divert</t>
  </si>
  <si>
    <t>S010973: Tracking Error</t>
  </si>
  <si>
    <t>S010973: Gap Error</t>
  </si>
  <si>
    <t>S010973: No Destination Received</t>
  </si>
  <si>
    <t>S010976: Success</t>
  </si>
  <si>
    <t>S010976: Lane Full</t>
  </si>
  <si>
    <t>S010976: Lane Non-Operational</t>
  </si>
  <si>
    <t>S010976: Throughput Limit</t>
  </si>
  <si>
    <t>S010976: Failed to Divert</t>
  </si>
  <si>
    <t>S010976: Tracking Error</t>
  </si>
  <si>
    <t>S010976: Gap Error</t>
  </si>
  <si>
    <t>S010976: No Destination Received</t>
  </si>
  <si>
    <t>S010982: Success</t>
  </si>
  <si>
    <t>S010982: Lane Full</t>
  </si>
  <si>
    <t>S010982: Lane Non-Operational</t>
  </si>
  <si>
    <t>S010982: Throughput Limit</t>
  </si>
  <si>
    <t>S010982: Failed to Divert</t>
  </si>
  <si>
    <t>S010982: Tracking Error</t>
  </si>
  <si>
    <t>S010982: Gap Error</t>
  </si>
  <si>
    <t>S010982: No Destination Received</t>
  </si>
  <si>
    <t>S010985: Success</t>
  </si>
  <si>
    <t>S010985: Lane Full</t>
  </si>
  <si>
    <t>S010985: Lane Non-Operational</t>
  </si>
  <si>
    <t>S010985: Throughput Limit</t>
  </si>
  <si>
    <t>S010985: Failed to Divert</t>
  </si>
  <si>
    <t>S010985: Tracking Error</t>
  </si>
  <si>
    <t>S010985: Gap Error</t>
  </si>
  <si>
    <t>S010985: No Destination Received</t>
  </si>
  <si>
    <t>S010988: Success</t>
  </si>
  <si>
    <t>S010988: Lane Full</t>
  </si>
  <si>
    <t>S010988: Lane Non-Operational</t>
  </si>
  <si>
    <t>S010988: Throughput Limit</t>
  </si>
  <si>
    <t>S010988: Failed to Divert</t>
  </si>
  <si>
    <t>S010988: Tracking Error</t>
  </si>
  <si>
    <t>S010988: Gap Error</t>
  </si>
  <si>
    <t>S010988: No Destination Received</t>
  </si>
  <si>
    <t>S010991: Success</t>
  </si>
  <si>
    <t>S010991: Lane Full</t>
  </si>
  <si>
    <t>S010991: Lane Non-Operational</t>
  </si>
  <si>
    <t>S010991: Throughput Limit</t>
  </si>
  <si>
    <t>S010991: Failed to Divert</t>
  </si>
  <si>
    <t>S010991: Tracking Error</t>
  </si>
  <si>
    <t>S010991: Gap Error</t>
  </si>
  <si>
    <t>S010991: No Destination Received</t>
  </si>
  <si>
    <t>S010994: Success</t>
  </si>
  <si>
    <t>S010994: Lane Full</t>
  </si>
  <si>
    <t>S010994: Lane Non-Operational</t>
  </si>
  <si>
    <t>S010994: Throughput Limit</t>
  </si>
  <si>
    <t>S010994: Failed to Divert</t>
  </si>
  <si>
    <t>S010994: Tracking Error</t>
  </si>
  <si>
    <t>S010994: Gap Error</t>
  </si>
  <si>
    <t>S010994: No Destination Received</t>
  </si>
  <si>
    <t>S011000: Success</t>
  </si>
  <si>
    <t>S011000: Lane Full</t>
  </si>
  <si>
    <t>S011000: Lane Non-Operational</t>
  </si>
  <si>
    <t>S011000: Throughput Limit</t>
  </si>
  <si>
    <t>S011000: Failed to Divert</t>
  </si>
  <si>
    <t>S011000: Tracking Error</t>
  </si>
  <si>
    <t>S011000: Gap Error</t>
  </si>
  <si>
    <t>S011000: No Destination Received</t>
  </si>
  <si>
    <t>S011006: Lane Full</t>
  </si>
  <si>
    <t>S011006: Lane Non-Operational</t>
  </si>
  <si>
    <t>S011006: Throughput Limit</t>
  </si>
  <si>
    <t>S011006: Failed to Divert</t>
  </si>
  <si>
    <t>S011006: Tracking Error</t>
  </si>
  <si>
    <t>S011006: Gap Error</t>
  </si>
  <si>
    <t>S011006: No Destination Received</t>
  </si>
  <si>
    <t>S011018: Lane Full</t>
  </si>
  <si>
    <t>S011018: Lane Non-Operational</t>
  </si>
  <si>
    <t>S011018: Throughput Limit</t>
  </si>
  <si>
    <t>S011018: Failed to Divert</t>
  </si>
  <si>
    <t>S011018: Tracking Error</t>
  </si>
  <si>
    <t>S011018: Gap Error</t>
  </si>
  <si>
    <t>S011018: No Destination Received</t>
  </si>
  <si>
    <t>S011024: Lane Full</t>
  </si>
  <si>
    <t>S011024: Lane Non-Operational</t>
  </si>
  <si>
    <t>S011024: Throughput Limit</t>
  </si>
  <si>
    <t>S011024: Failed to Divert</t>
  </si>
  <si>
    <t>S011024: Tracking Error</t>
  </si>
  <si>
    <t>S011024: Gap Error</t>
  </si>
  <si>
    <t>S011024: No Destination Received</t>
  </si>
  <si>
    <t>S011030: Lane Full</t>
  </si>
  <si>
    <t>S011030: Lane Non-Operational</t>
  </si>
  <si>
    <t>S011030: Throughput Limit</t>
  </si>
  <si>
    <t>S011030: Failed to Divert</t>
  </si>
  <si>
    <t>S011030: Tracking Error</t>
  </si>
  <si>
    <t>S011030: Gap Error</t>
  </si>
  <si>
    <t>S011030: No Destination Received</t>
  </si>
  <si>
    <t>S011033: Lane Full</t>
  </si>
  <si>
    <t>S011033: Lane Non-Operational</t>
  </si>
  <si>
    <t>S011033: Throughput Limit</t>
  </si>
  <si>
    <t>S011033: Failed to Divert</t>
  </si>
  <si>
    <t>S011033: Tracking Error</t>
  </si>
  <si>
    <t>S011033: Gap Error</t>
  </si>
  <si>
    <t>S011033: No Destination Received</t>
  </si>
  <si>
    <t>S011036: Lane Full</t>
  </si>
  <si>
    <t>S011036: Lane Non-Operational</t>
  </si>
  <si>
    <t>S011036: Throughput Limit</t>
  </si>
  <si>
    <t>S011036: Failed to Divert</t>
  </si>
  <si>
    <t>S011036: Tracking Error</t>
  </si>
  <si>
    <t>S011036: Gap Error</t>
  </si>
  <si>
    <t>S011036: No Destination Received</t>
  </si>
  <si>
    <t>S011039: Lane Full</t>
  </si>
  <si>
    <t>S011039: Lane Non-Operational</t>
  </si>
  <si>
    <t>S011039: Throughput Limit</t>
  </si>
  <si>
    <t>S011039: Failed to Divert</t>
  </si>
  <si>
    <t>S011039: Tracking Error</t>
  </si>
  <si>
    <t>S011039: Gap Error</t>
  </si>
  <si>
    <t>S011039: No Destination Received</t>
  </si>
  <si>
    <t>S011042: Lane Full</t>
  </si>
  <si>
    <t>S011042: Lane Non-Operational</t>
  </si>
  <si>
    <t>S011042: Throughput Limit</t>
  </si>
  <si>
    <t>S011042: Failed to Divert</t>
  </si>
  <si>
    <t>S011042: Tracking Error</t>
  </si>
  <si>
    <t>S011042: Gap Error</t>
  </si>
  <si>
    <t>S011042: No Destination Received</t>
  </si>
  <si>
    <t>S011048: Lane Full</t>
  </si>
  <si>
    <t>S011048: Lane Non-Operational</t>
  </si>
  <si>
    <t>S011048: Throughput Limit</t>
  </si>
  <si>
    <t>S011048: Failed to Divert</t>
  </si>
  <si>
    <t>S011048: Tracking Error</t>
  </si>
  <si>
    <t>S011048: Gap Error</t>
  </si>
  <si>
    <t>S011048: No Destination Received</t>
  </si>
  <si>
    <t>S011051: Lane Full</t>
  </si>
  <si>
    <t>S011051: Lane Non-Operational</t>
  </si>
  <si>
    <t>S011051: Throughput Limit</t>
  </si>
  <si>
    <t>S011051: Failed to Divert</t>
  </si>
  <si>
    <t>S011051: Tracking Error</t>
  </si>
  <si>
    <t>S011051: Gap Error</t>
  </si>
  <si>
    <t>S011051: No Destination Received</t>
  </si>
  <si>
    <t>S011054: Lane Full</t>
  </si>
  <si>
    <t>S011054: Lane Non-Operational</t>
  </si>
  <si>
    <t>S011054: Throughput Limit</t>
  </si>
  <si>
    <t>S011054: Failed to Divert</t>
  </si>
  <si>
    <t>S011054: Tracking Error</t>
  </si>
  <si>
    <t>S011054: Gap Error</t>
  </si>
  <si>
    <t>S011054: No Destination Received</t>
  </si>
  <si>
    <t>S011057: Lane Full</t>
  </si>
  <si>
    <t>S011057: Lane Non-Operational</t>
  </si>
  <si>
    <t>S011057: Throughput Limit</t>
  </si>
  <si>
    <t>S011057: Failed to Divert</t>
  </si>
  <si>
    <t>S011057: Tracking Error</t>
  </si>
  <si>
    <t>S011057: Gap Error</t>
  </si>
  <si>
    <t>S011057: No Destination Received</t>
  </si>
  <si>
    <t>S011060: Lane Full</t>
  </si>
  <si>
    <t>S011060: Lane Non-Operational</t>
  </si>
  <si>
    <t>S011060: Throughput Limit</t>
  </si>
  <si>
    <t>S011060: Failed to Divert</t>
  </si>
  <si>
    <t>S011060: Tracking Error</t>
  </si>
  <si>
    <t>S011060: Gap Error</t>
  </si>
  <si>
    <t>S011060: No Destination Received</t>
  </si>
  <si>
    <t>S011063: Lane Full</t>
  </si>
  <si>
    <t>S011063: Lane Non-Operational</t>
  </si>
  <si>
    <t>S011063: Throughput Limit</t>
  </si>
  <si>
    <t>S011063: Failed to Divert</t>
  </si>
  <si>
    <t>S011063: Tracking Error</t>
  </si>
  <si>
    <t>S011063: Gap Error</t>
  </si>
  <si>
    <t>S011063: No Destination Received</t>
  </si>
  <si>
    <t>S011066: Lane Full</t>
  </si>
  <si>
    <t>S011066: Lane Non-Operational</t>
  </si>
  <si>
    <t>S011066: Throughput Limit</t>
  </si>
  <si>
    <t>S011066: Failed to Divert</t>
  </si>
  <si>
    <t>S011066: Tracking Error</t>
  </si>
  <si>
    <t>S011066: Gap Error</t>
  </si>
  <si>
    <t>S011066: No Destination Received</t>
  </si>
  <si>
    <t>S011069: Lane Full</t>
  </si>
  <si>
    <t>S011069: Lane Non-Operational</t>
  </si>
  <si>
    <t>S011069: Throughput Limit</t>
  </si>
  <si>
    <t>S011069: Failed to Divert</t>
  </si>
  <si>
    <t>S011069: Tracking Error</t>
  </si>
  <si>
    <t>S011069: Gap Error</t>
  </si>
  <si>
    <t>S011069: No Destination Received</t>
  </si>
  <si>
    <t>S011102: Lane Full</t>
  </si>
  <si>
    <t>S011102: Lane Non-Operational</t>
  </si>
  <si>
    <t>S011102: Throughput Limit</t>
  </si>
  <si>
    <t>S011102: Failed to Divert</t>
  </si>
  <si>
    <t>S011102: Tracking Error</t>
  </si>
  <si>
    <t>S011102: Gap Error</t>
  </si>
  <si>
    <t>S011102: No Destination Received</t>
  </si>
  <si>
    <t>S010137: Success</t>
  </si>
  <si>
    <t>S010137: Lane Full</t>
  </si>
  <si>
    <t>S010137: Lane Non-Operational</t>
  </si>
  <si>
    <t>S010137: Throughput Limit</t>
  </si>
  <si>
    <t>S010137: Failed to Divert</t>
  </si>
  <si>
    <t>S010137: Tracking Error</t>
  </si>
  <si>
    <t>S010137: Gap Error</t>
  </si>
  <si>
    <t>S010137: No Destination Received</t>
  </si>
  <si>
    <t>S010269: Success</t>
  </si>
  <si>
    <t>S010269: Lane Full</t>
  </si>
  <si>
    <t>S010269: Lane Non-Operational</t>
  </si>
  <si>
    <t>S010269: Throughput Limit</t>
  </si>
  <si>
    <t>S010269: Failed to Divert</t>
  </si>
  <si>
    <t>S010269: Tracking Error</t>
  </si>
  <si>
    <t>S010269: Gap Error</t>
  </si>
  <si>
    <t>S010269: No Destination Received</t>
  </si>
  <si>
    <t>S010271: Success</t>
  </si>
  <si>
    <t>S010271: Lane Full</t>
  </si>
  <si>
    <t>S010271: Lane Non-Operational</t>
  </si>
  <si>
    <t>S010271: Throughput Limit</t>
  </si>
  <si>
    <t>S010271: Failed to Divert</t>
  </si>
  <si>
    <t>S010271: Tracking Error</t>
  </si>
  <si>
    <t>S010271: Gap Error</t>
  </si>
  <si>
    <t>S010271: No Destination Received</t>
  </si>
  <si>
    <t>S010273: Success</t>
  </si>
  <si>
    <t>S010273: Lane Full</t>
  </si>
  <si>
    <t>S010273: Lane Non-Operational</t>
  </si>
  <si>
    <t>S010273: Throughput Limit</t>
  </si>
  <si>
    <t>S010273: Failed to Divert</t>
  </si>
  <si>
    <t>S010273: Tracking Error</t>
  </si>
  <si>
    <t>S010273: Gap Error</t>
  </si>
  <si>
    <t>S010273: No Destination Received</t>
  </si>
  <si>
    <t>S010275: Success</t>
  </si>
  <si>
    <t>S010275: Lane Full</t>
  </si>
  <si>
    <t>S010275: Lane Non-Operational</t>
  </si>
  <si>
    <t>S010275: Throughput Limit</t>
  </si>
  <si>
    <t>S010275: Failed to Divert</t>
  </si>
  <si>
    <t>S010275: Tracking Error</t>
  </si>
  <si>
    <t>S010275: Gap Error</t>
  </si>
  <si>
    <t>S010275: No Destination Received</t>
  </si>
  <si>
    <t>S010279: Success</t>
  </si>
  <si>
    <t>S010279: Lane Full</t>
  </si>
  <si>
    <t>S010279: Lane Non-Operational</t>
  </si>
  <si>
    <t>S010279: Throughput Limit</t>
  </si>
  <si>
    <t>S010279: Failed to Divert</t>
  </si>
  <si>
    <t>S010279: Tracking Error</t>
  </si>
  <si>
    <t>S010279: Gap Error</t>
  </si>
  <si>
    <t>S010279: No Destination Received</t>
  </si>
  <si>
    <t>S010554: Success</t>
  </si>
  <si>
    <t>S010554: Lane Full</t>
  </si>
  <si>
    <t>S010554: Lane Non-Operational</t>
  </si>
  <si>
    <t>S010554: Throughput Limit</t>
  </si>
  <si>
    <t>S010554: Failed to Divert</t>
  </si>
  <si>
    <t>S010554: Tracking Error</t>
  </si>
  <si>
    <t>S010554: Gap Error</t>
  </si>
  <si>
    <t>S010554: No Destination Received</t>
  </si>
  <si>
    <t>S010556: Success</t>
  </si>
  <si>
    <t>S010556: Lane Full</t>
  </si>
  <si>
    <t>S010556: Lane Non-Operational</t>
  </si>
  <si>
    <t>S010556: Throughput Limit</t>
  </si>
  <si>
    <t>S010556: Failed to Divert</t>
  </si>
  <si>
    <t>S010556: Tracking Error</t>
  </si>
  <si>
    <t>S010556: Gap Error</t>
  </si>
  <si>
    <t>S010556: No Destination Received</t>
  </si>
  <si>
    <t>S010558: Success</t>
  </si>
  <si>
    <t>S010558: Lane Full</t>
  </si>
  <si>
    <t>S010558: Lane Non-Operational</t>
  </si>
  <si>
    <t>S010558: Throughput Limit</t>
  </si>
  <si>
    <t>S010558: Failed to Divert</t>
  </si>
  <si>
    <t>S010558: Tracking Error</t>
  </si>
  <si>
    <t>S010558: Gap Error</t>
  </si>
  <si>
    <t>S010558: No Destination Received</t>
  </si>
  <si>
    <t>S011045: Lane Full</t>
  </si>
  <si>
    <t>S011045: Lane Non-Operational</t>
  </si>
  <si>
    <t>S011045: Throughput Limit</t>
  </si>
  <si>
    <t>S011045: Failed to Divert</t>
  </si>
  <si>
    <t>S011045: Tracking Error</t>
  </si>
  <si>
    <t>S011045: Gap Error</t>
  </si>
  <si>
    <t>S011045: No Destination Received</t>
  </si>
  <si>
    <t>3/18/21 10:00 AM to 3/18/21 4:00 PM</t>
  </si>
  <si>
    <t>BOI2 | Intraday 2021/03/18 18:00 - 2021/03/19 00:00</t>
  </si>
  <si>
    <t>Atkinson,Matt</t>
  </si>
  <si>
    <t>Gutierrez Agraz,Elizabeth</t>
  </si>
  <si>
    <t>Allen,Joe Paul</t>
  </si>
  <si>
    <t>Hamblin,Taylor</t>
  </si>
  <si>
    <t>Tarpley,Brian</t>
  </si>
  <si>
    <t>Rangel,Kiara</t>
  </si>
  <si>
    <t>Davis,Clayton</t>
  </si>
  <si>
    <t>Lira,daisy</t>
  </si>
  <si>
    <t>Miller,Sierra</t>
  </si>
  <si>
    <t>Hinson,Shana</t>
  </si>
  <si>
    <t>Feigley,Tamara Michelle</t>
  </si>
  <si>
    <t>Singleton,Casey</t>
  </si>
  <si>
    <t>McGilvery,Hannah</t>
  </si>
  <si>
    <t>Rockwell,Troy C</t>
  </si>
  <si>
    <t>Rogers,Stan</t>
  </si>
  <si>
    <t>Rash,Dejana</t>
  </si>
  <si>
    <t>Dunfee,Bri Lynn</t>
  </si>
  <si>
    <t>Heiner,Matthew</t>
  </si>
  <si>
    <t>lancaster,savannah kay</t>
  </si>
  <si>
    <t>Haney,Krystal</t>
  </si>
  <si>
    <t>Johnson,Willie</t>
  </si>
  <si>
    <t>Castro,Ricela</t>
  </si>
  <si>
    <t>Ventura,Bobby</t>
  </si>
  <si>
    <t>Bedortha,Alex Micheal</t>
  </si>
  <si>
    <t>Flores,CRUZ</t>
  </si>
  <si>
    <t>Cornejo,Arturo</t>
  </si>
  <si>
    <t>Andersen,Carolina</t>
  </si>
  <si>
    <t>Johnson,Bryer</t>
  </si>
  <si>
    <t>Avila Villacenor,Jose</t>
  </si>
  <si>
    <t>Edwardson,Jonathan</t>
  </si>
  <si>
    <t>Baumann,Charlie Jason</t>
  </si>
  <si>
    <t>Lewis,Andy</t>
  </si>
  <si>
    <t>Gonzalez,Mauricio</t>
  </si>
  <si>
    <t>Jefferds,Shawn</t>
  </si>
  <si>
    <t>Ward,Terry</t>
  </si>
  <si>
    <t>Harding,Rebekah</t>
  </si>
  <si>
    <t>Barnard III,Robert</t>
  </si>
  <si>
    <t>Haro,Alexander</t>
  </si>
  <si>
    <t>Merrill,Emmagrace</t>
  </si>
  <si>
    <t>Langley,Jeremy</t>
  </si>
  <si>
    <t>Garza,Eric</t>
  </si>
  <si>
    <t>Kelley,Garrett</t>
  </si>
  <si>
    <t>Baker,Rachel Anne</t>
  </si>
  <si>
    <t>Naylor,Adrianna</t>
  </si>
  <si>
    <t>Jenkins,Jordan</t>
  </si>
  <si>
    <t>Guzman,Lorissa</t>
  </si>
  <si>
    <t>Angel,Amanda</t>
  </si>
  <si>
    <t>Austin,Angela Dee</t>
  </si>
  <si>
    <t>Chavez Pedraza,Audili</t>
  </si>
  <si>
    <t>Jowell,Sarah</t>
  </si>
  <si>
    <t>Clinton,Amy</t>
  </si>
  <si>
    <t>Shaw,Cheryl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</si>
</sst>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400]h:mm:ss\ AM/PM"/>
    <numFmt numFmtId="165" formatCode="h:mm;@"/>
    <numFmt numFmtId="166" formatCode="0.0"/>
    <numFmt numFmtId="167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/>
  </cellStyleXfs>
  <cellXfs count="124">
    <xf numFmtId="0" fontId="0" fillId="0" borderId="0" xfId="0"/>
    <xf numFmtId="1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0" fillId="2" borderId="0" xfId="0" applyFill="1"/>
    <xf numFmtId="0" fontId="3" fillId="0" borderId="0" xfId="0" applyFont="1" applyFill="1"/>
    <xf numFmtId="0" fontId="0" fillId="0" borderId="0" xfId="0" applyFill="1"/>
    <xf numFmtId="0" fontId="0" fillId="0" borderId="0" xfId="0" applyNumberFormat="1"/>
    <xf numFmtId="0" fontId="3" fillId="0" borderId="0" xfId="0" applyFont="1"/>
    <xf numFmtId="0" fontId="0" fillId="3" borderId="0" xfId="0" applyFill="1"/>
    <xf numFmtId="0" fontId="0" fillId="2" borderId="0" xfId="0" applyNumberForma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horizontal="righ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left" vertical="center"/>
    </xf>
    <xf numFmtId="0" fontId="3" fillId="0" borderId="0" xfId="0" applyFont="1" applyFill="1" applyAlignment="1">
      <alignment vertical="center"/>
    </xf>
    <xf numFmtId="19" fontId="3" fillId="0" borderId="0" xfId="0" applyNumberFormat="1" applyFont="1" applyAlignment="1">
      <alignment vertical="center"/>
    </xf>
    <xf numFmtId="164" fontId="3" fillId="0" borderId="0" xfId="0" applyNumberFormat="1" applyFont="1" applyAlignment="1">
      <alignment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167" fontId="0" fillId="0" borderId="0" xfId="1" applyNumberFormat="1" applyFont="1" applyAlignment="1">
      <alignment vertical="center"/>
    </xf>
    <xf numFmtId="0" fontId="0" fillId="0" borderId="0" xfId="0" applyFont="1" applyFill="1"/>
    <xf numFmtId="3" fontId="0" fillId="0" borderId="0" xfId="0" applyNumberFormat="1" applyFont="1" applyFill="1"/>
    <xf numFmtId="4" fontId="0" fillId="0" borderId="0" xfId="0" applyNumberFormat="1" applyFont="1" applyFill="1"/>
    <xf numFmtId="9" fontId="0" fillId="0" borderId="0" xfId="0" applyNumberFormat="1" applyFont="1" applyFill="1"/>
    <xf numFmtId="10" fontId="0" fillId="0" borderId="0" xfId="0" applyNumberFormat="1" applyFont="1" applyFill="1"/>
    <xf numFmtId="0" fontId="0" fillId="0" borderId="0" xfId="0" applyBorder="1" applyAlignment="1">
      <alignment vertical="center"/>
    </xf>
    <xf numFmtId="3" fontId="0" fillId="0" borderId="0" xfId="0" applyNumberFormat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0" borderId="26" xfId="0" applyBorder="1" applyAlignment="1">
      <alignment vertical="center"/>
    </xf>
    <xf numFmtId="1" fontId="0" fillId="0" borderId="0" xfId="0" applyNumberFormat="1" applyFont="1" applyFill="1"/>
    <xf numFmtId="0" fontId="6" fillId="0" borderId="0" xfId="2" applyNumberFormat="1"/>
    <xf numFmtId="10" fontId="0" fillId="4" borderId="0" xfId="0" applyNumberFormat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0" fillId="2" borderId="42" xfId="0" applyFill="1" applyBorder="1"/>
    <xf numFmtId="0" fontId="0" fillId="2" borderId="43" xfId="0" applyFill="1" applyBorder="1"/>
    <xf numFmtId="0" fontId="0" fillId="2" borderId="44" xfId="0" applyFill="1" applyBorder="1"/>
    <xf numFmtId="0" fontId="7" fillId="0" borderId="0" xfId="3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36" xfId="0" applyFont="1" applyFill="1" applyBorder="1" applyAlignment="1">
      <alignment horizontal="center"/>
    </xf>
    <xf numFmtId="0" fontId="0" fillId="0" borderId="37" xfId="0" applyFont="1" applyFill="1" applyBorder="1" applyAlignment="1">
      <alignment horizontal="center"/>
    </xf>
    <xf numFmtId="0" fontId="0" fillId="4" borderId="40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66" fontId="0" fillId="4" borderId="10" xfId="0" applyNumberFormat="1" applyFill="1" applyBorder="1" applyAlignment="1">
      <alignment horizontal="center" vertical="center"/>
    </xf>
    <xf numFmtId="166" fontId="0" fillId="4" borderId="11" xfId="0" applyNumberFormat="1" applyFill="1" applyBorder="1" applyAlignment="1">
      <alignment horizontal="center" vertical="center"/>
    </xf>
    <xf numFmtId="166" fontId="0" fillId="4" borderId="17" xfId="0" applyNumberFormat="1" applyFill="1" applyBorder="1" applyAlignment="1">
      <alignment horizontal="center" vertical="center"/>
    </xf>
    <xf numFmtId="166" fontId="0" fillId="4" borderId="18" xfId="0" applyNumberFormat="1" applyFill="1" applyBorder="1" applyAlignment="1">
      <alignment horizontal="center" vertical="center"/>
    </xf>
    <xf numFmtId="166" fontId="0" fillId="0" borderId="10" xfId="0" applyNumberFormat="1" applyFill="1" applyBorder="1" applyAlignment="1">
      <alignment horizontal="center" vertical="center"/>
    </xf>
    <xf numFmtId="166" fontId="0" fillId="0" borderId="11" xfId="0" applyNumberFormat="1" applyFill="1" applyBorder="1" applyAlignment="1">
      <alignment horizontal="center" vertical="center"/>
    </xf>
    <xf numFmtId="166" fontId="0" fillId="0" borderId="7" xfId="0" applyNumberFormat="1" applyFill="1" applyBorder="1" applyAlignment="1">
      <alignment horizontal="center" vertical="center"/>
    </xf>
    <xf numFmtId="166" fontId="0" fillId="0" borderId="8" xfId="0" applyNumberFormat="1" applyFill="1" applyBorder="1" applyAlignment="1">
      <alignment horizontal="center" vertical="center"/>
    </xf>
    <xf numFmtId="3" fontId="0" fillId="0" borderId="10" xfId="0" applyNumberForma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5" borderId="25" xfId="0" applyFont="1" applyFill="1" applyBorder="1" applyAlignment="1">
      <alignment horizontal="right" vertical="center"/>
    </xf>
    <xf numFmtId="0" fontId="4" fillId="5" borderId="26" xfId="0" applyFont="1" applyFill="1" applyBorder="1" applyAlignment="1">
      <alignment horizontal="right" vertical="center"/>
    </xf>
    <xf numFmtId="0" fontId="4" fillId="5" borderId="20" xfId="0" applyFont="1" applyFill="1" applyBorder="1" applyAlignment="1">
      <alignment horizontal="right" vertical="center"/>
    </xf>
    <xf numFmtId="0" fontId="4" fillId="5" borderId="21" xfId="0" applyFont="1" applyFill="1" applyBorder="1" applyAlignment="1">
      <alignment horizontal="right" vertical="center"/>
    </xf>
    <xf numFmtId="0" fontId="4" fillId="5" borderId="26" xfId="0" applyFont="1" applyFill="1" applyBorder="1" applyAlignment="1">
      <alignment horizontal="left" vertical="center"/>
    </xf>
    <xf numFmtId="0" fontId="4" fillId="5" borderId="29" xfId="0" applyFont="1" applyFill="1" applyBorder="1" applyAlignment="1">
      <alignment horizontal="left" vertical="center"/>
    </xf>
    <xf numFmtId="0" fontId="4" fillId="5" borderId="21" xfId="0" applyFont="1" applyFill="1" applyBorder="1" applyAlignment="1">
      <alignment horizontal="left" vertical="center"/>
    </xf>
    <xf numFmtId="0" fontId="4" fillId="5" borderId="30" xfId="0" applyFont="1" applyFill="1" applyBorder="1" applyAlignment="1">
      <alignment horizontal="left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2" fontId="0" fillId="4" borderId="10" xfId="0" applyNumberFormat="1" applyFill="1" applyBorder="1" applyAlignment="1">
      <alignment horizontal="center" vertical="center"/>
    </xf>
    <xf numFmtId="2" fontId="0" fillId="4" borderId="11" xfId="0" applyNumberFormat="1" applyFill="1" applyBorder="1" applyAlignment="1">
      <alignment horizontal="center" vertical="center"/>
    </xf>
    <xf numFmtId="3" fontId="0" fillId="4" borderId="10" xfId="0" applyNumberFormat="1" applyFill="1" applyBorder="1" applyAlignment="1">
      <alignment horizontal="center" vertical="center"/>
    </xf>
    <xf numFmtId="3" fontId="0" fillId="4" borderId="11" xfId="0" applyNumberForma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2" fontId="0" fillId="4" borderId="17" xfId="0" applyNumberFormat="1" applyFill="1" applyBorder="1" applyAlignment="1">
      <alignment horizontal="center" vertical="center"/>
    </xf>
    <xf numFmtId="2" fontId="0" fillId="4" borderId="18" xfId="0" applyNumberForma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66" fontId="0" fillId="0" borderId="31" xfId="0" applyNumberFormat="1" applyFill="1" applyBorder="1" applyAlignment="1">
      <alignment horizontal="center" vertical="center"/>
    </xf>
    <xf numFmtId="166" fontId="0" fillId="0" borderId="17" xfId="0" applyNumberFormat="1" applyFont="1" applyFill="1" applyBorder="1" applyAlignment="1">
      <alignment horizontal="center" vertical="center"/>
    </xf>
    <xf numFmtId="166" fontId="0" fillId="0" borderId="39" xfId="0" applyNumberFormat="1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" fontId="0" fillId="0" borderId="17" xfId="0" applyNumberFormat="1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166" fontId="0" fillId="4" borderId="8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166" fontId="0" fillId="4" borderId="4" xfId="0" applyNumberFormat="1" applyFill="1" applyBorder="1" applyAlignment="1">
      <alignment horizontal="center" vertical="center"/>
    </xf>
    <xf numFmtId="166" fontId="0" fillId="4" borderId="5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192">
    <dxf>
      <fill>
        <patternFill>
          <bgColor rgb="FFFF999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9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9525</xdr:rowOff>
        </xdr:from>
        <xdr:to>
          <xdr:col>10</xdr:col>
          <xdr:colOff>9525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638175</xdr:colOff>
      <xdr:row>10</xdr:row>
      <xdr:rowOff>57150</xdr:rowOff>
    </xdr:from>
    <xdr:to>
      <xdr:col>1</xdr:col>
      <xdr:colOff>647700</xdr:colOff>
      <xdr:row>13</xdr:row>
      <xdr:rowOff>85725</xdr:rowOff>
    </xdr:to>
    <xdr:cxnSp macro="">
      <xdr:nvCxnSpPr>
        <xdr:cNvPr id="2" name="Straight Arrow Connector 1"/>
        <xdr:cNvCxnSpPr/>
      </xdr:nvCxnSpPr>
      <xdr:spPr>
        <a:xfrm flipH="1">
          <a:off x="1844675" y="1898650"/>
          <a:ext cx="9525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10</xdr:row>
      <xdr:rowOff>38100</xdr:rowOff>
    </xdr:from>
    <xdr:to>
      <xdr:col>2</xdr:col>
      <xdr:colOff>419100</xdr:colOff>
      <xdr:row>13</xdr:row>
      <xdr:rowOff>66675</xdr:rowOff>
    </xdr:to>
    <xdr:cxnSp macro="">
      <xdr:nvCxnSpPr>
        <xdr:cNvPr id="3" name="Straight Arrow Connector 2"/>
        <xdr:cNvCxnSpPr/>
      </xdr:nvCxnSpPr>
      <xdr:spPr>
        <a:xfrm flipH="1">
          <a:off x="2574925" y="1879600"/>
          <a:ext cx="9525" cy="581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.%20Ship%20Dock%20STL/LGB7%20SnapShot%20Wash%20Rev%2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  <sheetName val="EoS Wash"/>
      <sheetName val="TR"/>
      <sheetName val="Palletize"/>
      <sheetName val="Instructions"/>
      <sheetName val="FlatsRecirc"/>
      <sheetName val="Setup"/>
      <sheetName val="Pivots"/>
      <sheetName val="PPR"/>
      <sheetName val="Dock PPR"/>
      <sheetName val="Flats"/>
      <sheetName val="Ship"/>
      <sheetName val="Trans"/>
      <sheetName val="Sheet2"/>
      <sheetName val="Chuting"/>
      <sheetName val="FR"/>
      <sheetName val="Hourly Data"/>
      <sheetName val="Doors"/>
      <sheetName val="Progr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B1" t="str">
            <v>Chute</v>
          </cell>
          <cell r="C1" t="str">
            <v>Result</v>
          </cell>
          <cell r="D1" t="str">
            <v>Numbers</v>
          </cell>
        </row>
        <row r="2">
          <cell r="B2" t="str">
            <v>S0101: Success</v>
          </cell>
          <cell r="C2" t="str">
            <v>Success</v>
          </cell>
          <cell r="D2">
            <v>164</v>
          </cell>
        </row>
        <row r="3">
          <cell r="B3" t="str">
            <v>S0101: Lane Full</v>
          </cell>
          <cell r="C3" t="str">
            <v>Lane Full</v>
          </cell>
          <cell r="D3">
            <v>1786</v>
          </cell>
        </row>
        <row r="4">
          <cell r="B4" t="str">
            <v>S0101: Lane Non-Operational</v>
          </cell>
          <cell r="C4" t="str">
            <v>Lane Non-Operational</v>
          </cell>
          <cell r="D4">
            <v>0</v>
          </cell>
        </row>
        <row r="5">
          <cell r="B5" t="str">
            <v>S0101: Throughput Limit</v>
          </cell>
          <cell r="C5" t="str">
            <v>Throughput Limit</v>
          </cell>
          <cell r="D5">
            <v>0</v>
          </cell>
        </row>
        <row r="6">
          <cell r="B6" t="str">
            <v>S0101: Failed to Divert</v>
          </cell>
          <cell r="C6" t="str">
            <v>Failed to Divert</v>
          </cell>
          <cell r="D6">
            <v>32</v>
          </cell>
        </row>
        <row r="7">
          <cell r="B7" t="str">
            <v>S0101: Tracking Error</v>
          </cell>
          <cell r="C7" t="str">
            <v>Tracking Error</v>
          </cell>
          <cell r="D7">
            <v>9</v>
          </cell>
        </row>
        <row r="8">
          <cell r="B8" t="str">
            <v>S0101: Gap Error</v>
          </cell>
          <cell r="C8" t="str">
            <v>Gap Error</v>
          </cell>
          <cell r="D8">
            <v>6</v>
          </cell>
        </row>
        <row r="9">
          <cell r="B9" t="str">
            <v>S0101: No Destination Received</v>
          </cell>
          <cell r="C9" t="str">
            <v>No Destination Received</v>
          </cell>
          <cell r="D9">
            <v>0</v>
          </cell>
        </row>
        <row r="10">
          <cell r="B10" t="str">
            <v>S0103: Success</v>
          </cell>
          <cell r="C10" t="str">
            <v>Success</v>
          </cell>
          <cell r="D10">
            <v>1597</v>
          </cell>
        </row>
        <row r="11">
          <cell r="B11" t="str">
            <v>S0103: Lane Full</v>
          </cell>
          <cell r="C11" t="str">
            <v>Lane Full</v>
          </cell>
          <cell r="D11">
            <v>207</v>
          </cell>
        </row>
        <row r="12">
          <cell r="B12" t="str">
            <v>S0103: Lane Non-Operational</v>
          </cell>
          <cell r="C12" t="str">
            <v>Lane Non-Operational</v>
          </cell>
          <cell r="D12">
            <v>0</v>
          </cell>
        </row>
        <row r="13">
          <cell r="B13" t="str">
            <v>S0103: Throughput Limit</v>
          </cell>
          <cell r="C13" t="str">
            <v>Throughput Limit</v>
          </cell>
          <cell r="D13">
            <v>0</v>
          </cell>
        </row>
        <row r="14">
          <cell r="B14" t="str">
            <v>S0103: Failed to Divert</v>
          </cell>
          <cell r="C14" t="str">
            <v>Failed to Divert</v>
          </cell>
          <cell r="D14">
            <v>5</v>
          </cell>
        </row>
        <row r="15">
          <cell r="B15" t="str">
            <v>S0103: Tracking Error</v>
          </cell>
          <cell r="C15" t="str">
            <v>Tracking Error</v>
          </cell>
          <cell r="D15">
            <v>27</v>
          </cell>
        </row>
        <row r="16">
          <cell r="B16" t="str">
            <v>S0103: Gap Error</v>
          </cell>
          <cell r="C16" t="str">
            <v>Gap Error</v>
          </cell>
          <cell r="D16">
            <v>3</v>
          </cell>
        </row>
        <row r="17">
          <cell r="B17" t="str">
            <v>S0103: No Destination Received</v>
          </cell>
          <cell r="C17" t="str">
            <v>No Destination Received</v>
          </cell>
          <cell r="D17">
            <v>0</v>
          </cell>
        </row>
        <row r="18">
          <cell r="B18" t="str">
            <v>S0104: Success</v>
          </cell>
          <cell r="C18" t="str">
            <v>Success</v>
          </cell>
          <cell r="D18">
            <v>822</v>
          </cell>
        </row>
        <row r="19">
          <cell r="B19" t="str">
            <v>S0104: Lane Full</v>
          </cell>
          <cell r="C19" t="str">
            <v>Lane Full</v>
          </cell>
          <cell r="D19">
            <v>8</v>
          </cell>
        </row>
        <row r="20">
          <cell r="B20" t="str">
            <v>S0104: Lane Non-Operational</v>
          </cell>
          <cell r="C20" t="str">
            <v>Lane Non-Operational</v>
          </cell>
          <cell r="D20">
            <v>0</v>
          </cell>
        </row>
        <row r="21">
          <cell r="B21" t="str">
            <v>S0104: Throughput Limit</v>
          </cell>
          <cell r="C21" t="str">
            <v>Throughput Limit</v>
          </cell>
          <cell r="D21">
            <v>0</v>
          </cell>
        </row>
        <row r="22">
          <cell r="B22" t="str">
            <v>S0104: Failed to Divert</v>
          </cell>
          <cell r="C22" t="str">
            <v>Failed to Divert</v>
          </cell>
          <cell r="D22">
            <v>4</v>
          </cell>
        </row>
        <row r="23">
          <cell r="B23" t="str">
            <v>S0104: Tracking Error</v>
          </cell>
          <cell r="C23" t="str">
            <v>Tracking Error</v>
          </cell>
          <cell r="D23">
            <v>0</v>
          </cell>
        </row>
        <row r="24">
          <cell r="B24" t="str">
            <v>S0104: Gap Error</v>
          </cell>
          <cell r="C24" t="str">
            <v>Gap Error</v>
          </cell>
          <cell r="D24">
            <v>1</v>
          </cell>
        </row>
        <row r="25">
          <cell r="B25" t="str">
            <v>S0104: No Destination Received</v>
          </cell>
          <cell r="C25" t="str">
            <v>No Destination Received</v>
          </cell>
          <cell r="D25">
            <v>0</v>
          </cell>
        </row>
        <row r="26">
          <cell r="B26" t="str">
            <v>S0105: Success</v>
          </cell>
          <cell r="C26" t="str">
            <v>Success</v>
          </cell>
          <cell r="D26">
            <v>929</v>
          </cell>
        </row>
        <row r="27">
          <cell r="B27" t="str">
            <v>S0105: Lane Full</v>
          </cell>
          <cell r="C27" t="str">
            <v>Lane Full</v>
          </cell>
          <cell r="D27">
            <v>104</v>
          </cell>
        </row>
        <row r="28">
          <cell r="B28" t="str">
            <v>S0105: Lane Non-Operational</v>
          </cell>
          <cell r="C28" t="str">
            <v>Lane Non-Operational</v>
          </cell>
          <cell r="D28">
            <v>0</v>
          </cell>
        </row>
        <row r="29">
          <cell r="B29" t="str">
            <v>S0105: Throughput Limit</v>
          </cell>
          <cell r="C29" t="str">
            <v>Throughput Limit</v>
          </cell>
          <cell r="D29">
            <v>0</v>
          </cell>
        </row>
        <row r="30">
          <cell r="B30" t="str">
            <v>S0105: Failed to Divert</v>
          </cell>
          <cell r="C30" t="str">
            <v>Failed to Divert</v>
          </cell>
          <cell r="D30">
            <v>8</v>
          </cell>
        </row>
        <row r="31">
          <cell r="B31" t="str">
            <v>S0105: Tracking Error</v>
          </cell>
          <cell r="C31" t="str">
            <v>Tracking Error</v>
          </cell>
          <cell r="D31">
            <v>2</v>
          </cell>
        </row>
        <row r="32">
          <cell r="B32" t="str">
            <v>S0105: Gap Error</v>
          </cell>
          <cell r="C32" t="str">
            <v>Gap Error</v>
          </cell>
          <cell r="D32">
            <v>2</v>
          </cell>
        </row>
        <row r="33">
          <cell r="B33" t="str">
            <v>S0105: No Destination Received</v>
          </cell>
          <cell r="C33" t="str">
            <v>No Destination Received</v>
          </cell>
          <cell r="D33">
            <v>0</v>
          </cell>
        </row>
        <row r="34">
          <cell r="B34" t="str">
            <v>S0106: Success</v>
          </cell>
          <cell r="C34" t="str">
            <v>Success</v>
          </cell>
          <cell r="D34">
            <v>1339</v>
          </cell>
        </row>
        <row r="35">
          <cell r="B35" t="str">
            <v>S0106: Lane Full</v>
          </cell>
          <cell r="C35" t="str">
            <v>Lane Full</v>
          </cell>
          <cell r="D35">
            <v>79</v>
          </cell>
        </row>
        <row r="36">
          <cell r="B36" t="str">
            <v>S0106: Lane Non-Operational</v>
          </cell>
          <cell r="C36" t="str">
            <v>Lane Non-Operational</v>
          </cell>
          <cell r="D36">
            <v>0</v>
          </cell>
        </row>
        <row r="37">
          <cell r="B37" t="str">
            <v>S0106: Throughput Limit</v>
          </cell>
          <cell r="C37" t="str">
            <v>Throughput Limit</v>
          </cell>
          <cell r="D37">
            <v>0</v>
          </cell>
        </row>
        <row r="38">
          <cell r="B38" t="str">
            <v>S0106: Failed to Divert</v>
          </cell>
          <cell r="C38" t="str">
            <v>Failed to Divert</v>
          </cell>
          <cell r="D38">
            <v>6</v>
          </cell>
        </row>
        <row r="39">
          <cell r="B39" t="str">
            <v>S0106: Tracking Error</v>
          </cell>
          <cell r="C39" t="str">
            <v>Tracking Error</v>
          </cell>
          <cell r="D39">
            <v>1</v>
          </cell>
        </row>
        <row r="40">
          <cell r="B40" t="str">
            <v>S0106: Gap Error</v>
          </cell>
          <cell r="C40" t="str">
            <v>Gap Error</v>
          </cell>
          <cell r="D40">
            <v>0</v>
          </cell>
        </row>
        <row r="41">
          <cell r="B41" t="str">
            <v>S0106: No Destination Received</v>
          </cell>
          <cell r="C41" t="str">
            <v>No Destination Received</v>
          </cell>
          <cell r="D41">
            <v>0</v>
          </cell>
        </row>
        <row r="42">
          <cell r="B42" t="str">
            <v>S0107: Success</v>
          </cell>
          <cell r="C42" t="str">
            <v>Success</v>
          </cell>
          <cell r="D42">
            <v>279</v>
          </cell>
        </row>
        <row r="43">
          <cell r="B43" t="str">
            <v>S0107: Lane Full</v>
          </cell>
          <cell r="C43" t="str">
            <v>Lane Full</v>
          </cell>
          <cell r="D43">
            <v>78</v>
          </cell>
        </row>
        <row r="44">
          <cell r="B44" t="str">
            <v>S0107: Lane Non-Operational</v>
          </cell>
          <cell r="C44" t="str">
            <v>Lane Non-Operational</v>
          </cell>
          <cell r="D44">
            <v>0</v>
          </cell>
        </row>
        <row r="45">
          <cell r="B45" t="str">
            <v>S0107: Throughput Limit</v>
          </cell>
          <cell r="C45" t="str">
            <v>Throughput Limit</v>
          </cell>
          <cell r="D45">
            <v>0</v>
          </cell>
        </row>
        <row r="46">
          <cell r="B46" t="str">
            <v>S0107: Failed to Divert</v>
          </cell>
          <cell r="C46" t="str">
            <v>Failed to Divert</v>
          </cell>
          <cell r="D46">
            <v>1</v>
          </cell>
        </row>
        <row r="47">
          <cell r="B47" t="str">
            <v>S0107: Tracking Error</v>
          </cell>
          <cell r="C47" t="str">
            <v>Tracking Error</v>
          </cell>
          <cell r="D47">
            <v>0</v>
          </cell>
        </row>
        <row r="48">
          <cell r="B48" t="str">
            <v>S0107: Gap Error</v>
          </cell>
          <cell r="C48" t="str">
            <v>Gap Error</v>
          </cell>
          <cell r="D48">
            <v>0</v>
          </cell>
        </row>
        <row r="49">
          <cell r="B49" t="str">
            <v>S0107: No Destination Received</v>
          </cell>
          <cell r="C49" t="str">
            <v>No Destination Received</v>
          </cell>
          <cell r="D49">
            <v>0</v>
          </cell>
        </row>
        <row r="50">
          <cell r="B50" t="str">
            <v>S0108: Success</v>
          </cell>
          <cell r="C50" t="str">
            <v>Success</v>
          </cell>
          <cell r="D50">
            <v>751</v>
          </cell>
        </row>
        <row r="51">
          <cell r="B51" t="str">
            <v>S0108: Lane Full</v>
          </cell>
          <cell r="C51" t="str">
            <v>Lane Full</v>
          </cell>
          <cell r="D51">
            <v>13</v>
          </cell>
        </row>
        <row r="52">
          <cell r="B52" t="str">
            <v>S0108: Lane Non-Operational</v>
          </cell>
          <cell r="C52" t="str">
            <v>Lane Non-Operational</v>
          </cell>
          <cell r="D52">
            <v>0</v>
          </cell>
        </row>
        <row r="53">
          <cell r="B53" t="str">
            <v>S0108: Throughput Limit</v>
          </cell>
          <cell r="C53" t="str">
            <v>Throughput Limit</v>
          </cell>
          <cell r="D53">
            <v>0</v>
          </cell>
        </row>
        <row r="54">
          <cell r="B54" t="str">
            <v>S0108: Failed to Divert</v>
          </cell>
          <cell r="C54" t="str">
            <v>Failed to Divert</v>
          </cell>
          <cell r="D54">
            <v>7</v>
          </cell>
        </row>
        <row r="55">
          <cell r="B55" t="str">
            <v>S0108: Tracking Error</v>
          </cell>
          <cell r="C55" t="str">
            <v>Tracking Error</v>
          </cell>
          <cell r="D55">
            <v>0</v>
          </cell>
        </row>
        <row r="56">
          <cell r="B56" t="str">
            <v>S0108: Gap Error</v>
          </cell>
          <cell r="C56" t="str">
            <v>Gap Error</v>
          </cell>
          <cell r="D56">
            <v>0</v>
          </cell>
        </row>
        <row r="57">
          <cell r="B57" t="str">
            <v>S0108: No Destination Received</v>
          </cell>
          <cell r="C57" t="str">
            <v>No Destination Received</v>
          </cell>
          <cell r="D57">
            <v>0</v>
          </cell>
        </row>
        <row r="58">
          <cell r="B58" t="str">
            <v>S0109: Success</v>
          </cell>
          <cell r="C58" t="str">
            <v>Success</v>
          </cell>
          <cell r="D58">
            <v>60</v>
          </cell>
        </row>
        <row r="59">
          <cell r="B59" t="str">
            <v>S0109: Lane Full</v>
          </cell>
          <cell r="C59" t="str">
            <v>Lane Full</v>
          </cell>
          <cell r="D59">
            <v>0</v>
          </cell>
        </row>
        <row r="60">
          <cell r="B60" t="str">
            <v>S0109: Lane Non-Operational</v>
          </cell>
          <cell r="C60" t="str">
            <v>Lane Non-Operational</v>
          </cell>
          <cell r="D60">
            <v>0</v>
          </cell>
        </row>
        <row r="61">
          <cell r="B61" t="str">
            <v>S0109: Throughput Limit</v>
          </cell>
          <cell r="C61" t="str">
            <v>Throughput Limit</v>
          </cell>
          <cell r="D61">
            <v>0</v>
          </cell>
        </row>
        <row r="62">
          <cell r="B62" t="str">
            <v>S0109: Failed to Divert</v>
          </cell>
          <cell r="C62" t="str">
            <v>Failed to Divert</v>
          </cell>
          <cell r="D62">
            <v>0</v>
          </cell>
        </row>
        <row r="63">
          <cell r="B63" t="str">
            <v>S0109: Tracking Error</v>
          </cell>
          <cell r="C63" t="str">
            <v>Tracking Error</v>
          </cell>
          <cell r="D63">
            <v>1</v>
          </cell>
        </row>
        <row r="64">
          <cell r="B64" t="str">
            <v>S0109: Gap Error</v>
          </cell>
          <cell r="C64" t="str">
            <v>Gap Error</v>
          </cell>
          <cell r="D64">
            <v>0</v>
          </cell>
        </row>
        <row r="65">
          <cell r="B65" t="str">
            <v>S0109: No Destination Received</v>
          </cell>
          <cell r="C65" t="str">
            <v>No Destination Received</v>
          </cell>
          <cell r="D65">
            <v>0</v>
          </cell>
        </row>
        <row r="66">
          <cell r="B66" t="str">
            <v>S0110: Success</v>
          </cell>
          <cell r="C66" t="str">
            <v>Success</v>
          </cell>
          <cell r="D66">
            <v>138</v>
          </cell>
        </row>
        <row r="67">
          <cell r="B67" t="str">
            <v>S0110: Lane Full</v>
          </cell>
          <cell r="C67" t="str">
            <v>Lane Full</v>
          </cell>
          <cell r="D67">
            <v>0</v>
          </cell>
        </row>
        <row r="68">
          <cell r="B68" t="str">
            <v>S0110: Lane Non-Operational</v>
          </cell>
          <cell r="C68" t="str">
            <v>Lane Non-Operational</v>
          </cell>
          <cell r="D68">
            <v>0</v>
          </cell>
        </row>
        <row r="69">
          <cell r="B69" t="str">
            <v>S0110: Throughput Limit</v>
          </cell>
          <cell r="C69" t="str">
            <v>Throughput Limit</v>
          </cell>
          <cell r="D69">
            <v>0</v>
          </cell>
        </row>
        <row r="70">
          <cell r="B70" t="str">
            <v>S0110: Failed to Divert</v>
          </cell>
          <cell r="C70" t="str">
            <v>Failed to Divert</v>
          </cell>
          <cell r="D70">
            <v>1</v>
          </cell>
        </row>
        <row r="71">
          <cell r="B71" t="str">
            <v>S0110: Tracking Error</v>
          </cell>
          <cell r="C71" t="str">
            <v>Tracking Error</v>
          </cell>
          <cell r="D71">
            <v>0</v>
          </cell>
        </row>
        <row r="72">
          <cell r="B72" t="str">
            <v>S0110: Gap Error</v>
          </cell>
          <cell r="C72" t="str">
            <v>Gap Error</v>
          </cell>
          <cell r="D72">
            <v>1</v>
          </cell>
        </row>
        <row r="73">
          <cell r="B73" t="str">
            <v>S0110: No Destination Received</v>
          </cell>
          <cell r="C73" t="str">
            <v>No Destination Received</v>
          </cell>
          <cell r="D73">
            <v>0</v>
          </cell>
        </row>
        <row r="74">
          <cell r="B74" t="str">
            <v>S0111: Success</v>
          </cell>
          <cell r="C74" t="str">
            <v>Success</v>
          </cell>
          <cell r="D74">
            <v>302</v>
          </cell>
        </row>
        <row r="75">
          <cell r="B75" t="str">
            <v>S0111: Lane Full</v>
          </cell>
          <cell r="C75" t="str">
            <v>Lane Full</v>
          </cell>
          <cell r="D75">
            <v>204</v>
          </cell>
        </row>
        <row r="76">
          <cell r="B76" t="str">
            <v>S0111: Lane Non-Operational</v>
          </cell>
          <cell r="C76" t="str">
            <v>Lane Non-Operational</v>
          </cell>
          <cell r="D76">
            <v>0</v>
          </cell>
        </row>
        <row r="77">
          <cell r="B77" t="str">
            <v>S0111: Throughput Limit</v>
          </cell>
          <cell r="C77" t="str">
            <v>Throughput Limit</v>
          </cell>
          <cell r="D77">
            <v>0</v>
          </cell>
        </row>
        <row r="78">
          <cell r="B78" t="str">
            <v>S0111: Failed to Divert</v>
          </cell>
          <cell r="C78" t="str">
            <v>Failed to Divert</v>
          </cell>
          <cell r="D78">
            <v>4</v>
          </cell>
        </row>
        <row r="79">
          <cell r="B79" t="str">
            <v>S0111: Tracking Error</v>
          </cell>
          <cell r="C79" t="str">
            <v>Tracking Error</v>
          </cell>
          <cell r="D79">
            <v>3</v>
          </cell>
        </row>
        <row r="80">
          <cell r="B80" t="str">
            <v>S0111: Gap Error</v>
          </cell>
          <cell r="C80" t="str">
            <v>Gap Error</v>
          </cell>
          <cell r="D80">
            <v>1</v>
          </cell>
        </row>
        <row r="81">
          <cell r="B81" t="str">
            <v>S0111: No Destination Received</v>
          </cell>
          <cell r="C81" t="str">
            <v>No Destination Received</v>
          </cell>
          <cell r="D81">
            <v>0</v>
          </cell>
        </row>
        <row r="82">
          <cell r="B82" t="str">
            <v>S0112: Success</v>
          </cell>
          <cell r="C82" t="str">
            <v>Success</v>
          </cell>
          <cell r="D82">
            <v>1367</v>
          </cell>
        </row>
        <row r="83">
          <cell r="B83" t="str">
            <v>S0112: Lane Full</v>
          </cell>
          <cell r="C83" t="str">
            <v>Lane Full</v>
          </cell>
          <cell r="D83">
            <v>334</v>
          </cell>
        </row>
        <row r="84">
          <cell r="B84" t="str">
            <v>S0112: Lane Non-Operational</v>
          </cell>
          <cell r="C84" t="str">
            <v>Lane Non-Operational</v>
          </cell>
          <cell r="D84">
            <v>0</v>
          </cell>
        </row>
        <row r="85">
          <cell r="B85" t="str">
            <v>S0112: Throughput Limit</v>
          </cell>
          <cell r="C85" t="str">
            <v>Throughput Limit</v>
          </cell>
          <cell r="D85">
            <v>0</v>
          </cell>
        </row>
        <row r="86">
          <cell r="B86" t="str">
            <v>S0112: Failed to Divert</v>
          </cell>
          <cell r="C86" t="str">
            <v>Failed to Divert</v>
          </cell>
          <cell r="D86">
            <v>9</v>
          </cell>
        </row>
        <row r="87">
          <cell r="B87" t="str">
            <v>S0112: Tracking Error</v>
          </cell>
          <cell r="C87" t="str">
            <v>Tracking Error</v>
          </cell>
          <cell r="D87">
            <v>0</v>
          </cell>
        </row>
        <row r="88">
          <cell r="B88" t="str">
            <v>S0112: Gap Error</v>
          </cell>
          <cell r="C88" t="str">
            <v>Gap Error</v>
          </cell>
          <cell r="D88">
            <v>3</v>
          </cell>
        </row>
        <row r="89">
          <cell r="B89" t="str">
            <v>S0112: No Destination Received</v>
          </cell>
          <cell r="C89" t="str">
            <v>No Destination Received</v>
          </cell>
          <cell r="D89">
            <v>0</v>
          </cell>
        </row>
        <row r="90">
          <cell r="B90" t="str">
            <v>S0113: Success</v>
          </cell>
          <cell r="C90" t="str">
            <v>Success</v>
          </cell>
          <cell r="D90">
            <v>79</v>
          </cell>
        </row>
        <row r="91">
          <cell r="B91" t="str">
            <v>S0113: Lane Full</v>
          </cell>
          <cell r="C91" t="str">
            <v>Lane Full</v>
          </cell>
          <cell r="D91">
            <v>15</v>
          </cell>
        </row>
        <row r="92">
          <cell r="B92" t="str">
            <v>S0113: Lane Non-Operational</v>
          </cell>
          <cell r="C92" t="str">
            <v>Lane Non-Operational</v>
          </cell>
          <cell r="D92">
            <v>0</v>
          </cell>
        </row>
        <row r="93">
          <cell r="B93" t="str">
            <v>S0113: Throughput Limit</v>
          </cell>
          <cell r="C93" t="str">
            <v>Throughput Limit</v>
          </cell>
          <cell r="D93">
            <v>0</v>
          </cell>
        </row>
        <row r="94">
          <cell r="B94" t="str">
            <v>S0113: Failed to Divert</v>
          </cell>
          <cell r="C94" t="str">
            <v>Failed to Divert</v>
          </cell>
          <cell r="D94">
            <v>0</v>
          </cell>
        </row>
        <row r="95">
          <cell r="B95" t="str">
            <v>S0113: Tracking Error</v>
          </cell>
          <cell r="C95" t="str">
            <v>Tracking Error</v>
          </cell>
          <cell r="D95">
            <v>0</v>
          </cell>
        </row>
        <row r="96">
          <cell r="B96" t="str">
            <v>S0113: Gap Error</v>
          </cell>
          <cell r="C96" t="str">
            <v>Gap Error</v>
          </cell>
          <cell r="D96">
            <v>0</v>
          </cell>
        </row>
        <row r="97">
          <cell r="B97" t="str">
            <v>S0113: No Destination Received</v>
          </cell>
          <cell r="C97" t="str">
            <v>No Destination Received</v>
          </cell>
          <cell r="D97">
            <v>0</v>
          </cell>
        </row>
        <row r="98">
          <cell r="B98" t="str">
            <v>S0114: Success</v>
          </cell>
          <cell r="C98" t="str">
            <v>Success</v>
          </cell>
          <cell r="D98">
            <v>990</v>
          </cell>
        </row>
        <row r="99">
          <cell r="B99" t="str">
            <v>S0114: Lane Full</v>
          </cell>
          <cell r="C99" t="str">
            <v>Lane Full</v>
          </cell>
          <cell r="D99">
            <v>379</v>
          </cell>
        </row>
        <row r="100">
          <cell r="B100" t="str">
            <v>S0114: Lane Non-Operational</v>
          </cell>
          <cell r="C100" t="str">
            <v>Lane Non-Operational</v>
          </cell>
          <cell r="D100">
            <v>0</v>
          </cell>
        </row>
        <row r="101">
          <cell r="B101" t="str">
            <v>S0114: Throughput Limit</v>
          </cell>
          <cell r="C101" t="str">
            <v>Throughput Limit</v>
          </cell>
          <cell r="D101">
            <v>0</v>
          </cell>
        </row>
        <row r="102">
          <cell r="B102" t="str">
            <v>S0114: Failed to Divert</v>
          </cell>
          <cell r="C102" t="str">
            <v>Failed to Divert</v>
          </cell>
          <cell r="D102">
            <v>12</v>
          </cell>
        </row>
        <row r="103">
          <cell r="B103" t="str">
            <v>S0114: Tracking Error</v>
          </cell>
          <cell r="C103" t="str">
            <v>Tracking Error</v>
          </cell>
          <cell r="D103">
            <v>0</v>
          </cell>
        </row>
        <row r="104">
          <cell r="B104" t="str">
            <v>S0114: Gap Error</v>
          </cell>
          <cell r="C104" t="str">
            <v>Gap Error</v>
          </cell>
          <cell r="D104">
            <v>0</v>
          </cell>
        </row>
        <row r="105">
          <cell r="B105" t="str">
            <v>S0114: No Destination Received</v>
          </cell>
          <cell r="C105" t="str">
            <v>No Destination Received</v>
          </cell>
          <cell r="D105">
            <v>0</v>
          </cell>
        </row>
        <row r="106">
          <cell r="B106" t="str">
            <v>S0115: Success</v>
          </cell>
          <cell r="C106" t="str">
            <v>Success</v>
          </cell>
          <cell r="D106">
            <v>902</v>
          </cell>
        </row>
        <row r="107">
          <cell r="B107" t="str">
            <v>S0115: Lane Full</v>
          </cell>
          <cell r="C107" t="str">
            <v>Lane Full</v>
          </cell>
          <cell r="D107">
            <v>134</v>
          </cell>
        </row>
        <row r="108">
          <cell r="B108" t="str">
            <v>S0115: Lane Non-Operational</v>
          </cell>
          <cell r="C108" t="str">
            <v>Lane Non-Operational</v>
          </cell>
          <cell r="D108">
            <v>0</v>
          </cell>
        </row>
        <row r="109">
          <cell r="B109" t="str">
            <v>S0115: Throughput Limit</v>
          </cell>
          <cell r="C109" t="str">
            <v>Throughput Limit</v>
          </cell>
          <cell r="D109">
            <v>0</v>
          </cell>
        </row>
        <row r="110">
          <cell r="B110" t="str">
            <v>S0115: Failed to Divert</v>
          </cell>
          <cell r="C110" t="str">
            <v>Failed to Divert</v>
          </cell>
          <cell r="D110">
            <v>5</v>
          </cell>
        </row>
        <row r="111">
          <cell r="B111" t="str">
            <v>S0115: Tracking Error</v>
          </cell>
          <cell r="C111" t="str">
            <v>Tracking Error</v>
          </cell>
          <cell r="D111">
            <v>3</v>
          </cell>
        </row>
        <row r="112">
          <cell r="B112" t="str">
            <v>S0115: Gap Error</v>
          </cell>
          <cell r="C112" t="str">
            <v>Gap Error</v>
          </cell>
          <cell r="D112">
            <v>1</v>
          </cell>
        </row>
        <row r="113">
          <cell r="B113" t="str">
            <v>S0115: No Destination Received</v>
          </cell>
          <cell r="C113" t="str">
            <v>No Destination Received</v>
          </cell>
          <cell r="D113">
            <v>0</v>
          </cell>
        </row>
        <row r="114">
          <cell r="B114" t="str">
            <v>S0116: Success</v>
          </cell>
          <cell r="C114" t="str">
            <v>Success</v>
          </cell>
          <cell r="D114">
            <v>56</v>
          </cell>
        </row>
        <row r="115">
          <cell r="B115" t="str">
            <v>S0116: Lane Full</v>
          </cell>
          <cell r="C115" t="str">
            <v>Lane Full</v>
          </cell>
          <cell r="D115">
            <v>0</v>
          </cell>
        </row>
        <row r="116">
          <cell r="B116" t="str">
            <v>S0116: Lane Non-Operational</v>
          </cell>
          <cell r="C116" t="str">
            <v>Lane Non-Operational</v>
          </cell>
          <cell r="D116">
            <v>0</v>
          </cell>
        </row>
        <row r="117">
          <cell r="B117" t="str">
            <v>S0116: Throughput Limit</v>
          </cell>
          <cell r="C117" t="str">
            <v>Throughput Limit</v>
          </cell>
          <cell r="D117">
            <v>0</v>
          </cell>
        </row>
        <row r="118">
          <cell r="B118" t="str">
            <v>S0116: Failed to Divert</v>
          </cell>
          <cell r="C118" t="str">
            <v>Failed to Divert</v>
          </cell>
          <cell r="D118">
            <v>0</v>
          </cell>
        </row>
        <row r="119">
          <cell r="B119" t="str">
            <v>S0116: Tracking Error</v>
          </cell>
          <cell r="C119" t="str">
            <v>Tracking Error</v>
          </cell>
          <cell r="D119">
            <v>0</v>
          </cell>
        </row>
        <row r="120">
          <cell r="B120" t="str">
            <v>S0116: Gap Error</v>
          </cell>
          <cell r="C120" t="str">
            <v>Gap Error</v>
          </cell>
          <cell r="D120">
            <v>0</v>
          </cell>
        </row>
        <row r="121">
          <cell r="B121" t="str">
            <v>S0116: No Destination Received</v>
          </cell>
          <cell r="C121" t="str">
            <v>No Destination Received</v>
          </cell>
          <cell r="D121">
            <v>0</v>
          </cell>
        </row>
        <row r="122">
          <cell r="B122" t="str">
            <v>S0117: Success</v>
          </cell>
          <cell r="C122" t="str">
            <v>Success</v>
          </cell>
          <cell r="D122">
            <v>1241</v>
          </cell>
        </row>
        <row r="123">
          <cell r="B123" t="str">
            <v>S0117: Lane Full</v>
          </cell>
          <cell r="C123" t="str">
            <v>Lane Full</v>
          </cell>
          <cell r="D123">
            <v>313</v>
          </cell>
        </row>
        <row r="124">
          <cell r="B124" t="str">
            <v>S0117: Lane Non-Operational</v>
          </cell>
          <cell r="C124" t="str">
            <v>Lane Non-Operational</v>
          </cell>
          <cell r="D124">
            <v>0</v>
          </cell>
        </row>
        <row r="125">
          <cell r="B125" t="str">
            <v>S0117: Throughput Limit</v>
          </cell>
          <cell r="C125" t="str">
            <v>Throughput Limit</v>
          </cell>
          <cell r="D125">
            <v>0</v>
          </cell>
        </row>
        <row r="126">
          <cell r="B126" t="str">
            <v>S0117: Failed to Divert</v>
          </cell>
          <cell r="C126" t="str">
            <v>Failed to Divert</v>
          </cell>
          <cell r="D126">
            <v>9</v>
          </cell>
        </row>
        <row r="127">
          <cell r="B127" t="str">
            <v>S0117: Tracking Error</v>
          </cell>
          <cell r="C127" t="str">
            <v>Tracking Error</v>
          </cell>
          <cell r="D127">
            <v>2</v>
          </cell>
        </row>
        <row r="128">
          <cell r="B128" t="str">
            <v>S0117: Gap Error</v>
          </cell>
          <cell r="C128" t="str">
            <v>Gap Error</v>
          </cell>
          <cell r="D128">
            <v>0</v>
          </cell>
        </row>
        <row r="129">
          <cell r="B129" t="str">
            <v>S0117: No Destination Received</v>
          </cell>
          <cell r="C129" t="str">
            <v>No Destination Received</v>
          </cell>
          <cell r="D129">
            <v>0</v>
          </cell>
        </row>
        <row r="130">
          <cell r="B130" t="str">
            <v>S0118: Success</v>
          </cell>
          <cell r="C130" t="str">
            <v>Success</v>
          </cell>
          <cell r="D130">
            <v>133</v>
          </cell>
        </row>
        <row r="131">
          <cell r="B131" t="str">
            <v>S0118: Lane Full</v>
          </cell>
          <cell r="C131" t="str">
            <v>Lane Full</v>
          </cell>
          <cell r="D131">
            <v>63</v>
          </cell>
        </row>
        <row r="132">
          <cell r="B132" t="str">
            <v>S0118: Lane Non-Operational</v>
          </cell>
          <cell r="C132" t="str">
            <v>Lane Non-Operational</v>
          </cell>
          <cell r="D132">
            <v>0</v>
          </cell>
        </row>
        <row r="133">
          <cell r="B133" t="str">
            <v>S0118: Throughput Limit</v>
          </cell>
          <cell r="C133" t="str">
            <v>Throughput Limit</v>
          </cell>
          <cell r="D133">
            <v>0</v>
          </cell>
        </row>
        <row r="134">
          <cell r="B134" t="str">
            <v>S0118: Failed to Divert</v>
          </cell>
          <cell r="C134" t="str">
            <v>Failed to Divert</v>
          </cell>
          <cell r="D134">
            <v>1</v>
          </cell>
        </row>
        <row r="135">
          <cell r="B135" t="str">
            <v>S0118: Tracking Error</v>
          </cell>
          <cell r="C135" t="str">
            <v>Tracking Error</v>
          </cell>
          <cell r="D135">
            <v>0</v>
          </cell>
        </row>
        <row r="136">
          <cell r="B136" t="str">
            <v>S0118: Gap Error</v>
          </cell>
          <cell r="C136" t="str">
            <v>Gap Error</v>
          </cell>
          <cell r="D136">
            <v>0</v>
          </cell>
        </row>
        <row r="137">
          <cell r="B137" t="str">
            <v>S0118: No Destination Received</v>
          </cell>
          <cell r="C137" t="str">
            <v>No Destination Received</v>
          </cell>
          <cell r="D137">
            <v>0</v>
          </cell>
        </row>
        <row r="138">
          <cell r="B138" t="str">
            <v>S0119: Success</v>
          </cell>
          <cell r="C138" t="str">
            <v>Success</v>
          </cell>
          <cell r="D138">
            <v>333</v>
          </cell>
        </row>
        <row r="139">
          <cell r="B139" t="str">
            <v>S0119: Lane Full</v>
          </cell>
          <cell r="C139" t="str">
            <v>Lane Full</v>
          </cell>
          <cell r="D139">
            <v>143</v>
          </cell>
        </row>
        <row r="140">
          <cell r="B140" t="str">
            <v>S0119: Lane Non-Operational</v>
          </cell>
          <cell r="C140" t="str">
            <v>Lane Non-Operational</v>
          </cell>
          <cell r="D140">
            <v>0</v>
          </cell>
        </row>
        <row r="141">
          <cell r="B141" t="str">
            <v>S0119: Throughput Limit</v>
          </cell>
          <cell r="C141" t="str">
            <v>Throughput Limit</v>
          </cell>
          <cell r="D141">
            <v>0</v>
          </cell>
        </row>
        <row r="142">
          <cell r="B142" t="str">
            <v>S0119: Failed to Divert</v>
          </cell>
          <cell r="C142" t="str">
            <v>Failed to Divert</v>
          </cell>
          <cell r="D142">
            <v>4</v>
          </cell>
        </row>
        <row r="143">
          <cell r="B143" t="str">
            <v>S0119: Tracking Error</v>
          </cell>
          <cell r="C143" t="str">
            <v>Tracking Error</v>
          </cell>
          <cell r="D143">
            <v>0</v>
          </cell>
        </row>
        <row r="144">
          <cell r="B144" t="str">
            <v>S0119: Gap Error</v>
          </cell>
          <cell r="C144" t="str">
            <v>Gap Error</v>
          </cell>
          <cell r="D144">
            <v>0</v>
          </cell>
        </row>
        <row r="145">
          <cell r="B145" t="str">
            <v>S0119: No Destination Received</v>
          </cell>
          <cell r="C145" t="str">
            <v>No Destination Received</v>
          </cell>
          <cell r="D145">
            <v>0</v>
          </cell>
        </row>
        <row r="146">
          <cell r="B146" t="str">
            <v>S0120: Success</v>
          </cell>
          <cell r="C146" t="str">
            <v>Success</v>
          </cell>
          <cell r="D146">
            <v>314</v>
          </cell>
        </row>
        <row r="147">
          <cell r="B147" t="str">
            <v>S0120: Lane Full</v>
          </cell>
          <cell r="C147" t="str">
            <v>Lane Full</v>
          </cell>
          <cell r="D147">
            <v>256</v>
          </cell>
        </row>
        <row r="148">
          <cell r="B148" t="str">
            <v>S0120: Lane Non-Operational</v>
          </cell>
          <cell r="C148" t="str">
            <v>Lane Non-Operational</v>
          </cell>
          <cell r="D148">
            <v>0</v>
          </cell>
        </row>
        <row r="149">
          <cell r="B149" t="str">
            <v>S0120: Throughput Limit</v>
          </cell>
          <cell r="C149" t="str">
            <v>Throughput Limit</v>
          </cell>
          <cell r="D149">
            <v>0</v>
          </cell>
        </row>
        <row r="150">
          <cell r="B150" t="str">
            <v>S0120: Failed to Divert</v>
          </cell>
          <cell r="C150" t="str">
            <v>Failed to Divert</v>
          </cell>
          <cell r="D150">
            <v>4</v>
          </cell>
        </row>
        <row r="151">
          <cell r="B151" t="str">
            <v>S0120: Tracking Error</v>
          </cell>
          <cell r="C151" t="str">
            <v>Tracking Error</v>
          </cell>
          <cell r="D151">
            <v>2</v>
          </cell>
        </row>
        <row r="152">
          <cell r="B152" t="str">
            <v>S0120: Gap Error</v>
          </cell>
          <cell r="C152" t="str">
            <v>Gap Error</v>
          </cell>
          <cell r="D152">
            <v>0</v>
          </cell>
        </row>
        <row r="153">
          <cell r="B153" t="str">
            <v>S0120: No Destination Received</v>
          </cell>
          <cell r="C153" t="str">
            <v>No Destination Received</v>
          </cell>
          <cell r="D153">
            <v>0</v>
          </cell>
        </row>
        <row r="154">
          <cell r="B154" t="str">
            <v>S0121: Success</v>
          </cell>
          <cell r="C154" t="str">
            <v>Success</v>
          </cell>
          <cell r="D154">
            <v>1508</v>
          </cell>
        </row>
        <row r="155">
          <cell r="B155" t="str">
            <v>S0121: Lane Full</v>
          </cell>
          <cell r="C155" t="str">
            <v>Lane Full</v>
          </cell>
          <cell r="D155">
            <v>1198</v>
          </cell>
        </row>
        <row r="156">
          <cell r="B156" t="str">
            <v>S0121: Lane Non-Operational</v>
          </cell>
          <cell r="C156" t="str">
            <v>Lane Non-Operational</v>
          </cell>
          <cell r="D156">
            <v>0</v>
          </cell>
        </row>
        <row r="157">
          <cell r="B157" t="str">
            <v>S0121: Throughput Limit</v>
          </cell>
          <cell r="C157" t="str">
            <v>Throughput Limit</v>
          </cell>
          <cell r="D157">
            <v>0</v>
          </cell>
        </row>
        <row r="158">
          <cell r="B158" t="str">
            <v>S0121: Failed to Divert</v>
          </cell>
          <cell r="C158" t="str">
            <v>Failed to Divert</v>
          </cell>
          <cell r="D158">
            <v>14</v>
          </cell>
        </row>
        <row r="159">
          <cell r="B159" t="str">
            <v>S0121: Tracking Error</v>
          </cell>
          <cell r="C159" t="str">
            <v>Tracking Error</v>
          </cell>
          <cell r="D159">
            <v>6</v>
          </cell>
        </row>
        <row r="160">
          <cell r="B160" t="str">
            <v>S0121: Gap Error</v>
          </cell>
          <cell r="C160" t="str">
            <v>Gap Error</v>
          </cell>
          <cell r="D160">
            <v>1</v>
          </cell>
        </row>
        <row r="161">
          <cell r="B161" t="str">
            <v>S0121: No Destination Received</v>
          </cell>
          <cell r="C161" t="str">
            <v>No Destination Received</v>
          </cell>
          <cell r="D161">
            <v>0</v>
          </cell>
        </row>
        <row r="162">
          <cell r="B162" t="str">
            <v>S0122: Success</v>
          </cell>
          <cell r="C162" t="str">
            <v>Success</v>
          </cell>
          <cell r="D162">
            <v>32</v>
          </cell>
        </row>
        <row r="163">
          <cell r="B163" t="str">
            <v>S0122: Lane Full</v>
          </cell>
          <cell r="C163" t="str">
            <v>Lane Full</v>
          </cell>
          <cell r="D163">
            <v>0</v>
          </cell>
        </row>
        <row r="164">
          <cell r="B164" t="str">
            <v>S0122: Lane Non-Operational</v>
          </cell>
          <cell r="C164" t="str">
            <v>Lane Non-Operational</v>
          </cell>
          <cell r="D164">
            <v>0</v>
          </cell>
        </row>
        <row r="165">
          <cell r="B165" t="str">
            <v>S0122: Throughput Limit</v>
          </cell>
          <cell r="C165" t="str">
            <v>Throughput Limit</v>
          </cell>
          <cell r="D165">
            <v>0</v>
          </cell>
        </row>
        <row r="166">
          <cell r="B166" t="str">
            <v>S0122: Failed to Divert</v>
          </cell>
          <cell r="C166" t="str">
            <v>Failed to Divert</v>
          </cell>
          <cell r="D166">
            <v>1</v>
          </cell>
        </row>
        <row r="167">
          <cell r="B167" t="str">
            <v>S0122: Tracking Error</v>
          </cell>
          <cell r="C167" t="str">
            <v>Tracking Error</v>
          </cell>
          <cell r="D167">
            <v>0</v>
          </cell>
        </row>
        <row r="168">
          <cell r="B168" t="str">
            <v>S0122: Gap Error</v>
          </cell>
          <cell r="C168" t="str">
            <v>Gap Error</v>
          </cell>
          <cell r="D168">
            <v>0</v>
          </cell>
        </row>
        <row r="169">
          <cell r="B169" t="str">
            <v>S0122: No Destination Received</v>
          </cell>
          <cell r="C169" t="str">
            <v>No Destination Received</v>
          </cell>
          <cell r="D169">
            <v>0</v>
          </cell>
        </row>
        <row r="170">
          <cell r="B170" t="str">
            <v>S0123: Success</v>
          </cell>
          <cell r="C170" t="str">
            <v>Success</v>
          </cell>
          <cell r="D170">
            <v>59</v>
          </cell>
        </row>
        <row r="171">
          <cell r="B171" t="str">
            <v>S0123: Lane Full</v>
          </cell>
          <cell r="C171" t="str">
            <v>Lane Full</v>
          </cell>
          <cell r="D171">
            <v>0</v>
          </cell>
        </row>
        <row r="172">
          <cell r="B172" t="str">
            <v>S0123: Lane Non-Operational</v>
          </cell>
          <cell r="C172" t="str">
            <v>Lane Non-Operational</v>
          </cell>
          <cell r="D172">
            <v>0</v>
          </cell>
        </row>
        <row r="173">
          <cell r="B173" t="str">
            <v>S0123: Throughput Limit</v>
          </cell>
          <cell r="C173" t="str">
            <v>Throughput Limit</v>
          </cell>
          <cell r="D173">
            <v>0</v>
          </cell>
        </row>
        <row r="174">
          <cell r="B174" t="str">
            <v>S0123: Failed to Divert</v>
          </cell>
          <cell r="C174" t="str">
            <v>Failed to Divert</v>
          </cell>
          <cell r="D174">
            <v>0</v>
          </cell>
        </row>
        <row r="175">
          <cell r="B175" t="str">
            <v>S0123: Tracking Error</v>
          </cell>
          <cell r="C175" t="str">
            <v>Tracking Error</v>
          </cell>
          <cell r="D175">
            <v>0</v>
          </cell>
        </row>
        <row r="176">
          <cell r="B176" t="str">
            <v>S0123: Gap Error</v>
          </cell>
          <cell r="C176" t="str">
            <v>Gap Error</v>
          </cell>
          <cell r="D176">
            <v>0</v>
          </cell>
        </row>
        <row r="177">
          <cell r="B177" t="str">
            <v>S0123: No Destination Received</v>
          </cell>
          <cell r="C177" t="str">
            <v>No Destination Received</v>
          </cell>
          <cell r="D177">
            <v>0</v>
          </cell>
        </row>
        <row r="178">
          <cell r="B178" t="str">
            <v>S0124: Success</v>
          </cell>
          <cell r="C178" t="str">
            <v>Success</v>
          </cell>
          <cell r="D178">
            <v>296</v>
          </cell>
        </row>
        <row r="179">
          <cell r="B179" t="str">
            <v>S0124: Lane Full</v>
          </cell>
          <cell r="C179" t="str">
            <v>Lane Full</v>
          </cell>
          <cell r="D179">
            <v>29</v>
          </cell>
        </row>
        <row r="180">
          <cell r="B180" t="str">
            <v>S0124: Lane Non-Operational</v>
          </cell>
          <cell r="C180" t="str">
            <v>Lane Non-Operational</v>
          </cell>
          <cell r="D180">
            <v>0</v>
          </cell>
        </row>
        <row r="181">
          <cell r="B181" t="str">
            <v>S0124: Throughput Limit</v>
          </cell>
          <cell r="C181" t="str">
            <v>Throughput Limit</v>
          </cell>
          <cell r="D181">
            <v>0</v>
          </cell>
        </row>
        <row r="182">
          <cell r="B182" t="str">
            <v>S0124: Failed to Divert</v>
          </cell>
          <cell r="C182" t="str">
            <v>Failed to Divert</v>
          </cell>
          <cell r="D182">
            <v>1</v>
          </cell>
        </row>
        <row r="183">
          <cell r="B183" t="str">
            <v>S0124: Tracking Error</v>
          </cell>
          <cell r="C183" t="str">
            <v>Tracking Error</v>
          </cell>
          <cell r="D183">
            <v>1</v>
          </cell>
        </row>
        <row r="184">
          <cell r="B184" t="str">
            <v>S0124: Gap Error</v>
          </cell>
          <cell r="C184" t="str">
            <v>Gap Error</v>
          </cell>
          <cell r="D184">
            <v>0</v>
          </cell>
        </row>
        <row r="185">
          <cell r="B185" t="str">
            <v>S0124: No Destination Received</v>
          </cell>
          <cell r="C185" t="str">
            <v>No Destination Received</v>
          </cell>
          <cell r="D185">
            <v>0</v>
          </cell>
        </row>
        <row r="186">
          <cell r="B186" t="str">
            <v>S0125: Success</v>
          </cell>
          <cell r="C186" t="str">
            <v>Success</v>
          </cell>
          <cell r="D186">
            <v>0</v>
          </cell>
        </row>
        <row r="187">
          <cell r="B187" t="str">
            <v>S0125: Lane Full</v>
          </cell>
          <cell r="C187" t="str">
            <v>Lane Full</v>
          </cell>
          <cell r="D187">
            <v>0</v>
          </cell>
        </row>
        <row r="188">
          <cell r="B188" t="str">
            <v>S0125: Lane Non-Operational</v>
          </cell>
          <cell r="C188" t="str">
            <v>Lane Non-Operational</v>
          </cell>
          <cell r="D188">
            <v>0</v>
          </cell>
        </row>
        <row r="189">
          <cell r="B189" t="str">
            <v>S0125: Throughput Limit</v>
          </cell>
          <cell r="C189" t="str">
            <v>Throughput Limit</v>
          </cell>
          <cell r="D189">
            <v>0</v>
          </cell>
        </row>
        <row r="190">
          <cell r="B190" t="str">
            <v>S0125: Failed to Divert</v>
          </cell>
          <cell r="C190" t="str">
            <v>Failed to Divert</v>
          </cell>
          <cell r="D190">
            <v>0</v>
          </cell>
        </row>
        <row r="191">
          <cell r="B191" t="str">
            <v>S0125: Tracking Error</v>
          </cell>
          <cell r="C191" t="str">
            <v>Tracking Error</v>
          </cell>
          <cell r="D191">
            <v>0</v>
          </cell>
        </row>
        <row r="192">
          <cell r="B192" t="str">
            <v>S0125: Gap Error</v>
          </cell>
          <cell r="C192" t="str">
            <v>Gap Error</v>
          </cell>
          <cell r="D192">
            <v>0</v>
          </cell>
        </row>
        <row r="193">
          <cell r="B193" t="str">
            <v>S0125: No Destination Received</v>
          </cell>
          <cell r="C193" t="str">
            <v>No Destination Received</v>
          </cell>
          <cell r="D193">
            <v>0</v>
          </cell>
        </row>
        <row r="194">
          <cell r="B194" t="str">
            <v>S0126: Success</v>
          </cell>
          <cell r="C194" t="str">
            <v>Success</v>
          </cell>
          <cell r="D194">
            <v>150</v>
          </cell>
        </row>
        <row r="195">
          <cell r="B195" t="str">
            <v>S0126: Lane Full</v>
          </cell>
          <cell r="C195" t="str">
            <v>Lane Full</v>
          </cell>
          <cell r="D195">
            <v>63</v>
          </cell>
        </row>
        <row r="196">
          <cell r="B196" t="str">
            <v>S0126: Lane Non-Operational</v>
          </cell>
          <cell r="C196" t="str">
            <v>Lane Non-Operational</v>
          </cell>
          <cell r="D196">
            <v>0</v>
          </cell>
        </row>
        <row r="197">
          <cell r="B197" t="str">
            <v>S0126: Throughput Limit</v>
          </cell>
          <cell r="C197" t="str">
            <v>Throughput Limit</v>
          </cell>
          <cell r="D197">
            <v>0</v>
          </cell>
        </row>
        <row r="198">
          <cell r="B198" t="str">
            <v>S0126: Failed to Divert</v>
          </cell>
          <cell r="C198" t="str">
            <v>Failed to Divert</v>
          </cell>
          <cell r="D198">
            <v>1</v>
          </cell>
        </row>
        <row r="199">
          <cell r="B199" t="str">
            <v>S0126: Tracking Error</v>
          </cell>
          <cell r="C199" t="str">
            <v>Tracking Error</v>
          </cell>
          <cell r="D199">
            <v>0</v>
          </cell>
        </row>
        <row r="200">
          <cell r="B200" t="str">
            <v>S0126: Gap Error</v>
          </cell>
          <cell r="C200" t="str">
            <v>Gap Error</v>
          </cell>
          <cell r="D200">
            <v>1</v>
          </cell>
        </row>
        <row r="201">
          <cell r="B201" t="str">
            <v>S0126: No Destination Received</v>
          </cell>
          <cell r="C201" t="str">
            <v>No Destination Received</v>
          </cell>
          <cell r="D201">
            <v>0</v>
          </cell>
        </row>
        <row r="202">
          <cell r="B202" t="str">
            <v>S0127: Success</v>
          </cell>
          <cell r="C202" t="str">
            <v>Success</v>
          </cell>
          <cell r="D202">
            <v>0</v>
          </cell>
        </row>
        <row r="203">
          <cell r="B203" t="str">
            <v>S0127: Lane Full</v>
          </cell>
          <cell r="C203" t="str">
            <v>Lane Full</v>
          </cell>
          <cell r="D203">
            <v>0</v>
          </cell>
        </row>
        <row r="204">
          <cell r="B204" t="str">
            <v>S0127: Lane Non-Operational</v>
          </cell>
          <cell r="C204" t="str">
            <v>Lane Non-Operational</v>
          </cell>
          <cell r="D204">
            <v>0</v>
          </cell>
        </row>
        <row r="205">
          <cell r="B205" t="str">
            <v>S0127: Throughput Limit</v>
          </cell>
          <cell r="C205" t="str">
            <v>Throughput Limit</v>
          </cell>
          <cell r="D205">
            <v>0</v>
          </cell>
        </row>
        <row r="206">
          <cell r="B206" t="str">
            <v>S0127: Failed to Divert</v>
          </cell>
          <cell r="C206" t="str">
            <v>Failed to Divert</v>
          </cell>
          <cell r="D206">
            <v>0</v>
          </cell>
        </row>
        <row r="207">
          <cell r="B207" t="str">
            <v>S0127: Tracking Error</v>
          </cell>
          <cell r="C207" t="str">
            <v>Tracking Error</v>
          </cell>
          <cell r="D207">
            <v>0</v>
          </cell>
        </row>
        <row r="208">
          <cell r="B208" t="str">
            <v>S0127: Gap Error</v>
          </cell>
          <cell r="C208" t="str">
            <v>Gap Error</v>
          </cell>
          <cell r="D208">
            <v>0</v>
          </cell>
        </row>
        <row r="209">
          <cell r="B209" t="str">
            <v>S0127: No Destination Received</v>
          </cell>
          <cell r="C209" t="str">
            <v>No Destination Received</v>
          </cell>
          <cell r="D209">
            <v>0</v>
          </cell>
        </row>
        <row r="210">
          <cell r="B210" t="str">
            <v>S0128: Success</v>
          </cell>
          <cell r="C210" t="str">
            <v>Success</v>
          </cell>
          <cell r="D210">
            <v>67</v>
          </cell>
        </row>
        <row r="211">
          <cell r="B211" t="str">
            <v>S0128: Lane Full</v>
          </cell>
          <cell r="C211" t="str">
            <v>Lane Full</v>
          </cell>
          <cell r="D211">
            <v>84</v>
          </cell>
        </row>
        <row r="212">
          <cell r="B212" t="str">
            <v>S0128: Lane Non-Operational</v>
          </cell>
          <cell r="C212" t="str">
            <v>Lane Non-Operational</v>
          </cell>
          <cell r="D212">
            <v>1</v>
          </cell>
        </row>
        <row r="213">
          <cell r="B213" t="str">
            <v>S0128: Throughput Limit</v>
          </cell>
          <cell r="C213" t="str">
            <v>Throughput Limit</v>
          </cell>
          <cell r="D213">
            <v>0</v>
          </cell>
        </row>
        <row r="214">
          <cell r="B214" t="str">
            <v>S0128: Failed to Divert</v>
          </cell>
          <cell r="C214" t="str">
            <v>Failed to Divert</v>
          </cell>
          <cell r="D214">
            <v>1</v>
          </cell>
        </row>
        <row r="215">
          <cell r="B215" t="str">
            <v>S0128: Tracking Error</v>
          </cell>
          <cell r="C215" t="str">
            <v>Tracking Error</v>
          </cell>
          <cell r="D215">
            <v>20</v>
          </cell>
        </row>
        <row r="216">
          <cell r="B216" t="str">
            <v>S0128: Gap Error</v>
          </cell>
          <cell r="C216" t="str">
            <v>Gap Error</v>
          </cell>
          <cell r="D216">
            <v>0</v>
          </cell>
        </row>
        <row r="217">
          <cell r="B217" t="str">
            <v>S0128: No Destination Received</v>
          </cell>
          <cell r="C217" t="str">
            <v>No Destination Received</v>
          </cell>
          <cell r="D217">
            <v>0</v>
          </cell>
        </row>
        <row r="218">
          <cell r="B218" t="str">
            <v>S0129: Success</v>
          </cell>
          <cell r="C218" t="str">
            <v>Success</v>
          </cell>
          <cell r="D218">
            <v>0</v>
          </cell>
        </row>
        <row r="219">
          <cell r="B219" t="str">
            <v>S0129: Lane Full</v>
          </cell>
          <cell r="C219" t="str">
            <v>Lane Full</v>
          </cell>
          <cell r="D219">
            <v>0</v>
          </cell>
        </row>
        <row r="220">
          <cell r="B220" t="str">
            <v>S0129: Lane Non-Operational</v>
          </cell>
          <cell r="C220" t="str">
            <v>Lane Non-Operational</v>
          </cell>
          <cell r="D220">
            <v>0</v>
          </cell>
        </row>
        <row r="221">
          <cell r="B221" t="str">
            <v>S0129: Throughput Limit</v>
          </cell>
          <cell r="C221" t="str">
            <v>Throughput Limit</v>
          </cell>
          <cell r="D221">
            <v>0</v>
          </cell>
        </row>
        <row r="222">
          <cell r="B222" t="str">
            <v>S0129: Failed to Divert</v>
          </cell>
          <cell r="C222" t="str">
            <v>Failed to Divert</v>
          </cell>
          <cell r="D222">
            <v>0</v>
          </cell>
        </row>
        <row r="223">
          <cell r="B223" t="str">
            <v>S0129: Tracking Error</v>
          </cell>
          <cell r="C223" t="str">
            <v>Tracking Error</v>
          </cell>
          <cell r="D223">
            <v>0</v>
          </cell>
        </row>
        <row r="224">
          <cell r="B224" t="str">
            <v>S0129: Gap Error</v>
          </cell>
          <cell r="C224" t="str">
            <v>Gap Error</v>
          </cell>
          <cell r="D224">
            <v>0</v>
          </cell>
        </row>
        <row r="225">
          <cell r="B225" t="str">
            <v>S0129: No Destination Received</v>
          </cell>
          <cell r="C225" t="str">
            <v>No Destination Received</v>
          </cell>
          <cell r="D225">
            <v>0</v>
          </cell>
        </row>
        <row r="226">
          <cell r="B226" t="str">
            <v>S0130: Success</v>
          </cell>
          <cell r="C226" t="str">
            <v>Success</v>
          </cell>
          <cell r="D226">
            <v>169</v>
          </cell>
        </row>
        <row r="227">
          <cell r="B227" t="str">
            <v>S0130: Lane Full</v>
          </cell>
          <cell r="C227" t="str">
            <v>Lane Full</v>
          </cell>
          <cell r="D227">
            <v>10</v>
          </cell>
        </row>
        <row r="228">
          <cell r="B228" t="str">
            <v>S0130: Lane Non-Operational</v>
          </cell>
          <cell r="C228" t="str">
            <v>Lane Non-Operational</v>
          </cell>
          <cell r="D228">
            <v>0</v>
          </cell>
        </row>
        <row r="229">
          <cell r="B229" t="str">
            <v>S0130: Throughput Limit</v>
          </cell>
          <cell r="C229" t="str">
            <v>Throughput Limit</v>
          </cell>
          <cell r="D229">
            <v>0</v>
          </cell>
        </row>
        <row r="230">
          <cell r="B230" t="str">
            <v>S0130: Failed to Divert</v>
          </cell>
          <cell r="C230" t="str">
            <v>Failed to Divert</v>
          </cell>
          <cell r="D230">
            <v>1</v>
          </cell>
        </row>
        <row r="231">
          <cell r="B231" t="str">
            <v>S0130: Tracking Error</v>
          </cell>
          <cell r="C231" t="str">
            <v>Tracking Error</v>
          </cell>
          <cell r="D231">
            <v>0</v>
          </cell>
        </row>
        <row r="232">
          <cell r="B232" t="str">
            <v>S0130: Gap Error</v>
          </cell>
          <cell r="C232" t="str">
            <v>Gap Error</v>
          </cell>
          <cell r="D232">
            <v>0</v>
          </cell>
        </row>
        <row r="233">
          <cell r="B233" t="str">
            <v>S0130: No Destination Received</v>
          </cell>
          <cell r="C233" t="str">
            <v>No Destination Received</v>
          </cell>
          <cell r="D233">
            <v>0</v>
          </cell>
        </row>
        <row r="234">
          <cell r="B234" t="str">
            <v>S0131: Success</v>
          </cell>
          <cell r="C234" t="str">
            <v>Success</v>
          </cell>
          <cell r="D234">
            <v>1</v>
          </cell>
        </row>
        <row r="235">
          <cell r="B235" t="str">
            <v>S0131: Lane Full</v>
          </cell>
          <cell r="C235" t="str">
            <v>Lane Full</v>
          </cell>
          <cell r="D235">
            <v>0</v>
          </cell>
        </row>
        <row r="236">
          <cell r="B236" t="str">
            <v>S0131: Lane Non-Operational</v>
          </cell>
          <cell r="C236" t="str">
            <v>Lane Non-Operational</v>
          </cell>
          <cell r="D236">
            <v>0</v>
          </cell>
        </row>
        <row r="237">
          <cell r="B237" t="str">
            <v>S0131: Throughput Limit</v>
          </cell>
          <cell r="C237" t="str">
            <v>Throughput Limit</v>
          </cell>
          <cell r="D237">
            <v>0</v>
          </cell>
        </row>
        <row r="238">
          <cell r="B238" t="str">
            <v>S0131: Failed to Divert</v>
          </cell>
          <cell r="C238" t="str">
            <v>Failed to Divert</v>
          </cell>
          <cell r="D238">
            <v>0</v>
          </cell>
        </row>
        <row r="239">
          <cell r="B239" t="str">
            <v>S0131: Tracking Error</v>
          </cell>
          <cell r="C239" t="str">
            <v>Tracking Error</v>
          </cell>
          <cell r="D239">
            <v>0</v>
          </cell>
        </row>
        <row r="240">
          <cell r="B240" t="str">
            <v>S0131: Gap Error</v>
          </cell>
          <cell r="C240" t="str">
            <v>Gap Error</v>
          </cell>
          <cell r="D240">
            <v>0</v>
          </cell>
        </row>
        <row r="241">
          <cell r="B241" t="str">
            <v>S0131: No Destination Received</v>
          </cell>
          <cell r="C241" t="str">
            <v>No Destination Received</v>
          </cell>
          <cell r="D241">
            <v>0</v>
          </cell>
        </row>
        <row r="242">
          <cell r="B242" t="str">
            <v>S0132: Success</v>
          </cell>
          <cell r="C242" t="str">
            <v>Success</v>
          </cell>
          <cell r="D242">
            <v>182</v>
          </cell>
        </row>
        <row r="243">
          <cell r="B243" t="str">
            <v>S0132: Lane Full</v>
          </cell>
          <cell r="C243" t="str">
            <v>Lane Full</v>
          </cell>
          <cell r="D243">
            <v>110</v>
          </cell>
        </row>
        <row r="244">
          <cell r="B244" t="str">
            <v>S0132: Lane Non-Operational</v>
          </cell>
          <cell r="C244" t="str">
            <v>Lane Non-Operational</v>
          </cell>
          <cell r="D244">
            <v>0</v>
          </cell>
        </row>
        <row r="245">
          <cell r="B245" t="str">
            <v>S0132: Throughput Limit</v>
          </cell>
          <cell r="C245" t="str">
            <v>Throughput Limit</v>
          </cell>
          <cell r="D245">
            <v>0</v>
          </cell>
        </row>
        <row r="246">
          <cell r="B246" t="str">
            <v>S0132: Failed to Divert</v>
          </cell>
          <cell r="C246" t="str">
            <v>Failed to Divert</v>
          </cell>
          <cell r="D246">
            <v>0</v>
          </cell>
        </row>
        <row r="247">
          <cell r="B247" t="str">
            <v>S0132: Tracking Error</v>
          </cell>
          <cell r="C247" t="str">
            <v>Tracking Error</v>
          </cell>
          <cell r="D247">
            <v>1</v>
          </cell>
        </row>
        <row r="248">
          <cell r="B248" t="str">
            <v>S0132: Gap Error</v>
          </cell>
          <cell r="C248" t="str">
            <v>Gap Error</v>
          </cell>
          <cell r="D248">
            <v>1</v>
          </cell>
        </row>
        <row r="249">
          <cell r="B249" t="str">
            <v>S0132: No Destination Received</v>
          </cell>
          <cell r="C249" t="str">
            <v>No Destination Received</v>
          </cell>
          <cell r="D249">
            <v>0</v>
          </cell>
        </row>
        <row r="250">
          <cell r="B250">
            <v>0</v>
          </cell>
          <cell r="C250" t="str">
            <v/>
          </cell>
          <cell r="D250">
            <v>0</v>
          </cell>
        </row>
        <row r="251">
          <cell r="B251">
            <v>0</v>
          </cell>
          <cell r="C251" t="str">
            <v/>
          </cell>
          <cell r="D251">
            <v>0</v>
          </cell>
        </row>
        <row r="252">
          <cell r="B252">
            <v>0</v>
          </cell>
          <cell r="C252" t="str">
            <v/>
          </cell>
          <cell r="D252">
            <v>0</v>
          </cell>
        </row>
        <row r="253">
          <cell r="B253">
            <v>0</v>
          </cell>
          <cell r="C253" t="str">
            <v/>
          </cell>
          <cell r="D253">
            <v>0</v>
          </cell>
        </row>
        <row r="254">
          <cell r="B254">
            <v>0</v>
          </cell>
          <cell r="C254" t="str">
            <v/>
          </cell>
          <cell r="D254">
            <v>0</v>
          </cell>
        </row>
        <row r="255">
          <cell r="B255">
            <v>0</v>
          </cell>
          <cell r="C255" t="str">
            <v/>
          </cell>
          <cell r="D255">
            <v>0</v>
          </cell>
        </row>
        <row r="256">
          <cell r="B256">
            <v>0</v>
          </cell>
          <cell r="C256" t="str">
            <v/>
          </cell>
          <cell r="D256">
            <v>0</v>
          </cell>
        </row>
        <row r="257">
          <cell r="B257">
            <v>0</v>
          </cell>
          <cell r="C257" t="str">
            <v/>
          </cell>
          <cell r="D257">
            <v>0</v>
          </cell>
        </row>
        <row r="258">
          <cell r="B258">
            <v>0</v>
          </cell>
          <cell r="C258" t="str">
            <v/>
          </cell>
          <cell r="D258">
            <v>0</v>
          </cell>
        </row>
        <row r="259">
          <cell r="B259">
            <v>0</v>
          </cell>
          <cell r="C259" t="str">
            <v/>
          </cell>
          <cell r="D259">
            <v>0</v>
          </cell>
        </row>
        <row r="260">
          <cell r="B260">
            <v>0</v>
          </cell>
          <cell r="C260" t="str">
            <v/>
          </cell>
          <cell r="D260">
            <v>0</v>
          </cell>
        </row>
        <row r="261">
          <cell r="B261">
            <v>0</v>
          </cell>
          <cell r="C261" t="str">
            <v/>
          </cell>
          <cell r="D261">
            <v>0</v>
          </cell>
        </row>
        <row r="262">
          <cell r="B262">
            <v>0</v>
          </cell>
          <cell r="C262" t="str">
            <v/>
          </cell>
          <cell r="D262">
            <v>0</v>
          </cell>
        </row>
        <row r="263">
          <cell r="B263">
            <v>0</v>
          </cell>
          <cell r="C263" t="str">
            <v/>
          </cell>
          <cell r="D263">
            <v>0</v>
          </cell>
        </row>
        <row r="264">
          <cell r="B264">
            <v>0</v>
          </cell>
          <cell r="C264" t="str">
            <v/>
          </cell>
          <cell r="D264">
            <v>0</v>
          </cell>
        </row>
        <row r="265">
          <cell r="B265">
            <v>0</v>
          </cell>
          <cell r="C265" t="str">
            <v/>
          </cell>
          <cell r="D265">
            <v>0</v>
          </cell>
        </row>
        <row r="266">
          <cell r="B266">
            <v>0</v>
          </cell>
          <cell r="C266" t="str">
            <v/>
          </cell>
          <cell r="D266">
            <v>0</v>
          </cell>
        </row>
        <row r="267">
          <cell r="B267">
            <v>0</v>
          </cell>
          <cell r="C267" t="str">
            <v/>
          </cell>
          <cell r="D267">
            <v>0</v>
          </cell>
        </row>
        <row r="268">
          <cell r="B268">
            <v>0</v>
          </cell>
          <cell r="C268" t="str">
            <v/>
          </cell>
          <cell r="D268">
            <v>0</v>
          </cell>
        </row>
        <row r="269">
          <cell r="B269">
            <v>0</v>
          </cell>
          <cell r="C269" t="str">
            <v/>
          </cell>
          <cell r="D269">
            <v>0</v>
          </cell>
        </row>
        <row r="270">
          <cell r="B270">
            <v>0</v>
          </cell>
          <cell r="C270" t="str">
            <v/>
          </cell>
          <cell r="D270">
            <v>0</v>
          </cell>
        </row>
        <row r="271">
          <cell r="B271">
            <v>0</v>
          </cell>
          <cell r="C271" t="str">
            <v/>
          </cell>
          <cell r="D271">
            <v>0</v>
          </cell>
        </row>
        <row r="272">
          <cell r="B272">
            <v>0</v>
          </cell>
          <cell r="C272" t="str">
            <v/>
          </cell>
          <cell r="D272">
            <v>0</v>
          </cell>
        </row>
        <row r="273">
          <cell r="B273">
            <v>0</v>
          </cell>
          <cell r="C273" t="str">
            <v/>
          </cell>
          <cell r="D273">
            <v>0</v>
          </cell>
        </row>
        <row r="274">
          <cell r="B274">
            <v>0</v>
          </cell>
          <cell r="C274" t="str">
            <v/>
          </cell>
          <cell r="D274">
            <v>0</v>
          </cell>
        </row>
        <row r="275">
          <cell r="B275">
            <v>0</v>
          </cell>
          <cell r="C275" t="str">
            <v/>
          </cell>
          <cell r="D275">
            <v>0</v>
          </cell>
        </row>
        <row r="276">
          <cell r="B276">
            <v>0</v>
          </cell>
          <cell r="C276" t="str">
            <v/>
          </cell>
          <cell r="D276">
            <v>0</v>
          </cell>
        </row>
        <row r="277">
          <cell r="B277">
            <v>0</v>
          </cell>
          <cell r="C277" t="str">
            <v/>
          </cell>
          <cell r="D277">
            <v>0</v>
          </cell>
        </row>
        <row r="278">
          <cell r="B278">
            <v>0</v>
          </cell>
          <cell r="C278" t="str">
            <v/>
          </cell>
          <cell r="D278">
            <v>0</v>
          </cell>
        </row>
        <row r="279">
          <cell r="B279">
            <v>0</v>
          </cell>
          <cell r="C279" t="str">
            <v/>
          </cell>
          <cell r="D279">
            <v>0</v>
          </cell>
        </row>
        <row r="280">
          <cell r="B280">
            <v>0</v>
          </cell>
          <cell r="C280" t="str">
            <v/>
          </cell>
          <cell r="D280">
            <v>0</v>
          </cell>
        </row>
        <row r="281">
          <cell r="B281">
            <v>0</v>
          </cell>
          <cell r="C281" t="str">
            <v/>
          </cell>
          <cell r="D281">
            <v>0</v>
          </cell>
        </row>
        <row r="282">
          <cell r="B282">
            <v>0</v>
          </cell>
          <cell r="C282" t="str">
            <v/>
          </cell>
          <cell r="D282">
            <v>0</v>
          </cell>
        </row>
        <row r="283">
          <cell r="B283">
            <v>0</v>
          </cell>
          <cell r="C283" t="str">
            <v/>
          </cell>
          <cell r="D283">
            <v>0</v>
          </cell>
        </row>
        <row r="284">
          <cell r="B284">
            <v>0</v>
          </cell>
          <cell r="C284" t="str">
            <v/>
          </cell>
          <cell r="D284">
            <v>0</v>
          </cell>
        </row>
        <row r="285">
          <cell r="B285">
            <v>0</v>
          </cell>
          <cell r="C285" t="str">
            <v/>
          </cell>
          <cell r="D285">
            <v>0</v>
          </cell>
        </row>
        <row r="286">
          <cell r="B286">
            <v>0</v>
          </cell>
          <cell r="C286" t="str">
            <v/>
          </cell>
          <cell r="D286">
            <v>0</v>
          </cell>
        </row>
        <row r="287">
          <cell r="B287">
            <v>0</v>
          </cell>
          <cell r="C287" t="str">
            <v/>
          </cell>
          <cell r="D287">
            <v>0</v>
          </cell>
        </row>
        <row r="288">
          <cell r="B288">
            <v>0</v>
          </cell>
          <cell r="C288" t="str">
            <v/>
          </cell>
          <cell r="D288">
            <v>0</v>
          </cell>
        </row>
        <row r="289">
          <cell r="B289">
            <v>0</v>
          </cell>
          <cell r="C289" t="str">
            <v/>
          </cell>
          <cell r="D289">
            <v>0</v>
          </cell>
        </row>
        <row r="290">
          <cell r="B290">
            <v>0</v>
          </cell>
          <cell r="C290" t="str">
            <v/>
          </cell>
          <cell r="D290">
            <v>0</v>
          </cell>
        </row>
        <row r="291">
          <cell r="B291">
            <v>0</v>
          </cell>
          <cell r="C291" t="str">
            <v/>
          </cell>
          <cell r="D291">
            <v>0</v>
          </cell>
        </row>
        <row r="292">
          <cell r="B292">
            <v>0</v>
          </cell>
          <cell r="C292" t="str">
            <v/>
          </cell>
          <cell r="D292">
            <v>0</v>
          </cell>
        </row>
        <row r="293">
          <cell r="B293">
            <v>0</v>
          </cell>
          <cell r="C293" t="str">
            <v/>
          </cell>
          <cell r="D293">
            <v>0</v>
          </cell>
        </row>
        <row r="294">
          <cell r="B294">
            <v>0</v>
          </cell>
          <cell r="C294" t="str">
            <v/>
          </cell>
          <cell r="D294">
            <v>0</v>
          </cell>
        </row>
        <row r="295">
          <cell r="B295">
            <v>0</v>
          </cell>
          <cell r="C295" t="str">
            <v/>
          </cell>
          <cell r="D295">
            <v>0</v>
          </cell>
        </row>
        <row r="296">
          <cell r="B296">
            <v>0</v>
          </cell>
          <cell r="C296" t="str">
            <v/>
          </cell>
          <cell r="D296">
            <v>0</v>
          </cell>
        </row>
        <row r="297">
          <cell r="B297">
            <v>0</v>
          </cell>
          <cell r="C297" t="str">
            <v/>
          </cell>
          <cell r="D297">
            <v>0</v>
          </cell>
        </row>
        <row r="298">
          <cell r="B298">
            <v>0</v>
          </cell>
          <cell r="C298" t="str">
            <v/>
          </cell>
          <cell r="D298">
            <v>0</v>
          </cell>
        </row>
        <row r="299">
          <cell r="B299">
            <v>0</v>
          </cell>
          <cell r="C299" t="str">
            <v/>
          </cell>
          <cell r="D299">
            <v>0</v>
          </cell>
        </row>
        <row r="300">
          <cell r="B300">
            <v>0</v>
          </cell>
          <cell r="C300" t="str">
            <v/>
          </cell>
          <cell r="D300">
            <v>0</v>
          </cell>
        </row>
        <row r="301">
          <cell r="B301">
            <v>0</v>
          </cell>
          <cell r="C301" t="str">
            <v/>
          </cell>
          <cell r="D301">
            <v>0</v>
          </cell>
        </row>
        <row r="302">
          <cell r="B302">
            <v>0</v>
          </cell>
          <cell r="C302" t="str">
            <v/>
          </cell>
          <cell r="D302">
            <v>0</v>
          </cell>
        </row>
        <row r="303">
          <cell r="B303">
            <v>0</v>
          </cell>
          <cell r="C303" t="str">
            <v/>
          </cell>
          <cell r="D303">
            <v>0</v>
          </cell>
        </row>
        <row r="304">
          <cell r="B304">
            <v>0</v>
          </cell>
          <cell r="C304" t="str">
            <v/>
          </cell>
          <cell r="D304">
            <v>0</v>
          </cell>
        </row>
        <row r="305">
          <cell r="B305">
            <v>0</v>
          </cell>
          <cell r="C305" t="str">
            <v/>
          </cell>
          <cell r="D305">
            <v>0</v>
          </cell>
        </row>
        <row r="306">
          <cell r="B306">
            <v>0</v>
          </cell>
          <cell r="C306" t="str">
            <v/>
          </cell>
          <cell r="D306">
            <v>0</v>
          </cell>
        </row>
        <row r="307">
          <cell r="B307">
            <v>0</v>
          </cell>
          <cell r="C307" t="str">
            <v/>
          </cell>
          <cell r="D307">
            <v>0</v>
          </cell>
        </row>
        <row r="308">
          <cell r="B308">
            <v>0</v>
          </cell>
          <cell r="C308" t="str">
            <v/>
          </cell>
          <cell r="D308">
            <v>0</v>
          </cell>
        </row>
        <row r="309">
          <cell r="B309">
            <v>0</v>
          </cell>
          <cell r="C309" t="str">
            <v/>
          </cell>
          <cell r="D309">
            <v>0</v>
          </cell>
        </row>
        <row r="310">
          <cell r="B310">
            <v>0</v>
          </cell>
          <cell r="C310" t="str">
            <v/>
          </cell>
          <cell r="D310">
            <v>0</v>
          </cell>
        </row>
        <row r="311">
          <cell r="B311">
            <v>0</v>
          </cell>
          <cell r="C311" t="str">
            <v/>
          </cell>
          <cell r="D311">
            <v>0</v>
          </cell>
        </row>
        <row r="312">
          <cell r="B312">
            <v>0</v>
          </cell>
          <cell r="C312" t="str">
            <v/>
          </cell>
          <cell r="D312">
            <v>0</v>
          </cell>
        </row>
        <row r="313">
          <cell r="B313">
            <v>0</v>
          </cell>
          <cell r="C313" t="str">
            <v/>
          </cell>
          <cell r="D313">
            <v>0</v>
          </cell>
        </row>
        <row r="314">
          <cell r="B314">
            <v>0</v>
          </cell>
          <cell r="C314" t="str">
            <v/>
          </cell>
          <cell r="D314">
            <v>0</v>
          </cell>
        </row>
        <row r="315">
          <cell r="B315">
            <v>0</v>
          </cell>
          <cell r="C315" t="str">
            <v/>
          </cell>
          <cell r="D315">
            <v>0</v>
          </cell>
        </row>
        <row r="316">
          <cell r="B316">
            <v>0</v>
          </cell>
          <cell r="C316" t="str">
            <v/>
          </cell>
          <cell r="D316">
            <v>0</v>
          </cell>
        </row>
        <row r="317">
          <cell r="B317">
            <v>0</v>
          </cell>
          <cell r="C317" t="str">
            <v/>
          </cell>
          <cell r="D317">
            <v>0</v>
          </cell>
        </row>
        <row r="318">
          <cell r="B318">
            <v>0</v>
          </cell>
          <cell r="C318" t="str">
            <v/>
          </cell>
          <cell r="D318">
            <v>0</v>
          </cell>
        </row>
        <row r="319">
          <cell r="B319">
            <v>0</v>
          </cell>
          <cell r="C319" t="str">
            <v/>
          </cell>
          <cell r="D319">
            <v>0</v>
          </cell>
        </row>
        <row r="320">
          <cell r="B320">
            <v>0</v>
          </cell>
          <cell r="C320" t="str">
            <v/>
          </cell>
          <cell r="D320">
            <v>0</v>
          </cell>
        </row>
        <row r="321">
          <cell r="B321">
            <v>0</v>
          </cell>
          <cell r="C321" t="str">
            <v/>
          </cell>
          <cell r="D321">
            <v>0</v>
          </cell>
        </row>
        <row r="322">
          <cell r="B322">
            <v>0</v>
          </cell>
          <cell r="C322" t="str">
            <v/>
          </cell>
          <cell r="D322">
            <v>0</v>
          </cell>
        </row>
        <row r="323">
          <cell r="B323">
            <v>0</v>
          </cell>
          <cell r="C323" t="str">
            <v/>
          </cell>
          <cell r="D323">
            <v>0</v>
          </cell>
        </row>
        <row r="324">
          <cell r="B324">
            <v>0</v>
          </cell>
          <cell r="C324" t="str">
            <v/>
          </cell>
          <cell r="D324">
            <v>0</v>
          </cell>
        </row>
        <row r="325">
          <cell r="B325">
            <v>0</v>
          </cell>
          <cell r="C325" t="str">
            <v/>
          </cell>
          <cell r="D325">
            <v>0</v>
          </cell>
        </row>
        <row r="326">
          <cell r="B326">
            <v>0</v>
          </cell>
          <cell r="C326" t="str">
            <v/>
          </cell>
          <cell r="D326">
            <v>0</v>
          </cell>
        </row>
        <row r="327">
          <cell r="B327">
            <v>0</v>
          </cell>
          <cell r="C327" t="str">
            <v/>
          </cell>
          <cell r="D327">
            <v>0</v>
          </cell>
        </row>
        <row r="328">
          <cell r="B328">
            <v>0</v>
          </cell>
          <cell r="C328" t="str">
            <v/>
          </cell>
          <cell r="D328">
            <v>0</v>
          </cell>
        </row>
        <row r="329">
          <cell r="B329">
            <v>0</v>
          </cell>
          <cell r="C329" t="str">
            <v/>
          </cell>
          <cell r="D329">
            <v>0</v>
          </cell>
        </row>
        <row r="330">
          <cell r="B330">
            <v>0</v>
          </cell>
          <cell r="C330" t="str">
            <v/>
          </cell>
          <cell r="D330">
            <v>0</v>
          </cell>
        </row>
        <row r="331">
          <cell r="B331">
            <v>0</v>
          </cell>
          <cell r="C331" t="str">
            <v/>
          </cell>
          <cell r="D331">
            <v>0</v>
          </cell>
        </row>
        <row r="332">
          <cell r="B332">
            <v>0</v>
          </cell>
          <cell r="C332" t="str">
            <v/>
          </cell>
          <cell r="D332">
            <v>0</v>
          </cell>
        </row>
        <row r="333">
          <cell r="B333">
            <v>0</v>
          </cell>
          <cell r="C333" t="str">
            <v/>
          </cell>
          <cell r="D333">
            <v>0</v>
          </cell>
        </row>
        <row r="334">
          <cell r="B334">
            <v>0</v>
          </cell>
          <cell r="C334" t="str">
            <v/>
          </cell>
          <cell r="D334">
            <v>0</v>
          </cell>
        </row>
        <row r="335">
          <cell r="B335">
            <v>0</v>
          </cell>
          <cell r="C335" t="str">
            <v/>
          </cell>
          <cell r="D335">
            <v>0</v>
          </cell>
        </row>
        <row r="336">
          <cell r="B336">
            <v>0</v>
          </cell>
          <cell r="C336" t="str">
            <v/>
          </cell>
          <cell r="D336">
            <v>0</v>
          </cell>
        </row>
        <row r="337">
          <cell r="B337">
            <v>0</v>
          </cell>
          <cell r="C337" t="str">
            <v/>
          </cell>
          <cell r="D337">
            <v>0</v>
          </cell>
        </row>
        <row r="338">
          <cell r="B338">
            <v>0</v>
          </cell>
          <cell r="C338" t="str">
            <v/>
          </cell>
          <cell r="D338">
            <v>0</v>
          </cell>
        </row>
        <row r="339">
          <cell r="B339">
            <v>0</v>
          </cell>
          <cell r="C339" t="str">
            <v/>
          </cell>
          <cell r="D339">
            <v>0</v>
          </cell>
        </row>
        <row r="340">
          <cell r="B340">
            <v>0</v>
          </cell>
          <cell r="C340" t="str">
            <v/>
          </cell>
          <cell r="D340">
            <v>0</v>
          </cell>
        </row>
        <row r="341">
          <cell r="B341">
            <v>0</v>
          </cell>
          <cell r="C341" t="str">
            <v/>
          </cell>
          <cell r="D341">
            <v>0</v>
          </cell>
        </row>
        <row r="342">
          <cell r="B342">
            <v>0</v>
          </cell>
          <cell r="C342" t="str">
            <v/>
          </cell>
          <cell r="D342">
            <v>0</v>
          </cell>
        </row>
        <row r="343">
          <cell r="B343">
            <v>0</v>
          </cell>
          <cell r="C343" t="str">
            <v/>
          </cell>
          <cell r="D343">
            <v>0</v>
          </cell>
        </row>
        <row r="344">
          <cell r="B344">
            <v>0</v>
          </cell>
          <cell r="C344" t="str">
            <v/>
          </cell>
          <cell r="D344">
            <v>0</v>
          </cell>
        </row>
        <row r="345">
          <cell r="B345">
            <v>0</v>
          </cell>
          <cell r="C345" t="str">
            <v/>
          </cell>
          <cell r="D345">
            <v>0</v>
          </cell>
        </row>
        <row r="346">
          <cell r="B346">
            <v>0</v>
          </cell>
          <cell r="C346" t="str">
            <v/>
          </cell>
          <cell r="D346">
            <v>0</v>
          </cell>
        </row>
        <row r="347">
          <cell r="B347">
            <v>0</v>
          </cell>
          <cell r="C347" t="str">
            <v/>
          </cell>
          <cell r="D347">
            <v>0</v>
          </cell>
        </row>
        <row r="348">
          <cell r="B348">
            <v>0</v>
          </cell>
          <cell r="C348" t="str">
            <v/>
          </cell>
          <cell r="D348">
            <v>0</v>
          </cell>
        </row>
        <row r="349">
          <cell r="B349">
            <v>0</v>
          </cell>
          <cell r="C349" t="str">
            <v/>
          </cell>
          <cell r="D349">
            <v>0</v>
          </cell>
        </row>
        <row r="350">
          <cell r="B350">
            <v>0</v>
          </cell>
          <cell r="C350" t="str">
            <v/>
          </cell>
          <cell r="D350">
            <v>0</v>
          </cell>
        </row>
        <row r="351">
          <cell r="B351">
            <v>0</v>
          </cell>
          <cell r="C351" t="str">
            <v/>
          </cell>
          <cell r="D351">
            <v>0</v>
          </cell>
        </row>
        <row r="352">
          <cell r="B352">
            <v>0</v>
          </cell>
          <cell r="C352" t="str">
            <v/>
          </cell>
          <cell r="D352">
            <v>0</v>
          </cell>
        </row>
        <row r="353">
          <cell r="B353">
            <v>0</v>
          </cell>
          <cell r="C353" t="str">
            <v/>
          </cell>
          <cell r="D353">
            <v>0</v>
          </cell>
        </row>
        <row r="354">
          <cell r="B354">
            <v>0</v>
          </cell>
          <cell r="C354" t="str">
            <v/>
          </cell>
          <cell r="D354">
            <v>0</v>
          </cell>
        </row>
        <row r="355">
          <cell r="B355">
            <v>0</v>
          </cell>
          <cell r="C355" t="str">
            <v/>
          </cell>
          <cell r="D355">
            <v>0</v>
          </cell>
        </row>
        <row r="356">
          <cell r="B356">
            <v>0</v>
          </cell>
          <cell r="C356" t="str">
            <v/>
          </cell>
          <cell r="D356">
            <v>0</v>
          </cell>
        </row>
        <row r="357">
          <cell r="B357">
            <v>0</v>
          </cell>
          <cell r="C357" t="str">
            <v/>
          </cell>
          <cell r="D357">
            <v>0</v>
          </cell>
        </row>
        <row r="358">
          <cell r="B358">
            <v>0</v>
          </cell>
          <cell r="C358" t="str">
            <v/>
          </cell>
          <cell r="D358">
            <v>0</v>
          </cell>
        </row>
        <row r="359">
          <cell r="B359">
            <v>0</v>
          </cell>
          <cell r="C359" t="str">
            <v/>
          </cell>
          <cell r="D359">
            <v>0</v>
          </cell>
        </row>
        <row r="360">
          <cell r="B360">
            <v>0</v>
          </cell>
          <cell r="C360" t="str">
            <v/>
          </cell>
          <cell r="D360">
            <v>0</v>
          </cell>
        </row>
        <row r="361">
          <cell r="B361">
            <v>0</v>
          </cell>
          <cell r="C361" t="str">
            <v/>
          </cell>
          <cell r="D361">
            <v>0</v>
          </cell>
        </row>
        <row r="362">
          <cell r="B362">
            <v>0</v>
          </cell>
          <cell r="C362" t="str">
            <v/>
          </cell>
          <cell r="D362">
            <v>0</v>
          </cell>
        </row>
        <row r="363">
          <cell r="B363">
            <v>0</v>
          </cell>
          <cell r="C363" t="str">
            <v/>
          </cell>
          <cell r="D363">
            <v>0</v>
          </cell>
        </row>
        <row r="364">
          <cell r="B364">
            <v>0</v>
          </cell>
          <cell r="C364" t="str">
            <v/>
          </cell>
          <cell r="D364">
            <v>0</v>
          </cell>
        </row>
        <row r="365">
          <cell r="B365">
            <v>0</v>
          </cell>
          <cell r="C365" t="str">
            <v/>
          </cell>
          <cell r="D365">
            <v>0</v>
          </cell>
        </row>
        <row r="366">
          <cell r="B366">
            <v>0</v>
          </cell>
          <cell r="C366" t="str">
            <v/>
          </cell>
          <cell r="D366">
            <v>0</v>
          </cell>
        </row>
        <row r="367">
          <cell r="B367">
            <v>0</v>
          </cell>
          <cell r="C367" t="str">
            <v/>
          </cell>
          <cell r="D367">
            <v>0</v>
          </cell>
        </row>
        <row r="368">
          <cell r="B368">
            <v>0</v>
          </cell>
          <cell r="C368" t="str">
            <v/>
          </cell>
          <cell r="D368">
            <v>0</v>
          </cell>
        </row>
        <row r="369">
          <cell r="B369">
            <v>0</v>
          </cell>
          <cell r="C369" t="str">
            <v/>
          </cell>
          <cell r="D369">
            <v>0</v>
          </cell>
        </row>
        <row r="370">
          <cell r="B370">
            <v>0</v>
          </cell>
          <cell r="C370" t="str">
            <v/>
          </cell>
          <cell r="D370">
            <v>0</v>
          </cell>
        </row>
        <row r="371">
          <cell r="B371">
            <v>0</v>
          </cell>
          <cell r="C371" t="str">
            <v/>
          </cell>
          <cell r="D371">
            <v>0</v>
          </cell>
        </row>
        <row r="372">
          <cell r="B372">
            <v>0</v>
          </cell>
          <cell r="C372" t="str">
            <v/>
          </cell>
          <cell r="D372">
            <v>0</v>
          </cell>
        </row>
        <row r="373">
          <cell r="B373">
            <v>0</v>
          </cell>
          <cell r="C373" t="str">
            <v/>
          </cell>
          <cell r="D373">
            <v>0</v>
          </cell>
        </row>
        <row r="374">
          <cell r="B374">
            <v>0</v>
          </cell>
          <cell r="C374" t="str">
            <v/>
          </cell>
          <cell r="D374">
            <v>0</v>
          </cell>
        </row>
        <row r="375">
          <cell r="B375">
            <v>0</v>
          </cell>
          <cell r="C375" t="str">
            <v/>
          </cell>
          <cell r="D375">
            <v>0</v>
          </cell>
        </row>
        <row r="376">
          <cell r="B376">
            <v>0</v>
          </cell>
          <cell r="C376" t="str">
            <v/>
          </cell>
          <cell r="D376">
            <v>0</v>
          </cell>
        </row>
        <row r="377">
          <cell r="B377">
            <v>0</v>
          </cell>
          <cell r="C377" t="str">
            <v/>
          </cell>
          <cell r="D377">
            <v>0</v>
          </cell>
        </row>
        <row r="378">
          <cell r="B378">
            <v>0</v>
          </cell>
          <cell r="C378" t="str">
            <v/>
          </cell>
          <cell r="D378">
            <v>0</v>
          </cell>
        </row>
        <row r="379">
          <cell r="B379">
            <v>0</v>
          </cell>
          <cell r="C379" t="str">
            <v/>
          </cell>
          <cell r="D379">
            <v>0</v>
          </cell>
        </row>
        <row r="380">
          <cell r="B380">
            <v>0</v>
          </cell>
          <cell r="C380" t="str">
            <v/>
          </cell>
          <cell r="D380">
            <v>0</v>
          </cell>
        </row>
        <row r="381">
          <cell r="B381">
            <v>0</v>
          </cell>
          <cell r="C381" t="str">
            <v/>
          </cell>
          <cell r="D381">
            <v>0</v>
          </cell>
        </row>
        <row r="382">
          <cell r="B382">
            <v>0</v>
          </cell>
          <cell r="C382" t="str">
            <v/>
          </cell>
          <cell r="D382">
            <v>0</v>
          </cell>
        </row>
        <row r="383">
          <cell r="B383">
            <v>0</v>
          </cell>
          <cell r="C383" t="str">
            <v/>
          </cell>
          <cell r="D383">
            <v>0</v>
          </cell>
        </row>
        <row r="384">
          <cell r="B384">
            <v>0</v>
          </cell>
          <cell r="C384" t="str">
            <v/>
          </cell>
          <cell r="D384">
            <v>0</v>
          </cell>
        </row>
        <row r="385">
          <cell r="B385">
            <v>0</v>
          </cell>
          <cell r="C385" t="str">
            <v/>
          </cell>
          <cell r="D385">
            <v>0</v>
          </cell>
        </row>
        <row r="386">
          <cell r="B386">
            <v>0</v>
          </cell>
          <cell r="C386" t="str">
            <v/>
          </cell>
          <cell r="D386">
            <v>0</v>
          </cell>
        </row>
        <row r="387">
          <cell r="B387">
            <v>0</v>
          </cell>
          <cell r="C387" t="str">
            <v/>
          </cell>
          <cell r="D387">
            <v>0</v>
          </cell>
        </row>
        <row r="388">
          <cell r="B388">
            <v>0</v>
          </cell>
          <cell r="C388" t="str">
            <v/>
          </cell>
          <cell r="D388">
            <v>0</v>
          </cell>
        </row>
        <row r="389">
          <cell r="B389">
            <v>0</v>
          </cell>
          <cell r="C389" t="str">
            <v/>
          </cell>
          <cell r="D389">
            <v>0</v>
          </cell>
        </row>
        <row r="390">
          <cell r="B390">
            <v>0</v>
          </cell>
          <cell r="C390" t="str">
            <v/>
          </cell>
          <cell r="D390">
            <v>0</v>
          </cell>
        </row>
        <row r="391">
          <cell r="B391">
            <v>0</v>
          </cell>
          <cell r="C391" t="str">
            <v/>
          </cell>
          <cell r="D391">
            <v>0</v>
          </cell>
        </row>
        <row r="392">
          <cell r="B392">
            <v>0</v>
          </cell>
          <cell r="C392" t="str">
            <v/>
          </cell>
          <cell r="D392">
            <v>0</v>
          </cell>
        </row>
        <row r="393">
          <cell r="B393">
            <v>0</v>
          </cell>
          <cell r="C393" t="str">
            <v/>
          </cell>
          <cell r="D393">
            <v>0</v>
          </cell>
        </row>
        <row r="394">
          <cell r="B394">
            <v>0</v>
          </cell>
          <cell r="C394" t="str">
            <v/>
          </cell>
          <cell r="D394">
            <v>0</v>
          </cell>
        </row>
        <row r="395">
          <cell r="B395">
            <v>0</v>
          </cell>
          <cell r="C395" t="str">
            <v/>
          </cell>
          <cell r="D395">
            <v>0</v>
          </cell>
        </row>
        <row r="396">
          <cell r="B396">
            <v>0</v>
          </cell>
          <cell r="C396" t="str">
            <v/>
          </cell>
          <cell r="D396">
            <v>0</v>
          </cell>
        </row>
        <row r="397">
          <cell r="B397">
            <v>0</v>
          </cell>
          <cell r="C397" t="str">
            <v/>
          </cell>
          <cell r="D397">
            <v>0</v>
          </cell>
        </row>
        <row r="398">
          <cell r="B398">
            <v>0</v>
          </cell>
          <cell r="C398" t="str">
            <v/>
          </cell>
          <cell r="D398">
            <v>0</v>
          </cell>
        </row>
        <row r="399">
          <cell r="B399">
            <v>0</v>
          </cell>
          <cell r="C399" t="str">
            <v/>
          </cell>
          <cell r="D399">
            <v>0</v>
          </cell>
        </row>
        <row r="400">
          <cell r="B400">
            <v>0</v>
          </cell>
          <cell r="C400" t="str">
            <v/>
          </cell>
          <cell r="D400">
            <v>0</v>
          </cell>
        </row>
        <row r="401">
          <cell r="B401">
            <v>0</v>
          </cell>
          <cell r="C401" t="str">
            <v/>
          </cell>
          <cell r="D401">
            <v>0</v>
          </cell>
        </row>
        <row r="402">
          <cell r="B402">
            <v>0</v>
          </cell>
          <cell r="C402" t="str">
            <v/>
          </cell>
          <cell r="D402">
            <v>0</v>
          </cell>
        </row>
        <row r="403">
          <cell r="B403">
            <v>0</v>
          </cell>
          <cell r="C403" t="str">
            <v/>
          </cell>
          <cell r="D403">
            <v>0</v>
          </cell>
        </row>
        <row r="404">
          <cell r="B404">
            <v>0</v>
          </cell>
          <cell r="C404" t="str">
            <v/>
          </cell>
          <cell r="D404">
            <v>0</v>
          </cell>
        </row>
        <row r="405">
          <cell r="B405">
            <v>0</v>
          </cell>
          <cell r="C405" t="str">
            <v/>
          </cell>
          <cell r="D405">
            <v>0</v>
          </cell>
        </row>
        <row r="406">
          <cell r="B406">
            <v>0</v>
          </cell>
          <cell r="C406" t="str">
            <v/>
          </cell>
          <cell r="D406">
            <v>0</v>
          </cell>
        </row>
        <row r="407">
          <cell r="B407">
            <v>0</v>
          </cell>
          <cell r="C407" t="str">
            <v/>
          </cell>
          <cell r="D407">
            <v>0</v>
          </cell>
        </row>
        <row r="408">
          <cell r="B408">
            <v>0</v>
          </cell>
          <cell r="C408" t="str">
            <v/>
          </cell>
          <cell r="D408">
            <v>0</v>
          </cell>
        </row>
        <row r="409">
          <cell r="B409">
            <v>0</v>
          </cell>
          <cell r="C409" t="str">
            <v/>
          </cell>
          <cell r="D409">
            <v>0</v>
          </cell>
        </row>
        <row r="410">
          <cell r="B410">
            <v>0</v>
          </cell>
          <cell r="C410" t="str">
            <v/>
          </cell>
          <cell r="D410">
            <v>0</v>
          </cell>
        </row>
        <row r="411">
          <cell r="B411">
            <v>0</v>
          </cell>
          <cell r="C411" t="str">
            <v/>
          </cell>
          <cell r="D411">
            <v>0</v>
          </cell>
        </row>
        <row r="412">
          <cell r="B412">
            <v>0</v>
          </cell>
          <cell r="C412" t="str">
            <v/>
          </cell>
          <cell r="D412">
            <v>0</v>
          </cell>
        </row>
        <row r="413">
          <cell r="B413">
            <v>0</v>
          </cell>
          <cell r="C413" t="str">
            <v/>
          </cell>
          <cell r="D413">
            <v>0</v>
          </cell>
        </row>
        <row r="414">
          <cell r="B414">
            <v>0</v>
          </cell>
          <cell r="C414" t="str">
            <v/>
          </cell>
          <cell r="D414">
            <v>0</v>
          </cell>
        </row>
        <row r="415">
          <cell r="B415">
            <v>0</v>
          </cell>
          <cell r="C415" t="str">
            <v/>
          </cell>
          <cell r="D415">
            <v>0</v>
          </cell>
        </row>
        <row r="416">
          <cell r="B416">
            <v>0</v>
          </cell>
          <cell r="C416" t="str">
            <v/>
          </cell>
          <cell r="D416">
            <v>0</v>
          </cell>
        </row>
        <row r="417">
          <cell r="B417">
            <v>0</v>
          </cell>
          <cell r="C417" t="str">
            <v/>
          </cell>
          <cell r="D417">
            <v>0</v>
          </cell>
        </row>
        <row r="418">
          <cell r="B418">
            <v>0</v>
          </cell>
          <cell r="C418" t="str">
            <v/>
          </cell>
          <cell r="D418">
            <v>0</v>
          </cell>
        </row>
        <row r="419">
          <cell r="B419">
            <v>0</v>
          </cell>
          <cell r="C419" t="str">
            <v/>
          </cell>
          <cell r="D419">
            <v>0</v>
          </cell>
        </row>
        <row r="420">
          <cell r="B420">
            <v>0</v>
          </cell>
          <cell r="C420" t="str">
            <v/>
          </cell>
          <cell r="D420">
            <v>0</v>
          </cell>
        </row>
        <row r="421">
          <cell r="B421">
            <v>0</v>
          </cell>
          <cell r="C421" t="str">
            <v/>
          </cell>
          <cell r="D421">
            <v>0</v>
          </cell>
        </row>
        <row r="422">
          <cell r="B422">
            <v>0</v>
          </cell>
          <cell r="C422" t="str">
            <v/>
          </cell>
          <cell r="D422">
            <v>0</v>
          </cell>
        </row>
        <row r="423">
          <cell r="B423">
            <v>0</v>
          </cell>
          <cell r="C423" t="str">
            <v/>
          </cell>
          <cell r="D423">
            <v>0</v>
          </cell>
        </row>
        <row r="424">
          <cell r="B424">
            <v>0</v>
          </cell>
          <cell r="C424" t="str">
            <v/>
          </cell>
          <cell r="D424">
            <v>0</v>
          </cell>
        </row>
        <row r="425">
          <cell r="B425">
            <v>0</v>
          </cell>
          <cell r="C425" t="str">
            <v/>
          </cell>
          <cell r="D425">
            <v>0</v>
          </cell>
        </row>
        <row r="426">
          <cell r="B426">
            <v>0</v>
          </cell>
          <cell r="C426" t="str">
            <v/>
          </cell>
          <cell r="D426">
            <v>0</v>
          </cell>
        </row>
        <row r="427">
          <cell r="B427">
            <v>0</v>
          </cell>
          <cell r="C427" t="str">
            <v/>
          </cell>
          <cell r="D427">
            <v>0</v>
          </cell>
        </row>
        <row r="428">
          <cell r="B428">
            <v>0</v>
          </cell>
          <cell r="C428" t="str">
            <v/>
          </cell>
          <cell r="D428">
            <v>0</v>
          </cell>
        </row>
        <row r="429">
          <cell r="B429">
            <v>0</v>
          </cell>
          <cell r="C429" t="str">
            <v/>
          </cell>
          <cell r="D429">
            <v>0</v>
          </cell>
        </row>
        <row r="430">
          <cell r="B430">
            <v>0</v>
          </cell>
          <cell r="C430" t="str">
            <v/>
          </cell>
          <cell r="D430">
            <v>0</v>
          </cell>
        </row>
        <row r="431">
          <cell r="B431">
            <v>0</v>
          </cell>
          <cell r="C431" t="str">
            <v/>
          </cell>
          <cell r="D431">
            <v>0</v>
          </cell>
        </row>
        <row r="432">
          <cell r="B432">
            <v>0</v>
          </cell>
          <cell r="C432" t="str">
            <v/>
          </cell>
          <cell r="D432">
            <v>0</v>
          </cell>
        </row>
        <row r="433">
          <cell r="B433">
            <v>0</v>
          </cell>
          <cell r="C433" t="str">
            <v/>
          </cell>
          <cell r="D433">
            <v>0</v>
          </cell>
        </row>
        <row r="434">
          <cell r="B434">
            <v>0</v>
          </cell>
          <cell r="C434" t="str">
            <v/>
          </cell>
          <cell r="D434">
            <v>0</v>
          </cell>
        </row>
        <row r="435">
          <cell r="B435">
            <v>0</v>
          </cell>
          <cell r="C435" t="str">
            <v/>
          </cell>
          <cell r="D435">
            <v>0</v>
          </cell>
        </row>
        <row r="436">
          <cell r="B436">
            <v>0</v>
          </cell>
          <cell r="C436" t="str">
            <v/>
          </cell>
          <cell r="D436">
            <v>0</v>
          </cell>
        </row>
        <row r="437">
          <cell r="B437">
            <v>0</v>
          </cell>
          <cell r="C437" t="str">
            <v/>
          </cell>
          <cell r="D437">
            <v>0</v>
          </cell>
        </row>
        <row r="438">
          <cell r="B438">
            <v>0</v>
          </cell>
          <cell r="C438" t="str">
            <v/>
          </cell>
          <cell r="D438">
            <v>0</v>
          </cell>
        </row>
        <row r="439">
          <cell r="B439">
            <v>0</v>
          </cell>
          <cell r="C439" t="str">
            <v/>
          </cell>
          <cell r="D439">
            <v>0</v>
          </cell>
        </row>
        <row r="440">
          <cell r="B440">
            <v>0</v>
          </cell>
          <cell r="C440" t="str">
            <v/>
          </cell>
          <cell r="D440">
            <v>0</v>
          </cell>
        </row>
        <row r="441">
          <cell r="B441">
            <v>0</v>
          </cell>
          <cell r="C441" t="str">
            <v/>
          </cell>
          <cell r="D441">
            <v>0</v>
          </cell>
        </row>
        <row r="442">
          <cell r="B442">
            <v>0</v>
          </cell>
          <cell r="C442" t="str">
            <v/>
          </cell>
          <cell r="D442">
            <v>0</v>
          </cell>
        </row>
        <row r="443">
          <cell r="B443">
            <v>0</v>
          </cell>
          <cell r="C443" t="str">
            <v/>
          </cell>
          <cell r="D443">
            <v>0</v>
          </cell>
        </row>
        <row r="444">
          <cell r="B444">
            <v>0</v>
          </cell>
          <cell r="C444" t="str">
            <v/>
          </cell>
          <cell r="D444">
            <v>0</v>
          </cell>
        </row>
        <row r="445">
          <cell r="B445">
            <v>0</v>
          </cell>
          <cell r="C445" t="str">
            <v/>
          </cell>
          <cell r="D445">
            <v>0</v>
          </cell>
        </row>
        <row r="446">
          <cell r="B446">
            <v>0</v>
          </cell>
          <cell r="C446" t="str">
            <v/>
          </cell>
          <cell r="D446">
            <v>0</v>
          </cell>
        </row>
        <row r="447">
          <cell r="B447">
            <v>0</v>
          </cell>
          <cell r="C447" t="str">
            <v/>
          </cell>
          <cell r="D447">
            <v>0</v>
          </cell>
        </row>
        <row r="448">
          <cell r="B448">
            <v>0</v>
          </cell>
          <cell r="C448" t="str">
            <v/>
          </cell>
          <cell r="D448">
            <v>0</v>
          </cell>
        </row>
        <row r="449">
          <cell r="B449">
            <v>0</v>
          </cell>
          <cell r="C449" t="str">
            <v/>
          </cell>
          <cell r="D449">
            <v>0</v>
          </cell>
        </row>
        <row r="450">
          <cell r="B450">
            <v>0</v>
          </cell>
          <cell r="C450" t="str">
            <v/>
          </cell>
          <cell r="D450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queryTables/queryTable1.xml><?xml version="1.0" encoding="utf-8"?>
<queryTable xmlns="http://schemas.openxmlformats.org/spreadsheetml/2006/main" name="PPA_265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264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263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262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261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260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259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258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257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256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255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254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253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252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251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250" preserveFormatting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248" preserveFormatting="0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18" preserveFormatting="0" connectionId="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177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42" preserveFormatting="0" connectionId="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182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_127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_165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230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147" preserveFormatting="0" connectionId="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_95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PA_59" preserveFormatting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PA_50" preserveFormatting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PA_162" preserveFormatting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PA_172" preserveFormatting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PA_37" preserveFormatting="0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PA_121" preserveFormatting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PA_171" preserveFormatting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PA_219" preserveFormatting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PA_111" preserveFormatting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PA_170" preserveFormatting="0" connectionId="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PA_161" preserveFormatting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PA_237" preserveFormatting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PA_242" preserveFormatting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PA_166" preserveFormatting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PA_156" preserveFormatting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PA_99" preserveFormatting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PA_135" preserveFormatting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PA_120" preserveFormatting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PA_110" preserveFormatting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PA_138" preserveFormatting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PA_212" preserveFormatting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PA_21" preserveFormatting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PA_195" preserveFormatting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PA_124" preserveFormatting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PA_65" preserveFormatting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PA_236" preserveFormatting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PA_125" preserveFormatting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PA_184" preserveFormatting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PA_131" preserveFormatting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PA_231" preserveFormatting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PA_180" preserveFormatting="0" connectionId="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PA_211" preserveFormatting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PA_174" preserveFormatting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PPA_209" preserveFormatting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PPA_78" preserveFormatting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PPA_192" preserveFormatting="0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PPA_31" preserveFormatting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PPA_136" preserveFormatting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PPA_201" preserveFormatting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PPA_226" preserveFormatting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PPA_210" preserveFormatting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PPA_220" preserveFormatting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PPA_153" preserveFormatting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PPA_243" preserveFormatting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PPA_206" preserveFormatting="0" connectionId="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PPA_116" preserveFormatting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PPA_56" preserveFormatting="0" connectionId="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PPA_113" preserveFormatting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PPA_108" preserveFormatting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PPA_87" preserveFormatting="0" connectionId="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PPA_238" preserveFormatting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PPA_149" preserveFormatting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PPA_152" preserveFormatting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PPA_57" preserveFormatting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PPA_67" preserveFormatting="0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PPA_97" preserveFormatting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PPA_58" preserveFormatting="0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PPA_129" preserveFormatting="0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PPA_75" preserveFormatting="0" connectionId="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PPA_232" preserveFormatting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PPA_227" preserveFormatting="0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PPA_187" preserveFormatting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PPA_142" preserveFormatting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PPA_217" preserveFormatting="0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PPA_90" preserveFormatting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PPA_200" preserveFormatting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PPA_49" preserveFormatting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PPA_80" preserveFormatting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PPA_189" preserveFormatting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PPA_45" preserveFormatting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PPA_197" preserveFormatting="0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PPA_52" preserveFormatting="0" connectionId="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PPA_202" preserveFormatting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PPA_134" preserveFormatting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PPA_41" preserveFormatting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PPA_47" preserveFormatting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PPA_222" preserveFormatting="0" connectionId="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PPA_175" preserveFormatting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PPA_244" preserveFormatting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PPA_46" preserveFormatting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PPA_44" preserveFormatting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PPA_203" preserveFormatting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PPA_107" preserveFormatting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PPA_239" preserveFormatting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PPA_63" preserveFormatting="0" connectionId="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PPA_83" preserveFormatting="0" connectionId="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PPA_186" preserveFormatting="0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PPA_167" preserveFormatting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PPA_89" preserveFormatting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PPA_62" preserveFormatting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PPA_126" preserveFormatting="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PPA_164" preserveFormatting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PPA_60" preserveFormatting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PPA_185" preserveFormatting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PPA_188" preserveFormatting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PPA_228" preserveFormatting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PPA_233" preserveFormatting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PPA_117" preserveFormatting="0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PPA_181" preserveFormatting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PPA_53" preserveFormatting="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PPA_190" preserveFormatting="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PPA_70" preserveFormatting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PPA_64" preserveFormatting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PPA_183" preserveFormatting="0" connectionId="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PPA_39" preserveFormatting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PPA_88" preserveFormatting="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PPA_79" preserveFormatting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PPA_103" preserveFormatting="0" connectionId="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PPA_173" preserveFormatting="0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PPA_199" preserveFormatting="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PPA_123" preserveFormatting="0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PPA_74" preserveFormatting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PPA_159" preserveFormatting="0" connectionId="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PPA_194" preserveFormatting="0" connectionId="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PPA_76" preserveFormatting="0" connectionId="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PPA_115" preserveFormatting="0" connectionId="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PPA_223" preserveFormatting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PPA_139" preserveFormatting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PPA_240" preserveFormatting="0" connectionId="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PPA_85" preserveFormatting="0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PPA_216" preserveFormatting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PPA_118" preserveFormatting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PPA_77" preserveFormatting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PPA_81" preserveFormatting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PPA_141" preserveFormatting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PPA_91" preserveFormatting="0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PPA_157" preserveFormatting="0" connectionId="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PPA_198" preserveFormatting="0" connectionId="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PPA_61" preserveFormatting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PPA_32" preserveFormatting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PPA_143" preserveFormatting="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PPA_208" preserveFormatting="0" connectionId="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PPA_122" preserveFormatting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PPA_214" preserveFormatting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PPA_229" preserveFormatting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PPA_234" preserveFormatting="0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PPA_215" preserveFormatting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PPA_140" preserveFormatting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PPA_204" preserveFormatting="0" connectionId="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PPA_92" preserveFormatting="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PPA_148" preserveFormatting="0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PPA_196" preserveFormatting="0" connectionId="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PPA_133" preserveFormatting="0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PPA_160" preserveFormatting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PPA_69" preserveFormatting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PPA_104" preserveFormatting="0" connectionId="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PPA_112" preserveFormatting="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PPA_84" preserveFormatting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PPA_106" preserveFormatting="0" connectionId="2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PPA_155" preserveFormatting="0" connectionId="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PPA_119" preserveFormatting="0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PPA_218" preserveFormatting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PPA_224" preserveFormatting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PPA_137" preserveFormatting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PPA_68" preserveFormatting="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PPA_94" preserveFormatting="0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PPA_93" preserveFormatting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PPA_207" preserveFormatting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PPA_73" preserveFormatting="0" connectionId="3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PPA_176" preserveFormatting="0" connectionId="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PPA_213" preserveFormatting="0" connectionId="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PPA_241" preserveFormatting="0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PPA_33" preserveFormatting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PPA_48" preserveFormatting="0" connectionId="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PPA_43" preserveFormatting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PPA_130" preserveFormatting="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PPA_235" preserveFormatting="0" connectionId="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PPA_132" preserveFormatting="0" connectionId="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PPA_109" preserveFormatting="0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PPA_34" preserveFormatting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PPA_98" preserveFormatting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PPA_163" preserveFormatting="0" connectionId="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PPA_96" preserveFormatting="0" connectionId="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PPA_40" preserveFormatting="0" connectionId="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PPA_151" preserveFormatting="0" connectionId="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PPA_225" preserveFormatting="0" connectionId="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PPA_145" preserveFormatting="0" connectionId="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PPA_273" preserveFormatting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PPA_272" preserveFormatting="0" connectionId="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PPA_271" preserveFormatting="0" connectionId="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PPA_270" preserveFormatting="0" connectionId="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PPA_269" preserveFormatting="0" connectionId="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PPA_268" preserveFormatting="0" connectionId="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PPA_267" preserveFormatting="0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PPA_266" preserveFormatting="0" connectionId="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PPA_265" preserveFormatting="0" connectionId="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PPA_264" preserveFormatting="0" connectionId="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PPA_263" preserveFormatting="0" connectionId="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PPA_262" preserveFormatting="0" connectionId="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PPA_261" preserveFormatting="0" connectionId="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PPA_260" preserveFormatting="0" connectionId="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PPA_259" preserveFormatting="0" connectionId="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PPA_258" preserveFormatting="0" connectionId="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PPA_256" preserveFormatting="0" connectionId="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PPA_255" preserveFormatting="0" connectionId="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PPA_210" preserveFormatting="0" connectionId="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PPA_177" preserveFormatting="0" connectionId="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PPA_173" preserveFormatting="0" connectionId="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PPA_207" preserveFormatting="0" connectionId="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PPA_75" preserveFormatting="0" connectionId="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PPA_181" preserveFormatting="0" connectionId="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PPA_234" preserveFormatting="0" connectionId="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PPA_227" preserveFormatting="0" connectionId="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PPA_83" preserveFormatting="0" connectionId="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PPA_133" preserveFormatting="0" connectionId="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PPA_51" preserveFormatting="0" connectionId="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PPA_33" preserveFormatting="0" connectionId="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PPA_238" preserveFormatting="0" connectionId="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PPA_189" preserveFormatting="0" connectionId="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PPA_139" preserveFormatting="0" connectionId="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PPA_170" preserveFormatting="0" connectionId="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PPA_109" preserveFormatting="0" connectionId="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PPA_101" preserveFormatting="0" connectionId="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PPA_167" preserveFormatting="0" connectionId="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PPA_147" preserveFormatting="0" connectionId="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PPA_190" preserveFormatting="0" connectionId="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PPA_58" preserveFormatting="0" connectionId="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PPA_45" preserveFormatting="0" connectionId="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PPA_224" preserveFormatting="0" connectionId="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PPA_126" preserveFormatting="0" connectionId="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PPA_52" preserveFormatting="0" connectionId="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PPA_127" preserveFormatting="0" connectionId="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PPA_201" preserveFormatting="0" connectionId="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PPA_107" preserveFormatting="0" connectionId="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PPA_229" preserveFormatting="0" connectionId="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PPA_200" preserveFormatting="0" connectionId="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PPA_66" preserveFormatting="0" connectionId="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PPA_216" preserveFormatting="0" connectionId="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PPA_205" preserveFormatting="0" connectionId="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PPA_97" preserveFormatting="0" connectionId="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PPA_239" preserveFormatting="0" connectionId="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PPA_120" preserveFormatting="0" connectionId="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PPA_86" preserveFormatting="0" connectionId="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PPA_99" preserveFormatting="0" connectionId="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PPA_31" preserveFormatting="0" connectionId="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PPA_87" preserveFormatting="0" connectionId="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PPA_113" preserveFormatting="0" connectionId="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PPA_174" preserveFormatting="0" connectionId="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PPA_123" preserveFormatting="0" connectionId="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PPA_183" preserveFormatting="0" connectionId="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PPA_186" preserveFormatting="0" connectionId="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PPA_98" preserveFormatting="0" connectionId="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PPA_68" preserveFormatting="0" connectionId="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PPA_180" preserveFormatting="0" connectionId="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PPA_141" preserveFormatting="0" connectionId="1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PPA_246" preserveFormatting="0" connectionId="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PPA_251" preserveFormatting="0" connectionId="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PPA_193" preserveFormatting="0" connectionId="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PPA_93" preserveFormatting="0" connectionId="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PPA_39" preserveFormatting="0" connectionId="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PPA_65" preserveFormatting="0" connectionId="1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PPA_78" preserveFormatting="0" connectionId="1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PPA_60" preserveFormatting="0" connectionId="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PPA_77" preserveFormatting="0" connectionId="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PPA_32" preserveFormatting="0" connectionId="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PPA_57" preserveFormatting="0" connectionId="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PPA_182" preserveFormatting="0" connectionId="1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PPA_171" preserveFormatting="0" connectionId="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PPA_43" preserveFormatting="0" connectionId="1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PPA_245" preserveFormatting="0" connectionId="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PPA_119" preserveFormatting="0" connectionId="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PPA_136" preserveFormatting="0" connectionId="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PPA_240" preserveFormatting="0" connectionId="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PPA_50" preserveFormatting="0" connectionId="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PPA_220" preserveFormatting="0" connectionId="1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PPA_105" preserveFormatting="0" connectionId="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PPA_103" preserveFormatting="0" connectionId="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PPA_124" preserveFormatting="0" connectionId="1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PPA_47" preserveFormatting="0" connectionId="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PPA_117" preserveFormatting="0" connectionId="1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PPA_217" preserveFormatting="0" connectionId="1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PPA_70" preserveFormatting="0" connectionId="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PPA_137" preserveFormatting="0" connectionId="1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PPA_152" preserveFormatting="0" connectionId="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PPA_156" preserveFormatting="0" connectionId="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PPA_135" preserveFormatting="0" connectionId="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PPA_168" preserveFormatting="0" connectionId="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PPA_235" preserveFormatting="0" connectionId="1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PPA_108" preserveFormatting="0" connectionId="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PPA_150" preserveFormatting="0" connectionId="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PPA_69" preserveFormatting="0" connectionId="1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PPA_218" preserveFormatting="0" connectionId="1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PPA_166" preserveFormatting="0" connectionId="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PPA_230" preserveFormatting="0" connectionId="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PPA_88" preserveFormatting="0" connectionId="1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PPA_61" preserveFormatting="0" connectionId="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PPA_72" preserveFormatting="0" connectionId="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PPA_149" preserveFormatting="0" connectionId="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PPA_252" preserveFormatting="0" connectionId="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PPA_96" preserveFormatting="0" connectionId="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PPA_159" preserveFormatting="0" connectionId="1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PPA_212" preserveFormatting="0" connectionId="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PPA_142" preserveFormatting="0" connectionId="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PPA_164" preserveFormatting="0" connectionId="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PPA_67" preserveFormatting="0" connectionId="1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PPA_118" preserveFormatting="0" connectionId="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PPA_161" preserveFormatting="0" connectionId="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PPA_247" preserveFormatting="0" connectionId="1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PPA_85" preserveFormatting="0" connectionId="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PPA_172" preserveFormatting="0" connectionId="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PPA_206" preserveFormatting="0" connectionId="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PPA_145" preserveFormatting="0" connectionId="1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PPA_89" preserveFormatting="0" connectionId="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PPA_122" preserveFormatting="0" connectionId="1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PPA_209" preserveFormatting="0" connectionId="1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PPA_198" preserveFormatting="0" connectionId="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PPA_241" preserveFormatting="0" connectionId="1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PPA_140" preserveFormatting="0" connectionId="1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PPA_134" preserveFormatting="0" connectionId="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PPA_44" preserveFormatting="0" connectionId="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PPA_236" preserveFormatting="0" connectionId="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PPA_202" preserveFormatting="0" connectionId="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PPA_155" preserveFormatting="0" connectionId="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PPA_49" preserveFormatting="0" connectionId="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PPA_204" preserveFormatting="0" connectionId="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PPA_215" preserveFormatting="0" connectionId="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PPA_144" preserveFormatting="0" connectionId="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PPA_130" preserveFormatting="0" connectionId="1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PPA_92" preserveFormatting="0" connectionId="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PPA_55" preserveFormatting="0" connectionId="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PPA_132" preserveFormatting="0" connectionId="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PPA_162" preserveFormatting="0" connectionId="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PPA_100" preserveFormatting="0" connectionId="1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PPA_41" preserveFormatting="0" connectionId="1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PPA_40" preserveFormatting="0" connectionId="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PPA_187" preserveFormatting="0" connectionId="1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PPA_231" preserveFormatting="0" connectionId="1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PPA_228" preserveFormatting="0" connectionId="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PPA_175" preserveFormatting="0" connectionId="1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PPA_253" preserveFormatting="0" connectionId="1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PPA_62" preserveFormatting="0" connectionId="1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PPA_82" preserveFormatting="0" connectionId="1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PPA_203" preserveFormatting="0" connectionId="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PPA_46" preserveFormatting="0" connectionId="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PPA_165" preserveFormatting="0" connectionId="1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PPA_188" preserveFormatting="0" connectionId="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PPA_248" preserveFormatting="0" connectionId="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PPA_73" preserveFormatting="0" connectionId="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PPA_213" preserveFormatting="0" connectionId="1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PPA_158" preserveFormatting="0" connectionId="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PPA_163" preserveFormatting="0" connectionId="1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PPA_102" preserveFormatting="0" connectionId="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PPA_178" preserveFormatting="0" connectionId="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PPA_194" preserveFormatting="0" connectionId="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PPA_48" preserveFormatting="0" connectionId="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PPA_225" preserveFormatting="0" connectionId="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PPA_153" preserveFormatting="0" connectionId="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PPA_95" preserveFormatting="0" connectionId="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PPA_157" preserveFormatting="0" connectionId="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PPA_197" preserveFormatting="0" connectionId="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PPA_237" preserveFormatting="0" connectionId="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PPA_242" preserveFormatting="0" connectionId="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PPA_154" preserveFormatting="0" connectionId="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PPA_219" preserveFormatting="0" connectionId="1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PPA_143" preserveFormatting="0" connectionId="1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PPA_90" preserveFormatting="0" connectionId="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PPA_208" preserveFormatting="0" connectionId="1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PPA_148" preserveFormatting="0" connectionId="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PPA_131" preserveFormatting="0" connectionId="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PPA_191" preserveFormatting="0" connectionId="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PPA_59" preserveFormatting="0" connectionId="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PPA_106" preserveFormatting="0" connectionId="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PPA_112" preserveFormatting="0" connectionId="1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PPA_196" preserveFormatting="0" connectionId="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PPA_53" preserveFormatting="0" connectionId="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PPA_184" preserveFormatting="0" connectionId="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PPA_116" preserveFormatting="0" connectionId="1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PPA_91" preserveFormatting="0" connectionId="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PPA_111" preserveFormatting="0" connectionId="1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PPA_195" preserveFormatting="0" connectionId="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PPA_84" preserveFormatting="0" connectionId="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PPA_232" preserveFormatting="0" connectionId="1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PPA_54" preserveFormatting="0" connectionId="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PPA_94" preserveFormatting="0" connectionId="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PPA_249" preserveFormatting="0" connectionId="1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PPA_254" preserveFormatting="0" connectionId="1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PPA_110" preserveFormatting="0" connectionId="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PPA_56" preserveFormatting="0" connectionId="1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PPA_169" preserveFormatting="0" connectionId="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PPA_199" preserveFormatting="0" connectionId="1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PPA_80" preserveFormatting="0" connectionId="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PPA_74" preserveFormatting="0" connectionId="1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PPA_146" preserveFormatting="0" connectionId="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PPA_42" preserveFormatting="0" connectionId="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PPA_160" preserveFormatting="0" connectionId="1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PPA_104" preserveFormatting="0" connectionId="1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PPA_34" preserveFormatting="0" connectionId="1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PPA_179" preserveFormatting="0" connectionId="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PPA_243" preserveFormatting="0" connectionId="1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PPA_138" preserveFormatting="0" connectionId="1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PPA_176" preserveFormatting="0" connectionId="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PPA_222" preserveFormatting="0" connectionId="1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PPA_192" preserveFormatting="0" connectionId="1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PPA_221" preserveFormatting="0" connectionId="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PPA_129" preserveFormatting="0" connectionId="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PPA_121" preserveFormatting="0" connectionId="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PPA_64" preserveFormatting="0" connectionId="1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PPA_115" preserveFormatting="0" connectionId="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PPA_233" preserveFormatting="0" connectionId="1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PPA_63" preserveFormatting="0" connectionId="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PPA_128" preserveFormatting="0" connectionId="1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PPA_226" preserveFormatting="0" connectionId="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PPA_71" preserveFormatting="0" connectionId="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PPA_250" preserveFormatting="0" connectionId="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PPA_185" preserveFormatting="0" connectionId="1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PPA_79" preserveFormatting="0" connectionId="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PPA_211" preserveFormatting="0" connectionId="1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PPA_214" preserveFormatting="0" connectionId="1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PPA_244" preserveFormatting="0" connectionId="1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PPA_151" preserveFormatting="0" connectionId="1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PPA_114" preserveFormatting="0" connectionId="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PPA_223" preserveFormatting="0" connectionId="1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PPA_125" preserveFormatting="0" connectionId="1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PPA_272" preserveFormatting="0" connectionId="2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PPA_271" preserveFormatting="0" connectionId="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PPA_270" preserveFormatting="0" connectionId="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PPA_269" preserveFormatting="0" connectionId="2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PPA_268" preserveFormatting="0" connectionId="2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PPA_267" preserveFormatting="0" connectionId="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PPA_266" preserveFormatting="0" connectionId="2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PPA_265" preserveFormatting="0" connectionId="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PPA_264" preserveFormatting="0" connectionId="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PPA_263" preserveFormatting="0" connectionId="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PPA_262" preserveFormatting="0" connectionId="2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PPA_261" preserveFormatting="0" connectionId="2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PPA_260" preserveFormatting="0" connectionId="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PPA_259" preserveFormatting="0" connectionId="2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PPA_258" preserveFormatting="0" connectionId="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PPA_257" preserveFormatting="0" connectionId="5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PPA_256" preserveFormatting="0" connectionId="2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PPA_255" preserveFormatting="0" connectionId="2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PPA_254" preserveFormatting="0" connectionId="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PPA_244" preserveFormatting="0" connectionId="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PPA_154" preserveFormatting="0" connectionId="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PPA_119" preserveFormatting="0" connectionId="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PPA_159" preserveFormatting="0" connectionId="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PPA_111" preserveFormatting="0" connectionId="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PPA_195" preserveFormatting="0" connectionId="2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PPA_157" preserveFormatting="0" connectionId="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PPA_179" preserveFormatting="0" connectionId="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PPA_167" preserveFormatting="0" connectionId="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PPA_199" preserveFormatting="0" connectionId="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PPA_105" preserveFormatting="0" connectionId="4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PPA_234" preserveFormatting="0" connectionId="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PPA_103" preserveFormatting="0" connectionId="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PPA_97" preserveFormatting="0" connectionId="2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PPA_161" preserveFormatting="0" connectionId="2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PPA_41" preserveFormatting="0" connectionId="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PPA_114" preserveFormatting="0" connectionId="2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PPA_225" preserveFormatting="0" connectionId="2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PPA_76" preserveFormatting="0" connectionId="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PPA_193" preserveFormatting="0" connectionId="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PPA_129" preserveFormatting="0" connectionId="2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PPA_186" preserveFormatting="0" connectionId="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PPA_107" preserveFormatting="0" connectionId="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PPA_174" preserveFormatting="0" connectionId="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PPA_126" preserveFormatting="0" connectionId="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PPA_88" preserveFormatting="0" connectionId="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PPA_48" preserveFormatting="0" connectionId="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PPA_50" preserveFormatting="0" connectionId="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PPA_209" preserveFormatting="0" connectionId="2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PPA_136" preserveFormatting="0" connectionId="2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PPA_47" preserveFormatting="0" connectionId="2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PPA_203" preserveFormatting="0" connectionId="2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PPA_113" preserveFormatting="0" connectionId="2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PPA_168" preserveFormatting="0" connectionId="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PPA_239" preserveFormatting="0" connectionId="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PPA_82" preserveFormatting="0" connectionId="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PPA_110" preserveFormatting="0" connectionId="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PPA_148" preserveFormatting="0" connectionId="2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PPA_72" preserveFormatting="0" connectionId="2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PPA_221" preserveFormatting="0" connectionId="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PPA_216" preserveFormatting="0" connectionId="3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PPA_152" preserveFormatting="0" connectionId="2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PPA_198" preserveFormatting="0" connectionId="2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PPA_67" preserveFormatting="0" connectionId="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PPA_158" preserveFormatting="0" connectionId="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PPA_206" preserveFormatting="0" connectionId="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PPA_228" preserveFormatting="0" connectionId="2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PPA_44" preserveFormatting="0" connectionId="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PPA_109" preserveFormatting="0" connectionId="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PPA_246" preserveFormatting="0" connectionId="2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PPA_251" preserveFormatting="0" connectionId="2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PPA_151" preserveFormatting="0" connectionId="3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PPA_98" preserveFormatting="0" connectionId="2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PPA_176" preserveFormatting="0" connectionId="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PPA_196" preserveFormatting="0" connectionId="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PPA_177" preserveFormatting="0" connectionId="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PPA_92" preserveFormatting="0" connectionId="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PPA_163" preserveFormatting="0" connectionId="2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PPA_197" preserveFormatting="0" connectionId="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PPA_57" preserveFormatting="0" connectionId="3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PPA_39" preserveFormatting="0" connectionId="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PPA_155" preserveFormatting="0" connectionId="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PPA_164" preserveFormatting="0" connectionId="2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PPA_117" preserveFormatting="0" connectionId="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PPA_245" preserveFormatting="0" connectionId="2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PPA_222" preserveFormatting="0" connectionId="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PPA_202" preserveFormatting="0" connectionId="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PPA_68" preserveFormatting="0" connectionId="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PPA_55" preserveFormatting="0" connectionId="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PPA_240" preserveFormatting="0" connectionId="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PPA_74" preserveFormatting="0" connectionId="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PPA_144" preserveFormatting="0" connectionId="2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PPA_219" preserveFormatting="0" connectionId="2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PPA_75" preserveFormatting="0" connectionId="2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PPA_31" preserveFormatting="0" connectionId="1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PPA_156" preserveFormatting="0" connectionId="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PPA_49" preserveFormatting="0" connectionId="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PPA_106" preserveFormatting="0" connectionId="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PPA_33" preserveFormatting="0" connectionId="1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PPA_224" preserveFormatting="0" connectionId="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PPA_134" preserveFormatting="0" connectionId="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PPA_96" preserveFormatting="0" connectionId="4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PPA_62" preserveFormatting="0" connectionId="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PPA_235" preserveFormatting="0" connectionId="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PPA_192" preserveFormatting="0" connectionId="2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PPA_191" preserveFormatting="0" connectionId="2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PPA_132" preserveFormatting="0" connectionId="2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PPA_60" preserveFormatting="0" connectionId="2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PPA_229" preserveFormatting="0" connectionId="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PPA_99" preserveFormatting="0" connectionId="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PPA_81" preserveFormatting="0" connectionId="2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PPA_112" preserveFormatting="0" connectionId="3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PPA_54" preserveFormatting="0" connectionId="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PPA_252" preserveFormatting="0" connectionId="2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PPA_135" preserveFormatting="0" connectionId="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PPA_143" preserveFormatting="0" connectionId="2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PPA_64" preserveFormatting="0" connectionId="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PPA_84" preserveFormatting="0" connectionId="2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PPA_46" preserveFormatting="0" connectionId="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PPA_188" preserveFormatting="0" connectionId="2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PPA_217" preserveFormatting="0" connectionId="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PPA_200" preserveFormatting="0" connectionId="2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PPA_215" preserveFormatting="0" connectionId="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PPA_220" preserveFormatting="0" connectionId="2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PPA_247" preserveFormatting="0" connectionId="2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PPA_78" preserveFormatting="0" connectionId="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PPA_102" preserveFormatting="0" connectionId="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PPA_53" preserveFormatting="0" connectionId="2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PPA_142" preserveFormatting="0" connectionId="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PPA_211" preserveFormatting="0" connectionId="2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PPA_190" preserveFormatting="0" connectionId="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PPA_77" preserveFormatting="0" connectionId="2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PPA_218" preserveFormatting="0" connectionId="2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PPA_241" preserveFormatting="0" connectionId="2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PPA_138" preserveFormatting="0" connectionId="3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PPA_38" preserveFormatting="0" connectionId="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PPA_122" preserveFormatting="0" connectionId="2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PPA_236" preserveFormatting="0" connectionId="2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PPA_94" preserveFormatting="0" connectionId="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PPA_123" preserveFormatting="0" connectionId="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PPA_180" preserveFormatting="0" connectionId="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PPA_65" preserveFormatting="0" connectionId="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PPA_212" preserveFormatting="0" connectionId="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PPA_83" preserveFormatting="0" connectionId="2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PPA_165" preserveFormatting="0" connectionId="2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PPA_204" preserveFormatting="0" connectionId="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PPA_118" preserveFormatting="0" connectionId="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PPA_147" preserveFormatting="0" connectionId="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PPA_131" preserveFormatting="0" connectionId="2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PPA_173" preserveFormatting="0" connectionId="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PPA_150" preserveFormatting="0" connectionId="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PPA_133" preserveFormatting="0" connectionId="2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PPA_73" preserveFormatting="0" connectionId="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PPA_153" preserveFormatting="0" connectionId="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PPA_182" preserveFormatting="0" connectionId="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PPA_230" preserveFormatting="0" connectionId="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PPA_59" preserveFormatting="0" connectionId="2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PPA_115" preserveFormatting="0" connectionId="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PPA_253" preserveFormatting="0" connectionId="2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PPA_86" preserveFormatting="0" connectionId="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PPA_121" preserveFormatting="0" connectionId="2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PPA_90" preserveFormatting="0" connectionId="2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PPA_87" preserveFormatting="0" connectionId="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PPA_223" preserveFormatting="0" connectionId="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PPA_248" preserveFormatting="0" connectionId="2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PPA_214" preserveFormatting="0" connectionId="2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PPA_141" preserveFormatting="0" connectionId="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PPA_226" preserveFormatting="0" connectionId="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PPA_51" preserveFormatting="0" connectionId="2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PPA_79" preserveFormatting="0" connectionId="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PPA_52" preserveFormatting="0" connectionId="2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PPA_120" preserveFormatting="0" connectionId="2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PPA_194" preserveFormatting="0" connectionId="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PPA_66" preserveFormatting="0" connectionId="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PPA_34" preserveFormatting="0" connectionId="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PPA_127" preserveFormatting="0" connectionId="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PPA_181" preserveFormatting="0" connectionId="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PPA_237" preserveFormatting="0" connectionId="2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PPA_242" preserveFormatting="0" connectionId="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PPA_166" preserveFormatting="0" connectionId="3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PPA_170" preserveFormatting="0" connectionId="3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PPA_80" preserveFormatting="0" connectionId="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PPA_32" preserveFormatting="0" connectionId="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PPA_45" preserveFormatting="0" connectionId="2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PPA_207" preserveFormatting="0" connectionId="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PPA_100" preserveFormatting="0" connectionId="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PPA_130" preserveFormatting="0" connectionId="3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PPA_71" preserveFormatting="0" connectionId="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PPA_145" preserveFormatting="0" connectionId="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PPA_108" preserveFormatting="0" connectionId="2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PPA_162" preserveFormatting="0" connectionId="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PPA_42" preserveFormatting="0" connectionId="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PPA_183" preserveFormatting="0" connectionId="2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PPA_205" preserveFormatting="0" connectionId="3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PPA_187" preserveFormatting="0" connectionId="2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PPA_146" preserveFormatting="0" connectionId="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PPA_140" preserveFormatting="0" connectionId="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PPA_85" preserveFormatting="0" connectionId="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PPA_40" preserveFormatting="0" connectionId="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PPA_169" preserveFormatting="0" connectionId="2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PPA_231" preserveFormatting="0" connectionId="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PPA_210" preserveFormatting="0" connectionId="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PPA_172" preserveFormatting="0" connectionId="2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PPA_178" preserveFormatting="0" connectionId="2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PPA_249" preserveFormatting="0" connectionId="2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PPA_185" preserveFormatting="0" connectionId="4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PPA_125" preserveFormatting="0" connectionId="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PPA_149" preserveFormatting="0" connectionId="2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PPA_93" preserveFormatting="0" connectionId="2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PPA_139" preserveFormatting="0" connectionId="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PPA_116" preserveFormatting="0" connectionId="2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PPA_69" preserveFormatting="0" connectionId="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PPA_63" preserveFormatting="0" connectionId="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PPA_58" preserveFormatting="0" connectionId="2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PPA_43" preserveFormatting="0" connectionId="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PPA_175" preserveFormatting="0" connectionId="2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PPA_201" preserveFormatting="0" connectionId="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PPA_160" preserveFormatting="0" connectionId="2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PPA_70" preserveFormatting="0" connectionId="2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PPA_208" preserveFormatting="0" connectionId="2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PPA_91" preserveFormatting="0" connectionId="2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PPA_238" preserveFormatting="0" connectionId="2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PPA_243" preserveFormatting="0" connectionId="2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PPA_189" preserveFormatting="0" connectionId="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PPA_213" preserveFormatting="0" connectionId="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PPA_61" preserveFormatting="0" connectionId="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PPA_128" preserveFormatting="0" connectionId="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PPA_171" preserveFormatting="0" connectionId="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PPA_137" preserveFormatting="0" connectionId="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PPA_101" preserveFormatting="0" connectionId="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PPA_232" preserveFormatting="0" connectionId="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PPA_227" preserveFormatting="0" connectionId="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PPA_56" preserveFormatting="0" connectionId="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PPA_124" preserveFormatting="0" connectionId="2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PPA_250" preserveFormatting="0" connectionId="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PPA_89" preserveFormatting="0" connectionId="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PPA_184" preserveFormatting="0" connectionId="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26" Type="http://schemas.openxmlformats.org/officeDocument/2006/relationships/queryTable" Target="../queryTables/queryTable22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18" Type="http://schemas.openxmlformats.org/officeDocument/2006/relationships/queryTable" Target="../queryTables/queryTable117.xml"/><Relationship Id="rId134" Type="http://schemas.openxmlformats.org/officeDocument/2006/relationships/queryTable" Target="../queryTables/queryTable133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71" Type="http://schemas.openxmlformats.org/officeDocument/2006/relationships/queryTable" Target="../queryTables/queryTable170.xml"/><Relationship Id="rId176" Type="http://schemas.openxmlformats.org/officeDocument/2006/relationships/queryTable" Target="../queryTables/queryTable175.xml"/><Relationship Id="rId192" Type="http://schemas.openxmlformats.org/officeDocument/2006/relationships/queryTable" Target="../queryTables/queryTable191.xml"/><Relationship Id="rId197" Type="http://schemas.openxmlformats.org/officeDocument/2006/relationships/queryTable" Target="../queryTables/queryTable196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66" Type="http://schemas.openxmlformats.org/officeDocument/2006/relationships/queryTable" Target="../queryTables/queryTable165.xml"/><Relationship Id="rId182" Type="http://schemas.openxmlformats.org/officeDocument/2006/relationships/queryTable" Target="../queryTables/queryTable181.xml"/><Relationship Id="rId187" Type="http://schemas.openxmlformats.org/officeDocument/2006/relationships/queryTable" Target="../queryTables/queryTable186.xml"/><Relationship Id="rId217" Type="http://schemas.openxmlformats.org/officeDocument/2006/relationships/queryTable" Target="../queryTables/queryTable216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5.xml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2" Type="http://schemas.openxmlformats.org/officeDocument/2006/relationships/queryTable" Target="../queryTables/queryTable201.xml"/><Relationship Id="rId207" Type="http://schemas.openxmlformats.org/officeDocument/2006/relationships/queryTable" Target="../queryTables/queryTable206.xml"/><Relationship Id="rId223" Type="http://schemas.openxmlformats.org/officeDocument/2006/relationships/queryTable" Target="../queryTables/queryTable222.xml"/><Relationship Id="rId228" Type="http://schemas.openxmlformats.org/officeDocument/2006/relationships/queryTable" Target="../queryTables/queryTable22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3" Type="http://schemas.openxmlformats.org/officeDocument/2006/relationships/queryTable" Target="../queryTables/queryTable212.xml"/><Relationship Id="rId218" Type="http://schemas.openxmlformats.org/officeDocument/2006/relationships/queryTable" Target="../queryTables/queryTable217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219" Type="http://schemas.openxmlformats.org/officeDocument/2006/relationships/queryTable" Target="../queryTables/queryTable21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0" Type="http://schemas.openxmlformats.org/officeDocument/2006/relationships/queryTable" Target="../queryTables/queryTable229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0" Type="http://schemas.openxmlformats.org/officeDocument/2006/relationships/queryTable" Target="../queryTables/queryTable219.xml"/><Relationship Id="rId225" Type="http://schemas.openxmlformats.org/officeDocument/2006/relationships/queryTable" Target="../queryTables/queryTable224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10" Type="http://schemas.openxmlformats.org/officeDocument/2006/relationships/queryTable" Target="../queryTables/queryTable209.xml"/><Relationship Id="rId215" Type="http://schemas.openxmlformats.org/officeDocument/2006/relationships/queryTable" Target="../queryTables/queryTable214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50.xml"/><Relationship Id="rId21" Type="http://schemas.openxmlformats.org/officeDocument/2006/relationships/queryTable" Target="../queryTables/queryTable254.xml"/><Relationship Id="rId42" Type="http://schemas.openxmlformats.org/officeDocument/2006/relationships/queryTable" Target="../queryTables/queryTable275.xml"/><Relationship Id="rId63" Type="http://schemas.openxmlformats.org/officeDocument/2006/relationships/queryTable" Target="../queryTables/queryTable296.xml"/><Relationship Id="rId84" Type="http://schemas.openxmlformats.org/officeDocument/2006/relationships/queryTable" Target="../queryTables/queryTable317.xml"/><Relationship Id="rId138" Type="http://schemas.openxmlformats.org/officeDocument/2006/relationships/queryTable" Target="../queryTables/queryTable371.xml"/><Relationship Id="rId159" Type="http://schemas.openxmlformats.org/officeDocument/2006/relationships/queryTable" Target="../queryTables/queryTable392.xml"/><Relationship Id="rId170" Type="http://schemas.openxmlformats.org/officeDocument/2006/relationships/queryTable" Target="../queryTables/queryTable403.xml"/><Relationship Id="rId191" Type="http://schemas.openxmlformats.org/officeDocument/2006/relationships/queryTable" Target="../queryTables/queryTable424.xml"/><Relationship Id="rId205" Type="http://schemas.openxmlformats.org/officeDocument/2006/relationships/queryTable" Target="../queryTables/queryTable438.xml"/><Relationship Id="rId226" Type="http://schemas.openxmlformats.org/officeDocument/2006/relationships/queryTable" Target="../queryTables/queryTable459.xml"/><Relationship Id="rId247" Type="http://schemas.openxmlformats.org/officeDocument/2006/relationships/queryTable" Target="../queryTables/queryTable480.xml"/><Relationship Id="rId107" Type="http://schemas.openxmlformats.org/officeDocument/2006/relationships/queryTable" Target="../queryTables/queryTable340.xml"/><Relationship Id="rId268" Type="http://schemas.openxmlformats.org/officeDocument/2006/relationships/queryTable" Target="../queryTables/queryTable501.xml"/><Relationship Id="rId11" Type="http://schemas.openxmlformats.org/officeDocument/2006/relationships/queryTable" Target="../queryTables/queryTable244.xml"/><Relationship Id="rId32" Type="http://schemas.openxmlformats.org/officeDocument/2006/relationships/queryTable" Target="../queryTables/queryTable265.xml"/><Relationship Id="rId53" Type="http://schemas.openxmlformats.org/officeDocument/2006/relationships/queryTable" Target="../queryTables/queryTable286.xml"/><Relationship Id="rId74" Type="http://schemas.openxmlformats.org/officeDocument/2006/relationships/queryTable" Target="../queryTables/queryTable307.xml"/><Relationship Id="rId128" Type="http://schemas.openxmlformats.org/officeDocument/2006/relationships/queryTable" Target="../queryTables/queryTable361.xml"/><Relationship Id="rId149" Type="http://schemas.openxmlformats.org/officeDocument/2006/relationships/queryTable" Target="../queryTables/queryTable382.xml"/><Relationship Id="rId5" Type="http://schemas.openxmlformats.org/officeDocument/2006/relationships/queryTable" Target="../queryTables/queryTable238.xml"/><Relationship Id="rId95" Type="http://schemas.openxmlformats.org/officeDocument/2006/relationships/queryTable" Target="../queryTables/queryTable328.xml"/><Relationship Id="rId160" Type="http://schemas.openxmlformats.org/officeDocument/2006/relationships/queryTable" Target="../queryTables/queryTable393.xml"/><Relationship Id="rId181" Type="http://schemas.openxmlformats.org/officeDocument/2006/relationships/queryTable" Target="../queryTables/queryTable414.xml"/><Relationship Id="rId216" Type="http://schemas.openxmlformats.org/officeDocument/2006/relationships/queryTable" Target="../queryTables/queryTable449.xml"/><Relationship Id="rId237" Type="http://schemas.openxmlformats.org/officeDocument/2006/relationships/queryTable" Target="../queryTables/queryTable470.xml"/><Relationship Id="rId258" Type="http://schemas.openxmlformats.org/officeDocument/2006/relationships/queryTable" Target="../queryTables/queryTable491.xml"/><Relationship Id="rId22" Type="http://schemas.openxmlformats.org/officeDocument/2006/relationships/queryTable" Target="../queryTables/queryTable255.xml"/><Relationship Id="rId43" Type="http://schemas.openxmlformats.org/officeDocument/2006/relationships/queryTable" Target="../queryTables/queryTable276.xml"/><Relationship Id="rId64" Type="http://schemas.openxmlformats.org/officeDocument/2006/relationships/queryTable" Target="../queryTables/queryTable297.xml"/><Relationship Id="rId118" Type="http://schemas.openxmlformats.org/officeDocument/2006/relationships/queryTable" Target="../queryTables/queryTable351.xml"/><Relationship Id="rId139" Type="http://schemas.openxmlformats.org/officeDocument/2006/relationships/queryTable" Target="../queryTables/queryTable372.xml"/><Relationship Id="rId85" Type="http://schemas.openxmlformats.org/officeDocument/2006/relationships/queryTable" Target="../queryTables/queryTable318.xml"/><Relationship Id="rId150" Type="http://schemas.openxmlformats.org/officeDocument/2006/relationships/queryTable" Target="../queryTables/queryTable383.xml"/><Relationship Id="rId171" Type="http://schemas.openxmlformats.org/officeDocument/2006/relationships/queryTable" Target="../queryTables/queryTable404.xml"/><Relationship Id="rId192" Type="http://schemas.openxmlformats.org/officeDocument/2006/relationships/queryTable" Target="../queryTables/queryTable425.xml"/><Relationship Id="rId206" Type="http://schemas.openxmlformats.org/officeDocument/2006/relationships/queryTable" Target="../queryTables/queryTable439.xml"/><Relationship Id="rId227" Type="http://schemas.openxmlformats.org/officeDocument/2006/relationships/queryTable" Target="../queryTables/queryTable460.xml"/><Relationship Id="rId248" Type="http://schemas.openxmlformats.org/officeDocument/2006/relationships/queryTable" Target="../queryTables/queryTable481.xml"/><Relationship Id="rId269" Type="http://schemas.openxmlformats.org/officeDocument/2006/relationships/queryTable" Target="../queryTables/queryTable502.xml"/><Relationship Id="rId12" Type="http://schemas.openxmlformats.org/officeDocument/2006/relationships/queryTable" Target="../queryTables/queryTable245.xml"/><Relationship Id="rId33" Type="http://schemas.openxmlformats.org/officeDocument/2006/relationships/queryTable" Target="../queryTables/queryTable266.xml"/><Relationship Id="rId108" Type="http://schemas.openxmlformats.org/officeDocument/2006/relationships/queryTable" Target="../queryTables/queryTable341.xml"/><Relationship Id="rId129" Type="http://schemas.openxmlformats.org/officeDocument/2006/relationships/queryTable" Target="../queryTables/queryTable362.xml"/><Relationship Id="rId54" Type="http://schemas.openxmlformats.org/officeDocument/2006/relationships/queryTable" Target="../queryTables/queryTable287.xml"/><Relationship Id="rId75" Type="http://schemas.openxmlformats.org/officeDocument/2006/relationships/queryTable" Target="../queryTables/queryTable308.xml"/><Relationship Id="rId96" Type="http://schemas.openxmlformats.org/officeDocument/2006/relationships/queryTable" Target="../queryTables/queryTable329.xml"/><Relationship Id="rId140" Type="http://schemas.openxmlformats.org/officeDocument/2006/relationships/queryTable" Target="../queryTables/queryTable373.xml"/><Relationship Id="rId161" Type="http://schemas.openxmlformats.org/officeDocument/2006/relationships/queryTable" Target="../queryTables/queryTable394.xml"/><Relationship Id="rId182" Type="http://schemas.openxmlformats.org/officeDocument/2006/relationships/queryTable" Target="../queryTables/queryTable415.xml"/><Relationship Id="rId217" Type="http://schemas.openxmlformats.org/officeDocument/2006/relationships/queryTable" Target="../queryTables/queryTable450.xml"/><Relationship Id="rId6" Type="http://schemas.openxmlformats.org/officeDocument/2006/relationships/queryTable" Target="../queryTables/queryTable239.xml"/><Relationship Id="rId238" Type="http://schemas.openxmlformats.org/officeDocument/2006/relationships/queryTable" Target="../queryTables/queryTable471.xml"/><Relationship Id="rId259" Type="http://schemas.openxmlformats.org/officeDocument/2006/relationships/queryTable" Target="../queryTables/queryTable492.xml"/><Relationship Id="rId23" Type="http://schemas.openxmlformats.org/officeDocument/2006/relationships/queryTable" Target="../queryTables/queryTable256.xml"/><Relationship Id="rId119" Type="http://schemas.openxmlformats.org/officeDocument/2006/relationships/queryTable" Target="../queryTables/queryTable352.xml"/><Relationship Id="rId270" Type="http://schemas.openxmlformats.org/officeDocument/2006/relationships/queryTable" Target="../queryTables/queryTable503.xml"/><Relationship Id="rId44" Type="http://schemas.openxmlformats.org/officeDocument/2006/relationships/queryTable" Target="../queryTables/queryTable277.xml"/><Relationship Id="rId60" Type="http://schemas.openxmlformats.org/officeDocument/2006/relationships/queryTable" Target="../queryTables/queryTable293.xml"/><Relationship Id="rId65" Type="http://schemas.openxmlformats.org/officeDocument/2006/relationships/queryTable" Target="../queryTables/queryTable298.xml"/><Relationship Id="rId81" Type="http://schemas.openxmlformats.org/officeDocument/2006/relationships/queryTable" Target="../queryTables/queryTable314.xml"/><Relationship Id="rId86" Type="http://schemas.openxmlformats.org/officeDocument/2006/relationships/queryTable" Target="../queryTables/queryTable319.xml"/><Relationship Id="rId130" Type="http://schemas.openxmlformats.org/officeDocument/2006/relationships/queryTable" Target="../queryTables/queryTable363.xml"/><Relationship Id="rId135" Type="http://schemas.openxmlformats.org/officeDocument/2006/relationships/queryTable" Target="../queryTables/queryTable368.xml"/><Relationship Id="rId151" Type="http://schemas.openxmlformats.org/officeDocument/2006/relationships/queryTable" Target="../queryTables/queryTable384.xml"/><Relationship Id="rId156" Type="http://schemas.openxmlformats.org/officeDocument/2006/relationships/queryTable" Target="../queryTables/queryTable389.xml"/><Relationship Id="rId177" Type="http://schemas.openxmlformats.org/officeDocument/2006/relationships/queryTable" Target="../queryTables/queryTable410.xml"/><Relationship Id="rId198" Type="http://schemas.openxmlformats.org/officeDocument/2006/relationships/queryTable" Target="../queryTables/queryTable431.xml"/><Relationship Id="rId172" Type="http://schemas.openxmlformats.org/officeDocument/2006/relationships/queryTable" Target="../queryTables/queryTable405.xml"/><Relationship Id="rId193" Type="http://schemas.openxmlformats.org/officeDocument/2006/relationships/queryTable" Target="../queryTables/queryTable426.xml"/><Relationship Id="rId202" Type="http://schemas.openxmlformats.org/officeDocument/2006/relationships/queryTable" Target="../queryTables/queryTable435.xml"/><Relationship Id="rId207" Type="http://schemas.openxmlformats.org/officeDocument/2006/relationships/queryTable" Target="../queryTables/queryTable440.xml"/><Relationship Id="rId223" Type="http://schemas.openxmlformats.org/officeDocument/2006/relationships/queryTable" Target="../queryTables/queryTable456.xml"/><Relationship Id="rId228" Type="http://schemas.openxmlformats.org/officeDocument/2006/relationships/queryTable" Target="../queryTables/queryTable461.xml"/><Relationship Id="rId244" Type="http://schemas.openxmlformats.org/officeDocument/2006/relationships/queryTable" Target="../queryTables/queryTable477.xml"/><Relationship Id="rId249" Type="http://schemas.openxmlformats.org/officeDocument/2006/relationships/queryTable" Target="../queryTables/queryTable482.xml"/><Relationship Id="rId13" Type="http://schemas.openxmlformats.org/officeDocument/2006/relationships/queryTable" Target="../queryTables/queryTable246.xml"/><Relationship Id="rId18" Type="http://schemas.openxmlformats.org/officeDocument/2006/relationships/queryTable" Target="../queryTables/queryTable251.xml"/><Relationship Id="rId39" Type="http://schemas.openxmlformats.org/officeDocument/2006/relationships/queryTable" Target="../queryTables/queryTable272.xml"/><Relationship Id="rId109" Type="http://schemas.openxmlformats.org/officeDocument/2006/relationships/queryTable" Target="../queryTables/queryTable342.xml"/><Relationship Id="rId260" Type="http://schemas.openxmlformats.org/officeDocument/2006/relationships/queryTable" Target="../queryTables/queryTable493.xml"/><Relationship Id="rId265" Type="http://schemas.openxmlformats.org/officeDocument/2006/relationships/queryTable" Target="../queryTables/queryTable498.xml"/><Relationship Id="rId34" Type="http://schemas.openxmlformats.org/officeDocument/2006/relationships/queryTable" Target="../queryTables/queryTable267.xml"/><Relationship Id="rId50" Type="http://schemas.openxmlformats.org/officeDocument/2006/relationships/queryTable" Target="../queryTables/queryTable283.xml"/><Relationship Id="rId55" Type="http://schemas.openxmlformats.org/officeDocument/2006/relationships/queryTable" Target="../queryTables/queryTable288.xml"/><Relationship Id="rId76" Type="http://schemas.openxmlformats.org/officeDocument/2006/relationships/queryTable" Target="../queryTables/queryTable309.xml"/><Relationship Id="rId97" Type="http://schemas.openxmlformats.org/officeDocument/2006/relationships/queryTable" Target="../queryTables/queryTable330.xml"/><Relationship Id="rId104" Type="http://schemas.openxmlformats.org/officeDocument/2006/relationships/queryTable" Target="../queryTables/queryTable337.xml"/><Relationship Id="rId120" Type="http://schemas.openxmlformats.org/officeDocument/2006/relationships/queryTable" Target="../queryTables/queryTable353.xml"/><Relationship Id="rId125" Type="http://schemas.openxmlformats.org/officeDocument/2006/relationships/queryTable" Target="../queryTables/queryTable358.xml"/><Relationship Id="rId141" Type="http://schemas.openxmlformats.org/officeDocument/2006/relationships/queryTable" Target="../queryTables/queryTable374.xml"/><Relationship Id="rId146" Type="http://schemas.openxmlformats.org/officeDocument/2006/relationships/queryTable" Target="../queryTables/queryTable379.xml"/><Relationship Id="rId167" Type="http://schemas.openxmlformats.org/officeDocument/2006/relationships/queryTable" Target="../queryTables/queryTable400.xml"/><Relationship Id="rId188" Type="http://schemas.openxmlformats.org/officeDocument/2006/relationships/queryTable" Target="../queryTables/queryTable421.xml"/><Relationship Id="rId7" Type="http://schemas.openxmlformats.org/officeDocument/2006/relationships/queryTable" Target="../queryTables/queryTable240.xml"/><Relationship Id="rId71" Type="http://schemas.openxmlformats.org/officeDocument/2006/relationships/queryTable" Target="../queryTables/queryTable304.xml"/><Relationship Id="rId92" Type="http://schemas.openxmlformats.org/officeDocument/2006/relationships/queryTable" Target="../queryTables/queryTable325.xml"/><Relationship Id="rId162" Type="http://schemas.openxmlformats.org/officeDocument/2006/relationships/queryTable" Target="../queryTables/queryTable395.xml"/><Relationship Id="rId183" Type="http://schemas.openxmlformats.org/officeDocument/2006/relationships/queryTable" Target="../queryTables/queryTable416.xml"/><Relationship Id="rId213" Type="http://schemas.openxmlformats.org/officeDocument/2006/relationships/queryTable" Target="../queryTables/queryTable446.xml"/><Relationship Id="rId218" Type="http://schemas.openxmlformats.org/officeDocument/2006/relationships/queryTable" Target="../queryTables/queryTable451.xml"/><Relationship Id="rId234" Type="http://schemas.openxmlformats.org/officeDocument/2006/relationships/queryTable" Target="../queryTables/queryTable467.xml"/><Relationship Id="rId239" Type="http://schemas.openxmlformats.org/officeDocument/2006/relationships/queryTable" Target="../queryTables/queryTable472.xml"/><Relationship Id="rId2" Type="http://schemas.openxmlformats.org/officeDocument/2006/relationships/queryTable" Target="../queryTables/queryTable235.xml"/><Relationship Id="rId29" Type="http://schemas.openxmlformats.org/officeDocument/2006/relationships/queryTable" Target="../queryTables/queryTable262.xml"/><Relationship Id="rId250" Type="http://schemas.openxmlformats.org/officeDocument/2006/relationships/queryTable" Target="../queryTables/queryTable483.xml"/><Relationship Id="rId255" Type="http://schemas.openxmlformats.org/officeDocument/2006/relationships/queryTable" Target="../queryTables/queryTable488.xml"/><Relationship Id="rId271" Type="http://schemas.openxmlformats.org/officeDocument/2006/relationships/queryTable" Target="../queryTables/queryTable504.xml"/><Relationship Id="rId24" Type="http://schemas.openxmlformats.org/officeDocument/2006/relationships/queryTable" Target="../queryTables/queryTable257.xml"/><Relationship Id="rId40" Type="http://schemas.openxmlformats.org/officeDocument/2006/relationships/queryTable" Target="../queryTables/queryTable273.xml"/><Relationship Id="rId45" Type="http://schemas.openxmlformats.org/officeDocument/2006/relationships/queryTable" Target="../queryTables/queryTable278.xml"/><Relationship Id="rId66" Type="http://schemas.openxmlformats.org/officeDocument/2006/relationships/queryTable" Target="../queryTables/queryTable299.xml"/><Relationship Id="rId87" Type="http://schemas.openxmlformats.org/officeDocument/2006/relationships/queryTable" Target="../queryTables/queryTable320.xml"/><Relationship Id="rId110" Type="http://schemas.openxmlformats.org/officeDocument/2006/relationships/queryTable" Target="../queryTables/queryTable343.xml"/><Relationship Id="rId115" Type="http://schemas.openxmlformats.org/officeDocument/2006/relationships/queryTable" Target="../queryTables/queryTable348.xml"/><Relationship Id="rId131" Type="http://schemas.openxmlformats.org/officeDocument/2006/relationships/queryTable" Target="../queryTables/queryTable364.xml"/><Relationship Id="rId136" Type="http://schemas.openxmlformats.org/officeDocument/2006/relationships/queryTable" Target="../queryTables/queryTable369.xml"/><Relationship Id="rId157" Type="http://schemas.openxmlformats.org/officeDocument/2006/relationships/queryTable" Target="../queryTables/queryTable390.xml"/><Relationship Id="rId178" Type="http://schemas.openxmlformats.org/officeDocument/2006/relationships/queryTable" Target="../queryTables/queryTable411.xml"/><Relationship Id="rId61" Type="http://schemas.openxmlformats.org/officeDocument/2006/relationships/queryTable" Target="../queryTables/queryTable294.xml"/><Relationship Id="rId82" Type="http://schemas.openxmlformats.org/officeDocument/2006/relationships/queryTable" Target="../queryTables/queryTable315.xml"/><Relationship Id="rId152" Type="http://schemas.openxmlformats.org/officeDocument/2006/relationships/queryTable" Target="../queryTables/queryTable385.xml"/><Relationship Id="rId173" Type="http://schemas.openxmlformats.org/officeDocument/2006/relationships/queryTable" Target="../queryTables/queryTable406.xml"/><Relationship Id="rId194" Type="http://schemas.openxmlformats.org/officeDocument/2006/relationships/queryTable" Target="../queryTables/queryTable427.xml"/><Relationship Id="rId199" Type="http://schemas.openxmlformats.org/officeDocument/2006/relationships/queryTable" Target="../queryTables/queryTable432.xml"/><Relationship Id="rId203" Type="http://schemas.openxmlformats.org/officeDocument/2006/relationships/queryTable" Target="../queryTables/queryTable436.xml"/><Relationship Id="rId208" Type="http://schemas.openxmlformats.org/officeDocument/2006/relationships/queryTable" Target="../queryTables/queryTable441.xml"/><Relationship Id="rId229" Type="http://schemas.openxmlformats.org/officeDocument/2006/relationships/queryTable" Target="../queryTables/queryTable462.xml"/><Relationship Id="rId19" Type="http://schemas.openxmlformats.org/officeDocument/2006/relationships/queryTable" Target="../queryTables/queryTable252.xml"/><Relationship Id="rId224" Type="http://schemas.openxmlformats.org/officeDocument/2006/relationships/queryTable" Target="../queryTables/queryTable457.xml"/><Relationship Id="rId240" Type="http://schemas.openxmlformats.org/officeDocument/2006/relationships/queryTable" Target="../queryTables/queryTable473.xml"/><Relationship Id="rId245" Type="http://schemas.openxmlformats.org/officeDocument/2006/relationships/queryTable" Target="../queryTables/queryTable478.xml"/><Relationship Id="rId261" Type="http://schemas.openxmlformats.org/officeDocument/2006/relationships/queryTable" Target="../queryTables/queryTable494.xml"/><Relationship Id="rId266" Type="http://schemas.openxmlformats.org/officeDocument/2006/relationships/queryTable" Target="../queryTables/queryTable499.xml"/><Relationship Id="rId14" Type="http://schemas.openxmlformats.org/officeDocument/2006/relationships/queryTable" Target="../queryTables/queryTable247.xml"/><Relationship Id="rId30" Type="http://schemas.openxmlformats.org/officeDocument/2006/relationships/queryTable" Target="../queryTables/queryTable263.xml"/><Relationship Id="rId35" Type="http://schemas.openxmlformats.org/officeDocument/2006/relationships/queryTable" Target="../queryTables/queryTable268.xml"/><Relationship Id="rId56" Type="http://schemas.openxmlformats.org/officeDocument/2006/relationships/queryTable" Target="../queryTables/queryTable289.xml"/><Relationship Id="rId77" Type="http://schemas.openxmlformats.org/officeDocument/2006/relationships/queryTable" Target="../queryTables/queryTable310.xml"/><Relationship Id="rId100" Type="http://schemas.openxmlformats.org/officeDocument/2006/relationships/queryTable" Target="../queryTables/queryTable333.xml"/><Relationship Id="rId105" Type="http://schemas.openxmlformats.org/officeDocument/2006/relationships/queryTable" Target="../queryTables/queryTable338.xml"/><Relationship Id="rId126" Type="http://schemas.openxmlformats.org/officeDocument/2006/relationships/queryTable" Target="../queryTables/queryTable359.xml"/><Relationship Id="rId147" Type="http://schemas.openxmlformats.org/officeDocument/2006/relationships/queryTable" Target="../queryTables/queryTable380.xml"/><Relationship Id="rId168" Type="http://schemas.openxmlformats.org/officeDocument/2006/relationships/queryTable" Target="../queryTables/queryTable401.xml"/><Relationship Id="rId8" Type="http://schemas.openxmlformats.org/officeDocument/2006/relationships/queryTable" Target="../queryTables/queryTable241.xml"/><Relationship Id="rId51" Type="http://schemas.openxmlformats.org/officeDocument/2006/relationships/queryTable" Target="../queryTables/queryTable284.xml"/><Relationship Id="rId72" Type="http://schemas.openxmlformats.org/officeDocument/2006/relationships/queryTable" Target="../queryTables/queryTable305.xml"/><Relationship Id="rId93" Type="http://schemas.openxmlformats.org/officeDocument/2006/relationships/queryTable" Target="../queryTables/queryTable326.xml"/><Relationship Id="rId98" Type="http://schemas.openxmlformats.org/officeDocument/2006/relationships/queryTable" Target="../queryTables/queryTable331.xml"/><Relationship Id="rId121" Type="http://schemas.openxmlformats.org/officeDocument/2006/relationships/queryTable" Target="../queryTables/queryTable354.xml"/><Relationship Id="rId142" Type="http://schemas.openxmlformats.org/officeDocument/2006/relationships/queryTable" Target="../queryTables/queryTable375.xml"/><Relationship Id="rId163" Type="http://schemas.openxmlformats.org/officeDocument/2006/relationships/queryTable" Target="../queryTables/queryTable396.xml"/><Relationship Id="rId184" Type="http://schemas.openxmlformats.org/officeDocument/2006/relationships/queryTable" Target="../queryTables/queryTable417.xml"/><Relationship Id="rId189" Type="http://schemas.openxmlformats.org/officeDocument/2006/relationships/queryTable" Target="../queryTables/queryTable422.xml"/><Relationship Id="rId219" Type="http://schemas.openxmlformats.org/officeDocument/2006/relationships/queryTable" Target="../queryTables/queryTable452.xml"/><Relationship Id="rId3" Type="http://schemas.openxmlformats.org/officeDocument/2006/relationships/queryTable" Target="../queryTables/queryTable236.xml"/><Relationship Id="rId214" Type="http://schemas.openxmlformats.org/officeDocument/2006/relationships/queryTable" Target="../queryTables/queryTable447.xml"/><Relationship Id="rId230" Type="http://schemas.openxmlformats.org/officeDocument/2006/relationships/queryTable" Target="../queryTables/queryTable463.xml"/><Relationship Id="rId235" Type="http://schemas.openxmlformats.org/officeDocument/2006/relationships/queryTable" Target="../queryTables/queryTable468.xml"/><Relationship Id="rId251" Type="http://schemas.openxmlformats.org/officeDocument/2006/relationships/queryTable" Target="../queryTables/queryTable484.xml"/><Relationship Id="rId256" Type="http://schemas.openxmlformats.org/officeDocument/2006/relationships/queryTable" Target="../queryTables/queryTable489.xml"/><Relationship Id="rId25" Type="http://schemas.openxmlformats.org/officeDocument/2006/relationships/queryTable" Target="../queryTables/queryTable258.xml"/><Relationship Id="rId46" Type="http://schemas.openxmlformats.org/officeDocument/2006/relationships/queryTable" Target="../queryTables/queryTable279.xml"/><Relationship Id="rId67" Type="http://schemas.openxmlformats.org/officeDocument/2006/relationships/queryTable" Target="../queryTables/queryTable300.xml"/><Relationship Id="rId116" Type="http://schemas.openxmlformats.org/officeDocument/2006/relationships/queryTable" Target="../queryTables/queryTable349.xml"/><Relationship Id="rId137" Type="http://schemas.openxmlformats.org/officeDocument/2006/relationships/queryTable" Target="../queryTables/queryTable370.xml"/><Relationship Id="rId158" Type="http://schemas.openxmlformats.org/officeDocument/2006/relationships/queryTable" Target="../queryTables/queryTable391.xml"/><Relationship Id="rId20" Type="http://schemas.openxmlformats.org/officeDocument/2006/relationships/queryTable" Target="../queryTables/queryTable253.xml"/><Relationship Id="rId41" Type="http://schemas.openxmlformats.org/officeDocument/2006/relationships/queryTable" Target="../queryTables/queryTable274.xml"/><Relationship Id="rId62" Type="http://schemas.openxmlformats.org/officeDocument/2006/relationships/queryTable" Target="../queryTables/queryTable295.xml"/><Relationship Id="rId83" Type="http://schemas.openxmlformats.org/officeDocument/2006/relationships/queryTable" Target="../queryTables/queryTable316.xml"/><Relationship Id="rId88" Type="http://schemas.openxmlformats.org/officeDocument/2006/relationships/queryTable" Target="../queryTables/queryTable321.xml"/><Relationship Id="rId111" Type="http://schemas.openxmlformats.org/officeDocument/2006/relationships/queryTable" Target="../queryTables/queryTable344.xml"/><Relationship Id="rId132" Type="http://schemas.openxmlformats.org/officeDocument/2006/relationships/queryTable" Target="../queryTables/queryTable365.xml"/><Relationship Id="rId153" Type="http://schemas.openxmlformats.org/officeDocument/2006/relationships/queryTable" Target="../queryTables/queryTable386.xml"/><Relationship Id="rId174" Type="http://schemas.openxmlformats.org/officeDocument/2006/relationships/queryTable" Target="../queryTables/queryTable407.xml"/><Relationship Id="rId179" Type="http://schemas.openxmlformats.org/officeDocument/2006/relationships/queryTable" Target="../queryTables/queryTable412.xml"/><Relationship Id="rId195" Type="http://schemas.openxmlformats.org/officeDocument/2006/relationships/queryTable" Target="../queryTables/queryTable428.xml"/><Relationship Id="rId209" Type="http://schemas.openxmlformats.org/officeDocument/2006/relationships/queryTable" Target="../queryTables/queryTable442.xml"/><Relationship Id="rId190" Type="http://schemas.openxmlformats.org/officeDocument/2006/relationships/queryTable" Target="../queryTables/queryTable423.xml"/><Relationship Id="rId204" Type="http://schemas.openxmlformats.org/officeDocument/2006/relationships/queryTable" Target="../queryTables/queryTable437.xml"/><Relationship Id="rId220" Type="http://schemas.openxmlformats.org/officeDocument/2006/relationships/queryTable" Target="../queryTables/queryTable453.xml"/><Relationship Id="rId225" Type="http://schemas.openxmlformats.org/officeDocument/2006/relationships/queryTable" Target="../queryTables/queryTable458.xml"/><Relationship Id="rId241" Type="http://schemas.openxmlformats.org/officeDocument/2006/relationships/queryTable" Target="../queryTables/queryTable474.xml"/><Relationship Id="rId246" Type="http://schemas.openxmlformats.org/officeDocument/2006/relationships/queryTable" Target="../queryTables/queryTable479.xml"/><Relationship Id="rId267" Type="http://schemas.openxmlformats.org/officeDocument/2006/relationships/queryTable" Target="../queryTables/queryTable500.xml"/><Relationship Id="rId15" Type="http://schemas.openxmlformats.org/officeDocument/2006/relationships/queryTable" Target="../queryTables/queryTable248.xml"/><Relationship Id="rId36" Type="http://schemas.openxmlformats.org/officeDocument/2006/relationships/queryTable" Target="../queryTables/queryTable269.xml"/><Relationship Id="rId57" Type="http://schemas.openxmlformats.org/officeDocument/2006/relationships/queryTable" Target="../queryTables/queryTable290.xml"/><Relationship Id="rId106" Type="http://schemas.openxmlformats.org/officeDocument/2006/relationships/queryTable" Target="../queryTables/queryTable339.xml"/><Relationship Id="rId127" Type="http://schemas.openxmlformats.org/officeDocument/2006/relationships/queryTable" Target="../queryTables/queryTable360.xml"/><Relationship Id="rId262" Type="http://schemas.openxmlformats.org/officeDocument/2006/relationships/queryTable" Target="../queryTables/queryTable495.xml"/><Relationship Id="rId10" Type="http://schemas.openxmlformats.org/officeDocument/2006/relationships/queryTable" Target="../queryTables/queryTable243.xml"/><Relationship Id="rId31" Type="http://schemas.openxmlformats.org/officeDocument/2006/relationships/queryTable" Target="../queryTables/queryTable264.xml"/><Relationship Id="rId52" Type="http://schemas.openxmlformats.org/officeDocument/2006/relationships/queryTable" Target="../queryTables/queryTable285.xml"/><Relationship Id="rId73" Type="http://schemas.openxmlformats.org/officeDocument/2006/relationships/queryTable" Target="../queryTables/queryTable306.xml"/><Relationship Id="rId78" Type="http://schemas.openxmlformats.org/officeDocument/2006/relationships/queryTable" Target="../queryTables/queryTable311.xml"/><Relationship Id="rId94" Type="http://schemas.openxmlformats.org/officeDocument/2006/relationships/queryTable" Target="../queryTables/queryTable327.xml"/><Relationship Id="rId99" Type="http://schemas.openxmlformats.org/officeDocument/2006/relationships/queryTable" Target="../queryTables/queryTable332.xml"/><Relationship Id="rId101" Type="http://schemas.openxmlformats.org/officeDocument/2006/relationships/queryTable" Target="../queryTables/queryTable334.xml"/><Relationship Id="rId122" Type="http://schemas.openxmlformats.org/officeDocument/2006/relationships/queryTable" Target="../queryTables/queryTable355.xml"/><Relationship Id="rId143" Type="http://schemas.openxmlformats.org/officeDocument/2006/relationships/queryTable" Target="../queryTables/queryTable376.xml"/><Relationship Id="rId148" Type="http://schemas.openxmlformats.org/officeDocument/2006/relationships/queryTable" Target="../queryTables/queryTable381.xml"/><Relationship Id="rId164" Type="http://schemas.openxmlformats.org/officeDocument/2006/relationships/queryTable" Target="../queryTables/queryTable397.xml"/><Relationship Id="rId169" Type="http://schemas.openxmlformats.org/officeDocument/2006/relationships/queryTable" Target="../queryTables/queryTable402.xml"/><Relationship Id="rId185" Type="http://schemas.openxmlformats.org/officeDocument/2006/relationships/queryTable" Target="../queryTables/queryTable418.xml"/><Relationship Id="rId4" Type="http://schemas.openxmlformats.org/officeDocument/2006/relationships/queryTable" Target="../queryTables/queryTable237.xml"/><Relationship Id="rId9" Type="http://schemas.openxmlformats.org/officeDocument/2006/relationships/queryTable" Target="../queryTables/queryTable242.xml"/><Relationship Id="rId180" Type="http://schemas.openxmlformats.org/officeDocument/2006/relationships/queryTable" Target="../queryTables/queryTable413.xml"/><Relationship Id="rId210" Type="http://schemas.openxmlformats.org/officeDocument/2006/relationships/queryTable" Target="../queryTables/queryTable443.xml"/><Relationship Id="rId215" Type="http://schemas.openxmlformats.org/officeDocument/2006/relationships/queryTable" Target="../queryTables/queryTable448.xml"/><Relationship Id="rId236" Type="http://schemas.openxmlformats.org/officeDocument/2006/relationships/queryTable" Target="../queryTables/queryTable469.xml"/><Relationship Id="rId257" Type="http://schemas.openxmlformats.org/officeDocument/2006/relationships/queryTable" Target="../queryTables/queryTable490.xml"/><Relationship Id="rId26" Type="http://schemas.openxmlformats.org/officeDocument/2006/relationships/queryTable" Target="../queryTables/queryTable259.xml"/><Relationship Id="rId231" Type="http://schemas.openxmlformats.org/officeDocument/2006/relationships/queryTable" Target="../queryTables/queryTable464.xml"/><Relationship Id="rId252" Type="http://schemas.openxmlformats.org/officeDocument/2006/relationships/queryTable" Target="../queryTables/queryTable485.xml"/><Relationship Id="rId47" Type="http://schemas.openxmlformats.org/officeDocument/2006/relationships/queryTable" Target="../queryTables/queryTable280.xml"/><Relationship Id="rId68" Type="http://schemas.openxmlformats.org/officeDocument/2006/relationships/queryTable" Target="../queryTables/queryTable301.xml"/><Relationship Id="rId89" Type="http://schemas.openxmlformats.org/officeDocument/2006/relationships/queryTable" Target="../queryTables/queryTable322.xml"/><Relationship Id="rId112" Type="http://schemas.openxmlformats.org/officeDocument/2006/relationships/queryTable" Target="../queryTables/queryTable345.xml"/><Relationship Id="rId133" Type="http://schemas.openxmlformats.org/officeDocument/2006/relationships/queryTable" Target="../queryTables/queryTable366.xml"/><Relationship Id="rId154" Type="http://schemas.openxmlformats.org/officeDocument/2006/relationships/queryTable" Target="../queryTables/queryTable387.xml"/><Relationship Id="rId175" Type="http://schemas.openxmlformats.org/officeDocument/2006/relationships/queryTable" Target="../queryTables/queryTable408.xml"/><Relationship Id="rId196" Type="http://schemas.openxmlformats.org/officeDocument/2006/relationships/queryTable" Target="../queryTables/queryTable429.xml"/><Relationship Id="rId200" Type="http://schemas.openxmlformats.org/officeDocument/2006/relationships/queryTable" Target="../queryTables/queryTable433.xml"/><Relationship Id="rId16" Type="http://schemas.openxmlformats.org/officeDocument/2006/relationships/queryTable" Target="../queryTables/queryTable249.xml"/><Relationship Id="rId221" Type="http://schemas.openxmlformats.org/officeDocument/2006/relationships/queryTable" Target="../queryTables/queryTable454.xml"/><Relationship Id="rId242" Type="http://schemas.openxmlformats.org/officeDocument/2006/relationships/queryTable" Target="../queryTables/queryTable475.xml"/><Relationship Id="rId263" Type="http://schemas.openxmlformats.org/officeDocument/2006/relationships/queryTable" Target="../queryTables/queryTable496.xml"/><Relationship Id="rId37" Type="http://schemas.openxmlformats.org/officeDocument/2006/relationships/queryTable" Target="../queryTables/queryTable270.xml"/><Relationship Id="rId58" Type="http://schemas.openxmlformats.org/officeDocument/2006/relationships/queryTable" Target="../queryTables/queryTable291.xml"/><Relationship Id="rId79" Type="http://schemas.openxmlformats.org/officeDocument/2006/relationships/queryTable" Target="../queryTables/queryTable312.xml"/><Relationship Id="rId102" Type="http://schemas.openxmlformats.org/officeDocument/2006/relationships/queryTable" Target="../queryTables/queryTable335.xml"/><Relationship Id="rId123" Type="http://schemas.openxmlformats.org/officeDocument/2006/relationships/queryTable" Target="../queryTables/queryTable356.xml"/><Relationship Id="rId144" Type="http://schemas.openxmlformats.org/officeDocument/2006/relationships/queryTable" Target="../queryTables/queryTable377.xml"/><Relationship Id="rId90" Type="http://schemas.openxmlformats.org/officeDocument/2006/relationships/queryTable" Target="../queryTables/queryTable323.xml"/><Relationship Id="rId165" Type="http://schemas.openxmlformats.org/officeDocument/2006/relationships/queryTable" Target="../queryTables/queryTable398.xml"/><Relationship Id="rId186" Type="http://schemas.openxmlformats.org/officeDocument/2006/relationships/queryTable" Target="../queryTables/queryTable419.xml"/><Relationship Id="rId211" Type="http://schemas.openxmlformats.org/officeDocument/2006/relationships/queryTable" Target="../queryTables/queryTable444.xml"/><Relationship Id="rId232" Type="http://schemas.openxmlformats.org/officeDocument/2006/relationships/queryTable" Target="../queryTables/queryTable465.xml"/><Relationship Id="rId253" Type="http://schemas.openxmlformats.org/officeDocument/2006/relationships/queryTable" Target="../queryTables/queryTable486.xml"/><Relationship Id="rId27" Type="http://schemas.openxmlformats.org/officeDocument/2006/relationships/queryTable" Target="../queryTables/queryTable260.xml"/><Relationship Id="rId48" Type="http://schemas.openxmlformats.org/officeDocument/2006/relationships/queryTable" Target="../queryTables/queryTable281.xml"/><Relationship Id="rId69" Type="http://schemas.openxmlformats.org/officeDocument/2006/relationships/queryTable" Target="../queryTables/queryTable302.xml"/><Relationship Id="rId113" Type="http://schemas.openxmlformats.org/officeDocument/2006/relationships/queryTable" Target="../queryTables/queryTable346.xml"/><Relationship Id="rId134" Type="http://schemas.openxmlformats.org/officeDocument/2006/relationships/queryTable" Target="../queryTables/queryTable367.xml"/><Relationship Id="rId80" Type="http://schemas.openxmlformats.org/officeDocument/2006/relationships/queryTable" Target="../queryTables/queryTable313.xml"/><Relationship Id="rId155" Type="http://schemas.openxmlformats.org/officeDocument/2006/relationships/queryTable" Target="../queryTables/queryTable388.xml"/><Relationship Id="rId176" Type="http://schemas.openxmlformats.org/officeDocument/2006/relationships/queryTable" Target="../queryTables/queryTable409.xml"/><Relationship Id="rId197" Type="http://schemas.openxmlformats.org/officeDocument/2006/relationships/queryTable" Target="../queryTables/queryTable430.xml"/><Relationship Id="rId201" Type="http://schemas.openxmlformats.org/officeDocument/2006/relationships/queryTable" Target="../queryTables/queryTable434.xml"/><Relationship Id="rId222" Type="http://schemas.openxmlformats.org/officeDocument/2006/relationships/queryTable" Target="../queryTables/queryTable455.xml"/><Relationship Id="rId243" Type="http://schemas.openxmlformats.org/officeDocument/2006/relationships/queryTable" Target="../queryTables/queryTable476.xml"/><Relationship Id="rId264" Type="http://schemas.openxmlformats.org/officeDocument/2006/relationships/queryTable" Target="../queryTables/queryTable497.xml"/><Relationship Id="rId17" Type="http://schemas.openxmlformats.org/officeDocument/2006/relationships/queryTable" Target="../queryTables/queryTable250.xml"/><Relationship Id="rId38" Type="http://schemas.openxmlformats.org/officeDocument/2006/relationships/queryTable" Target="../queryTables/queryTable271.xml"/><Relationship Id="rId59" Type="http://schemas.openxmlformats.org/officeDocument/2006/relationships/queryTable" Target="../queryTables/queryTable292.xml"/><Relationship Id="rId103" Type="http://schemas.openxmlformats.org/officeDocument/2006/relationships/queryTable" Target="../queryTables/queryTable336.xml"/><Relationship Id="rId124" Type="http://schemas.openxmlformats.org/officeDocument/2006/relationships/queryTable" Target="../queryTables/queryTable357.xml"/><Relationship Id="rId70" Type="http://schemas.openxmlformats.org/officeDocument/2006/relationships/queryTable" Target="../queryTables/queryTable303.xml"/><Relationship Id="rId91" Type="http://schemas.openxmlformats.org/officeDocument/2006/relationships/queryTable" Target="../queryTables/queryTable324.xml"/><Relationship Id="rId145" Type="http://schemas.openxmlformats.org/officeDocument/2006/relationships/queryTable" Target="../queryTables/queryTable378.xml"/><Relationship Id="rId166" Type="http://schemas.openxmlformats.org/officeDocument/2006/relationships/queryTable" Target="../queryTables/queryTable399.xml"/><Relationship Id="rId187" Type="http://schemas.openxmlformats.org/officeDocument/2006/relationships/queryTable" Target="../queryTables/queryTable420.xml"/><Relationship Id="rId1" Type="http://schemas.openxmlformats.org/officeDocument/2006/relationships/queryTable" Target="../queryTables/queryTable234.xml"/><Relationship Id="rId212" Type="http://schemas.openxmlformats.org/officeDocument/2006/relationships/queryTable" Target="../queryTables/queryTable445.xml"/><Relationship Id="rId233" Type="http://schemas.openxmlformats.org/officeDocument/2006/relationships/queryTable" Target="../queryTables/queryTable466.xml"/><Relationship Id="rId254" Type="http://schemas.openxmlformats.org/officeDocument/2006/relationships/queryTable" Target="../queryTables/queryTable487.xml"/><Relationship Id="rId28" Type="http://schemas.openxmlformats.org/officeDocument/2006/relationships/queryTable" Target="../queryTables/queryTable261.xml"/><Relationship Id="rId49" Type="http://schemas.openxmlformats.org/officeDocument/2006/relationships/queryTable" Target="../queryTables/queryTable282.xml"/><Relationship Id="rId114" Type="http://schemas.openxmlformats.org/officeDocument/2006/relationships/queryTable" Target="../queryTables/queryTable347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620.xml"/><Relationship Id="rId21" Type="http://schemas.openxmlformats.org/officeDocument/2006/relationships/queryTable" Target="../queryTables/queryTable524.xml"/><Relationship Id="rId42" Type="http://schemas.openxmlformats.org/officeDocument/2006/relationships/queryTable" Target="../queryTables/queryTable545.xml"/><Relationship Id="rId63" Type="http://schemas.openxmlformats.org/officeDocument/2006/relationships/queryTable" Target="../queryTables/queryTable566.xml"/><Relationship Id="rId84" Type="http://schemas.openxmlformats.org/officeDocument/2006/relationships/queryTable" Target="../queryTables/queryTable587.xml"/><Relationship Id="rId138" Type="http://schemas.openxmlformats.org/officeDocument/2006/relationships/queryTable" Target="../queryTables/queryTable641.xml"/><Relationship Id="rId159" Type="http://schemas.openxmlformats.org/officeDocument/2006/relationships/queryTable" Target="../queryTables/queryTable662.xml"/><Relationship Id="rId170" Type="http://schemas.openxmlformats.org/officeDocument/2006/relationships/queryTable" Target="../queryTables/queryTable673.xml"/><Relationship Id="rId191" Type="http://schemas.openxmlformats.org/officeDocument/2006/relationships/queryTable" Target="../queryTables/queryTable694.xml"/><Relationship Id="rId205" Type="http://schemas.openxmlformats.org/officeDocument/2006/relationships/queryTable" Target="../queryTables/queryTable708.xml"/><Relationship Id="rId226" Type="http://schemas.openxmlformats.org/officeDocument/2006/relationships/queryTable" Target="../queryTables/queryTable729.xml"/><Relationship Id="rId247" Type="http://schemas.openxmlformats.org/officeDocument/2006/relationships/queryTable" Target="../queryTables/queryTable750.xml"/><Relationship Id="rId107" Type="http://schemas.openxmlformats.org/officeDocument/2006/relationships/queryTable" Target="../queryTables/queryTable610.xml"/><Relationship Id="rId268" Type="http://schemas.openxmlformats.org/officeDocument/2006/relationships/queryTable" Target="../queryTables/queryTable771.xml"/><Relationship Id="rId11" Type="http://schemas.openxmlformats.org/officeDocument/2006/relationships/queryTable" Target="../queryTables/queryTable514.xml"/><Relationship Id="rId32" Type="http://schemas.openxmlformats.org/officeDocument/2006/relationships/queryTable" Target="../queryTables/queryTable535.xml"/><Relationship Id="rId53" Type="http://schemas.openxmlformats.org/officeDocument/2006/relationships/queryTable" Target="../queryTables/queryTable556.xml"/><Relationship Id="rId74" Type="http://schemas.openxmlformats.org/officeDocument/2006/relationships/queryTable" Target="../queryTables/queryTable577.xml"/><Relationship Id="rId128" Type="http://schemas.openxmlformats.org/officeDocument/2006/relationships/queryTable" Target="../queryTables/queryTable631.xml"/><Relationship Id="rId149" Type="http://schemas.openxmlformats.org/officeDocument/2006/relationships/queryTable" Target="../queryTables/queryTable652.xml"/><Relationship Id="rId5" Type="http://schemas.openxmlformats.org/officeDocument/2006/relationships/queryTable" Target="../queryTables/queryTable508.xml"/><Relationship Id="rId95" Type="http://schemas.openxmlformats.org/officeDocument/2006/relationships/queryTable" Target="../queryTables/queryTable598.xml"/><Relationship Id="rId160" Type="http://schemas.openxmlformats.org/officeDocument/2006/relationships/queryTable" Target="../queryTables/queryTable663.xml"/><Relationship Id="rId181" Type="http://schemas.openxmlformats.org/officeDocument/2006/relationships/queryTable" Target="../queryTables/queryTable684.xml"/><Relationship Id="rId216" Type="http://schemas.openxmlformats.org/officeDocument/2006/relationships/queryTable" Target="../queryTables/queryTable719.xml"/><Relationship Id="rId237" Type="http://schemas.openxmlformats.org/officeDocument/2006/relationships/queryTable" Target="../queryTables/queryTable740.xml"/><Relationship Id="rId258" Type="http://schemas.openxmlformats.org/officeDocument/2006/relationships/queryTable" Target="../queryTables/queryTable761.xml"/><Relationship Id="rId22" Type="http://schemas.openxmlformats.org/officeDocument/2006/relationships/queryTable" Target="../queryTables/queryTable525.xml"/><Relationship Id="rId43" Type="http://schemas.openxmlformats.org/officeDocument/2006/relationships/queryTable" Target="../queryTables/queryTable546.xml"/><Relationship Id="rId64" Type="http://schemas.openxmlformats.org/officeDocument/2006/relationships/queryTable" Target="../queryTables/queryTable567.xml"/><Relationship Id="rId118" Type="http://schemas.openxmlformats.org/officeDocument/2006/relationships/queryTable" Target="../queryTables/queryTable621.xml"/><Relationship Id="rId139" Type="http://schemas.openxmlformats.org/officeDocument/2006/relationships/queryTable" Target="../queryTables/queryTable642.xml"/><Relationship Id="rId85" Type="http://schemas.openxmlformats.org/officeDocument/2006/relationships/queryTable" Target="../queryTables/queryTable588.xml"/><Relationship Id="rId150" Type="http://schemas.openxmlformats.org/officeDocument/2006/relationships/queryTable" Target="../queryTables/queryTable653.xml"/><Relationship Id="rId171" Type="http://schemas.openxmlformats.org/officeDocument/2006/relationships/queryTable" Target="../queryTables/queryTable674.xml"/><Relationship Id="rId192" Type="http://schemas.openxmlformats.org/officeDocument/2006/relationships/queryTable" Target="../queryTables/queryTable695.xml"/><Relationship Id="rId206" Type="http://schemas.openxmlformats.org/officeDocument/2006/relationships/queryTable" Target="../queryTables/queryTable709.xml"/><Relationship Id="rId227" Type="http://schemas.openxmlformats.org/officeDocument/2006/relationships/queryTable" Target="../queryTables/queryTable730.xml"/><Relationship Id="rId248" Type="http://schemas.openxmlformats.org/officeDocument/2006/relationships/queryTable" Target="../queryTables/queryTable751.xml"/><Relationship Id="rId269" Type="http://schemas.openxmlformats.org/officeDocument/2006/relationships/queryTable" Target="../queryTables/queryTable772.xml"/><Relationship Id="rId12" Type="http://schemas.openxmlformats.org/officeDocument/2006/relationships/queryTable" Target="../queryTables/queryTable515.xml"/><Relationship Id="rId33" Type="http://schemas.openxmlformats.org/officeDocument/2006/relationships/queryTable" Target="../queryTables/queryTable536.xml"/><Relationship Id="rId108" Type="http://schemas.openxmlformats.org/officeDocument/2006/relationships/queryTable" Target="../queryTables/queryTable611.xml"/><Relationship Id="rId129" Type="http://schemas.openxmlformats.org/officeDocument/2006/relationships/queryTable" Target="../queryTables/queryTable632.xml"/><Relationship Id="rId54" Type="http://schemas.openxmlformats.org/officeDocument/2006/relationships/queryTable" Target="../queryTables/queryTable557.xml"/><Relationship Id="rId75" Type="http://schemas.openxmlformats.org/officeDocument/2006/relationships/queryTable" Target="../queryTables/queryTable578.xml"/><Relationship Id="rId96" Type="http://schemas.openxmlformats.org/officeDocument/2006/relationships/queryTable" Target="../queryTables/queryTable599.xml"/><Relationship Id="rId140" Type="http://schemas.openxmlformats.org/officeDocument/2006/relationships/queryTable" Target="../queryTables/queryTable643.xml"/><Relationship Id="rId161" Type="http://schemas.openxmlformats.org/officeDocument/2006/relationships/queryTable" Target="../queryTables/queryTable664.xml"/><Relationship Id="rId182" Type="http://schemas.openxmlformats.org/officeDocument/2006/relationships/queryTable" Target="../queryTables/queryTable685.xml"/><Relationship Id="rId217" Type="http://schemas.openxmlformats.org/officeDocument/2006/relationships/queryTable" Target="../queryTables/queryTable720.xml"/><Relationship Id="rId6" Type="http://schemas.openxmlformats.org/officeDocument/2006/relationships/queryTable" Target="../queryTables/queryTable509.xml"/><Relationship Id="rId238" Type="http://schemas.openxmlformats.org/officeDocument/2006/relationships/queryTable" Target="../queryTables/queryTable741.xml"/><Relationship Id="rId259" Type="http://schemas.openxmlformats.org/officeDocument/2006/relationships/queryTable" Target="../queryTables/queryTable762.xml"/><Relationship Id="rId23" Type="http://schemas.openxmlformats.org/officeDocument/2006/relationships/queryTable" Target="../queryTables/queryTable526.xml"/><Relationship Id="rId119" Type="http://schemas.openxmlformats.org/officeDocument/2006/relationships/queryTable" Target="../queryTables/queryTable622.xml"/><Relationship Id="rId270" Type="http://schemas.openxmlformats.org/officeDocument/2006/relationships/queryTable" Target="../queryTables/queryTable773.xml"/><Relationship Id="rId44" Type="http://schemas.openxmlformats.org/officeDocument/2006/relationships/queryTable" Target="../queryTables/queryTable547.xml"/><Relationship Id="rId60" Type="http://schemas.openxmlformats.org/officeDocument/2006/relationships/queryTable" Target="../queryTables/queryTable563.xml"/><Relationship Id="rId65" Type="http://schemas.openxmlformats.org/officeDocument/2006/relationships/queryTable" Target="../queryTables/queryTable568.xml"/><Relationship Id="rId81" Type="http://schemas.openxmlformats.org/officeDocument/2006/relationships/queryTable" Target="../queryTables/queryTable584.xml"/><Relationship Id="rId86" Type="http://schemas.openxmlformats.org/officeDocument/2006/relationships/queryTable" Target="../queryTables/queryTable589.xml"/><Relationship Id="rId130" Type="http://schemas.openxmlformats.org/officeDocument/2006/relationships/queryTable" Target="../queryTables/queryTable633.xml"/><Relationship Id="rId135" Type="http://schemas.openxmlformats.org/officeDocument/2006/relationships/queryTable" Target="../queryTables/queryTable638.xml"/><Relationship Id="rId151" Type="http://schemas.openxmlformats.org/officeDocument/2006/relationships/queryTable" Target="../queryTables/queryTable654.xml"/><Relationship Id="rId156" Type="http://schemas.openxmlformats.org/officeDocument/2006/relationships/queryTable" Target="../queryTables/queryTable659.xml"/><Relationship Id="rId177" Type="http://schemas.openxmlformats.org/officeDocument/2006/relationships/queryTable" Target="../queryTables/queryTable680.xml"/><Relationship Id="rId198" Type="http://schemas.openxmlformats.org/officeDocument/2006/relationships/queryTable" Target="../queryTables/queryTable701.xml"/><Relationship Id="rId172" Type="http://schemas.openxmlformats.org/officeDocument/2006/relationships/queryTable" Target="../queryTables/queryTable675.xml"/><Relationship Id="rId193" Type="http://schemas.openxmlformats.org/officeDocument/2006/relationships/queryTable" Target="../queryTables/queryTable696.xml"/><Relationship Id="rId202" Type="http://schemas.openxmlformats.org/officeDocument/2006/relationships/queryTable" Target="../queryTables/queryTable705.xml"/><Relationship Id="rId207" Type="http://schemas.openxmlformats.org/officeDocument/2006/relationships/queryTable" Target="../queryTables/queryTable710.xml"/><Relationship Id="rId223" Type="http://schemas.openxmlformats.org/officeDocument/2006/relationships/queryTable" Target="../queryTables/queryTable726.xml"/><Relationship Id="rId228" Type="http://schemas.openxmlformats.org/officeDocument/2006/relationships/queryTable" Target="../queryTables/queryTable731.xml"/><Relationship Id="rId244" Type="http://schemas.openxmlformats.org/officeDocument/2006/relationships/queryTable" Target="../queryTables/queryTable747.xml"/><Relationship Id="rId249" Type="http://schemas.openxmlformats.org/officeDocument/2006/relationships/queryTable" Target="../queryTables/queryTable752.xml"/><Relationship Id="rId13" Type="http://schemas.openxmlformats.org/officeDocument/2006/relationships/queryTable" Target="../queryTables/queryTable516.xml"/><Relationship Id="rId18" Type="http://schemas.openxmlformats.org/officeDocument/2006/relationships/queryTable" Target="../queryTables/queryTable521.xml"/><Relationship Id="rId39" Type="http://schemas.openxmlformats.org/officeDocument/2006/relationships/queryTable" Target="../queryTables/queryTable542.xml"/><Relationship Id="rId109" Type="http://schemas.openxmlformats.org/officeDocument/2006/relationships/queryTable" Target="../queryTables/queryTable612.xml"/><Relationship Id="rId260" Type="http://schemas.openxmlformats.org/officeDocument/2006/relationships/queryTable" Target="../queryTables/queryTable763.xml"/><Relationship Id="rId265" Type="http://schemas.openxmlformats.org/officeDocument/2006/relationships/queryTable" Target="../queryTables/queryTable768.xml"/><Relationship Id="rId34" Type="http://schemas.openxmlformats.org/officeDocument/2006/relationships/queryTable" Target="../queryTables/queryTable537.xml"/><Relationship Id="rId50" Type="http://schemas.openxmlformats.org/officeDocument/2006/relationships/queryTable" Target="../queryTables/queryTable553.xml"/><Relationship Id="rId55" Type="http://schemas.openxmlformats.org/officeDocument/2006/relationships/queryTable" Target="../queryTables/queryTable558.xml"/><Relationship Id="rId76" Type="http://schemas.openxmlformats.org/officeDocument/2006/relationships/queryTable" Target="../queryTables/queryTable579.xml"/><Relationship Id="rId97" Type="http://schemas.openxmlformats.org/officeDocument/2006/relationships/queryTable" Target="../queryTables/queryTable600.xml"/><Relationship Id="rId104" Type="http://schemas.openxmlformats.org/officeDocument/2006/relationships/queryTable" Target="../queryTables/queryTable607.xml"/><Relationship Id="rId120" Type="http://schemas.openxmlformats.org/officeDocument/2006/relationships/queryTable" Target="../queryTables/queryTable623.xml"/><Relationship Id="rId125" Type="http://schemas.openxmlformats.org/officeDocument/2006/relationships/queryTable" Target="../queryTables/queryTable628.xml"/><Relationship Id="rId141" Type="http://schemas.openxmlformats.org/officeDocument/2006/relationships/queryTable" Target="../queryTables/queryTable644.xml"/><Relationship Id="rId146" Type="http://schemas.openxmlformats.org/officeDocument/2006/relationships/queryTable" Target="../queryTables/queryTable649.xml"/><Relationship Id="rId167" Type="http://schemas.openxmlformats.org/officeDocument/2006/relationships/queryTable" Target="../queryTables/queryTable670.xml"/><Relationship Id="rId188" Type="http://schemas.openxmlformats.org/officeDocument/2006/relationships/queryTable" Target="../queryTables/queryTable691.xml"/><Relationship Id="rId7" Type="http://schemas.openxmlformats.org/officeDocument/2006/relationships/queryTable" Target="../queryTables/queryTable510.xml"/><Relationship Id="rId71" Type="http://schemas.openxmlformats.org/officeDocument/2006/relationships/queryTable" Target="../queryTables/queryTable574.xml"/><Relationship Id="rId92" Type="http://schemas.openxmlformats.org/officeDocument/2006/relationships/queryTable" Target="../queryTables/queryTable595.xml"/><Relationship Id="rId162" Type="http://schemas.openxmlformats.org/officeDocument/2006/relationships/queryTable" Target="../queryTables/queryTable665.xml"/><Relationship Id="rId183" Type="http://schemas.openxmlformats.org/officeDocument/2006/relationships/queryTable" Target="../queryTables/queryTable686.xml"/><Relationship Id="rId213" Type="http://schemas.openxmlformats.org/officeDocument/2006/relationships/queryTable" Target="../queryTables/queryTable716.xml"/><Relationship Id="rId218" Type="http://schemas.openxmlformats.org/officeDocument/2006/relationships/queryTable" Target="../queryTables/queryTable721.xml"/><Relationship Id="rId234" Type="http://schemas.openxmlformats.org/officeDocument/2006/relationships/queryTable" Target="../queryTables/queryTable737.xml"/><Relationship Id="rId239" Type="http://schemas.openxmlformats.org/officeDocument/2006/relationships/queryTable" Target="../queryTables/queryTable742.xml"/><Relationship Id="rId2" Type="http://schemas.openxmlformats.org/officeDocument/2006/relationships/queryTable" Target="../queryTables/queryTable505.xml"/><Relationship Id="rId29" Type="http://schemas.openxmlformats.org/officeDocument/2006/relationships/queryTable" Target="../queryTables/queryTable532.xml"/><Relationship Id="rId250" Type="http://schemas.openxmlformats.org/officeDocument/2006/relationships/queryTable" Target="../queryTables/queryTable753.xml"/><Relationship Id="rId255" Type="http://schemas.openxmlformats.org/officeDocument/2006/relationships/queryTable" Target="../queryTables/queryTable758.xml"/><Relationship Id="rId271" Type="http://schemas.openxmlformats.org/officeDocument/2006/relationships/queryTable" Target="../queryTables/queryTable774.xml"/><Relationship Id="rId24" Type="http://schemas.openxmlformats.org/officeDocument/2006/relationships/queryTable" Target="../queryTables/queryTable527.xml"/><Relationship Id="rId40" Type="http://schemas.openxmlformats.org/officeDocument/2006/relationships/queryTable" Target="../queryTables/queryTable543.xml"/><Relationship Id="rId45" Type="http://schemas.openxmlformats.org/officeDocument/2006/relationships/queryTable" Target="../queryTables/queryTable548.xml"/><Relationship Id="rId66" Type="http://schemas.openxmlformats.org/officeDocument/2006/relationships/queryTable" Target="../queryTables/queryTable569.xml"/><Relationship Id="rId87" Type="http://schemas.openxmlformats.org/officeDocument/2006/relationships/queryTable" Target="../queryTables/queryTable590.xml"/><Relationship Id="rId110" Type="http://schemas.openxmlformats.org/officeDocument/2006/relationships/queryTable" Target="../queryTables/queryTable613.xml"/><Relationship Id="rId115" Type="http://schemas.openxmlformats.org/officeDocument/2006/relationships/queryTable" Target="../queryTables/queryTable618.xml"/><Relationship Id="rId131" Type="http://schemas.openxmlformats.org/officeDocument/2006/relationships/queryTable" Target="../queryTables/queryTable634.xml"/><Relationship Id="rId136" Type="http://schemas.openxmlformats.org/officeDocument/2006/relationships/queryTable" Target="../queryTables/queryTable639.xml"/><Relationship Id="rId157" Type="http://schemas.openxmlformats.org/officeDocument/2006/relationships/queryTable" Target="../queryTables/queryTable660.xml"/><Relationship Id="rId178" Type="http://schemas.openxmlformats.org/officeDocument/2006/relationships/queryTable" Target="../queryTables/queryTable681.xml"/><Relationship Id="rId61" Type="http://schemas.openxmlformats.org/officeDocument/2006/relationships/queryTable" Target="../queryTables/queryTable564.xml"/><Relationship Id="rId82" Type="http://schemas.openxmlformats.org/officeDocument/2006/relationships/queryTable" Target="../queryTables/queryTable585.xml"/><Relationship Id="rId152" Type="http://schemas.openxmlformats.org/officeDocument/2006/relationships/queryTable" Target="../queryTables/queryTable655.xml"/><Relationship Id="rId173" Type="http://schemas.openxmlformats.org/officeDocument/2006/relationships/queryTable" Target="../queryTables/queryTable676.xml"/><Relationship Id="rId194" Type="http://schemas.openxmlformats.org/officeDocument/2006/relationships/queryTable" Target="../queryTables/queryTable697.xml"/><Relationship Id="rId199" Type="http://schemas.openxmlformats.org/officeDocument/2006/relationships/queryTable" Target="../queryTables/queryTable702.xml"/><Relationship Id="rId203" Type="http://schemas.openxmlformats.org/officeDocument/2006/relationships/queryTable" Target="../queryTables/queryTable706.xml"/><Relationship Id="rId208" Type="http://schemas.openxmlformats.org/officeDocument/2006/relationships/queryTable" Target="../queryTables/queryTable711.xml"/><Relationship Id="rId229" Type="http://schemas.openxmlformats.org/officeDocument/2006/relationships/queryTable" Target="../queryTables/queryTable732.xml"/><Relationship Id="rId19" Type="http://schemas.openxmlformats.org/officeDocument/2006/relationships/queryTable" Target="../queryTables/queryTable522.xml"/><Relationship Id="rId224" Type="http://schemas.openxmlformats.org/officeDocument/2006/relationships/queryTable" Target="../queryTables/queryTable727.xml"/><Relationship Id="rId240" Type="http://schemas.openxmlformats.org/officeDocument/2006/relationships/queryTable" Target="../queryTables/queryTable743.xml"/><Relationship Id="rId245" Type="http://schemas.openxmlformats.org/officeDocument/2006/relationships/queryTable" Target="../queryTables/queryTable748.xml"/><Relationship Id="rId261" Type="http://schemas.openxmlformats.org/officeDocument/2006/relationships/queryTable" Target="../queryTables/queryTable764.xml"/><Relationship Id="rId266" Type="http://schemas.openxmlformats.org/officeDocument/2006/relationships/queryTable" Target="../queryTables/queryTable769.xml"/><Relationship Id="rId14" Type="http://schemas.openxmlformats.org/officeDocument/2006/relationships/queryTable" Target="../queryTables/queryTable517.xml"/><Relationship Id="rId30" Type="http://schemas.openxmlformats.org/officeDocument/2006/relationships/queryTable" Target="../queryTables/queryTable533.xml"/><Relationship Id="rId35" Type="http://schemas.openxmlformats.org/officeDocument/2006/relationships/queryTable" Target="../queryTables/queryTable538.xml"/><Relationship Id="rId56" Type="http://schemas.openxmlformats.org/officeDocument/2006/relationships/queryTable" Target="../queryTables/queryTable559.xml"/><Relationship Id="rId77" Type="http://schemas.openxmlformats.org/officeDocument/2006/relationships/queryTable" Target="../queryTables/queryTable580.xml"/><Relationship Id="rId100" Type="http://schemas.openxmlformats.org/officeDocument/2006/relationships/queryTable" Target="../queryTables/queryTable603.xml"/><Relationship Id="rId105" Type="http://schemas.openxmlformats.org/officeDocument/2006/relationships/queryTable" Target="../queryTables/queryTable608.xml"/><Relationship Id="rId126" Type="http://schemas.openxmlformats.org/officeDocument/2006/relationships/queryTable" Target="../queryTables/queryTable629.xml"/><Relationship Id="rId147" Type="http://schemas.openxmlformats.org/officeDocument/2006/relationships/queryTable" Target="../queryTables/queryTable650.xml"/><Relationship Id="rId168" Type="http://schemas.openxmlformats.org/officeDocument/2006/relationships/queryTable" Target="../queryTables/queryTable671.xml"/><Relationship Id="rId8" Type="http://schemas.openxmlformats.org/officeDocument/2006/relationships/queryTable" Target="../queryTables/queryTable511.xml"/><Relationship Id="rId51" Type="http://schemas.openxmlformats.org/officeDocument/2006/relationships/queryTable" Target="../queryTables/queryTable554.xml"/><Relationship Id="rId72" Type="http://schemas.openxmlformats.org/officeDocument/2006/relationships/queryTable" Target="../queryTables/queryTable575.xml"/><Relationship Id="rId93" Type="http://schemas.openxmlformats.org/officeDocument/2006/relationships/queryTable" Target="../queryTables/queryTable596.xml"/><Relationship Id="rId98" Type="http://schemas.openxmlformats.org/officeDocument/2006/relationships/queryTable" Target="../queryTables/queryTable601.xml"/><Relationship Id="rId121" Type="http://schemas.openxmlformats.org/officeDocument/2006/relationships/queryTable" Target="../queryTables/queryTable624.xml"/><Relationship Id="rId142" Type="http://schemas.openxmlformats.org/officeDocument/2006/relationships/queryTable" Target="../queryTables/queryTable645.xml"/><Relationship Id="rId163" Type="http://schemas.openxmlformats.org/officeDocument/2006/relationships/queryTable" Target="../queryTables/queryTable666.xml"/><Relationship Id="rId184" Type="http://schemas.openxmlformats.org/officeDocument/2006/relationships/queryTable" Target="../queryTables/queryTable687.xml"/><Relationship Id="rId189" Type="http://schemas.openxmlformats.org/officeDocument/2006/relationships/queryTable" Target="../queryTables/queryTable692.xml"/><Relationship Id="rId219" Type="http://schemas.openxmlformats.org/officeDocument/2006/relationships/queryTable" Target="../queryTables/queryTable722.xml"/><Relationship Id="rId3" Type="http://schemas.openxmlformats.org/officeDocument/2006/relationships/queryTable" Target="../queryTables/queryTable506.xml"/><Relationship Id="rId214" Type="http://schemas.openxmlformats.org/officeDocument/2006/relationships/queryTable" Target="../queryTables/queryTable717.xml"/><Relationship Id="rId230" Type="http://schemas.openxmlformats.org/officeDocument/2006/relationships/queryTable" Target="../queryTables/queryTable733.xml"/><Relationship Id="rId235" Type="http://schemas.openxmlformats.org/officeDocument/2006/relationships/queryTable" Target="../queryTables/queryTable738.xml"/><Relationship Id="rId251" Type="http://schemas.openxmlformats.org/officeDocument/2006/relationships/queryTable" Target="../queryTables/queryTable754.xml"/><Relationship Id="rId256" Type="http://schemas.openxmlformats.org/officeDocument/2006/relationships/queryTable" Target="../queryTables/queryTable759.xml"/><Relationship Id="rId25" Type="http://schemas.openxmlformats.org/officeDocument/2006/relationships/queryTable" Target="../queryTables/queryTable528.xml"/><Relationship Id="rId46" Type="http://schemas.openxmlformats.org/officeDocument/2006/relationships/queryTable" Target="../queryTables/queryTable549.xml"/><Relationship Id="rId67" Type="http://schemas.openxmlformats.org/officeDocument/2006/relationships/queryTable" Target="../queryTables/queryTable570.xml"/><Relationship Id="rId116" Type="http://schemas.openxmlformats.org/officeDocument/2006/relationships/queryTable" Target="../queryTables/queryTable619.xml"/><Relationship Id="rId137" Type="http://schemas.openxmlformats.org/officeDocument/2006/relationships/queryTable" Target="../queryTables/queryTable640.xml"/><Relationship Id="rId158" Type="http://schemas.openxmlformats.org/officeDocument/2006/relationships/queryTable" Target="../queryTables/queryTable661.xml"/><Relationship Id="rId20" Type="http://schemas.openxmlformats.org/officeDocument/2006/relationships/queryTable" Target="../queryTables/queryTable523.xml"/><Relationship Id="rId41" Type="http://schemas.openxmlformats.org/officeDocument/2006/relationships/queryTable" Target="../queryTables/queryTable544.xml"/><Relationship Id="rId62" Type="http://schemas.openxmlformats.org/officeDocument/2006/relationships/queryTable" Target="../queryTables/queryTable565.xml"/><Relationship Id="rId83" Type="http://schemas.openxmlformats.org/officeDocument/2006/relationships/queryTable" Target="../queryTables/queryTable586.xml"/><Relationship Id="rId88" Type="http://schemas.openxmlformats.org/officeDocument/2006/relationships/queryTable" Target="../queryTables/queryTable591.xml"/><Relationship Id="rId111" Type="http://schemas.openxmlformats.org/officeDocument/2006/relationships/queryTable" Target="../queryTables/queryTable614.xml"/><Relationship Id="rId132" Type="http://schemas.openxmlformats.org/officeDocument/2006/relationships/queryTable" Target="../queryTables/queryTable635.xml"/><Relationship Id="rId153" Type="http://schemas.openxmlformats.org/officeDocument/2006/relationships/queryTable" Target="../queryTables/queryTable656.xml"/><Relationship Id="rId174" Type="http://schemas.openxmlformats.org/officeDocument/2006/relationships/queryTable" Target="../queryTables/queryTable677.xml"/><Relationship Id="rId179" Type="http://schemas.openxmlformats.org/officeDocument/2006/relationships/queryTable" Target="../queryTables/queryTable682.xml"/><Relationship Id="rId195" Type="http://schemas.openxmlformats.org/officeDocument/2006/relationships/queryTable" Target="../queryTables/queryTable698.xml"/><Relationship Id="rId209" Type="http://schemas.openxmlformats.org/officeDocument/2006/relationships/queryTable" Target="../queryTables/queryTable712.xml"/><Relationship Id="rId190" Type="http://schemas.openxmlformats.org/officeDocument/2006/relationships/queryTable" Target="../queryTables/queryTable693.xml"/><Relationship Id="rId204" Type="http://schemas.openxmlformats.org/officeDocument/2006/relationships/queryTable" Target="../queryTables/queryTable707.xml"/><Relationship Id="rId220" Type="http://schemas.openxmlformats.org/officeDocument/2006/relationships/queryTable" Target="../queryTables/queryTable723.xml"/><Relationship Id="rId225" Type="http://schemas.openxmlformats.org/officeDocument/2006/relationships/queryTable" Target="../queryTables/queryTable728.xml"/><Relationship Id="rId241" Type="http://schemas.openxmlformats.org/officeDocument/2006/relationships/queryTable" Target="../queryTables/queryTable744.xml"/><Relationship Id="rId246" Type="http://schemas.openxmlformats.org/officeDocument/2006/relationships/queryTable" Target="../queryTables/queryTable749.xml"/><Relationship Id="rId267" Type="http://schemas.openxmlformats.org/officeDocument/2006/relationships/queryTable" Target="../queryTables/queryTable770.xml"/><Relationship Id="rId15" Type="http://schemas.openxmlformats.org/officeDocument/2006/relationships/queryTable" Target="../queryTables/queryTable518.xml"/><Relationship Id="rId36" Type="http://schemas.openxmlformats.org/officeDocument/2006/relationships/queryTable" Target="../queryTables/queryTable539.xml"/><Relationship Id="rId57" Type="http://schemas.openxmlformats.org/officeDocument/2006/relationships/queryTable" Target="../queryTables/queryTable560.xml"/><Relationship Id="rId106" Type="http://schemas.openxmlformats.org/officeDocument/2006/relationships/queryTable" Target="../queryTables/queryTable609.xml"/><Relationship Id="rId127" Type="http://schemas.openxmlformats.org/officeDocument/2006/relationships/queryTable" Target="../queryTables/queryTable630.xml"/><Relationship Id="rId262" Type="http://schemas.openxmlformats.org/officeDocument/2006/relationships/queryTable" Target="../queryTables/queryTable765.xml"/><Relationship Id="rId10" Type="http://schemas.openxmlformats.org/officeDocument/2006/relationships/queryTable" Target="../queryTables/queryTable513.xml"/><Relationship Id="rId31" Type="http://schemas.openxmlformats.org/officeDocument/2006/relationships/queryTable" Target="../queryTables/queryTable534.xml"/><Relationship Id="rId52" Type="http://schemas.openxmlformats.org/officeDocument/2006/relationships/queryTable" Target="../queryTables/queryTable555.xml"/><Relationship Id="rId73" Type="http://schemas.openxmlformats.org/officeDocument/2006/relationships/queryTable" Target="../queryTables/queryTable576.xml"/><Relationship Id="rId78" Type="http://schemas.openxmlformats.org/officeDocument/2006/relationships/queryTable" Target="../queryTables/queryTable581.xml"/><Relationship Id="rId94" Type="http://schemas.openxmlformats.org/officeDocument/2006/relationships/queryTable" Target="../queryTables/queryTable597.xml"/><Relationship Id="rId99" Type="http://schemas.openxmlformats.org/officeDocument/2006/relationships/queryTable" Target="../queryTables/queryTable602.xml"/><Relationship Id="rId101" Type="http://schemas.openxmlformats.org/officeDocument/2006/relationships/queryTable" Target="../queryTables/queryTable604.xml"/><Relationship Id="rId122" Type="http://schemas.openxmlformats.org/officeDocument/2006/relationships/queryTable" Target="../queryTables/queryTable625.xml"/><Relationship Id="rId143" Type="http://schemas.openxmlformats.org/officeDocument/2006/relationships/queryTable" Target="../queryTables/queryTable646.xml"/><Relationship Id="rId148" Type="http://schemas.openxmlformats.org/officeDocument/2006/relationships/queryTable" Target="../queryTables/queryTable651.xml"/><Relationship Id="rId164" Type="http://schemas.openxmlformats.org/officeDocument/2006/relationships/queryTable" Target="../queryTables/queryTable667.xml"/><Relationship Id="rId169" Type="http://schemas.openxmlformats.org/officeDocument/2006/relationships/queryTable" Target="../queryTables/queryTable672.xml"/><Relationship Id="rId185" Type="http://schemas.openxmlformats.org/officeDocument/2006/relationships/queryTable" Target="../queryTables/queryTable688.xml"/><Relationship Id="rId4" Type="http://schemas.openxmlformats.org/officeDocument/2006/relationships/queryTable" Target="../queryTables/queryTable507.xml"/><Relationship Id="rId9" Type="http://schemas.openxmlformats.org/officeDocument/2006/relationships/queryTable" Target="../queryTables/queryTable512.xml"/><Relationship Id="rId180" Type="http://schemas.openxmlformats.org/officeDocument/2006/relationships/queryTable" Target="../queryTables/queryTable683.xml"/><Relationship Id="rId210" Type="http://schemas.openxmlformats.org/officeDocument/2006/relationships/queryTable" Target="../queryTables/queryTable713.xml"/><Relationship Id="rId215" Type="http://schemas.openxmlformats.org/officeDocument/2006/relationships/queryTable" Target="../queryTables/queryTable718.xml"/><Relationship Id="rId236" Type="http://schemas.openxmlformats.org/officeDocument/2006/relationships/queryTable" Target="../queryTables/queryTable739.xml"/><Relationship Id="rId257" Type="http://schemas.openxmlformats.org/officeDocument/2006/relationships/queryTable" Target="../queryTables/queryTable760.xml"/><Relationship Id="rId26" Type="http://schemas.openxmlformats.org/officeDocument/2006/relationships/queryTable" Target="../queryTables/queryTable529.xml"/><Relationship Id="rId231" Type="http://schemas.openxmlformats.org/officeDocument/2006/relationships/queryTable" Target="../queryTables/queryTable734.xml"/><Relationship Id="rId252" Type="http://schemas.openxmlformats.org/officeDocument/2006/relationships/queryTable" Target="../queryTables/queryTable755.xml"/><Relationship Id="rId47" Type="http://schemas.openxmlformats.org/officeDocument/2006/relationships/queryTable" Target="../queryTables/queryTable550.xml"/><Relationship Id="rId68" Type="http://schemas.openxmlformats.org/officeDocument/2006/relationships/queryTable" Target="../queryTables/queryTable571.xml"/><Relationship Id="rId89" Type="http://schemas.openxmlformats.org/officeDocument/2006/relationships/queryTable" Target="../queryTables/queryTable592.xml"/><Relationship Id="rId112" Type="http://schemas.openxmlformats.org/officeDocument/2006/relationships/queryTable" Target="../queryTables/queryTable615.xml"/><Relationship Id="rId133" Type="http://schemas.openxmlformats.org/officeDocument/2006/relationships/queryTable" Target="../queryTables/queryTable636.xml"/><Relationship Id="rId154" Type="http://schemas.openxmlformats.org/officeDocument/2006/relationships/queryTable" Target="../queryTables/queryTable657.xml"/><Relationship Id="rId175" Type="http://schemas.openxmlformats.org/officeDocument/2006/relationships/queryTable" Target="../queryTables/queryTable678.xml"/><Relationship Id="rId196" Type="http://schemas.openxmlformats.org/officeDocument/2006/relationships/queryTable" Target="../queryTables/queryTable699.xml"/><Relationship Id="rId200" Type="http://schemas.openxmlformats.org/officeDocument/2006/relationships/queryTable" Target="../queryTables/queryTable703.xml"/><Relationship Id="rId16" Type="http://schemas.openxmlformats.org/officeDocument/2006/relationships/queryTable" Target="../queryTables/queryTable519.xml"/><Relationship Id="rId221" Type="http://schemas.openxmlformats.org/officeDocument/2006/relationships/queryTable" Target="../queryTables/queryTable724.xml"/><Relationship Id="rId242" Type="http://schemas.openxmlformats.org/officeDocument/2006/relationships/queryTable" Target="../queryTables/queryTable745.xml"/><Relationship Id="rId263" Type="http://schemas.openxmlformats.org/officeDocument/2006/relationships/queryTable" Target="../queryTables/queryTable766.xml"/><Relationship Id="rId37" Type="http://schemas.openxmlformats.org/officeDocument/2006/relationships/queryTable" Target="../queryTables/queryTable540.xml"/><Relationship Id="rId58" Type="http://schemas.openxmlformats.org/officeDocument/2006/relationships/queryTable" Target="../queryTables/queryTable561.xml"/><Relationship Id="rId79" Type="http://schemas.openxmlformats.org/officeDocument/2006/relationships/queryTable" Target="../queryTables/queryTable582.xml"/><Relationship Id="rId102" Type="http://schemas.openxmlformats.org/officeDocument/2006/relationships/queryTable" Target="../queryTables/queryTable605.xml"/><Relationship Id="rId123" Type="http://schemas.openxmlformats.org/officeDocument/2006/relationships/queryTable" Target="../queryTables/queryTable626.xml"/><Relationship Id="rId144" Type="http://schemas.openxmlformats.org/officeDocument/2006/relationships/queryTable" Target="../queryTables/queryTable647.xml"/><Relationship Id="rId90" Type="http://schemas.openxmlformats.org/officeDocument/2006/relationships/queryTable" Target="../queryTables/queryTable593.xml"/><Relationship Id="rId165" Type="http://schemas.openxmlformats.org/officeDocument/2006/relationships/queryTable" Target="../queryTables/queryTable668.xml"/><Relationship Id="rId186" Type="http://schemas.openxmlformats.org/officeDocument/2006/relationships/queryTable" Target="../queryTables/queryTable689.xml"/><Relationship Id="rId211" Type="http://schemas.openxmlformats.org/officeDocument/2006/relationships/queryTable" Target="../queryTables/queryTable714.xml"/><Relationship Id="rId232" Type="http://schemas.openxmlformats.org/officeDocument/2006/relationships/queryTable" Target="../queryTables/queryTable735.xml"/><Relationship Id="rId253" Type="http://schemas.openxmlformats.org/officeDocument/2006/relationships/queryTable" Target="../queryTables/queryTable756.xml"/><Relationship Id="rId27" Type="http://schemas.openxmlformats.org/officeDocument/2006/relationships/queryTable" Target="../queryTables/queryTable530.xml"/><Relationship Id="rId48" Type="http://schemas.openxmlformats.org/officeDocument/2006/relationships/queryTable" Target="../queryTables/queryTable551.xml"/><Relationship Id="rId69" Type="http://schemas.openxmlformats.org/officeDocument/2006/relationships/queryTable" Target="../queryTables/queryTable572.xml"/><Relationship Id="rId113" Type="http://schemas.openxmlformats.org/officeDocument/2006/relationships/queryTable" Target="../queryTables/queryTable616.xml"/><Relationship Id="rId134" Type="http://schemas.openxmlformats.org/officeDocument/2006/relationships/queryTable" Target="../queryTables/queryTable637.xml"/><Relationship Id="rId80" Type="http://schemas.openxmlformats.org/officeDocument/2006/relationships/queryTable" Target="../queryTables/queryTable583.xml"/><Relationship Id="rId155" Type="http://schemas.openxmlformats.org/officeDocument/2006/relationships/queryTable" Target="../queryTables/queryTable658.xml"/><Relationship Id="rId176" Type="http://schemas.openxmlformats.org/officeDocument/2006/relationships/queryTable" Target="../queryTables/queryTable679.xml"/><Relationship Id="rId197" Type="http://schemas.openxmlformats.org/officeDocument/2006/relationships/queryTable" Target="../queryTables/queryTable700.xml"/><Relationship Id="rId201" Type="http://schemas.openxmlformats.org/officeDocument/2006/relationships/queryTable" Target="../queryTables/queryTable704.xml"/><Relationship Id="rId222" Type="http://schemas.openxmlformats.org/officeDocument/2006/relationships/queryTable" Target="../queryTables/queryTable725.xml"/><Relationship Id="rId243" Type="http://schemas.openxmlformats.org/officeDocument/2006/relationships/queryTable" Target="../queryTables/queryTable746.xml"/><Relationship Id="rId264" Type="http://schemas.openxmlformats.org/officeDocument/2006/relationships/queryTable" Target="../queryTables/queryTable767.xml"/><Relationship Id="rId17" Type="http://schemas.openxmlformats.org/officeDocument/2006/relationships/queryTable" Target="../queryTables/queryTable520.xml"/><Relationship Id="rId38" Type="http://schemas.openxmlformats.org/officeDocument/2006/relationships/queryTable" Target="../queryTables/queryTable541.xml"/><Relationship Id="rId59" Type="http://schemas.openxmlformats.org/officeDocument/2006/relationships/queryTable" Target="../queryTables/queryTable562.xml"/><Relationship Id="rId103" Type="http://schemas.openxmlformats.org/officeDocument/2006/relationships/queryTable" Target="../queryTables/queryTable606.xml"/><Relationship Id="rId124" Type="http://schemas.openxmlformats.org/officeDocument/2006/relationships/queryTable" Target="../queryTables/queryTable627.xml"/><Relationship Id="rId70" Type="http://schemas.openxmlformats.org/officeDocument/2006/relationships/queryTable" Target="../queryTables/queryTable573.xml"/><Relationship Id="rId91" Type="http://schemas.openxmlformats.org/officeDocument/2006/relationships/queryTable" Target="../queryTables/queryTable594.xml"/><Relationship Id="rId145" Type="http://schemas.openxmlformats.org/officeDocument/2006/relationships/queryTable" Target="../queryTables/queryTable648.xml"/><Relationship Id="rId166" Type="http://schemas.openxmlformats.org/officeDocument/2006/relationships/queryTable" Target="../queryTables/queryTable669.xml"/><Relationship Id="rId187" Type="http://schemas.openxmlformats.org/officeDocument/2006/relationships/queryTable" Target="../queryTables/queryTable690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715.xml"/><Relationship Id="rId233" Type="http://schemas.openxmlformats.org/officeDocument/2006/relationships/queryTable" Target="../queryTables/queryTable736.xml"/><Relationship Id="rId254" Type="http://schemas.openxmlformats.org/officeDocument/2006/relationships/queryTable" Target="../queryTables/queryTable757.xml"/><Relationship Id="rId28" Type="http://schemas.openxmlformats.org/officeDocument/2006/relationships/queryTable" Target="../queryTables/queryTable531.xml"/><Relationship Id="rId49" Type="http://schemas.openxmlformats.org/officeDocument/2006/relationships/queryTable" Target="../queryTables/queryTable552.xml"/><Relationship Id="rId114" Type="http://schemas.openxmlformats.org/officeDocument/2006/relationships/queryTable" Target="../queryTables/queryTable6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2:E23"/>
  <sheetViews>
    <sheetView workbookViewId="0">
      <selection activeCell="B19" sqref="B19:B20"/>
    </sheetView>
  </sheetViews>
  <sheetFormatPr defaultRowHeight="15" x14ac:dyDescent="0.25"/>
  <cols>
    <col min="2" max="2" width="25.5703125" bestFit="1" customWidth="1"/>
  </cols>
  <sheetData>
    <row r="2" spans="2:5" ht="15.75" thickBot="1" x14ac:dyDescent="0.3"/>
    <row r="3" spans="2:5" x14ac:dyDescent="0.25">
      <c r="B3" s="39" t="s">
        <v>54</v>
      </c>
      <c r="C3" s="40"/>
      <c r="D3" s="40" t="s">
        <v>55</v>
      </c>
      <c r="E3" s="41"/>
    </row>
    <row r="4" spans="2:5" x14ac:dyDescent="0.25">
      <c r="B4" s="42">
        <v>44273</v>
      </c>
      <c r="C4" s="43"/>
      <c r="D4" s="44">
        <v>44274</v>
      </c>
      <c r="E4" s="45"/>
    </row>
    <row r="5" spans="2:5" x14ac:dyDescent="0.25">
      <c r="B5" s="46">
        <v>0.75</v>
      </c>
      <c r="C5" s="47"/>
      <c r="D5" s="47">
        <v>0</v>
      </c>
      <c r="E5" s="48"/>
    </row>
    <row r="6" spans="2:5" ht="15.75" thickBot="1" x14ac:dyDescent="0.3"/>
    <row r="7" spans="2:5" ht="15.75" thickBot="1" x14ac:dyDescent="0.3">
      <c r="B7" s="34" t="s">
        <v>2457</v>
      </c>
    </row>
    <row r="8" spans="2:5" x14ac:dyDescent="0.25">
      <c r="B8" s="35" t="s">
        <v>953</v>
      </c>
    </row>
    <row r="9" spans="2:5" x14ac:dyDescent="0.25">
      <c r="B9" s="36" t="s">
        <v>2453</v>
      </c>
    </row>
    <row r="10" spans="2:5" x14ac:dyDescent="0.25">
      <c r="B10" s="36" t="s">
        <v>2454</v>
      </c>
    </row>
    <row r="11" spans="2:5" x14ac:dyDescent="0.25">
      <c r="B11" s="36" t="s">
        <v>2455</v>
      </c>
    </row>
    <row r="12" spans="2:5" ht="15.75" thickBot="1" x14ac:dyDescent="0.3">
      <c r="B12" s="37" t="s">
        <v>2456</v>
      </c>
    </row>
    <row r="20" spans="2:2" x14ac:dyDescent="0.25">
      <c r="B20" s="38"/>
    </row>
    <row r="22" spans="2:2" x14ac:dyDescent="0.25">
      <c r="B22" s="1"/>
    </row>
    <row r="23" spans="2:2" x14ac:dyDescent="0.25">
      <c r="B23" s="1"/>
    </row>
  </sheetData>
  <mergeCells count="6">
    <mergeCell ref="B3:C3"/>
    <mergeCell ref="D3:E3"/>
    <mergeCell ref="B4:C4"/>
    <mergeCell ref="D4:E4"/>
    <mergeCell ref="B5:C5"/>
    <mergeCell ref="D5:E5"/>
  </mergeCells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">
                <anchor moveWithCells="1" sizeWithCells="1">
                  <from>
                    <xdr:col>5</xdr:col>
                    <xdr:colOff>114300</xdr:colOff>
                    <xdr:row>2</xdr:row>
                    <xdr:rowOff>9525</xdr:rowOff>
                  </from>
                  <to>
                    <xdr:col>10</xdr:col>
                    <xdr:colOff>9525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7"/>
  <sheetViews>
    <sheetView showGridLines="0" topLeftCell="A2" zoomScale="70" zoomScaleNormal="70" workbookViewId="0">
      <selection sqref="A1:K1048576"/>
    </sheetView>
  </sheetViews>
  <sheetFormatPr defaultColWidth="9.28515625" defaultRowHeight="15" x14ac:dyDescent="0.25"/>
  <cols>
    <col min="1" max="2" width="9.28515625" style="13"/>
    <col min="3" max="3" width="13.7109375" style="13" bestFit="1" customWidth="1"/>
    <col min="4" max="4" width="12.7109375" style="13" bestFit="1" customWidth="1"/>
    <col min="5" max="5" width="10.7109375" style="13" customWidth="1"/>
    <col min="6" max="6" width="11.28515625" style="13" customWidth="1"/>
    <col min="7" max="7" width="10.5703125" style="13" customWidth="1"/>
    <col min="8" max="8" width="14.28515625" style="13" bestFit="1" customWidth="1"/>
    <col min="9" max="10" width="9.28515625" style="13"/>
    <col min="11" max="11" width="13.7109375" style="13" customWidth="1"/>
    <col min="12" max="12" width="11" style="13" customWidth="1"/>
    <col min="13" max="13" width="14.28515625" style="13" customWidth="1"/>
    <col min="14" max="15" width="9.28515625" style="13"/>
    <col min="16" max="16" width="10.5703125" style="13" bestFit="1" customWidth="1"/>
    <col min="17" max="16384" width="9.28515625" style="13"/>
  </cols>
  <sheetData>
    <row r="1" spans="1:17" ht="15.75" thickBot="1" x14ac:dyDescent="0.3">
      <c r="A1" s="11"/>
      <c r="B1" s="11"/>
      <c r="C1" s="11"/>
      <c r="D1" s="11"/>
      <c r="E1" s="11"/>
      <c r="F1" s="11"/>
      <c r="G1" s="11"/>
      <c r="H1" s="12"/>
      <c r="I1" s="16" t="s">
        <v>59</v>
      </c>
      <c r="J1" s="11"/>
    </row>
    <row r="2" spans="1:17" ht="14.65" customHeight="1" x14ac:dyDescent="0.25">
      <c r="A2" s="11"/>
      <c r="B2" s="69" t="str">
        <f>Setup!B9</f>
        <v>BOI2</v>
      </c>
      <c r="C2" s="70"/>
      <c r="D2" s="70"/>
      <c r="E2" s="70"/>
      <c r="F2" s="73" t="s">
        <v>357</v>
      </c>
      <c r="G2" s="73"/>
      <c r="H2" s="73"/>
      <c r="I2" s="74"/>
      <c r="J2" s="11"/>
    </row>
    <row r="3" spans="1:17" ht="14.65" customHeight="1" thickBot="1" x14ac:dyDescent="0.3">
      <c r="A3" s="11"/>
      <c r="B3" s="71"/>
      <c r="C3" s="72"/>
      <c r="D3" s="72"/>
      <c r="E3" s="72"/>
      <c r="F3" s="75"/>
      <c r="G3" s="75"/>
      <c r="H3" s="75"/>
      <c r="I3" s="76"/>
      <c r="J3" s="11"/>
      <c r="M3" s="14"/>
    </row>
    <row r="4" spans="1:17" x14ac:dyDescent="0.25">
      <c r="A4" s="11"/>
      <c r="B4" s="39" t="s">
        <v>54</v>
      </c>
      <c r="C4" s="40"/>
      <c r="D4" s="40" t="s">
        <v>55</v>
      </c>
      <c r="E4" s="41"/>
      <c r="F4" s="107"/>
      <c r="G4" s="108"/>
      <c r="H4" s="108"/>
      <c r="I4" s="109"/>
      <c r="J4" s="11"/>
      <c r="M4" s="14"/>
      <c r="P4" s="14"/>
      <c r="Q4" s="14"/>
    </row>
    <row r="5" spans="1:17" x14ac:dyDescent="0.25">
      <c r="A5" s="11"/>
      <c r="B5" s="42">
        <f>HOME!B4</f>
        <v>44273</v>
      </c>
      <c r="C5" s="43"/>
      <c r="D5" s="42">
        <f>HOME!D4</f>
        <v>44274</v>
      </c>
      <c r="E5" s="43"/>
      <c r="F5" s="110"/>
      <c r="G5" s="111"/>
      <c r="H5" s="111"/>
      <c r="I5" s="112"/>
      <c r="J5" s="15">
        <f>IFERROR(IF(HOUR(HOME!D5-HOME!B5)&gt;10,IF(HOME!B5=P7,10,IF(HOME!B5=P8,10,12)),HOUR(HOME!D5-HOME!B5)),IF(HOME!D5=P7,10,12))</f>
        <v>12</v>
      </c>
      <c r="P5" s="14"/>
      <c r="Q5" s="14"/>
    </row>
    <row r="6" spans="1:17" ht="15.75" thickBot="1" x14ac:dyDescent="0.3">
      <c r="A6" s="11"/>
      <c r="B6" s="46">
        <f>HOME!B5</f>
        <v>0.75</v>
      </c>
      <c r="C6" s="47"/>
      <c r="D6" s="46">
        <f>HOME!D5</f>
        <v>0</v>
      </c>
      <c r="E6" s="47"/>
      <c r="F6" s="113"/>
      <c r="G6" s="114"/>
      <c r="H6" s="114"/>
      <c r="I6" s="115"/>
      <c r="J6" s="11"/>
      <c r="M6" s="14"/>
      <c r="P6" s="14"/>
      <c r="Q6" s="14"/>
    </row>
    <row r="7" spans="1:17" x14ac:dyDescent="0.25">
      <c r="A7" s="11"/>
      <c r="B7" s="39" t="s">
        <v>56</v>
      </c>
      <c r="C7" s="40"/>
      <c r="D7" s="40"/>
      <c r="E7" s="41"/>
      <c r="F7" s="39" t="s">
        <v>57</v>
      </c>
      <c r="G7" s="40"/>
      <c r="H7" s="40"/>
      <c r="I7" s="41"/>
      <c r="J7" s="11"/>
      <c r="P7" s="17">
        <v>0.25</v>
      </c>
      <c r="Q7" s="14"/>
    </row>
    <row r="8" spans="1:17" x14ac:dyDescent="0.25">
      <c r="A8" s="11"/>
      <c r="B8" s="99" t="s">
        <v>58</v>
      </c>
      <c r="C8" s="100"/>
      <c r="D8" s="122">
        <f>IF(PPR!A3="Warehouse ",VLOOKUP(I1,PPR!$C$1:$H$195,3,FALSE),PPR!H121)</f>
        <v>107328</v>
      </c>
      <c r="E8" s="123"/>
      <c r="F8" s="99" t="s">
        <v>58</v>
      </c>
      <c r="G8" s="100"/>
      <c r="H8" s="67">
        <f>D8</f>
        <v>107328</v>
      </c>
      <c r="I8" s="68"/>
      <c r="J8" s="11"/>
      <c r="P8" s="18">
        <v>0.29166666666666669</v>
      </c>
      <c r="Q8" s="14"/>
    </row>
    <row r="9" spans="1:17" x14ac:dyDescent="0.25">
      <c r="A9" s="11"/>
      <c r="B9" s="99" t="s">
        <v>60</v>
      </c>
      <c r="C9" s="100"/>
      <c r="D9" s="118">
        <f>IF(PPR!A3="Warehouse ",VLOOKUP(I1,PPR!$C$1:$H$195,4,FALSE),PPR!I120)</f>
        <v>233.5</v>
      </c>
      <c r="E9" s="119"/>
      <c r="F9" s="99" t="s">
        <v>61</v>
      </c>
      <c r="G9" s="100"/>
      <c r="H9" s="63">
        <f>PPR!I128</f>
        <v>246.67</v>
      </c>
      <c r="I9" s="64"/>
      <c r="J9" s="11"/>
      <c r="P9" s="17"/>
      <c r="Q9" s="14"/>
    </row>
    <row r="10" spans="1:17" ht="15.75" thickBot="1" x14ac:dyDescent="0.3">
      <c r="A10" s="11"/>
      <c r="B10" s="103" t="s">
        <v>62</v>
      </c>
      <c r="C10" s="104"/>
      <c r="D10" s="120">
        <f>IF(PPR!A3="Warehouse ",VLOOKUP(I1,PPR!$C$1:$H$195,5,FALSE),PPR!J120)</f>
        <v>459.64</v>
      </c>
      <c r="E10" s="121"/>
      <c r="F10" s="103" t="s">
        <v>62</v>
      </c>
      <c r="G10" s="104"/>
      <c r="H10" s="105">
        <f>H8/H9</f>
        <v>435.10763368062595</v>
      </c>
      <c r="I10" s="106"/>
      <c r="J10" s="11"/>
      <c r="P10" s="14">
        <f>IF(HOME!D5=P8,1,0)</f>
        <v>0</v>
      </c>
      <c r="Q10" s="14"/>
    </row>
    <row r="11" spans="1:17" x14ac:dyDescent="0.25">
      <c r="A11" s="11"/>
      <c r="B11" s="39" t="s">
        <v>63</v>
      </c>
      <c r="C11" s="40"/>
      <c r="D11" s="40"/>
      <c r="E11" s="41"/>
      <c r="F11" s="39" t="s">
        <v>64</v>
      </c>
      <c r="G11" s="40"/>
      <c r="H11" s="40"/>
      <c r="I11" s="41"/>
      <c r="J11" s="11"/>
      <c r="P11" s="14"/>
      <c r="Q11" s="14"/>
    </row>
    <row r="12" spans="1:17" x14ac:dyDescent="0.25">
      <c r="A12" s="11"/>
      <c r="B12" s="99" t="s">
        <v>65</v>
      </c>
      <c r="C12" s="100"/>
      <c r="D12" s="116">
        <f>SUMIFS('Dock PPR'!K:K,'Dock PPR'!B:B,ReportTemplate!B12)</f>
        <v>4.92</v>
      </c>
      <c r="E12" s="117"/>
      <c r="F12" s="99" t="s">
        <v>65</v>
      </c>
      <c r="G12" s="100"/>
      <c r="H12" s="65">
        <f>24*(HOME!D5-HOME!B5)*2</f>
        <v>-36</v>
      </c>
      <c r="I12" s="66"/>
      <c r="J12" s="11"/>
      <c r="P12" s="14"/>
      <c r="Q12" s="14"/>
    </row>
    <row r="13" spans="1:17" x14ac:dyDescent="0.25">
      <c r="A13" s="11"/>
      <c r="B13" s="99" t="s">
        <v>66</v>
      </c>
      <c r="C13" s="100"/>
      <c r="D13" s="116">
        <f>SUMIFS('Dock PPR'!K:K,'Dock PPR'!B:B,ReportTemplate!B13,'Dock PPR'!O:O,"Package")</f>
        <v>89.330000000000013</v>
      </c>
      <c r="E13" s="117"/>
      <c r="F13" s="99" t="s">
        <v>66</v>
      </c>
      <c r="G13" s="100"/>
      <c r="H13" s="65">
        <f>J23/H22</f>
        <v>0</v>
      </c>
      <c r="I13" s="66"/>
      <c r="M13" s="19"/>
      <c r="P13" s="14"/>
      <c r="Q13" s="14"/>
    </row>
    <row r="14" spans="1:17" x14ac:dyDescent="0.25">
      <c r="A14" s="11"/>
      <c r="B14" s="99" t="s">
        <v>67</v>
      </c>
      <c r="C14" s="100"/>
      <c r="D14" s="116">
        <f>SUMIFS('Dock PPR'!K:K,'Dock PPR'!B:B,ReportTemplate!B14)</f>
        <v>17.630000000000003</v>
      </c>
      <c r="E14" s="117"/>
      <c r="F14" s="99" t="s">
        <v>67</v>
      </c>
      <c r="G14" s="100"/>
      <c r="H14" s="65">
        <f>J21/H23</f>
        <v>0.25600000000000001</v>
      </c>
      <c r="I14" s="66"/>
      <c r="M14" s="20"/>
      <c r="P14" s="14"/>
      <c r="Q14" s="14"/>
    </row>
    <row r="15" spans="1:17" x14ac:dyDescent="0.25">
      <c r="A15" s="11"/>
      <c r="B15" s="99" t="s">
        <v>68</v>
      </c>
      <c r="C15" s="100"/>
      <c r="D15" s="116">
        <f>SUMIFS('Dock PPR'!K:K,'Dock PPR'!B:B,ReportTemplate!B15,'Dock PPR'!L:L,"PalletMoved")</f>
        <v>34.489999999999995</v>
      </c>
      <c r="E15" s="117"/>
      <c r="F15" s="99" t="s">
        <v>68</v>
      </c>
      <c r="G15" s="100"/>
      <c r="H15" s="65">
        <f>H13/2+(H14/2)</f>
        <v>0.128</v>
      </c>
      <c r="I15" s="66"/>
    </row>
    <row r="16" spans="1:17" x14ac:dyDescent="0.25">
      <c r="A16" s="11"/>
      <c r="B16" s="99" t="s">
        <v>69</v>
      </c>
      <c r="C16" s="100"/>
      <c r="D16" s="116">
        <f>SUMIFS('Dock PPR'!K:K,'Dock PPR'!B:B,ReportTemplate!B16,'Dock PPR'!L:L,"PalletLoaded")</f>
        <v>23.09</v>
      </c>
      <c r="E16" s="117"/>
      <c r="F16" s="99" t="s">
        <v>69</v>
      </c>
      <c r="G16" s="100"/>
      <c r="H16" s="65">
        <f>(J21+J23+J25)/3750</f>
        <v>0.1024</v>
      </c>
      <c r="I16" s="66"/>
      <c r="J16" s="11"/>
    </row>
    <row r="17" spans="1:13" x14ac:dyDescent="0.25">
      <c r="A17" s="11"/>
      <c r="B17" s="99" t="s">
        <v>70</v>
      </c>
      <c r="C17" s="100"/>
      <c r="D17" s="116">
        <f>SUMIFS('Dock PPR'!K:K,'Dock PPR'!B:B,ReportTemplate!B17)</f>
        <v>21.46</v>
      </c>
      <c r="E17" s="117"/>
      <c r="F17" s="99" t="s">
        <v>70</v>
      </c>
      <c r="G17" s="100"/>
      <c r="H17" s="65">
        <f>J25/H24</f>
        <v>0</v>
      </c>
      <c r="I17" s="66"/>
    </row>
    <row r="18" spans="1:13" ht="15.75" thickBot="1" x14ac:dyDescent="0.3">
      <c r="A18" s="11"/>
      <c r="B18" s="101" t="s">
        <v>71</v>
      </c>
      <c r="C18" s="102"/>
      <c r="D18" s="116">
        <f>SUMIFS('Dock PPR'!K:K,'Dock PPR'!B:B,ReportTemplate!B18)</f>
        <v>0</v>
      </c>
      <c r="E18" s="117"/>
      <c r="F18" s="101" t="s">
        <v>71</v>
      </c>
      <c r="G18" s="102"/>
      <c r="H18" s="63">
        <v>0</v>
      </c>
      <c r="I18" s="64"/>
    </row>
    <row r="19" spans="1:13" ht="16.5" thickTop="1" thickBot="1" x14ac:dyDescent="0.3">
      <c r="A19" s="11"/>
      <c r="B19" s="80" t="s">
        <v>72</v>
      </c>
      <c r="C19" s="81"/>
      <c r="D19" s="59">
        <f>SUMIF('Dock PPR'!B:B,ReportTemplate!B19,'Dock PPR'!K:K)</f>
        <v>5.35</v>
      </c>
      <c r="E19" s="60"/>
      <c r="F19" s="80" t="s">
        <v>72</v>
      </c>
      <c r="G19" s="81"/>
      <c r="H19" s="63">
        <f>24*(HOME!D5-HOME!B5)*2</f>
        <v>-36</v>
      </c>
      <c r="I19" s="96"/>
      <c r="J19" s="57" t="s">
        <v>622</v>
      </c>
      <c r="K19" s="58"/>
    </row>
    <row r="20" spans="1:13" ht="16.5" thickTop="1" thickBot="1" x14ac:dyDescent="0.3">
      <c r="A20" s="33">
        <f>(D9-D13-D14-D15-D16-D17)/D9</f>
        <v>0.20342612419700212</v>
      </c>
      <c r="B20" s="88" t="s">
        <v>73</v>
      </c>
      <c r="C20" s="89"/>
      <c r="D20" s="61">
        <f>SUM(D12:E19)</f>
        <v>196.27</v>
      </c>
      <c r="E20" s="62"/>
      <c r="F20" s="88" t="s">
        <v>73</v>
      </c>
      <c r="G20" s="89"/>
      <c r="H20" s="97">
        <f>SUM(H12:I19)</f>
        <v>-71.513599999999997</v>
      </c>
      <c r="I20" s="98"/>
      <c r="J20" s="51" t="s">
        <v>623</v>
      </c>
      <c r="K20" s="52"/>
    </row>
    <row r="21" spans="1:13" ht="15.75" thickBot="1" x14ac:dyDescent="0.3">
      <c r="A21" s="11"/>
      <c r="B21" s="77" t="s">
        <v>75</v>
      </c>
      <c r="C21" s="78"/>
      <c r="D21" s="78"/>
      <c r="E21" s="79"/>
      <c r="F21" s="77" t="s">
        <v>76</v>
      </c>
      <c r="G21" s="78"/>
      <c r="H21" s="78"/>
      <c r="I21" s="78"/>
      <c r="J21" s="49">
        <f>SUMIFS(Chute!G:G,Chute!F:F,"FR")+SUMIFS(Chute!G:G,Chute!F:F,"BR")</f>
        <v>384</v>
      </c>
      <c r="K21" s="50"/>
    </row>
    <row r="22" spans="1:13" ht="15.75" thickTop="1" x14ac:dyDescent="0.25">
      <c r="A22" s="11"/>
      <c r="B22" s="80" t="s">
        <v>66</v>
      </c>
      <c r="C22" s="81"/>
      <c r="D22" s="84">
        <f>J23/D13</f>
        <v>0</v>
      </c>
      <c r="E22" s="85"/>
      <c r="F22" s="80" t="s">
        <v>66</v>
      </c>
      <c r="G22" s="81"/>
      <c r="H22" s="86">
        <v>640</v>
      </c>
      <c r="I22" s="87"/>
      <c r="J22" s="55" t="s">
        <v>621</v>
      </c>
      <c r="K22" s="56"/>
    </row>
    <row r="23" spans="1:13" ht="15.75" thickBot="1" x14ac:dyDescent="0.3">
      <c r="A23" s="11"/>
      <c r="B23" s="80" t="s">
        <v>77</v>
      </c>
      <c r="C23" s="81"/>
      <c r="D23" s="84">
        <f>Ship!X24/D14</f>
        <v>0</v>
      </c>
      <c r="E23" s="85"/>
      <c r="F23" s="80" t="s">
        <v>77</v>
      </c>
      <c r="G23" s="81"/>
      <c r="H23" s="86">
        <v>1500</v>
      </c>
      <c r="I23" s="87"/>
      <c r="J23" s="49">
        <f>SUMIFS(Chute!G:G,Chute!F:F,"SR")</f>
        <v>0</v>
      </c>
      <c r="K23" s="50"/>
      <c r="L23" s="27"/>
      <c r="M23" s="28"/>
    </row>
    <row r="24" spans="1:13" ht="15.75" thickTop="1" x14ac:dyDescent="0.25">
      <c r="A24" s="11"/>
      <c r="B24" s="80" t="s">
        <v>70</v>
      </c>
      <c r="C24" s="81"/>
      <c r="D24" s="84">
        <f>J25/D17</f>
        <v>0</v>
      </c>
      <c r="E24" s="85"/>
      <c r="F24" s="80" t="s">
        <v>70</v>
      </c>
      <c r="G24" s="81"/>
      <c r="H24" s="86">
        <v>640</v>
      </c>
      <c r="I24" s="87"/>
      <c r="J24" s="53" t="s">
        <v>620</v>
      </c>
      <c r="K24" s="54"/>
      <c r="L24" s="27"/>
      <c r="M24" s="28"/>
    </row>
    <row r="25" spans="1:13" ht="15.75" thickBot="1" x14ac:dyDescent="0.3">
      <c r="A25" s="11"/>
      <c r="B25" s="80" t="s">
        <v>68</v>
      </c>
      <c r="C25" s="81"/>
      <c r="D25" s="82">
        <f>IFERROR((SUMIFS('Dock PPR'!Q:Q,'Dock PPR'!B:B,"Flat Waterspider"))/D15,"--")</f>
        <v>4.9579588286459852</v>
      </c>
      <c r="E25" s="83"/>
      <c r="F25" s="80" t="s">
        <v>68</v>
      </c>
      <c r="G25" s="81"/>
      <c r="H25" s="86">
        <v>9</v>
      </c>
      <c r="I25" s="87"/>
      <c r="J25" s="49">
        <f>SUMIFS(Chute!G:G,Chute!F:F,"DD")</f>
        <v>0</v>
      </c>
      <c r="K25" s="50"/>
      <c r="M25" s="21"/>
    </row>
    <row r="26" spans="1:13" ht="16.5" thickTop="1" thickBot="1" x14ac:dyDescent="0.3">
      <c r="A26" s="11"/>
      <c r="B26" s="90" t="s">
        <v>69</v>
      </c>
      <c r="C26" s="91"/>
      <c r="D26" s="92">
        <f>IFERROR((SUMIFS('Dock PPR'!Q:Q,'Dock PPR'!B:B,"Pallet Loader"))/D16,"--")</f>
        <v>6.4963187527067996</v>
      </c>
      <c r="E26" s="93"/>
      <c r="F26" s="90" t="s">
        <v>78</v>
      </c>
      <c r="G26" s="91"/>
      <c r="H26" s="94">
        <v>12</v>
      </c>
      <c r="I26" s="95"/>
      <c r="J26" s="11"/>
    </row>
    <row r="27" spans="1:13" x14ac:dyDescent="0.25">
      <c r="A27" s="11"/>
      <c r="I27" s="30"/>
      <c r="J27" s="29"/>
    </row>
  </sheetData>
  <mergeCells count="90">
    <mergeCell ref="B2:E3"/>
    <mergeCell ref="F2:I3"/>
    <mergeCell ref="B4:C4"/>
    <mergeCell ref="D4:E4"/>
    <mergeCell ref="F4:I6"/>
    <mergeCell ref="B5:C5"/>
    <mergeCell ref="D5:E5"/>
    <mergeCell ref="B6:C6"/>
    <mergeCell ref="D6:E6"/>
    <mergeCell ref="B7:E7"/>
    <mergeCell ref="F7:I7"/>
    <mergeCell ref="B8:C8"/>
    <mergeCell ref="D8:E8"/>
    <mergeCell ref="F8:G8"/>
    <mergeCell ref="H8:I8"/>
    <mergeCell ref="B9:C9"/>
    <mergeCell ref="D9:E9"/>
    <mergeCell ref="F9:G9"/>
    <mergeCell ref="H9:I9"/>
    <mergeCell ref="B10:C10"/>
    <mergeCell ref="D10:E10"/>
    <mergeCell ref="F10:G10"/>
    <mergeCell ref="H10:I10"/>
    <mergeCell ref="B11:E11"/>
    <mergeCell ref="F11:I11"/>
    <mergeCell ref="B12:C12"/>
    <mergeCell ref="D12:E12"/>
    <mergeCell ref="F12:G12"/>
    <mergeCell ref="H12:I12"/>
    <mergeCell ref="B13:C13"/>
    <mergeCell ref="D13:E13"/>
    <mergeCell ref="F13:G13"/>
    <mergeCell ref="H13:I13"/>
    <mergeCell ref="B14:C14"/>
    <mergeCell ref="D14:E14"/>
    <mergeCell ref="F14:G14"/>
    <mergeCell ref="H14:I14"/>
    <mergeCell ref="B15:C15"/>
    <mergeCell ref="D15:E15"/>
    <mergeCell ref="F15:G15"/>
    <mergeCell ref="H15:I15"/>
    <mergeCell ref="B16:C16"/>
    <mergeCell ref="D16:E16"/>
    <mergeCell ref="F16:G16"/>
    <mergeCell ref="H16:I16"/>
    <mergeCell ref="B17:C17"/>
    <mergeCell ref="D17:E17"/>
    <mergeCell ref="F17:G17"/>
    <mergeCell ref="H17:I17"/>
    <mergeCell ref="B18:C18"/>
    <mergeCell ref="D18:E18"/>
    <mergeCell ref="F18:G18"/>
    <mergeCell ref="H18:I18"/>
    <mergeCell ref="B20:C20"/>
    <mergeCell ref="D20:E20"/>
    <mergeCell ref="F20:G20"/>
    <mergeCell ref="H20:I20"/>
    <mergeCell ref="J20:K20"/>
    <mergeCell ref="B19:C19"/>
    <mergeCell ref="D19:E19"/>
    <mergeCell ref="F19:G19"/>
    <mergeCell ref="H19:I19"/>
    <mergeCell ref="J19:K19"/>
    <mergeCell ref="B21:E21"/>
    <mergeCell ref="F21:I21"/>
    <mergeCell ref="J21:K21"/>
    <mergeCell ref="B22:C22"/>
    <mergeCell ref="D22:E22"/>
    <mergeCell ref="F22:G22"/>
    <mergeCell ref="H22:I22"/>
    <mergeCell ref="J22:K22"/>
    <mergeCell ref="J23:K23"/>
    <mergeCell ref="B24:C24"/>
    <mergeCell ref="D24:E24"/>
    <mergeCell ref="F24:G24"/>
    <mergeCell ref="H24:I24"/>
    <mergeCell ref="J24:K24"/>
    <mergeCell ref="B26:C26"/>
    <mergeCell ref="D26:E26"/>
    <mergeCell ref="F26:G26"/>
    <mergeCell ref="H26:I26"/>
    <mergeCell ref="B23:C23"/>
    <mergeCell ref="D23:E23"/>
    <mergeCell ref="F23:G23"/>
    <mergeCell ref="H23:I23"/>
    <mergeCell ref="B25:C25"/>
    <mergeCell ref="D25:E25"/>
    <mergeCell ref="F25:G25"/>
    <mergeCell ref="H25:I25"/>
    <mergeCell ref="J25:K25"/>
  </mergeCells>
  <conditionalFormatting sqref="D10:E10">
    <cfRule type="cellIs" dxfId="191" priority="5" operator="lessThan">
      <formula>470</formula>
    </cfRule>
    <cfRule type="cellIs" dxfId="190" priority="6" operator="greaterThanOrEqual">
      <formula>470</formula>
    </cfRule>
  </conditionalFormatting>
  <conditionalFormatting sqref="D26:E26 D22:D23 D25">
    <cfRule type="containsText" dxfId="189" priority="4" operator="containsText" text="&quot;--&quot;">
      <formula>NOT(ISERROR(SEARCH("""--""",D22)))</formula>
    </cfRule>
  </conditionalFormatting>
  <conditionalFormatting sqref="D24">
    <cfRule type="containsText" dxfId="188" priority="3" operator="containsText" text="&quot;--&quot;">
      <formula>NOT(ISERROR(SEARCH("""--""",D24)))</formula>
    </cfRule>
    <cfRule type="cellIs" dxfId="187" priority="31" operator="lessThan">
      <formula>$H$24</formula>
    </cfRule>
    <cfRule type="cellIs" dxfId="186" priority="32" operator="greaterThanOrEqual">
      <formula>$H$24</formula>
    </cfRule>
  </conditionalFormatting>
  <conditionalFormatting sqref="D23">
    <cfRule type="cellIs" dxfId="185" priority="7" operator="greaterThan">
      <formula>$H$23</formula>
    </cfRule>
    <cfRule type="cellIs" dxfId="184" priority="8" operator="lessThan">
      <formula>$H$23</formula>
    </cfRule>
  </conditionalFormatting>
  <conditionalFormatting sqref="D25 D23">
    <cfRule type="cellIs" dxfId="183" priority="9" operator="greaterThan">
      <formula>$H$25</formula>
    </cfRule>
    <cfRule type="cellIs" dxfId="182" priority="10" operator="lessThan">
      <formula>$H$25</formula>
    </cfRule>
  </conditionalFormatting>
  <conditionalFormatting sqref="D26:E26">
    <cfRule type="cellIs" dxfId="181" priority="11" operator="greaterThan">
      <formula>$H$26</formula>
    </cfRule>
    <cfRule type="cellIs" dxfId="180" priority="12" operator="lessThan">
      <formula>$H$26</formula>
    </cfRule>
  </conditionalFormatting>
  <conditionalFormatting sqref="D9:E9">
    <cfRule type="cellIs" dxfId="179" priority="13" operator="lessThan">
      <formula>$H$9</formula>
    </cfRule>
    <cfRule type="cellIs" dxfId="178" priority="14" operator="greaterThan">
      <formula>$H$9</formula>
    </cfRule>
  </conditionalFormatting>
  <conditionalFormatting sqref="D13:E13">
    <cfRule type="cellIs" dxfId="177" priority="15" operator="lessThan">
      <formula>$H$13</formula>
    </cfRule>
    <cfRule type="cellIs" dxfId="176" priority="16" operator="greaterThan">
      <formula>$H$13</formula>
    </cfRule>
  </conditionalFormatting>
  <conditionalFormatting sqref="D14:E14">
    <cfRule type="cellIs" dxfId="175" priority="17" operator="lessThan">
      <formula>$H$14</formula>
    </cfRule>
    <cfRule type="cellIs" dxfId="174" priority="18" operator="greaterThan">
      <formula>$H$14</formula>
    </cfRule>
  </conditionalFormatting>
  <conditionalFormatting sqref="D15:E15">
    <cfRule type="cellIs" dxfId="173" priority="19" operator="lessThan">
      <formula>$H$15</formula>
    </cfRule>
    <cfRule type="cellIs" dxfId="172" priority="20" operator="greaterThan">
      <formula>$H$15</formula>
    </cfRule>
  </conditionalFormatting>
  <conditionalFormatting sqref="D16:E16">
    <cfRule type="cellIs" dxfId="171" priority="21" operator="lessThan">
      <formula>$H$16</formula>
    </cfRule>
    <cfRule type="cellIs" dxfId="170" priority="22" operator="greaterThan">
      <formula>$H$16</formula>
    </cfRule>
  </conditionalFormatting>
  <conditionalFormatting sqref="D17:E18">
    <cfRule type="cellIs" dxfId="169" priority="23" operator="lessThan">
      <formula>$H$17</formula>
    </cfRule>
    <cfRule type="cellIs" dxfId="168" priority="24" operator="greaterThan">
      <formula>$H$17</formula>
    </cfRule>
  </conditionalFormatting>
  <conditionalFormatting sqref="D19">
    <cfRule type="cellIs" dxfId="167" priority="25" operator="lessThan">
      <formula>$H$19</formula>
    </cfRule>
    <cfRule type="cellIs" dxfId="166" priority="26" operator="greaterThan">
      <formula>$H$19</formula>
    </cfRule>
  </conditionalFormatting>
  <conditionalFormatting sqref="D20">
    <cfRule type="cellIs" dxfId="165" priority="27" operator="lessThan">
      <formula>$H$20</formula>
    </cfRule>
    <cfRule type="cellIs" dxfId="164" priority="28" operator="greaterThan">
      <formula>$H$20</formula>
    </cfRule>
  </conditionalFormatting>
  <conditionalFormatting sqref="D12:E12">
    <cfRule type="cellIs" dxfId="163" priority="29" operator="lessThan">
      <formula>$H$12</formula>
    </cfRule>
    <cfRule type="cellIs" dxfId="162" priority="30" operator="greaterThan">
      <formula>$H$12</formula>
    </cfRule>
  </conditionalFormatting>
  <conditionalFormatting sqref="D22:E22">
    <cfRule type="cellIs" dxfId="161" priority="1" operator="greaterThanOrEqual">
      <formula>$H$22</formula>
    </cfRule>
    <cfRule type="cellIs" dxfId="160" priority="2" operator="lessThan">
      <formula>$H$22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999"/>
  <sheetViews>
    <sheetView workbookViewId="0">
      <selection activeCell="F1" sqref="F1:F1048576"/>
    </sheetView>
  </sheetViews>
  <sheetFormatPr defaultColWidth="8.7109375" defaultRowHeight="15.75" x14ac:dyDescent="0.25"/>
  <cols>
    <col min="1" max="1" width="8.7109375" style="32"/>
    <col min="2" max="2" width="24" style="32" customWidth="1"/>
    <col min="3" max="3" width="25.85546875" style="32" customWidth="1"/>
    <col min="4" max="16384" width="8.7109375" style="32"/>
  </cols>
  <sheetData>
    <row r="1" spans="1:7" x14ac:dyDescent="0.25">
      <c r="A1" s="32" t="s">
        <v>624</v>
      </c>
      <c r="B1" s="32" t="s">
        <v>625</v>
      </c>
      <c r="C1" s="32" t="s">
        <v>626</v>
      </c>
      <c r="D1" s="32" t="s">
        <v>627</v>
      </c>
      <c r="E1" s="32" t="s">
        <v>628</v>
      </c>
    </row>
    <row r="2" spans="1:7" x14ac:dyDescent="0.25">
      <c r="A2" s="32" t="s">
        <v>953</v>
      </c>
      <c r="B2" s="32" t="s">
        <v>954</v>
      </c>
      <c r="C2" s="32" t="s">
        <v>565</v>
      </c>
      <c r="D2" s="32" t="s">
        <v>1214</v>
      </c>
      <c r="E2" s="32" t="s">
        <v>629</v>
      </c>
      <c r="F2" s="32" t="s">
        <v>907</v>
      </c>
      <c r="G2" s="32">
        <f>IFERROR(INDEX(Ship!A$31:B$4500,MATCH(C2,Ship!A$31:A$4500,0),2),0)</f>
        <v>0</v>
      </c>
    </row>
    <row r="3" spans="1:7" x14ac:dyDescent="0.25">
      <c r="A3" s="32" t="s">
        <v>953</v>
      </c>
      <c r="B3" s="32" t="s">
        <v>954</v>
      </c>
      <c r="C3" s="32" t="s">
        <v>733</v>
      </c>
      <c r="D3" s="32" t="s">
        <v>1215</v>
      </c>
      <c r="E3" s="32" t="s">
        <v>629</v>
      </c>
      <c r="F3" s="32" t="s">
        <v>907</v>
      </c>
      <c r="G3" s="32">
        <f>IFERROR(INDEX(Ship!A$31:B$4500,MATCH(C3,Ship!A$31:A$4500,0),2),0)</f>
        <v>0</v>
      </c>
    </row>
    <row r="4" spans="1:7" x14ac:dyDescent="0.25">
      <c r="A4" s="32" t="s">
        <v>953</v>
      </c>
      <c r="B4" s="32" t="s">
        <v>954</v>
      </c>
      <c r="C4" s="32" t="s">
        <v>566</v>
      </c>
      <c r="D4" s="32" t="s">
        <v>1217</v>
      </c>
      <c r="E4" s="32" t="s">
        <v>629</v>
      </c>
      <c r="F4" s="32" t="s">
        <v>907</v>
      </c>
      <c r="G4" s="32">
        <f>IFERROR(INDEX(Ship!A$31:B$4500,MATCH(C4,Ship!A$31:A$4500,0),2),0)</f>
        <v>0</v>
      </c>
    </row>
    <row r="5" spans="1:7" x14ac:dyDescent="0.25">
      <c r="A5" s="32" t="s">
        <v>953</v>
      </c>
      <c r="B5" s="32" t="s">
        <v>954</v>
      </c>
      <c r="C5" s="32" t="s">
        <v>734</v>
      </c>
      <c r="D5" s="32" t="s">
        <v>1218</v>
      </c>
      <c r="E5" s="32" t="s">
        <v>629</v>
      </c>
      <c r="F5" s="32" t="s">
        <v>907</v>
      </c>
      <c r="G5" s="32">
        <f>IFERROR(INDEX(Ship!A$31:B$4500,MATCH(C5,Ship!A$31:A$4500,0),2),0)</f>
        <v>87</v>
      </c>
    </row>
    <row r="6" spans="1:7" x14ac:dyDescent="0.25">
      <c r="A6" s="32" t="s">
        <v>953</v>
      </c>
      <c r="B6" s="32" t="s">
        <v>954</v>
      </c>
      <c r="C6" s="32" t="s">
        <v>567</v>
      </c>
      <c r="D6" s="32" t="s">
        <v>1220</v>
      </c>
      <c r="E6" s="32" t="s">
        <v>629</v>
      </c>
      <c r="F6" s="32" t="s">
        <v>907</v>
      </c>
      <c r="G6" s="32">
        <f>IFERROR(INDEX(Ship!A$31:B$4500,MATCH(C6,Ship!A$31:A$4500,0),2),0)</f>
        <v>0</v>
      </c>
    </row>
    <row r="7" spans="1:7" x14ac:dyDescent="0.25">
      <c r="A7" s="32" t="s">
        <v>953</v>
      </c>
      <c r="B7" s="32" t="s">
        <v>954</v>
      </c>
      <c r="C7" s="32" t="s">
        <v>736</v>
      </c>
      <c r="D7" s="32" t="s">
        <v>1221</v>
      </c>
      <c r="E7" s="32" t="s">
        <v>629</v>
      </c>
      <c r="F7" s="32" t="s">
        <v>907</v>
      </c>
      <c r="G7" s="32">
        <f>IFERROR(INDEX(Ship!A$31:B$4500,MATCH(C7,Ship!A$31:A$4500,0),2),0)</f>
        <v>0</v>
      </c>
    </row>
    <row r="8" spans="1:7" x14ac:dyDescent="0.25">
      <c r="A8" s="32" t="s">
        <v>953</v>
      </c>
      <c r="B8" s="32" t="s">
        <v>954</v>
      </c>
      <c r="C8" s="32" t="s">
        <v>568</v>
      </c>
      <c r="D8" s="32" t="s">
        <v>1223</v>
      </c>
      <c r="E8" s="32" t="s">
        <v>629</v>
      </c>
      <c r="F8" s="32" t="s">
        <v>907</v>
      </c>
      <c r="G8" s="32">
        <f>IFERROR(INDEX(Ship!A$31:B$4500,MATCH(C8,Ship!A$31:A$4500,0),2),0)</f>
        <v>0</v>
      </c>
    </row>
    <row r="9" spans="1:7" x14ac:dyDescent="0.25">
      <c r="A9" s="32" t="s">
        <v>953</v>
      </c>
      <c r="B9" s="32" t="s">
        <v>954</v>
      </c>
      <c r="C9" s="32" t="s">
        <v>739</v>
      </c>
      <c r="D9" s="32" t="s">
        <v>1224</v>
      </c>
      <c r="E9" s="32" t="s">
        <v>629</v>
      </c>
      <c r="F9" s="32" t="s">
        <v>907</v>
      </c>
      <c r="G9" s="32">
        <f>IFERROR(INDEX(Ship!A$31:B$4500,MATCH(C9,Ship!A$31:A$4500,0),2),0)</f>
        <v>140</v>
      </c>
    </row>
    <row r="10" spans="1:7" x14ac:dyDescent="0.25">
      <c r="A10" s="32" t="s">
        <v>953</v>
      </c>
      <c r="B10" s="32" t="s">
        <v>954</v>
      </c>
      <c r="C10" s="32" t="s">
        <v>569</v>
      </c>
      <c r="D10" s="32" t="s">
        <v>1226</v>
      </c>
      <c r="E10" s="32" t="s">
        <v>629</v>
      </c>
      <c r="F10" s="32" t="s">
        <v>907</v>
      </c>
      <c r="G10" s="32">
        <f>IFERROR(INDEX(Ship!A$31:B$4500,MATCH(C10,Ship!A$31:A$4500,0),2),0)</f>
        <v>0</v>
      </c>
    </row>
    <row r="11" spans="1:7" x14ac:dyDescent="0.25">
      <c r="A11" s="32" t="s">
        <v>953</v>
      </c>
      <c r="B11" s="32" t="s">
        <v>954</v>
      </c>
      <c r="C11" s="32" t="s">
        <v>741</v>
      </c>
      <c r="D11" s="32" t="s">
        <v>1227</v>
      </c>
      <c r="E11" s="32" t="s">
        <v>629</v>
      </c>
      <c r="F11" s="32" t="s">
        <v>907</v>
      </c>
      <c r="G11" s="32">
        <f>IFERROR(INDEX(Ship!A$31:B$4500,MATCH(C11,Ship!A$31:A$4500,0),2),0)</f>
        <v>0</v>
      </c>
    </row>
    <row r="12" spans="1:7" x14ac:dyDescent="0.25">
      <c r="A12" s="32" t="s">
        <v>953</v>
      </c>
      <c r="B12" s="32" t="s">
        <v>954</v>
      </c>
      <c r="C12" s="32" t="s">
        <v>570</v>
      </c>
      <c r="D12" s="32" t="s">
        <v>1229</v>
      </c>
      <c r="E12" s="32" t="s">
        <v>629</v>
      </c>
      <c r="F12" s="32" t="s">
        <v>907</v>
      </c>
      <c r="G12" s="32">
        <f>IFERROR(INDEX(Ship!A$31:B$4500,MATCH(C12,Ship!A$31:A$4500,0),2),0)</f>
        <v>0</v>
      </c>
    </row>
    <row r="13" spans="1:7" x14ac:dyDescent="0.25">
      <c r="A13" s="32" t="s">
        <v>953</v>
      </c>
      <c r="B13" s="32" t="s">
        <v>954</v>
      </c>
      <c r="C13" s="32" t="s">
        <v>743</v>
      </c>
      <c r="D13" s="32" t="s">
        <v>1230</v>
      </c>
      <c r="E13" s="32" t="s">
        <v>629</v>
      </c>
      <c r="F13" s="32" t="s">
        <v>907</v>
      </c>
      <c r="G13" s="32">
        <f>IFERROR(INDEX(Ship!A$31:B$4500,MATCH(C13,Ship!A$31:A$4500,0),2),0)</f>
        <v>0</v>
      </c>
    </row>
    <row r="14" spans="1:7" x14ac:dyDescent="0.25">
      <c r="A14" s="32" t="s">
        <v>953</v>
      </c>
      <c r="B14" s="32" t="s">
        <v>954</v>
      </c>
      <c r="C14" s="32" t="s">
        <v>571</v>
      </c>
      <c r="D14" s="32" t="s">
        <v>1232</v>
      </c>
      <c r="E14" s="32" t="s">
        <v>629</v>
      </c>
      <c r="F14" s="32" t="s">
        <v>907</v>
      </c>
      <c r="G14" s="32">
        <f>IFERROR(INDEX(Ship!A$31:B$4500,MATCH(C14,Ship!A$31:A$4500,0),2),0)</f>
        <v>0</v>
      </c>
    </row>
    <row r="15" spans="1:7" x14ac:dyDescent="0.25">
      <c r="A15" s="32" t="s">
        <v>953</v>
      </c>
      <c r="B15" s="32" t="s">
        <v>954</v>
      </c>
      <c r="C15" s="32" t="s">
        <v>745</v>
      </c>
      <c r="D15" s="32" t="s">
        <v>1233</v>
      </c>
      <c r="E15" s="32" t="s">
        <v>629</v>
      </c>
      <c r="F15" s="32" t="s">
        <v>907</v>
      </c>
      <c r="G15" s="32">
        <f>IFERROR(INDEX(Ship!A$31:B$4500,MATCH(C15,Ship!A$31:A$4500,0),2),0)</f>
        <v>0</v>
      </c>
    </row>
    <row r="16" spans="1:7" x14ac:dyDescent="0.25">
      <c r="A16" s="32" t="s">
        <v>953</v>
      </c>
      <c r="B16" s="32" t="s">
        <v>954</v>
      </c>
      <c r="C16" s="32" t="s">
        <v>572</v>
      </c>
      <c r="D16" s="32" t="s">
        <v>1235</v>
      </c>
      <c r="E16" s="32" t="s">
        <v>629</v>
      </c>
      <c r="F16" s="32" t="s">
        <v>907</v>
      </c>
      <c r="G16" s="32">
        <f>IFERROR(INDEX(Ship!A$31:B$4500,MATCH(C16,Ship!A$31:A$4500,0),2),0)</f>
        <v>0</v>
      </c>
    </row>
    <row r="17" spans="1:7" x14ac:dyDescent="0.25">
      <c r="A17" s="32" t="s">
        <v>953</v>
      </c>
      <c r="B17" s="32" t="s">
        <v>954</v>
      </c>
      <c r="C17" s="32" t="s">
        <v>747</v>
      </c>
      <c r="D17" s="32" t="s">
        <v>1236</v>
      </c>
      <c r="E17" s="32" t="s">
        <v>629</v>
      </c>
      <c r="F17" s="32" t="s">
        <v>907</v>
      </c>
      <c r="G17" s="32">
        <f>IFERROR(INDEX(Ship!A$31:B$4500,MATCH(C17,Ship!A$31:A$4500,0),2),0)</f>
        <v>2</v>
      </c>
    </row>
    <row r="18" spans="1:7" x14ac:dyDescent="0.25">
      <c r="A18" s="32" t="s">
        <v>953</v>
      </c>
      <c r="B18" s="32" t="s">
        <v>954</v>
      </c>
      <c r="C18" s="32" t="s">
        <v>573</v>
      </c>
      <c r="D18" s="32" t="s">
        <v>1238</v>
      </c>
      <c r="E18" s="32" t="s">
        <v>629</v>
      </c>
      <c r="F18" s="32" t="s">
        <v>907</v>
      </c>
      <c r="G18" s="32">
        <f>IFERROR(INDEX(Ship!A$31:B$4500,MATCH(C18,Ship!A$31:A$4500,0),2),0)</f>
        <v>0</v>
      </c>
    </row>
    <row r="19" spans="1:7" x14ac:dyDescent="0.25">
      <c r="A19" s="32" t="s">
        <v>953</v>
      </c>
      <c r="B19" s="32" t="s">
        <v>954</v>
      </c>
      <c r="C19" s="32" t="s">
        <v>749</v>
      </c>
      <c r="D19" s="32" t="s">
        <v>1239</v>
      </c>
      <c r="E19" s="32" t="s">
        <v>629</v>
      </c>
      <c r="F19" s="32" t="s">
        <v>907</v>
      </c>
      <c r="G19" s="32">
        <f>IFERROR(INDEX(Ship!A$31:B$4500,MATCH(C19,Ship!A$31:A$4500,0),2),0)</f>
        <v>0</v>
      </c>
    </row>
    <row r="20" spans="1:7" x14ac:dyDescent="0.25">
      <c r="A20" s="32" t="s">
        <v>953</v>
      </c>
      <c r="B20" s="32" t="s">
        <v>954</v>
      </c>
      <c r="C20" s="32" t="s">
        <v>574</v>
      </c>
      <c r="D20" s="32" t="s">
        <v>1241</v>
      </c>
      <c r="E20" s="32" t="s">
        <v>629</v>
      </c>
      <c r="F20" s="32" t="s">
        <v>907</v>
      </c>
      <c r="G20" s="32">
        <f>IFERROR(INDEX(Ship!A$31:B$4500,MATCH(C20,Ship!A$31:A$4500,0),2),0)</f>
        <v>0</v>
      </c>
    </row>
    <row r="21" spans="1:7" x14ac:dyDescent="0.25">
      <c r="A21" s="32" t="s">
        <v>953</v>
      </c>
      <c r="B21" s="32" t="s">
        <v>954</v>
      </c>
      <c r="C21" s="32" t="s">
        <v>751</v>
      </c>
      <c r="D21" s="32" t="s">
        <v>1242</v>
      </c>
      <c r="E21" s="32" t="s">
        <v>629</v>
      </c>
      <c r="F21" s="32" t="s">
        <v>907</v>
      </c>
      <c r="G21" s="32">
        <f>IFERROR(INDEX(Ship!A$31:B$4500,MATCH(C21,Ship!A$31:A$4500,0),2),0)</f>
        <v>0</v>
      </c>
    </row>
    <row r="22" spans="1:7" x14ac:dyDescent="0.25">
      <c r="A22" s="32" t="s">
        <v>953</v>
      </c>
      <c r="B22" s="32" t="s">
        <v>954</v>
      </c>
      <c r="C22" s="32" t="s">
        <v>575</v>
      </c>
      <c r="D22" s="32" t="s">
        <v>1244</v>
      </c>
      <c r="E22" s="32" t="s">
        <v>629</v>
      </c>
      <c r="F22" s="32" t="s">
        <v>907</v>
      </c>
      <c r="G22" s="32">
        <f>IFERROR(INDEX(Ship!A$31:B$4500,MATCH(C22,Ship!A$31:A$4500,0),2),0)</f>
        <v>0</v>
      </c>
    </row>
    <row r="23" spans="1:7" x14ac:dyDescent="0.25">
      <c r="A23" s="32" t="s">
        <v>953</v>
      </c>
      <c r="B23" s="32" t="s">
        <v>954</v>
      </c>
      <c r="C23" s="32" t="s">
        <v>1657</v>
      </c>
      <c r="D23" s="32" t="s">
        <v>1245</v>
      </c>
      <c r="E23" s="32" t="s">
        <v>629</v>
      </c>
      <c r="F23" s="32" t="s">
        <v>907</v>
      </c>
      <c r="G23" s="32">
        <f>IFERROR(INDEX(Ship!A$31:B$4500,MATCH(C23,Ship!A$31:A$4500,0),2),0)</f>
        <v>0</v>
      </c>
    </row>
    <row r="24" spans="1:7" x14ac:dyDescent="0.25">
      <c r="A24" s="32" t="s">
        <v>953</v>
      </c>
      <c r="B24" s="32" t="s">
        <v>954</v>
      </c>
      <c r="C24" s="32" t="s">
        <v>1658</v>
      </c>
      <c r="D24" s="32" t="s">
        <v>1247</v>
      </c>
      <c r="E24" s="32" t="s">
        <v>629</v>
      </c>
      <c r="F24" s="32" t="s">
        <v>907</v>
      </c>
      <c r="G24" s="32">
        <f>IFERROR(INDEX(Ship!A$31:B$4500,MATCH(C24,Ship!A$31:A$4500,0),2),0)</f>
        <v>0</v>
      </c>
    </row>
    <row r="25" spans="1:7" x14ac:dyDescent="0.25">
      <c r="A25" s="32" t="s">
        <v>953</v>
      </c>
      <c r="B25" s="32" t="s">
        <v>954</v>
      </c>
      <c r="C25" s="32" t="s">
        <v>753</v>
      </c>
      <c r="D25" s="32" t="s">
        <v>1248</v>
      </c>
      <c r="E25" s="32" t="s">
        <v>629</v>
      </c>
      <c r="F25" s="32" t="s">
        <v>907</v>
      </c>
      <c r="G25" s="32">
        <f>IFERROR(INDEX(Ship!A$31:B$4500,MATCH(C25,Ship!A$31:A$4500,0),2),0)</f>
        <v>0</v>
      </c>
    </row>
    <row r="26" spans="1:7" x14ac:dyDescent="0.25">
      <c r="A26" s="32" t="s">
        <v>953</v>
      </c>
      <c r="B26" s="32" t="s">
        <v>954</v>
      </c>
      <c r="C26" s="32" t="s">
        <v>576</v>
      </c>
      <c r="D26" s="32" t="s">
        <v>1250</v>
      </c>
      <c r="E26" s="32" t="s">
        <v>629</v>
      </c>
      <c r="F26" s="32" t="s">
        <v>907</v>
      </c>
      <c r="G26" s="32">
        <f>IFERROR(INDEX(Ship!A$31:B$4500,MATCH(C26,Ship!A$31:A$4500,0),2),0)</f>
        <v>0</v>
      </c>
    </row>
    <row r="27" spans="1:7" x14ac:dyDescent="0.25">
      <c r="A27" s="32" t="s">
        <v>953</v>
      </c>
      <c r="B27" s="32" t="s">
        <v>954</v>
      </c>
      <c r="C27" s="32" t="s">
        <v>1659</v>
      </c>
      <c r="D27" s="32" t="s">
        <v>1251</v>
      </c>
      <c r="E27" s="32" t="s">
        <v>629</v>
      </c>
      <c r="F27" s="32" t="s">
        <v>907</v>
      </c>
      <c r="G27" s="32">
        <f>IFERROR(INDEX(Ship!A$31:B$4500,MATCH(C27,Ship!A$31:A$4500,0),2),0)</f>
        <v>1</v>
      </c>
    </row>
    <row r="28" spans="1:7" x14ac:dyDescent="0.25">
      <c r="A28" s="32" t="s">
        <v>953</v>
      </c>
      <c r="B28" s="32" t="s">
        <v>954</v>
      </c>
      <c r="C28" s="32" t="s">
        <v>1660</v>
      </c>
      <c r="D28" s="32" t="s">
        <v>1253</v>
      </c>
      <c r="E28" s="32" t="s">
        <v>629</v>
      </c>
      <c r="F28" s="32" t="s">
        <v>907</v>
      </c>
      <c r="G28" s="32">
        <f>IFERROR(INDEX(Ship!A$31:B$4500,MATCH(C28,Ship!A$31:A$4500,0),2),0)</f>
        <v>0</v>
      </c>
    </row>
    <row r="29" spans="1:7" x14ac:dyDescent="0.25">
      <c r="A29" s="32" t="s">
        <v>953</v>
      </c>
      <c r="B29" s="32" t="s">
        <v>954</v>
      </c>
      <c r="C29" s="32" t="s">
        <v>755</v>
      </c>
      <c r="D29" s="32" t="s">
        <v>1254</v>
      </c>
      <c r="E29" s="32" t="s">
        <v>629</v>
      </c>
      <c r="F29" s="32" t="s">
        <v>907</v>
      </c>
      <c r="G29" s="32">
        <f>IFERROR(INDEX(Ship!A$31:B$4500,MATCH(C29,Ship!A$31:A$4500,0),2),0)</f>
        <v>0</v>
      </c>
    </row>
    <row r="30" spans="1:7" x14ac:dyDescent="0.25">
      <c r="A30" s="32" t="s">
        <v>953</v>
      </c>
      <c r="B30" s="32" t="s">
        <v>954</v>
      </c>
      <c r="C30" s="32" t="s">
        <v>577</v>
      </c>
      <c r="D30" s="32" t="s">
        <v>1256</v>
      </c>
      <c r="E30" s="32" t="s">
        <v>629</v>
      </c>
      <c r="F30" s="32" t="s">
        <v>907</v>
      </c>
      <c r="G30" s="32">
        <f>IFERROR(INDEX(Ship!A$31:B$4500,MATCH(C30,Ship!A$31:A$4500,0),2),0)</f>
        <v>0</v>
      </c>
    </row>
    <row r="31" spans="1:7" x14ac:dyDescent="0.25">
      <c r="A31" s="32" t="s">
        <v>953</v>
      </c>
      <c r="B31" s="32" t="s">
        <v>954</v>
      </c>
      <c r="C31" s="32" t="s">
        <v>1661</v>
      </c>
      <c r="D31" s="32" t="s">
        <v>1257</v>
      </c>
      <c r="E31" s="32" t="s">
        <v>629</v>
      </c>
      <c r="F31" s="32" t="s">
        <v>907</v>
      </c>
      <c r="G31" s="32">
        <f>IFERROR(INDEX(Ship!A$31:B$4500,MATCH(C31,Ship!A$31:A$4500,0),2),0)</f>
        <v>0</v>
      </c>
    </row>
    <row r="32" spans="1:7" x14ac:dyDescent="0.25">
      <c r="A32" s="32" t="s">
        <v>953</v>
      </c>
      <c r="B32" s="32" t="s">
        <v>954</v>
      </c>
      <c r="C32" s="32" t="s">
        <v>1662</v>
      </c>
      <c r="D32" s="32" t="s">
        <v>1259</v>
      </c>
      <c r="E32" s="32" t="s">
        <v>629</v>
      </c>
      <c r="F32" s="32" t="s">
        <v>907</v>
      </c>
      <c r="G32" s="32">
        <f>IFERROR(INDEX(Ship!A$31:B$4500,MATCH(C32,Ship!A$31:A$4500,0),2),0)</f>
        <v>0</v>
      </c>
    </row>
    <row r="33" spans="1:7" x14ac:dyDescent="0.25">
      <c r="A33" s="32" t="s">
        <v>953</v>
      </c>
      <c r="B33" s="32" t="s">
        <v>954</v>
      </c>
      <c r="C33" s="32" t="s">
        <v>757</v>
      </c>
      <c r="D33" s="32" t="s">
        <v>1260</v>
      </c>
      <c r="E33" s="32" t="s">
        <v>629</v>
      </c>
      <c r="F33" s="32" t="s">
        <v>907</v>
      </c>
      <c r="G33" s="32">
        <f>IFERROR(INDEX(Ship!A$31:B$4500,MATCH(C33,Ship!A$31:A$4500,0),2),0)</f>
        <v>0</v>
      </c>
    </row>
    <row r="34" spans="1:7" x14ac:dyDescent="0.25">
      <c r="A34" s="32" t="s">
        <v>953</v>
      </c>
      <c r="B34" s="32" t="s">
        <v>954</v>
      </c>
      <c r="C34" s="32" t="s">
        <v>578</v>
      </c>
      <c r="D34" s="32" t="s">
        <v>1262</v>
      </c>
      <c r="E34" s="32" t="s">
        <v>629</v>
      </c>
      <c r="F34" s="32" t="s">
        <v>907</v>
      </c>
      <c r="G34" s="32">
        <f>IFERROR(INDEX(Ship!A$31:B$4500,MATCH(C34,Ship!A$31:A$4500,0),2),0)</f>
        <v>0</v>
      </c>
    </row>
    <row r="35" spans="1:7" x14ac:dyDescent="0.25">
      <c r="A35" s="32" t="s">
        <v>953</v>
      </c>
      <c r="B35" s="32" t="s">
        <v>954</v>
      </c>
      <c r="C35" s="32" t="s">
        <v>1663</v>
      </c>
      <c r="D35" s="32" t="s">
        <v>1263</v>
      </c>
      <c r="E35" s="32" t="s">
        <v>629</v>
      </c>
      <c r="F35" s="32" t="s">
        <v>907</v>
      </c>
      <c r="G35" s="32">
        <f>IFERROR(INDEX(Ship!A$31:B$4500,MATCH(C35,Ship!A$31:A$4500,0),2),0)</f>
        <v>3</v>
      </c>
    </row>
    <row r="36" spans="1:7" x14ac:dyDescent="0.25">
      <c r="A36" s="32" t="s">
        <v>953</v>
      </c>
      <c r="B36" s="32" t="s">
        <v>954</v>
      </c>
      <c r="C36" s="32" t="s">
        <v>1664</v>
      </c>
      <c r="D36" s="32" t="s">
        <v>1265</v>
      </c>
      <c r="E36" s="32" t="s">
        <v>629</v>
      </c>
      <c r="F36" s="32" t="s">
        <v>907</v>
      </c>
      <c r="G36" s="32">
        <f>IFERROR(INDEX(Ship!A$31:B$4500,MATCH(C36,Ship!A$31:A$4500,0),2),0)</f>
        <v>0</v>
      </c>
    </row>
    <row r="37" spans="1:7" x14ac:dyDescent="0.25">
      <c r="A37" s="32" t="s">
        <v>953</v>
      </c>
      <c r="B37" s="32" t="s">
        <v>954</v>
      </c>
      <c r="C37" s="32" t="s">
        <v>759</v>
      </c>
      <c r="D37" s="32" t="s">
        <v>1266</v>
      </c>
      <c r="E37" s="32" t="s">
        <v>629</v>
      </c>
      <c r="F37" s="32" t="s">
        <v>907</v>
      </c>
      <c r="G37" s="32">
        <f>IFERROR(INDEX(Ship!A$31:B$4500,MATCH(C37,Ship!A$31:A$4500,0),2),0)</f>
        <v>0</v>
      </c>
    </row>
    <row r="38" spans="1:7" x14ac:dyDescent="0.25">
      <c r="A38" s="32" t="s">
        <v>953</v>
      </c>
      <c r="B38" s="32" t="s">
        <v>954</v>
      </c>
      <c r="C38" s="32" t="s">
        <v>579</v>
      </c>
      <c r="D38" s="32" t="s">
        <v>1268</v>
      </c>
      <c r="E38" s="32" t="s">
        <v>629</v>
      </c>
      <c r="F38" s="32" t="s">
        <v>907</v>
      </c>
      <c r="G38" s="32">
        <f>IFERROR(INDEX(Ship!A$31:B$4500,MATCH(C38,Ship!A$31:A$4500,0),2),0)</f>
        <v>0</v>
      </c>
    </row>
    <row r="39" spans="1:7" x14ac:dyDescent="0.25">
      <c r="A39" s="32" t="s">
        <v>953</v>
      </c>
      <c r="B39" s="32" t="s">
        <v>954</v>
      </c>
      <c r="C39" s="32" t="s">
        <v>1665</v>
      </c>
      <c r="D39" s="32" t="s">
        <v>1269</v>
      </c>
      <c r="E39" s="32" t="s">
        <v>629</v>
      </c>
      <c r="F39" s="32" t="s">
        <v>907</v>
      </c>
      <c r="G39" s="32">
        <f>IFERROR(INDEX(Ship!A$31:B$4500,MATCH(C39,Ship!A$31:A$4500,0),2),0)</f>
        <v>0</v>
      </c>
    </row>
    <row r="40" spans="1:7" x14ac:dyDescent="0.25">
      <c r="A40" s="32" t="s">
        <v>953</v>
      </c>
      <c r="B40" s="32" t="s">
        <v>954</v>
      </c>
      <c r="C40" s="32" t="s">
        <v>1666</v>
      </c>
      <c r="D40" s="32" t="s">
        <v>1271</v>
      </c>
      <c r="E40" s="32" t="s">
        <v>629</v>
      </c>
      <c r="F40" s="32" t="s">
        <v>907</v>
      </c>
      <c r="G40" s="32">
        <f>IFERROR(INDEX(Ship!A$31:B$4500,MATCH(C40,Ship!A$31:A$4500,0),2),0)</f>
        <v>0</v>
      </c>
    </row>
    <row r="41" spans="1:7" x14ac:dyDescent="0.25">
      <c r="A41" s="32" t="s">
        <v>953</v>
      </c>
      <c r="B41" s="32" t="s">
        <v>954</v>
      </c>
      <c r="C41" s="32" t="s">
        <v>761</v>
      </c>
      <c r="D41" s="32" t="s">
        <v>1272</v>
      </c>
      <c r="E41" s="32" t="s">
        <v>629</v>
      </c>
      <c r="F41" s="32" t="s">
        <v>907</v>
      </c>
      <c r="G41" s="32">
        <f>IFERROR(INDEX(Ship!A$31:B$4500,MATCH(C41,Ship!A$31:A$4500,0),2),0)</f>
        <v>0</v>
      </c>
    </row>
    <row r="42" spans="1:7" x14ac:dyDescent="0.25">
      <c r="A42" s="32" t="s">
        <v>953</v>
      </c>
      <c r="B42" s="32" t="s">
        <v>954</v>
      </c>
      <c r="C42" s="32" t="s">
        <v>917</v>
      </c>
      <c r="D42" s="32" t="s">
        <v>1274</v>
      </c>
      <c r="E42" s="32" t="s">
        <v>629</v>
      </c>
      <c r="F42" s="32" t="s">
        <v>907</v>
      </c>
      <c r="G42" s="32">
        <f>IFERROR(INDEX(Ship!A$31:B$4500,MATCH(C42,Ship!A$31:A$4500,0),2),0)</f>
        <v>0</v>
      </c>
    </row>
    <row r="43" spans="1:7" x14ac:dyDescent="0.25">
      <c r="A43" s="32" t="s">
        <v>953</v>
      </c>
      <c r="B43" s="32" t="s">
        <v>954</v>
      </c>
      <c r="C43" s="32" t="s">
        <v>1667</v>
      </c>
      <c r="D43" s="32" t="s">
        <v>1275</v>
      </c>
      <c r="E43" s="32" t="s">
        <v>629</v>
      </c>
      <c r="F43" s="32" t="s">
        <v>907</v>
      </c>
      <c r="G43" s="32">
        <f>IFERROR(INDEX(Ship!A$31:B$4500,MATCH(C43,Ship!A$31:A$4500,0),2),0)</f>
        <v>0</v>
      </c>
    </row>
    <row r="44" spans="1:7" x14ac:dyDescent="0.25">
      <c r="A44" s="32" t="s">
        <v>953</v>
      </c>
      <c r="B44" s="32" t="s">
        <v>954</v>
      </c>
      <c r="C44" s="32" t="s">
        <v>1668</v>
      </c>
      <c r="D44" s="32" t="s">
        <v>1277</v>
      </c>
      <c r="E44" s="32" t="s">
        <v>629</v>
      </c>
      <c r="F44" s="32" t="s">
        <v>907</v>
      </c>
      <c r="G44" s="32">
        <f>IFERROR(INDEX(Ship!A$31:B$4500,MATCH(C44,Ship!A$31:A$4500,0),2),0)</f>
        <v>0</v>
      </c>
    </row>
    <row r="45" spans="1:7" x14ac:dyDescent="0.25">
      <c r="A45" s="32" t="s">
        <v>953</v>
      </c>
      <c r="B45" s="32" t="s">
        <v>954</v>
      </c>
      <c r="C45" s="32" t="s">
        <v>763</v>
      </c>
      <c r="D45" s="32" t="s">
        <v>1278</v>
      </c>
      <c r="E45" s="32" t="s">
        <v>629</v>
      </c>
      <c r="F45" s="32" t="s">
        <v>907</v>
      </c>
      <c r="G45" s="32">
        <f>IFERROR(INDEX(Ship!A$31:B$4500,MATCH(C45,Ship!A$31:A$4500,0),2),0)</f>
        <v>0</v>
      </c>
    </row>
    <row r="46" spans="1:7" x14ac:dyDescent="0.25">
      <c r="A46" s="32" t="s">
        <v>953</v>
      </c>
      <c r="B46" s="32" t="s">
        <v>954</v>
      </c>
      <c r="C46" s="32" t="s">
        <v>918</v>
      </c>
      <c r="D46" s="32" t="s">
        <v>1280</v>
      </c>
      <c r="E46" s="32" t="s">
        <v>629</v>
      </c>
      <c r="F46" s="32" t="s">
        <v>907</v>
      </c>
      <c r="G46" s="32">
        <f>IFERROR(INDEX(Ship!A$31:B$4500,MATCH(C46,Ship!A$31:A$4500,0),2),0)</f>
        <v>0</v>
      </c>
    </row>
    <row r="47" spans="1:7" x14ac:dyDescent="0.25">
      <c r="A47" s="32" t="s">
        <v>953</v>
      </c>
      <c r="B47" s="32" t="s">
        <v>954</v>
      </c>
      <c r="C47" s="32" t="s">
        <v>1669</v>
      </c>
      <c r="D47" s="32" t="s">
        <v>1281</v>
      </c>
      <c r="E47" s="32" t="s">
        <v>629</v>
      </c>
      <c r="F47" s="32" t="s">
        <v>907</v>
      </c>
      <c r="G47" s="32">
        <f>IFERROR(INDEX(Ship!A$31:B$4500,MATCH(C47,Ship!A$31:A$4500,0),2),0)</f>
        <v>0</v>
      </c>
    </row>
    <row r="48" spans="1:7" x14ac:dyDescent="0.25">
      <c r="A48" s="32" t="s">
        <v>953</v>
      </c>
      <c r="B48" s="32" t="s">
        <v>954</v>
      </c>
      <c r="C48" s="32" t="s">
        <v>1670</v>
      </c>
      <c r="D48" s="32" t="s">
        <v>1283</v>
      </c>
      <c r="E48" s="32" t="s">
        <v>629</v>
      </c>
      <c r="F48" s="32" t="s">
        <v>907</v>
      </c>
      <c r="G48" s="32">
        <f>IFERROR(INDEX(Ship!A$31:B$4500,MATCH(C48,Ship!A$31:A$4500,0),2),0)</f>
        <v>0</v>
      </c>
    </row>
    <row r="49" spans="1:7" x14ac:dyDescent="0.25">
      <c r="A49" s="32" t="s">
        <v>953</v>
      </c>
      <c r="B49" s="32" t="s">
        <v>954</v>
      </c>
      <c r="C49" s="32" t="s">
        <v>765</v>
      </c>
      <c r="D49" s="32" t="s">
        <v>1284</v>
      </c>
      <c r="E49" s="32" t="s">
        <v>629</v>
      </c>
      <c r="F49" s="32" t="s">
        <v>907</v>
      </c>
      <c r="G49" s="32">
        <f>IFERROR(INDEX(Ship!A$31:B$4500,MATCH(C49,Ship!A$31:A$4500,0),2),0)</f>
        <v>0</v>
      </c>
    </row>
    <row r="50" spans="1:7" x14ac:dyDescent="0.25">
      <c r="A50" s="32" t="s">
        <v>953</v>
      </c>
      <c r="B50" s="32" t="s">
        <v>954</v>
      </c>
      <c r="C50" s="32" t="s">
        <v>919</v>
      </c>
      <c r="D50" s="32" t="s">
        <v>1286</v>
      </c>
      <c r="E50" s="32" t="s">
        <v>629</v>
      </c>
      <c r="F50" s="32" t="s">
        <v>907</v>
      </c>
      <c r="G50" s="32">
        <f>IFERROR(INDEX(Ship!A$31:B$4500,MATCH(C50,Ship!A$31:A$4500,0),2),0)</f>
        <v>0</v>
      </c>
    </row>
    <row r="51" spans="1:7" x14ac:dyDescent="0.25">
      <c r="A51" s="32" t="s">
        <v>953</v>
      </c>
      <c r="B51" s="32" t="s">
        <v>954</v>
      </c>
      <c r="C51" s="32" t="s">
        <v>1671</v>
      </c>
      <c r="D51" s="32" t="s">
        <v>1287</v>
      </c>
      <c r="E51" s="32" t="s">
        <v>629</v>
      </c>
      <c r="F51" s="32" t="s">
        <v>907</v>
      </c>
      <c r="G51" s="32">
        <f>IFERROR(INDEX(Ship!A$31:B$4500,MATCH(C51,Ship!A$31:A$4500,0),2),0)</f>
        <v>0</v>
      </c>
    </row>
    <row r="52" spans="1:7" x14ac:dyDescent="0.25">
      <c r="A52" s="32" t="s">
        <v>953</v>
      </c>
      <c r="B52" s="32" t="s">
        <v>954</v>
      </c>
      <c r="C52" s="32" t="s">
        <v>1672</v>
      </c>
      <c r="D52" s="32" t="s">
        <v>1289</v>
      </c>
      <c r="E52" s="32" t="s">
        <v>629</v>
      </c>
      <c r="F52" s="32" t="s">
        <v>907</v>
      </c>
      <c r="G52" s="32">
        <f>IFERROR(INDEX(Ship!A$31:B$4500,MATCH(C52,Ship!A$31:A$4500,0),2),0)</f>
        <v>0</v>
      </c>
    </row>
    <row r="53" spans="1:7" x14ac:dyDescent="0.25">
      <c r="A53" s="32" t="s">
        <v>953</v>
      </c>
      <c r="B53" s="32" t="s">
        <v>954</v>
      </c>
      <c r="C53" s="32" t="s">
        <v>1673</v>
      </c>
      <c r="D53" s="32" t="s">
        <v>1290</v>
      </c>
      <c r="E53" s="32" t="s">
        <v>629</v>
      </c>
      <c r="F53" s="32" t="s">
        <v>907</v>
      </c>
      <c r="G53" s="32">
        <f>IFERROR(INDEX(Ship!A$31:B$4500,MATCH(C53,Ship!A$31:A$4500,0),2),0)</f>
        <v>0</v>
      </c>
    </row>
    <row r="54" spans="1:7" x14ac:dyDescent="0.25">
      <c r="A54" s="32" t="s">
        <v>953</v>
      </c>
      <c r="B54" s="32" t="s">
        <v>954</v>
      </c>
      <c r="C54" s="32" t="s">
        <v>1674</v>
      </c>
      <c r="D54" s="32" t="s">
        <v>1292</v>
      </c>
      <c r="E54" s="32" t="s">
        <v>629</v>
      </c>
      <c r="F54" s="32" t="s">
        <v>907</v>
      </c>
      <c r="G54" s="32">
        <f>IFERROR(INDEX(Ship!A$31:B$4500,MATCH(C54,Ship!A$31:A$4500,0),2),0)</f>
        <v>0</v>
      </c>
    </row>
    <row r="55" spans="1:7" x14ac:dyDescent="0.25">
      <c r="A55" s="32" t="s">
        <v>953</v>
      </c>
      <c r="B55" s="32" t="s">
        <v>954</v>
      </c>
      <c r="C55" s="32" t="s">
        <v>1675</v>
      </c>
      <c r="D55" s="32" t="s">
        <v>1293</v>
      </c>
      <c r="E55" s="32" t="s">
        <v>629</v>
      </c>
      <c r="F55" s="32" t="s">
        <v>907</v>
      </c>
      <c r="G55" s="32">
        <f>IFERROR(INDEX(Ship!A$31:B$4500,MATCH(C55,Ship!A$31:A$4500,0),2),0)</f>
        <v>0</v>
      </c>
    </row>
    <row r="56" spans="1:7" x14ac:dyDescent="0.25">
      <c r="A56" s="32" t="s">
        <v>953</v>
      </c>
      <c r="B56" s="32" t="s">
        <v>954</v>
      </c>
      <c r="C56" s="32" t="s">
        <v>1676</v>
      </c>
      <c r="D56" s="32" t="s">
        <v>1295</v>
      </c>
      <c r="E56" s="32" t="s">
        <v>629</v>
      </c>
      <c r="F56" s="32" t="s">
        <v>907</v>
      </c>
      <c r="G56" s="32">
        <f>IFERROR(INDEX(Ship!A$31:B$4500,MATCH(C56,Ship!A$31:A$4500,0),2),0)</f>
        <v>0</v>
      </c>
    </row>
    <row r="57" spans="1:7" x14ac:dyDescent="0.25">
      <c r="A57" s="32" t="s">
        <v>953</v>
      </c>
      <c r="B57" s="32" t="s">
        <v>954</v>
      </c>
      <c r="C57" s="32" t="s">
        <v>1677</v>
      </c>
      <c r="D57" s="32" t="s">
        <v>1296</v>
      </c>
      <c r="E57" s="32" t="s">
        <v>629</v>
      </c>
      <c r="F57" s="32" t="s">
        <v>907</v>
      </c>
      <c r="G57" s="32">
        <f>IFERROR(INDEX(Ship!A$31:B$4500,MATCH(C57,Ship!A$31:A$4500,0),2),0)</f>
        <v>0</v>
      </c>
    </row>
    <row r="58" spans="1:7" x14ac:dyDescent="0.25">
      <c r="A58" s="32" t="s">
        <v>953</v>
      </c>
      <c r="B58" s="32" t="s">
        <v>954</v>
      </c>
      <c r="C58" s="32" t="s">
        <v>1678</v>
      </c>
      <c r="D58" s="32" t="s">
        <v>1298</v>
      </c>
      <c r="E58" s="32" t="s">
        <v>629</v>
      </c>
      <c r="F58" s="32" t="s">
        <v>907</v>
      </c>
      <c r="G58" s="32">
        <f>IFERROR(INDEX(Ship!A$31:B$4500,MATCH(C58,Ship!A$31:A$4500,0),2),0)</f>
        <v>0</v>
      </c>
    </row>
    <row r="59" spans="1:7" x14ac:dyDescent="0.25">
      <c r="A59" s="32" t="s">
        <v>953</v>
      </c>
      <c r="B59" s="32" t="s">
        <v>954</v>
      </c>
      <c r="C59" s="32" t="s">
        <v>1679</v>
      </c>
      <c r="D59" s="32" t="s">
        <v>1299</v>
      </c>
      <c r="E59" s="32" t="s">
        <v>629</v>
      </c>
      <c r="F59" s="32" t="s">
        <v>907</v>
      </c>
      <c r="G59" s="32">
        <f>IFERROR(INDEX(Ship!A$31:B$4500,MATCH(C59,Ship!A$31:A$4500,0),2),0)</f>
        <v>0</v>
      </c>
    </row>
    <row r="60" spans="1:7" x14ac:dyDescent="0.25">
      <c r="A60" s="32" t="s">
        <v>953</v>
      </c>
      <c r="B60" s="32" t="s">
        <v>954</v>
      </c>
      <c r="C60" s="32" t="s">
        <v>1680</v>
      </c>
      <c r="D60" s="32" t="s">
        <v>1301</v>
      </c>
      <c r="E60" s="32" t="s">
        <v>629</v>
      </c>
      <c r="F60" s="32" t="s">
        <v>907</v>
      </c>
      <c r="G60" s="32">
        <f>IFERROR(INDEX(Ship!A$31:B$4500,MATCH(C60,Ship!A$31:A$4500,0),2),0)</f>
        <v>0</v>
      </c>
    </row>
    <row r="61" spans="1:7" x14ac:dyDescent="0.25">
      <c r="A61" s="32" t="s">
        <v>953</v>
      </c>
      <c r="B61" s="32" t="s">
        <v>954</v>
      </c>
      <c r="C61" s="32" t="s">
        <v>1681</v>
      </c>
      <c r="D61" s="32" t="s">
        <v>1302</v>
      </c>
      <c r="E61" s="32" t="s">
        <v>629</v>
      </c>
      <c r="F61" s="32" t="s">
        <v>907</v>
      </c>
      <c r="G61" s="32">
        <f>IFERROR(INDEX(Ship!A$31:B$4500,MATCH(C61,Ship!A$31:A$4500,0),2),0)</f>
        <v>0</v>
      </c>
    </row>
    <row r="62" spans="1:7" x14ac:dyDescent="0.25">
      <c r="A62" s="32" t="s">
        <v>953</v>
      </c>
      <c r="B62" s="32" t="s">
        <v>954</v>
      </c>
      <c r="C62" s="32" t="s">
        <v>1682</v>
      </c>
      <c r="D62" s="32" t="s">
        <v>1304</v>
      </c>
      <c r="E62" s="32" t="s">
        <v>629</v>
      </c>
      <c r="F62" s="32" t="s">
        <v>907</v>
      </c>
      <c r="G62" s="32">
        <f>IFERROR(INDEX(Ship!A$31:B$4500,MATCH(C62,Ship!A$31:A$4500,0),2),0)</f>
        <v>0</v>
      </c>
    </row>
    <row r="63" spans="1:7" x14ac:dyDescent="0.25">
      <c r="A63" s="32" t="s">
        <v>953</v>
      </c>
      <c r="B63" s="32" t="s">
        <v>954</v>
      </c>
      <c r="C63" s="32" t="s">
        <v>1683</v>
      </c>
      <c r="D63" s="32" t="s">
        <v>1305</v>
      </c>
      <c r="E63" s="32" t="s">
        <v>629</v>
      </c>
      <c r="F63" s="32" t="s">
        <v>907</v>
      </c>
      <c r="G63" s="32">
        <f>IFERROR(INDEX(Ship!A$31:B$4500,MATCH(C63,Ship!A$31:A$4500,0),2),0)</f>
        <v>0</v>
      </c>
    </row>
    <row r="64" spans="1:7" x14ac:dyDescent="0.25">
      <c r="A64" s="32" t="s">
        <v>953</v>
      </c>
      <c r="B64" s="32" t="s">
        <v>954</v>
      </c>
      <c r="C64" s="32" t="s">
        <v>767</v>
      </c>
      <c r="D64" s="32" t="s">
        <v>1307</v>
      </c>
      <c r="E64" s="32" t="s">
        <v>629</v>
      </c>
      <c r="F64" s="32" t="s">
        <v>907</v>
      </c>
      <c r="G64" s="32">
        <f>IFERROR(INDEX(Ship!A$31:B$4500,MATCH(C64,Ship!A$31:A$4500,0),2),0)</f>
        <v>0</v>
      </c>
    </row>
    <row r="65" spans="1:7" x14ac:dyDescent="0.25">
      <c r="A65" s="32" t="s">
        <v>953</v>
      </c>
      <c r="B65" s="32" t="s">
        <v>954</v>
      </c>
      <c r="C65" s="32" t="s">
        <v>769</v>
      </c>
      <c r="D65" s="32" t="s">
        <v>1308</v>
      </c>
      <c r="E65" s="32" t="s">
        <v>629</v>
      </c>
      <c r="F65" s="32" t="s">
        <v>907</v>
      </c>
      <c r="G65" s="32">
        <f>IFERROR(INDEX(Ship!A$31:B$4500,MATCH(C65,Ship!A$31:A$4500,0),2),0)</f>
        <v>151</v>
      </c>
    </row>
    <row r="66" spans="1:7" x14ac:dyDescent="0.25">
      <c r="A66" s="32" t="s">
        <v>953</v>
      </c>
      <c r="B66" s="32" t="s">
        <v>954</v>
      </c>
      <c r="C66" s="32" t="s">
        <v>920</v>
      </c>
      <c r="D66" s="32" t="s">
        <v>1309</v>
      </c>
      <c r="E66" s="32" t="s">
        <v>629</v>
      </c>
      <c r="F66" s="32" t="s">
        <v>907</v>
      </c>
      <c r="G66" s="32">
        <f>IFERROR(INDEX(Ship!A$31:B$4500,MATCH(C66,Ship!A$31:A$4500,0),2),0)</f>
        <v>0</v>
      </c>
    </row>
    <row r="67" spans="1:7" x14ac:dyDescent="0.25">
      <c r="A67" s="32" t="s">
        <v>953</v>
      </c>
      <c r="B67" s="32" t="s">
        <v>954</v>
      </c>
      <c r="C67" s="32" t="s">
        <v>768</v>
      </c>
      <c r="D67" s="32" t="s">
        <v>1310</v>
      </c>
      <c r="E67" s="32" t="s">
        <v>629</v>
      </c>
      <c r="F67" s="32" t="s">
        <v>907</v>
      </c>
      <c r="G67" s="32">
        <f>IFERROR(INDEX(Ship!A$31:B$4500,MATCH(C67,Ship!A$31:A$4500,0),2),0)</f>
        <v>0</v>
      </c>
    </row>
    <row r="68" spans="1:7" x14ac:dyDescent="0.25">
      <c r="A68" s="32" t="s">
        <v>953</v>
      </c>
      <c r="B68" s="32" t="s">
        <v>954</v>
      </c>
      <c r="C68" s="32" t="s">
        <v>771</v>
      </c>
      <c r="D68" s="32" t="s">
        <v>1312</v>
      </c>
      <c r="E68" s="32" t="s">
        <v>629</v>
      </c>
      <c r="F68" s="32" t="s">
        <v>907</v>
      </c>
      <c r="G68" s="32">
        <f>IFERROR(INDEX(Ship!A$31:B$4500,MATCH(C68,Ship!A$31:A$4500,0),2),0)</f>
        <v>0</v>
      </c>
    </row>
    <row r="69" spans="1:7" x14ac:dyDescent="0.25">
      <c r="A69" s="32" t="s">
        <v>953</v>
      </c>
      <c r="B69" s="32" t="s">
        <v>954</v>
      </c>
      <c r="C69" s="32" t="s">
        <v>773</v>
      </c>
      <c r="D69" s="32" t="s">
        <v>1313</v>
      </c>
      <c r="E69" s="32" t="s">
        <v>629</v>
      </c>
      <c r="F69" s="32" t="s">
        <v>907</v>
      </c>
      <c r="G69" s="32">
        <f>IFERROR(INDEX(Ship!A$31:B$4500,MATCH(C69,Ship!A$31:A$4500,0),2),0)</f>
        <v>0</v>
      </c>
    </row>
    <row r="70" spans="1:7" x14ac:dyDescent="0.25">
      <c r="A70" s="32" t="s">
        <v>953</v>
      </c>
      <c r="B70" s="32" t="s">
        <v>954</v>
      </c>
      <c r="C70" s="32" t="s">
        <v>581</v>
      </c>
      <c r="D70" s="32" t="s">
        <v>1314</v>
      </c>
      <c r="E70" s="32" t="s">
        <v>629</v>
      </c>
      <c r="F70" s="32" t="s">
        <v>907</v>
      </c>
      <c r="G70" s="32">
        <f>IFERROR(INDEX(Ship!A$31:B$4500,MATCH(C70,Ship!A$31:A$4500,0),2),0)</f>
        <v>0</v>
      </c>
    </row>
    <row r="71" spans="1:7" x14ac:dyDescent="0.25">
      <c r="A71" s="32" t="s">
        <v>953</v>
      </c>
      <c r="B71" s="32" t="s">
        <v>954</v>
      </c>
      <c r="C71" s="32" t="s">
        <v>772</v>
      </c>
      <c r="D71" s="32" t="s">
        <v>1315</v>
      </c>
      <c r="E71" s="32" t="s">
        <v>629</v>
      </c>
      <c r="F71" s="32" t="s">
        <v>907</v>
      </c>
      <c r="G71" s="32">
        <f>IFERROR(INDEX(Ship!A$31:B$4500,MATCH(C71,Ship!A$31:A$4500,0),2),0)</f>
        <v>0</v>
      </c>
    </row>
    <row r="72" spans="1:7" x14ac:dyDescent="0.25">
      <c r="A72" s="32" t="s">
        <v>953</v>
      </c>
      <c r="B72" s="32" t="s">
        <v>954</v>
      </c>
      <c r="C72" s="32" t="s">
        <v>775</v>
      </c>
      <c r="D72" s="32" t="s">
        <v>1317</v>
      </c>
      <c r="E72" s="32" t="s">
        <v>629</v>
      </c>
      <c r="F72" s="32" t="s">
        <v>907</v>
      </c>
      <c r="G72" s="32">
        <f>IFERROR(INDEX(Ship!A$31:B$4500,MATCH(C72,Ship!A$31:A$4500,0),2),0)</f>
        <v>0</v>
      </c>
    </row>
    <row r="73" spans="1:7" x14ac:dyDescent="0.25">
      <c r="A73" s="32" t="s">
        <v>953</v>
      </c>
      <c r="B73" s="32" t="s">
        <v>954</v>
      </c>
      <c r="C73" s="32" t="s">
        <v>777</v>
      </c>
      <c r="D73" s="32" t="s">
        <v>1318</v>
      </c>
      <c r="E73" s="32" t="s">
        <v>629</v>
      </c>
      <c r="F73" s="32" t="s">
        <v>907</v>
      </c>
      <c r="G73" s="32">
        <f>IFERROR(INDEX(Ship!A$31:B$4500,MATCH(C73,Ship!A$31:A$4500,0),2),0)</f>
        <v>0</v>
      </c>
    </row>
    <row r="74" spans="1:7" x14ac:dyDescent="0.25">
      <c r="A74" s="32" t="s">
        <v>953</v>
      </c>
      <c r="B74" s="32" t="s">
        <v>954</v>
      </c>
      <c r="C74" s="32" t="s">
        <v>582</v>
      </c>
      <c r="D74" s="32" t="s">
        <v>1319</v>
      </c>
      <c r="E74" s="32" t="s">
        <v>629</v>
      </c>
      <c r="F74" s="32" t="s">
        <v>907</v>
      </c>
      <c r="G74" s="32">
        <f>IFERROR(INDEX(Ship!A$31:B$4500,MATCH(C74,Ship!A$31:A$4500,0),2),0)</f>
        <v>0</v>
      </c>
    </row>
    <row r="75" spans="1:7" x14ac:dyDescent="0.25">
      <c r="A75" s="32" t="s">
        <v>953</v>
      </c>
      <c r="B75" s="32" t="s">
        <v>954</v>
      </c>
      <c r="C75" s="32" t="s">
        <v>776</v>
      </c>
      <c r="D75" s="32" t="s">
        <v>1320</v>
      </c>
      <c r="E75" s="32" t="s">
        <v>629</v>
      </c>
      <c r="F75" s="32" t="s">
        <v>907</v>
      </c>
      <c r="G75" s="32">
        <f>IFERROR(INDEX(Ship!A$31:B$4500,MATCH(C75,Ship!A$31:A$4500,0),2),0)</f>
        <v>0</v>
      </c>
    </row>
    <row r="76" spans="1:7" x14ac:dyDescent="0.25">
      <c r="A76" s="32" t="s">
        <v>953</v>
      </c>
      <c r="B76" s="32" t="s">
        <v>954</v>
      </c>
      <c r="C76" s="32" t="s">
        <v>779</v>
      </c>
      <c r="D76" s="32" t="s">
        <v>1322</v>
      </c>
      <c r="E76" s="32" t="s">
        <v>629</v>
      </c>
      <c r="F76" s="32" t="s">
        <v>907</v>
      </c>
      <c r="G76" s="32">
        <f>IFERROR(INDEX(Ship!A$31:B$4500,MATCH(C76,Ship!A$31:A$4500,0),2),0)</f>
        <v>0</v>
      </c>
    </row>
    <row r="77" spans="1:7" x14ac:dyDescent="0.25">
      <c r="A77" s="32" t="s">
        <v>953</v>
      </c>
      <c r="B77" s="32" t="s">
        <v>954</v>
      </c>
      <c r="C77" s="32" t="s">
        <v>781</v>
      </c>
      <c r="D77" s="32" t="s">
        <v>1323</v>
      </c>
      <c r="E77" s="32" t="s">
        <v>629</v>
      </c>
      <c r="F77" s="32" t="s">
        <v>907</v>
      </c>
      <c r="G77" s="32">
        <f>IFERROR(INDEX(Ship!A$31:B$4500,MATCH(C77,Ship!A$31:A$4500,0),2),0)</f>
        <v>0</v>
      </c>
    </row>
    <row r="78" spans="1:7" x14ac:dyDescent="0.25">
      <c r="A78" s="32" t="s">
        <v>953</v>
      </c>
      <c r="B78" s="32" t="s">
        <v>954</v>
      </c>
      <c r="C78" s="32" t="s">
        <v>583</v>
      </c>
      <c r="D78" s="32" t="s">
        <v>1324</v>
      </c>
      <c r="E78" s="32" t="s">
        <v>629</v>
      </c>
      <c r="F78" s="32" t="s">
        <v>907</v>
      </c>
      <c r="G78" s="32">
        <f>IFERROR(INDEX(Ship!A$31:B$4500,MATCH(C78,Ship!A$31:A$4500,0),2),0)</f>
        <v>0</v>
      </c>
    </row>
    <row r="79" spans="1:7" x14ac:dyDescent="0.25">
      <c r="A79" s="32" t="s">
        <v>953</v>
      </c>
      <c r="B79" s="32" t="s">
        <v>954</v>
      </c>
      <c r="C79" s="32" t="s">
        <v>780</v>
      </c>
      <c r="D79" s="32" t="s">
        <v>1325</v>
      </c>
      <c r="E79" s="32" t="s">
        <v>629</v>
      </c>
      <c r="F79" s="32" t="s">
        <v>907</v>
      </c>
      <c r="G79" s="32">
        <f>IFERROR(INDEX(Ship!A$31:B$4500,MATCH(C79,Ship!A$31:A$4500,0),2),0)</f>
        <v>0</v>
      </c>
    </row>
    <row r="80" spans="1:7" x14ac:dyDescent="0.25">
      <c r="A80" s="32" t="s">
        <v>953</v>
      </c>
      <c r="B80" s="32" t="s">
        <v>954</v>
      </c>
      <c r="C80" s="32" t="s">
        <v>783</v>
      </c>
      <c r="D80" s="32" t="s">
        <v>1327</v>
      </c>
      <c r="E80" s="32" t="s">
        <v>629</v>
      </c>
      <c r="F80" s="32" t="s">
        <v>907</v>
      </c>
      <c r="G80" s="32">
        <f>IFERROR(INDEX(Ship!A$31:B$4500,MATCH(C80,Ship!A$31:A$4500,0),2),0)</f>
        <v>0</v>
      </c>
    </row>
    <row r="81" spans="1:7" x14ac:dyDescent="0.25">
      <c r="A81" s="32" t="s">
        <v>953</v>
      </c>
      <c r="B81" s="32" t="s">
        <v>954</v>
      </c>
      <c r="C81" s="32" t="s">
        <v>785</v>
      </c>
      <c r="D81" s="32" t="s">
        <v>1328</v>
      </c>
      <c r="E81" s="32" t="s">
        <v>629</v>
      </c>
      <c r="F81" s="32" t="s">
        <v>907</v>
      </c>
      <c r="G81" s="32">
        <f>IFERROR(INDEX(Ship!A$31:B$4500,MATCH(C81,Ship!A$31:A$4500,0),2),0)</f>
        <v>0</v>
      </c>
    </row>
    <row r="82" spans="1:7" x14ac:dyDescent="0.25">
      <c r="A82" s="32" t="s">
        <v>953</v>
      </c>
      <c r="B82" s="32" t="s">
        <v>954</v>
      </c>
      <c r="C82" s="32" t="s">
        <v>584</v>
      </c>
      <c r="D82" s="32" t="s">
        <v>1329</v>
      </c>
      <c r="E82" s="32" t="s">
        <v>629</v>
      </c>
      <c r="F82" s="32" t="s">
        <v>907</v>
      </c>
      <c r="G82" s="32">
        <f>IFERROR(INDEX(Ship!A$31:B$4500,MATCH(C82,Ship!A$31:A$4500,0),2),0)</f>
        <v>0</v>
      </c>
    </row>
    <row r="83" spans="1:7" x14ac:dyDescent="0.25">
      <c r="A83" s="32" t="s">
        <v>953</v>
      </c>
      <c r="B83" s="32" t="s">
        <v>954</v>
      </c>
      <c r="C83" s="32" t="s">
        <v>784</v>
      </c>
      <c r="D83" s="32" t="s">
        <v>1330</v>
      </c>
      <c r="E83" s="32" t="s">
        <v>629</v>
      </c>
      <c r="F83" s="32" t="s">
        <v>907</v>
      </c>
      <c r="G83" s="32">
        <f>IFERROR(INDEX(Ship!A$31:B$4500,MATCH(C83,Ship!A$31:A$4500,0),2),0)</f>
        <v>0</v>
      </c>
    </row>
    <row r="84" spans="1:7" x14ac:dyDescent="0.25">
      <c r="A84" s="32" t="s">
        <v>953</v>
      </c>
      <c r="B84" s="32" t="s">
        <v>954</v>
      </c>
      <c r="C84" s="32" t="s">
        <v>787</v>
      </c>
      <c r="D84" s="32" t="s">
        <v>1332</v>
      </c>
      <c r="E84" s="32" t="s">
        <v>629</v>
      </c>
      <c r="F84" s="32" t="s">
        <v>907</v>
      </c>
      <c r="G84" s="32">
        <f>IFERROR(INDEX(Ship!A$31:B$4500,MATCH(C84,Ship!A$31:A$4500,0),2),0)</f>
        <v>0</v>
      </c>
    </row>
    <row r="85" spans="1:7" x14ac:dyDescent="0.25">
      <c r="A85" s="32" t="s">
        <v>953</v>
      </c>
      <c r="B85" s="32" t="s">
        <v>954</v>
      </c>
      <c r="C85" s="32" t="s">
        <v>789</v>
      </c>
      <c r="D85" s="32" t="s">
        <v>1333</v>
      </c>
      <c r="E85" s="32" t="s">
        <v>629</v>
      </c>
      <c r="F85" s="32" t="s">
        <v>907</v>
      </c>
      <c r="G85" s="32">
        <f>IFERROR(INDEX(Ship!A$31:B$4500,MATCH(C85,Ship!A$31:A$4500,0),2),0)</f>
        <v>0</v>
      </c>
    </row>
    <row r="86" spans="1:7" x14ac:dyDescent="0.25">
      <c r="A86" s="32" t="s">
        <v>953</v>
      </c>
      <c r="B86" s="32" t="s">
        <v>954</v>
      </c>
      <c r="C86" s="32" t="s">
        <v>585</v>
      </c>
      <c r="D86" s="32" t="s">
        <v>1334</v>
      </c>
      <c r="E86" s="32" t="s">
        <v>629</v>
      </c>
      <c r="F86" s="32" t="s">
        <v>907</v>
      </c>
      <c r="G86" s="32">
        <f>IFERROR(INDEX(Ship!A$31:B$4500,MATCH(C86,Ship!A$31:A$4500,0),2),0)</f>
        <v>0</v>
      </c>
    </row>
    <row r="87" spans="1:7" x14ac:dyDescent="0.25">
      <c r="A87" s="32" t="s">
        <v>953</v>
      </c>
      <c r="B87" s="32" t="s">
        <v>954</v>
      </c>
      <c r="C87" s="32" t="s">
        <v>788</v>
      </c>
      <c r="D87" s="32" t="s">
        <v>1335</v>
      </c>
      <c r="E87" s="32" t="s">
        <v>629</v>
      </c>
      <c r="F87" s="32" t="s">
        <v>907</v>
      </c>
      <c r="G87" s="32">
        <f>IFERROR(INDEX(Ship!A$31:B$4500,MATCH(C87,Ship!A$31:A$4500,0),2),0)</f>
        <v>0</v>
      </c>
    </row>
    <row r="88" spans="1:7" x14ac:dyDescent="0.25">
      <c r="A88" s="32" t="s">
        <v>953</v>
      </c>
      <c r="B88" s="32" t="s">
        <v>954</v>
      </c>
      <c r="C88" s="32" t="s">
        <v>791</v>
      </c>
      <c r="D88" s="32" t="s">
        <v>1337</v>
      </c>
      <c r="E88" s="32" t="s">
        <v>629</v>
      </c>
      <c r="F88" s="32" t="s">
        <v>907</v>
      </c>
      <c r="G88" s="32">
        <f>IFERROR(INDEX(Ship!A$31:B$4500,MATCH(C88,Ship!A$31:A$4500,0),2),0)</f>
        <v>0</v>
      </c>
    </row>
    <row r="89" spans="1:7" x14ac:dyDescent="0.25">
      <c r="A89" s="32" t="s">
        <v>953</v>
      </c>
      <c r="B89" s="32" t="s">
        <v>954</v>
      </c>
      <c r="C89" s="32" t="s">
        <v>793</v>
      </c>
      <c r="D89" s="32" t="s">
        <v>1338</v>
      </c>
      <c r="E89" s="32" t="s">
        <v>629</v>
      </c>
      <c r="F89" s="32" t="s">
        <v>907</v>
      </c>
      <c r="G89" s="32">
        <f>IFERROR(INDEX(Ship!A$31:B$4500,MATCH(C89,Ship!A$31:A$4500,0),2),0)</f>
        <v>0</v>
      </c>
    </row>
    <row r="90" spans="1:7" x14ac:dyDescent="0.25">
      <c r="A90" s="32" t="s">
        <v>953</v>
      </c>
      <c r="B90" s="32" t="s">
        <v>954</v>
      </c>
      <c r="C90" s="32" t="s">
        <v>586</v>
      </c>
      <c r="D90" s="32" t="s">
        <v>1339</v>
      </c>
      <c r="E90" s="32" t="s">
        <v>629</v>
      </c>
      <c r="F90" s="32" t="s">
        <v>907</v>
      </c>
      <c r="G90" s="32">
        <f>IFERROR(INDEX(Ship!A$31:B$4500,MATCH(C90,Ship!A$31:A$4500,0),2),0)</f>
        <v>0</v>
      </c>
    </row>
    <row r="91" spans="1:7" x14ac:dyDescent="0.25">
      <c r="A91" s="32" t="s">
        <v>953</v>
      </c>
      <c r="B91" s="32" t="s">
        <v>954</v>
      </c>
      <c r="C91" s="32" t="s">
        <v>792</v>
      </c>
      <c r="D91" s="32" t="s">
        <v>1340</v>
      </c>
      <c r="E91" s="32" t="s">
        <v>629</v>
      </c>
      <c r="F91" s="32" t="s">
        <v>907</v>
      </c>
      <c r="G91" s="32">
        <f>IFERROR(INDEX(Ship!A$31:B$4500,MATCH(C91,Ship!A$31:A$4500,0),2),0)</f>
        <v>0</v>
      </c>
    </row>
    <row r="92" spans="1:7" x14ac:dyDescent="0.25">
      <c r="A92" s="32" t="s">
        <v>953</v>
      </c>
      <c r="B92" s="32" t="s">
        <v>954</v>
      </c>
      <c r="C92" s="32" t="s">
        <v>795</v>
      </c>
      <c r="D92" s="32" t="s">
        <v>1342</v>
      </c>
      <c r="E92" s="32" t="s">
        <v>629</v>
      </c>
      <c r="F92" s="32" t="s">
        <v>907</v>
      </c>
      <c r="G92" s="32">
        <f>IFERROR(INDEX(Ship!A$31:B$4500,MATCH(C92,Ship!A$31:A$4500,0),2),0)</f>
        <v>0</v>
      </c>
    </row>
    <row r="93" spans="1:7" x14ac:dyDescent="0.25">
      <c r="A93" s="32" t="s">
        <v>953</v>
      </c>
      <c r="B93" s="32" t="s">
        <v>954</v>
      </c>
      <c r="C93" s="32" t="s">
        <v>797</v>
      </c>
      <c r="D93" s="32" t="s">
        <v>1343</v>
      </c>
      <c r="E93" s="32" t="s">
        <v>629</v>
      </c>
      <c r="F93" s="32" t="s">
        <v>907</v>
      </c>
      <c r="G93" s="32">
        <f>IFERROR(INDEX(Ship!A$31:B$4500,MATCH(C93,Ship!A$31:A$4500,0),2),0)</f>
        <v>0</v>
      </c>
    </row>
    <row r="94" spans="1:7" x14ac:dyDescent="0.25">
      <c r="A94" s="32" t="s">
        <v>953</v>
      </c>
      <c r="B94" s="32" t="s">
        <v>954</v>
      </c>
      <c r="C94" s="32" t="s">
        <v>587</v>
      </c>
      <c r="D94" s="32" t="s">
        <v>1344</v>
      </c>
      <c r="E94" s="32" t="s">
        <v>629</v>
      </c>
      <c r="F94" s="32" t="s">
        <v>907</v>
      </c>
      <c r="G94" s="32">
        <f>IFERROR(INDEX(Ship!A$31:B$4500,MATCH(C94,Ship!A$31:A$4500,0),2),0)</f>
        <v>0</v>
      </c>
    </row>
    <row r="95" spans="1:7" x14ac:dyDescent="0.25">
      <c r="A95" s="32" t="s">
        <v>953</v>
      </c>
      <c r="B95" s="32" t="s">
        <v>954</v>
      </c>
      <c r="C95" s="32" t="s">
        <v>796</v>
      </c>
      <c r="D95" s="32" t="s">
        <v>1345</v>
      </c>
      <c r="E95" s="32" t="s">
        <v>629</v>
      </c>
      <c r="F95" s="32" t="s">
        <v>907</v>
      </c>
      <c r="G95" s="32">
        <f>IFERROR(INDEX(Ship!A$31:B$4500,MATCH(C95,Ship!A$31:A$4500,0),2),0)</f>
        <v>0</v>
      </c>
    </row>
    <row r="96" spans="1:7" x14ac:dyDescent="0.25">
      <c r="A96" s="32" t="s">
        <v>953</v>
      </c>
      <c r="B96" s="32" t="s">
        <v>954</v>
      </c>
      <c r="C96" s="32" t="s">
        <v>799</v>
      </c>
      <c r="D96" s="32" t="s">
        <v>1347</v>
      </c>
      <c r="E96" s="32" t="s">
        <v>629</v>
      </c>
      <c r="F96" s="32" t="s">
        <v>907</v>
      </c>
      <c r="G96" s="32">
        <f>IFERROR(INDEX(Ship!A$31:B$4500,MATCH(C96,Ship!A$31:A$4500,0),2),0)</f>
        <v>0</v>
      </c>
    </row>
    <row r="97" spans="1:7" x14ac:dyDescent="0.25">
      <c r="A97" s="32" t="s">
        <v>953</v>
      </c>
      <c r="B97" s="32" t="s">
        <v>954</v>
      </c>
      <c r="C97" s="32" t="s">
        <v>801</v>
      </c>
      <c r="D97" s="32" t="s">
        <v>1348</v>
      </c>
      <c r="E97" s="32" t="s">
        <v>629</v>
      </c>
      <c r="F97" s="32" t="s">
        <v>907</v>
      </c>
      <c r="G97" s="32">
        <f>IFERROR(INDEX(Ship!A$31:B$4500,MATCH(C97,Ship!A$31:A$4500,0),2),0)</f>
        <v>0</v>
      </c>
    </row>
    <row r="98" spans="1:7" x14ac:dyDescent="0.25">
      <c r="A98" s="32" t="s">
        <v>953</v>
      </c>
      <c r="B98" s="32" t="s">
        <v>954</v>
      </c>
      <c r="C98" s="32" t="s">
        <v>588</v>
      </c>
      <c r="D98" s="32" t="s">
        <v>1349</v>
      </c>
      <c r="E98" s="32" t="s">
        <v>629</v>
      </c>
      <c r="F98" s="32" t="s">
        <v>907</v>
      </c>
      <c r="G98" s="32">
        <f>IFERROR(INDEX(Ship!A$31:B$4500,MATCH(C98,Ship!A$31:A$4500,0),2),0)</f>
        <v>0</v>
      </c>
    </row>
    <row r="99" spans="1:7" x14ac:dyDescent="0.25">
      <c r="A99" s="32" t="s">
        <v>953</v>
      </c>
      <c r="B99" s="32" t="s">
        <v>954</v>
      </c>
      <c r="C99" s="32" t="s">
        <v>800</v>
      </c>
      <c r="D99" s="32" t="s">
        <v>1350</v>
      </c>
      <c r="E99" s="32" t="s">
        <v>629</v>
      </c>
      <c r="F99" s="32" t="s">
        <v>907</v>
      </c>
      <c r="G99" s="32">
        <f>IFERROR(INDEX(Ship!A$31:B$4500,MATCH(C99,Ship!A$31:A$4500,0),2),0)</f>
        <v>0</v>
      </c>
    </row>
    <row r="100" spans="1:7" x14ac:dyDescent="0.25">
      <c r="A100" s="32" t="s">
        <v>953</v>
      </c>
      <c r="B100" s="32" t="s">
        <v>954</v>
      </c>
      <c r="C100" s="32" t="s">
        <v>803</v>
      </c>
      <c r="D100" s="32" t="s">
        <v>1352</v>
      </c>
      <c r="E100" s="32" t="s">
        <v>629</v>
      </c>
      <c r="F100" s="32" t="s">
        <v>907</v>
      </c>
      <c r="G100" s="32">
        <f>IFERROR(INDEX(Ship!M$31:N$4500,MATCH(C100,Ship!M$31:M$4500,0),2),0)</f>
        <v>0</v>
      </c>
    </row>
    <row r="101" spans="1:7" x14ac:dyDescent="0.25">
      <c r="A101" s="32" t="s">
        <v>953</v>
      </c>
      <c r="B101" s="32" t="s">
        <v>954</v>
      </c>
      <c r="C101" s="32" t="s">
        <v>805</v>
      </c>
      <c r="D101" s="32" t="s">
        <v>1353</v>
      </c>
      <c r="E101" s="32" t="s">
        <v>629</v>
      </c>
      <c r="F101" s="32" t="s">
        <v>907</v>
      </c>
      <c r="G101" s="32">
        <f>IFERROR(INDEX(Ship!M$31:N$4500,MATCH(C101,Ship!M$31:M$4500,0),2),0)</f>
        <v>0</v>
      </c>
    </row>
    <row r="102" spans="1:7" x14ac:dyDescent="0.25">
      <c r="A102" s="32" t="s">
        <v>953</v>
      </c>
      <c r="B102" s="32" t="s">
        <v>954</v>
      </c>
      <c r="C102" s="32" t="s">
        <v>589</v>
      </c>
      <c r="D102" s="32" t="s">
        <v>1354</v>
      </c>
      <c r="E102" s="32" t="s">
        <v>629</v>
      </c>
      <c r="F102" s="32" t="s">
        <v>907</v>
      </c>
      <c r="G102" s="32">
        <f>IFERROR(INDEX(Ship!M$31:N$4500,MATCH(C102,Ship!M$31:M$4500,0),2),0)</f>
        <v>0</v>
      </c>
    </row>
    <row r="103" spans="1:7" x14ac:dyDescent="0.25">
      <c r="A103" s="32" t="s">
        <v>953</v>
      </c>
      <c r="B103" s="32" t="s">
        <v>954</v>
      </c>
      <c r="C103" s="32" t="s">
        <v>804</v>
      </c>
      <c r="D103" s="32" t="s">
        <v>1355</v>
      </c>
      <c r="E103" s="32" t="s">
        <v>629</v>
      </c>
      <c r="F103" s="32" t="s">
        <v>907</v>
      </c>
      <c r="G103" s="32">
        <f>IFERROR(INDEX(Ship!M$31:N$4500,MATCH(C103,Ship!M$31:M$4500,0),2),0)</f>
        <v>0</v>
      </c>
    </row>
    <row r="104" spans="1:7" x14ac:dyDescent="0.25">
      <c r="A104" s="32" t="s">
        <v>953</v>
      </c>
      <c r="B104" s="32" t="s">
        <v>954</v>
      </c>
      <c r="C104" s="32" t="s">
        <v>807</v>
      </c>
      <c r="D104" s="32" t="s">
        <v>1357</v>
      </c>
      <c r="E104" s="32" t="s">
        <v>629</v>
      </c>
      <c r="F104" s="32" t="s">
        <v>907</v>
      </c>
      <c r="G104" s="32">
        <f>IFERROR(INDEX(Ship!M$31:N$4500,MATCH(C104,Ship!M$31:M$4500,0),2),0)</f>
        <v>0</v>
      </c>
    </row>
    <row r="105" spans="1:7" x14ac:dyDescent="0.25">
      <c r="A105" s="32" t="s">
        <v>953</v>
      </c>
      <c r="B105" s="32" t="s">
        <v>954</v>
      </c>
      <c r="C105" s="32" t="s">
        <v>809</v>
      </c>
      <c r="D105" s="32" t="s">
        <v>1358</v>
      </c>
      <c r="E105" s="32" t="s">
        <v>629</v>
      </c>
      <c r="F105" s="32" t="s">
        <v>907</v>
      </c>
      <c r="G105" s="32">
        <f>IFERROR(INDEX(Ship!M$31:N$4500,MATCH(C105,Ship!M$31:M$4500,0),2),0)</f>
        <v>0</v>
      </c>
    </row>
    <row r="106" spans="1:7" x14ac:dyDescent="0.25">
      <c r="A106" s="32" t="s">
        <v>953</v>
      </c>
      <c r="B106" s="32" t="s">
        <v>954</v>
      </c>
      <c r="C106" s="32" t="s">
        <v>590</v>
      </c>
      <c r="D106" s="32" t="s">
        <v>1359</v>
      </c>
      <c r="E106" s="32" t="s">
        <v>629</v>
      </c>
      <c r="F106" s="32" t="s">
        <v>907</v>
      </c>
      <c r="G106" s="32">
        <f>IFERROR(INDEX(Ship!M$31:N$4500,MATCH(C106,Ship!M$31:M$4500,0),2),0)</f>
        <v>0</v>
      </c>
    </row>
    <row r="107" spans="1:7" x14ac:dyDescent="0.25">
      <c r="A107" s="32" t="s">
        <v>953</v>
      </c>
      <c r="B107" s="32" t="s">
        <v>954</v>
      </c>
      <c r="C107" s="32" t="s">
        <v>808</v>
      </c>
      <c r="D107" s="32" t="s">
        <v>1360</v>
      </c>
      <c r="E107" s="32" t="s">
        <v>629</v>
      </c>
      <c r="F107" s="32" t="s">
        <v>907</v>
      </c>
      <c r="G107" s="32">
        <f>IFERROR(INDEX(Ship!M$31:N$4500,MATCH(C107,Ship!M$31:M$4500,0),2),0)</f>
        <v>0</v>
      </c>
    </row>
    <row r="108" spans="1:7" x14ac:dyDescent="0.25">
      <c r="A108" s="32" t="s">
        <v>953</v>
      </c>
      <c r="B108" s="32" t="s">
        <v>954</v>
      </c>
      <c r="C108" s="32" t="s">
        <v>811</v>
      </c>
      <c r="D108" s="32" t="s">
        <v>1362</v>
      </c>
      <c r="E108" s="32" t="s">
        <v>629</v>
      </c>
      <c r="F108" s="32" t="s">
        <v>907</v>
      </c>
      <c r="G108" s="32">
        <f>IFERROR(INDEX(Ship!M$31:N$4500,MATCH(C108,Ship!M$31:M$4500,0),2),0)</f>
        <v>0</v>
      </c>
    </row>
    <row r="109" spans="1:7" x14ac:dyDescent="0.25">
      <c r="A109" s="32" t="s">
        <v>953</v>
      </c>
      <c r="B109" s="32" t="s">
        <v>954</v>
      </c>
      <c r="C109" s="32" t="s">
        <v>813</v>
      </c>
      <c r="D109" s="32" t="s">
        <v>1363</v>
      </c>
      <c r="E109" s="32" t="s">
        <v>629</v>
      </c>
      <c r="F109" s="32" t="s">
        <v>907</v>
      </c>
      <c r="G109" s="32">
        <f>IFERROR(INDEX(Ship!M$31:N$4500,MATCH(C109,Ship!M$31:M$4500,0),2),0)</f>
        <v>0</v>
      </c>
    </row>
    <row r="110" spans="1:7" x14ac:dyDescent="0.25">
      <c r="A110" s="32" t="s">
        <v>953</v>
      </c>
      <c r="B110" s="32" t="s">
        <v>954</v>
      </c>
      <c r="C110" s="32" t="s">
        <v>932</v>
      </c>
      <c r="D110" s="32" t="s">
        <v>1364</v>
      </c>
      <c r="E110" s="32" t="s">
        <v>629</v>
      </c>
      <c r="F110" s="32" t="s">
        <v>907</v>
      </c>
      <c r="G110" s="32">
        <f>IFERROR(INDEX(Ship!M$31:N$4500,MATCH(C110,Ship!M$31:M$4500,0),2),0)</f>
        <v>0</v>
      </c>
    </row>
    <row r="111" spans="1:7" x14ac:dyDescent="0.25">
      <c r="A111" s="32" t="s">
        <v>953</v>
      </c>
      <c r="B111" s="32" t="s">
        <v>954</v>
      </c>
      <c r="C111" s="32" t="s">
        <v>812</v>
      </c>
      <c r="D111" s="32" t="s">
        <v>1365</v>
      </c>
      <c r="E111" s="32" t="s">
        <v>629</v>
      </c>
      <c r="F111" s="32" t="s">
        <v>907</v>
      </c>
      <c r="G111" s="32">
        <f>IFERROR(INDEX(Ship!M$31:N$4500,MATCH(C111,Ship!M$31:M$4500,0),2),0)</f>
        <v>0</v>
      </c>
    </row>
    <row r="112" spans="1:7" x14ac:dyDescent="0.25">
      <c r="A112" s="32" t="s">
        <v>953</v>
      </c>
      <c r="B112" s="32" t="s">
        <v>954</v>
      </c>
      <c r="C112" s="32" t="s">
        <v>815</v>
      </c>
      <c r="D112" s="32" t="s">
        <v>1367</v>
      </c>
      <c r="E112" s="32" t="s">
        <v>629</v>
      </c>
      <c r="F112" s="32" t="s">
        <v>907</v>
      </c>
      <c r="G112" s="32">
        <f>IFERROR(INDEX(Ship!M$31:N$4500,MATCH(C112,Ship!M$31:M$4500,0),2),0)</f>
        <v>0</v>
      </c>
    </row>
    <row r="113" spans="1:7" x14ac:dyDescent="0.25">
      <c r="A113" s="32" t="s">
        <v>953</v>
      </c>
      <c r="B113" s="32" t="s">
        <v>954</v>
      </c>
      <c r="C113" s="32" t="s">
        <v>817</v>
      </c>
      <c r="D113" s="32" t="s">
        <v>1368</v>
      </c>
      <c r="E113" s="32" t="s">
        <v>629</v>
      </c>
      <c r="F113" s="32" t="s">
        <v>907</v>
      </c>
      <c r="G113" s="32">
        <f>IFERROR(INDEX(Ship!M$31:N$4500,MATCH(C113,Ship!M$31:M$4500,0),2),0)</f>
        <v>0</v>
      </c>
    </row>
    <row r="114" spans="1:7" x14ac:dyDescent="0.25">
      <c r="A114" s="32" t="s">
        <v>953</v>
      </c>
      <c r="B114" s="32" t="s">
        <v>954</v>
      </c>
      <c r="C114" s="32" t="s">
        <v>934</v>
      </c>
      <c r="D114" s="32" t="s">
        <v>1369</v>
      </c>
      <c r="E114" s="32" t="s">
        <v>629</v>
      </c>
      <c r="F114" s="32" t="s">
        <v>907</v>
      </c>
      <c r="G114" s="32">
        <f>IFERROR(INDEX(Ship!M$31:N$4500,MATCH(C114,Ship!M$31:M$4500,0),2),0)</f>
        <v>0</v>
      </c>
    </row>
    <row r="115" spans="1:7" x14ac:dyDescent="0.25">
      <c r="A115" s="32" t="s">
        <v>953</v>
      </c>
      <c r="B115" s="32" t="s">
        <v>954</v>
      </c>
      <c r="C115" s="32" t="s">
        <v>816</v>
      </c>
      <c r="D115" s="32" t="s">
        <v>1370</v>
      </c>
      <c r="E115" s="32" t="s">
        <v>629</v>
      </c>
      <c r="F115" s="32" t="s">
        <v>907</v>
      </c>
      <c r="G115" s="32">
        <f>IFERROR(INDEX(Ship!M$31:N$4500,MATCH(C115,Ship!M$31:M$4500,0),2),0)</f>
        <v>0</v>
      </c>
    </row>
    <row r="116" spans="1:7" x14ac:dyDescent="0.25">
      <c r="A116" s="32" t="s">
        <v>953</v>
      </c>
      <c r="B116" s="32" t="s">
        <v>954</v>
      </c>
      <c r="C116" s="32" t="s">
        <v>819</v>
      </c>
      <c r="D116" s="32" t="s">
        <v>1372</v>
      </c>
      <c r="E116" s="32" t="s">
        <v>629</v>
      </c>
      <c r="F116" s="32" t="s">
        <v>907</v>
      </c>
      <c r="G116" s="32">
        <f>IFERROR(INDEX(Ship!M$31:N$4500,MATCH(C116,Ship!M$31:M$4500,0),2),0)</f>
        <v>0</v>
      </c>
    </row>
    <row r="117" spans="1:7" x14ac:dyDescent="0.25">
      <c r="A117" s="32" t="s">
        <v>953</v>
      </c>
      <c r="B117" s="32" t="s">
        <v>954</v>
      </c>
      <c r="C117" s="32" t="s">
        <v>821</v>
      </c>
      <c r="D117" s="32" t="s">
        <v>1373</v>
      </c>
      <c r="E117" s="32" t="s">
        <v>629</v>
      </c>
      <c r="F117" s="32" t="s">
        <v>907</v>
      </c>
      <c r="G117" s="32">
        <f>IFERROR(INDEX(Ship!M$31:N$4500,MATCH(C117,Ship!M$31:M$4500,0),2),0)</f>
        <v>0</v>
      </c>
    </row>
    <row r="118" spans="1:7" x14ac:dyDescent="0.25">
      <c r="A118" s="32" t="s">
        <v>953</v>
      </c>
      <c r="B118" s="32" t="s">
        <v>954</v>
      </c>
      <c r="C118" s="32" t="s">
        <v>936</v>
      </c>
      <c r="D118" s="32" t="s">
        <v>1374</v>
      </c>
      <c r="E118" s="32" t="s">
        <v>629</v>
      </c>
      <c r="F118" s="32" t="s">
        <v>907</v>
      </c>
      <c r="G118" s="32">
        <f>IFERROR(INDEX(Ship!M$31:N$4500,MATCH(C118,Ship!M$31:M$4500,0),2),0)</f>
        <v>0</v>
      </c>
    </row>
    <row r="119" spans="1:7" x14ac:dyDescent="0.25">
      <c r="A119" s="32" t="s">
        <v>953</v>
      </c>
      <c r="B119" s="32" t="s">
        <v>954</v>
      </c>
      <c r="C119" s="32" t="s">
        <v>820</v>
      </c>
      <c r="D119" s="32" t="s">
        <v>1375</v>
      </c>
      <c r="E119" s="32" t="s">
        <v>629</v>
      </c>
      <c r="F119" s="32" t="s">
        <v>907</v>
      </c>
      <c r="G119" s="32">
        <f>IFERROR(INDEX(Ship!M$31:N$4500,MATCH(C119,Ship!M$31:M$4500,0),2),0)</f>
        <v>0</v>
      </c>
    </row>
    <row r="120" spans="1:7" x14ac:dyDescent="0.25">
      <c r="A120" s="32" t="s">
        <v>953</v>
      </c>
      <c r="B120" s="32" t="s">
        <v>954</v>
      </c>
      <c r="C120" s="32" t="s">
        <v>823</v>
      </c>
      <c r="D120" s="32" t="s">
        <v>1377</v>
      </c>
      <c r="E120" s="32" t="s">
        <v>629</v>
      </c>
      <c r="F120" s="32" t="s">
        <v>907</v>
      </c>
      <c r="G120" s="32">
        <f>IFERROR(INDEX(Ship!M$31:N$4500,MATCH(C120,Ship!M$31:M$4500,0),2),0)</f>
        <v>0</v>
      </c>
    </row>
    <row r="121" spans="1:7" x14ac:dyDescent="0.25">
      <c r="A121" s="32" t="s">
        <v>953</v>
      </c>
      <c r="B121" s="32" t="s">
        <v>954</v>
      </c>
      <c r="C121" s="32" t="s">
        <v>825</v>
      </c>
      <c r="D121" s="32" t="s">
        <v>1378</v>
      </c>
      <c r="E121" s="32" t="s">
        <v>629</v>
      </c>
      <c r="F121" s="32" t="s">
        <v>907</v>
      </c>
      <c r="G121" s="32">
        <f>IFERROR(INDEX(Ship!M$31:N$4500,MATCH(C121,Ship!M$31:M$4500,0),2),0)</f>
        <v>0</v>
      </c>
    </row>
    <row r="122" spans="1:7" x14ac:dyDescent="0.25">
      <c r="A122" s="32" t="s">
        <v>953</v>
      </c>
      <c r="B122" s="32" t="s">
        <v>954</v>
      </c>
      <c r="C122" s="32" t="s">
        <v>591</v>
      </c>
      <c r="D122" s="32" t="s">
        <v>1379</v>
      </c>
      <c r="E122" s="32" t="s">
        <v>629</v>
      </c>
      <c r="F122" s="32" t="s">
        <v>907</v>
      </c>
      <c r="G122" s="32">
        <f>IFERROR(INDEX(Ship!M$31:N$4500,MATCH(C122,Ship!M$31:M$4500,0),2),0)</f>
        <v>0</v>
      </c>
    </row>
    <row r="123" spans="1:7" x14ac:dyDescent="0.25">
      <c r="A123" s="32" t="s">
        <v>953</v>
      </c>
      <c r="B123" s="32" t="s">
        <v>954</v>
      </c>
      <c r="C123" s="32" t="s">
        <v>824</v>
      </c>
      <c r="D123" s="32" t="s">
        <v>1380</v>
      </c>
      <c r="E123" s="32" t="s">
        <v>629</v>
      </c>
      <c r="F123" s="32" t="s">
        <v>907</v>
      </c>
      <c r="G123" s="32">
        <f>IFERROR(INDEX(Ship!M$31:N$4500,MATCH(C123,Ship!M$31:M$4500,0),2),0)</f>
        <v>0</v>
      </c>
    </row>
    <row r="124" spans="1:7" x14ac:dyDescent="0.25">
      <c r="A124" s="32" t="s">
        <v>953</v>
      </c>
      <c r="B124" s="32" t="s">
        <v>954</v>
      </c>
      <c r="C124" s="32" t="s">
        <v>827</v>
      </c>
      <c r="D124" s="32" t="s">
        <v>1382</v>
      </c>
      <c r="E124" s="32" t="s">
        <v>629</v>
      </c>
      <c r="F124" s="32" t="s">
        <v>907</v>
      </c>
      <c r="G124" s="32">
        <f>IFERROR(INDEX(Ship!M$31:N$4500,MATCH(C124,Ship!M$31:M$4500,0),2),0)</f>
        <v>0</v>
      </c>
    </row>
    <row r="125" spans="1:7" x14ac:dyDescent="0.25">
      <c r="A125" s="32" t="s">
        <v>953</v>
      </c>
      <c r="B125" s="32" t="s">
        <v>954</v>
      </c>
      <c r="C125" s="32" t="s">
        <v>829</v>
      </c>
      <c r="D125" s="32" t="s">
        <v>1383</v>
      </c>
      <c r="E125" s="32" t="s">
        <v>629</v>
      </c>
      <c r="F125" s="32" t="s">
        <v>907</v>
      </c>
      <c r="G125" s="32">
        <f>IFERROR(INDEX(Ship!M$31:N$4500,MATCH(C125,Ship!M$31:M$4500,0),2),0)</f>
        <v>0</v>
      </c>
    </row>
    <row r="126" spans="1:7" x14ac:dyDescent="0.25">
      <c r="A126" s="32" t="s">
        <v>953</v>
      </c>
      <c r="B126" s="32" t="s">
        <v>954</v>
      </c>
      <c r="C126" s="32" t="s">
        <v>592</v>
      </c>
      <c r="D126" s="32" t="s">
        <v>1384</v>
      </c>
      <c r="E126" s="32" t="s">
        <v>629</v>
      </c>
      <c r="F126" s="32" t="s">
        <v>907</v>
      </c>
      <c r="G126" s="32">
        <f>IFERROR(INDEX(Ship!M$31:N$4500,MATCH(C126,Ship!M$31:M$4500,0),2),0)</f>
        <v>0</v>
      </c>
    </row>
    <row r="127" spans="1:7" x14ac:dyDescent="0.25">
      <c r="A127" s="32" t="s">
        <v>953</v>
      </c>
      <c r="B127" s="32" t="s">
        <v>954</v>
      </c>
      <c r="C127" s="32" t="s">
        <v>828</v>
      </c>
      <c r="D127" s="32" t="s">
        <v>1385</v>
      </c>
      <c r="E127" s="32" t="s">
        <v>629</v>
      </c>
      <c r="F127" s="32" t="s">
        <v>907</v>
      </c>
      <c r="G127" s="32">
        <f>IFERROR(INDEX(Ship!M$31:N$4500,MATCH(C127,Ship!M$31:M$4500,0),2),0)</f>
        <v>0</v>
      </c>
    </row>
    <row r="128" spans="1:7" x14ac:dyDescent="0.25">
      <c r="A128" s="32" t="s">
        <v>953</v>
      </c>
      <c r="B128" s="32" t="s">
        <v>954</v>
      </c>
      <c r="C128" s="32" t="s">
        <v>831</v>
      </c>
      <c r="D128" s="32" t="s">
        <v>1387</v>
      </c>
      <c r="E128" s="32" t="s">
        <v>629</v>
      </c>
      <c r="F128" s="32" t="s">
        <v>907</v>
      </c>
      <c r="G128" s="32">
        <f>IFERROR(INDEX(Ship!M$31:N$4500,MATCH(C128,Ship!M$31:M$4500,0),2),0)</f>
        <v>0</v>
      </c>
    </row>
    <row r="129" spans="1:7" x14ac:dyDescent="0.25">
      <c r="A129" s="32" t="s">
        <v>953</v>
      </c>
      <c r="B129" s="32" t="s">
        <v>954</v>
      </c>
      <c r="C129" s="32" t="s">
        <v>833</v>
      </c>
      <c r="D129" s="32" t="s">
        <v>1388</v>
      </c>
      <c r="E129" s="32" t="s">
        <v>629</v>
      </c>
      <c r="F129" s="32" t="s">
        <v>907</v>
      </c>
      <c r="G129" s="32">
        <f>IFERROR(INDEX(Ship!M$31:N$4500,MATCH(C129,Ship!M$31:M$4500,0),2),0)</f>
        <v>0</v>
      </c>
    </row>
    <row r="130" spans="1:7" x14ac:dyDescent="0.25">
      <c r="A130" s="32" t="s">
        <v>953</v>
      </c>
      <c r="B130" s="32" t="s">
        <v>954</v>
      </c>
      <c r="C130" s="32" t="s">
        <v>593</v>
      </c>
      <c r="D130" s="32" t="s">
        <v>1389</v>
      </c>
      <c r="E130" s="32" t="s">
        <v>629</v>
      </c>
      <c r="F130" s="32" t="s">
        <v>907</v>
      </c>
      <c r="G130" s="32">
        <f>IFERROR(INDEX(Ship!M$31:N$4500,MATCH(C130,Ship!M$31:M$4500,0),2),0)</f>
        <v>0</v>
      </c>
    </row>
    <row r="131" spans="1:7" x14ac:dyDescent="0.25">
      <c r="A131" s="32" t="s">
        <v>953</v>
      </c>
      <c r="B131" s="32" t="s">
        <v>954</v>
      </c>
      <c r="C131" s="32" t="s">
        <v>832</v>
      </c>
      <c r="D131" s="32" t="s">
        <v>1390</v>
      </c>
      <c r="E131" s="32" t="s">
        <v>629</v>
      </c>
      <c r="F131" s="32" t="s">
        <v>907</v>
      </c>
      <c r="G131" s="32">
        <f>IFERROR(INDEX(Ship!M$31:N$4500,MATCH(C131,Ship!M$31:M$4500,0),2),0)</f>
        <v>0</v>
      </c>
    </row>
    <row r="132" spans="1:7" x14ac:dyDescent="0.25">
      <c r="A132" s="32" t="s">
        <v>953</v>
      </c>
      <c r="B132" s="32" t="s">
        <v>954</v>
      </c>
      <c r="C132" s="32" t="s">
        <v>835</v>
      </c>
      <c r="D132" s="32" t="s">
        <v>1392</v>
      </c>
      <c r="E132" s="32" t="s">
        <v>629</v>
      </c>
      <c r="F132" s="32" t="s">
        <v>907</v>
      </c>
      <c r="G132" s="32">
        <f>IFERROR(INDEX(Ship!M$31:N$4500,MATCH(C132,Ship!M$31:M$4500,0),2),0)</f>
        <v>0</v>
      </c>
    </row>
    <row r="133" spans="1:7" x14ac:dyDescent="0.25">
      <c r="A133" s="32" t="s">
        <v>953</v>
      </c>
      <c r="B133" s="32" t="s">
        <v>954</v>
      </c>
      <c r="C133" s="32" t="s">
        <v>837</v>
      </c>
      <c r="D133" s="32" t="s">
        <v>1393</v>
      </c>
      <c r="E133" s="32" t="s">
        <v>629</v>
      </c>
      <c r="F133" s="32" t="s">
        <v>907</v>
      </c>
      <c r="G133" s="32">
        <f>IFERROR(INDEX(Ship!M$31:N$4500,MATCH(C133,Ship!M$31:M$4500,0),2),0)</f>
        <v>0</v>
      </c>
    </row>
    <row r="134" spans="1:7" x14ac:dyDescent="0.25">
      <c r="A134" s="32" t="s">
        <v>953</v>
      </c>
      <c r="B134" s="32" t="s">
        <v>954</v>
      </c>
      <c r="C134" s="32" t="s">
        <v>594</v>
      </c>
      <c r="D134" s="32" t="s">
        <v>1394</v>
      </c>
      <c r="E134" s="32" t="s">
        <v>629</v>
      </c>
      <c r="F134" s="32" t="s">
        <v>907</v>
      </c>
      <c r="G134" s="32">
        <f>IFERROR(INDEX(Ship!M$31:N$4500,MATCH(C134,Ship!M$31:M$4500,0),2),0)</f>
        <v>0</v>
      </c>
    </row>
    <row r="135" spans="1:7" x14ac:dyDescent="0.25">
      <c r="A135" s="32" t="s">
        <v>953</v>
      </c>
      <c r="B135" s="32" t="s">
        <v>954</v>
      </c>
      <c r="C135" s="32" t="s">
        <v>836</v>
      </c>
      <c r="D135" s="32" t="s">
        <v>1395</v>
      </c>
      <c r="E135" s="32" t="s">
        <v>629</v>
      </c>
      <c r="F135" s="32" t="s">
        <v>907</v>
      </c>
      <c r="G135" s="32">
        <f>IFERROR(INDEX(Ship!M$31:N$4500,MATCH(C135,Ship!M$31:M$4500,0),2),0)</f>
        <v>0</v>
      </c>
    </row>
    <row r="136" spans="1:7" x14ac:dyDescent="0.25">
      <c r="A136" s="32" t="s">
        <v>953</v>
      </c>
      <c r="B136" s="32" t="s">
        <v>954</v>
      </c>
      <c r="C136" s="32" t="s">
        <v>839</v>
      </c>
      <c r="D136" s="32" t="s">
        <v>1397</v>
      </c>
      <c r="E136" s="32" t="s">
        <v>629</v>
      </c>
      <c r="F136" s="32" t="s">
        <v>907</v>
      </c>
      <c r="G136" s="32">
        <f>IFERROR(INDEX(Ship!M$31:N$4500,MATCH(C136,Ship!M$31:M$4500,0),2),0)</f>
        <v>0</v>
      </c>
    </row>
    <row r="137" spans="1:7" x14ac:dyDescent="0.25">
      <c r="A137" s="32" t="s">
        <v>953</v>
      </c>
      <c r="B137" s="32" t="s">
        <v>954</v>
      </c>
      <c r="C137" s="32" t="s">
        <v>841</v>
      </c>
      <c r="D137" s="32" t="s">
        <v>1398</v>
      </c>
      <c r="E137" s="32" t="s">
        <v>629</v>
      </c>
      <c r="F137" s="32" t="s">
        <v>907</v>
      </c>
      <c r="G137" s="32">
        <f>IFERROR(INDEX(Ship!M$31:N$4500,MATCH(C137,Ship!M$31:M$4500,0),2),0)</f>
        <v>0</v>
      </c>
    </row>
    <row r="138" spans="1:7" x14ac:dyDescent="0.25">
      <c r="A138" s="32" t="s">
        <v>953</v>
      </c>
      <c r="B138" s="32" t="s">
        <v>954</v>
      </c>
      <c r="C138" s="32" t="s">
        <v>595</v>
      </c>
      <c r="D138" s="32" t="s">
        <v>1399</v>
      </c>
      <c r="E138" s="32" t="s">
        <v>629</v>
      </c>
      <c r="F138" s="32" t="s">
        <v>907</v>
      </c>
      <c r="G138" s="32">
        <f>IFERROR(INDEX(Ship!M$31:N$4500,MATCH(C138,Ship!M$31:M$4500,0),2),0)</f>
        <v>0</v>
      </c>
    </row>
    <row r="139" spans="1:7" x14ac:dyDescent="0.25">
      <c r="A139" s="32" t="s">
        <v>953</v>
      </c>
      <c r="B139" s="32" t="s">
        <v>954</v>
      </c>
      <c r="C139" s="32" t="s">
        <v>840</v>
      </c>
      <c r="D139" s="32" t="s">
        <v>1400</v>
      </c>
      <c r="E139" s="32" t="s">
        <v>629</v>
      </c>
      <c r="F139" s="32" t="s">
        <v>907</v>
      </c>
      <c r="G139" s="32">
        <f>IFERROR(INDEX(Ship!M$31:N$4500,MATCH(C139,Ship!M$31:M$4500,0),2),0)</f>
        <v>0</v>
      </c>
    </row>
    <row r="140" spans="1:7" x14ac:dyDescent="0.25">
      <c r="A140" s="32" t="s">
        <v>953</v>
      </c>
      <c r="B140" s="32" t="s">
        <v>954</v>
      </c>
      <c r="C140" s="32" t="s">
        <v>843</v>
      </c>
      <c r="D140" s="32" t="s">
        <v>1402</v>
      </c>
      <c r="E140" s="32" t="s">
        <v>629</v>
      </c>
      <c r="F140" s="32" t="s">
        <v>907</v>
      </c>
      <c r="G140" s="32">
        <f>IFERROR(INDEX(Ship!M$31:N$4500,MATCH(C140,Ship!M$31:M$4500,0),2),0)</f>
        <v>0</v>
      </c>
    </row>
    <row r="141" spans="1:7" x14ac:dyDescent="0.25">
      <c r="A141" s="32" t="s">
        <v>953</v>
      </c>
      <c r="B141" s="32" t="s">
        <v>954</v>
      </c>
      <c r="C141" s="32" t="s">
        <v>845</v>
      </c>
      <c r="D141" s="32" t="s">
        <v>1403</v>
      </c>
      <c r="E141" s="32" t="s">
        <v>629</v>
      </c>
      <c r="F141" s="32" t="s">
        <v>907</v>
      </c>
      <c r="G141" s="32">
        <f>IFERROR(INDEX(Ship!M$31:N$4500,MATCH(C141,Ship!M$31:M$4500,0),2),0)</f>
        <v>0</v>
      </c>
    </row>
    <row r="142" spans="1:7" x14ac:dyDescent="0.25">
      <c r="A142" s="32" t="s">
        <v>953</v>
      </c>
      <c r="B142" s="32" t="s">
        <v>954</v>
      </c>
      <c r="C142" s="32" t="s">
        <v>943</v>
      </c>
      <c r="D142" s="32" t="s">
        <v>1404</v>
      </c>
      <c r="E142" s="32" t="s">
        <v>629</v>
      </c>
      <c r="F142" s="32" t="s">
        <v>907</v>
      </c>
      <c r="G142" s="32">
        <f>IFERROR(INDEX(Ship!M$31:N$4500,MATCH(C142,Ship!M$31:M$4500,0),2),0)</f>
        <v>0</v>
      </c>
    </row>
    <row r="143" spans="1:7" x14ac:dyDescent="0.25">
      <c r="A143" s="32" t="s">
        <v>953</v>
      </c>
      <c r="B143" s="32" t="s">
        <v>954</v>
      </c>
      <c r="C143" s="32" t="s">
        <v>844</v>
      </c>
      <c r="D143" s="32" t="s">
        <v>1405</v>
      </c>
      <c r="E143" s="32" t="s">
        <v>629</v>
      </c>
      <c r="F143" s="32" t="s">
        <v>907</v>
      </c>
      <c r="G143" s="32">
        <f>IFERROR(INDEX(Ship!M$31:N$4500,MATCH(C143,Ship!M$31:M$4500,0),2),0)</f>
        <v>0</v>
      </c>
    </row>
    <row r="144" spans="1:7" x14ac:dyDescent="0.25">
      <c r="A144" s="32" t="s">
        <v>953</v>
      </c>
      <c r="B144" s="32" t="s">
        <v>954</v>
      </c>
      <c r="C144" s="32" t="s">
        <v>847</v>
      </c>
      <c r="D144" s="32" t="s">
        <v>1407</v>
      </c>
      <c r="E144" s="32" t="s">
        <v>629</v>
      </c>
      <c r="F144" s="32" t="s">
        <v>907</v>
      </c>
      <c r="G144" s="32">
        <f>IFERROR(INDEX(Ship!M$31:N$4500,MATCH(C144,Ship!M$31:M$4500,0),2),0)</f>
        <v>0</v>
      </c>
    </row>
    <row r="145" spans="1:7" x14ac:dyDescent="0.25">
      <c r="A145" s="32" t="s">
        <v>953</v>
      </c>
      <c r="B145" s="32" t="s">
        <v>954</v>
      </c>
      <c r="C145" s="32" t="s">
        <v>849</v>
      </c>
      <c r="D145" s="32" t="s">
        <v>1408</v>
      </c>
      <c r="E145" s="32" t="s">
        <v>629</v>
      </c>
      <c r="F145" s="32" t="s">
        <v>907</v>
      </c>
      <c r="G145" s="32">
        <f>IFERROR(INDEX(Ship!M$31:N$4500,MATCH(C145,Ship!M$31:M$4500,0),2),0)</f>
        <v>0</v>
      </c>
    </row>
    <row r="146" spans="1:7" x14ac:dyDescent="0.25">
      <c r="A146" s="32" t="s">
        <v>953</v>
      </c>
      <c r="B146" s="32" t="s">
        <v>954</v>
      </c>
      <c r="C146" s="32" t="s">
        <v>596</v>
      </c>
      <c r="D146" s="32" t="s">
        <v>1409</v>
      </c>
      <c r="E146" s="32" t="s">
        <v>629</v>
      </c>
      <c r="F146" s="32" t="s">
        <v>907</v>
      </c>
      <c r="G146" s="32">
        <f>IFERROR(INDEX(Ship!M$31:N$4500,MATCH(C146,Ship!M$31:M$4500,0),2),0)</f>
        <v>0</v>
      </c>
    </row>
    <row r="147" spans="1:7" x14ac:dyDescent="0.25">
      <c r="A147" s="32" t="s">
        <v>953</v>
      </c>
      <c r="B147" s="32" t="s">
        <v>954</v>
      </c>
      <c r="C147" s="32" t="s">
        <v>848</v>
      </c>
      <c r="D147" s="32" t="s">
        <v>1410</v>
      </c>
      <c r="E147" s="32" t="s">
        <v>629</v>
      </c>
      <c r="F147" s="32" t="s">
        <v>907</v>
      </c>
      <c r="G147" s="32">
        <f>IFERROR(INDEX(Ship!M$31:N$4500,MATCH(C147,Ship!M$31:M$4500,0),2),0)</f>
        <v>0</v>
      </c>
    </row>
    <row r="148" spans="1:7" x14ac:dyDescent="0.25">
      <c r="A148" s="32" t="s">
        <v>953</v>
      </c>
      <c r="B148" s="32" t="s">
        <v>954</v>
      </c>
      <c r="C148" s="32" t="s">
        <v>851</v>
      </c>
      <c r="D148" s="32" t="s">
        <v>1412</v>
      </c>
      <c r="E148" s="32" t="s">
        <v>629</v>
      </c>
      <c r="F148" s="32" t="s">
        <v>907</v>
      </c>
      <c r="G148" s="32">
        <f>IFERROR(INDEX(Ship!M$31:N$4500,MATCH(C148,Ship!M$31:M$4500,0),2),0)</f>
        <v>0</v>
      </c>
    </row>
    <row r="149" spans="1:7" x14ac:dyDescent="0.25">
      <c r="A149" s="32" t="s">
        <v>953</v>
      </c>
      <c r="B149" s="32" t="s">
        <v>954</v>
      </c>
      <c r="C149" s="32" t="s">
        <v>853</v>
      </c>
      <c r="D149" s="32" t="s">
        <v>1413</v>
      </c>
      <c r="E149" s="32" t="s">
        <v>629</v>
      </c>
      <c r="F149" s="32" t="s">
        <v>907</v>
      </c>
      <c r="G149" s="32">
        <f>IFERROR(INDEX(Ship!M$31:N$4500,MATCH(C149,Ship!M$31:M$4500,0),2),0)</f>
        <v>0</v>
      </c>
    </row>
    <row r="150" spans="1:7" x14ac:dyDescent="0.25">
      <c r="A150" s="32" t="s">
        <v>953</v>
      </c>
      <c r="B150" s="32" t="s">
        <v>954</v>
      </c>
      <c r="C150" s="32" t="s">
        <v>598</v>
      </c>
      <c r="D150" s="32" t="s">
        <v>1414</v>
      </c>
      <c r="E150" s="32" t="s">
        <v>629</v>
      </c>
      <c r="F150" s="32" t="s">
        <v>907</v>
      </c>
      <c r="G150" s="32">
        <f>IFERROR(INDEX(Ship!M$31:N$4500,MATCH(C150,Ship!M$31:M$4500,0),2),0)</f>
        <v>0</v>
      </c>
    </row>
    <row r="151" spans="1:7" x14ac:dyDescent="0.25">
      <c r="A151" s="32" t="s">
        <v>953</v>
      </c>
      <c r="B151" s="32" t="s">
        <v>954</v>
      </c>
      <c r="C151" s="32" t="s">
        <v>852</v>
      </c>
      <c r="D151" s="32" t="s">
        <v>1415</v>
      </c>
      <c r="E151" s="32" t="s">
        <v>629</v>
      </c>
      <c r="F151" s="32" t="s">
        <v>907</v>
      </c>
      <c r="G151" s="32">
        <f>IFERROR(INDEX(Ship!M$31:N$4500,MATCH(C151,Ship!M$31:M$4500,0),2),0)</f>
        <v>0</v>
      </c>
    </row>
    <row r="152" spans="1:7" x14ac:dyDescent="0.25">
      <c r="A152" s="32" t="s">
        <v>953</v>
      </c>
      <c r="B152" s="32" t="s">
        <v>954</v>
      </c>
      <c r="C152" s="32" t="s">
        <v>855</v>
      </c>
      <c r="D152" s="32" t="s">
        <v>1417</v>
      </c>
      <c r="E152" s="32" t="s">
        <v>629</v>
      </c>
      <c r="F152" s="32" t="s">
        <v>907</v>
      </c>
      <c r="G152" s="32">
        <f>IFERROR(INDEX(Ship!M$31:N$4500,MATCH(C152,Ship!M$31:M$4500,0),2),0)</f>
        <v>0</v>
      </c>
    </row>
    <row r="153" spans="1:7" x14ac:dyDescent="0.25">
      <c r="A153" s="32" t="s">
        <v>953</v>
      </c>
      <c r="B153" s="32" t="s">
        <v>954</v>
      </c>
      <c r="C153" s="32" t="s">
        <v>857</v>
      </c>
      <c r="D153" s="32" t="s">
        <v>1418</v>
      </c>
      <c r="E153" s="32" t="s">
        <v>629</v>
      </c>
      <c r="F153" s="32" t="s">
        <v>907</v>
      </c>
      <c r="G153" s="32">
        <f>IFERROR(INDEX(Ship!M$31:N$4500,MATCH(C153,Ship!M$31:M$4500,0),2),0)</f>
        <v>0</v>
      </c>
    </row>
    <row r="154" spans="1:7" x14ac:dyDescent="0.25">
      <c r="A154" s="32" t="s">
        <v>953</v>
      </c>
      <c r="B154" s="32" t="s">
        <v>954</v>
      </c>
      <c r="C154" s="32" t="s">
        <v>600</v>
      </c>
      <c r="D154" s="32" t="s">
        <v>1419</v>
      </c>
      <c r="E154" s="32" t="s">
        <v>629</v>
      </c>
      <c r="F154" s="32" t="s">
        <v>907</v>
      </c>
      <c r="G154" s="32">
        <f>IFERROR(INDEX(Ship!M$31:N$4500,MATCH(C154,Ship!M$31:M$4500,0),2),0)</f>
        <v>0</v>
      </c>
    </row>
    <row r="155" spans="1:7" x14ac:dyDescent="0.25">
      <c r="A155" s="32" t="s">
        <v>953</v>
      </c>
      <c r="B155" s="32" t="s">
        <v>954</v>
      </c>
      <c r="C155" s="32" t="s">
        <v>856</v>
      </c>
      <c r="D155" s="32" t="s">
        <v>1420</v>
      </c>
      <c r="E155" s="32" t="s">
        <v>629</v>
      </c>
      <c r="F155" s="32" t="s">
        <v>907</v>
      </c>
      <c r="G155" s="32">
        <f>IFERROR(INDEX(Ship!M$31:N$4500,MATCH(C155,Ship!M$31:M$4500,0),2),0)</f>
        <v>0</v>
      </c>
    </row>
    <row r="156" spans="1:7" x14ac:dyDescent="0.25">
      <c r="A156" s="32" t="s">
        <v>953</v>
      </c>
      <c r="B156" s="32" t="s">
        <v>954</v>
      </c>
      <c r="C156" s="32" t="s">
        <v>859</v>
      </c>
      <c r="D156" s="32" t="s">
        <v>1422</v>
      </c>
      <c r="E156" s="32" t="s">
        <v>629</v>
      </c>
      <c r="F156" s="32" t="s">
        <v>907</v>
      </c>
      <c r="G156" s="32">
        <f>IFERROR(INDEX(Ship!M$31:N$4500,MATCH(C156,Ship!M$31:M$4500,0),2),0)</f>
        <v>0</v>
      </c>
    </row>
    <row r="157" spans="1:7" x14ac:dyDescent="0.25">
      <c r="A157" s="32" t="s">
        <v>953</v>
      </c>
      <c r="B157" s="32" t="s">
        <v>954</v>
      </c>
      <c r="C157" s="32" t="s">
        <v>861</v>
      </c>
      <c r="D157" s="32" t="s">
        <v>1423</v>
      </c>
      <c r="E157" s="32" t="s">
        <v>629</v>
      </c>
      <c r="F157" s="32" t="s">
        <v>907</v>
      </c>
      <c r="G157" s="32">
        <f>IFERROR(INDEX(Ship!M$31:N$4500,MATCH(C157,Ship!M$31:M$4500,0),2),0)</f>
        <v>0</v>
      </c>
    </row>
    <row r="158" spans="1:7" x14ac:dyDescent="0.25">
      <c r="A158" s="32" t="s">
        <v>953</v>
      </c>
      <c r="B158" s="32" t="s">
        <v>954</v>
      </c>
      <c r="C158" s="32" t="s">
        <v>945</v>
      </c>
      <c r="D158" s="32" t="s">
        <v>1424</v>
      </c>
      <c r="E158" s="32" t="s">
        <v>629</v>
      </c>
      <c r="F158" s="32" t="s">
        <v>907</v>
      </c>
      <c r="G158" s="32">
        <f>IFERROR(INDEX(Ship!M$31:N$4500,MATCH(C158,Ship!M$31:M$4500,0),2),0)</f>
        <v>0</v>
      </c>
    </row>
    <row r="159" spans="1:7" x14ac:dyDescent="0.25">
      <c r="A159" s="32" t="s">
        <v>953</v>
      </c>
      <c r="B159" s="32" t="s">
        <v>954</v>
      </c>
      <c r="C159" s="32" t="s">
        <v>860</v>
      </c>
      <c r="D159" s="32" t="s">
        <v>1425</v>
      </c>
      <c r="E159" s="32" t="s">
        <v>629</v>
      </c>
      <c r="F159" s="32" t="s">
        <v>907</v>
      </c>
      <c r="G159" s="32">
        <f>IFERROR(INDEX(Ship!M$31:N$4500,MATCH(C159,Ship!M$31:M$4500,0),2),0)</f>
        <v>0</v>
      </c>
    </row>
    <row r="160" spans="1:7" x14ac:dyDescent="0.25">
      <c r="A160" s="32" t="s">
        <v>953</v>
      </c>
      <c r="B160" s="32" t="s">
        <v>954</v>
      </c>
      <c r="C160" s="32" t="s">
        <v>863</v>
      </c>
      <c r="D160" s="32" t="s">
        <v>1427</v>
      </c>
      <c r="E160" s="32" t="s">
        <v>629</v>
      </c>
      <c r="F160" s="32" t="s">
        <v>907</v>
      </c>
      <c r="G160" s="32">
        <f>IFERROR(INDEX(Ship!M$31:N$4500,MATCH(C160,Ship!M$31:M$4500,0),2),0)</f>
        <v>0</v>
      </c>
    </row>
    <row r="161" spans="1:7" x14ac:dyDescent="0.25">
      <c r="A161" s="32" t="s">
        <v>953</v>
      </c>
      <c r="B161" s="32" t="s">
        <v>954</v>
      </c>
      <c r="C161" s="32" t="s">
        <v>865</v>
      </c>
      <c r="D161" s="32" t="s">
        <v>1428</v>
      </c>
      <c r="E161" s="32" t="s">
        <v>629</v>
      </c>
      <c r="F161" s="32" t="s">
        <v>907</v>
      </c>
      <c r="G161" s="32">
        <f>IFERROR(INDEX(Ship!M$31:N$4500,MATCH(C161,Ship!M$31:M$4500,0),2),0)</f>
        <v>0</v>
      </c>
    </row>
    <row r="162" spans="1:7" x14ac:dyDescent="0.25">
      <c r="A162" s="32" t="s">
        <v>953</v>
      </c>
      <c r="B162" s="32" t="s">
        <v>954</v>
      </c>
      <c r="C162" s="32" t="s">
        <v>603</v>
      </c>
      <c r="D162" s="32" t="s">
        <v>1429</v>
      </c>
      <c r="E162" s="32" t="s">
        <v>629</v>
      </c>
      <c r="F162" s="32" t="s">
        <v>907</v>
      </c>
      <c r="G162" s="32">
        <f>IFERROR(INDEX(Ship!M$31:N$4500,MATCH(C162,Ship!M$31:M$4500,0),2),0)</f>
        <v>0</v>
      </c>
    </row>
    <row r="163" spans="1:7" x14ac:dyDescent="0.25">
      <c r="A163" s="32" t="s">
        <v>953</v>
      </c>
      <c r="B163" s="32" t="s">
        <v>954</v>
      </c>
      <c r="C163" s="32" t="s">
        <v>864</v>
      </c>
      <c r="D163" s="32" t="s">
        <v>1430</v>
      </c>
      <c r="E163" s="32" t="s">
        <v>629</v>
      </c>
      <c r="F163" s="32" t="s">
        <v>907</v>
      </c>
      <c r="G163" s="32">
        <f>IFERROR(INDEX(Ship!M$31:N$4500,MATCH(C163,Ship!M$31:M$4500,0),2),0)</f>
        <v>0</v>
      </c>
    </row>
    <row r="164" spans="1:7" x14ac:dyDescent="0.25">
      <c r="A164" s="32" t="s">
        <v>953</v>
      </c>
      <c r="B164" s="32" t="s">
        <v>954</v>
      </c>
      <c r="C164" s="32" t="s">
        <v>867</v>
      </c>
      <c r="D164" s="32" t="s">
        <v>1432</v>
      </c>
      <c r="E164" s="32" t="s">
        <v>629</v>
      </c>
      <c r="F164" s="32" t="s">
        <v>907</v>
      </c>
      <c r="G164" s="32">
        <f>IFERROR(INDEX(Ship!M$31:N$4500,MATCH(C164,Ship!M$31:M$4500,0),2),0)</f>
        <v>0</v>
      </c>
    </row>
    <row r="165" spans="1:7" x14ac:dyDescent="0.25">
      <c r="A165" s="32" t="s">
        <v>953</v>
      </c>
      <c r="B165" s="32" t="s">
        <v>954</v>
      </c>
      <c r="C165" s="32" t="s">
        <v>869</v>
      </c>
      <c r="D165" s="32" t="s">
        <v>1433</v>
      </c>
      <c r="E165" s="32" t="s">
        <v>629</v>
      </c>
      <c r="F165" s="32" t="s">
        <v>907</v>
      </c>
      <c r="G165" s="32">
        <f>IFERROR(INDEX(Ship!M$31:N$4500,MATCH(C165,Ship!M$31:M$4500,0),2),0)</f>
        <v>0</v>
      </c>
    </row>
    <row r="166" spans="1:7" x14ac:dyDescent="0.25">
      <c r="A166" s="32" t="s">
        <v>953</v>
      </c>
      <c r="B166" s="32" t="s">
        <v>954</v>
      </c>
      <c r="C166" s="32" t="s">
        <v>605</v>
      </c>
      <c r="D166" s="32" t="s">
        <v>1434</v>
      </c>
      <c r="E166" s="32" t="s">
        <v>629</v>
      </c>
      <c r="F166" s="32" t="s">
        <v>907</v>
      </c>
      <c r="G166" s="32">
        <f>IFERROR(INDEX(Ship!M$31:N$4500,MATCH(C166,Ship!M$31:M$4500,0),2),0)</f>
        <v>0</v>
      </c>
    </row>
    <row r="167" spans="1:7" x14ac:dyDescent="0.25">
      <c r="A167" s="32" t="s">
        <v>953</v>
      </c>
      <c r="B167" s="32" t="s">
        <v>954</v>
      </c>
      <c r="C167" s="32" t="s">
        <v>868</v>
      </c>
      <c r="D167" s="32" t="s">
        <v>1435</v>
      </c>
      <c r="E167" s="32" t="s">
        <v>629</v>
      </c>
      <c r="F167" s="32" t="s">
        <v>907</v>
      </c>
      <c r="G167" s="32">
        <f>IFERROR(INDEX(Ship!M$31:N$4500,MATCH(C167,Ship!M$31:M$4500,0),2),0)</f>
        <v>0</v>
      </c>
    </row>
    <row r="168" spans="1:7" x14ac:dyDescent="0.25">
      <c r="A168" s="32" t="s">
        <v>953</v>
      </c>
      <c r="B168" s="32" t="s">
        <v>954</v>
      </c>
      <c r="C168" s="32" t="s">
        <v>871</v>
      </c>
      <c r="D168" s="32" t="s">
        <v>1437</v>
      </c>
      <c r="E168" s="32" t="s">
        <v>629</v>
      </c>
      <c r="F168" s="32" t="s">
        <v>907</v>
      </c>
      <c r="G168" s="32">
        <f>IFERROR(INDEX(Ship!M$31:N$4500,MATCH(C168,Ship!M$31:M$4500,0),2),0)</f>
        <v>0</v>
      </c>
    </row>
    <row r="169" spans="1:7" x14ac:dyDescent="0.25">
      <c r="A169" s="32" t="s">
        <v>953</v>
      </c>
      <c r="B169" s="32" t="s">
        <v>954</v>
      </c>
      <c r="C169" s="32" t="s">
        <v>873</v>
      </c>
      <c r="D169" s="32" t="s">
        <v>1438</v>
      </c>
      <c r="E169" s="32" t="s">
        <v>629</v>
      </c>
      <c r="F169" s="32" t="s">
        <v>907</v>
      </c>
      <c r="G169" s="32">
        <f>IFERROR(INDEX(Ship!M$31:N$4500,MATCH(C169,Ship!M$31:M$4500,0),2),0)</f>
        <v>0</v>
      </c>
    </row>
    <row r="170" spans="1:7" x14ac:dyDescent="0.25">
      <c r="A170" s="32" t="s">
        <v>953</v>
      </c>
      <c r="B170" s="32" t="s">
        <v>954</v>
      </c>
      <c r="C170" s="32" t="s">
        <v>607</v>
      </c>
      <c r="D170" s="32" t="s">
        <v>1439</v>
      </c>
      <c r="E170" s="32" t="s">
        <v>629</v>
      </c>
      <c r="F170" s="32" t="s">
        <v>907</v>
      </c>
      <c r="G170" s="32">
        <f>IFERROR(INDEX(Ship!M$31:N$4500,MATCH(C170,Ship!M$31:M$4500,0),2),0)</f>
        <v>0</v>
      </c>
    </row>
    <row r="171" spans="1:7" x14ac:dyDescent="0.25">
      <c r="A171" s="32" t="s">
        <v>953</v>
      </c>
      <c r="B171" s="32" t="s">
        <v>954</v>
      </c>
      <c r="C171" s="32" t="s">
        <v>872</v>
      </c>
      <c r="D171" s="32" t="s">
        <v>1440</v>
      </c>
      <c r="E171" s="32" t="s">
        <v>629</v>
      </c>
      <c r="F171" s="32" t="s">
        <v>907</v>
      </c>
      <c r="G171" s="32">
        <f>IFERROR(INDEX(Ship!M$31:N$4500,MATCH(C171,Ship!M$31:M$4500,0),2),0)</f>
        <v>0</v>
      </c>
    </row>
    <row r="172" spans="1:7" x14ac:dyDescent="0.25">
      <c r="A172" s="32" t="s">
        <v>953</v>
      </c>
      <c r="B172" s="32" t="s">
        <v>954</v>
      </c>
      <c r="C172" s="32" t="s">
        <v>875</v>
      </c>
      <c r="D172" s="32" t="s">
        <v>1442</v>
      </c>
      <c r="E172" s="32" t="s">
        <v>629</v>
      </c>
      <c r="F172" s="32" t="s">
        <v>907</v>
      </c>
      <c r="G172" s="32">
        <f>IFERROR(INDEX(Ship!M$31:N$4500,MATCH(C172,Ship!M$31:M$4500,0),2),0)</f>
        <v>0</v>
      </c>
    </row>
    <row r="173" spans="1:7" x14ac:dyDescent="0.25">
      <c r="A173" s="32" t="s">
        <v>953</v>
      </c>
      <c r="B173" s="32" t="s">
        <v>954</v>
      </c>
      <c r="C173" s="32" t="s">
        <v>877</v>
      </c>
      <c r="D173" s="32" t="s">
        <v>1443</v>
      </c>
      <c r="E173" s="32" t="s">
        <v>629</v>
      </c>
      <c r="F173" s="32" t="s">
        <v>907</v>
      </c>
      <c r="G173" s="32">
        <f>IFERROR(INDEX(Ship!M$31:N$4500,MATCH(C173,Ship!M$31:M$4500,0),2),0)</f>
        <v>0</v>
      </c>
    </row>
    <row r="174" spans="1:7" x14ac:dyDescent="0.25">
      <c r="A174" s="32" t="s">
        <v>953</v>
      </c>
      <c r="B174" s="32" t="s">
        <v>954</v>
      </c>
      <c r="C174" s="32" t="s">
        <v>608</v>
      </c>
      <c r="D174" s="32" t="s">
        <v>1444</v>
      </c>
      <c r="E174" s="32" t="s">
        <v>629</v>
      </c>
      <c r="F174" s="32" t="s">
        <v>907</v>
      </c>
      <c r="G174" s="32">
        <f>IFERROR(INDEX(Ship!M$31:N$4500,MATCH(C174,Ship!M$31:M$4500,0),2),0)</f>
        <v>0</v>
      </c>
    </row>
    <row r="175" spans="1:7" x14ac:dyDescent="0.25">
      <c r="A175" s="32" t="s">
        <v>953</v>
      </c>
      <c r="B175" s="32" t="s">
        <v>954</v>
      </c>
      <c r="C175" s="32" t="s">
        <v>876</v>
      </c>
      <c r="D175" s="32" t="s">
        <v>1445</v>
      </c>
      <c r="E175" s="32" t="s">
        <v>629</v>
      </c>
      <c r="F175" s="32" t="s">
        <v>907</v>
      </c>
      <c r="G175" s="32">
        <f>IFERROR(INDEX(Ship!M$31:N$4500,MATCH(C175,Ship!M$31:M$4500,0),2),0)</f>
        <v>0</v>
      </c>
    </row>
    <row r="176" spans="1:7" x14ac:dyDescent="0.25">
      <c r="A176" s="32" t="s">
        <v>953</v>
      </c>
      <c r="B176" s="32" t="s">
        <v>954</v>
      </c>
      <c r="C176" s="32" t="s">
        <v>879</v>
      </c>
      <c r="D176" s="32" t="s">
        <v>1447</v>
      </c>
      <c r="E176" s="32" t="s">
        <v>629</v>
      </c>
      <c r="F176" s="32" t="s">
        <v>907</v>
      </c>
      <c r="G176" s="32">
        <f>IFERROR(INDEX(Ship!M$31:N$4500,MATCH(C176,Ship!M$31:M$4500,0),2),0)</f>
        <v>0</v>
      </c>
    </row>
    <row r="177" spans="1:7" x14ac:dyDescent="0.25">
      <c r="A177" s="32" t="s">
        <v>953</v>
      </c>
      <c r="B177" s="32" t="s">
        <v>954</v>
      </c>
      <c r="C177" s="32" t="s">
        <v>880</v>
      </c>
      <c r="D177" s="32" t="s">
        <v>1448</v>
      </c>
      <c r="E177" s="32" t="s">
        <v>629</v>
      </c>
      <c r="F177" s="32" t="s">
        <v>907</v>
      </c>
      <c r="G177" s="32">
        <f>IFERROR(INDEX(Ship!M$31:N$4500,MATCH(C177,Ship!M$31:M$4500,0),2),0)</f>
        <v>0</v>
      </c>
    </row>
    <row r="178" spans="1:7" x14ac:dyDescent="0.25">
      <c r="A178" s="32" t="s">
        <v>953</v>
      </c>
      <c r="B178" s="32" t="s">
        <v>954</v>
      </c>
      <c r="C178" s="32" t="s">
        <v>883</v>
      </c>
      <c r="D178" s="32" t="s">
        <v>1450</v>
      </c>
      <c r="E178" s="32" t="s">
        <v>629</v>
      </c>
      <c r="F178" s="32" t="s">
        <v>907</v>
      </c>
      <c r="G178" s="32">
        <f>IFERROR(INDEX(Ship!M$31:N$4500,MATCH(C178,Ship!M$31:M$4500,0),2),0)</f>
        <v>0</v>
      </c>
    </row>
    <row r="179" spans="1:7" x14ac:dyDescent="0.25">
      <c r="A179" s="32" t="s">
        <v>953</v>
      </c>
      <c r="B179" s="32" t="s">
        <v>954</v>
      </c>
      <c r="C179" s="32" t="s">
        <v>609</v>
      </c>
      <c r="D179" s="32" t="s">
        <v>1451</v>
      </c>
      <c r="E179" s="32" t="s">
        <v>629</v>
      </c>
      <c r="F179" s="32" t="s">
        <v>907</v>
      </c>
      <c r="G179" s="32">
        <f>IFERROR(INDEX(Ship!M$31:N$4500,MATCH(C179,Ship!M$31:M$4500,0),2),0)</f>
        <v>0</v>
      </c>
    </row>
    <row r="180" spans="1:7" x14ac:dyDescent="0.25">
      <c r="A180" s="32" t="s">
        <v>953</v>
      </c>
      <c r="B180" s="32" t="s">
        <v>954</v>
      </c>
      <c r="C180" s="32" t="s">
        <v>882</v>
      </c>
      <c r="D180" s="32" t="s">
        <v>1452</v>
      </c>
      <c r="E180" s="32" t="s">
        <v>629</v>
      </c>
      <c r="F180" s="32" t="s">
        <v>907</v>
      </c>
      <c r="G180" s="32">
        <f>IFERROR(INDEX(Ship!M$31:N$4500,MATCH(C180,Ship!M$31:M$4500,0),2),0)</f>
        <v>0</v>
      </c>
    </row>
    <row r="181" spans="1:7" x14ac:dyDescent="0.25">
      <c r="A181" s="32" t="s">
        <v>953</v>
      </c>
      <c r="B181" s="32" t="s">
        <v>954</v>
      </c>
      <c r="C181" s="32" t="s">
        <v>884</v>
      </c>
      <c r="D181" s="32" t="s">
        <v>1453</v>
      </c>
      <c r="E181" s="32" t="s">
        <v>629</v>
      </c>
      <c r="F181" s="32" t="s">
        <v>907</v>
      </c>
      <c r="G181" s="32">
        <f>IFERROR(INDEX(Ship!M$31:N$4500,MATCH(C181,Ship!M$31:M$4500,0),2),0)</f>
        <v>0</v>
      </c>
    </row>
    <row r="182" spans="1:7" x14ac:dyDescent="0.25">
      <c r="A182" s="32" t="s">
        <v>953</v>
      </c>
      <c r="B182" s="32" t="s">
        <v>954</v>
      </c>
      <c r="C182" s="32" t="s">
        <v>887</v>
      </c>
      <c r="D182" s="32" t="s">
        <v>1455</v>
      </c>
      <c r="E182" s="32" t="s">
        <v>629</v>
      </c>
      <c r="F182" s="32" t="s">
        <v>907</v>
      </c>
      <c r="G182" s="32">
        <f>IFERROR(INDEX(Ship!M$31:N$4500,MATCH(C182,Ship!M$31:M$4500,0),2),0)</f>
        <v>0</v>
      </c>
    </row>
    <row r="183" spans="1:7" x14ac:dyDescent="0.25">
      <c r="A183" s="32" t="s">
        <v>953</v>
      </c>
      <c r="B183" s="32" t="s">
        <v>954</v>
      </c>
      <c r="C183" s="32" t="s">
        <v>611</v>
      </c>
      <c r="D183" s="32" t="s">
        <v>1456</v>
      </c>
      <c r="E183" s="32" t="s">
        <v>629</v>
      </c>
      <c r="F183" s="32" t="s">
        <v>907</v>
      </c>
      <c r="G183" s="32">
        <f>IFERROR(INDEX(Ship!M$31:N$4500,MATCH(C183,Ship!M$31:M$4500,0),2),0)</f>
        <v>0</v>
      </c>
    </row>
    <row r="184" spans="1:7" x14ac:dyDescent="0.25">
      <c r="A184" s="32" t="s">
        <v>953</v>
      </c>
      <c r="B184" s="32" t="s">
        <v>954</v>
      </c>
      <c r="C184" s="32" t="s">
        <v>886</v>
      </c>
      <c r="D184" s="32" t="s">
        <v>1457</v>
      </c>
      <c r="E184" s="32" t="s">
        <v>629</v>
      </c>
      <c r="F184" s="32" t="s">
        <v>907</v>
      </c>
      <c r="G184" s="32">
        <f>IFERROR(INDEX(Ship!M$31:N$4500,MATCH(C184,Ship!M$31:M$4500,0),2),0)</f>
        <v>0</v>
      </c>
    </row>
    <row r="185" spans="1:7" x14ac:dyDescent="0.25">
      <c r="A185" s="32" t="s">
        <v>953</v>
      </c>
      <c r="B185" s="32" t="s">
        <v>954</v>
      </c>
      <c r="C185" s="32" t="s">
        <v>888</v>
      </c>
      <c r="D185" s="32" t="s">
        <v>1458</v>
      </c>
      <c r="E185" s="32" t="s">
        <v>629</v>
      </c>
      <c r="F185" s="32" t="s">
        <v>907</v>
      </c>
      <c r="G185" s="32">
        <f>IFERROR(INDEX(Ship!M$31:N$4500,MATCH(C185,Ship!M$31:M$4500,0),2),0)</f>
        <v>0</v>
      </c>
    </row>
    <row r="186" spans="1:7" x14ac:dyDescent="0.25">
      <c r="A186" s="32" t="s">
        <v>953</v>
      </c>
      <c r="B186" s="32" t="s">
        <v>954</v>
      </c>
      <c r="C186" s="32" t="s">
        <v>891</v>
      </c>
      <c r="D186" s="32" t="s">
        <v>1460</v>
      </c>
      <c r="E186" s="32" t="s">
        <v>629</v>
      </c>
      <c r="F186" s="32" t="s">
        <v>907</v>
      </c>
      <c r="G186" s="32">
        <f>IFERROR(INDEX(Ship!M$31:N$4500,MATCH(C186,Ship!M$31:M$4500,0),2),0)</f>
        <v>0</v>
      </c>
    </row>
    <row r="187" spans="1:7" x14ac:dyDescent="0.25">
      <c r="A187" s="32" t="s">
        <v>953</v>
      </c>
      <c r="B187" s="32" t="s">
        <v>954</v>
      </c>
      <c r="C187" s="32" t="s">
        <v>612</v>
      </c>
      <c r="D187" s="32" t="s">
        <v>1461</v>
      </c>
      <c r="E187" s="32" t="s">
        <v>629</v>
      </c>
      <c r="F187" s="32" t="s">
        <v>907</v>
      </c>
      <c r="G187" s="32">
        <f>IFERROR(INDEX(Ship!M$31:N$4500,MATCH(C187,Ship!M$31:M$4500,0),2),0)</f>
        <v>0</v>
      </c>
    </row>
    <row r="188" spans="1:7" x14ac:dyDescent="0.25">
      <c r="A188" s="32" t="s">
        <v>953</v>
      </c>
      <c r="B188" s="32" t="s">
        <v>954</v>
      </c>
      <c r="C188" s="32" t="s">
        <v>890</v>
      </c>
      <c r="D188" s="32" t="s">
        <v>1462</v>
      </c>
      <c r="E188" s="32" t="s">
        <v>629</v>
      </c>
      <c r="F188" s="32" t="s">
        <v>907</v>
      </c>
      <c r="G188" s="32">
        <f>IFERROR(INDEX(Ship!M$31:N$4500,MATCH(C188,Ship!M$31:M$4500,0),2),0)</f>
        <v>0</v>
      </c>
    </row>
    <row r="189" spans="1:7" x14ac:dyDescent="0.25">
      <c r="A189" s="32" t="s">
        <v>953</v>
      </c>
      <c r="B189" s="32" t="s">
        <v>954</v>
      </c>
      <c r="C189" s="32" t="s">
        <v>892</v>
      </c>
      <c r="D189" s="32" t="s">
        <v>1463</v>
      </c>
      <c r="E189" s="32" t="s">
        <v>629</v>
      </c>
      <c r="F189" s="32" t="s">
        <v>907</v>
      </c>
      <c r="G189" s="32">
        <f>IFERROR(INDEX(Ship!M$31:N$4500,MATCH(C189,Ship!M$31:M$4500,0),2),0)</f>
        <v>0</v>
      </c>
    </row>
    <row r="190" spans="1:7" x14ac:dyDescent="0.25">
      <c r="A190" s="32" t="s">
        <v>953</v>
      </c>
      <c r="B190" s="32" t="s">
        <v>954</v>
      </c>
      <c r="C190" s="32" t="s">
        <v>895</v>
      </c>
      <c r="D190" s="32" t="s">
        <v>1465</v>
      </c>
      <c r="E190" s="32" t="s">
        <v>629</v>
      </c>
      <c r="F190" s="32" t="s">
        <v>907</v>
      </c>
      <c r="G190" s="32">
        <f>IFERROR(INDEX(Ship!M$31:N$4500,MATCH(C190,Ship!M$31:M$4500,0),2),0)</f>
        <v>0</v>
      </c>
    </row>
    <row r="191" spans="1:7" x14ac:dyDescent="0.25">
      <c r="A191" s="32" t="s">
        <v>953</v>
      </c>
      <c r="B191" s="32" t="s">
        <v>954</v>
      </c>
      <c r="C191" s="32" t="s">
        <v>614</v>
      </c>
      <c r="D191" s="32" t="s">
        <v>1466</v>
      </c>
      <c r="E191" s="32" t="s">
        <v>629</v>
      </c>
      <c r="F191" s="32" t="s">
        <v>907</v>
      </c>
      <c r="G191" s="32">
        <f>IFERROR(INDEX(Ship!M$31:N$4500,MATCH(C191,Ship!M$31:M$4500,0),2),0)</f>
        <v>0</v>
      </c>
    </row>
    <row r="192" spans="1:7" x14ac:dyDescent="0.25">
      <c r="A192" s="32" t="s">
        <v>953</v>
      </c>
      <c r="B192" s="32" t="s">
        <v>954</v>
      </c>
      <c r="C192" s="32" t="s">
        <v>894</v>
      </c>
      <c r="D192" s="32" t="s">
        <v>1467</v>
      </c>
      <c r="E192" s="32" t="s">
        <v>629</v>
      </c>
      <c r="F192" s="32" t="s">
        <v>907</v>
      </c>
      <c r="G192" s="32">
        <f>IFERROR(INDEX(Ship!M$31:N$4500,MATCH(C192,Ship!M$31:M$4500,0),2),0)</f>
        <v>0</v>
      </c>
    </row>
    <row r="193" spans="1:7" x14ac:dyDescent="0.25">
      <c r="A193" s="32" t="s">
        <v>953</v>
      </c>
      <c r="B193" s="32" t="s">
        <v>954</v>
      </c>
      <c r="C193" s="32" t="s">
        <v>896</v>
      </c>
      <c r="D193" s="32" t="s">
        <v>1468</v>
      </c>
      <c r="E193" s="32" t="s">
        <v>629</v>
      </c>
      <c r="F193" s="32" t="s">
        <v>907</v>
      </c>
      <c r="G193" s="32">
        <f>IFERROR(INDEX(Ship!M$31:N$4500,MATCH(C193,Ship!M$31:M$4500,0),2),0)</f>
        <v>0</v>
      </c>
    </row>
    <row r="194" spans="1:7" x14ac:dyDescent="0.25">
      <c r="A194" s="32" t="s">
        <v>953</v>
      </c>
      <c r="B194" s="32" t="s">
        <v>954</v>
      </c>
      <c r="C194" s="32" t="s">
        <v>899</v>
      </c>
      <c r="D194" s="32" t="s">
        <v>1470</v>
      </c>
      <c r="E194" s="32" t="s">
        <v>629</v>
      </c>
      <c r="F194" s="32" t="s">
        <v>907</v>
      </c>
      <c r="G194" s="32">
        <f>IFERROR(INDEX(Ship!M$31:N$4500,MATCH(C194,Ship!M$31:M$4500,0),2),0)</f>
        <v>0</v>
      </c>
    </row>
    <row r="195" spans="1:7" x14ac:dyDescent="0.25">
      <c r="A195" s="32" t="s">
        <v>953</v>
      </c>
      <c r="B195" s="32" t="s">
        <v>954</v>
      </c>
      <c r="C195" s="32" t="s">
        <v>948</v>
      </c>
      <c r="D195" s="32" t="s">
        <v>1471</v>
      </c>
      <c r="E195" s="32" t="s">
        <v>629</v>
      </c>
      <c r="F195" s="32" t="s">
        <v>907</v>
      </c>
      <c r="G195" s="32">
        <f>IFERROR(INDEX(Ship!M$31:N$4500,MATCH(C195,Ship!M$31:M$4500,0),2),0)</f>
        <v>0</v>
      </c>
    </row>
    <row r="196" spans="1:7" x14ac:dyDescent="0.25">
      <c r="A196" s="32" t="s">
        <v>953</v>
      </c>
      <c r="B196" s="32" t="s">
        <v>954</v>
      </c>
      <c r="C196" s="32" t="s">
        <v>898</v>
      </c>
      <c r="D196" s="32" t="s">
        <v>1472</v>
      </c>
      <c r="E196" s="32" t="s">
        <v>629</v>
      </c>
      <c r="F196" s="32" t="s">
        <v>907</v>
      </c>
      <c r="G196" s="32">
        <f>IFERROR(INDEX(Ship!M$31:N$4500,MATCH(C196,Ship!M$31:M$4500,0),2),0)</f>
        <v>0</v>
      </c>
    </row>
    <row r="197" spans="1:7" x14ac:dyDescent="0.25">
      <c r="A197" s="32" t="s">
        <v>953</v>
      </c>
      <c r="B197" s="32" t="s">
        <v>954</v>
      </c>
      <c r="C197" s="32" t="s">
        <v>900</v>
      </c>
      <c r="D197" s="32" t="s">
        <v>1473</v>
      </c>
      <c r="E197" s="32" t="s">
        <v>629</v>
      </c>
      <c r="F197" s="32" t="s">
        <v>907</v>
      </c>
      <c r="G197" s="32">
        <f>IFERROR(INDEX(Ship!M$31:N$4500,MATCH(C197,Ship!M$31:M$4500,0),2),0)</f>
        <v>0</v>
      </c>
    </row>
    <row r="198" spans="1:7" x14ac:dyDescent="0.25">
      <c r="A198" s="32" t="s">
        <v>953</v>
      </c>
      <c r="B198" s="32" t="s">
        <v>954</v>
      </c>
      <c r="C198" s="32" t="s">
        <v>901</v>
      </c>
      <c r="D198" s="32" t="s">
        <v>1475</v>
      </c>
      <c r="E198" s="32" t="s">
        <v>629</v>
      </c>
      <c r="F198" s="32" t="s">
        <v>907</v>
      </c>
      <c r="G198" s="32">
        <f>IFERROR(INDEX(Ship!M$31:N$4500,MATCH(C198,Ship!M$31:M$4500,0),2),0)</f>
        <v>0</v>
      </c>
    </row>
    <row r="199" spans="1:7" x14ac:dyDescent="0.25">
      <c r="A199" s="32" t="s">
        <v>953</v>
      </c>
      <c r="B199" s="32" t="s">
        <v>954</v>
      </c>
      <c r="C199" s="32" t="s">
        <v>1684</v>
      </c>
      <c r="D199" s="32" t="s">
        <v>1476</v>
      </c>
      <c r="E199" s="32" t="s">
        <v>629</v>
      </c>
      <c r="F199" s="32" t="s">
        <v>907</v>
      </c>
      <c r="G199" s="32">
        <f>IFERROR(INDEX(Ship!M$31:N$4500,MATCH(C199,Ship!M$31:M$4500,0),2),0)</f>
        <v>0</v>
      </c>
    </row>
    <row r="200" spans="1:7" x14ac:dyDescent="0.25">
      <c r="A200" s="32" t="s">
        <v>953</v>
      </c>
      <c r="B200" s="32" t="s">
        <v>954</v>
      </c>
      <c r="C200" s="32" t="s">
        <v>1685</v>
      </c>
      <c r="D200" s="32" t="s">
        <v>1477</v>
      </c>
      <c r="E200" s="32" t="s">
        <v>629</v>
      </c>
      <c r="F200" s="32" t="s">
        <v>907</v>
      </c>
      <c r="G200" s="32">
        <f>IFERROR(INDEX(Ship!M$31:N$4500,MATCH(C200,Ship!M$31:M$4500,0),2),0)</f>
        <v>0</v>
      </c>
    </row>
    <row r="201" spans="1:7" x14ac:dyDescent="0.25">
      <c r="A201" s="32" t="s">
        <v>953</v>
      </c>
      <c r="B201" s="32" t="s">
        <v>954</v>
      </c>
      <c r="C201" s="32" t="s">
        <v>902</v>
      </c>
      <c r="D201" s="32" t="s">
        <v>1478</v>
      </c>
      <c r="E201" s="32" t="s">
        <v>629</v>
      </c>
      <c r="F201" s="32" t="s">
        <v>907</v>
      </c>
      <c r="G201" s="32">
        <f>IFERROR(INDEX(Ship!M$31:N$4500,MATCH(C201,Ship!M$31:M$4500,0),2),0)</f>
        <v>0</v>
      </c>
    </row>
    <row r="202" spans="1:7" x14ac:dyDescent="0.25">
      <c r="A202" s="32" t="s">
        <v>953</v>
      </c>
      <c r="B202" s="32" t="s">
        <v>954</v>
      </c>
      <c r="C202" s="32" t="s">
        <v>903</v>
      </c>
      <c r="D202" s="32" t="s">
        <v>1480</v>
      </c>
      <c r="E202" s="32" t="s">
        <v>629</v>
      </c>
      <c r="F202" s="32" t="s">
        <v>907</v>
      </c>
      <c r="G202" s="32">
        <f>IFERROR(INDEX(Ship!M$31:N$4500,MATCH(C202,Ship!M$31:M$4500,0),2),0)</f>
        <v>0</v>
      </c>
    </row>
    <row r="203" spans="1:7" x14ac:dyDescent="0.25">
      <c r="A203" s="32" t="s">
        <v>953</v>
      </c>
      <c r="B203" s="32" t="s">
        <v>954</v>
      </c>
      <c r="C203" s="32" t="s">
        <v>1686</v>
      </c>
      <c r="D203" s="32" t="s">
        <v>1481</v>
      </c>
      <c r="E203" s="32" t="s">
        <v>629</v>
      </c>
      <c r="F203" s="32" t="s">
        <v>907</v>
      </c>
      <c r="G203" s="32">
        <f>IFERROR(INDEX(Ship!M$31:N$4500,MATCH(C203,Ship!M$31:M$4500,0),2),0)</f>
        <v>0</v>
      </c>
    </row>
    <row r="204" spans="1:7" x14ac:dyDescent="0.25">
      <c r="A204" s="32" t="s">
        <v>953</v>
      </c>
      <c r="B204" s="32" t="s">
        <v>954</v>
      </c>
      <c r="C204" s="32" t="s">
        <v>1687</v>
      </c>
      <c r="D204" s="32" t="s">
        <v>1482</v>
      </c>
      <c r="E204" s="32" t="s">
        <v>629</v>
      </c>
      <c r="F204" s="32" t="s">
        <v>907</v>
      </c>
      <c r="G204" s="32">
        <f>IFERROR(INDEX(Ship!M$31:N$4500,MATCH(C204,Ship!M$31:M$4500,0),2),0)</f>
        <v>0</v>
      </c>
    </row>
    <row r="205" spans="1:7" x14ac:dyDescent="0.25">
      <c r="A205" s="32" t="s">
        <v>953</v>
      </c>
      <c r="B205" s="32" t="s">
        <v>954</v>
      </c>
      <c r="C205" s="32" t="s">
        <v>904</v>
      </c>
      <c r="D205" s="32" t="s">
        <v>1483</v>
      </c>
      <c r="E205" s="32" t="s">
        <v>629</v>
      </c>
      <c r="F205" s="32" t="s">
        <v>907</v>
      </c>
      <c r="G205" s="32">
        <f>IFERROR(INDEX(Ship!M$31:N$4500,MATCH(C205,Ship!M$31:M$4500,0),2),0)</f>
        <v>0</v>
      </c>
    </row>
    <row r="206" spans="1:7" x14ac:dyDescent="0.25">
      <c r="A206" s="32" t="s">
        <v>953</v>
      </c>
      <c r="B206" s="32" t="s">
        <v>954</v>
      </c>
      <c r="C206" s="32" t="s">
        <v>905</v>
      </c>
      <c r="D206" s="32" t="s">
        <v>1485</v>
      </c>
      <c r="E206" s="32" t="s">
        <v>629</v>
      </c>
      <c r="F206" s="32" t="s">
        <v>907</v>
      </c>
      <c r="G206" s="32">
        <f>IFERROR(INDEX(Ship!M$31:N$4500,MATCH(C206,Ship!M$31:M$4500,0),2),0)</f>
        <v>0</v>
      </c>
    </row>
    <row r="207" spans="1:7" x14ac:dyDescent="0.25">
      <c r="A207" s="32" t="s">
        <v>953</v>
      </c>
      <c r="B207" s="32" t="s">
        <v>954</v>
      </c>
      <c r="C207" s="32" t="s">
        <v>1688</v>
      </c>
      <c r="D207" s="32" t="s">
        <v>1486</v>
      </c>
      <c r="E207" s="32" t="s">
        <v>629</v>
      </c>
      <c r="F207" s="32" t="s">
        <v>907</v>
      </c>
      <c r="G207" s="32">
        <f>IFERROR(INDEX(Ship!M$31:N$4500,MATCH(C207,Ship!M$31:M$4500,0),2),0)</f>
        <v>0</v>
      </c>
    </row>
    <row r="208" spans="1:7" x14ac:dyDescent="0.25">
      <c r="A208" s="32" t="s">
        <v>953</v>
      </c>
      <c r="B208" s="32" t="s">
        <v>954</v>
      </c>
      <c r="C208" s="32" t="s">
        <v>1689</v>
      </c>
      <c r="D208" s="32" t="s">
        <v>1487</v>
      </c>
      <c r="E208" s="32" t="s">
        <v>629</v>
      </c>
      <c r="F208" s="32" t="s">
        <v>907</v>
      </c>
      <c r="G208" s="32">
        <f>IFERROR(INDEX(Ship!M$31:N$4500,MATCH(C208,Ship!M$31:M$4500,0),2),0)</f>
        <v>0</v>
      </c>
    </row>
    <row r="209" spans="1:7" x14ac:dyDescent="0.25">
      <c r="A209" s="32" t="s">
        <v>953</v>
      </c>
      <c r="B209" s="32" t="s">
        <v>954</v>
      </c>
      <c r="C209" s="32" t="s">
        <v>906</v>
      </c>
      <c r="D209" s="32" t="s">
        <v>1488</v>
      </c>
      <c r="E209" s="32" t="s">
        <v>629</v>
      </c>
      <c r="F209" s="32" t="s">
        <v>907</v>
      </c>
      <c r="G209" s="32">
        <f>IFERROR(INDEX(Ship!M$31:N$4500,MATCH(C209,Ship!M$31:M$4500,0),2),0)</f>
        <v>0</v>
      </c>
    </row>
    <row r="210" spans="1:7" x14ac:dyDescent="0.25">
      <c r="A210" s="32" t="s">
        <v>953</v>
      </c>
      <c r="B210" s="32" t="s">
        <v>954</v>
      </c>
      <c r="C210" s="32" t="s">
        <v>1690</v>
      </c>
      <c r="D210" s="32" t="s">
        <v>1490</v>
      </c>
      <c r="E210" s="32" t="s">
        <v>629</v>
      </c>
      <c r="F210" s="32" t="s">
        <v>907</v>
      </c>
      <c r="G210" s="32">
        <f>IFERROR(INDEX(Ship!M$31:N$4500,MATCH(C210,Ship!M$31:M$4500,0),2),0)</f>
        <v>0</v>
      </c>
    </row>
    <row r="211" spans="1:7" x14ac:dyDescent="0.25">
      <c r="A211" s="32" t="s">
        <v>953</v>
      </c>
      <c r="B211" s="32" t="s">
        <v>954</v>
      </c>
      <c r="C211" s="32" t="s">
        <v>1691</v>
      </c>
      <c r="D211" s="32" t="s">
        <v>1491</v>
      </c>
      <c r="E211" s="32" t="s">
        <v>629</v>
      </c>
      <c r="F211" s="32" t="s">
        <v>907</v>
      </c>
      <c r="G211" s="32">
        <f>IFERROR(INDEX(Ship!M$31:N$4500,MATCH(C211,Ship!M$31:M$4500,0),2),0)</f>
        <v>0</v>
      </c>
    </row>
    <row r="212" spans="1:7" x14ac:dyDescent="0.25">
      <c r="A212" s="32" t="s">
        <v>953</v>
      </c>
      <c r="B212" s="32" t="s">
        <v>954</v>
      </c>
      <c r="C212" s="32" t="s">
        <v>1692</v>
      </c>
      <c r="D212" s="32" t="s">
        <v>1493</v>
      </c>
      <c r="E212" s="32" t="s">
        <v>629</v>
      </c>
      <c r="F212" s="32" t="s">
        <v>907</v>
      </c>
      <c r="G212" s="32">
        <f>IFERROR(INDEX(Ship!M$31:N$4500,MATCH(C212,Ship!M$31:M$4500,0),2),0)</f>
        <v>0</v>
      </c>
    </row>
    <row r="213" spans="1:7" x14ac:dyDescent="0.25">
      <c r="A213" s="32" t="s">
        <v>953</v>
      </c>
      <c r="B213" s="32" t="s">
        <v>954</v>
      </c>
      <c r="C213" s="32" t="s">
        <v>1693</v>
      </c>
      <c r="D213" s="32" t="s">
        <v>1494</v>
      </c>
      <c r="E213" s="32" t="s">
        <v>629</v>
      </c>
      <c r="F213" s="32" t="s">
        <v>907</v>
      </c>
      <c r="G213" s="32">
        <f>IFERROR(INDEX(Ship!M$31:N$4500,MATCH(C213,Ship!M$31:M$4500,0),2),0)</f>
        <v>0</v>
      </c>
    </row>
    <row r="214" spans="1:7" x14ac:dyDescent="0.25">
      <c r="A214" s="32" t="s">
        <v>953</v>
      </c>
      <c r="B214" s="32" t="s">
        <v>954</v>
      </c>
      <c r="C214" s="32" t="s">
        <v>1694</v>
      </c>
      <c r="D214" s="32" t="s">
        <v>1496</v>
      </c>
      <c r="E214" s="32" t="s">
        <v>629</v>
      </c>
      <c r="F214" s="32" t="s">
        <v>907</v>
      </c>
      <c r="G214" s="32">
        <f>IFERROR(INDEX(Ship!M$31:N$4500,MATCH(C214,Ship!M$31:M$4500,0),2),0)</f>
        <v>0</v>
      </c>
    </row>
    <row r="215" spans="1:7" x14ac:dyDescent="0.25">
      <c r="A215" s="32" t="s">
        <v>953</v>
      </c>
      <c r="B215" s="32" t="s">
        <v>954</v>
      </c>
      <c r="C215" s="32" t="s">
        <v>1695</v>
      </c>
      <c r="D215" s="32" t="s">
        <v>1497</v>
      </c>
      <c r="E215" s="32" t="s">
        <v>629</v>
      </c>
      <c r="F215" s="32" t="s">
        <v>907</v>
      </c>
      <c r="G215" s="32">
        <f>IFERROR(INDEX(Ship!M$31:N$4500,MATCH(C215,Ship!M$31:M$4500,0),2),0)</f>
        <v>0</v>
      </c>
    </row>
    <row r="216" spans="1:7" x14ac:dyDescent="0.25">
      <c r="A216" s="32" t="s">
        <v>953</v>
      </c>
      <c r="B216" s="32" t="s">
        <v>954</v>
      </c>
      <c r="C216" s="32" t="s">
        <v>1696</v>
      </c>
      <c r="D216" s="32" t="s">
        <v>1499</v>
      </c>
      <c r="E216" s="32" t="s">
        <v>629</v>
      </c>
      <c r="F216" s="32" t="s">
        <v>907</v>
      </c>
      <c r="G216" s="32">
        <f>IFERROR(INDEX(Ship!M$31:N$4500,MATCH(C216,Ship!M$31:M$4500,0),2),0)</f>
        <v>0</v>
      </c>
    </row>
    <row r="217" spans="1:7" x14ac:dyDescent="0.25">
      <c r="A217" s="32" t="s">
        <v>953</v>
      </c>
      <c r="B217" s="32" t="s">
        <v>954</v>
      </c>
      <c r="C217" s="32" t="s">
        <v>1697</v>
      </c>
      <c r="D217" s="32" t="s">
        <v>1500</v>
      </c>
      <c r="E217" s="32" t="s">
        <v>629</v>
      </c>
      <c r="F217" s="32" t="s">
        <v>907</v>
      </c>
      <c r="G217" s="32">
        <f>IFERROR(INDEX(Ship!M$31:N$4500,MATCH(C217,Ship!M$31:M$4500,0),2),0)</f>
        <v>0</v>
      </c>
    </row>
    <row r="218" spans="1:7" x14ac:dyDescent="0.25">
      <c r="A218" s="32" t="s">
        <v>953</v>
      </c>
      <c r="B218" s="32" t="s">
        <v>954</v>
      </c>
      <c r="C218" s="32" t="s">
        <v>1698</v>
      </c>
      <c r="D218" s="32" t="s">
        <v>1502</v>
      </c>
      <c r="E218" s="32" t="s">
        <v>629</v>
      </c>
      <c r="F218" s="32" t="s">
        <v>907</v>
      </c>
      <c r="G218" s="32">
        <f>IFERROR(INDEX(Ship!M$31:N$4500,MATCH(C218,Ship!M$31:M$4500,0),2),0)</f>
        <v>0</v>
      </c>
    </row>
    <row r="219" spans="1:7" x14ac:dyDescent="0.25">
      <c r="A219" s="32" t="s">
        <v>953</v>
      </c>
      <c r="B219" s="32" t="s">
        <v>954</v>
      </c>
      <c r="C219" s="32" t="s">
        <v>1699</v>
      </c>
      <c r="D219" s="32" t="s">
        <v>1503</v>
      </c>
      <c r="E219" s="32" t="s">
        <v>629</v>
      </c>
      <c r="F219" s="32" t="s">
        <v>907</v>
      </c>
      <c r="G219" s="32">
        <f>IFERROR(INDEX(Ship!M$31:N$4500,MATCH(C219,Ship!M$31:M$4500,0),2),0)</f>
        <v>0</v>
      </c>
    </row>
    <row r="220" spans="1:7" x14ac:dyDescent="0.25">
      <c r="A220" s="32" t="s">
        <v>953</v>
      </c>
      <c r="B220" s="32" t="s">
        <v>954</v>
      </c>
      <c r="C220" s="32" t="s">
        <v>1700</v>
      </c>
      <c r="D220" s="32" t="s">
        <v>1505</v>
      </c>
      <c r="E220" s="32" t="s">
        <v>629</v>
      </c>
      <c r="F220" s="32" t="s">
        <v>907</v>
      </c>
      <c r="G220" s="32">
        <f>IFERROR(INDEX(Ship!M$31:N$4500,MATCH(C220,Ship!M$31:M$4500,0),2),0)</f>
        <v>0</v>
      </c>
    </row>
    <row r="221" spans="1:7" x14ac:dyDescent="0.25">
      <c r="A221" s="32" t="s">
        <v>953</v>
      </c>
      <c r="B221" s="32" t="s">
        <v>954</v>
      </c>
      <c r="C221" s="32" t="s">
        <v>1701</v>
      </c>
      <c r="D221" s="32" t="s">
        <v>1506</v>
      </c>
      <c r="E221" s="32" t="s">
        <v>629</v>
      </c>
      <c r="F221" s="32" t="s">
        <v>907</v>
      </c>
      <c r="G221" s="32">
        <f>IFERROR(INDEX(Ship!M$31:N$4500,MATCH(C221,Ship!M$31:M$4500,0),2),0)</f>
        <v>0</v>
      </c>
    </row>
    <row r="222" spans="1:7" x14ac:dyDescent="0.25">
      <c r="A222" s="32" t="s">
        <v>953</v>
      </c>
      <c r="B222" s="32" t="s">
        <v>954</v>
      </c>
      <c r="C222" s="32" t="s">
        <v>1702</v>
      </c>
      <c r="D222" s="32" t="s">
        <v>1508</v>
      </c>
      <c r="E222" s="32" t="s">
        <v>629</v>
      </c>
      <c r="F222" s="32" t="s">
        <v>907</v>
      </c>
      <c r="G222" s="32">
        <f>IFERROR(INDEX(Ship!M$31:N$4500,MATCH(C222,Ship!M$31:M$4500,0),2),0)</f>
        <v>0</v>
      </c>
    </row>
    <row r="223" spans="1:7" x14ac:dyDescent="0.25">
      <c r="A223" s="32" t="s">
        <v>953</v>
      </c>
      <c r="B223" s="32" t="s">
        <v>954</v>
      </c>
      <c r="C223" s="32" t="s">
        <v>1703</v>
      </c>
      <c r="D223" s="32" t="s">
        <v>1509</v>
      </c>
      <c r="E223" s="32" t="s">
        <v>629</v>
      </c>
      <c r="F223" s="32" t="s">
        <v>907</v>
      </c>
      <c r="G223" s="32">
        <f>IFERROR(INDEX(Ship!M$31:N$4500,MATCH(C223,Ship!M$31:M$4500,0),2),0)</f>
        <v>0</v>
      </c>
    </row>
    <row r="224" spans="1:7" x14ac:dyDescent="0.25">
      <c r="A224" s="32" t="s">
        <v>953</v>
      </c>
      <c r="B224" s="32" t="s">
        <v>954</v>
      </c>
      <c r="C224" s="32" t="s">
        <v>1704</v>
      </c>
      <c r="D224" s="32" t="s">
        <v>1511</v>
      </c>
      <c r="E224" s="32" t="s">
        <v>629</v>
      </c>
      <c r="F224" s="32" t="s">
        <v>907</v>
      </c>
      <c r="G224" s="32">
        <f>IFERROR(INDEX(Ship!M$31:N$4500,MATCH(C224,Ship!M$31:M$4500,0),2),0)</f>
        <v>0</v>
      </c>
    </row>
    <row r="225" spans="1:7" x14ac:dyDescent="0.25">
      <c r="A225" s="32" t="s">
        <v>953</v>
      </c>
      <c r="B225" s="32" t="s">
        <v>954</v>
      </c>
      <c r="C225" s="32" t="s">
        <v>1705</v>
      </c>
      <c r="D225" s="32" t="s">
        <v>1512</v>
      </c>
      <c r="E225" s="32" t="s">
        <v>629</v>
      </c>
      <c r="F225" s="32" t="s">
        <v>907</v>
      </c>
      <c r="G225" s="32">
        <f>IFERROR(INDEX(Ship!M$31:N$4500,MATCH(C225,Ship!M$31:M$4500,0),2),0)</f>
        <v>0</v>
      </c>
    </row>
    <row r="226" spans="1:7" x14ac:dyDescent="0.25">
      <c r="A226" s="32" t="s">
        <v>953</v>
      </c>
      <c r="B226" s="32" t="s">
        <v>954</v>
      </c>
      <c r="C226" s="32" t="s">
        <v>1706</v>
      </c>
      <c r="D226" s="32" t="s">
        <v>1514</v>
      </c>
      <c r="E226" s="32" t="s">
        <v>629</v>
      </c>
      <c r="F226" s="32" t="s">
        <v>907</v>
      </c>
      <c r="G226" s="32">
        <f>IFERROR(INDEX(Ship!M$31:N$4500,MATCH(C226,Ship!M$31:M$4500,0),2),0)</f>
        <v>0</v>
      </c>
    </row>
    <row r="227" spans="1:7" x14ac:dyDescent="0.25">
      <c r="A227" s="32" t="s">
        <v>953</v>
      </c>
      <c r="B227" s="32" t="s">
        <v>954</v>
      </c>
      <c r="C227" s="32" t="s">
        <v>1707</v>
      </c>
      <c r="D227" s="32" t="s">
        <v>1515</v>
      </c>
      <c r="E227" s="32" t="s">
        <v>629</v>
      </c>
      <c r="F227" s="32" t="s">
        <v>907</v>
      </c>
      <c r="G227" s="32">
        <f>IFERROR(INDEX(Ship!M$31:N$4500,MATCH(C227,Ship!M$31:M$4500,0),2),0)</f>
        <v>0</v>
      </c>
    </row>
    <row r="228" spans="1:7" x14ac:dyDescent="0.25">
      <c r="A228" s="32" t="s">
        <v>953</v>
      </c>
      <c r="B228" s="32" t="s">
        <v>954</v>
      </c>
      <c r="C228" s="32" t="s">
        <v>1708</v>
      </c>
      <c r="D228" s="32" t="s">
        <v>1517</v>
      </c>
      <c r="E228" s="32" t="s">
        <v>629</v>
      </c>
      <c r="F228" s="32" t="s">
        <v>907</v>
      </c>
      <c r="G228" s="32">
        <f>IFERROR(INDEX(Ship!M$31:N$4500,MATCH(C228,Ship!M$31:M$4500,0),2),0)</f>
        <v>0</v>
      </c>
    </row>
    <row r="229" spans="1:7" x14ac:dyDescent="0.25">
      <c r="A229" s="32" t="s">
        <v>953</v>
      </c>
      <c r="B229" s="32" t="s">
        <v>954</v>
      </c>
      <c r="C229" s="32" t="s">
        <v>1709</v>
      </c>
      <c r="D229" s="32" t="s">
        <v>1518</v>
      </c>
      <c r="E229" s="32" t="s">
        <v>629</v>
      </c>
      <c r="F229" s="32" t="s">
        <v>907</v>
      </c>
      <c r="G229" s="32">
        <f>IFERROR(INDEX(Ship!M$31:N$4500,MATCH(C229,Ship!M$31:M$4500,0),2),0)</f>
        <v>0</v>
      </c>
    </row>
    <row r="230" spans="1:7" x14ac:dyDescent="0.25">
      <c r="A230" s="32" t="s">
        <v>953</v>
      </c>
      <c r="B230" s="32" t="s">
        <v>954</v>
      </c>
      <c r="C230" s="32" t="s">
        <v>1710</v>
      </c>
      <c r="D230" s="32" t="s">
        <v>1520</v>
      </c>
      <c r="E230" s="32" t="s">
        <v>629</v>
      </c>
      <c r="F230" s="32" t="s">
        <v>907</v>
      </c>
      <c r="G230" s="32">
        <f>IFERROR(INDEX(Ship!M$31:N$4500,MATCH(C230,Ship!M$31:M$4500,0),2),0)</f>
        <v>0</v>
      </c>
    </row>
    <row r="231" spans="1:7" x14ac:dyDescent="0.25">
      <c r="A231" s="32" t="s">
        <v>953</v>
      </c>
      <c r="B231" s="32" t="s">
        <v>954</v>
      </c>
      <c r="C231" s="32" t="s">
        <v>1711</v>
      </c>
      <c r="D231" s="32" t="s">
        <v>1521</v>
      </c>
      <c r="E231" s="32" t="s">
        <v>629</v>
      </c>
      <c r="F231" s="32" t="s">
        <v>907</v>
      </c>
      <c r="G231" s="32">
        <f>IFERROR(INDEX(Ship!M$31:N$4500,MATCH(C231,Ship!M$31:M$4500,0),2),0)</f>
        <v>0</v>
      </c>
    </row>
    <row r="232" spans="1:7" x14ac:dyDescent="0.25">
      <c r="A232" s="32" t="s">
        <v>953</v>
      </c>
      <c r="B232" s="32" t="s">
        <v>954</v>
      </c>
      <c r="C232" s="32" t="s">
        <v>1712</v>
      </c>
      <c r="D232" s="32" t="s">
        <v>1523</v>
      </c>
      <c r="E232" s="32" t="s">
        <v>629</v>
      </c>
      <c r="F232" s="32" t="s">
        <v>907</v>
      </c>
      <c r="G232" s="32">
        <f>IFERROR(INDEX(Ship!M$31:N$4500,MATCH(C232,Ship!M$31:M$4500,0),2),0)</f>
        <v>0</v>
      </c>
    </row>
    <row r="233" spans="1:7" x14ac:dyDescent="0.25">
      <c r="A233" s="32" t="s">
        <v>953</v>
      </c>
      <c r="B233" s="32" t="s">
        <v>954</v>
      </c>
      <c r="C233" s="32" t="s">
        <v>1713</v>
      </c>
      <c r="D233" s="32" t="s">
        <v>1524</v>
      </c>
      <c r="E233" s="32" t="s">
        <v>629</v>
      </c>
      <c r="F233" s="32" t="s">
        <v>907</v>
      </c>
      <c r="G233" s="32">
        <f>IFERROR(INDEX(Ship!M$31:N$4500,MATCH(C233,Ship!M$31:M$4500,0),2),0)</f>
        <v>0</v>
      </c>
    </row>
    <row r="234" spans="1:7" x14ac:dyDescent="0.25">
      <c r="A234" s="32" t="s">
        <v>953</v>
      </c>
      <c r="B234" s="32" t="s">
        <v>954</v>
      </c>
      <c r="C234" s="32" t="s">
        <v>1714</v>
      </c>
      <c r="D234" s="32" t="s">
        <v>1526</v>
      </c>
      <c r="E234" s="32" t="s">
        <v>629</v>
      </c>
      <c r="F234" s="32" t="s">
        <v>907</v>
      </c>
      <c r="G234" s="32">
        <f>IFERROR(INDEX(Ship!M$31:N$4500,MATCH(C234,Ship!M$31:M$4500,0),2),0)</f>
        <v>0</v>
      </c>
    </row>
    <row r="235" spans="1:7" x14ac:dyDescent="0.25">
      <c r="A235" s="32" t="s">
        <v>953</v>
      </c>
      <c r="B235" s="32" t="s">
        <v>954</v>
      </c>
      <c r="C235" s="32" t="s">
        <v>1715</v>
      </c>
      <c r="D235" s="32" t="s">
        <v>1527</v>
      </c>
      <c r="E235" s="32" t="s">
        <v>629</v>
      </c>
      <c r="F235" s="32" t="s">
        <v>907</v>
      </c>
      <c r="G235" s="32">
        <f>IFERROR(INDEX(Ship!M$31:N$4500,MATCH(C235,Ship!M$31:M$4500,0),2),0)</f>
        <v>0</v>
      </c>
    </row>
    <row r="236" spans="1:7" x14ac:dyDescent="0.25">
      <c r="A236" s="32" t="s">
        <v>953</v>
      </c>
      <c r="B236" s="32" t="s">
        <v>954</v>
      </c>
      <c r="C236" s="32" t="s">
        <v>1716</v>
      </c>
      <c r="D236" s="32" t="s">
        <v>1529</v>
      </c>
      <c r="E236" s="32" t="s">
        <v>629</v>
      </c>
      <c r="F236" s="32" t="s">
        <v>907</v>
      </c>
      <c r="G236" s="32">
        <f>IFERROR(INDEX(Ship!M$31:N$4500,MATCH(C236,Ship!M$31:M$4500,0),2),0)</f>
        <v>0</v>
      </c>
    </row>
    <row r="237" spans="1:7" x14ac:dyDescent="0.25">
      <c r="A237" s="32" t="s">
        <v>953</v>
      </c>
      <c r="B237" s="32" t="s">
        <v>954</v>
      </c>
      <c r="C237" s="32" t="s">
        <v>1717</v>
      </c>
      <c r="D237" s="32" t="s">
        <v>1530</v>
      </c>
      <c r="E237" s="32" t="s">
        <v>629</v>
      </c>
      <c r="F237" s="32" t="s">
        <v>907</v>
      </c>
      <c r="G237" s="32">
        <f>IFERROR(INDEX(Ship!M$31:N$4500,MATCH(C237,Ship!M$31:M$4500,0),2),0)</f>
        <v>0</v>
      </c>
    </row>
    <row r="238" spans="1:7" x14ac:dyDescent="0.25">
      <c r="A238" s="32" t="s">
        <v>953</v>
      </c>
      <c r="B238" s="32" t="s">
        <v>954</v>
      </c>
      <c r="C238" s="32" t="s">
        <v>1718</v>
      </c>
      <c r="D238" s="32" t="s">
        <v>1532</v>
      </c>
      <c r="E238" s="32" t="s">
        <v>629</v>
      </c>
      <c r="F238" s="32" t="s">
        <v>907</v>
      </c>
      <c r="G238" s="32">
        <f>IFERROR(INDEX(Ship!M$31:N$4500,MATCH(C238,Ship!M$31:M$4500,0),2),0)</f>
        <v>0</v>
      </c>
    </row>
    <row r="239" spans="1:7" x14ac:dyDescent="0.25">
      <c r="A239" s="32" t="s">
        <v>953</v>
      </c>
      <c r="B239" s="32" t="s">
        <v>954</v>
      </c>
      <c r="C239" s="32" t="s">
        <v>1719</v>
      </c>
      <c r="D239" s="32" t="s">
        <v>1533</v>
      </c>
      <c r="E239" s="32" t="s">
        <v>629</v>
      </c>
      <c r="F239" s="32" t="s">
        <v>907</v>
      </c>
      <c r="G239" s="32">
        <f>IFERROR(INDEX(Ship!M$31:N$4500,MATCH(C239,Ship!M$31:M$4500,0),2),0)</f>
        <v>0</v>
      </c>
    </row>
    <row r="240" spans="1:7" x14ac:dyDescent="0.25">
      <c r="A240" s="32" t="s">
        <v>953</v>
      </c>
      <c r="B240" s="32" t="s">
        <v>954</v>
      </c>
      <c r="C240" s="32" t="s">
        <v>1720</v>
      </c>
      <c r="D240" s="32" t="s">
        <v>1535</v>
      </c>
      <c r="E240" s="32" t="s">
        <v>629</v>
      </c>
      <c r="F240" s="32" t="s">
        <v>907</v>
      </c>
      <c r="G240" s="32">
        <f>IFERROR(INDEX(Ship!M$31:N$4500,MATCH(C240,Ship!M$31:M$4500,0),2),0)</f>
        <v>0</v>
      </c>
    </row>
    <row r="241" spans="1:7" x14ac:dyDescent="0.25">
      <c r="A241" s="32" t="s">
        <v>953</v>
      </c>
      <c r="B241" s="32" t="s">
        <v>954</v>
      </c>
      <c r="C241" s="32" t="s">
        <v>1721</v>
      </c>
      <c r="D241" s="32" t="s">
        <v>1536</v>
      </c>
      <c r="E241" s="32" t="s">
        <v>629</v>
      </c>
      <c r="F241" s="32" t="s">
        <v>907</v>
      </c>
      <c r="G241" s="32">
        <f>IFERROR(INDEX(Ship!M$31:N$4500,MATCH(C241,Ship!M$31:M$4500,0),2),0)</f>
        <v>0</v>
      </c>
    </row>
    <row r="242" spans="1:7" x14ac:dyDescent="0.25">
      <c r="A242" s="32" t="s">
        <v>953</v>
      </c>
      <c r="B242" s="32" t="s">
        <v>954</v>
      </c>
      <c r="C242" s="32" t="s">
        <v>1722</v>
      </c>
      <c r="D242" s="32" t="s">
        <v>1538</v>
      </c>
      <c r="E242" s="32" t="s">
        <v>629</v>
      </c>
      <c r="F242" s="32" t="s">
        <v>907</v>
      </c>
      <c r="G242" s="32">
        <f>IFERROR(INDEX(Ship!M$31:N$4500,MATCH(C242,Ship!M$31:M$4500,0),2),0)</f>
        <v>0</v>
      </c>
    </row>
    <row r="243" spans="1:7" x14ac:dyDescent="0.25">
      <c r="A243" s="32" t="s">
        <v>953</v>
      </c>
      <c r="B243" s="32" t="s">
        <v>954</v>
      </c>
      <c r="C243" s="32" t="s">
        <v>1723</v>
      </c>
      <c r="D243" s="32" t="s">
        <v>1539</v>
      </c>
      <c r="E243" s="32" t="s">
        <v>629</v>
      </c>
      <c r="F243" s="32" t="s">
        <v>907</v>
      </c>
      <c r="G243" s="32">
        <f>IFERROR(INDEX(Ship!M$31:N$4500,MATCH(C243,Ship!M$31:M$4500,0),2),0)</f>
        <v>0</v>
      </c>
    </row>
    <row r="244" spans="1:7" x14ac:dyDescent="0.25">
      <c r="A244" s="32" t="s">
        <v>953</v>
      </c>
      <c r="B244" s="32" t="s">
        <v>954</v>
      </c>
      <c r="C244" s="32" t="s">
        <v>1724</v>
      </c>
      <c r="D244" s="32" t="s">
        <v>1541</v>
      </c>
      <c r="E244" s="32" t="s">
        <v>629</v>
      </c>
      <c r="F244" s="32" t="s">
        <v>907</v>
      </c>
      <c r="G244" s="32">
        <f>IFERROR(INDEX(Ship!M$31:N$4500,MATCH(C244,Ship!M$31:M$4500,0),2),0)</f>
        <v>0</v>
      </c>
    </row>
    <row r="245" spans="1:7" x14ac:dyDescent="0.25">
      <c r="A245" s="32" t="s">
        <v>953</v>
      </c>
      <c r="B245" s="32" t="s">
        <v>954</v>
      </c>
      <c r="C245" s="32" t="s">
        <v>1725</v>
      </c>
      <c r="D245" s="32" t="s">
        <v>1542</v>
      </c>
      <c r="E245" s="32" t="s">
        <v>629</v>
      </c>
      <c r="F245" s="32" t="s">
        <v>907</v>
      </c>
      <c r="G245" s="32">
        <f>IFERROR(INDEX(Ship!M$31:N$4500,MATCH(C245,Ship!M$31:M$4500,0),2),0)</f>
        <v>0</v>
      </c>
    </row>
    <row r="246" spans="1:7" x14ac:dyDescent="0.25">
      <c r="A246" s="32" t="s">
        <v>953</v>
      </c>
      <c r="B246" s="32" t="s">
        <v>954</v>
      </c>
      <c r="C246" s="32" t="s">
        <v>1726</v>
      </c>
      <c r="D246" s="32" t="s">
        <v>1544</v>
      </c>
      <c r="E246" s="32" t="s">
        <v>629</v>
      </c>
      <c r="F246" s="32" t="s">
        <v>907</v>
      </c>
      <c r="G246" s="32">
        <f>IFERROR(INDEX(Ship!M$31:N$4500,MATCH(C246,Ship!M$31:M$4500,0),2),0)</f>
        <v>0</v>
      </c>
    </row>
    <row r="247" spans="1:7" x14ac:dyDescent="0.25">
      <c r="A247" s="32" t="s">
        <v>953</v>
      </c>
      <c r="B247" s="32" t="s">
        <v>954</v>
      </c>
      <c r="C247" s="32" t="s">
        <v>1727</v>
      </c>
      <c r="D247" s="32" t="s">
        <v>1545</v>
      </c>
      <c r="E247" s="32" t="s">
        <v>629</v>
      </c>
      <c r="F247" s="32" t="s">
        <v>907</v>
      </c>
      <c r="G247" s="32">
        <f>IFERROR(INDEX(Ship!M$31:N$4500,MATCH(C247,Ship!M$31:M$4500,0),2),0)</f>
        <v>0</v>
      </c>
    </row>
    <row r="248" spans="1:7" x14ac:dyDescent="0.25">
      <c r="A248" s="32" t="s">
        <v>953</v>
      </c>
      <c r="B248" s="32" t="s">
        <v>954</v>
      </c>
      <c r="C248" s="32" t="s">
        <v>1728</v>
      </c>
      <c r="D248" s="32" t="s">
        <v>1547</v>
      </c>
      <c r="E248" s="32" t="s">
        <v>629</v>
      </c>
      <c r="F248" s="32" t="s">
        <v>907</v>
      </c>
      <c r="G248" s="32">
        <f>IFERROR(INDEX(Ship!M$31:N$4500,MATCH(C248,Ship!M$31:M$4500,0),2),0)</f>
        <v>0</v>
      </c>
    </row>
    <row r="249" spans="1:7" x14ac:dyDescent="0.25">
      <c r="A249" s="32" t="s">
        <v>953</v>
      </c>
      <c r="B249" s="32" t="s">
        <v>954</v>
      </c>
      <c r="C249" s="32" t="s">
        <v>1729</v>
      </c>
      <c r="D249" s="32" t="s">
        <v>1548</v>
      </c>
      <c r="E249" s="32" t="s">
        <v>629</v>
      </c>
      <c r="F249" s="32" t="s">
        <v>907</v>
      </c>
      <c r="G249" s="32">
        <f>IFERROR(INDEX(Ship!M$31:N$4500,MATCH(C249,Ship!M$31:M$4500,0),2),0)</f>
        <v>0</v>
      </c>
    </row>
    <row r="250" spans="1:7" x14ac:dyDescent="0.25">
      <c r="A250" s="32" t="s">
        <v>953</v>
      </c>
      <c r="B250" s="32" t="s">
        <v>954</v>
      </c>
      <c r="C250" s="32" t="s">
        <v>1730</v>
      </c>
      <c r="D250" s="32" t="s">
        <v>1550</v>
      </c>
      <c r="E250" s="32" t="s">
        <v>629</v>
      </c>
      <c r="F250" s="32" t="s">
        <v>907</v>
      </c>
      <c r="G250" s="32">
        <f>IFERROR(INDEX(Ship!M$31:N$4500,MATCH(C250,Ship!M$31:M$4500,0),2),0)</f>
        <v>0</v>
      </c>
    </row>
    <row r="251" spans="1:7" x14ac:dyDescent="0.25">
      <c r="A251" s="32" t="s">
        <v>953</v>
      </c>
      <c r="B251" s="32" t="s">
        <v>954</v>
      </c>
      <c r="C251" s="32" t="s">
        <v>1731</v>
      </c>
      <c r="D251" s="32" t="s">
        <v>1551</v>
      </c>
      <c r="E251" s="32" t="s">
        <v>629</v>
      </c>
      <c r="F251" s="32" t="s">
        <v>907</v>
      </c>
      <c r="G251" s="32">
        <f>IFERROR(INDEX(Ship!M$31:N$4500,MATCH(C251,Ship!M$31:M$4500,0),2),0)</f>
        <v>0</v>
      </c>
    </row>
    <row r="252" spans="1:7" x14ac:dyDescent="0.25">
      <c r="A252" s="32" t="s">
        <v>953</v>
      </c>
      <c r="B252" s="32" t="s">
        <v>954</v>
      </c>
      <c r="C252" s="32" t="s">
        <v>1732</v>
      </c>
      <c r="D252" s="32" t="s">
        <v>1553</v>
      </c>
      <c r="E252" s="32" t="s">
        <v>629</v>
      </c>
      <c r="F252" s="32" t="s">
        <v>907</v>
      </c>
      <c r="G252" s="32">
        <f>IFERROR(INDEX(Ship!M$31:N$4500,MATCH(C252,Ship!M$31:M$4500,0),2),0)</f>
        <v>0</v>
      </c>
    </row>
    <row r="253" spans="1:7" x14ac:dyDescent="0.25">
      <c r="A253" s="32" t="s">
        <v>953</v>
      </c>
      <c r="B253" s="32" t="s">
        <v>954</v>
      </c>
      <c r="C253" s="32" t="s">
        <v>1733</v>
      </c>
      <c r="D253" s="32" t="s">
        <v>1554</v>
      </c>
      <c r="E253" s="32" t="s">
        <v>629</v>
      </c>
      <c r="F253" s="32" t="s">
        <v>907</v>
      </c>
      <c r="G253" s="32">
        <f>IFERROR(INDEX(Ship!M$31:N$4500,MATCH(C253,Ship!M$31:M$4500,0),2),0)</f>
        <v>0</v>
      </c>
    </row>
    <row r="254" spans="1:7" x14ac:dyDescent="0.25">
      <c r="A254" s="32" t="s">
        <v>953</v>
      </c>
      <c r="B254" s="32" t="s">
        <v>954</v>
      </c>
      <c r="C254" s="32" t="s">
        <v>1734</v>
      </c>
      <c r="D254" s="32" t="s">
        <v>1556</v>
      </c>
      <c r="E254" s="32" t="s">
        <v>629</v>
      </c>
      <c r="F254" s="32" t="s">
        <v>907</v>
      </c>
      <c r="G254" s="32">
        <f>IFERROR(INDEX(Ship!M$31:N$4500,MATCH(C254,Ship!M$31:M$4500,0),2),0)</f>
        <v>0</v>
      </c>
    </row>
    <row r="255" spans="1:7" x14ac:dyDescent="0.25">
      <c r="A255" s="32" t="s">
        <v>953</v>
      </c>
      <c r="B255" s="32" t="s">
        <v>954</v>
      </c>
      <c r="C255" s="32" t="s">
        <v>1735</v>
      </c>
      <c r="D255" s="32" t="s">
        <v>1557</v>
      </c>
      <c r="E255" s="32" t="s">
        <v>629</v>
      </c>
      <c r="F255" s="32" t="s">
        <v>907</v>
      </c>
      <c r="G255" s="32">
        <f>IFERROR(INDEX(Ship!M$31:N$4500,MATCH(C255,Ship!M$31:M$4500,0),2),0)</f>
        <v>0</v>
      </c>
    </row>
    <row r="256" spans="1:7" x14ac:dyDescent="0.25">
      <c r="A256" s="32" t="s">
        <v>953</v>
      </c>
      <c r="B256" s="32" t="s">
        <v>954</v>
      </c>
      <c r="C256" s="32" t="s">
        <v>1736</v>
      </c>
      <c r="D256" s="32" t="s">
        <v>1559</v>
      </c>
      <c r="E256" s="32" t="s">
        <v>629</v>
      </c>
      <c r="F256" s="32" t="s">
        <v>907</v>
      </c>
      <c r="G256" s="32">
        <f>IFERROR(INDEX(Ship!M$31:N$4500,MATCH(C256,Ship!M$31:M$4500,0),2),0)</f>
        <v>0</v>
      </c>
    </row>
    <row r="257" spans="1:7" x14ac:dyDescent="0.25">
      <c r="A257" s="32" t="s">
        <v>953</v>
      </c>
      <c r="B257" s="32" t="s">
        <v>954</v>
      </c>
      <c r="C257" s="32" t="s">
        <v>1737</v>
      </c>
      <c r="D257" s="32" t="s">
        <v>1560</v>
      </c>
      <c r="E257" s="32" t="s">
        <v>629</v>
      </c>
      <c r="F257" s="32" t="s">
        <v>907</v>
      </c>
      <c r="G257" s="32">
        <f>IFERROR(INDEX(Ship!M$31:N$4500,MATCH(C257,Ship!M$31:M$4500,0),2),0)</f>
        <v>0</v>
      </c>
    </row>
    <row r="258" spans="1:7" x14ac:dyDescent="0.25">
      <c r="A258" s="32" t="s">
        <v>953</v>
      </c>
      <c r="B258" s="32" t="s">
        <v>954</v>
      </c>
      <c r="C258" s="32" t="s">
        <v>1738</v>
      </c>
      <c r="D258" s="32" t="s">
        <v>1562</v>
      </c>
      <c r="E258" s="32" t="s">
        <v>629</v>
      </c>
      <c r="F258" s="32" t="s">
        <v>907</v>
      </c>
      <c r="G258" s="32">
        <f>IFERROR(INDEX(Ship!M$31:N$4500,MATCH(C258,Ship!M$31:M$4500,0),2),0)</f>
        <v>0</v>
      </c>
    </row>
    <row r="259" spans="1:7" x14ac:dyDescent="0.25">
      <c r="A259" s="32" t="s">
        <v>953</v>
      </c>
      <c r="B259" s="32" t="s">
        <v>954</v>
      </c>
      <c r="C259" s="32" t="s">
        <v>1739</v>
      </c>
      <c r="D259" s="32" t="s">
        <v>1563</v>
      </c>
      <c r="E259" s="32" t="s">
        <v>629</v>
      </c>
      <c r="F259" s="32" t="s">
        <v>907</v>
      </c>
      <c r="G259" s="32">
        <f>IFERROR(INDEX(Ship!M$31:N$4500,MATCH(C259,Ship!M$31:M$4500,0),2),0)</f>
        <v>0</v>
      </c>
    </row>
    <row r="260" spans="1:7" x14ac:dyDescent="0.25">
      <c r="A260" s="32" t="s">
        <v>953</v>
      </c>
      <c r="B260" s="32" t="s">
        <v>954</v>
      </c>
      <c r="C260" s="32" t="s">
        <v>1740</v>
      </c>
      <c r="D260" s="32" t="s">
        <v>1565</v>
      </c>
      <c r="E260" s="32" t="s">
        <v>629</v>
      </c>
      <c r="F260" s="32" t="s">
        <v>907</v>
      </c>
      <c r="G260" s="32">
        <f>IFERROR(INDEX(Ship!M$31:N$4500,MATCH(C260,Ship!M$31:M$4500,0),2),0)</f>
        <v>0</v>
      </c>
    </row>
    <row r="261" spans="1:7" x14ac:dyDescent="0.25">
      <c r="A261" s="32" t="s">
        <v>953</v>
      </c>
      <c r="B261" s="32" t="s">
        <v>954</v>
      </c>
      <c r="C261" s="32" t="s">
        <v>1741</v>
      </c>
      <c r="D261" s="32" t="s">
        <v>1566</v>
      </c>
      <c r="E261" s="32" t="s">
        <v>629</v>
      </c>
      <c r="F261" s="32" t="s">
        <v>907</v>
      </c>
      <c r="G261" s="32">
        <f>IFERROR(INDEX(Ship!M$31:N$4500,MATCH(C261,Ship!M$31:M$4500,0),2),0)</f>
        <v>0</v>
      </c>
    </row>
    <row r="262" spans="1:7" x14ac:dyDescent="0.25">
      <c r="A262" s="32" t="s">
        <v>953</v>
      </c>
      <c r="B262" s="32" t="s">
        <v>954</v>
      </c>
      <c r="C262" s="32" t="s">
        <v>1742</v>
      </c>
      <c r="D262" s="32" t="s">
        <v>1568</v>
      </c>
      <c r="E262" s="32" t="s">
        <v>629</v>
      </c>
      <c r="F262" s="32" t="s">
        <v>907</v>
      </c>
      <c r="G262" s="32">
        <f>IFERROR(INDEX(Ship!M$31:N$4500,MATCH(C262,Ship!M$31:M$4500,0),2),0)</f>
        <v>0</v>
      </c>
    </row>
    <row r="263" spans="1:7" x14ac:dyDescent="0.25">
      <c r="A263" s="32" t="s">
        <v>953</v>
      </c>
      <c r="B263" s="32" t="s">
        <v>954</v>
      </c>
      <c r="C263" s="32" t="s">
        <v>1743</v>
      </c>
      <c r="D263" s="32" t="s">
        <v>1569</v>
      </c>
      <c r="E263" s="32" t="s">
        <v>629</v>
      </c>
      <c r="F263" s="32" t="s">
        <v>907</v>
      </c>
      <c r="G263" s="32">
        <f>IFERROR(INDEX(Ship!M$31:N$4500,MATCH(C263,Ship!M$31:M$4500,0),2),0)</f>
        <v>0</v>
      </c>
    </row>
    <row r="264" spans="1:7" x14ac:dyDescent="0.25">
      <c r="A264" s="32" t="s">
        <v>953</v>
      </c>
      <c r="B264" s="32" t="s">
        <v>954</v>
      </c>
      <c r="C264" s="32" t="s">
        <v>1744</v>
      </c>
      <c r="D264" s="32" t="s">
        <v>1571</v>
      </c>
      <c r="E264" s="32" t="s">
        <v>629</v>
      </c>
      <c r="F264" s="32" t="s">
        <v>907</v>
      </c>
      <c r="G264" s="32">
        <f>IFERROR(INDEX(Ship!M$31:N$4500,MATCH(C264,Ship!M$31:M$4500,0),2),0)</f>
        <v>0</v>
      </c>
    </row>
    <row r="265" spans="1:7" x14ac:dyDescent="0.25">
      <c r="A265" s="32" t="s">
        <v>953</v>
      </c>
      <c r="B265" s="32" t="s">
        <v>954</v>
      </c>
      <c r="C265" s="32" t="s">
        <v>1745</v>
      </c>
      <c r="D265" s="32" t="s">
        <v>1572</v>
      </c>
      <c r="E265" s="32" t="s">
        <v>629</v>
      </c>
      <c r="F265" s="32" t="s">
        <v>907</v>
      </c>
      <c r="G265" s="32">
        <f>IFERROR(INDEX(Ship!M$31:N$4500,MATCH(C265,Ship!M$31:M$4500,0),2),0)</f>
        <v>0</v>
      </c>
    </row>
    <row r="266" spans="1:7" x14ac:dyDescent="0.25">
      <c r="A266" s="32" t="s">
        <v>953</v>
      </c>
      <c r="B266" s="32" t="s">
        <v>954</v>
      </c>
      <c r="C266" s="32" t="s">
        <v>1746</v>
      </c>
      <c r="D266" s="32" t="s">
        <v>1574</v>
      </c>
      <c r="E266" s="32" t="s">
        <v>629</v>
      </c>
      <c r="F266" s="32" t="s">
        <v>907</v>
      </c>
      <c r="G266" s="32">
        <f>IFERROR(INDEX(Ship!M$31:N$4500,MATCH(C266,Ship!M$31:M$4500,0),2),0)</f>
        <v>0</v>
      </c>
    </row>
    <row r="267" spans="1:7" x14ac:dyDescent="0.25">
      <c r="A267" s="32" t="s">
        <v>953</v>
      </c>
      <c r="B267" s="32" t="s">
        <v>954</v>
      </c>
      <c r="C267" s="32" t="s">
        <v>1747</v>
      </c>
      <c r="D267" s="32" t="s">
        <v>1575</v>
      </c>
      <c r="E267" s="32" t="s">
        <v>629</v>
      </c>
      <c r="F267" s="32" t="s">
        <v>907</v>
      </c>
      <c r="G267" s="32">
        <f>IFERROR(INDEX(Ship!M$31:N$4500,MATCH(C267,Ship!M$31:M$4500,0),2),0)</f>
        <v>0</v>
      </c>
    </row>
    <row r="268" spans="1:7" x14ac:dyDescent="0.25">
      <c r="A268" s="32" t="s">
        <v>953</v>
      </c>
      <c r="B268" s="32" t="s">
        <v>954</v>
      </c>
      <c r="C268" s="32" t="s">
        <v>1748</v>
      </c>
      <c r="D268" s="32" t="s">
        <v>1577</v>
      </c>
      <c r="E268" s="32" t="s">
        <v>629</v>
      </c>
      <c r="F268" s="32" t="s">
        <v>907</v>
      </c>
      <c r="G268" s="32">
        <f>IFERROR(INDEX(Ship!M$31:N$4500,MATCH(C268,Ship!M$31:M$4500,0),2),0)</f>
        <v>0</v>
      </c>
    </row>
    <row r="269" spans="1:7" x14ac:dyDescent="0.25">
      <c r="A269" s="32" t="s">
        <v>953</v>
      </c>
      <c r="B269" s="32" t="s">
        <v>954</v>
      </c>
      <c r="C269" s="32" t="s">
        <v>1749</v>
      </c>
      <c r="D269" s="32" t="s">
        <v>1578</v>
      </c>
      <c r="E269" s="32" t="s">
        <v>629</v>
      </c>
      <c r="F269" s="32" t="s">
        <v>907</v>
      </c>
      <c r="G269" s="32">
        <f>IFERROR(INDEX(Ship!M$31:N$4500,MATCH(C269,Ship!M$31:M$4500,0),2),0)</f>
        <v>0</v>
      </c>
    </row>
    <row r="270" spans="1:7" x14ac:dyDescent="0.25">
      <c r="A270" s="32" t="s">
        <v>953</v>
      </c>
      <c r="B270" s="32" t="s">
        <v>954</v>
      </c>
      <c r="C270" s="32" t="s">
        <v>1750</v>
      </c>
      <c r="D270" s="32" t="s">
        <v>1580</v>
      </c>
      <c r="E270" s="32" t="s">
        <v>629</v>
      </c>
      <c r="F270" s="32" t="s">
        <v>907</v>
      </c>
      <c r="G270" s="32">
        <f>IFERROR(INDEX(Ship!M$31:N$4500,MATCH(C270,Ship!M$31:M$4500,0),2),0)</f>
        <v>0</v>
      </c>
    </row>
    <row r="271" spans="1:7" x14ac:dyDescent="0.25">
      <c r="A271" s="32" t="s">
        <v>953</v>
      </c>
      <c r="B271" s="32" t="s">
        <v>954</v>
      </c>
      <c r="C271" s="32" t="s">
        <v>1751</v>
      </c>
      <c r="D271" s="32" t="s">
        <v>1581</v>
      </c>
      <c r="E271" s="32" t="s">
        <v>629</v>
      </c>
      <c r="F271" s="32" t="s">
        <v>907</v>
      </c>
      <c r="G271" s="32">
        <f>IFERROR(INDEX(Ship!M$31:N$4500,MATCH(C271,Ship!M$31:M$4500,0),2),0)</f>
        <v>0</v>
      </c>
    </row>
    <row r="272" spans="1:7" x14ac:dyDescent="0.25">
      <c r="A272" s="32" t="s">
        <v>953</v>
      </c>
      <c r="B272" s="32" t="s">
        <v>954</v>
      </c>
      <c r="C272" s="32" t="s">
        <v>1752</v>
      </c>
      <c r="D272" s="32" t="s">
        <v>1583</v>
      </c>
      <c r="E272" s="32" t="s">
        <v>629</v>
      </c>
      <c r="F272" s="32" t="s">
        <v>907</v>
      </c>
      <c r="G272" s="32">
        <f>IFERROR(INDEX(Ship!M$31:N$4500,MATCH(C272,Ship!M$31:M$4500,0),2),0)</f>
        <v>0</v>
      </c>
    </row>
    <row r="273" spans="1:7" x14ac:dyDescent="0.25">
      <c r="A273" s="32" t="s">
        <v>953</v>
      </c>
      <c r="B273" s="32" t="s">
        <v>954</v>
      </c>
      <c r="C273" s="32" t="s">
        <v>1753</v>
      </c>
      <c r="D273" s="32" t="s">
        <v>1584</v>
      </c>
      <c r="E273" s="32" t="s">
        <v>629</v>
      </c>
      <c r="F273" s="32" t="s">
        <v>907</v>
      </c>
      <c r="G273" s="32">
        <f>IFERROR(INDEX(Ship!M$31:N$4500,MATCH(C273,Ship!M$31:M$4500,0),2),0)</f>
        <v>0</v>
      </c>
    </row>
    <row r="274" spans="1:7" x14ac:dyDescent="0.25">
      <c r="A274" s="32" t="s">
        <v>953</v>
      </c>
      <c r="B274" s="32" t="s">
        <v>954</v>
      </c>
      <c r="C274" s="32" t="s">
        <v>1754</v>
      </c>
      <c r="D274" s="32" t="s">
        <v>1586</v>
      </c>
      <c r="E274" s="32" t="s">
        <v>629</v>
      </c>
      <c r="F274" s="32" t="s">
        <v>907</v>
      </c>
      <c r="G274" s="32">
        <f>IFERROR(INDEX(Ship!M$31:N$4500,MATCH(C274,Ship!M$31:M$4500,0),2),0)</f>
        <v>0</v>
      </c>
    </row>
    <row r="275" spans="1:7" x14ac:dyDescent="0.25">
      <c r="A275" s="32" t="s">
        <v>953</v>
      </c>
      <c r="B275" s="32" t="s">
        <v>954</v>
      </c>
      <c r="C275" s="32" t="s">
        <v>1755</v>
      </c>
      <c r="D275" s="32" t="s">
        <v>1587</v>
      </c>
      <c r="E275" s="32" t="s">
        <v>629</v>
      </c>
      <c r="F275" s="32" t="s">
        <v>907</v>
      </c>
      <c r="G275" s="32">
        <f>IFERROR(INDEX(Ship!M$31:N$4500,MATCH(C275,Ship!M$31:M$4500,0),2),0)</f>
        <v>0</v>
      </c>
    </row>
    <row r="276" spans="1:7" x14ac:dyDescent="0.25">
      <c r="A276" s="32" t="s">
        <v>953</v>
      </c>
      <c r="B276" s="32" t="s">
        <v>954</v>
      </c>
      <c r="C276" s="32" t="s">
        <v>1756</v>
      </c>
      <c r="D276" s="32" t="s">
        <v>1589</v>
      </c>
      <c r="E276" s="32" t="s">
        <v>629</v>
      </c>
      <c r="F276" s="32" t="s">
        <v>907</v>
      </c>
      <c r="G276" s="32">
        <f>IFERROR(INDEX(Ship!M$31:N$4500,MATCH(C276,Ship!M$31:M$4500,0),2),0)</f>
        <v>0</v>
      </c>
    </row>
    <row r="277" spans="1:7" x14ac:dyDescent="0.25">
      <c r="A277" s="32" t="s">
        <v>953</v>
      </c>
      <c r="B277" s="32" t="s">
        <v>954</v>
      </c>
      <c r="C277" s="32" t="s">
        <v>1757</v>
      </c>
      <c r="D277" s="32" t="s">
        <v>1590</v>
      </c>
      <c r="E277" s="32" t="s">
        <v>629</v>
      </c>
      <c r="F277" s="32" t="s">
        <v>907</v>
      </c>
      <c r="G277" s="32">
        <f>IFERROR(INDEX(Ship!M$31:N$4500,MATCH(C277,Ship!M$31:M$4500,0),2),0)</f>
        <v>0</v>
      </c>
    </row>
    <row r="278" spans="1:7" x14ac:dyDescent="0.25">
      <c r="A278" s="32" t="s">
        <v>953</v>
      </c>
      <c r="B278" s="32" t="s">
        <v>954</v>
      </c>
      <c r="C278" s="32" t="s">
        <v>1758</v>
      </c>
      <c r="D278" s="32" t="s">
        <v>1592</v>
      </c>
      <c r="E278" s="32" t="s">
        <v>629</v>
      </c>
      <c r="F278" s="32" t="s">
        <v>907</v>
      </c>
      <c r="G278" s="32">
        <f>IFERROR(INDEX(Ship!M$31:N$4500,MATCH(C278,Ship!M$31:M$4500,0),2),0)</f>
        <v>0</v>
      </c>
    </row>
    <row r="279" spans="1:7" x14ac:dyDescent="0.25">
      <c r="A279" s="32" t="s">
        <v>953</v>
      </c>
      <c r="B279" s="32" t="s">
        <v>954</v>
      </c>
      <c r="C279" s="32" t="s">
        <v>1759</v>
      </c>
      <c r="D279" s="32" t="s">
        <v>1593</v>
      </c>
      <c r="E279" s="32" t="s">
        <v>629</v>
      </c>
      <c r="F279" s="32" t="s">
        <v>907</v>
      </c>
      <c r="G279" s="32">
        <f>IFERROR(INDEX(Ship!M$31:N$4500,MATCH(C279,Ship!M$31:M$4500,0),2),0)</f>
        <v>0</v>
      </c>
    </row>
    <row r="280" spans="1:7" x14ac:dyDescent="0.25">
      <c r="A280" s="32" t="s">
        <v>953</v>
      </c>
      <c r="B280" s="32" t="s">
        <v>954</v>
      </c>
      <c r="C280" s="32" t="s">
        <v>1760</v>
      </c>
      <c r="D280" s="32" t="s">
        <v>1595</v>
      </c>
      <c r="E280" s="32" t="s">
        <v>629</v>
      </c>
      <c r="F280" s="32" t="s">
        <v>907</v>
      </c>
      <c r="G280" s="32">
        <f>IFERROR(INDEX(Ship!M$31:N$4500,MATCH(C280,Ship!M$31:M$4500,0),2),0)</f>
        <v>0</v>
      </c>
    </row>
    <row r="281" spans="1:7" x14ac:dyDescent="0.25">
      <c r="A281" s="32" t="s">
        <v>953</v>
      </c>
      <c r="B281" s="32" t="s">
        <v>954</v>
      </c>
      <c r="C281" s="32" t="s">
        <v>1761</v>
      </c>
      <c r="D281" s="32" t="s">
        <v>1596</v>
      </c>
      <c r="E281" s="32" t="s">
        <v>629</v>
      </c>
      <c r="F281" s="32" t="s">
        <v>907</v>
      </c>
      <c r="G281" s="32">
        <f>IFERROR(INDEX(Ship!M$31:N$4500,MATCH(C281,Ship!M$31:M$4500,0),2),0)</f>
        <v>0</v>
      </c>
    </row>
    <row r="282" spans="1:7" x14ac:dyDescent="0.25">
      <c r="A282" s="32" t="s">
        <v>953</v>
      </c>
      <c r="B282" s="32" t="s">
        <v>954</v>
      </c>
      <c r="C282" s="32" t="s">
        <v>1762</v>
      </c>
      <c r="D282" s="32" t="s">
        <v>1598</v>
      </c>
      <c r="E282" s="32" t="s">
        <v>629</v>
      </c>
      <c r="F282" s="32" t="s">
        <v>907</v>
      </c>
      <c r="G282" s="32">
        <f>IFERROR(INDEX(Ship!M$31:N$4500,MATCH(C282,Ship!M$31:M$4500,0),2),0)</f>
        <v>0</v>
      </c>
    </row>
    <row r="283" spans="1:7" x14ac:dyDescent="0.25">
      <c r="A283" s="32" t="s">
        <v>953</v>
      </c>
      <c r="B283" s="32" t="s">
        <v>954</v>
      </c>
      <c r="C283" s="32" t="s">
        <v>1763</v>
      </c>
      <c r="D283" s="32" t="s">
        <v>1599</v>
      </c>
      <c r="E283" s="32" t="s">
        <v>629</v>
      </c>
      <c r="F283" s="32" t="s">
        <v>907</v>
      </c>
      <c r="G283" s="32">
        <f>IFERROR(INDEX(Ship!M$31:N$4500,MATCH(C283,Ship!M$31:M$4500,0),2),0)</f>
        <v>0</v>
      </c>
    </row>
    <row r="284" spans="1:7" x14ac:dyDescent="0.25">
      <c r="A284" s="32" t="s">
        <v>953</v>
      </c>
      <c r="B284" s="32" t="s">
        <v>954</v>
      </c>
      <c r="C284" s="32" t="s">
        <v>1764</v>
      </c>
      <c r="D284" s="32" t="s">
        <v>1601</v>
      </c>
      <c r="E284" s="32" t="s">
        <v>629</v>
      </c>
      <c r="F284" s="32" t="s">
        <v>907</v>
      </c>
      <c r="G284" s="32">
        <f>IFERROR(INDEX(Ship!M$31:N$4500,MATCH(C284,Ship!M$31:M$4500,0),2),0)</f>
        <v>0</v>
      </c>
    </row>
    <row r="285" spans="1:7" x14ac:dyDescent="0.25">
      <c r="A285" s="32" t="s">
        <v>953</v>
      </c>
      <c r="B285" s="32" t="s">
        <v>954</v>
      </c>
      <c r="C285" s="32" t="s">
        <v>1765</v>
      </c>
      <c r="D285" s="32" t="s">
        <v>1602</v>
      </c>
      <c r="E285" s="32" t="s">
        <v>629</v>
      </c>
      <c r="F285" s="32" t="s">
        <v>907</v>
      </c>
      <c r="G285" s="32">
        <f>IFERROR(INDEX(Ship!M$31:N$4500,MATCH(C285,Ship!M$31:M$4500,0),2),0)</f>
        <v>0</v>
      </c>
    </row>
    <row r="286" spans="1:7" x14ac:dyDescent="0.25">
      <c r="A286" s="32" t="s">
        <v>953</v>
      </c>
      <c r="B286" s="32" t="s">
        <v>954</v>
      </c>
      <c r="C286" s="32" t="s">
        <v>1766</v>
      </c>
      <c r="D286" s="32" t="s">
        <v>1604</v>
      </c>
      <c r="E286" s="32" t="s">
        <v>629</v>
      </c>
      <c r="F286" s="32" t="s">
        <v>907</v>
      </c>
      <c r="G286" s="32">
        <f>IFERROR(INDEX(Ship!M$31:N$4500,MATCH(C286,Ship!M$31:M$4500,0),2),0)</f>
        <v>0</v>
      </c>
    </row>
    <row r="287" spans="1:7" x14ac:dyDescent="0.25">
      <c r="A287" s="32" t="s">
        <v>953</v>
      </c>
      <c r="B287" s="32" t="s">
        <v>954</v>
      </c>
      <c r="C287" s="32" t="s">
        <v>1767</v>
      </c>
      <c r="D287" s="32" t="s">
        <v>1605</v>
      </c>
      <c r="E287" s="32" t="s">
        <v>629</v>
      </c>
      <c r="F287" s="32" t="s">
        <v>907</v>
      </c>
      <c r="G287" s="32">
        <f>IFERROR(INDEX(Ship!M$31:N$4500,MATCH(C287,Ship!M$31:M$4500,0),2),0)</f>
        <v>0</v>
      </c>
    </row>
    <row r="288" spans="1:7" x14ac:dyDescent="0.25">
      <c r="A288" s="32" t="s">
        <v>953</v>
      </c>
      <c r="B288" s="32" t="s">
        <v>954</v>
      </c>
      <c r="C288" s="32" t="s">
        <v>1768</v>
      </c>
      <c r="D288" s="32" t="s">
        <v>1607</v>
      </c>
      <c r="E288" s="32" t="s">
        <v>629</v>
      </c>
      <c r="F288" s="32" t="s">
        <v>907</v>
      </c>
      <c r="G288" s="32">
        <f>IFERROR(INDEX(Ship!M$31:N$4500,MATCH(C288,Ship!M$31:M$4500,0),2),0)</f>
        <v>0</v>
      </c>
    </row>
    <row r="289" spans="1:7" x14ac:dyDescent="0.25">
      <c r="A289" s="32" t="s">
        <v>953</v>
      </c>
      <c r="B289" s="32" t="s">
        <v>954</v>
      </c>
      <c r="C289" s="32" t="s">
        <v>1769</v>
      </c>
      <c r="D289" s="32" t="s">
        <v>1608</v>
      </c>
      <c r="E289" s="32" t="s">
        <v>629</v>
      </c>
      <c r="F289" s="32" t="s">
        <v>907</v>
      </c>
      <c r="G289" s="32">
        <f>IFERROR(INDEX(Ship!M$31:N$4500,MATCH(C289,Ship!M$31:M$4500,0),2),0)</f>
        <v>0</v>
      </c>
    </row>
    <row r="290" spans="1:7" x14ac:dyDescent="0.25">
      <c r="A290" s="32" t="s">
        <v>953</v>
      </c>
      <c r="B290" s="32" t="s">
        <v>954</v>
      </c>
      <c r="C290" s="32" t="s">
        <v>1770</v>
      </c>
      <c r="D290" s="32" t="s">
        <v>1610</v>
      </c>
      <c r="E290" s="32" t="s">
        <v>629</v>
      </c>
      <c r="F290" s="32" t="s">
        <v>907</v>
      </c>
      <c r="G290" s="32">
        <f>IFERROR(INDEX(Ship!M$31:N$4500,MATCH(C290,Ship!M$31:M$4500,0),2),0)</f>
        <v>0</v>
      </c>
    </row>
    <row r="291" spans="1:7" x14ac:dyDescent="0.25">
      <c r="A291" s="32" t="s">
        <v>953</v>
      </c>
      <c r="B291" s="32" t="s">
        <v>954</v>
      </c>
      <c r="C291" s="32" t="s">
        <v>1771</v>
      </c>
      <c r="D291" s="32" t="s">
        <v>1611</v>
      </c>
      <c r="E291" s="32" t="s">
        <v>629</v>
      </c>
      <c r="F291" s="32" t="s">
        <v>907</v>
      </c>
      <c r="G291" s="32">
        <f>IFERROR(INDEX(Ship!M$31:N$4500,MATCH(C291,Ship!M$31:M$4500,0),2),0)</f>
        <v>0</v>
      </c>
    </row>
    <row r="292" spans="1:7" x14ac:dyDescent="0.25">
      <c r="A292" s="32" t="s">
        <v>953</v>
      </c>
      <c r="B292" s="32" t="s">
        <v>954</v>
      </c>
      <c r="C292" s="32" t="s">
        <v>1772</v>
      </c>
      <c r="D292" s="32" t="s">
        <v>1613</v>
      </c>
      <c r="E292" s="32" t="s">
        <v>629</v>
      </c>
      <c r="F292" s="32" t="s">
        <v>907</v>
      </c>
      <c r="G292" s="32">
        <f>IFERROR(INDEX(Ship!M$31:N$4500,MATCH(C292,Ship!M$31:M$4500,0),2),0)</f>
        <v>0</v>
      </c>
    </row>
    <row r="293" spans="1:7" x14ac:dyDescent="0.25">
      <c r="A293" s="32" t="s">
        <v>953</v>
      </c>
      <c r="B293" s="32" t="s">
        <v>954</v>
      </c>
      <c r="C293" s="32" t="s">
        <v>1773</v>
      </c>
      <c r="D293" s="32" t="s">
        <v>1614</v>
      </c>
      <c r="E293" s="32" t="s">
        <v>629</v>
      </c>
      <c r="F293" s="32" t="s">
        <v>907</v>
      </c>
      <c r="G293" s="32">
        <f>IFERROR(INDEX(Ship!M$31:N$4500,MATCH(C293,Ship!M$31:M$4500,0),2),0)</f>
        <v>0</v>
      </c>
    </row>
    <row r="294" spans="1:7" x14ac:dyDescent="0.25">
      <c r="A294" s="32" t="s">
        <v>953</v>
      </c>
      <c r="B294" s="32" t="s">
        <v>954</v>
      </c>
      <c r="C294" s="32" t="s">
        <v>1774</v>
      </c>
      <c r="D294" s="32" t="s">
        <v>1616</v>
      </c>
      <c r="E294" s="32" t="s">
        <v>629</v>
      </c>
      <c r="F294" s="32" t="s">
        <v>907</v>
      </c>
      <c r="G294" s="32">
        <f>IFERROR(INDEX(Ship!M$31:N$4500,MATCH(C294,Ship!M$31:M$4500,0),2),0)</f>
        <v>0</v>
      </c>
    </row>
    <row r="295" spans="1:7" x14ac:dyDescent="0.25">
      <c r="A295" s="32" t="s">
        <v>953</v>
      </c>
      <c r="B295" s="32" t="s">
        <v>954</v>
      </c>
      <c r="C295" s="32" t="s">
        <v>1775</v>
      </c>
      <c r="D295" s="32" t="s">
        <v>1617</v>
      </c>
      <c r="E295" s="32" t="s">
        <v>629</v>
      </c>
      <c r="F295" s="32" t="s">
        <v>907</v>
      </c>
      <c r="G295" s="32">
        <f>IFERROR(INDEX(Ship!M$31:N$4500,MATCH(C295,Ship!M$31:M$4500,0),2),0)</f>
        <v>0</v>
      </c>
    </row>
    <row r="296" spans="1:7" x14ac:dyDescent="0.25">
      <c r="A296" s="32" t="s">
        <v>953</v>
      </c>
      <c r="B296" s="32" t="s">
        <v>954</v>
      </c>
      <c r="C296" s="32" t="s">
        <v>1776</v>
      </c>
      <c r="D296" s="32" t="s">
        <v>1619</v>
      </c>
      <c r="E296" s="32" t="s">
        <v>629</v>
      </c>
      <c r="F296" s="32" t="s">
        <v>907</v>
      </c>
      <c r="G296" s="32">
        <f>IFERROR(INDEX(Ship!M$31:N$4500,MATCH(C296,Ship!M$31:M$4500,0),2),0)</f>
        <v>0</v>
      </c>
    </row>
    <row r="297" spans="1:7" x14ac:dyDescent="0.25">
      <c r="A297" s="32" t="s">
        <v>953</v>
      </c>
      <c r="B297" s="32" t="s">
        <v>954</v>
      </c>
      <c r="C297" s="32" t="s">
        <v>1777</v>
      </c>
      <c r="D297" s="32" t="s">
        <v>1620</v>
      </c>
      <c r="E297" s="32" t="s">
        <v>629</v>
      </c>
      <c r="F297" s="32" t="s">
        <v>907</v>
      </c>
      <c r="G297" s="32">
        <f>IFERROR(INDEX(Ship!M$31:N$4500,MATCH(C297,Ship!M$31:M$4500,0),2),0)</f>
        <v>0</v>
      </c>
    </row>
    <row r="298" spans="1:7" x14ac:dyDescent="0.25">
      <c r="A298" s="32" t="s">
        <v>953</v>
      </c>
      <c r="B298" s="32" t="s">
        <v>954</v>
      </c>
      <c r="C298" s="32" t="s">
        <v>1778</v>
      </c>
      <c r="D298" s="32" t="s">
        <v>1622</v>
      </c>
      <c r="E298" s="32" t="s">
        <v>629</v>
      </c>
      <c r="F298" s="32" t="s">
        <v>907</v>
      </c>
      <c r="G298" s="32">
        <f>IFERROR(INDEX(Ship!M$31:N$4500,MATCH(C298,Ship!M$31:M$4500,0),2),0)</f>
        <v>0</v>
      </c>
    </row>
    <row r="299" spans="1:7" x14ac:dyDescent="0.25">
      <c r="A299" s="32" t="s">
        <v>953</v>
      </c>
      <c r="B299" s="32" t="s">
        <v>954</v>
      </c>
      <c r="C299" s="32" t="s">
        <v>1779</v>
      </c>
      <c r="D299" s="32" t="s">
        <v>1623</v>
      </c>
      <c r="E299" s="32" t="s">
        <v>629</v>
      </c>
      <c r="F299" s="32" t="s">
        <v>907</v>
      </c>
      <c r="G299" s="32">
        <f>IFERROR(INDEX(Ship!M$31:N$4500,MATCH(C299,Ship!M$31:M$4500,0),2),0)</f>
        <v>0</v>
      </c>
    </row>
    <row r="300" spans="1:7" x14ac:dyDescent="0.25">
      <c r="A300" s="32" t="s">
        <v>953</v>
      </c>
      <c r="B300" s="32" t="s">
        <v>954</v>
      </c>
      <c r="C300" s="32" t="s">
        <v>1780</v>
      </c>
      <c r="D300" s="32" t="s">
        <v>1625</v>
      </c>
      <c r="E300" s="32" t="s">
        <v>629</v>
      </c>
      <c r="F300" s="32" t="s">
        <v>907</v>
      </c>
      <c r="G300" s="32">
        <f>IFERROR(INDEX(Ship!M$31:N$4500,MATCH(C300,Ship!M$31:M$4500,0),2),0)</f>
        <v>0</v>
      </c>
    </row>
    <row r="301" spans="1:7" x14ac:dyDescent="0.25">
      <c r="A301" s="32" t="s">
        <v>953</v>
      </c>
      <c r="B301" s="32" t="s">
        <v>954</v>
      </c>
      <c r="C301" s="32" t="s">
        <v>1781</v>
      </c>
      <c r="D301" s="32" t="s">
        <v>1626</v>
      </c>
      <c r="E301" s="32" t="s">
        <v>629</v>
      </c>
      <c r="F301" s="32" t="s">
        <v>907</v>
      </c>
      <c r="G301" s="32">
        <f>IFERROR(INDEX(Ship!M$31:N$4500,MATCH(C301,Ship!M$31:M$4500,0),2),0)</f>
        <v>0</v>
      </c>
    </row>
    <row r="302" spans="1:7" x14ac:dyDescent="0.25">
      <c r="A302" s="32" t="s">
        <v>953</v>
      </c>
      <c r="B302" s="32" t="s">
        <v>954</v>
      </c>
      <c r="C302" s="32" t="s">
        <v>1782</v>
      </c>
      <c r="D302" s="32" t="s">
        <v>1628</v>
      </c>
      <c r="E302" s="32" t="s">
        <v>629</v>
      </c>
      <c r="F302" s="32" t="s">
        <v>907</v>
      </c>
      <c r="G302" s="32">
        <f>IFERROR(INDEX(Ship!M$31:N$4500,MATCH(C302,Ship!M$31:M$4500,0),2),0)</f>
        <v>0</v>
      </c>
    </row>
    <row r="303" spans="1:7" x14ac:dyDescent="0.25">
      <c r="A303" s="32" t="s">
        <v>953</v>
      </c>
      <c r="B303" s="32" t="s">
        <v>954</v>
      </c>
      <c r="C303" s="32" t="s">
        <v>1783</v>
      </c>
      <c r="D303" s="32" t="s">
        <v>1629</v>
      </c>
      <c r="E303" s="32" t="s">
        <v>629</v>
      </c>
      <c r="F303" s="32" t="s">
        <v>907</v>
      </c>
      <c r="G303" s="32">
        <f>IFERROR(INDEX(Ship!M$31:N$4500,MATCH(C303,Ship!M$31:M$4500,0),2),0)</f>
        <v>0</v>
      </c>
    </row>
    <row r="304" spans="1:7" x14ac:dyDescent="0.25">
      <c r="A304" s="32" t="s">
        <v>953</v>
      </c>
      <c r="B304" s="32" t="s">
        <v>954</v>
      </c>
      <c r="C304" s="32" t="s">
        <v>1784</v>
      </c>
      <c r="D304" s="32" t="s">
        <v>1631</v>
      </c>
      <c r="E304" s="32" t="s">
        <v>629</v>
      </c>
      <c r="F304" s="32" t="s">
        <v>907</v>
      </c>
      <c r="G304" s="32">
        <f>IFERROR(INDEX(Ship!M$31:N$4500,MATCH(C304,Ship!M$31:M$4500,0),2),0)</f>
        <v>0</v>
      </c>
    </row>
    <row r="305" spans="1:7" x14ac:dyDescent="0.25">
      <c r="A305" s="32" t="s">
        <v>953</v>
      </c>
      <c r="B305" s="32" t="s">
        <v>954</v>
      </c>
      <c r="C305" s="32" t="s">
        <v>1785</v>
      </c>
      <c r="D305" s="32" t="s">
        <v>1632</v>
      </c>
      <c r="E305" s="32" t="s">
        <v>629</v>
      </c>
      <c r="F305" s="32" t="s">
        <v>907</v>
      </c>
      <c r="G305" s="32">
        <f>IFERROR(INDEX(Ship!M$31:N$4500,MATCH(C305,Ship!M$31:M$4500,0),2),0)</f>
        <v>0</v>
      </c>
    </row>
    <row r="306" spans="1:7" x14ac:dyDescent="0.25">
      <c r="A306" s="32" t="s">
        <v>953</v>
      </c>
      <c r="B306" s="32" t="s">
        <v>954</v>
      </c>
      <c r="C306" s="32" t="s">
        <v>1786</v>
      </c>
      <c r="D306" s="32" t="s">
        <v>1634</v>
      </c>
      <c r="E306" s="32" t="s">
        <v>629</v>
      </c>
      <c r="F306" s="32" t="s">
        <v>907</v>
      </c>
      <c r="G306" s="32">
        <f>IFERROR(INDEX(Ship!M$31:N$4500,MATCH(C306,Ship!M$31:M$4500,0),2),0)</f>
        <v>0</v>
      </c>
    </row>
    <row r="307" spans="1:7" x14ac:dyDescent="0.25">
      <c r="A307" s="32" t="s">
        <v>953</v>
      </c>
      <c r="B307" s="32" t="s">
        <v>954</v>
      </c>
      <c r="C307" s="32" t="s">
        <v>1787</v>
      </c>
      <c r="D307" s="32" t="s">
        <v>1635</v>
      </c>
      <c r="E307" s="32" t="s">
        <v>629</v>
      </c>
      <c r="F307" s="32" t="s">
        <v>907</v>
      </c>
      <c r="G307" s="32">
        <f>IFERROR(INDEX(Ship!M$31:N$4500,MATCH(C307,Ship!M$31:M$4500,0),2),0)</f>
        <v>0</v>
      </c>
    </row>
    <row r="308" spans="1:7" x14ac:dyDescent="0.25">
      <c r="A308" s="32" t="s">
        <v>953</v>
      </c>
      <c r="B308" s="32" t="s">
        <v>954</v>
      </c>
      <c r="C308" s="32" t="s">
        <v>1788</v>
      </c>
      <c r="D308" s="32" t="s">
        <v>1637</v>
      </c>
      <c r="E308" s="32" t="s">
        <v>629</v>
      </c>
      <c r="F308" s="32" t="s">
        <v>907</v>
      </c>
      <c r="G308" s="32">
        <f>IFERROR(INDEX(Ship!M$31:N$4500,MATCH(C308,Ship!M$31:M$4500,0),2),0)</f>
        <v>0</v>
      </c>
    </row>
    <row r="309" spans="1:7" x14ac:dyDescent="0.25">
      <c r="A309" s="32" t="s">
        <v>953</v>
      </c>
      <c r="B309" s="32" t="s">
        <v>954</v>
      </c>
      <c r="C309" s="32" t="s">
        <v>1789</v>
      </c>
      <c r="D309" s="32" t="s">
        <v>1638</v>
      </c>
      <c r="E309" s="32" t="s">
        <v>629</v>
      </c>
      <c r="F309" s="32" t="s">
        <v>907</v>
      </c>
      <c r="G309" s="32">
        <f>IFERROR(INDEX(Ship!M$31:N$4500,MATCH(C309,Ship!M$31:M$4500,0),2),0)</f>
        <v>0</v>
      </c>
    </row>
    <row r="310" spans="1:7" x14ac:dyDescent="0.25">
      <c r="A310" s="32" t="s">
        <v>953</v>
      </c>
      <c r="B310" s="32" t="s">
        <v>954</v>
      </c>
      <c r="C310" s="32" t="s">
        <v>1790</v>
      </c>
      <c r="D310" s="32" t="s">
        <v>1640</v>
      </c>
      <c r="E310" s="32" t="s">
        <v>629</v>
      </c>
      <c r="F310" s="32" t="s">
        <v>907</v>
      </c>
      <c r="G310" s="32">
        <f>IFERROR(INDEX(Ship!M$31:N$4500,MATCH(C310,Ship!M$31:M$4500,0),2),0)</f>
        <v>0</v>
      </c>
    </row>
    <row r="311" spans="1:7" x14ac:dyDescent="0.25">
      <c r="A311" s="32" t="s">
        <v>953</v>
      </c>
      <c r="B311" s="32" t="s">
        <v>954</v>
      </c>
      <c r="C311" s="32" t="s">
        <v>1791</v>
      </c>
      <c r="D311" s="32" t="s">
        <v>1641</v>
      </c>
      <c r="E311" s="32" t="s">
        <v>629</v>
      </c>
      <c r="F311" s="32" t="s">
        <v>907</v>
      </c>
      <c r="G311" s="32">
        <f>IFERROR(INDEX(Ship!M$31:N$4500,MATCH(C311,Ship!M$31:M$4500,0),2),0)</f>
        <v>0</v>
      </c>
    </row>
    <row r="312" spans="1:7" x14ac:dyDescent="0.25">
      <c r="A312" s="32" t="s">
        <v>953</v>
      </c>
      <c r="B312" s="32" t="s">
        <v>954</v>
      </c>
      <c r="C312" s="32" t="s">
        <v>1792</v>
      </c>
      <c r="D312" s="32" t="s">
        <v>1643</v>
      </c>
      <c r="E312" s="32" t="s">
        <v>629</v>
      </c>
      <c r="F312" s="32" t="s">
        <v>907</v>
      </c>
      <c r="G312" s="32">
        <f>IFERROR(INDEX(Ship!M$31:N$4500,MATCH(C312,Ship!M$31:M$4500,0),2),0)</f>
        <v>0</v>
      </c>
    </row>
    <row r="313" spans="1:7" x14ac:dyDescent="0.25">
      <c r="A313" s="32" t="s">
        <v>953</v>
      </c>
      <c r="B313" s="32" t="s">
        <v>954</v>
      </c>
      <c r="C313" s="32" t="s">
        <v>1793</v>
      </c>
      <c r="D313" s="32" t="s">
        <v>1644</v>
      </c>
      <c r="E313" s="32" t="s">
        <v>629</v>
      </c>
      <c r="F313" s="32" t="s">
        <v>907</v>
      </c>
      <c r="G313" s="32">
        <f>IFERROR(INDEX(Ship!M$31:N$4500,MATCH(C313,Ship!M$31:M$4500,0),2),0)</f>
        <v>0</v>
      </c>
    </row>
    <row r="314" spans="1:7" x14ac:dyDescent="0.25">
      <c r="A314" s="32" t="s">
        <v>953</v>
      </c>
      <c r="B314" s="32" t="s">
        <v>954</v>
      </c>
      <c r="C314" s="32" t="s">
        <v>1794</v>
      </c>
      <c r="D314" s="32" t="s">
        <v>1646</v>
      </c>
      <c r="E314" s="32" t="s">
        <v>629</v>
      </c>
      <c r="F314" s="32" t="s">
        <v>907</v>
      </c>
      <c r="G314" s="32">
        <f>IFERROR(INDEX(Ship!M$31:N$4500,MATCH(C314,Ship!M$31:M$4500,0),2),0)</f>
        <v>0</v>
      </c>
    </row>
    <row r="315" spans="1:7" x14ac:dyDescent="0.25">
      <c r="A315" s="32" t="s">
        <v>953</v>
      </c>
      <c r="B315" s="32" t="s">
        <v>954</v>
      </c>
      <c r="C315" s="32" t="s">
        <v>1795</v>
      </c>
      <c r="D315" s="32" t="s">
        <v>1647</v>
      </c>
      <c r="E315" s="32" t="s">
        <v>629</v>
      </c>
      <c r="F315" s="32" t="s">
        <v>907</v>
      </c>
      <c r="G315" s="32">
        <f>IFERROR(INDEX(Ship!M$31:N$4500,MATCH(C315,Ship!M$31:M$4500,0),2),0)</f>
        <v>0</v>
      </c>
    </row>
    <row r="316" spans="1:7" x14ac:dyDescent="0.25">
      <c r="A316" s="32" t="s">
        <v>953</v>
      </c>
      <c r="B316" s="32" t="s">
        <v>954</v>
      </c>
      <c r="C316" s="32" t="s">
        <v>1796</v>
      </c>
      <c r="D316" s="32" t="s">
        <v>1649</v>
      </c>
      <c r="E316" s="32" t="s">
        <v>629</v>
      </c>
      <c r="F316" s="32" t="s">
        <v>907</v>
      </c>
      <c r="G316" s="32">
        <f>IFERROR(INDEX(Ship!M$31:N$4500,MATCH(C316,Ship!M$31:M$4500,0),2),0)</f>
        <v>0</v>
      </c>
    </row>
    <row r="317" spans="1:7" x14ac:dyDescent="0.25">
      <c r="A317" s="32" t="s">
        <v>953</v>
      </c>
      <c r="B317" s="32" t="s">
        <v>954</v>
      </c>
      <c r="C317" s="32" t="s">
        <v>1797</v>
      </c>
      <c r="D317" s="32" t="s">
        <v>1650</v>
      </c>
      <c r="E317" s="32" t="s">
        <v>629</v>
      </c>
      <c r="F317" s="32" t="s">
        <v>907</v>
      </c>
      <c r="G317" s="32">
        <f>IFERROR(INDEX(Ship!M$31:N$4500,MATCH(C317,Ship!M$31:M$4500,0),2),0)</f>
        <v>0</v>
      </c>
    </row>
    <row r="318" spans="1:7" x14ac:dyDescent="0.25">
      <c r="A318" s="32" t="s">
        <v>953</v>
      </c>
      <c r="B318" s="32" t="s">
        <v>954</v>
      </c>
      <c r="C318" s="32" t="s">
        <v>1798</v>
      </c>
      <c r="D318" s="32" t="s">
        <v>1652</v>
      </c>
      <c r="E318" s="32" t="s">
        <v>629</v>
      </c>
      <c r="F318" s="32" t="s">
        <v>907</v>
      </c>
      <c r="G318" s="32">
        <f>IFERROR(INDEX(Ship!M$31:N$4500,MATCH(C318,Ship!M$31:M$4500,0),2),0)</f>
        <v>0</v>
      </c>
    </row>
    <row r="319" spans="1:7" x14ac:dyDescent="0.25">
      <c r="A319" s="32" t="s">
        <v>953</v>
      </c>
      <c r="B319" s="32" t="s">
        <v>954</v>
      </c>
      <c r="C319" s="32" t="s">
        <v>1799</v>
      </c>
      <c r="D319" s="32" t="s">
        <v>1653</v>
      </c>
      <c r="E319" s="32" t="s">
        <v>629</v>
      </c>
      <c r="F319" s="32" t="s">
        <v>907</v>
      </c>
      <c r="G319" s="32">
        <f>IFERROR(INDEX(Ship!M$31:N$4500,MATCH(C319,Ship!M$31:M$4500,0),2),0)</f>
        <v>0</v>
      </c>
    </row>
    <row r="320" spans="1:7" x14ac:dyDescent="0.25">
      <c r="A320" s="32" t="s">
        <v>953</v>
      </c>
      <c r="B320" s="32" t="s">
        <v>954</v>
      </c>
      <c r="C320" s="32" t="s">
        <v>1800</v>
      </c>
      <c r="D320" s="32" t="s">
        <v>1655</v>
      </c>
      <c r="E320" s="32" t="s">
        <v>629</v>
      </c>
      <c r="F320" s="32" t="s">
        <v>907</v>
      </c>
      <c r="G320" s="32">
        <f>IFERROR(INDEX(Ship!M$31:N$4500,MATCH(C320,Ship!M$31:M$4500,0),2),0)</f>
        <v>0</v>
      </c>
    </row>
    <row r="321" spans="1:7" x14ac:dyDescent="0.25">
      <c r="A321" s="32" t="s">
        <v>953</v>
      </c>
      <c r="B321" s="32" t="s">
        <v>954</v>
      </c>
      <c r="C321" s="32" t="s">
        <v>1801</v>
      </c>
      <c r="D321" s="32" t="s">
        <v>1656</v>
      </c>
      <c r="E321" s="32" t="s">
        <v>629</v>
      </c>
      <c r="F321" s="32" t="s">
        <v>907</v>
      </c>
      <c r="G321" s="32">
        <f>IFERROR(INDEX(Ship!M$31:N$4500,MATCH(C321,Ship!M$31:M$4500,0),2),0)</f>
        <v>0</v>
      </c>
    </row>
    <row r="322" spans="1:7" x14ac:dyDescent="0.25">
      <c r="A322" s="32" t="s">
        <v>953</v>
      </c>
      <c r="B322" s="32" t="s">
        <v>954</v>
      </c>
      <c r="C322" s="32" t="s">
        <v>1802</v>
      </c>
      <c r="D322" s="32" t="s">
        <v>1170</v>
      </c>
      <c r="E322" s="32" t="s">
        <v>629</v>
      </c>
      <c r="F322" s="32" t="s">
        <v>908</v>
      </c>
      <c r="G322" s="32">
        <f>IFERROR(INDEX(Ship!M$31:N$4500,MATCH(C322,Ship!M$31:M$4500,0),2),0)</f>
        <v>0</v>
      </c>
    </row>
    <row r="323" spans="1:7" x14ac:dyDescent="0.25">
      <c r="A323" s="32" t="s">
        <v>953</v>
      </c>
      <c r="B323" s="32" t="s">
        <v>954</v>
      </c>
      <c r="C323" s="32" t="s">
        <v>1803</v>
      </c>
      <c r="D323" s="32" t="s">
        <v>1174</v>
      </c>
      <c r="E323" s="32" t="s">
        <v>629</v>
      </c>
      <c r="F323" s="32" t="s">
        <v>908</v>
      </c>
      <c r="G323" s="32">
        <f>IFERROR(INDEX(Ship!M$31:N$4500,MATCH(C323,Ship!M$31:M$4500,0),2),0)</f>
        <v>0</v>
      </c>
    </row>
    <row r="324" spans="1:7" x14ac:dyDescent="0.25">
      <c r="A324" s="32" t="s">
        <v>953</v>
      </c>
      <c r="B324" s="32" t="s">
        <v>954</v>
      </c>
      <c r="C324" s="32" t="s">
        <v>1804</v>
      </c>
      <c r="D324" s="32" t="s">
        <v>1177</v>
      </c>
      <c r="E324" s="32" t="s">
        <v>629</v>
      </c>
      <c r="F324" s="32" t="s">
        <v>908</v>
      </c>
      <c r="G324" s="32">
        <f>IFERROR(INDEX(Ship!M$31:N$4500,MATCH(C324,Ship!M$31:M$4500,0),2),0)</f>
        <v>0</v>
      </c>
    </row>
    <row r="325" spans="1:7" x14ac:dyDescent="0.25">
      <c r="A325" s="32" t="s">
        <v>953</v>
      </c>
      <c r="B325" s="32" t="s">
        <v>954</v>
      </c>
      <c r="C325" s="32" t="s">
        <v>1805</v>
      </c>
      <c r="D325" s="32" t="s">
        <v>1180</v>
      </c>
      <c r="E325" s="32" t="s">
        <v>629</v>
      </c>
      <c r="F325" s="32" t="s">
        <v>908</v>
      </c>
      <c r="G325" s="32">
        <f>IFERROR(INDEX(Ship!M$31:N$4500,MATCH(C325,Ship!M$31:M$4500,0),2),0)</f>
        <v>0</v>
      </c>
    </row>
    <row r="326" spans="1:7" x14ac:dyDescent="0.25">
      <c r="A326" s="32" t="s">
        <v>953</v>
      </c>
      <c r="B326" s="32" t="s">
        <v>954</v>
      </c>
      <c r="C326" s="32" t="s">
        <v>1806</v>
      </c>
      <c r="D326" s="32" t="s">
        <v>1183</v>
      </c>
      <c r="E326" s="32" t="s">
        <v>629</v>
      </c>
      <c r="F326" s="32" t="s">
        <v>908</v>
      </c>
      <c r="G326" s="32">
        <f>IFERROR(INDEX(Ship!M$31:N$4500,MATCH(C326,Ship!M$31:M$4500,0),2),0)</f>
        <v>0</v>
      </c>
    </row>
    <row r="327" spans="1:7" x14ac:dyDescent="0.25">
      <c r="A327" s="32" t="s">
        <v>953</v>
      </c>
      <c r="B327" s="32" t="s">
        <v>954</v>
      </c>
      <c r="C327" s="32" t="s">
        <v>1807</v>
      </c>
      <c r="D327" s="32" t="s">
        <v>1188</v>
      </c>
      <c r="E327" s="32" t="s">
        <v>629</v>
      </c>
      <c r="F327" s="32" t="s">
        <v>908</v>
      </c>
      <c r="G327" s="32">
        <f>IFERROR(INDEX(Ship!M$31:N$4500,MATCH(C327,Ship!M$31:M$4500,0),2),0)</f>
        <v>0</v>
      </c>
    </row>
    <row r="328" spans="1:7" x14ac:dyDescent="0.25">
      <c r="A328" s="32" t="s">
        <v>953</v>
      </c>
      <c r="B328" s="32" t="s">
        <v>954</v>
      </c>
      <c r="C328" s="32" t="s">
        <v>1808</v>
      </c>
      <c r="D328" s="32" t="s">
        <v>1191</v>
      </c>
      <c r="E328" s="32" t="s">
        <v>629</v>
      </c>
      <c r="F328" s="32" t="s">
        <v>908</v>
      </c>
      <c r="G328" s="32">
        <f>IFERROR(INDEX(Ship!M$31:N$4500,MATCH(C328,Ship!M$31:M$4500,0),2),0)</f>
        <v>0</v>
      </c>
    </row>
    <row r="329" spans="1:7" x14ac:dyDescent="0.25">
      <c r="A329" s="32" t="s">
        <v>953</v>
      </c>
      <c r="B329" s="32" t="s">
        <v>954</v>
      </c>
      <c r="C329" s="32" t="s">
        <v>1809</v>
      </c>
      <c r="D329" s="32" t="s">
        <v>1194</v>
      </c>
      <c r="E329" s="32" t="s">
        <v>629</v>
      </c>
      <c r="F329" s="32" t="s">
        <v>908</v>
      </c>
      <c r="G329" s="32">
        <f>IFERROR(INDEX(Ship!M$31:N$4500,MATCH(C329,Ship!M$31:M$4500,0),2),0)</f>
        <v>0</v>
      </c>
    </row>
    <row r="330" spans="1:7" x14ac:dyDescent="0.25">
      <c r="A330" s="32" t="s">
        <v>953</v>
      </c>
      <c r="B330" s="32" t="s">
        <v>954</v>
      </c>
      <c r="C330" s="32" t="s">
        <v>1810</v>
      </c>
      <c r="D330" s="32" t="s">
        <v>1197</v>
      </c>
      <c r="E330" s="32" t="s">
        <v>629</v>
      </c>
      <c r="F330" s="32" t="s">
        <v>908</v>
      </c>
      <c r="G330" s="32">
        <f>IFERROR(INDEX(Ship!M$31:N$4500,MATCH(C330,Ship!M$31:M$4500,0),2),0)</f>
        <v>0</v>
      </c>
    </row>
    <row r="331" spans="1:7" x14ac:dyDescent="0.25">
      <c r="A331" s="32" t="s">
        <v>953</v>
      </c>
      <c r="B331" s="32" t="s">
        <v>954</v>
      </c>
      <c r="C331" s="32" t="s">
        <v>1811</v>
      </c>
      <c r="D331" s="32" t="s">
        <v>1201</v>
      </c>
      <c r="E331" s="32" t="s">
        <v>629</v>
      </c>
      <c r="F331" s="32" t="s">
        <v>908</v>
      </c>
      <c r="G331" s="32">
        <f>IFERROR(INDEX(Ship!M$31:N$4500,MATCH(C331,Ship!M$31:M$4500,0),2),0)</f>
        <v>0</v>
      </c>
    </row>
    <row r="332" spans="1:7" x14ac:dyDescent="0.25">
      <c r="A332" s="32" t="s">
        <v>953</v>
      </c>
      <c r="B332" s="32" t="s">
        <v>954</v>
      </c>
      <c r="C332" s="32" t="s">
        <v>469</v>
      </c>
      <c r="D332" s="32" t="s">
        <v>1201</v>
      </c>
      <c r="E332" s="32" t="s">
        <v>629</v>
      </c>
      <c r="F332" s="32" t="s">
        <v>908</v>
      </c>
      <c r="G332" s="32">
        <f>IFERROR(INDEX(Ship!M$31:N$4500,MATCH(C332,Ship!M$31:M$4500,0),2),0)</f>
        <v>0</v>
      </c>
    </row>
    <row r="333" spans="1:7" x14ac:dyDescent="0.25">
      <c r="A333" s="32" t="s">
        <v>953</v>
      </c>
      <c r="B333" s="32" t="s">
        <v>954</v>
      </c>
      <c r="C333" s="32" t="s">
        <v>471</v>
      </c>
      <c r="D333" s="32" t="s">
        <v>1197</v>
      </c>
      <c r="E333" s="32" t="s">
        <v>629</v>
      </c>
      <c r="F333" s="32" t="s">
        <v>908</v>
      </c>
      <c r="G333" s="32">
        <f>IFERROR(INDEX(Ship!M$31:N$4500,MATCH(C333,Ship!M$31:M$4500,0),2),0)</f>
        <v>0</v>
      </c>
    </row>
    <row r="334" spans="1:7" x14ac:dyDescent="0.25">
      <c r="A334" s="32" t="s">
        <v>953</v>
      </c>
      <c r="B334" s="32" t="s">
        <v>954</v>
      </c>
      <c r="C334" s="32" t="s">
        <v>474</v>
      </c>
      <c r="D334" s="32" t="s">
        <v>1194</v>
      </c>
      <c r="E334" s="32" t="s">
        <v>629</v>
      </c>
      <c r="F334" s="32" t="s">
        <v>908</v>
      </c>
      <c r="G334" s="32">
        <f>IFERROR(INDEX(Ship!M$31:N$4500,MATCH(C334,Ship!M$31:M$4500,0),2),0)</f>
        <v>0</v>
      </c>
    </row>
    <row r="335" spans="1:7" x14ac:dyDescent="0.25">
      <c r="A335" s="32" t="s">
        <v>953</v>
      </c>
      <c r="B335" s="32" t="s">
        <v>954</v>
      </c>
      <c r="C335" s="32" t="s">
        <v>477</v>
      </c>
      <c r="D335" s="32" t="s">
        <v>1191</v>
      </c>
      <c r="E335" s="32" t="s">
        <v>629</v>
      </c>
      <c r="F335" s="32" t="s">
        <v>908</v>
      </c>
      <c r="G335" s="32">
        <f>IFERROR(INDEX(Ship!M$31:N$4500,MATCH(C335,Ship!M$31:M$4500,0),2),0)</f>
        <v>0</v>
      </c>
    </row>
    <row r="336" spans="1:7" x14ac:dyDescent="0.25">
      <c r="A336" s="32" t="s">
        <v>953</v>
      </c>
      <c r="B336" s="32" t="s">
        <v>954</v>
      </c>
      <c r="C336" s="32" t="s">
        <v>480</v>
      </c>
      <c r="D336" s="32" t="s">
        <v>1188</v>
      </c>
      <c r="E336" s="32" t="s">
        <v>629</v>
      </c>
      <c r="F336" s="32" t="s">
        <v>908</v>
      </c>
      <c r="G336" s="32">
        <f>IFERROR(INDEX(Ship!M$31:N$4500,MATCH(C336,Ship!M$31:M$4500,0),2),0)</f>
        <v>0</v>
      </c>
    </row>
    <row r="337" spans="1:7" x14ac:dyDescent="0.25">
      <c r="A337" s="32" t="s">
        <v>953</v>
      </c>
      <c r="B337" s="32" t="s">
        <v>954</v>
      </c>
      <c r="C337" s="32" t="s">
        <v>1812</v>
      </c>
      <c r="D337" s="32" t="s">
        <v>1183</v>
      </c>
      <c r="E337" s="32" t="s">
        <v>629</v>
      </c>
      <c r="F337" s="32" t="s">
        <v>908</v>
      </c>
      <c r="G337" s="32">
        <f>IFERROR(INDEX(Ship!M$31:N$4500,MATCH(C337,Ship!M$31:M$4500,0),2),0)</f>
        <v>0</v>
      </c>
    </row>
    <row r="338" spans="1:7" x14ac:dyDescent="0.25">
      <c r="A338" s="32" t="s">
        <v>953</v>
      </c>
      <c r="B338" s="32" t="s">
        <v>954</v>
      </c>
      <c r="C338" s="32" t="s">
        <v>1813</v>
      </c>
      <c r="D338" s="32" t="s">
        <v>1180</v>
      </c>
      <c r="E338" s="32" t="s">
        <v>629</v>
      </c>
      <c r="F338" s="32" t="s">
        <v>908</v>
      </c>
      <c r="G338" s="32">
        <f>IFERROR(INDEX(Ship!M$31:N$4500,MATCH(C338,Ship!M$31:M$4500,0),2),0)</f>
        <v>0</v>
      </c>
    </row>
    <row r="339" spans="1:7" x14ac:dyDescent="0.25">
      <c r="A339" s="32" t="s">
        <v>953</v>
      </c>
      <c r="B339" s="32" t="s">
        <v>954</v>
      </c>
      <c r="C339" s="32" t="s">
        <v>1814</v>
      </c>
      <c r="D339" s="32" t="s">
        <v>1177</v>
      </c>
      <c r="E339" s="32" t="s">
        <v>629</v>
      </c>
      <c r="F339" s="32" t="s">
        <v>908</v>
      </c>
      <c r="G339" s="32">
        <f>IFERROR(INDEX(Ship!M$31:N$4500,MATCH(C339,Ship!M$31:M$4500,0),2),0)</f>
        <v>0</v>
      </c>
    </row>
    <row r="340" spans="1:7" x14ac:dyDescent="0.25">
      <c r="A340" s="32" t="s">
        <v>953</v>
      </c>
      <c r="B340" s="32" t="s">
        <v>954</v>
      </c>
      <c r="C340" s="32" t="s">
        <v>1815</v>
      </c>
      <c r="D340" s="32" t="s">
        <v>1174</v>
      </c>
      <c r="E340" s="32" t="s">
        <v>629</v>
      </c>
      <c r="F340" s="32" t="s">
        <v>908</v>
      </c>
      <c r="G340" s="32">
        <f>IFERROR(INDEX(Ship!M$31:N$4500,MATCH(C340,Ship!M$31:M$4500,0),2),0)</f>
        <v>0</v>
      </c>
    </row>
    <row r="341" spans="1:7" x14ac:dyDescent="0.25">
      <c r="A341" s="32" t="s">
        <v>953</v>
      </c>
      <c r="B341" s="32" t="s">
        <v>954</v>
      </c>
      <c r="C341" s="32" t="s">
        <v>1816</v>
      </c>
      <c r="D341" s="32" t="s">
        <v>1170</v>
      </c>
      <c r="E341" s="32" t="s">
        <v>629</v>
      </c>
      <c r="F341" s="32" t="s">
        <v>908</v>
      </c>
      <c r="G341" s="32">
        <f>IFERROR(INDEX(Ship!M$31:N$4500,MATCH(C341,Ship!M$31:M$4500,0),2),0)</f>
        <v>0</v>
      </c>
    </row>
    <row r="342" spans="1:7" x14ac:dyDescent="0.25">
      <c r="A342" s="32" t="s">
        <v>953</v>
      </c>
      <c r="B342" s="32" t="s">
        <v>954</v>
      </c>
      <c r="C342" s="32" t="s">
        <v>421</v>
      </c>
      <c r="D342" s="32" t="s">
        <v>1140</v>
      </c>
      <c r="E342" s="32" t="s">
        <v>629</v>
      </c>
      <c r="F342" s="32" t="s">
        <v>909</v>
      </c>
      <c r="G342" s="32">
        <f>IFERROR(INDEX(Ship!M$31:N$4500,MATCH(C342,Ship!M$31:M$4500,0),2),0)</f>
        <v>0</v>
      </c>
    </row>
    <row r="343" spans="1:7" x14ac:dyDescent="0.25">
      <c r="A343" s="32" t="s">
        <v>953</v>
      </c>
      <c r="B343" s="32" t="s">
        <v>954</v>
      </c>
      <c r="C343" s="32" t="s">
        <v>422</v>
      </c>
      <c r="D343" s="32" t="s">
        <v>631</v>
      </c>
      <c r="E343" s="32" t="s">
        <v>629</v>
      </c>
      <c r="F343" s="32" t="s">
        <v>909</v>
      </c>
      <c r="G343" s="32">
        <f>IFERROR(INDEX(Ship!M$31:N$4500,MATCH(C343,Ship!M$31:M$4500,0),2),0)</f>
        <v>0</v>
      </c>
    </row>
    <row r="344" spans="1:7" x14ac:dyDescent="0.25">
      <c r="A344" s="32" t="s">
        <v>953</v>
      </c>
      <c r="B344" s="32" t="s">
        <v>954</v>
      </c>
      <c r="C344" s="32" t="s">
        <v>424</v>
      </c>
      <c r="D344" s="32" t="s">
        <v>630</v>
      </c>
      <c r="E344" s="32" t="s">
        <v>629</v>
      </c>
      <c r="F344" s="32" t="s">
        <v>909</v>
      </c>
      <c r="G344" s="32">
        <f>IFERROR(INDEX(Ship!M$31:N$4500,MATCH(C344,Ship!M$31:M$4500,0),2),0)</f>
        <v>0</v>
      </c>
    </row>
    <row r="345" spans="1:7" x14ac:dyDescent="0.25">
      <c r="A345" s="32" t="s">
        <v>953</v>
      </c>
      <c r="B345" s="32" t="s">
        <v>954</v>
      </c>
      <c r="C345" s="32" t="s">
        <v>426</v>
      </c>
      <c r="D345" s="32" t="s">
        <v>1145</v>
      </c>
      <c r="E345" s="32" t="s">
        <v>629</v>
      </c>
      <c r="F345" s="32" t="s">
        <v>909</v>
      </c>
      <c r="G345" s="32">
        <f>IFERROR(INDEX(Ship!M$31:N$4500,MATCH(C345,Ship!M$31:M$4500,0),2),0)</f>
        <v>0</v>
      </c>
    </row>
    <row r="346" spans="1:7" x14ac:dyDescent="0.25">
      <c r="A346" s="32" t="s">
        <v>953</v>
      </c>
      <c r="B346" s="32" t="s">
        <v>954</v>
      </c>
      <c r="C346" s="32" t="s">
        <v>428</v>
      </c>
      <c r="D346" s="32" t="s">
        <v>1147</v>
      </c>
      <c r="E346" s="32" t="s">
        <v>629</v>
      </c>
      <c r="F346" s="32" t="s">
        <v>909</v>
      </c>
      <c r="G346" s="32">
        <f>IFERROR(INDEX(Ship!M$31:N$4500,MATCH(C346,Ship!M$31:M$4500,0),2),0)</f>
        <v>0</v>
      </c>
    </row>
    <row r="347" spans="1:7" x14ac:dyDescent="0.25">
      <c r="A347" s="32" t="s">
        <v>953</v>
      </c>
      <c r="B347" s="32" t="s">
        <v>954</v>
      </c>
      <c r="C347" s="32" t="s">
        <v>430</v>
      </c>
      <c r="D347" s="32" t="s">
        <v>1149</v>
      </c>
      <c r="E347" s="32" t="s">
        <v>629</v>
      </c>
      <c r="F347" s="32" t="s">
        <v>909</v>
      </c>
      <c r="G347" s="32">
        <f>IFERROR(INDEX(Ship!M$31:N$4500,MATCH(C347,Ship!M$31:M$4500,0),2),0)</f>
        <v>0</v>
      </c>
    </row>
    <row r="348" spans="1:7" x14ac:dyDescent="0.25">
      <c r="A348" s="32" t="s">
        <v>953</v>
      </c>
      <c r="B348" s="32" t="s">
        <v>954</v>
      </c>
      <c r="C348" s="32" t="s">
        <v>432</v>
      </c>
      <c r="D348" s="32" t="s">
        <v>1151</v>
      </c>
      <c r="E348" s="32" t="s">
        <v>629</v>
      </c>
      <c r="F348" s="32" t="s">
        <v>909</v>
      </c>
      <c r="G348" s="32">
        <f>IFERROR(INDEX(Ship!M$31:N$4500,MATCH(C348,Ship!M$31:M$4500,0),2),0)</f>
        <v>0</v>
      </c>
    </row>
    <row r="349" spans="1:7" x14ac:dyDescent="0.25">
      <c r="A349" s="32" t="s">
        <v>953</v>
      </c>
      <c r="B349" s="32" t="s">
        <v>954</v>
      </c>
      <c r="C349" s="32" t="s">
        <v>434</v>
      </c>
      <c r="D349" s="32" t="s">
        <v>1153</v>
      </c>
      <c r="E349" s="32" t="s">
        <v>629</v>
      </c>
      <c r="F349" s="32" t="s">
        <v>909</v>
      </c>
      <c r="G349" s="32">
        <f>IFERROR(INDEX(Ship!M$31:N$4500,MATCH(C349,Ship!M$31:M$4500,0),2),0)</f>
        <v>0</v>
      </c>
    </row>
    <row r="350" spans="1:7" x14ac:dyDescent="0.25">
      <c r="A350" s="32" t="s">
        <v>953</v>
      </c>
      <c r="B350" s="32" t="s">
        <v>954</v>
      </c>
      <c r="C350" s="32" t="s">
        <v>435</v>
      </c>
      <c r="D350" s="32" t="s">
        <v>1154</v>
      </c>
      <c r="E350" s="32" t="s">
        <v>629</v>
      </c>
      <c r="F350" s="32" t="s">
        <v>909</v>
      </c>
      <c r="G350" s="32">
        <f>IFERROR(INDEX(Ship!M$31:N$4500,MATCH(C350,Ship!M$31:M$4500,0),2),0)</f>
        <v>0</v>
      </c>
    </row>
    <row r="351" spans="1:7" x14ac:dyDescent="0.25">
      <c r="A351" s="32" t="s">
        <v>953</v>
      </c>
      <c r="B351" s="32" t="s">
        <v>954</v>
      </c>
      <c r="C351" s="32" t="s">
        <v>437</v>
      </c>
      <c r="D351" s="32" t="s">
        <v>1156</v>
      </c>
      <c r="E351" s="32" t="s">
        <v>629</v>
      </c>
      <c r="F351" s="32" t="s">
        <v>909</v>
      </c>
      <c r="G351" s="32">
        <f>IFERROR(INDEX(Ship!M$31:N$4500,MATCH(C351,Ship!M$31:M$4500,0),2),0)</f>
        <v>0</v>
      </c>
    </row>
    <row r="352" spans="1:7" x14ac:dyDescent="0.25">
      <c r="A352" s="32" t="s">
        <v>953</v>
      </c>
      <c r="B352" s="32" t="s">
        <v>954</v>
      </c>
      <c r="C352" s="32" t="s">
        <v>439</v>
      </c>
      <c r="D352" s="32" t="s">
        <v>1158</v>
      </c>
      <c r="E352" s="32" t="s">
        <v>629</v>
      </c>
      <c r="F352" s="32" t="s">
        <v>909</v>
      </c>
      <c r="G352" s="32">
        <f>IFERROR(INDEX(Ship!M$31:N$4500,MATCH(C352,Ship!M$31:M$4500,0),2),0)</f>
        <v>0</v>
      </c>
    </row>
    <row r="353" spans="1:7" x14ac:dyDescent="0.25">
      <c r="A353" s="32" t="s">
        <v>953</v>
      </c>
      <c r="B353" s="32" t="s">
        <v>954</v>
      </c>
      <c r="C353" s="32" t="s">
        <v>441</v>
      </c>
      <c r="D353" s="32" t="s">
        <v>1160</v>
      </c>
      <c r="E353" s="32" t="s">
        <v>629</v>
      </c>
      <c r="F353" s="32" t="s">
        <v>909</v>
      </c>
      <c r="G353" s="32">
        <f>IFERROR(INDEX(Ship!M$31:N$4500,MATCH(C353,Ship!M$31:M$4500,0),2),0)</f>
        <v>0</v>
      </c>
    </row>
    <row r="354" spans="1:7" x14ac:dyDescent="0.25">
      <c r="A354" s="32" t="s">
        <v>953</v>
      </c>
      <c r="B354" s="32" t="s">
        <v>954</v>
      </c>
      <c r="C354" s="32" t="s">
        <v>442</v>
      </c>
      <c r="D354" s="32" t="s">
        <v>1161</v>
      </c>
      <c r="E354" s="32" t="s">
        <v>629</v>
      </c>
      <c r="F354" s="32" t="s">
        <v>909</v>
      </c>
      <c r="G354" s="32">
        <f>IFERROR(INDEX(Ship!M$31:N$4500,MATCH(C354,Ship!M$31:M$4500,0),2),0)</f>
        <v>0</v>
      </c>
    </row>
    <row r="355" spans="1:7" x14ac:dyDescent="0.25">
      <c r="A355" s="32" t="s">
        <v>953</v>
      </c>
      <c r="B355" s="32" t="s">
        <v>954</v>
      </c>
      <c r="C355" s="32" t="s">
        <v>444</v>
      </c>
      <c r="D355" s="32" t="s">
        <v>1163</v>
      </c>
      <c r="E355" s="32" t="s">
        <v>629</v>
      </c>
      <c r="F355" s="32" t="s">
        <v>909</v>
      </c>
      <c r="G355" s="32">
        <f>IFERROR(INDEX(Ship!M$31:N$4500,MATCH(C355,Ship!M$31:M$4500,0),2),0)</f>
        <v>0</v>
      </c>
    </row>
    <row r="356" spans="1:7" x14ac:dyDescent="0.25">
      <c r="A356" s="32" t="s">
        <v>953</v>
      </c>
      <c r="B356" s="32" t="s">
        <v>954</v>
      </c>
      <c r="C356" s="32" t="s">
        <v>446</v>
      </c>
      <c r="D356" s="32" t="s">
        <v>1165</v>
      </c>
      <c r="E356" s="32" t="s">
        <v>629</v>
      </c>
      <c r="F356" s="32" t="s">
        <v>909</v>
      </c>
      <c r="G356" s="32">
        <f>IFERROR(INDEX(Ship!M$31:N$4500,MATCH(C356,Ship!M$31:M$4500,0),2),0)</f>
        <v>0</v>
      </c>
    </row>
    <row r="357" spans="1:7" x14ac:dyDescent="0.25">
      <c r="A357" s="32" t="s">
        <v>953</v>
      </c>
      <c r="B357" s="32" t="s">
        <v>954</v>
      </c>
      <c r="C357" s="32" t="s">
        <v>447</v>
      </c>
      <c r="D357" s="32" t="s">
        <v>1167</v>
      </c>
      <c r="E357" s="32" t="s">
        <v>629</v>
      </c>
      <c r="F357" s="32" t="s">
        <v>909</v>
      </c>
      <c r="G357" s="32">
        <f>IFERROR(INDEX(Ship!M$31:N$4500,MATCH(C357,Ship!M$31:M$4500,0),2),0)</f>
        <v>0</v>
      </c>
    </row>
    <row r="358" spans="1:7" x14ac:dyDescent="0.25">
      <c r="A358" s="32" t="s">
        <v>953</v>
      </c>
      <c r="B358" s="32" t="s">
        <v>954</v>
      </c>
      <c r="C358" s="32" t="s">
        <v>1817</v>
      </c>
      <c r="D358" s="32" t="s">
        <v>1168</v>
      </c>
      <c r="E358" s="32" t="s">
        <v>629</v>
      </c>
      <c r="F358" s="32" t="s">
        <v>909</v>
      </c>
      <c r="G358" s="32">
        <f>IFERROR(INDEX(Ship!M$31:N$4500,MATCH(C358,Ship!M$31:M$4500,0),2),0)</f>
        <v>0</v>
      </c>
    </row>
    <row r="359" spans="1:7" x14ac:dyDescent="0.25">
      <c r="A359" s="32" t="s">
        <v>953</v>
      </c>
      <c r="B359" s="32" t="s">
        <v>954</v>
      </c>
      <c r="C359" s="32" t="s">
        <v>1818</v>
      </c>
      <c r="D359" s="32" t="s">
        <v>1169</v>
      </c>
      <c r="E359" s="32" t="s">
        <v>629</v>
      </c>
      <c r="F359" s="32" t="s">
        <v>909</v>
      </c>
      <c r="G359" s="32">
        <f>IFERROR(INDEX(Ship!M$31:N$4500,MATCH(C359,Ship!M$31:M$4500,0),2),0)</f>
        <v>0</v>
      </c>
    </row>
    <row r="360" spans="1:7" x14ac:dyDescent="0.25">
      <c r="A360" s="32" t="s">
        <v>953</v>
      </c>
      <c r="B360" s="32" t="s">
        <v>954</v>
      </c>
      <c r="C360" s="32" t="s">
        <v>1819</v>
      </c>
      <c r="D360" s="32" t="s">
        <v>1171</v>
      </c>
      <c r="E360" s="32" t="s">
        <v>629</v>
      </c>
      <c r="F360" s="32" t="s">
        <v>909</v>
      </c>
      <c r="G360" s="32">
        <f>IFERROR(INDEX(Ship!M$31:N$4500,MATCH(C360,Ship!M$31:M$4500,0),2),0)</f>
        <v>0</v>
      </c>
    </row>
    <row r="361" spans="1:7" x14ac:dyDescent="0.25">
      <c r="A361" s="32" t="s">
        <v>953</v>
      </c>
      <c r="B361" s="32" t="s">
        <v>954</v>
      </c>
      <c r="C361" s="32" t="s">
        <v>1820</v>
      </c>
      <c r="D361" s="32" t="s">
        <v>1172</v>
      </c>
      <c r="E361" s="32" t="s">
        <v>629</v>
      </c>
      <c r="F361" s="32" t="s">
        <v>909</v>
      </c>
      <c r="G361" s="32">
        <f>IFERROR(INDEX(Ship!M$31:N$4500,MATCH(C361,Ship!M$31:M$4500,0),2),0)</f>
        <v>0</v>
      </c>
    </row>
    <row r="362" spans="1:7" x14ac:dyDescent="0.25">
      <c r="A362" s="32" t="s">
        <v>953</v>
      </c>
      <c r="B362" s="32" t="s">
        <v>954</v>
      </c>
      <c r="C362" s="32" t="s">
        <v>1821</v>
      </c>
      <c r="D362" s="32" t="s">
        <v>1173</v>
      </c>
      <c r="E362" s="32" t="s">
        <v>629</v>
      </c>
      <c r="F362" s="32" t="s">
        <v>909</v>
      </c>
      <c r="G362" s="32">
        <f>IFERROR(INDEX(Ship!M$31:N$4500,MATCH(C362,Ship!M$31:M$4500,0),2),0)</f>
        <v>0</v>
      </c>
    </row>
    <row r="363" spans="1:7" x14ac:dyDescent="0.25">
      <c r="A363" s="32" t="s">
        <v>953</v>
      </c>
      <c r="B363" s="32" t="s">
        <v>954</v>
      </c>
      <c r="C363" s="32" t="s">
        <v>1822</v>
      </c>
      <c r="D363" s="32" t="s">
        <v>1175</v>
      </c>
      <c r="E363" s="32" t="s">
        <v>629</v>
      </c>
      <c r="F363" s="32" t="s">
        <v>909</v>
      </c>
      <c r="G363" s="32">
        <f>IFERROR(INDEX(Ship!M$31:N$4500,MATCH(C363,Ship!M$31:M$4500,0),2),0)</f>
        <v>0</v>
      </c>
    </row>
    <row r="364" spans="1:7" x14ac:dyDescent="0.25">
      <c r="A364" s="32" t="s">
        <v>953</v>
      </c>
      <c r="B364" s="32" t="s">
        <v>954</v>
      </c>
      <c r="C364" s="32" t="s">
        <v>1823</v>
      </c>
      <c r="D364" s="32" t="s">
        <v>1176</v>
      </c>
      <c r="E364" s="32" t="s">
        <v>629</v>
      </c>
      <c r="F364" s="32" t="s">
        <v>909</v>
      </c>
      <c r="G364" s="32">
        <f>IFERROR(INDEX(Ship!M$31:N$4500,MATCH(C364,Ship!M$31:M$4500,0),2),0)</f>
        <v>0</v>
      </c>
    </row>
    <row r="365" spans="1:7" x14ac:dyDescent="0.25">
      <c r="A365" s="32" t="s">
        <v>953</v>
      </c>
      <c r="B365" s="32" t="s">
        <v>954</v>
      </c>
      <c r="C365" s="32" t="s">
        <v>1824</v>
      </c>
      <c r="D365" s="32" t="s">
        <v>1178</v>
      </c>
      <c r="E365" s="32" t="s">
        <v>629</v>
      </c>
      <c r="F365" s="32" t="s">
        <v>909</v>
      </c>
      <c r="G365" s="32">
        <f>IFERROR(INDEX(Ship!M$31:N$4500,MATCH(C365,Ship!M$31:M$4500,0),2),0)</f>
        <v>0</v>
      </c>
    </row>
    <row r="366" spans="1:7" x14ac:dyDescent="0.25">
      <c r="A366" s="32" t="s">
        <v>953</v>
      </c>
      <c r="B366" s="32" t="s">
        <v>954</v>
      </c>
      <c r="C366" s="32" t="s">
        <v>1825</v>
      </c>
      <c r="D366" s="32" t="s">
        <v>1179</v>
      </c>
      <c r="E366" s="32" t="s">
        <v>629</v>
      </c>
      <c r="F366" s="32" t="s">
        <v>909</v>
      </c>
      <c r="G366" s="32">
        <f>IFERROR(INDEX(Ship!M$31:N$4500,MATCH(C366,Ship!M$31:M$4500,0),2),0)</f>
        <v>0</v>
      </c>
    </row>
    <row r="367" spans="1:7" x14ac:dyDescent="0.25">
      <c r="A367" s="32" t="s">
        <v>953</v>
      </c>
      <c r="B367" s="32" t="s">
        <v>954</v>
      </c>
      <c r="C367" s="32" t="s">
        <v>1826</v>
      </c>
      <c r="D367" s="32" t="s">
        <v>1181</v>
      </c>
      <c r="E367" s="32" t="s">
        <v>629</v>
      </c>
      <c r="F367" s="32" t="s">
        <v>909</v>
      </c>
      <c r="G367" s="32">
        <f>IFERROR(INDEX(Ship!M$31:N$4500,MATCH(C367,Ship!M$31:M$4500,0),2),0)</f>
        <v>0</v>
      </c>
    </row>
    <row r="368" spans="1:7" x14ac:dyDescent="0.25">
      <c r="A368" s="32" t="s">
        <v>953</v>
      </c>
      <c r="B368" s="32" t="s">
        <v>954</v>
      </c>
      <c r="C368" s="32" t="s">
        <v>1827</v>
      </c>
      <c r="D368" s="32" t="s">
        <v>1182</v>
      </c>
      <c r="E368" s="32" t="s">
        <v>629</v>
      </c>
      <c r="F368" s="32" t="s">
        <v>909</v>
      </c>
      <c r="G368" s="32">
        <f>IFERROR(INDEX(Ship!M$31:N$4500,MATCH(C368,Ship!M$31:M$4500,0),2),0)</f>
        <v>0</v>
      </c>
    </row>
    <row r="369" spans="1:7" x14ac:dyDescent="0.25">
      <c r="A369" s="32" t="s">
        <v>953</v>
      </c>
      <c r="B369" s="32" t="s">
        <v>954</v>
      </c>
      <c r="C369" s="32" t="s">
        <v>1828</v>
      </c>
      <c r="D369" s="32" t="s">
        <v>1184</v>
      </c>
      <c r="E369" s="32" t="s">
        <v>629</v>
      </c>
      <c r="F369" s="32" t="s">
        <v>909</v>
      </c>
      <c r="G369" s="32">
        <f>IFERROR(INDEX(Ship!M$31:N$4500,MATCH(C369,Ship!M$31:M$4500,0),2),0)</f>
        <v>0</v>
      </c>
    </row>
    <row r="370" spans="1:7" x14ac:dyDescent="0.25">
      <c r="A370" s="32" t="s">
        <v>953</v>
      </c>
      <c r="B370" s="32" t="s">
        <v>954</v>
      </c>
      <c r="C370" s="32" t="s">
        <v>1829</v>
      </c>
      <c r="D370" s="32" t="s">
        <v>1185</v>
      </c>
      <c r="E370" s="32" t="s">
        <v>629</v>
      </c>
      <c r="F370" s="32" t="s">
        <v>909</v>
      </c>
      <c r="G370" s="32">
        <f>IFERROR(INDEX(Ship!M$31:N$4500,MATCH(C370,Ship!M$31:M$4500,0),2),0)</f>
        <v>0</v>
      </c>
    </row>
    <row r="371" spans="1:7" x14ac:dyDescent="0.25">
      <c r="A371" s="32" t="s">
        <v>953</v>
      </c>
      <c r="B371" s="32" t="s">
        <v>954</v>
      </c>
      <c r="C371" s="32" t="s">
        <v>1830</v>
      </c>
      <c r="D371" s="32" t="s">
        <v>1186</v>
      </c>
      <c r="E371" s="32" t="s">
        <v>629</v>
      </c>
      <c r="F371" s="32" t="s">
        <v>909</v>
      </c>
      <c r="G371" s="32">
        <f>IFERROR(INDEX(Ship!M$31:N$4500,MATCH(C371,Ship!M$31:M$4500,0),2),0)</f>
        <v>0</v>
      </c>
    </row>
    <row r="372" spans="1:7" x14ac:dyDescent="0.25">
      <c r="A372" s="32" t="s">
        <v>953</v>
      </c>
      <c r="B372" s="32" t="s">
        <v>954</v>
      </c>
      <c r="C372" s="32" t="s">
        <v>1831</v>
      </c>
      <c r="D372" s="32" t="s">
        <v>1187</v>
      </c>
      <c r="E372" s="32" t="s">
        <v>629</v>
      </c>
      <c r="F372" s="32" t="s">
        <v>909</v>
      </c>
      <c r="G372" s="32">
        <f>IFERROR(INDEX(Ship!M$31:N$4500,MATCH(C372,Ship!M$31:M$4500,0),2),0)</f>
        <v>0</v>
      </c>
    </row>
    <row r="373" spans="1:7" x14ac:dyDescent="0.25">
      <c r="A373" s="32" t="s">
        <v>953</v>
      </c>
      <c r="B373" s="32" t="s">
        <v>954</v>
      </c>
      <c r="C373" s="32" t="s">
        <v>1832</v>
      </c>
      <c r="D373" s="32" t="s">
        <v>1189</v>
      </c>
      <c r="E373" s="32" t="s">
        <v>629</v>
      </c>
      <c r="F373" s="32" t="s">
        <v>909</v>
      </c>
      <c r="G373" s="32">
        <f>IFERROR(INDEX(Ship!M$31:N$4500,MATCH(C373,Ship!M$31:M$4500,0),2),0)</f>
        <v>0</v>
      </c>
    </row>
    <row r="374" spans="1:7" x14ac:dyDescent="0.25">
      <c r="A374" s="32" t="s">
        <v>953</v>
      </c>
      <c r="B374" s="32" t="s">
        <v>954</v>
      </c>
      <c r="C374" s="32" t="s">
        <v>1833</v>
      </c>
      <c r="D374" s="32" t="s">
        <v>1190</v>
      </c>
      <c r="E374" s="32" t="s">
        <v>629</v>
      </c>
      <c r="F374" s="32" t="s">
        <v>909</v>
      </c>
      <c r="G374" s="32">
        <f>IFERROR(INDEX(Ship!M$31:N$4500,MATCH(C374,Ship!M$31:M$4500,0),2),0)</f>
        <v>0</v>
      </c>
    </row>
    <row r="375" spans="1:7" x14ac:dyDescent="0.25">
      <c r="A375" s="32" t="s">
        <v>953</v>
      </c>
      <c r="B375" s="32" t="s">
        <v>954</v>
      </c>
      <c r="C375" s="32" t="s">
        <v>1834</v>
      </c>
      <c r="D375" s="32" t="s">
        <v>1192</v>
      </c>
      <c r="E375" s="32" t="s">
        <v>629</v>
      </c>
      <c r="F375" s="32" t="s">
        <v>909</v>
      </c>
      <c r="G375" s="32">
        <f>IFERROR(INDEX(Ship!M$31:N$4500,MATCH(C375,Ship!M$31:M$4500,0),2),0)</f>
        <v>0</v>
      </c>
    </row>
    <row r="376" spans="1:7" x14ac:dyDescent="0.25">
      <c r="A376" s="32" t="s">
        <v>953</v>
      </c>
      <c r="B376" s="32" t="s">
        <v>954</v>
      </c>
      <c r="C376" s="32" t="s">
        <v>1835</v>
      </c>
      <c r="D376" s="32" t="s">
        <v>1193</v>
      </c>
      <c r="E376" s="32" t="s">
        <v>629</v>
      </c>
      <c r="F376" s="32" t="s">
        <v>909</v>
      </c>
      <c r="G376" s="32">
        <f>IFERROR(INDEX(Ship!M$31:N$4500,MATCH(C376,Ship!M$31:M$4500,0),2),0)</f>
        <v>0</v>
      </c>
    </row>
    <row r="377" spans="1:7" x14ac:dyDescent="0.25">
      <c r="A377" s="32" t="s">
        <v>953</v>
      </c>
      <c r="B377" s="32" t="s">
        <v>954</v>
      </c>
      <c r="C377" s="32" t="s">
        <v>1836</v>
      </c>
      <c r="D377" s="32" t="s">
        <v>1195</v>
      </c>
      <c r="E377" s="32" t="s">
        <v>629</v>
      </c>
      <c r="F377" s="32" t="s">
        <v>909</v>
      </c>
      <c r="G377" s="32">
        <f>IFERROR(INDEX(Ship!M$31:N$4500,MATCH(C377,Ship!M$31:M$4500,0),2),0)</f>
        <v>0</v>
      </c>
    </row>
    <row r="378" spans="1:7" x14ac:dyDescent="0.25">
      <c r="A378" s="32" t="s">
        <v>953</v>
      </c>
      <c r="B378" s="32" t="s">
        <v>954</v>
      </c>
      <c r="C378" s="32" t="s">
        <v>1837</v>
      </c>
      <c r="D378" s="32" t="s">
        <v>1196</v>
      </c>
      <c r="E378" s="32" t="s">
        <v>629</v>
      </c>
      <c r="F378" s="32" t="s">
        <v>909</v>
      </c>
      <c r="G378" s="32">
        <f>IFERROR(INDEX(Ship!M$31:N$4500,MATCH(C378,Ship!M$31:M$4500,0),2),0)</f>
        <v>0</v>
      </c>
    </row>
    <row r="379" spans="1:7" x14ac:dyDescent="0.25">
      <c r="A379" s="32" t="s">
        <v>953</v>
      </c>
      <c r="B379" s="32" t="s">
        <v>954</v>
      </c>
      <c r="C379" s="32" t="s">
        <v>1838</v>
      </c>
      <c r="D379" s="32" t="s">
        <v>1198</v>
      </c>
      <c r="E379" s="32" t="s">
        <v>629</v>
      </c>
      <c r="F379" s="32" t="s">
        <v>909</v>
      </c>
      <c r="G379" s="32">
        <f>IFERROR(INDEX(Ship!M$31:N$4500,MATCH(C379,Ship!M$31:M$4500,0),2),0)</f>
        <v>0</v>
      </c>
    </row>
    <row r="380" spans="1:7" x14ac:dyDescent="0.25">
      <c r="A380" s="32" t="s">
        <v>953</v>
      </c>
      <c r="B380" s="32" t="s">
        <v>954</v>
      </c>
      <c r="C380" s="32" t="s">
        <v>1839</v>
      </c>
      <c r="D380" s="32" t="s">
        <v>1199</v>
      </c>
      <c r="E380" s="32" t="s">
        <v>629</v>
      </c>
      <c r="F380" s="32" t="s">
        <v>909</v>
      </c>
      <c r="G380" s="32">
        <f>IFERROR(INDEX(Ship!M$31:N$4500,MATCH(C380,Ship!M$31:M$4500,0),2),0)</f>
        <v>0</v>
      </c>
    </row>
    <row r="381" spans="1:7" x14ac:dyDescent="0.25">
      <c r="A381" s="32" t="s">
        <v>953</v>
      </c>
      <c r="B381" s="32" t="s">
        <v>954</v>
      </c>
      <c r="C381" s="32" t="s">
        <v>1840</v>
      </c>
      <c r="D381" s="32" t="s">
        <v>1200</v>
      </c>
      <c r="E381" s="32" t="s">
        <v>629</v>
      </c>
      <c r="F381" s="32" t="s">
        <v>909</v>
      </c>
      <c r="G381" s="32">
        <f>IFERROR(INDEX(Ship!M$31:N$4500,MATCH(C381,Ship!M$31:M$4500,0),2),0)</f>
        <v>0</v>
      </c>
    </row>
    <row r="382" spans="1:7" x14ac:dyDescent="0.25">
      <c r="A382" s="32" t="s">
        <v>953</v>
      </c>
      <c r="B382" s="32" t="s">
        <v>954</v>
      </c>
      <c r="C382" s="32" t="s">
        <v>448</v>
      </c>
      <c r="D382" s="32" t="s">
        <v>1202</v>
      </c>
      <c r="E382" s="32" t="s">
        <v>629</v>
      </c>
      <c r="F382" s="32" t="s">
        <v>909</v>
      </c>
      <c r="G382" s="32">
        <f>IFERROR(INDEX(Ship!M$31:N$4500,MATCH(C382,Ship!M$31:M$4500,0),2),0)</f>
        <v>0</v>
      </c>
    </row>
    <row r="383" spans="1:7" x14ac:dyDescent="0.25">
      <c r="A383" s="32" t="s">
        <v>953</v>
      </c>
      <c r="B383" s="32" t="s">
        <v>954</v>
      </c>
      <c r="C383" s="32" t="s">
        <v>449</v>
      </c>
      <c r="D383" s="32" t="s">
        <v>1203</v>
      </c>
      <c r="E383" s="32" t="s">
        <v>629</v>
      </c>
      <c r="F383" s="32" t="s">
        <v>909</v>
      </c>
      <c r="G383" s="32">
        <f>IFERROR(INDEX(Ship!M$31:N$4500,MATCH(C383,Ship!M$31:M$4500,0),2),0)</f>
        <v>0</v>
      </c>
    </row>
    <row r="384" spans="1:7" x14ac:dyDescent="0.25">
      <c r="A384" s="32" t="s">
        <v>953</v>
      </c>
      <c r="B384" s="32" t="s">
        <v>954</v>
      </c>
      <c r="C384" s="32" t="s">
        <v>450</v>
      </c>
      <c r="D384" s="32" t="s">
        <v>1204</v>
      </c>
      <c r="E384" s="32" t="s">
        <v>629</v>
      </c>
      <c r="F384" s="32" t="s">
        <v>909</v>
      </c>
      <c r="G384" s="32">
        <f>IFERROR(INDEX(Ship!M$31:N$4500,MATCH(C384,Ship!M$31:M$4500,0),2),0)</f>
        <v>0</v>
      </c>
    </row>
    <row r="385" spans="1:7" x14ac:dyDescent="0.25">
      <c r="A385" s="32" t="s">
        <v>953</v>
      </c>
      <c r="B385" s="32" t="s">
        <v>954</v>
      </c>
      <c r="C385" s="32" t="s">
        <v>451</v>
      </c>
      <c r="D385" s="32" t="s">
        <v>1205</v>
      </c>
      <c r="E385" s="32" t="s">
        <v>629</v>
      </c>
      <c r="F385" s="32" t="s">
        <v>909</v>
      </c>
      <c r="G385" s="32">
        <f>IFERROR(INDEX(Ship!M$31:N$4500,MATCH(C385,Ship!M$31:M$4500,0),2),0)</f>
        <v>0</v>
      </c>
    </row>
    <row r="386" spans="1:7" x14ac:dyDescent="0.25">
      <c r="A386" s="32" t="s">
        <v>953</v>
      </c>
      <c r="B386" s="32" t="s">
        <v>954</v>
      </c>
      <c r="C386" s="32" t="s">
        <v>452</v>
      </c>
      <c r="D386" s="32" t="s">
        <v>1206</v>
      </c>
      <c r="E386" s="32" t="s">
        <v>629</v>
      </c>
      <c r="F386" s="32" t="s">
        <v>909</v>
      </c>
      <c r="G386" s="32">
        <f>IFERROR(INDEX(Ship!M$31:N$4500,MATCH(C386,Ship!M$31:M$4500,0),2),0)</f>
        <v>0</v>
      </c>
    </row>
    <row r="387" spans="1:7" x14ac:dyDescent="0.25">
      <c r="A387" s="32" t="s">
        <v>953</v>
      </c>
      <c r="B387" s="32" t="s">
        <v>954</v>
      </c>
      <c r="C387" s="32" t="s">
        <v>453</v>
      </c>
      <c r="D387" s="32" t="s">
        <v>1207</v>
      </c>
      <c r="E387" s="32" t="s">
        <v>629</v>
      </c>
      <c r="F387" s="32" t="s">
        <v>909</v>
      </c>
      <c r="G387" s="32">
        <f>IFERROR(INDEX(Ship!M$31:N$4500,MATCH(C387,Ship!M$31:M$4500,0),2),0)</f>
        <v>0</v>
      </c>
    </row>
    <row r="388" spans="1:7" x14ac:dyDescent="0.25">
      <c r="A388" s="32" t="s">
        <v>953</v>
      </c>
      <c r="B388" s="32" t="s">
        <v>954</v>
      </c>
      <c r="C388" s="32" t="s">
        <v>454</v>
      </c>
      <c r="D388" s="32" t="s">
        <v>1208</v>
      </c>
      <c r="E388" s="32" t="s">
        <v>629</v>
      </c>
      <c r="F388" s="32" t="s">
        <v>909</v>
      </c>
      <c r="G388" s="32">
        <f>IFERROR(INDEX(Ship!M$31:N$4500,MATCH(C388,Ship!M$31:M$4500,0),2),0)</f>
        <v>0</v>
      </c>
    </row>
    <row r="389" spans="1:7" x14ac:dyDescent="0.25">
      <c r="A389" s="32" t="s">
        <v>953</v>
      </c>
      <c r="B389" s="32" t="s">
        <v>954</v>
      </c>
      <c r="C389" s="32" t="s">
        <v>455</v>
      </c>
      <c r="D389" s="32" t="s">
        <v>1209</v>
      </c>
      <c r="E389" s="32" t="s">
        <v>629</v>
      </c>
      <c r="F389" s="32" t="s">
        <v>909</v>
      </c>
      <c r="G389" s="32">
        <f>IFERROR(INDEX(Ship!M$31:N$4500,MATCH(C389,Ship!M$31:M$4500,0),2),0)</f>
        <v>0</v>
      </c>
    </row>
    <row r="390" spans="1:7" x14ac:dyDescent="0.25">
      <c r="A390" s="32" t="s">
        <v>953</v>
      </c>
      <c r="B390" s="32" t="s">
        <v>954</v>
      </c>
      <c r="C390" s="32" t="s">
        <v>456</v>
      </c>
      <c r="D390" s="32" t="s">
        <v>1210</v>
      </c>
      <c r="E390" s="32" t="s">
        <v>629</v>
      </c>
      <c r="F390" s="32" t="s">
        <v>909</v>
      </c>
      <c r="G390" s="32">
        <f>IFERROR(INDEX(Ship!M$31:N$4500,MATCH(C390,Ship!M$31:M$4500,0),2),0)</f>
        <v>0</v>
      </c>
    </row>
    <row r="391" spans="1:7" x14ac:dyDescent="0.25">
      <c r="A391" s="32" t="s">
        <v>953</v>
      </c>
      <c r="B391" s="32" t="s">
        <v>954</v>
      </c>
      <c r="C391" s="32" t="s">
        <v>457</v>
      </c>
      <c r="D391" s="32" t="s">
        <v>1211</v>
      </c>
      <c r="E391" s="32" t="s">
        <v>629</v>
      </c>
      <c r="F391" s="32" t="s">
        <v>909</v>
      </c>
      <c r="G391" s="32">
        <f>IFERROR(INDEX(Ship!M$31:N$4500,MATCH(C391,Ship!M$31:M$4500,0),2),0)</f>
        <v>0</v>
      </c>
    </row>
    <row r="392" spans="1:7" x14ac:dyDescent="0.25">
      <c r="A392" s="32" t="s">
        <v>953</v>
      </c>
      <c r="B392" s="32" t="s">
        <v>954</v>
      </c>
      <c r="C392" s="32" t="s">
        <v>458</v>
      </c>
      <c r="D392" s="32" t="s">
        <v>1212</v>
      </c>
      <c r="E392" s="32" t="s">
        <v>629</v>
      </c>
      <c r="F392" s="32" t="s">
        <v>909</v>
      </c>
      <c r="G392" s="32">
        <f>IFERROR(INDEX(Ship!M$31:N$4500,MATCH(C392,Ship!M$31:M$4500,0),2),0)</f>
        <v>0</v>
      </c>
    </row>
    <row r="393" spans="1:7" x14ac:dyDescent="0.25">
      <c r="A393" s="32" t="s">
        <v>953</v>
      </c>
      <c r="B393" s="32" t="s">
        <v>954</v>
      </c>
      <c r="C393" s="32" t="s">
        <v>459</v>
      </c>
      <c r="D393" s="32" t="s">
        <v>1212</v>
      </c>
      <c r="E393" s="32" t="s">
        <v>629</v>
      </c>
      <c r="F393" s="32" t="s">
        <v>909</v>
      </c>
      <c r="G393" s="32">
        <f>IFERROR(INDEX(Ship!M$31:N$4500,MATCH(C393,Ship!M$31:M$4500,0),2),0)</f>
        <v>0</v>
      </c>
    </row>
    <row r="394" spans="1:7" x14ac:dyDescent="0.25">
      <c r="A394" s="32" t="s">
        <v>953</v>
      </c>
      <c r="B394" s="32" t="s">
        <v>954</v>
      </c>
      <c r="C394" s="32" t="s">
        <v>460</v>
      </c>
      <c r="D394" s="32" t="s">
        <v>1211</v>
      </c>
      <c r="E394" s="32" t="s">
        <v>629</v>
      </c>
      <c r="F394" s="32" t="s">
        <v>909</v>
      </c>
      <c r="G394" s="32">
        <f>IFERROR(INDEX(Ship!M$31:N$4500,MATCH(C394,Ship!M$31:M$4500,0),2),0)</f>
        <v>0</v>
      </c>
    </row>
    <row r="395" spans="1:7" x14ac:dyDescent="0.25">
      <c r="A395" s="32" t="s">
        <v>953</v>
      </c>
      <c r="B395" s="32" t="s">
        <v>954</v>
      </c>
      <c r="C395" s="32" t="s">
        <v>461</v>
      </c>
      <c r="D395" s="32" t="s">
        <v>1210</v>
      </c>
      <c r="E395" s="32" t="s">
        <v>629</v>
      </c>
      <c r="F395" s="32" t="s">
        <v>909</v>
      </c>
      <c r="G395" s="32">
        <f>IFERROR(INDEX(Ship!M$31:N$4500,MATCH(C395,Ship!M$31:M$4500,0),2),0)</f>
        <v>0</v>
      </c>
    </row>
    <row r="396" spans="1:7" x14ac:dyDescent="0.25">
      <c r="A396" s="32" t="s">
        <v>953</v>
      </c>
      <c r="B396" s="32" t="s">
        <v>954</v>
      </c>
      <c r="C396" s="32" t="s">
        <v>462</v>
      </c>
      <c r="D396" s="32" t="s">
        <v>1209</v>
      </c>
      <c r="E396" s="32" t="s">
        <v>629</v>
      </c>
      <c r="F396" s="32" t="s">
        <v>909</v>
      </c>
      <c r="G396" s="32">
        <f>IFERROR(INDEX(Ship!M$31:N$4500,MATCH(C396,Ship!M$31:M$4500,0),2),0)</f>
        <v>0</v>
      </c>
    </row>
    <row r="397" spans="1:7" x14ac:dyDescent="0.25">
      <c r="A397" s="32" t="s">
        <v>953</v>
      </c>
      <c r="B397" s="32" t="s">
        <v>954</v>
      </c>
      <c r="C397" s="32" t="s">
        <v>463</v>
      </c>
      <c r="D397" s="32" t="s">
        <v>1208</v>
      </c>
      <c r="E397" s="32" t="s">
        <v>629</v>
      </c>
      <c r="F397" s="32" t="s">
        <v>909</v>
      </c>
      <c r="G397" s="32">
        <f>IFERROR(INDEX(Ship!M$31:N$4500,MATCH(C397,Ship!M$31:M$4500,0),2),0)</f>
        <v>0</v>
      </c>
    </row>
    <row r="398" spans="1:7" x14ac:dyDescent="0.25">
      <c r="A398" s="32" t="s">
        <v>953</v>
      </c>
      <c r="B398" s="32" t="s">
        <v>954</v>
      </c>
      <c r="C398" s="32" t="s">
        <v>464</v>
      </c>
      <c r="D398" s="32" t="s">
        <v>1207</v>
      </c>
      <c r="E398" s="32" t="s">
        <v>629</v>
      </c>
      <c r="F398" s="32" t="s">
        <v>909</v>
      </c>
      <c r="G398" s="32">
        <f>IFERROR(INDEX(Ship!M$31:N$4500,MATCH(C398,Ship!M$31:M$4500,0),2),0)</f>
        <v>0</v>
      </c>
    </row>
    <row r="399" spans="1:7" x14ac:dyDescent="0.25">
      <c r="A399" s="32" t="s">
        <v>953</v>
      </c>
      <c r="B399" s="32" t="s">
        <v>954</v>
      </c>
      <c r="C399" s="32" t="s">
        <v>465</v>
      </c>
      <c r="D399" s="32" t="s">
        <v>1206</v>
      </c>
      <c r="E399" s="32" t="s">
        <v>629</v>
      </c>
      <c r="F399" s="32" t="s">
        <v>909</v>
      </c>
      <c r="G399" s="32">
        <f>IFERROR(INDEX(Ship!M$31:N$4500,MATCH(C399,Ship!M$31:M$4500,0),2),0)</f>
        <v>0</v>
      </c>
    </row>
    <row r="400" spans="1:7" x14ac:dyDescent="0.25">
      <c r="A400" s="32" t="s">
        <v>953</v>
      </c>
      <c r="B400" s="32" t="s">
        <v>954</v>
      </c>
      <c r="C400" s="32" t="s">
        <v>952</v>
      </c>
      <c r="D400" s="32" t="s">
        <v>1205</v>
      </c>
      <c r="E400" s="32" t="s">
        <v>629</v>
      </c>
      <c r="F400" s="32" t="s">
        <v>909</v>
      </c>
      <c r="G400" s="32">
        <f>IFERROR(INDEX(Ship!M$31:N$4500,MATCH(C400,Ship!M$31:M$4500,0),2),0)</f>
        <v>0</v>
      </c>
    </row>
    <row r="401" spans="1:7" x14ac:dyDescent="0.25">
      <c r="A401" s="32" t="s">
        <v>953</v>
      </c>
      <c r="B401" s="32" t="s">
        <v>954</v>
      </c>
      <c r="C401" s="32" t="s">
        <v>466</v>
      </c>
      <c r="D401" s="32" t="s">
        <v>1204</v>
      </c>
      <c r="E401" s="32" t="s">
        <v>629</v>
      </c>
      <c r="F401" s="32" t="s">
        <v>909</v>
      </c>
      <c r="G401" s="32">
        <f>IFERROR(INDEX(Ship!M$31:N$4500,MATCH(C401,Ship!M$31:M$4500,0),2),0)</f>
        <v>0</v>
      </c>
    </row>
    <row r="402" spans="1:7" x14ac:dyDescent="0.25">
      <c r="A402" s="32" t="s">
        <v>953</v>
      </c>
      <c r="B402" s="32" t="s">
        <v>954</v>
      </c>
      <c r="C402" s="32" t="s">
        <v>467</v>
      </c>
      <c r="D402" s="32" t="s">
        <v>1203</v>
      </c>
      <c r="E402" s="32" t="s">
        <v>629</v>
      </c>
      <c r="F402" s="32" t="s">
        <v>909</v>
      </c>
      <c r="G402" s="32">
        <f>IFERROR(INDEX(Ship!M$31:N$4500,MATCH(C402,Ship!M$31:M$4500,0),2),0)</f>
        <v>0</v>
      </c>
    </row>
    <row r="403" spans="1:7" x14ac:dyDescent="0.25">
      <c r="A403" s="32" t="s">
        <v>953</v>
      </c>
      <c r="B403" s="32" t="s">
        <v>954</v>
      </c>
      <c r="C403" s="32" t="s">
        <v>468</v>
      </c>
      <c r="D403" s="32" t="s">
        <v>1202</v>
      </c>
      <c r="E403" s="32" t="s">
        <v>629</v>
      </c>
      <c r="F403" s="32" t="s">
        <v>909</v>
      </c>
      <c r="G403" s="32">
        <f>IFERROR(INDEX(Ship!M$31:N$4500,MATCH(C403,Ship!M$31:M$4500,0),2),0)</f>
        <v>0</v>
      </c>
    </row>
    <row r="404" spans="1:7" x14ac:dyDescent="0.25">
      <c r="A404" s="32" t="s">
        <v>953</v>
      </c>
      <c r="B404" s="32" t="s">
        <v>954</v>
      </c>
      <c r="C404" s="32" t="s">
        <v>912</v>
      </c>
      <c r="D404" s="32" t="s">
        <v>1200</v>
      </c>
      <c r="E404" s="32" t="s">
        <v>629</v>
      </c>
      <c r="F404" s="32" t="s">
        <v>909</v>
      </c>
      <c r="G404" s="32">
        <f>IFERROR(INDEX(Ship!M$31:N$4500,MATCH(C404,Ship!M$31:M$4500,0),2),0)</f>
        <v>0</v>
      </c>
    </row>
    <row r="405" spans="1:7" x14ac:dyDescent="0.25">
      <c r="A405" s="32" t="s">
        <v>953</v>
      </c>
      <c r="B405" s="32" t="s">
        <v>954</v>
      </c>
      <c r="C405" s="32" t="s">
        <v>951</v>
      </c>
      <c r="D405" s="32" t="s">
        <v>1199</v>
      </c>
      <c r="E405" s="32" t="s">
        <v>629</v>
      </c>
      <c r="F405" s="32" t="s">
        <v>909</v>
      </c>
      <c r="G405" s="32">
        <f>IFERROR(INDEX(Ship!M$31:N$4500,MATCH(C405,Ship!M$31:M$4500,0),2),0)</f>
        <v>0</v>
      </c>
    </row>
    <row r="406" spans="1:7" x14ac:dyDescent="0.25">
      <c r="A406" s="32" t="s">
        <v>953</v>
      </c>
      <c r="B406" s="32" t="s">
        <v>954</v>
      </c>
      <c r="C406" s="32" t="s">
        <v>470</v>
      </c>
      <c r="D406" s="32" t="s">
        <v>1198</v>
      </c>
      <c r="E406" s="32" t="s">
        <v>629</v>
      </c>
      <c r="F406" s="32" t="s">
        <v>909</v>
      </c>
      <c r="G406" s="32">
        <f>IFERROR(INDEX(Ship!M$31:N$4500,MATCH(C406,Ship!M$31:M$4500,0),2),0)</f>
        <v>0</v>
      </c>
    </row>
    <row r="407" spans="1:7" x14ac:dyDescent="0.25">
      <c r="A407" s="32" t="s">
        <v>953</v>
      </c>
      <c r="B407" s="32" t="s">
        <v>954</v>
      </c>
      <c r="C407" s="32" t="s">
        <v>472</v>
      </c>
      <c r="D407" s="32" t="s">
        <v>1196</v>
      </c>
      <c r="E407" s="32" t="s">
        <v>629</v>
      </c>
      <c r="F407" s="32" t="s">
        <v>909</v>
      </c>
      <c r="G407" s="32">
        <f>IFERROR(INDEX(Ship!M$31:N$4500,MATCH(C407,Ship!M$31:M$4500,0),2),0)</f>
        <v>0</v>
      </c>
    </row>
    <row r="408" spans="1:7" x14ac:dyDescent="0.25">
      <c r="A408" s="32" t="s">
        <v>953</v>
      </c>
      <c r="B408" s="32" t="s">
        <v>954</v>
      </c>
      <c r="C408" s="32" t="s">
        <v>473</v>
      </c>
      <c r="D408" s="32" t="s">
        <v>1195</v>
      </c>
      <c r="E408" s="32" t="s">
        <v>629</v>
      </c>
      <c r="F408" s="32" t="s">
        <v>909</v>
      </c>
      <c r="G408" s="32">
        <f>IFERROR(INDEX(Ship!M$31:N$4500,MATCH(C408,Ship!M$31:M$4500,0),2),0)</f>
        <v>0</v>
      </c>
    </row>
    <row r="409" spans="1:7" x14ac:dyDescent="0.25">
      <c r="A409" s="32" t="s">
        <v>953</v>
      </c>
      <c r="B409" s="32" t="s">
        <v>954</v>
      </c>
      <c r="C409" s="32" t="s">
        <v>475</v>
      </c>
      <c r="D409" s="32" t="s">
        <v>1193</v>
      </c>
      <c r="E409" s="32" t="s">
        <v>629</v>
      </c>
      <c r="F409" s="32" t="s">
        <v>909</v>
      </c>
      <c r="G409" s="32">
        <f>IFERROR(INDEX(Ship!M$31:N$4500,MATCH(C409,Ship!M$31:M$4500,0),2),0)</f>
        <v>0</v>
      </c>
    </row>
    <row r="410" spans="1:7" x14ac:dyDescent="0.25">
      <c r="A410" s="32" t="s">
        <v>953</v>
      </c>
      <c r="B410" s="32" t="s">
        <v>954</v>
      </c>
      <c r="C410" s="32" t="s">
        <v>476</v>
      </c>
      <c r="D410" s="32" t="s">
        <v>1192</v>
      </c>
      <c r="E410" s="32" t="s">
        <v>629</v>
      </c>
      <c r="F410" s="32" t="s">
        <v>909</v>
      </c>
      <c r="G410" s="32">
        <f>IFERROR(INDEX(Ship!M$31:N$4500,MATCH(C410,Ship!M$31:M$4500,0),2),0)</f>
        <v>0</v>
      </c>
    </row>
    <row r="411" spans="1:7" x14ac:dyDescent="0.25">
      <c r="A411" s="32" t="s">
        <v>953</v>
      </c>
      <c r="B411" s="32" t="s">
        <v>954</v>
      </c>
      <c r="C411" s="32" t="s">
        <v>478</v>
      </c>
      <c r="D411" s="32" t="s">
        <v>1190</v>
      </c>
      <c r="E411" s="32" t="s">
        <v>629</v>
      </c>
      <c r="F411" s="32" t="s">
        <v>909</v>
      </c>
      <c r="G411" s="32">
        <f>IFERROR(INDEX(Ship!M$31:N$4500,MATCH(C411,Ship!M$31:M$4500,0),2),0)</f>
        <v>0</v>
      </c>
    </row>
    <row r="412" spans="1:7" x14ac:dyDescent="0.25">
      <c r="A412" s="32" t="s">
        <v>953</v>
      </c>
      <c r="B412" s="32" t="s">
        <v>954</v>
      </c>
      <c r="C412" s="32" t="s">
        <v>479</v>
      </c>
      <c r="D412" s="32" t="s">
        <v>1189</v>
      </c>
      <c r="E412" s="32" t="s">
        <v>629</v>
      </c>
      <c r="F412" s="32" t="s">
        <v>909</v>
      </c>
      <c r="G412" s="32">
        <f>IFERROR(INDEX(Ship!M$31:N$4500,MATCH(C412,Ship!M$31:M$4500,0),2),0)</f>
        <v>0</v>
      </c>
    </row>
    <row r="413" spans="1:7" x14ac:dyDescent="0.25">
      <c r="A413" s="32" t="s">
        <v>953</v>
      </c>
      <c r="B413" s="32" t="s">
        <v>954</v>
      </c>
      <c r="C413" s="32" t="s">
        <v>481</v>
      </c>
      <c r="D413" s="32" t="s">
        <v>1187</v>
      </c>
      <c r="E413" s="32" t="s">
        <v>629</v>
      </c>
      <c r="F413" s="32" t="s">
        <v>909</v>
      </c>
      <c r="G413" s="32">
        <f>IFERROR(INDEX(Ship!M$31:N$4500,MATCH(C413,Ship!M$31:M$4500,0),2),0)</f>
        <v>0</v>
      </c>
    </row>
    <row r="414" spans="1:7" x14ac:dyDescent="0.25">
      <c r="A414" s="32" t="s">
        <v>953</v>
      </c>
      <c r="B414" s="32" t="s">
        <v>954</v>
      </c>
      <c r="C414" s="32" t="s">
        <v>1841</v>
      </c>
      <c r="D414" s="32" t="s">
        <v>1186</v>
      </c>
      <c r="E414" s="32" t="s">
        <v>629</v>
      </c>
      <c r="F414" s="32" t="s">
        <v>909</v>
      </c>
      <c r="G414" s="32">
        <f>IFERROR(INDEX(Ship!M$31:N$4500,MATCH(C414,Ship!M$31:M$4500,0),2),0)</f>
        <v>0</v>
      </c>
    </row>
    <row r="415" spans="1:7" x14ac:dyDescent="0.25">
      <c r="A415" s="32" t="s">
        <v>953</v>
      </c>
      <c r="B415" s="32" t="s">
        <v>954</v>
      </c>
      <c r="C415" s="32" t="s">
        <v>1842</v>
      </c>
      <c r="D415" s="32" t="s">
        <v>1185</v>
      </c>
      <c r="E415" s="32" t="s">
        <v>629</v>
      </c>
      <c r="F415" s="32" t="s">
        <v>909</v>
      </c>
      <c r="G415" s="32">
        <f>IFERROR(INDEX(Ship!M$31:N$4500,MATCH(C415,Ship!M$31:M$4500,0),2),0)</f>
        <v>0</v>
      </c>
    </row>
    <row r="416" spans="1:7" x14ac:dyDescent="0.25">
      <c r="A416" s="32" t="s">
        <v>953</v>
      </c>
      <c r="B416" s="32" t="s">
        <v>954</v>
      </c>
      <c r="C416" s="32" t="s">
        <v>1843</v>
      </c>
      <c r="D416" s="32" t="s">
        <v>1184</v>
      </c>
      <c r="E416" s="32" t="s">
        <v>629</v>
      </c>
      <c r="F416" s="32" t="s">
        <v>909</v>
      </c>
      <c r="G416" s="32">
        <f>IFERROR(INDEX(Ship!M$31:N$4500,MATCH(C416,Ship!M$31:M$4500,0),2),0)</f>
        <v>0</v>
      </c>
    </row>
    <row r="417" spans="1:7" x14ac:dyDescent="0.25">
      <c r="A417" s="32" t="s">
        <v>953</v>
      </c>
      <c r="B417" s="32" t="s">
        <v>954</v>
      </c>
      <c r="C417" s="32" t="s">
        <v>1844</v>
      </c>
      <c r="D417" s="32" t="s">
        <v>1182</v>
      </c>
      <c r="E417" s="32" t="s">
        <v>629</v>
      </c>
      <c r="F417" s="32" t="s">
        <v>909</v>
      </c>
      <c r="G417" s="32">
        <f>IFERROR(INDEX(Ship!M$31:N$4500,MATCH(C417,Ship!M$31:M$4500,0),2),0)</f>
        <v>0</v>
      </c>
    </row>
    <row r="418" spans="1:7" x14ac:dyDescent="0.25">
      <c r="A418" s="32" t="s">
        <v>953</v>
      </c>
      <c r="B418" s="32" t="s">
        <v>954</v>
      </c>
      <c r="C418" s="32" t="s">
        <v>1845</v>
      </c>
      <c r="D418" s="32" t="s">
        <v>1181</v>
      </c>
      <c r="E418" s="32" t="s">
        <v>629</v>
      </c>
      <c r="F418" s="32" t="s">
        <v>909</v>
      </c>
      <c r="G418" s="32">
        <f>IFERROR(INDEX(Ship!M$31:N$4500,MATCH(C418,Ship!M$31:M$4500,0),2),0)</f>
        <v>0</v>
      </c>
    </row>
    <row r="419" spans="1:7" x14ac:dyDescent="0.25">
      <c r="A419" s="32" t="s">
        <v>953</v>
      </c>
      <c r="B419" s="32" t="s">
        <v>954</v>
      </c>
      <c r="C419" s="32" t="s">
        <v>1846</v>
      </c>
      <c r="D419" s="32" t="s">
        <v>1179</v>
      </c>
      <c r="E419" s="32" t="s">
        <v>629</v>
      </c>
      <c r="F419" s="32" t="s">
        <v>909</v>
      </c>
      <c r="G419" s="32">
        <f>IFERROR(INDEX(Ship!M$31:N$4500,MATCH(C419,Ship!M$31:M$4500,0),2),0)</f>
        <v>0</v>
      </c>
    </row>
    <row r="420" spans="1:7" x14ac:dyDescent="0.25">
      <c r="A420" s="32" t="s">
        <v>953</v>
      </c>
      <c r="B420" s="32" t="s">
        <v>954</v>
      </c>
      <c r="C420" s="32" t="s">
        <v>1847</v>
      </c>
      <c r="D420" s="32" t="s">
        <v>1178</v>
      </c>
      <c r="E420" s="32" t="s">
        <v>629</v>
      </c>
      <c r="F420" s="32" t="s">
        <v>909</v>
      </c>
      <c r="G420" s="32">
        <f>IFERROR(INDEX(Ship!M$31:N$4500,MATCH(C420,Ship!M$31:M$4500,0),2),0)</f>
        <v>0</v>
      </c>
    </row>
    <row r="421" spans="1:7" x14ac:dyDescent="0.25">
      <c r="A421" s="32" t="s">
        <v>953</v>
      </c>
      <c r="B421" s="32" t="s">
        <v>954</v>
      </c>
      <c r="C421" s="32" t="s">
        <v>1848</v>
      </c>
      <c r="D421" s="32" t="s">
        <v>1176</v>
      </c>
      <c r="E421" s="32" t="s">
        <v>629</v>
      </c>
      <c r="F421" s="32" t="s">
        <v>909</v>
      </c>
      <c r="G421" s="32">
        <f>IFERROR(INDEX(Ship!M$31:N$4500,MATCH(C421,Ship!M$31:M$4500,0),2),0)</f>
        <v>0</v>
      </c>
    </row>
    <row r="422" spans="1:7" x14ac:dyDescent="0.25">
      <c r="A422" s="32" t="s">
        <v>953</v>
      </c>
      <c r="B422" s="32" t="s">
        <v>954</v>
      </c>
      <c r="C422" s="32" t="s">
        <v>1849</v>
      </c>
      <c r="D422" s="32" t="s">
        <v>1175</v>
      </c>
      <c r="E422" s="32" t="s">
        <v>629</v>
      </c>
      <c r="F422" s="32" t="s">
        <v>909</v>
      </c>
      <c r="G422" s="32">
        <f>IFERROR(INDEX(Ship!M$31:N$4500,MATCH(C422,Ship!M$31:M$4500,0),2),0)</f>
        <v>0</v>
      </c>
    </row>
    <row r="423" spans="1:7" x14ac:dyDescent="0.25">
      <c r="A423" s="32" t="s">
        <v>953</v>
      </c>
      <c r="B423" s="32" t="s">
        <v>954</v>
      </c>
      <c r="C423" s="32" t="s">
        <v>1850</v>
      </c>
      <c r="D423" s="32" t="s">
        <v>1173</v>
      </c>
      <c r="E423" s="32" t="s">
        <v>629</v>
      </c>
      <c r="F423" s="32" t="s">
        <v>909</v>
      </c>
      <c r="G423" s="32">
        <f>IFERROR(INDEX(Ship!M$31:N$4500,MATCH(C423,Ship!M$31:M$4500,0),2),0)</f>
        <v>0</v>
      </c>
    </row>
    <row r="424" spans="1:7" x14ac:dyDescent="0.25">
      <c r="A424" s="32" t="s">
        <v>953</v>
      </c>
      <c r="B424" s="32" t="s">
        <v>954</v>
      </c>
      <c r="C424" s="32" t="s">
        <v>1851</v>
      </c>
      <c r="D424" s="32" t="s">
        <v>1172</v>
      </c>
      <c r="E424" s="32" t="s">
        <v>629</v>
      </c>
      <c r="F424" s="32" t="s">
        <v>909</v>
      </c>
      <c r="G424" s="32">
        <f>IFERROR(INDEX(Ship!M$31:N$4500,MATCH(C424,Ship!M$31:M$4500,0),2),0)</f>
        <v>0</v>
      </c>
    </row>
    <row r="425" spans="1:7" x14ac:dyDescent="0.25">
      <c r="A425" s="32" t="s">
        <v>953</v>
      </c>
      <c r="B425" s="32" t="s">
        <v>954</v>
      </c>
      <c r="C425" s="32" t="s">
        <v>1852</v>
      </c>
      <c r="D425" s="32" t="s">
        <v>1171</v>
      </c>
      <c r="E425" s="32" t="s">
        <v>629</v>
      </c>
      <c r="F425" s="32" t="s">
        <v>909</v>
      </c>
      <c r="G425" s="32">
        <f>IFERROR(INDEX(Ship!M$31:N$4500,MATCH(C425,Ship!M$31:M$4500,0),2),0)</f>
        <v>0</v>
      </c>
    </row>
    <row r="426" spans="1:7" x14ac:dyDescent="0.25">
      <c r="A426" s="32" t="s">
        <v>953</v>
      </c>
      <c r="B426" s="32" t="s">
        <v>954</v>
      </c>
      <c r="C426" s="32" t="s">
        <v>1853</v>
      </c>
      <c r="D426" s="32" t="s">
        <v>1169</v>
      </c>
      <c r="E426" s="32" t="s">
        <v>629</v>
      </c>
      <c r="F426" s="32" t="s">
        <v>909</v>
      </c>
      <c r="G426" s="32">
        <f>IFERROR(INDEX(Ship!M$31:N$4500,MATCH(C426,Ship!M$31:M$4500,0),2),0)</f>
        <v>0</v>
      </c>
    </row>
    <row r="427" spans="1:7" x14ac:dyDescent="0.25">
      <c r="A427" s="32" t="s">
        <v>953</v>
      </c>
      <c r="B427" s="32" t="s">
        <v>954</v>
      </c>
      <c r="C427" s="32" t="s">
        <v>1854</v>
      </c>
      <c r="D427" s="32" t="s">
        <v>1168</v>
      </c>
      <c r="E427" s="32" t="s">
        <v>629</v>
      </c>
      <c r="F427" s="32" t="s">
        <v>909</v>
      </c>
      <c r="G427" s="32">
        <f>IFERROR(INDEX(Ship!M$31:N$4500,MATCH(C427,Ship!M$31:M$4500,0),2),0)</f>
        <v>0</v>
      </c>
    </row>
    <row r="428" spans="1:7" x14ac:dyDescent="0.25">
      <c r="A428" s="32" t="s">
        <v>953</v>
      </c>
      <c r="B428" s="32" t="s">
        <v>954</v>
      </c>
      <c r="C428" s="32" t="s">
        <v>1855</v>
      </c>
      <c r="D428" s="32" t="s">
        <v>1167</v>
      </c>
      <c r="E428" s="32" t="s">
        <v>629</v>
      </c>
      <c r="F428" s="32" t="s">
        <v>909</v>
      </c>
      <c r="G428" s="32">
        <f>IFERROR(INDEX(Ship!M$31:N$4500,MATCH(C428,Ship!M$31:M$4500,0),2),0)</f>
        <v>0</v>
      </c>
    </row>
    <row r="429" spans="1:7" x14ac:dyDescent="0.25">
      <c r="A429" s="32" t="s">
        <v>953</v>
      </c>
      <c r="B429" s="32" t="s">
        <v>954</v>
      </c>
      <c r="C429" s="32" t="s">
        <v>483</v>
      </c>
      <c r="D429" s="32" t="s">
        <v>1165</v>
      </c>
      <c r="E429" s="32" t="s">
        <v>629</v>
      </c>
      <c r="F429" s="32" t="s">
        <v>909</v>
      </c>
      <c r="G429" s="32">
        <f>IFERROR(INDEX(Ship!M$31:N$4500,MATCH(C429,Ship!M$31:M$4500,0),2),0)</f>
        <v>0</v>
      </c>
    </row>
    <row r="430" spans="1:7" x14ac:dyDescent="0.25">
      <c r="A430" s="32" t="s">
        <v>953</v>
      </c>
      <c r="B430" s="32" t="s">
        <v>954</v>
      </c>
      <c r="C430" s="32" t="s">
        <v>485</v>
      </c>
      <c r="D430" s="32" t="s">
        <v>1163</v>
      </c>
      <c r="E430" s="32" t="s">
        <v>629</v>
      </c>
      <c r="F430" s="32" t="s">
        <v>909</v>
      </c>
      <c r="G430" s="32">
        <f>IFERROR(INDEX(Ship!M$31:N$4500,MATCH(C430,Ship!M$31:M$4500,0),2),0)</f>
        <v>0</v>
      </c>
    </row>
    <row r="431" spans="1:7" x14ac:dyDescent="0.25">
      <c r="A431" s="32" t="s">
        <v>953</v>
      </c>
      <c r="B431" s="32" t="s">
        <v>954</v>
      </c>
      <c r="C431" s="32" t="s">
        <v>487</v>
      </c>
      <c r="D431" s="32" t="s">
        <v>1161</v>
      </c>
      <c r="E431" s="32" t="s">
        <v>629</v>
      </c>
      <c r="F431" s="32" t="s">
        <v>909</v>
      </c>
      <c r="G431" s="32">
        <f>IFERROR(INDEX(Ship!M$31:N$4500,MATCH(C431,Ship!M$31:M$4500,0),2),0)</f>
        <v>0</v>
      </c>
    </row>
    <row r="432" spans="1:7" x14ac:dyDescent="0.25">
      <c r="A432" s="32" t="s">
        <v>953</v>
      </c>
      <c r="B432" s="32" t="s">
        <v>954</v>
      </c>
      <c r="C432" s="32" t="s">
        <v>488</v>
      </c>
      <c r="D432" s="32" t="s">
        <v>1160</v>
      </c>
      <c r="E432" s="32" t="s">
        <v>629</v>
      </c>
      <c r="F432" s="32" t="s">
        <v>909</v>
      </c>
      <c r="G432" s="32">
        <f>IFERROR(INDEX(Ship!M$31:N$4500,MATCH(C432,Ship!M$31:M$4500,0),2),0)</f>
        <v>0</v>
      </c>
    </row>
    <row r="433" spans="1:7" x14ac:dyDescent="0.25">
      <c r="A433" s="32" t="s">
        <v>953</v>
      </c>
      <c r="B433" s="32" t="s">
        <v>954</v>
      </c>
      <c r="C433" s="32" t="s">
        <v>915</v>
      </c>
      <c r="D433" s="32" t="s">
        <v>1158</v>
      </c>
      <c r="E433" s="32" t="s">
        <v>629</v>
      </c>
      <c r="F433" s="32" t="s">
        <v>909</v>
      </c>
      <c r="G433" s="32">
        <f>IFERROR(INDEX(Ship!M$31:N$4500,MATCH(C433,Ship!M$31:M$4500,0),2),0)</f>
        <v>0</v>
      </c>
    </row>
    <row r="434" spans="1:7" x14ac:dyDescent="0.25">
      <c r="A434" s="32" t="s">
        <v>953</v>
      </c>
      <c r="B434" s="32" t="s">
        <v>954</v>
      </c>
      <c r="C434" s="32" t="s">
        <v>491</v>
      </c>
      <c r="D434" s="32" t="s">
        <v>1156</v>
      </c>
      <c r="E434" s="32" t="s">
        <v>629</v>
      </c>
      <c r="F434" s="32" t="s">
        <v>909</v>
      </c>
      <c r="G434" s="32">
        <f>IFERROR(INDEX(Ship!M$31:N$4500,MATCH(C434,Ship!M$31:M$4500,0),2),0)</f>
        <v>0</v>
      </c>
    </row>
    <row r="435" spans="1:7" x14ac:dyDescent="0.25">
      <c r="A435" s="32" t="s">
        <v>953</v>
      </c>
      <c r="B435" s="32" t="s">
        <v>954</v>
      </c>
      <c r="C435" s="32" t="s">
        <v>493</v>
      </c>
      <c r="D435" s="32" t="s">
        <v>1154</v>
      </c>
      <c r="E435" s="32" t="s">
        <v>629</v>
      </c>
      <c r="F435" s="32" t="s">
        <v>909</v>
      </c>
      <c r="G435" s="32">
        <f>IFERROR(INDEX(Ship!M$31:N$4500,MATCH(C435,Ship!M$31:M$4500,0),2),0)</f>
        <v>0</v>
      </c>
    </row>
    <row r="436" spans="1:7" x14ac:dyDescent="0.25">
      <c r="A436" s="32" t="s">
        <v>953</v>
      </c>
      <c r="B436" s="32" t="s">
        <v>954</v>
      </c>
      <c r="C436" s="32" t="s">
        <v>494</v>
      </c>
      <c r="D436" s="32" t="s">
        <v>1153</v>
      </c>
      <c r="E436" s="32" t="s">
        <v>629</v>
      </c>
      <c r="F436" s="32" t="s">
        <v>909</v>
      </c>
      <c r="G436" s="32">
        <f>IFERROR(INDEX(Ship!M$31:N$4500,MATCH(C436,Ship!M$31:M$4500,0),2),0)</f>
        <v>0</v>
      </c>
    </row>
    <row r="437" spans="1:7" x14ac:dyDescent="0.25">
      <c r="A437" s="32" t="s">
        <v>953</v>
      </c>
      <c r="B437" s="32" t="s">
        <v>954</v>
      </c>
      <c r="C437" s="32" t="s">
        <v>496</v>
      </c>
      <c r="D437" s="32" t="s">
        <v>1151</v>
      </c>
      <c r="E437" s="32" t="s">
        <v>629</v>
      </c>
      <c r="F437" s="32" t="s">
        <v>909</v>
      </c>
      <c r="G437" s="32">
        <f>IFERROR(INDEX(Ship!M$31:N$4500,MATCH(C437,Ship!M$31:M$4500,0),2),0)</f>
        <v>0</v>
      </c>
    </row>
    <row r="438" spans="1:7" x14ac:dyDescent="0.25">
      <c r="A438" s="32" t="s">
        <v>953</v>
      </c>
      <c r="B438" s="32" t="s">
        <v>954</v>
      </c>
      <c r="C438" s="32" t="s">
        <v>498</v>
      </c>
      <c r="D438" s="32" t="s">
        <v>1149</v>
      </c>
      <c r="E438" s="32" t="s">
        <v>629</v>
      </c>
      <c r="F438" s="32" t="s">
        <v>909</v>
      </c>
      <c r="G438" s="32">
        <f>IFERROR(INDEX(Ship!M$31:N$4500,MATCH(C438,Ship!M$31:M$4500,0),2),0)</f>
        <v>0</v>
      </c>
    </row>
    <row r="439" spans="1:7" x14ac:dyDescent="0.25">
      <c r="A439" s="32" t="s">
        <v>953</v>
      </c>
      <c r="B439" s="32" t="s">
        <v>954</v>
      </c>
      <c r="C439" s="32" t="s">
        <v>500</v>
      </c>
      <c r="D439" s="32" t="s">
        <v>1147</v>
      </c>
      <c r="E439" s="32" t="s">
        <v>629</v>
      </c>
      <c r="F439" s="32" t="s">
        <v>909</v>
      </c>
      <c r="G439" s="32">
        <f>IFERROR(INDEX(Ship!M$31:N$4500,MATCH(C439,Ship!M$31:M$4500,0),2),0)</f>
        <v>0</v>
      </c>
    </row>
    <row r="440" spans="1:7" x14ac:dyDescent="0.25">
      <c r="A440" s="32" t="s">
        <v>953</v>
      </c>
      <c r="B440" s="32" t="s">
        <v>954</v>
      </c>
      <c r="C440" s="32" t="s">
        <v>502</v>
      </c>
      <c r="D440" s="32" t="s">
        <v>1145</v>
      </c>
      <c r="E440" s="32" t="s">
        <v>629</v>
      </c>
      <c r="F440" s="32" t="s">
        <v>909</v>
      </c>
      <c r="G440" s="32">
        <f>IFERROR(INDEX(Ship!M$31:N$4500,MATCH(C440,Ship!M$31:M$4500,0),2),0)</f>
        <v>0</v>
      </c>
    </row>
    <row r="441" spans="1:7" x14ac:dyDescent="0.25">
      <c r="A441" s="32" t="s">
        <v>953</v>
      </c>
      <c r="B441" s="32" t="s">
        <v>954</v>
      </c>
      <c r="C441" s="32" t="s">
        <v>504</v>
      </c>
      <c r="D441" s="32" t="s">
        <v>1143</v>
      </c>
      <c r="E441" s="32" t="s">
        <v>629</v>
      </c>
      <c r="F441" s="32" t="s">
        <v>909</v>
      </c>
      <c r="G441" s="32">
        <f>IFERROR(INDEX(Ship!M$31:N$4500,MATCH(C441,Ship!M$31:M$4500,0),2),0)</f>
        <v>0</v>
      </c>
    </row>
    <row r="442" spans="1:7" x14ac:dyDescent="0.25">
      <c r="A442" s="32" t="s">
        <v>953</v>
      </c>
      <c r="B442" s="32" t="s">
        <v>954</v>
      </c>
      <c r="C442" s="32" t="s">
        <v>916</v>
      </c>
      <c r="D442" s="32" t="s">
        <v>1141</v>
      </c>
      <c r="E442" s="32" t="s">
        <v>629</v>
      </c>
      <c r="F442" s="32" t="s">
        <v>909</v>
      </c>
      <c r="G442" s="32">
        <f>IFERROR(INDEX(Ship!M$31:N$4500,MATCH(C442,Ship!M$31:M$4500,0),2),0)</f>
        <v>0</v>
      </c>
    </row>
    <row r="443" spans="1:7" x14ac:dyDescent="0.25">
      <c r="A443" s="32" t="s">
        <v>953</v>
      </c>
      <c r="B443" s="32" t="s">
        <v>954</v>
      </c>
      <c r="C443" s="32" t="s">
        <v>506</v>
      </c>
      <c r="D443" s="32" t="s">
        <v>1140</v>
      </c>
      <c r="E443" s="32" t="s">
        <v>629</v>
      </c>
      <c r="F443" s="32" t="s">
        <v>909</v>
      </c>
      <c r="G443" s="32">
        <f>IFERROR(INDEX(Ship!M$31:N$4500,MATCH(C443,Ship!M$31:M$4500,0),2),0)</f>
        <v>0</v>
      </c>
    </row>
    <row r="444" spans="1:7" x14ac:dyDescent="0.25">
      <c r="A444" s="32" t="s">
        <v>953</v>
      </c>
      <c r="B444" s="32" t="s">
        <v>954</v>
      </c>
      <c r="C444" s="32" t="s">
        <v>731</v>
      </c>
      <c r="D444" s="32" t="s">
        <v>1213</v>
      </c>
      <c r="E444" s="32" t="s">
        <v>629</v>
      </c>
      <c r="F444" s="32" t="s">
        <v>909</v>
      </c>
      <c r="G444" s="32">
        <f>IFERROR(INDEX(Ship!M$31:N$4500,MATCH(C444,Ship!M$31:M$4500,0),2),0)</f>
        <v>0</v>
      </c>
    </row>
    <row r="445" spans="1:7" x14ac:dyDescent="0.25">
      <c r="A445" s="32" t="s">
        <v>953</v>
      </c>
      <c r="B445" s="32" t="s">
        <v>954</v>
      </c>
      <c r="C445" s="32" t="s">
        <v>732</v>
      </c>
      <c r="D445" s="32" t="s">
        <v>1216</v>
      </c>
      <c r="E445" s="32" t="s">
        <v>629</v>
      </c>
      <c r="F445" s="32" t="s">
        <v>909</v>
      </c>
      <c r="G445" s="32">
        <f>IFERROR(INDEX(Ship!M$31:N$4500,MATCH(C445,Ship!M$31:M$4500,0),2),0)</f>
        <v>0</v>
      </c>
    </row>
    <row r="446" spans="1:7" x14ac:dyDescent="0.25">
      <c r="A446" s="32" t="s">
        <v>953</v>
      </c>
      <c r="B446" s="32" t="s">
        <v>954</v>
      </c>
      <c r="C446" s="32" t="s">
        <v>735</v>
      </c>
      <c r="D446" s="32" t="s">
        <v>1219</v>
      </c>
      <c r="E446" s="32" t="s">
        <v>629</v>
      </c>
      <c r="F446" s="32" t="s">
        <v>909</v>
      </c>
      <c r="G446" s="32">
        <f>IFERROR(INDEX(Ship!M$31:N$4500,MATCH(C446,Ship!M$31:M$4500,0),2),0)</f>
        <v>0</v>
      </c>
    </row>
    <row r="447" spans="1:7" x14ac:dyDescent="0.25">
      <c r="A447" s="32" t="s">
        <v>953</v>
      </c>
      <c r="B447" s="32" t="s">
        <v>954</v>
      </c>
      <c r="C447" s="32" t="s">
        <v>737</v>
      </c>
      <c r="D447" s="32" t="s">
        <v>1222</v>
      </c>
      <c r="E447" s="32" t="s">
        <v>629</v>
      </c>
      <c r="F447" s="32" t="s">
        <v>909</v>
      </c>
      <c r="G447" s="32">
        <f>IFERROR(INDEX(Ship!M$31:N$4500,MATCH(C447,Ship!M$31:M$4500,0),2),0)</f>
        <v>0</v>
      </c>
    </row>
    <row r="448" spans="1:7" x14ac:dyDescent="0.25">
      <c r="A448" s="32" t="s">
        <v>953</v>
      </c>
      <c r="B448" s="32" t="s">
        <v>954</v>
      </c>
      <c r="C448" s="32" t="s">
        <v>738</v>
      </c>
      <c r="D448" s="32" t="s">
        <v>1225</v>
      </c>
      <c r="E448" s="32" t="s">
        <v>629</v>
      </c>
      <c r="F448" s="32" t="s">
        <v>909</v>
      </c>
      <c r="G448" s="32">
        <f>IFERROR(INDEX(Ship!M$31:N$4500,MATCH(C448,Ship!M$31:M$4500,0),2),0)</f>
        <v>0</v>
      </c>
    </row>
    <row r="449" spans="1:7" x14ac:dyDescent="0.25">
      <c r="A449" s="32" t="s">
        <v>953</v>
      </c>
      <c r="B449" s="32" t="s">
        <v>954</v>
      </c>
      <c r="C449" s="32" t="s">
        <v>740</v>
      </c>
      <c r="D449" s="32" t="s">
        <v>1228</v>
      </c>
      <c r="E449" s="32" t="s">
        <v>629</v>
      </c>
      <c r="F449" s="32" t="s">
        <v>909</v>
      </c>
      <c r="G449" s="32">
        <f>IFERROR(INDEX(Ship!M$31:N$4500,MATCH(C449,Ship!M$31:M$4500,0),2),0)</f>
        <v>0</v>
      </c>
    </row>
    <row r="450" spans="1:7" x14ac:dyDescent="0.25">
      <c r="A450" s="32" t="s">
        <v>953</v>
      </c>
      <c r="B450" s="32" t="s">
        <v>954</v>
      </c>
      <c r="C450" s="32" t="s">
        <v>742</v>
      </c>
      <c r="D450" s="32" t="s">
        <v>1231</v>
      </c>
      <c r="E450" s="32" t="s">
        <v>629</v>
      </c>
      <c r="F450" s="32" t="s">
        <v>909</v>
      </c>
      <c r="G450" s="32">
        <f>IFERROR(INDEX(Ship!M$31:N$4500,MATCH(C450,Ship!M$31:M$4500,0),2),0)</f>
        <v>0</v>
      </c>
    </row>
    <row r="451" spans="1:7" x14ac:dyDescent="0.25">
      <c r="A451" s="32" t="s">
        <v>953</v>
      </c>
      <c r="B451" s="32" t="s">
        <v>954</v>
      </c>
      <c r="C451" s="32" t="s">
        <v>744</v>
      </c>
      <c r="D451" s="32" t="s">
        <v>1234</v>
      </c>
      <c r="E451" s="32" t="s">
        <v>629</v>
      </c>
      <c r="F451" s="32" t="s">
        <v>909</v>
      </c>
      <c r="G451" s="32">
        <f>IFERROR(INDEX(Ship!M$31:N$4500,MATCH(C451,Ship!M$31:M$4500,0),2),0)</f>
        <v>0</v>
      </c>
    </row>
    <row r="452" spans="1:7" x14ac:dyDescent="0.25">
      <c r="A452" s="32" t="s">
        <v>953</v>
      </c>
      <c r="B452" s="32" t="s">
        <v>954</v>
      </c>
      <c r="C452" s="32" t="s">
        <v>746</v>
      </c>
      <c r="D452" s="32" t="s">
        <v>1237</v>
      </c>
      <c r="E452" s="32" t="s">
        <v>629</v>
      </c>
      <c r="F452" s="32" t="s">
        <v>909</v>
      </c>
      <c r="G452" s="32">
        <f>IFERROR(INDEX(Ship!M$31:N$4500,MATCH(C452,Ship!M$31:M$4500,0),2),0)</f>
        <v>0</v>
      </c>
    </row>
    <row r="453" spans="1:7" x14ac:dyDescent="0.25">
      <c r="A453" s="32" t="s">
        <v>953</v>
      </c>
      <c r="B453" s="32" t="s">
        <v>954</v>
      </c>
      <c r="C453" s="32" t="s">
        <v>748</v>
      </c>
      <c r="D453" s="32" t="s">
        <v>1240</v>
      </c>
      <c r="E453" s="32" t="s">
        <v>629</v>
      </c>
      <c r="F453" s="32" t="s">
        <v>909</v>
      </c>
      <c r="G453" s="32">
        <f>IFERROR(INDEX(Ship!M$31:N$4500,MATCH(C453,Ship!M$31:M$4500,0),2),0)</f>
        <v>0</v>
      </c>
    </row>
    <row r="454" spans="1:7" x14ac:dyDescent="0.25">
      <c r="A454" s="32" t="s">
        <v>953</v>
      </c>
      <c r="B454" s="32" t="s">
        <v>954</v>
      </c>
      <c r="C454" s="32" t="s">
        <v>750</v>
      </c>
      <c r="D454" s="32" t="s">
        <v>1243</v>
      </c>
      <c r="E454" s="32" t="s">
        <v>629</v>
      </c>
      <c r="F454" s="32" t="s">
        <v>909</v>
      </c>
      <c r="G454" s="32">
        <f>IFERROR(INDEX(Ship!M$31:N$4500,MATCH(C454,Ship!M$31:M$4500,0),2),0)</f>
        <v>0</v>
      </c>
    </row>
    <row r="455" spans="1:7" x14ac:dyDescent="0.25">
      <c r="A455" s="32" t="s">
        <v>953</v>
      </c>
      <c r="B455" s="32" t="s">
        <v>954</v>
      </c>
      <c r="C455" s="32" t="s">
        <v>752</v>
      </c>
      <c r="D455" s="32" t="s">
        <v>1246</v>
      </c>
      <c r="E455" s="32" t="s">
        <v>629</v>
      </c>
      <c r="F455" s="32" t="s">
        <v>909</v>
      </c>
      <c r="G455" s="32">
        <f>IFERROR(INDEX(Ship!M$31:N$4500,MATCH(C455,Ship!M$31:M$4500,0),2),0)</f>
        <v>0</v>
      </c>
    </row>
    <row r="456" spans="1:7" x14ac:dyDescent="0.25">
      <c r="A456" s="32" t="s">
        <v>953</v>
      </c>
      <c r="B456" s="32" t="s">
        <v>954</v>
      </c>
      <c r="C456" s="32" t="s">
        <v>1856</v>
      </c>
      <c r="D456" s="32" t="s">
        <v>1249</v>
      </c>
      <c r="E456" s="32" t="s">
        <v>629</v>
      </c>
      <c r="F456" s="32" t="s">
        <v>909</v>
      </c>
      <c r="G456" s="32">
        <f>IFERROR(INDEX(Ship!M$31:N$4500,MATCH(C456,Ship!M$31:M$4500,0),2),0)</f>
        <v>0</v>
      </c>
    </row>
    <row r="457" spans="1:7" x14ac:dyDescent="0.25">
      <c r="A457" s="32" t="s">
        <v>953</v>
      </c>
      <c r="B457" s="32" t="s">
        <v>954</v>
      </c>
      <c r="C457" s="32" t="s">
        <v>754</v>
      </c>
      <c r="D457" s="32" t="s">
        <v>1252</v>
      </c>
      <c r="E457" s="32" t="s">
        <v>629</v>
      </c>
      <c r="F457" s="32" t="s">
        <v>909</v>
      </c>
      <c r="G457" s="32">
        <f>IFERROR(INDEX(Ship!M$31:N$4500,MATCH(C457,Ship!M$31:M$4500,0),2),0)</f>
        <v>0</v>
      </c>
    </row>
    <row r="458" spans="1:7" x14ac:dyDescent="0.25">
      <c r="A458" s="32" t="s">
        <v>953</v>
      </c>
      <c r="B458" s="32" t="s">
        <v>954</v>
      </c>
      <c r="C458" s="32" t="s">
        <v>1857</v>
      </c>
      <c r="D458" s="32" t="s">
        <v>1255</v>
      </c>
      <c r="E458" s="32" t="s">
        <v>629</v>
      </c>
      <c r="F458" s="32" t="s">
        <v>909</v>
      </c>
      <c r="G458" s="32">
        <f>IFERROR(INDEX(Ship!M$31:N$4500,MATCH(C458,Ship!M$31:M$4500,0),2),0)</f>
        <v>0</v>
      </c>
    </row>
    <row r="459" spans="1:7" x14ac:dyDescent="0.25">
      <c r="A459" s="32" t="s">
        <v>953</v>
      </c>
      <c r="B459" s="32" t="s">
        <v>954</v>
      </c>
      <c r="C459" s="32" t="s">
        <v>756</v>
      </c>
      <c r="D459" s="32" t="s">
        <v>1258</v>
      </c>
      <c r="E459" s="32" t="s">
        <v>629</v>
      </c>
      <c r="F459" s="32" t="s">
        <v>909</v>
      </c>
      <c r="G459" s="32">
        <f>IFERROR(INDEX(Ship!M$31:N$4500,MATCH(C459,Ship!M$31:M$4500,0),2),0)</f>
        <v>0</v>
      </c>
    </row>
    <row r="460" spans="1:7" x14ac:dyDescent="0.25">
      <c r="A460" s="32" t="s">
        <v>953</v>
      </c>
      <c r="B460" s="32" t="s">
        <v>954</v>
      </c>
      <c r="C460" s="32" t="s">
        <v>1858</v>
      </c>
      <c r="D460" s="32" t="s">
        <v>1261</v>
      </c>
      <c r="E460" s="32" t="s">
        <v>629</v>
      </c>
      <c r="F460" s="32" t="s">
        <v>909</v>
      </c>
      <c r="G460" s="32">
        <f>IFERROR(INDEX(Ship!M$31:N$4500,MATCH(C460,Ship!M$31:M$4500,0),2),0)</f>
        <v>0</v>
      </c>
    </row>
    <row r="461" spans="1:7" x14ac:dyDescent="0.25">
      <c r="A461" s="32" t="s">
        <v>953</v>
      </c>
      <c r="B461" s="32" t="s">
        <v>954</v>
      </c>
      <c r="C461" s="32" t="s">
        <v>758</v>
      </c>
      <c r="D461" s="32" t="s">
        <v>1264</v>
      </c>
      <c r="E461" s="32" t="s">
        <v>629</v>
      </c>
      <c r="F461" s="32" t="s">
        <v>909</v>
      </c>
      <c r="G461" s="32">
        <f>IFERROR(INDEX(Ship!M$31:N$4500,MATCH(C461,Ship!M$31:M$4500,0),2),0)</f>
        <v>0</v>
      </c>
    </row>
    <row r="462" spans="1:7" x14ac:dyDescent="0.25">
      <c r="A462" s="32" t="s">
        <v>953</v>
      </c>
      <c r="B462" s="32" t="s">
        <v>954</v>
      </c>
      <c r="C462" s="32" t="s">
        <v>1859</v>
      </c>
      <c r="D462" s="32" t="s">
        <v>1267</v>
      </c>
      <c r="E462" s="32" t="s">
        <v>629</v>
      </c>
      <c r="F462" s="32" t="s">
        <v>909</v>
      </c>
      <c r="G462" s="32">
        <f>IFERROR(INDEX(Ship!M$31:N$4500,MATCH(C462,Ship!M$31:M$4500,0),2),0)</f>
        <v>0</v>
      </c>
    </row>
    <row r="463" spans="1:7" x14ac:dyDescent="0.25">
      <c r="A463" s="32" t="s">
        <v>953</v>
      </c>
      <c r="B463" s="32" t="s">
        <v>954</v>
      </c>
      <c r="C463" s="32" t="s">
        <v>760</v>
      </c>
      <c r="D463" s="32" t="s">
        <v>1270</v>
      </c>
      <c r="E463" s="32" t="s">
        <v>629</v>
      </c>
      <c r="F463" s="32" t="s">
        <v>909</v>
      </c>
      <c r="G463" s="32">
        <f>IFERROR(INDEX(Ship!M$31:N$4500,MATCH(C463,Ship!M$31:M$4500,0),2),0)</f>
        <v>0</v>
      </c>
    </row>
    <row r="464" spans="1:7" x14ac:dyDescent="0.25">
      <c r="A464" s="32" t="s">
        <v>953</v>
      </c>
      <c r="B464" s="32" t="s">
        <v>954</v>
      </c>
      <c r="C464" s="32" t="s">
        <v>1860</v>
      </c>
      <c r="D464" s="32" t="s">
        <v>1273</v>
      </c>
      <c r="E464" s="32" t="s">
        <v>629</v>
      </c>
      <c r="F464" s="32" t="s">
        <v>909</v>
      </c>
      <c r="G464" s="32">
        <f>IFERROR(INDEX(Ship!M$31:N$4500,MATCH(C464,Ship!M$31:M$4500,0),2),0)</f>
        <v>0</v>
      </c>
    </row>
    <row r="465" spans="1:7" x14ac:dyDescent="0.25">
      <c r="A465" s="32" t="s">
        <v>953</v>
      </c>
      <c r="B465" s="32" t="s">
        <v>954</v>
      </c>
      <c r="C465" s="32" t="s">
        <v>762</v>
      </c>
      <c r="D465" s="32" t="s">
        <v>1276</v>
      </c>
      <c r="E465" s="32" t="s">
        <v>629</v>
      </c>
      <c r="F465" s="32" t="s">
        <v>909</v>
      </c>
      <c r="G465" s="32">
        <f>IFERROR(INDEX(Ship!M$31:N$4500,MATCH(C465,Ship!M$31:M$4500,0),2),0)</f>
        <v>0</v>
      </c>
    </row>
    <row r="466" spans="1:7" x14ac:dyDescent="0.25">
      <c r="A466" s="32" t="s">
        <v>953</v>
      </c>
      <c r="B466" s="32" t="s">
        <v>954</v>
      </c>
      <c r="C466" s="32" t="s">
        <v>1861</v>
      </c>
      <c r="D466" s="32" t="s">
        <v>1279</v>
      </c>
      <c r="E466" s="32" t="s">
        <v>629</v>
      </c>
      <c r="F466" s="32" t="s">
        <v>909</v>
      </c>
      <c r="G466" s="32">
        <f>IFERROR(INDEX(Ship!M$31:N$4500,MATCH(C466,Ship!M$31:M$4500,0),2),0)</f>
        <v>0</v>
      </c>
    </row>
    <row r="467" spans="1:7" x14ac:dyDescent="0.25">
      <c r="A467" s="32" t="s">
        <v>953</v>
      </c>
      <c r="B467" s="32" t="s">
        <v>954</v>
      </c>
      <c r="C467" s="32" t="s">
        <v>764</v>
      </c>
      <c r="D467" s="32" t="s">
        <v>1282</v>
      </c>
      <c r="E467" s="32" t="s">
        <v>629</v>
      </c>
      <c r="F467" s="32" t="s">
        <v>909</v>
      </c>
      <c r="G467" s="32">
        <f>IFERROR(INDEX(Ship!M$31:N$4500,MATCH(C467,Ship!M$31:M$4500,0),2),0)</f>
        <v>0</v>
      </c>
    </row>
    <row r="468" spans="1:7" x14ac:dyDescent="0.25">
      <c r="A468" s="32" t="s">
        <v>953</v>
      </c>
      <c r="B468" s="32" t="s">
        <v>954</v>
      </c>
      <c r="C468" s="32" t="s">
        <v>1862</v>
      </c>
      <c r="D468" s="32" t="s">
        <v>1285</v>
      </c>
      <c r="E468" s="32" t="s">
        <v>629</v>
      </c>
      <c r="F468" s="32" t="s">
        <v>909</v>
      </c>
      <c r="G468" s="32">
        <f>IFERROR(INDEX(Ship!M$31:N$4500,MATCH(C468,Ship!M$31:M$4500,0),2),0)</f>
        <v>0</v>
      </c>
    </row>
    <row r="469" spans="1:7" x14ac:dyDescent="0.25">
      <c r="A469" s="32" t="s">
        <v>953</v>
      </c>
      <c r="B469" s="32" t="s">
        <v>954</v>
      </c>
      <c r="C469" s="32" t="s">
        <v>766</v>
      </c>
      <c r="D469" s="32" t="s">
        <v>1288</v>
      </c>
      <c r="E469" s="32" t="s">
        <v>629</v>
      </c>
      <c r="F469" s="32" t="s">
        <v>909</v>
      </c>
      <c r="G469" s="32">
        <f>IFERROR(INDEX(Ship!M$31:N$4500,MATCH(C469,Ship!M$31:M$4500,0),2),0)</f>
        <v>0</v>
      </c>
    </row>
    <row r="470" spans="1:7" x14ac:dyDescent="0.25">
      <c r="A470" s="32" t="s">
        <v>953</v>
      </c>
      <c r="B470" s="32" t="s">
        <v>954</v>
      </c>
      <c r="C470" s="32" t="s">
        <v>1863</v>
      </c>
      <c r="D470" s="32" t="s">
        <v>1291</v>
      </c>
      <c r="E470" s="32" t="s">
        <v>629</v>
      </c>
      <c r="F470" s="32" t="s">
        <v>909</v>
      </c>
      <c r="G470" s="32">
        <f>IFERROR(INDEX(Ship!M$31:N$4500,MATCH(C470,Ship!M$31:M$4500,0),2),0)</f>
        <v>0</v>
      </c>
    </row>
    <row r="471" spans="1:7" x14ac:dyDescent="0.25">
      <c r="A471" s="32" t="s">
        <v>953</v>
      </c>
      <c r="B471" s="32" t="s">
        <v>954</v>
      </c>
      <c r="C471" s="32" t="s">
        <v>1864</v>
      </c>
      <c r="D471" s="32" t="s">
        <v>1294</v>
      </c>
      <c r="E471" s="32" t="s">
        <v>629</v>
      </c>
      <c r="F471" s="32" t="s">
        <v>909</v>
      </c>
      <c r="G471" s="32">
        <f>IFERROR(INDEX(Ship!M$31:N$4500,MATCH(C471,Ship!M$31:M$4500,0),2),0)</f>
        <v>0</v>
      </c>
    </row>
    <row r="472" spans="1:7" x14ac:dyDescent="0.25">
      <c r="A472" s="32" t="s">
        <v>953</v>
      </c>
      <c r="B472" s="32" t="s">
        <v>954</v>
      </c>
      <c r="C472" s="32" t="s">
        <v>1865</v>
      </c>
      <c r="D472" s="32" t="s">
        <v>1297</v>
      </c>
      <c r="E472" s="32" t="s">
        <v>629</v>
      </c>
      <c r="F472" s="32" t="s">
        <v>909</v>
      </c>
      <c r="G472" s="32">
        <f>IFERROR(INDEX(Ship!M$31:N$4500,MATCH(C472,Ship!M$31:M$4500,0),2),0)</f>
        <v>0</v>
      </c>
    </row>
    <row r="473" spans="1:7" x14ac:dyDescent="0.25">
      <c r="A473" s="32" t="s">
        <v>953</v>
      </c>
      <c r="B473" s="32" t="s">
        <v>954</v>
      </c>
      <c r="C473" s="32" t="s">
        <v>1866</v>
      </c>
      <c r="D473" s="32" t="s">
        <v>1300</v>
      </c>
      <c r="E473" s="32" t="s">
        <v>629</v>
      </c>
      <c r="F473" s="32" t="s">
        <v>909</v>
      </c>
      <c r="G473" s="32">
        <f>IFERROR(INDEX(Ship!M$31:N$4500,MATCH(C473,Ship!M$31:M$4500,0),2),0)</f>
        <v>0</v>
      </c>
    </row>
    <row r="474" spans="1:7" x14ac:dyDescent="0.25">
      <c r="A474" s="32" t="s">
        <v>953</v>
      </c>
      <c r="B474" s="32" t="s">
        <v>954</v>
      </c>
      <c r="C474" s="32" t="s">
        <v>1867</v>
      </c>
      <c r="D474" s="32" t="s">
        <v>1303</v>
      </c>
      <c r="E474" s="32" t="s">
        <v>629</v>
      </c>
      <c r="F474" s="32" t="s">
        <v>909</v>
      </c>
      <c r="G474" s="32">
        <f>IFERROR(INDEX(Ship!M$31:N$4500,MATCH(C474,Ship!M$31:M$4500,0),2),0)</f>
        <v>0</v>
      </c>
    </row>
    <row r="475" spans="1:7" x14ac:dyDescent="0.25">
      <c r="A475" s="32" t="s">
        <v>953</v>
      </c>
      <c r="B475" s="32" t="s">
        <v>954</v>
      </c>
      <c r="C475" s="32" t="s">
        <v>1868</v>
      </c>
      <c r="D475" s="32" t="s">
        <v>1306</v>
      </c>
      <c r="E475" s="32" t="s">
        <v>629</v>
      </c>
      <c r="F475" s="32" t="s">
        <v>909</v>
      </c>
      <c r="G475" s="32">
        <f>IFERROR(INDEX(Ship!M$31:N$4500,MATCH(C475,Ship!M$31:M$4500,0),2),0)</f>
        <v>0</v>
      </c>
    </row>
    <row r="476" spans="1:7" x14ac:dyDescent="0.25">
      <c r="A476" s="32" t="s">
        <v>953</v>
      </c>
      <c r="B476" s="32" t="s">
        <v>954</v>
      </c>
      <c r="C476" s="32" t="s">
        <v>580</v>
      </c>
      <c r="D476" s="32" t="s">
        <v>632</v>
      </c>
      <c r="E476" s="32" t="s">
        <v>629</v>
      </c>
      <c r="F476" s="32" t="s">
        <v>909</v>
      </c>
      <c r="G476" s="32">
        <f>IFERROR(INDEX(Ship!M$31:N$4500,MATCH(C476,Ship!M$31:M$4500,0),2),0)</f>
        <v>0</v>
      </c>
    </row>
    <row r="477" spans="1:7" x14ac:dyDescent="0.25">
      <c r="A477" s="32" t="s">
        <v>953</v>
      </c>
      <c r="B477" s="32" t="s">
        <v>954</v>
      </c>
      <c r="C477" s="32" t="s">
        <v>770</v>
      </c>
      <c r="D477" s="32" t="s">
        <v>1311</v>
      </c>
      <c r="E477" s="32" t="s">
        <v>629</v>
      </c>
      <c r="F477" s="32" t="s">
        <v>909</v>
      </c>
      <c r="G477" s="32">
        <f>IFERROR(INDEX(Ship!M$31:N$4500,MATCH(C477,Ship!M$31:M$4500,0),2),0)</f>
        <v>0</v>
      </c>
    </row>
    <row r="478" spans="1:7" x14ac:dyDescent="0.25">
      <c r="A478" s="32" t="s">
        <v>953</v>
      </c>
      <c r="B478" s="32" t="s">
        <v>954</v>
      </c>
      <c r="C478" s="32" t="s">
        <v>921</v>
      </c>
      <c r="D478" s="32" t="s">
        <v>633</v>
      </c>
      <c r="E478" s="32" t="s">
        <v>629</v>
      </c>
      <c r="F478" s="32" t="s">
        <v>909</v>
      </c>
      <c r="G478" s="32">
        <f>IFERROR(INDEX(Ship!M$31:N$4500,MATCH(C478,Ship!M$31:M$4500,0),2),0)</f>
        <v>0</v>
      </c>
    </row>
    <row r="479" spans="1:7" x14ac:dyDescent="0.25">
      <c r="A479" s="32" t="s">
        <v>953</v>
      </c>
      <c r="B479" s="32" t="s">
        <v>954</v>
      </c>
      <c r="C479" s="32" t="s">
        <v>774</v>
      </c>
      <c r="D479" s="32" t="s">
        <v>1316</v>
      </c>
      <c r="E479" s="32" t="s">
        <v>629</v>
      </c>
      <c r="F479" s="32" t="s">
        <v>909</v>
      </c>
      <c r="G479" s="32">
        <f>IFERROR(INDEX(Ship!M$31:N$4500,MATCH(C479,Ship!M$31:M$4500,0),2),0)</f>
        <v>0</v>
      </c>
    </row>
    <row r="480" spans="1:7" x14ac:dyDescent="0.25">
      <c r="A480" s="32" t="s">
        <v>953</v>
      </c>
      <c r="B480" s="32" t="s">
        <v>954</v>
      </c>
      <c r="C480" s="32" t="s">
        <v>922</v>
      </c>
      <c r="D480" s="32" t="s">
        <v>634</v>
      </c>
      <c r="E480" s="32" t="s">
        <v>629</v>
      </c>
      <c r="F480" s="32" t="s">
        <v>909</v>
      </c>
      <c r="G480" s="32">
        <f>IFERROR(INDEX(Ship!M$31:N$4500,MATCH(C480,Ship!M$31:M$4500,0),2),0)</f>
        <v>0</v>
      </c>
    </row>
    <row r="481" spans="1:7" x14ac:dyDescent="0.25">
      <c r="A481" s="32" t="s">
        <v>953</v>
      </c>
      <c r="B481" s="32" t="s">
        <v>954</v>
      </c>
      <c r="C481" s="32" t="s">
        <v>778</v>
      </c>
      <c r="D481" s="32" t="s">
        <v>1321</v>
      </c>
      <c r="E481" s="32" t="s">
        <v>629</v>
      </c>
      <c r="F481" s="32" t="s">
        <v>909</v>
      </c>
      <c r="G481" s="32">
        <f>IFERROR(INDEX(Ship!M$31:N$4500,MATCH(C481,Ship!M$31:M$4500,0),2),0)</f>
        <v>0</v>
      </c>
    </row>
    <row r="482" spans="1:7" x14ac:dyDescent="0.25">
      <c r="A482" s="32" t="s">
        <v>953</v>
      </c>
      <c r="B482" s="32" t="s">
        <v>954</v>
      </c>
      <c r="C482" s="32" t="s">
        <v>923</v>
      </c>
      <c r="D482" s="32" t="s">
        <v>635</v>
      </c>
      <c r="E482" s="32" t="s">
        <v>629</v>
      </c>
      <c r="F482" s="32" t="s">
        <v>909</v>
      </c>
      <c r="G482" s="32">
        <f>IFERROR(INDEX(Ship!M$31:N$4500,MATCH(C482,Ship!M$31:M$4500,0),2),0)</f>
        <v>0</v>
      </c>
    </row>
    <row r="483" spans="1:7" x14ac:dyDescent="0.25">
      <c r="A483" s="32" t="s">
        <v>953</v>
      </c>
      <c r="B483" s="32" t="s">
        <v>954</v>
      </c>
      <c r="C483" s="32" t="s">
        <v>782</v>
      </c>
      <c r="D483" s="32" t="s">
        <v>1326</v>
      </c>
      <c r="E483" s="32" t="s">
        <v>629</v>
      </c>
      <c r="F483" s="32" t="s">
        <v>909</v>
      </c>
      <c r="G483" s="32">
        <f>IFERROR(INDEX(Ship!M$31:N$4500,MATCH(C483,Ship!M$31:M$4500,0),2),0)</f>
        <v>0</v>
      </c>
    </row>
    <row r="484" spans="1:7" x14ac:dyDescent="0.25">
      <c r="A484" s="32" t="s">
        <v>953</v>
      </c>
      <c r="B484" s="32" t="s">
        <v>954</v>
      </c>
      <c r="C484" s="32" t="s">
        <v>924</v>
      </c>
      <c r="D484" s="32" t="s">
        <v>636</v>
      </c>
      <c r="E484" s="32" t="s">
        <v>629</v>
      </c>
      <c r="F484" s="32" t="s">
        <v>909</v>
      </c>
      <c r="G484" s="32">
        <f>IFERROR(INDEX(Ship!M$31:N$4500,MATCH(C484,Ship!M$31:M$4500,0),2),0)</f>
        <v>0</v>
      </c>
    </row>
    <row r="485" spans="1:7" x14ac:dyDescent="0.25">
      <c r="A485" s="32" t="s">
        <v>953</v>
      </c>
      <c r="B485" s="32" t="s">
        <v>954</v>
      </c>
      <c r="C485" s="32" t="s">
        <v>786</v>
      </c>
      <c r="D485" s="32" t="s">
        <v>1331</v>
      </c>
      <c r="E485" s="32" t="s">
        <v>629</v>
      </c>
      <c r="F485" s="32" t="s">
        <v>909</v>
      </c>
      <c r="G485" s="32">
        <f>IFERROR(INDEX(Ship!M$31:N$4500,MATCH(C485,Ship!M$31:M$4500,0),2),0)</f>
        <v>0</v>
      </c>
    </row>
    <row r="486" spans="1:7" x14ac:dyDescent="0.25">
      <c r="A486" s="32" t="s">
        <v>953</v>
      </c>
      <c r="B486" s="32" t="s">
        <v>954</v>
      </c>
      <c r="C486" s="32" t="s">
        <v>925</v>
      </c>
      <c r="D486" s="32" t="s">
        <v>637</v>
      </c>
      <c r="E486" s="32" t="s">
        <v>629</v>
      </c>
      <c r="F486" s="32" t="s">
        <v>909</v>
      </c>
      <c r="G486" s="32">
        <f>IFERROR(INDEX(Ship!M$31:N$4500,MATCH(C486,Ship!M$31:M$4500,0),2),0)</f>
        <v>0</v>
      </c>
    </row>
    <row r="487" spans="1:7" x14ac:dyDescent="0.25">
      <c r="A487" s="32" t="s">
        <v>953</v>
      </c>
      <c r="B487" s="32" t="s">
        <v>954</v>
      </c>
      <c r="C487" s="32" t="s">
        <v>790</v>
      </c>
      <c r="D487" s="32" t="s">
        <v>1336</v>
      </c>
      <c r="E487" s="32" t="s">
        <v>629</v>
      </c>
      <c r="F487" s="32" t="s">
        <v>909</v>
      </c>
      <c r="G487" s="32">
        <f>IFERROR(INDEX(Ship!M$31:N$4500,MATCH(C487,Ship!M$31:M$4500,0),2),0)</f>
        <v>0</v>
      </c>
    </row>
    <row r="488" spans="1:7" x14ac:dyDescent="0.25">
      <c r="A488" s="32" t="s">
        <v>953</v>
      </c>
      <c r="B488" s="32" t="s">
        <v>954</v>
      </c>
      <c r="C488" s="32" t="s">
        <v>926</v>
      </c>
      <c r="D488" s="32" t="s">
        <v>638</v>
      </c>
      <c r="E488" s="32" t="s">
        <v>629</v>
      </c>
      <c r="F488" s="32" t="s">
        <v>909</v>
      </c>
      <c r="G488" s="32">
        <f>IFERROR(INDEX(Ship!M$31:N$4500,MATCH(C488,Ship!M$31:M$4500,0),2),0)</f>
        <v>0</v>
      </c>
    </row>
    <row r="489" spans="1:7" x14ac:dyDescent="0.25">
      <c r="A489" s="32" t="s">
        <v>953</v>
      </c>
      <c r="B489" s="32" t="s">
        <v>954</v>
      </c>
      <c r="C489" s="32" t="s">
        <v>794</v>
      </c>
      <c r="D489" s="32" t="s">
        <v>1341</v>
      </c>
      <c r="E489" s="32" t="s">
        <v>629</v>
      </c>
      <c r="F489" s="32" t="s">
        <v>909</v>
      </c>
      <c r="G489" s="32">
        <f>IFERROR(INDEX(Ship!M$31:N$4500,MATCH(C489,Ship!M$31:M$4500,0),2),0)</f>
        <v>0</v>
      </c>
    </row>
    <row r="490" spans="1:7" x14ac:dyDescent="0.25">
      <c r="A490" s="32" t="s">
        <v>953</v>
      </c>
      <c r="B490" s="32" t="s">
        <v>954</v>
      </c>
      <c r="C490" s="32" t="s">
        <v>927</v>
      </c>
      <c r="D490" s="32" t="s">
        <v>639</v>
      </c>
      <c r="E490" s="32" t="s">
        <v>629</v>
      </c>
      <c r="F490" s="32" t="s">
        <v>909</v>
      </c>
      <c r="G490" s="32">
        <f>IFERROR(INDEX(Ship!M$31:N$4500,MATCH(C490,Ship!M$31:M$4500,0),2),0)</f>
        <v>0</v>
      </c>
    </row>
    <row r="491" spans="1:7" x14ac:dyDescent="0.25">
      <c r="A491" s="32" t="s">
        <v>953</v>
      </c>
      <c r="B491" s="32" t="s">
        <v>954</v>
      </c>
      <c r="C491" s="32" t="s">
        <v>798</v>
      </c>
      <c r="D491" s="32" t="s">
        <v>1346</v>
      </c>
      <c r="E491" s="32" t="s">
        <v>629</v>
      </c>
      <c r="F491" s="32" t="s">
        <v>909</v>
      </c>
      <c r="G491" s="32">
        <f>IFERROR(INDEX(Ship!M$31:N$4500,MATCH(C491,Ship!M$31:M$4500,0),2),0)</f>
        <v>0</v>
      </c>
    </row>
    <row r="492" spans="1:7" x14ac:dyDescent="0.25">
      <c r="A492" s="32" t="s">
        <v>953</v>
      </c>
      <c r="B492" s="32" t="s">
        <v>954</v>
      </c>
      <c r="C492" s="32" t="s">
        <v>928</v>
      </c>
      <c r="D492" s="32" t="s">
        <v>640</v>
      </c>
      <c r="E492" s="32" t="s">
        <v>629</v>
      </c>
      <c r="F492" s="32" t="s">
        <v>909</v>
      </c>
      <c r="G492" s="32">
        <f>IFERROR(INDEX(Ship!M$31:N$4500,MATCH(C492,Ship!M$31:M$4500,0),2),0)</f>
        <v>0</v>
      </c>
    </row>
    <row r="493" spans="1:7" x14ac:dyDescent="0.25">
      <c r="A493" s="32" t="s">
        <v>953</v>
      </c>
      <c r="B493" s="32" t="s">
        <v>954</v>
      </c>
      <c r="C493" s="32" t="s">
        <v>802</v>
      </c>
      <c r="D493" s="32" t="s">
        <v>1351</v>
      </c>
      <c r="E493" s="32" t="s">
        <v>629</v>
      </c>
      <c r="F493" s="32" t="s">
        <v>909</v>
      </c>
      <c r="G493" s="32">
        <f>IFERROR(INDEX(Ship!M$31:N$4500,MATCH(C493,Ship!M$31:M$4500,0),2),0)</f>
        <v>0</v>
      </c>
    </row>
    <row r="494" spans="1:7" x14ac:dyDescent="0.25">
      <c r="A494" s="32" t="s">
        <v>953</v>
      </c>
      <c r="B494" s="32" t="s">
        <v>954</v>
      </c>
      <c r="C494" s="32" t="s">
        <v>929</v>
      </c>
      <c r="D494" s="32" t="s">
        <v>641</v>
      </c>
      <c r="E494" s="32" t="s">
        <v>629</v>
      </c>
      <c r="F494" s="32" t="s">
        <v>909</v>
      </c>
      <c r="G494" s="32">
        <f>IFERROR(INDEX(Ship!M$31:N$4500,MATCH(C494,Ship!M$31:M$4500,0),2),0)</f>
        <v>0</v>
      </c>
    </row>
    <row r="495" spans="1:7" x14ac:dyDescent="0.25">
      <c r="A495" s="32" t="s">
        <v>953</v>
      </c>
      <c r="B495" s="32" t="s">
        <v>954</v>
      </c>
      <c r="C495" s="32" t="s">
        <v>806</v>
      </c>
      <c r="D495" s="32" t="s">
        <v>1356</v>
      </c>
      <c r="E495" s="32" t="s">
        <v>629</v>
      </c>
      <c r="F495" s="32" t="s">
        <v>909</v>
      </c>
      <c r="G495" s="32">
        <f>IFERROR(INDEX(Ship!M$31:N$4500,MATCH(C495,Ship!M$31:M$4500,0),2),0)</f>
        <v>0</v>
      </c>
    </row>
    <row r="496" spans="1:7" x14ac:dyDescent="0.25">
      <c r="A496" s="32" t="s">
        <v>953</v>
      </c>
      <c r="B496" s="32" t="s">
        <v>954</v>
      </c>
      <c r="C496" s="32" t="s">
        <v>930</v>
      </c>
      <c r="D496" s="32" t="s">
        <v>642</v>
      </c>
      <c r="E496" s="32" t="s">
        <v>629</v>
      </c>
      <c r="F496" s="32" t="s">
        <v>909</v>
      </c>
      <c r="G496" s="32">
        <f>IFERROR(INDEX(Ship!M$31:N$4500,MATCH(C496,Ship!M$31:M$4500,0),2),0)</f>
        <v>0</v>
      </c>
    </row>
    <row r="497" spans="1:7" x14ac:dyDescent="0.25">
      <c r="A497" s="32" t="s">
        <v>953</v>
      </c>
      <c r="B497" s="32" t="s">
        <v>954</v>
      </c>
      <c r="C497" s="32" t="s">
        <v>810</v>
      </c>
      <c r="D497" s="32" t="s">
        <v>1361</v>
      </c>
      <c r="E497" s="32" t="s">
        <v>629</v>
      </c>
      <c r="F497" s="32" t="s">
        <v>909</v>
      </c>
      <c r="G497" s="32">
        <f>IFERROR(INDEX(Ship!M$31:N$4500,MATCH(C497,Ship!M$31:M$4500,0),2),0)</f>
        <v>0</v>
      </c>
    </row>
    <row r="498" spans="1:7" x14ac:dyDescent="0.25">
      <c r="A498" s="32" t="s">
        <v>953</v>
      </c>
      <c r="B498" s="32" t="s">
        <v>954</v>
      </c>
      <c r="C498" s="32" t="s">
        <v>931</v>
      </c>
      <c r="D498" s="32" t="s">
        <v>643</v>
      </c>
      <c r="E498" s="32" t="s">
        <v>629</v>
      </c>
      <c r="F498" s="32" t="s">
        <v>909</v>
      </c>
      <c r="G498" s="32">
        <f>IFERROR(INDEX(Ship!M$31:N$4500,MATCH(C498,Ship!M$31:M$4500,0),2),0)</f>
        <v>0</v>
      </c>
    </row>
    <row r="499" spans="1:7" x14ac:dyDescent="0.25">
      <c r="A499" s="32" t="s">
        <v>953</v>
      </c>
      <c r="B499" s="32" t="s">
        <v>954</v>
      </c>
      <c r="C499" s="32" t="s">
        <v>814</v>
      </c>
      <c r="D499" s="32" t="s">
        <v>1366</v>
      </c>
      <c r="E499" s="32" t="s">
        <v>629</v>
      </c>
      <c r="F499" s="32" t="s">
        <v>909</v>
      </c>
      <c r="G499" s="32">
        <f>IFERROR(INDEX(Ship!M$31:N$4500,MATCH(C499,Ship!M$31:M$4500,0),2),0)</f>
        <v>0</v>
      </c>
    </row>
    <row r="500" spans="1:7" x14ac:dyDescent="0.25">
      <c r="A500" s="32" t="s">
        <v>953</v>
      </c>
      <c r="B500" s="32" t="s">
        <v>954</v>
      </c>
      <c r="C500" s="32" t="s">
        <v>933</v>
      </c>
      <c r="D500" s="32" t="s">
        <v>644</v>
      </c>
      <c r="E500" s="32" t="s">
        <v>629</v>
      </c>
      <c r="F500" s="32" t="s">
        <v>909</v>
      </c>
      <c r="G500" s="32">
        <f>IFERROR(INDEX(Ship!M$31:N$4500,MATCH(C500,Ship!M$31:M$4500,0),2),0)</f>
        <v>0</v>
      </c>
    </row>
    <row r="501" spans="1:7" x14ac:dyDescent="0.25">
      <c r="A501" s="32" t="s">
        <v>953</v>
      </c>
      <c r="B501" s="32" t="s">
        <v>954</v>
      </c>
      <c r="C501" s="32" t="s">
        <v>818</v>
      </c>
      <c r="D501" s="32" t="s">
        <v>1371</v>
      </c>
      <c r="E501" s="32" t="s">
        <v>629</v>
      </c>
      <c r="F501" s="32" t="s">
        <v>909</v>
      </c>
      <c r="G501" s="32">
        <f>IFERROR(INDEX(Ship!M$31:N$4500,MATCH(C501,Ship!M$31:M$4500,0),2),0)</f>
        <v>0</v>
      </c>
    </row>
    <row r="502" spans="1:7" x14ac:dyDescent="0.25">
      <c r="A502" s="32" t="s">
        <v>953</v>
      </c>
      <c r="B502" s="32" t="s">
        <v>954</v>
      </c>
      <c r="C502" s="32" t="s">
        <v>935</v>
      </c>
      <c r="D502" s="32" t="s">
        <v>645</v>
      </c>
      <c r="E502" s="32" t="s">
        <v>629</v>
      </c>
      <c r="F502" s="32" t="s">
        <v>909</v>
      </c>
      <c r="G502" s="32">
        <f>IFERROR(INDEX(Ship!M$31:N$4500,MATCH(C502,Ship!M$31:M$4500,0),2),0)</f>
        <v>0</v>
      </c>
    </row>
    <row r="503" spans="1:7" x14ac:dyDescent="0.25">
      <c r="A503" s="32" t="s">
        <v>953</v>
      </c>
      <c r="B503" s="32" t="s">
        <v>954</v>
      </c>
      <c r="C503" s="32" t="s">
        <v>822</v>
      </c>
      <c r="D503" s="32" t="s">
        <v>1376</v>
      </c>
      <c r="E503" s="32" t="s">
        <v>629</v>
      </c>
      <c r="F503" s="32" t="s">
        <v>909</v>
      </c>
      <c r="G503" s="32">
        <f>IFERROR(INDEX(Ship!M$31:N$4500,MATCH(C503,Ship!M$31:M$4500,0),2),0)</f>
        <v>0</v>
      </c>
    </row>
    <row r="504" spans="1:7" x14ac:dyDescent="0.25">
      <c r="A504" s="32" t="s">
        <v>953</v>
      </c>
      <c r="B504" s="32" t="s">
        <v>954</v>
      </c>
      <c r="C504" s="32" t="s">
        <v>937</v>
      </c>
      <c r="D504" s="32" t="s">
        <v>646</v>
      </c>
      <c r="E504" s="32" t="s">
        <v>629</v>
      </c>
      <c r="F504" s="32" t="s">
        <v>909</v>
      </c>
      <c r="G504" s="32">
        <f>IFERROR(INDEX(Ship!M$31:N$4500,MATCH(C504,Ship!M$31:M$4500,0),2),0)</f>
        <v>0</v>
      </c>
    </row>
    <row r="505" spans="1:7" x14ac:dyDescent="0.25">
      <c r="A505" s="32" t="s">
        <v>953</v>
      </c>
      <c r="B505" s="32" t="s">
        <v>954</v>
      </c>
      <c r="C505" s="32" t="s">
        <v>826</v>
      </c>
      <c r="D505" s="32" t="s">
        <v>1381</v>
      </c>
      <c r="E505" s="32" t="s">
        <v>629</v>
      </c>
      <c r="F505" s="32" t="s">
        <v>909</v>
      </c>
      <c r="G505" s="32">
        <f>IFERROR(INDEX(Ship!M$31:N$4500,MATCH(C505,Ship!M$31:M$4500,0),2),0)</f>
        <v>0</v>
      </c>
    </row>
    <row r="506" spans="1:7" x14ac:dyDescent="0.25">
      <c r="A506" s="32" t="s">
        <v>953</v>
      </c>
      <c r="B506" s="32" t="s">
        <v>954</v>
      </c>
      <c r="C506" s="32" t="s">
        <v>938</v>
      </c>
      <c r="D506" s="32" t="s">
        <v>647</v>
      </c>
      <c r="E506" s="32" t="s">
        <v>629</v>
      </c>
      <c r="F506" s="32" t="s">
        <v>909</v>
      </c>
      <c r="G506" s="32">
        <f>IFERROR(INDEX(Ship!M$31:N$4500,MATCH(C506,Ship!M$31:M$4500,0),2),0)</f>
        <v>0</v>
      </c>
    </row>
    <row r="507" spans="1:7" x14ac:dyDescent="0.25">
      <c r="A507" s="32" t="s">
        <v>953</v>
      </c>
      <c r="B507" s="32" t="s">
        <v>954</v>
      </c>
      <c r="C507" s="32" t="s">
        <v>830</v>
      </c>
      <c r="D507" s="32" t="s">
        <v>1386</v>
      </c>
      <c r="E507" s="32" t="s">
        <v>629</v>
      </c>
      <c r="F507" s="32" t="s">
        <v>909</v>
      </c>
      <c r="G507" s="32">
        <f>IFERROR(INDEX(Ship!M$31:N$4500,MATCH(C507,Ship!M$31:M$4500,0),2),0)</f>
        <v>0</v>
      </c>
    </row>
    <row r="508" spans="1:7" x14ac:dyDescent="0.25">
      <c r="A508" s="32" t="s">
        <v>953</v>
      </c>
      <c r="B508" s="32" t="s">
        <v>954</v>
      </c>
      <c r="C508" s="32" t="s">
        <v>939</v>
      </c>
      <c r="D508" s="32" t="s">
        <v>648</v>
      </c>
      <c r="E508" s="32" t="s">
        <v>629</v>
      </c>
      <c r="F508" s="32" t="s">
        <v>909</v>
      </c>
      <c r="G508" s="32">
        <f>IFERROR(INDEX(Ship!M$31:N$4500,MATCH(C508,Ship!M$31:M$4500,0),2),0)</f>
        <v>0</v>
      </c>
    </row>
    <row r="509" spans="1:7" x14ac:dyDescent="0.25">
      <c r="A509" s="32" t="s">
        <v>953</v>
      </c>
      <c r="B509" s="32" t="s">
        <v>954</v>
      </c>
      <c r="C509" s="32" t="s">
        <v>834</v>
      </c>
      <c r="D509" s="32" t="s">
        <v>1391</v>
      </c>
      <c r="E509" s="32" t="s">
        <v>629</v>
      </c>
      <c r="F509" s="32" t="s">
        <v>909</v>
      </c>
      <c r="G509" s="32">
        <f>IFERROR(INDEX(Ship!M$31:N$4500,MATCH(C509,Ship!M$31:M$4500,0),2),0)</f>
        <v>0</v>
      </c>
    </row>
    <row r="510" spans="1:7" x14ac:dyDescent="0.25">
      <c r="A510" s="32" t="s">
        <v>953</v>
      </c>
      <c r="B510" s="32" t="s">
        <v>954</v>
      </c>
      <c r="C510" s="32" t="s">
        <v>940</v>
      </c>
      <c r="D510" s="32" t="s">
        <v>649</v>
      </c>
      <c r="E510" s="32" t="s">
        <v>629</v>
      </c>
      <c r="F510" s="32" t="s">
        <v>909</v>
      </c>
      <c r="G510" s="32">
        <f>IFERROR(INDEX(Ship!M$31:N$4500,MATCH(C510,Ship!M$31:M$4500,0),2),0)</f>
        <v>0</v>
      </c>
    </row>
    <row r="511" spans="1:7" x14ac:dyDescent="0.25">
      <c r="A511" s="32" t="s">
        <v>953</v>
      </c>
      <c r="B511" s="32" t="s">
        <v>954</v>
      </c>
      <c r="C511" s="32" t="s">
        <v>838</v>
      </c>
      <c r="D511" s="32" t="s">
        <v>1396</v>
      </c>
      <c r="E511" s="32" t="s">
        <v>629</v>
      </c>
      <c r="F511" s="32" t="s">
        <v>909</v>
      </c>
      <c r="G511" s="32">
        <f>IFERROR(INDEX(Ship!M$31:N$4500,MATCH(C511,Ship!M$31:M$4500,0),2),0)</f>
        <v>0</v>
      </c>
    </row>
    <row r="512" spans="1:7" x14ac:dyDescent="0.25">
      <c r="A512" s="32" t="s">
        <v>953</v>
      </c>
      <c r="B512" s="32" t="s">
        <v>954</v>
      </c>
      <c r="C512" s="32" t="s">
        <v>941</v>
      </c>
      <c r="D512" s="32" t="s">
        <v>650</v>
      </c>
      <c r="E512" s="32" t="s">
        <v>629</v>
      </c>
      <c r="F512" s="32" t="s">
        <v>909</v>
      </c>
      <c r="G512" s="32">
        <f>IFERROR(INDEX(Ship!M$31:N$4500,MATCH(C512,Ship!M$31:M$4500,0),2),0)</f>
        <v>0</v>
      </c>
    </row>
    <row r="513" spans="1:7" x14ac:dyDescent="0.25">
      <c r="A513" s="32" t="s">
        <v>953</v>
      </c>
      <c r="B513" s="32" t="s">
        <v>954</v>
      </c>
      <c r="C513" s="32" t="s">
        <v>842</v>
      </c>
      <c r="D513" s="32" t="s">
        <v>1401</v>
      </c>
      <c r="E513" s="32" t="s">
        <v>629</v>
      </c>
      <c r="F513" s="32" t="s">
        <v>909</v>
      </c>
      <c r="G513" s="32">
        <f>IFERROR(INDEX(Ship!M$31:N$4500,MATCH(C513,Ship!M$31:M$4500,0),2),0)</f>
        <v>0</v>
      </c>
    </row>
    <row r="514" spans="1:7" x14ac:dyDescent="0.25">
      <c r="A514" s="32" t="s">
        <v>953</v>
      </c>
      <c r="B514" s="32" t="s">
        <v>954</v>
      </c>
      <c r="C514" s="32" t="s">
        <v>942</v>
      </c>
      <c r="D514" s="32" t="s">
        <v>651</v>
      </c>
      <c r="E514" s="32" t="s">
        <v>629</v>
      </c>
      <c r="F514" s="32" t="s">
        <v>909</v>
      </c>
      <c r="G514" s="32">
        <f>IFERROR(INDEX(Ship!M$31:N$4500,MATCH(C514,Ship!M$31:M$4500,0),2),0)</f>
        <v>0</v>
      </c>
    </row>
    <row r="515" spans="1:7" x14ac:dyDescent="0.25">
      <c r="A515" s="32" t="s">
        <v>953</v>
      </c>
      <c r="B515" s="32" t="s">
        <v>954</v>
      </c>
      <c r="C515" s="32" t="s">
        <v>846</v>
      </c>
      <c r="D515" s="32" t="s">
        <v>1406</v>
      </c>
      <c r="E515" s="32" t="s">
        <v>629</v>
      </c>
      <c r="F515" s="32" t="s">
        <v>909</v>
      </c>
      <c r="G515" s="32">
        <f>IFERROR(INDEX(Ship!M$31:N$4500,MATCH(C515,Ship!M$31:M$4500,0),2),0)</f>
        <v>0</v>
      </c>
    </row>
    <row r="516" spans="1:7" x14ac:dyDescent="0.25">
      <c r="A516" s="32" t="s">
        <v>953</v>
      </c>
      <c r="B516" s="32" t="s">
        <v>954</v>
      </c>
      <c r="C516" s="32" t="s">
        <v>944</v>
      </c>
      <c r="D516" s="32" t="s">
        <v>652</v>
      </c>
      <c r="E516" s="32" t="s">
        <v>629</v>
      </c>
      <c r="F516" s="32" t="s">
        <v>909</v>
      </c>
      <c r="G516" s="32">
        <f>IFERROR(INDEX(Ship!M$31:N$4500,MATCH(C516,Ship!M$31:M$4500,0),2),0)</f>
        <v>0</v>
      </c>
    </row>
    <row r="517" spans="1:7" x14ac:dyDescent="0.25">
      <c r="A517" s="32" t="s">
        <v>953</v>
      </c>
      <c r="B517" s="32" t="s">
        <v>954</v>
      </c>
      <c r="C517" s="32" t="s">
        <v>850</v>
      </c>
      <c r="D517" s="32" t="s">
        <v>1411</v>
      </c>
      <c r="E517" s="32" t="s">
        <v>629</v>
      </c>
      <c r="F517" s="32" t="s">
        <v>909</v>
      </c>
      <c r="G517" s="32">
        <f>IFERROR(INDEX(Ship!M$31:N$4500,MATCH(C517,Ship!M$31:M$4500,0),2),0)</f>
        <v>0</v>
      </c>
    </row>
    <row r="518" spans="1:7" x14ac:dyDescent="0.25">
      <c r="A518" s="32" t="s">
        <v>953</v>
      </c>
      <c r="B518" s="32" t="s">
        <v>954</v>
      </c>
      <c r="C518" s="32" t="s">
        <v>597</v>
      </c>
      <c r="D518" s="32" t="s">
        <v>653</v>
      </c>
      <c r="E518" s="32" t="s">
        <v>629</v>
      </c>
      <c r="F518" s="32" t="s">
        <v>909</v>
      </c>
      <c r="G518" s="32">
        <f>IFERROR(INDEX(Ship!M$31:N$4500,MATCH(C518,Ship!M$31:M$4500,0),2),0)</f>
        <v>0</v>
      </c>
    </row>
    <row r="519" spans="1:7" x14ac:dyDescent="0.25">
      <c r="A519" s="32" t="s">
        <v>953</v>
      </c>
      <c r="B519" s="32" t="s">
        <v>954</v>
      </c>
      <c r="C519" s="32" t="s">
        <v>854</v>
      </c>
      <c r="D519" s="32" t="s">
        <v>1416</v>
      </c>
      <c r="E519" s="32" t="s">
        <v>629</v>
      </c>
      <c r="F519" s="32" t="s">
        <v>909</v>
      </c>
      <c r="G519" s="32">
        <f>IFERROR(INDEX(Ship!M$31:N$4500,MATCH(C519,Ship!M$31:M$4500,0),2),0)</f>
        <v>0</v>
      </c>
    </row>
    <row r="520" spans="1:7" x14ac:dyDescent="0.25">
      <c r="A520" s="32" t="s">
        <v>953</v>
      </c>
      <c r="B520" s="32" t="s">
        <v>954</v>
      </c>
      <c r="C520" s="32" t="s">
        <v>599</v>
      </c>
      <c r="D520" s="32" t="s">
        <v>654</v>
      </c>
      <c r="E520" s="32" t="s">
        <v>629</v>
      </c>
      <c r="F520" s="32" t="s">
        <v>909</v>
      </c>
      <c r="G520" s="32">
        <f>IFERROR(INDEX(Ship!M$31:N$4500,MATCH(C520,Ship!M$31:M$4500,0),2),0)</f>
        <v>0</v>
      </c>
    </row>
    <row r="521" spans="1:7" x14ac:dyDescent="0.25">
      <c r="A521" s="32" t="s">
        <v>953</v>
      </c>
      <c r="B521" s="32" t="s">
        <v>954</v>
      </c>
      <c r="C521" s="32" t="s">
        <v>858</v>
      </c>
      <c r="D521" s="32" t="s">
        <v>1421</v>
      </c>
      <c r="E521" s="32" t="s">
        <v>629</v>
      </c>
      <c r="F521" s="32" t="s">
        <v>909</v>
      </c>
      <c r="G521" s="32">
        <f>IFERROR(INDEX(Ship!M$31:N$4500,MATCH(C521,Ship!M$31:M$4500,0),2),0)</f>
        <v>0</v>
      </c>
    </row>
    <row r="522" spans="1:7" x14ac:dyDescent="0.25">
      <c r="A522" s="32" t="s">
        <v>953</v>
      </c>
      <c r="B522" s="32" t="s">
        <v>954</v>
      </c>
      <c r="C522" s="32" t="s">
        <v>601</v>
      </c>
      <c r="D522" s="32" t="s">
        <v>655</v>
      </c>
      <c r="E522" s="32" t="s">
        <v>629</v>
      </c>
      <c r="F522" s="32" t="s">
        <v>909</v>
      </c>
      <c r="G522" s="32">
        <f>IFERROR(INDEX(Ship!M$31:N$4500,MATCH(C522,Ship!M$31:M$4500,0),2),0)</f>
        <v>0</v>
      </c>
    </row>
    <row r="523" spans="1:7" x14ac:dyDescent="0.25">
      <c r="A523" s="32" t="s">
        <v>953</v>
      </c>
      <c r="B523" s="32" t="s">
        <v>954</v>
      </c>
      <c r="C523" s="32" t="s">
        <v>862</v>
      </c>
      <c r="D523" s="32" t="s">
        <v>1426</v>
      </c>
      <c r="E523" s="32" t="s">
        <v>629</v>
      </c>
      <c r="F523" s="32" t="s">
        <v>909</v>
      </c>
      <c r="G523" s="32">
        <f>IFERROR(INDEX(Ship!M$31:N$4500,MATCH(C523,Ship!M$31:M$4500,0),2),0)</f>
        <v>0</v>
      </c>
    </row>
    <row r="524" spans="1:7" x14ac:dyDescent="0.25">
      <c r="A524" s="32" t="s">
        <v>953</v>
      </c>
      <c r="B524" s="32" t="s">
        <v>954</v>
      </c>
      <c r="C524" s="32" t="s">
        <v>602</v>
      </c>
      <c r="D524" s="32" t="s">
        <v>656</v>
      </c>
      <c r="E524" s="32" t="s">
        <v>629</v>
      </c>
      <c r="F524" s="32" t="s">
        <v>909</v>
      </c>
      <c r="G524" s="32">
        <f>IFERROR(INDEX(Ship!M$31:N$4500,MATCH(C524,Ship!M$31:M$4500,0),2),0)</f>
        <v>0</v>
      </c>
    </row>
    <row r="525" spans="1:7" x14ac:dyDescent="0.25">
      <c r="A525" s="32" t="s">
        <v>953</v>
      </c>
      <c r="B525" s="32" t="s">
        <v>954</v>
      </c>
      <c r="C525" s="32" t="s">
        <v>866</v>
      </c>
      <c r="D525" s="32" t="s">
        <v>1431</v>
      </c>
      <c r="E525" s="32" t="s">
        <v>629</v>
      </c>
      <c r="F525" s="32" t="s">
        <v>909</v>
      </c>
      <c r="G525" s="32">
        <f>IFERROR(INDEX(Ship!M$31:N$4500,MATCH(C525,Ship!M$31:M$4500,0),2),0)</f>
        <v>0</v>
      </c>
    </row>
    <row r="526" spans="1:7" x14ac:dyDescent="0.25">
      <c r="A526" s="32" t="s">
        <v>953</v>
      </c>
      <c r="B526" s="32" t="s">
        <v>954</v>
      </c>
      <c r="C526" s="32" t="s">
        <v>604</v>
      </c>
      <c r="D526" s="32" t="s">
        <v>657</v>
      </c>
      <c r="E526" s="32" t="s">
        <v>629</v>
      </c>
      <c r="F526" s="32" t="s">
        <v>909</v>
      </c>
      <c r="G526" s="32">
        <f>IFERROR(INDEX(Ship!M$31:N$4500,MATCH(C526,Ship!M$31:M$4500,0),2),0)</f>
        <v>0</v>
      </c>
    </row>
    <row r="527" spans="1:7" x14ac:dyDescent="0.25">
      <c r="A527" s="32" t="s">
        <v>953</v>
      </c>
      <c r="B527" s="32" t="s">
        <v>954</v>
      </c>
      <c r="C527" s="32" t="s">
        <v>870</v>
      </c>
      <c r="D527" s="32" t="s">
        <v>1436</v>
      </c>
      <c r="E527" s="32" t="s">
        <v>629</v>
      </c>
      <c r="F527" s="32" t="s">
        <v>909</v>
      </c>
      <c r="G527" s="32">
        <f>IFERROR(INDEX(Ship!M$31:N$4500,MATCH(C527,Ship!M$31:M$4500,0),2),0)</f>
        <v>0</v>
      </c>
    </row>
    <row r="528" spans="1:7" x14ac:dyDescent="0.25">
      <c r="A528" s="32" t="s">
        <v>953</v>
      </c>
      <c r="B528" s="32" t="s">
        <v>954</v>
      </c>
      <c r="C528" s="32" t="s">
        <v>606</v>
      </c>
      <c r="D528" s="32" t="s">
        <v>658</v>
      </c>
      <c r="E528" s="32" t="s">
        <v>629</v>
      </c>
      <c r="F528" s="32" t="s">
        <v>909</v>
      </c>
      <c r="G528" s="32">
        <f>IFERROR(INDEX(Ship!M$31:N$4500,MATCH(C528,Ship!M$31:M$4500,0),2),0)</f>
        <v>0</v>
      </c>
    </row>
    <row r="529" spans="1:7" x14ac:dyDescent="0.25">
      <c r="A529" s="32" t="s">
        <v>953</v>
      </c>
      <c r="B529" s="32" t="s">
        <v>954</v>
      </c>
      <c r="C529" s="32" t="s">
        <v>874</v>
      </c>
      <c r="D529" s="32" t="s">
        <v>1441</v>
      </c>
      <c r="E529" s="32" t="s">
        <v>629</v>
      </c>
      <c r="F529" s="32" t="s">
        <v>909</v>
      </c>
      <c r="G529" s="32">
        <f>IFERROR(INDEX(Ship!M$31:N$4500,MATCH(C529,Ship!M$31:M$4500,0),2),0)</f>
        <v>0</v>
      </c>
    </row>
    <row r="530" spans="1:7" x14ac:dyDescent="0.25">
      <c r="A530" s="32" t="s">
        <v>953</v>
      </c>
      <c r="B530" s="32" t="s">
        <v>954</v>
      </c>
      <c r="C530" s="32" t="s">
        <v>946</v>
      </c>
      <c r="D530" s="32" t="s">
        <v>659</v>
      </c>
      <c r="E530" s="32" t="s">
        <v>629</v>
      </c>
      <c r="F530" s="32" t="s">
        <v>909</v>
      </c>
      <c r="G530" s="32">
        <f>IFERROR(INDEX(Ship!M$31:N$4500,MATCH(C530,Ship!M$31:M$4500,0),2),0)</f>
        <v>0</v>
      </c>
    </row>
    <row r="531" spans="1:7" x14ac:dyDescent="0.25">
      <c r="A531" s="32" t="s">
        <v>953</v>
      </c>
      <c r="B531" s="32" t="s">
        <v>954</v>
      </c>
      <c r="C531" s="32" t="s">
        <v>878</v>
      </c>
      <c r="D531" s="32" t="s">
        <v>1446</v>
      </c>
      <c r="E531" s="32" t="s">
        <v>629</v>
      </c>
      <c r="F531" s="32" t="s">
        <v>909</v>
      </c>
      <c r="G531" s="32">
        <f>IFERROR(INDEX(Ship!M$31:N$4500,MATCH(C531,Ship!M$31:M$4500,0),2),0)</f>
        <v>0</v>
      </c>
    </row>
    <row r="532" spans="1:7" x14ac:dyDescent="0.25">
      <c r="A532" s="32" t="s">
        <v>953</v>
      </c>
      <c r="B532" s="32" t="s">
        <v>954</v>
      </c>
      <c r="C532" s="32" t="s">
        <v>881</v>
      </c>
      <c r="D532" s="32" t="s">
        <v>1449</v>
      </c>
      <c r="E532" s="32" t="s">
        <v>629</v>
      </c>
      <c r="F532" s="32" t="s">
        <v>909</v>
      </c>
      <c r="G532" s="32">
        <f>IFERROR(INDEX(Ship!M$31:N$4500,MATCH(C532,Ship!M$31:M$4500,0),2),0)</f>
        <v>0</v>
      </c>
    </row>
    <row r="533" spans="1:7" x14ac:dyDescent="0.25">
      <c r="A533" s="32" t="s">
        <v>953</v>
      </c>
      <c r="B533" s="32" t="s">
        <v>954</v>
      </c>
      <c r="C533" s="32" t="s">
        <v>610</v>
      </c>
      <c r="D533" s="32" t="s">
        <v>660</v>
      </c>
      <c r="E533" s="32" t="s">
        <v>629</v>
      </c>
      <c r="F533" s="32" t="s">
        <v>909</v>
      </c>
      <c r="G533" s="32">
        <f>IFERROR(INDEX(Ship!M$31:N$4500,MATCH(C533,Ship!M$31:M$4500,0),2),0)</f>
        <v>0</v>
      </c>
    </row>
    <row r="534" spans="1:7" x14ac:dyDescent="0.25">
      <c r="A534" s="32" t="s">
        <v>953</v>
      </c>
      <c r="B534" s="32" t="s">
        <v>954</v>
      </c>
      <c r="C534" s="32" t="s">
        <v>885</v>
      </c>
      <c r="D534" s="32" t="s">
        <v>1454</v>
      </c>
      <c r="E534" s="32" t="s">
        <v>629</v>
      </c>
      <c r="F534" s="32" t="s">
        <v>909</v>
      </c>
      <c r="G534" s="32">
        <f>IFERROR(INDEX(Ship!M$31:N$4500,MATCH(C534,Ship!M$31:M$4500,0),2),0)</f>
        <v>0</v>
      </c>
    </row>
    <row r="535" spans="1:7" x14ac:dyDescent="0.25">
      <c r="A535" s="32" t="s">
        <v>953</v>
      </c>
      <c r="B535" s="32" t="s">
        <v>954</v>
      </c>
      <c r="C535" s="32" t="s">
        <v>947</v>
      </c>
      <c r="D535" s="32" t="s">
        <v>661</v>
      </c>
      <c r="E535" s="32" t="s">
        <v>629</v>
      </c>
      <c r="F535" s="32" t="s">
        <v>909</v>
      </c>
      <c r="G535" s="32">
        <f>IFERROR(INDEX(Ship!M$31:N$4500,MATCH(C535,Ship!M$31:M$4500,0),2),0)</f>
        <v>0</v>
      </c>
    </row>
    <row r="536" spans="1:7" x14ac:dyDescent="0.25">
      <c r="A536" s="32" t="s">
        <v>953</v>
      </c>
      <c r="B536" s="32" t="s">
        <v>954</v>
      </c>
      <c r="C536" s="32" t="s">
        <v>889</v>
      </c>
      <c r="D536" s="32" t="s">
        <v>1459</v>
      </c>
      <c r="E536" s="32" t="s">
        <v>629</v>
      </c>
      <c r="F536" s="32" t="s">
        <v>909</v>
      </c>
      <c r="G536" s="32">
        <f>IFERROR(INDEX(Ship!M$31:N$4500,MATCH(C536,Ship!M$31:M$4500,0),2),0)</f>
        <v>0</v>
      </c>
    </row>
    <row r="537" spans="1:7" x14ac:dyDescent="0.25">
      <c r="A537" s="32" t="s">
        <v>953</v>
      </c>
      <c r="B537" s="32" t="s">
        <v>954</v>
      </c>
      <c r="C537" s="32" t="s">
        <v>613</v>
      </c>
      <c r="D537" s="32" t="s">
        <v>662</v>
      </c>
      <c r="E537" s="32" t="s">
        <v>629</v>
      </c>
      <c r="F537" s="32" t="s">
        <v>909</v>
      </c>
      <c r="G537" s="32">
        <f>IFERROR(INDEX(Ship!M$31:N$4500,MATCH(C537,Ship!M$31:M$4500,0),2),0)</f>
        <v>0</v>
      </c>
    </row>
    <row r="538" spans="1:7" x14ac:dyDescent="0.25">
      <c r="A538" s="32" t="s">
        <v>953</v>
      </c>
      <c r="B538" s="32" t="s">
        <v>954</v>
      </c>
      <c r="C538" s="32" t="s">
        <v>893</v>
      </c>
      <c r="D538" s="32" t="s">
        <v>1464</v>
      </c>
      <c r="E538" s="32" t="s">
        <v>629</v>
      </c>
      <c r="F538" s="32" t="s">
        <v>909</v>
      </c>
      <c r="G538" s="32">
        <f>IFERROR(INDEX(Ship!M$31:N$4500,MATCH(C538,Ship!M$31:M$4500,0),2),0)</f>
        <v>0</v>
      </c>
    </row>
    <row r="539" spans="1:7" x14ac:dyDescent="0.25">
      <c r="A539" s="32" t="s">
        <v>953</v>
      </c>
      <c r="B539" s="32" t="s">
        <v>954</v>
      </c>
      <c r="C539" s="32" t="s">
        <v>615</v>
      </c>
      <c r="D539" s="32" t="s">
        <v>663</v>
      </c>
      <c r="E539" s="32" t="s">
        <v>629</v>
      </c>
      <c r="F539" s="32" t="s">
        <v>909</v>
      </c>
      <c r="G539" s="32">
        <f>IFERROR(INDEX(Ship!M$31:N$4500,MATCH(C539,Ship!M$31:M$4500,0),2),0)</f>
        <v>0</v>
      </c>
    </row>
    <row r="540" spans="1:7" x14ac:dyDescent="0.25">
      <c r="A540" s="32" t="s">
        <v>953</v>
      </c>
      <c r="B540" s="32" t="s">
        <v>954</v>
      </c>
      <c r="C540" s="32" t="s">
        <v>897</v>
      </c>
      <c r="D540" s="32" t="s">
        <v>1469</v>
      </c>
      <c r="E540" s="32" t="s">
        <v>629</v>
      </c>
      <c r="F540" s="32" t="s">
        <v>909</v>
      </c>
      <c r="G540" s="32">
        <f>IFERROR(INDEX(Ship!M$31:N$4500,MATCH(C540,Ship!M$31:M$4500,0),2),0)</f>
        <v>0</v>
      </c>
    </row>
    <row r="541" spans="1:7" x14ac:dyDescent="0.25">
      <c r="A541" s="32" t="s">
        <v>953</v>
      </c>
      <c r="B541" s="32" t="s">
        <v>954</v>
      </c>
      <c r="C541" s="32" t="s">
        <v>616</v>
      </c>
      <c r="D541" s="32" t="s">
        <v>664</v>
      </c>
      <c r="E541" s="32" t="s">
        <v>629</v>
      </c>
      <c r="F541" s="32" t="s">
        <v>909</v>
      </c>
      <c r="G541" s="32">
        <f>IFERROR(INDEX(Ship!M$31:N$4500,MATCH(C541,Ship!M$31:M$4500,0),2),0)</f>
        <v>0</v>
      </c>
    </row>
    <row r="542" spans="1:7" x14ac:dyDescent="0.25">
      <c r="A542" s="32" t="s">
        <v>953</v>
      </c>
      <c r="B542" s="32" t="s">
        <v>954</v>
      </c>
      <c r="C542" s="32" t="s">
        <v>1869</v>
      </c>
      <c r="D542" s="32" t="s">
        <v>1474</v>
      </c>
      <c r="E542" s="32" t="s">
        <v>629</v>
      </c>
      <c r="F542" s="32" t="s">
        <v>909</v>
      </c>
      <c r="G542" s="32">
        <f>IFERROR(INDEX(Ship!M$31:N$4500,MATCH(C542,Ship!M$31:M$4500,0),2),0)</f>
        <v>0</v>
      </c>
    </row>
    <row r="543" spans="1:7" x14ac:dyDescent="0.25">
      <c r="A543" s="32" t="s">
        <v>953</v>
      </c>
      <c r="B543" s="32" t="s">
        <v>954</v>
      </c>
      <c r="C543" s="32" t="s">
        <v>617</v>
      </c>
      <c r="D543" s="32" t="s">
        <v>665</v>
      </c>
      <c r="E543" s="32" t="s">
        <v>629</v>
      </c>
      <c r="F543" s="32" t="s">
        <v>909</v>
      </c>
      <c r="G543" s="32">
        <f>IFERROR(INDEX(Ship!M$31:N$4500,MATCH(C543,Ship!M$31:M$4500,0),2),0)</f>
        <v>0</v>
      </c>
    </row>
    <row r="544" spans="1:7" x14ac:dyDescent="0.25">
      <c r="A544" s="32" t="s">
        <v>953</v>
      </c>
      <c r="B544" s="32" t="s">
        <v>954</v>
      </c>
      <c r="C544" s="32" t="s">
        <v>1870</v>
      </c>
      <c r="D544" s="32" t="s">
        <v>1479</v>
      </c>
      <c r="E544" s="32" t="s">
        <v>629</v>
      </c>
      <c r="F544" s="32" t="s">
        <v>909</v>
      </c>
      <c r="G544" s="32">
        <f>IFERROR(INDEX(Ship!M$31:N$4500,MATCH(C544,Ship!M$31:M$4500,0),2),0)</f>
        <v>0</v>
      </c>
    </row>
    <row r="545" spans="1:7" x14ac:dyDescent="0.25">
      <c r="A545" s="32" t="s">
        <v>953</v>
      </c>
      <c r="B545" s="32" t="s">
        <v>954</v>
      </c>
      <c r="C545" s="32" t="s">
        <v>618</v>
      </c>
      <c r="D545" s="32" t="s">
        <v>666</v>
      </c>
      <c r="E545" s="32" t="s">
        <v>629</v>
      </c>
      <c r="F545" s="32" t="s">
        <v>909</v>
      </c>
      <c r="G545" s="32">
        <f>IFERROR(INDEX(Ship!M$31:N$4500,MATCH(C545,Ship!M$31:M$4500,0),2),0)</f>
        <v>0</v>
      </c>
    </row>
    <row r="546" spans="1:7" x14ac:dyDescent="0.25">
      <c r="A546" s="32" t="s">
        <v>953</v>
      </c>
      <c r="B546" s="32" t="s">
        <v>954</v>
      </c>
      <c r="C546" s="32" t="s">
        <v>1871</v>
      </c>
      <c r="D546" s="32" t="s">
        <v>1484</v>
      </c>
      <c r="E546" s="32" t="s">
        <v>629</v>
      </c>
      <c r="F546" s="32" t="s">
        <v>909</v>
      </c>
      <c r="G546" s="32">
        <f>IFERROR(INDEX(Ship!M$31:N$4500,MATCH(C546,Ship!M$31:M$4500,0),2),0)</f>
        <v>0</v>
      </c>
    </row>
    <row r="547" spans="1:7" x14ac:dyDescent="0.25">
      <c r="A547" s="32" t="s">
        <v>953</v>
      </c>
      <c r="B547" s="32" t="s">
        <v>954</v>
      </c>
      <c r="C547" s="32" t="s">
        <v>619</v>
      </c>
      <c r="D547" s="32" t="s">
        <v>667</v>
      </c>
      <c r="E547" s="32" t="s">
        <v>629</v>
      </c>
      <c r="F547" s="32" t="s">
        <v>909</v>
      </c>
      <c r="G547" s="32">
        <f>IFERROR(INDEX(Ship!M$31:N$4500,MATCH(C547,Ship!M$31:M$4500,0),2),0)</f>
        <v>0</v>
      </c>
    </row>
    <row r="548" spans="1:7" x14ac:dyDescent="0.25">
      <c r="A548" s="32" t="s">
        <v>953</v>
      </c>
      <c r="B548" s="32" t="s">
        <v>954</v>
      </c>
      <c r="C548" s="32" t="s">
        <v>1872</v>
      </c>
      <c r="D548" s="32" t="s">
        <v>1489</v>
      </c>
      <c r="E548" s="32" t="s">
        <v>629</v>
      </c>
      <c r="F548" s="32" t="s">
        <v>909</v>
      </c>
      <c r="G548" s="32">
        <f>IFERROR(INDEX(Ship!M$31:N$4500,MATCH(C548,Ship!M$31:M$4500,0),2),0)</f>
        <v>0</v>
      </c>
    </row>
    <row r="549" spans="1:7" x14ac:dyDescent="0.25">
      <c r="A549" s="32" t="s">
        <v>953</v>
      </c>
      <c r="B549" s="32" t="s">
        <v>954</v>
      </c>
      <c r="C549" s="32" t="s">
        <v>1873</v>
      </c>
      <c r="D549" s="32" t="s">
        <v>1492</v>
      </c>
      <c r="E549" s="32" t="s">
        <v>629</v>
      </c>
      <c r="F549" s="32" t="s">
        <v>909</v>
      </c>
      <c r="G549" s="32">
        <f>IFERROR(INDEX(Ship!M$31:N$4500,MATCH(C549,Ship!M$31:M$4500,0),2),0)</f>
        <v>0</v>
      </c>
    </row>
    <row r="550" spans="1:7" x14ac:dyDescent="0.25">
      <c r="A550" s="32" t="s">
        <v>953</v>
      </c>
      <c r="B550" s="32" t="s">
        <v>954</v>
      </c>
      <c r="C550" s="32" t="s">
        <v>1874</v>
      </c>
      <c r="D550" s="32" t="s">
        <v>1495</v>
      </c>
      <c r="E550" s="32" t="s">
        <v>629</v>
      </c>
      <c r="F550" s="32" t="s">
        <v>909</v>
      </c>
      <c r="G550" s="32">
        <f>IFERROR(INDEX(Ship!M$31:N$4500,MATCH(C550,Ship!M$31:M$4500,0),2),0)</f>
        <v>0</v>
      </c>
    </row>
    <row r="551" spans="1:7" x14ac:dyDescent="0.25">
      <c r="A551" s="32" t="s">
        <v>953</v>
      </c>
      <c r="B551" s="32" t="s">
        <v>954</v>
      </c>
      <c r="C551" s="32" t="s">
        <v>1875</v>
      </c>
      <c r="D551" s="32" t="s">
        <v>1498</v>
      </c>
      <c r="E551" s="32" t="s">
        <v>629</v>
      </c>
      <c r="F551" s="32" t="s">
        <v>909</v>
      </c>
      <c r="G551" s="32">
        <f>IFERROR(INDEX(Ship!M$31:N$4500,MATCH(C551,Ship!M$31:M$4500,0),2),0)</f>
        <v>0</v>
      </c>
    </row>
    <row r="552" spans="1:7" x14ac:dyDescent="0.25">
      <c r="A552" s="32" t="s">
        <v>953</v>
      </c>
      <c r="B552" s="32" t="s">
        <v>954</v>
      </c>
      <c r="C552" s="32" t="s">
        <v>1876</v>
      </c>
      <c r="D552" s="32" t="s">
        <v>1501</v>
      </c>
      <c r="E552" s="32" t="s">
        <v>629</v>
      </c>
      <c r="F552" s="32" t="s">
        <v>909</v>
      </c>
      <c r="G552" s="32">
        <f>IFERROR(INDEX(Ship!M$31:N$4500,MATCH(C552,Ship!M$31:M$4500,0),2),0)</f>
        <v>0</v>
      </c>
    </row>
    <row r="553" spans="1:7" x14ac:dyDescent="0.25">
      <c r="A553" s="32" t="s">
        <v>953</v>
      </c>
      <c r="B553" s="32" t="s">
        <v>954</v>
      </c>
      <c r="C553" s="32" t="s">
        <v>1877</v>
      </c>
      <c r="D553" s="32" t="s">
        <v>1504</v>
      </c>
      <c r="E553" s="32" t="s">
        <v>629</v>
      </c>
      <c r="F553" s="32" t="s">
        <v>909</v>
      </c>
      <c r="G553" s="32">
        <f>IFERROR(INDEX(Ship!M$31:N$4500,MATCH(C553,Ship!M$31:M$4500,0),2),0)</f>
        <v>0</v>
      </c>
    </row>
    <row r="554" spans="1:7" x14ac:dyDescent="0.25">
      <c r="A554" s="32" t="s">
        <v>953</v>
      </c>
      <c r="B554" s="32" t="s">
        <v>954</v>
      </c>
      <c r="C554" s="32" t="s">
        <v>1878</v>
      </c>
      <c r="D554" s="32" t="s">
        <v>1507</v>
      </c>
      <c r="E554" s="32" t="s">
        <v>629</v>
      </c>
      <c r="F554" s="32" t="s">
        <v>909</v>
      </c>
      <c r="G554" s="32">
        <f>IFERROR(INDEX(Ship!M$31:N$4500,MATCH(C554,Ship!M$31:M$4500,0),2),0)</f>
        <v>0</v>
      </c>
    </row>
    <row r="555" spans="1:7" x14ac:dyDescent="0.25">
      <c r="A555" s="32" t="s">
        <v>953</v>
      </c>
      <c r="B555" s="32" t="s">
        <v>954</v>
      </c>
      <c r="C555" s="32" t="s">
        <v>1879</v>
      </c>
      <c r="D555" s="32" t="s">
        <v>1510</v>
      </c>
      <c r="E555" s="32" t="s">
        <v>629</v>
      </c>
      <c r="F555" s="32" t="s">
        <v>909</v>
      </c>
      <c r="G555" s="32">
        <f>IFERROR(INDEX(Ship!M$31:N$4500,MATCH(C555,Ship!M$31:M$4500,0),2),0)</f>
        <v>0</v>
      </c>
    </row>
    <row r="556" spans="1:7" x14ac:dyDescent="0.25">
      <c r="A556" s="32" t="s">
        <v>953</v>
      </c>
      <c r="B556" s="32" t="s">
        <v>954</v>
      </c>
      <c r="C556" s="32" t="s">
        <v>1880</v>
      </c>
      <c r="D556" s="32" t="s">
        <v>1513</v>
      </c>
      <c r="E556" s="32" t="s">
        <v>629</v>
      </c>
      <c r="F556" s="32" t="s">
        <v>909</v>
      </c>
      <c r="G556" s="32">
        <f>IFERROR(INDEX(Ship!M$31:N$4500,MATCH(C556,Ship!M$31:M$4500,0),2),0)</f>
        <v>0</v>
      </c>
    </row>
    <row r="557" spans="1:7" x14ac:dyDescent="0.25">
      <c r="A557" s="32" t="s">
        <v>953</v>
      </c>
      <c r="B557" s="32" t="s">
        <v>954</v>
      </c>
      <c r="C557" s="32" t="s">
        <v>1881</v>
      </c>
      <c r="D557" s="32" t="s">
        <v>1516</v>
      </c>
      <c r="E557" s="32" t="s">
        <v>629</v>
      </c>
      <c r="F557" s="32" t="s">
        <v>909</v>
      </c>
      <c r="G557" s="32">
        <f>IFERROR(INDEX(Ship!M$31:N$4500,MATCH(C557,Ship!M$31:M$4500,0),2),0)</f>
        <v>0</v>
      </c>
    </row>
    <row r="558" spans="1:7" x14ac:dyDescent="0.25">
      <c r="A558" s="32" t="s">
        <v>953</v>
      </c>
      <c r="B558" s="32" t="s">
        <v>954</v>
      </c>
      <c r="C558" s="32" t="s">
        <v>1882</v>
      </c>
      <c r="D558" s="32" t="s">
        <v>1519</v>
      </c>
      <c r="E558" s="32" t="s">
        <v>629</v>
      </c>
      <c r="F558" s="32" t="s">
        <v>909</v>
      </c>
      <c r="G558" s="32">
        <f>IFERROR(INDEX(Ship!M$31:N$4500,MATCH(C558,Ship!M$31:M$4500,0),2),0)</f>
        <v>0</v>
      </c>
    </row>
    <row r="559" spans="1:7" x14ac:dyDescent="0.25">
      <c r="A559" s="32" t="s">
        <v>953</v>
      </c>
      <c r="B559" s="32" t="s">
        <v>954</v>
      </c>
      <c r="C559" s="32" t="s">
        <v>1883</v>
      </c>
      <c r="D559" s="32" t="s">
        <v>1522</v>
      </c>
      <c r="E559" s="32" t="s">
        <v>629</v>
      </c>
      <c r="F559" s="32" t="s">
        <v>909</v>
      </c>
      <c r="G559" s="32">
        <f>IFERROR(INDEX(Ship!M$31:N$4500,MATCH(C559,Ship!M$31:M$4500,0),2),0)</f>
        <v>0</v>
      </c>
    </row>
    <row r="560" spans="1:7" x14ac:dyDescent="0.25">
      <c r="A560" s="32" t="s">
        <v>953</v>
      </c>
      <c r="B560" s="32" t="s">
        <v>954</v>
      </c>
      <c r="C560" s="32" t="s">
        <v>1884</v>
      </c>
      <c r="D560" s="32" t="s">
        <v>1525</v>
      </c>
      <c r="E560" s="32" t="s">
        <v>629</v>
      </c>
      <c r="F560" s="32" t="s">
        <v>909</v>
      </c>
      <c r="G560" s="32">
        <f>IFERROR(INDEX(Ship!M$31:N$4500,MATCH(C560,Ship!M$31:M$4500,0),2),0)</f>
        <v>0</v>
      </c>
    </row>
    <row r="561" spans="1:7" x14ac:dyDescent="0.25">
      <c r="A561" s="32" t="s">
        <v>953</v>
      </c>
      <c r="B561" s="32" t="s">
        <v>954</v>
      </c>
      <c r="C561" s="32" t="s">
        <v>1885</v>
      </c>
      <c r="D561" s="32" t="s">
        <v>1528</v>
      </c>
      <c r="E561" s="32" t="s">
        <v>629</v>
      </c>
      <c r="F561" s="32" t="s">
        <v>909</v>
      </c>
      <c r="G561" s="32">
        <f>IFERROR(INDEX(Ship!M$31:N$4500,MATCH(C561,Ship!M$31:M$4500,0),2),0)</f>
        <v>0</v>
      </c>
    </row>
    <row r="562" spans="1:7" x14ac:dyDescent="0.25">
      <c r="A562" s="32" t="s">
        <v>953</v>
      </c>
      <c r="B562" s="32" t="s">
        <v>954</v>
      </c>
      <c r="C562" s="32" t="s">
        <v>1886</v>
      </c>
      <c r="D562" s="32" t="s">
        <v>1531</v>
      </c>
      <c r="E562" s="32" t="s">
        <v>629</v>
      </c>
      <c r="F562" s="32" t="s">
        <v>909</v>
      </c>
      <c r="G562" s="32">
        <f>IFERROR(INDEX(Ship!M$31:N$4500,MATCH(C562,Ship!M$31:M$4500,0),2),0)</f>
        <v>0</v>
      </c>
    </row>
    <row r="563" spans="1:7" x14ac:dyDescent="0.25">
      <c r="A563" s="32" t="s">
        <v>953</v>
      </c>
      <c r="B563" s="32" t="s">
        <v>954</v>
      </c>
      <c r="C563" s="32" t="s">
        <v>1887</v>
      </c>
      <c r="D563" s="32" t="s">
        <v>1534</v>
      </c>
      <c r="E563" s="32" t="s">
        <v>629</v>
      </c>
      <c r="F563" s="32" t="s">
        <v>909</v>
      </c>
      <c r="G563" s="32">
        <f>IFERROR(INDEX(Ship!M$31:N$4500,MATCH(C563,Ship!M$31:M$4500,0),2),0)</f>
        <v>0</v>
      </c>
    </row>
    <row r="564" spans="1:7" x14ac:dyDescent="0.25">
      <c r="A564" s="32" t="s">
        <v>953</v>
      </c>
      <c r="B564" s="32" t="s">
        <v>954</v>
      </c>
      <c r="C564" s="32" t="s">
        <v>1888</v>
      </c>
      <c r="D564" s="32" t="s">
        <v>1537</v>
      </c>
      <c r="E564" s="32" t="s">
        <v>629</v>
      </c>
      <c r="F564" s="32" t="s">
        <v>909</v>
      </c>
      <c r="G564" s="32">
        <f>IFERROR(INDEX(Ship!M$31:N$4500,MATCH(C564,Ship!M$31:M$4500,0),2),0)</f>
        <v>0</v>
      </c>
    </row>
    <row r="565" spans="1:7" x14ac:dyDescent="0.25">
      <c r="A565" s="32" t="s">
        <v>953</v>
      </c>
      <c r="B565" s="32" t="s">
        <v>954</v>
      </c>
      <c r="C565" s="32" t="s">
        <v>1889</v>
      </c>
      <c r="D565" s="32" t="s">
        <v>1540</v>
      </c>
      <c r="E565" s="32" t="s">
        <v>629</v>
      </c>
      <c r="F565" s="32" t="s">
        <v>909</v>
      </c>
      <c r="G565" s="32">
        <f>IFERROR(INDEX(Ship!M$31:N$4500,MATCH(C565,Ship!M$31:M$4500,0),2),0)</f>
        <v>0</v>
      </c>
    </row>
    <row r="566" spans="1:7" x14ac:dyDescent="0.25">
      <c r="A566" s="32" t="s">
        <v>953</v>
      </c>
      <c r="B566" s="32" t="s">
        <v>954</v>
      </c>
      <c r="C566" s="32" t="s">
        <v>1890</v>
      </c>
      <c r="D566" s="32" t="s">
        <v>1543</v>
      </c>
      <c r="E566" s="32" t="s">
        <v>629</v>
      </c>
      <c r="F566" s="32" t="s">
        <v>909</v>
      </c>
      <c r="G566" s="32">
        <f>IFERROR(INDEX(Ship!M$31:N$4500,MATCH(C566,Ship!M$31:M$4500,0),2),0)</f>
        <v>0</v>
      </c>
    </row>
    <row r="567" spans="1:7" x14ac:dyDescent="0.25">
      <c r="A567" s="32" t="s">
        <v>953</v>
      </c>
      <c r="B567" s="32" t="s">
        <v>954</v>
      </c>
      <c r="C567" s="32" t="s">
        <v>1891</v>
      </c>
      <c r="D567" s="32" t="s">
        <v>1546</v>
      </c>
      <c r="E567" s="32" t="s">
        <v>629</v>
      </c>
      <c r="F567" s="32" t="s">
        <v>909</v>
      </c>
      <c r="G567" s="32">
        <f>IFERROR(INDEX(Ship!M$31:N$4500,MATCH(C567,Ship!M$31:M$4500,0),2),0)</f>
        <v>0</v>
      </c>
    </row>
    <row r="568" spans="1:7" x14ac:dyDescent="0.25">
      <c r="A568" s="32" t="s">
        <v>953</v>
      </c>
      <c r="B568" s="32" t="s">
        <v>954</v>
      </c>
      <c r="C568" s="32" t="s">
        <v>1892</v>
      </c>
      <c r="D568" s="32" t="s">
        <v>1549</v>
      </c>
      <c r="E568" s="32" t="s">
        <v>629</v>
      </c>
      <c r="F568" s="32" t="s">
        <v>909</v>
      </c>
      <c r="G568" s="32">
        <f>IFERROR(INDEX(Ship!M$31:N$4500,MATCH(C568,Ship!M$31:M$4500,0),2),0)</f>
        <v>0</v>
      </c>
    </row>
    <row r="569" spans="1:7" x14ac:dyDescent="0.25">
      <c r="A569" s="32" t="s">
        <v>953</v>
      </c>
      <c r="B569" s="32" t="s">
        <v>954</v>
      </c>
      <c r="C569" s="32" t="s">
        <v>1893</v>
      </c>
      <c r="D569" s="32" t="s">
        <v>1552</v>
      </c>
      <c r="E569" s="32" t="s">
        <v>629</v>
      </c>
      <c r="F569" s="32" t="s">
        <v>909</v>
      </c>
      <c r="G569" s="32">
        <f>IFERROR(INDEX(Ship!M$31:N$4500,MATCH(C569,Ship!M$31:M$4500,0),2),0)</f>
        <v>0</v>
      </c>
    </row>
    <row r="570" spans="1:7" x14ac:dyDescent="0.25">
      <c r="A570" s="32" t="s">
        <v>953</v>
      </c>
      <c r="B570" s="32" t="s">
        <v>954</v>
      </c>
      <c r="C570" s="32" t="s">
        <v>1894</v>
      </c>
      <c r="D570" s="32" t="s">
        <v>1555</v>
      </c>
      <c r="E570" s="32" t="s">
        <v>629</v>
      </c>
      <c r="F570" s="32" t="s">
        <v>909</v>
      </c>
      <c r="G570" s="32">
        <f>IFERROR(INDEX(Ship!M$31:N$4500,MATCH(C570,Ship!M$31:M$4500,0),2),0)</f>
        <v>0</v>
      </c>
    </row>
    <row r="571" spans="1:7" x14ac:dyDescent="0.25">
      <c r="A571" s="32" t="s">
        <v>953</v>
      </c>
      <c r="B571" s="32" t="s">
        <v>954</v>
      </c>
      <c r="C571" s="32" t="s">
        <v>1895</v>
      </c>
      <c r="D571" s="32" t="s">
        <v>1558</v>
      </c>
      <c r="E571" s="32" t="s">
        <v>629</v>
      </c>
      <c r="F571" s="32" t="s">
        <v>909</v>
      </c>
      <c r="G571" s="32">
        <f>IFERROR(INDEX(Ship!M$31:N$4500,MATCH(C571,Ship!M$31:M$4500,0),2),0)</f>
        <v>0</v>
      </c>
    </row>
    <row r="572" spans="1:7" x14ac:dyDescent="0.25">
      <c r="A572" s="32" t="s">
        <v>953</v>
      </c>
      <c r="B572" s="32" t="s">
        <v>954</v>
      </c>
      <c r="C572" s="32" t="s">
        <v>1896</v>
      </c>
      <c r="D572" s="32" t="s">
        <v>1561</v>
      </c>
      <c r="E572" s="32" t="s">
        <v>629</v>
      </c>
      <c r="F572" s="32" t="s">
        <v>909</v>
      </c>
      <c r="G572" s="32">
        <f>IFERROR(INDEX(Ship!M$31:N$4500,MATCH(C572,Ship!M$31:M$4500,0),2),0)</f>
        <v>0</v>
      </c>
    </row>
    <row r="573" spans="1:7" x14ac:dyDescent="0.25">
      <c r="A573" s="32" t="s">
        <v>953</v>
      </c>
      <c r="B573" s="32" t="s">
        <v>954</v>
      </c>
      <c r="C573" s="32" t="s">
        <v>1897</v>
      </c>
      <c r="D573" s="32" t="s">
        <v>1564</v>
      </c>
      <c r="E573" s="32" t="s">
        <v>629</v>
      </c>
      <c r="F573" s="32" t="s">
        <v>909</v>
      </c>
      <c r="G573" s="32">
        <f>IFERROR(INDEX(Ship!M$31:N$4500,MATCH(C573,Ship!M$31:M$4500,0),2),0)</f>
        <v>0</v>
      </c>
    </row>
    <row r="574" spans="1:7" x14ac:dyDescent="0.25">
      <c r="A574" s="32" t="s">
        <v>953</v>
      </c>
      <c r="B574" s="32" t="s">
        <v>954</v>
      </c>
      <c r="C574" s="32" t="s">
        <v>1898</v>
      </c>
      <c r="D574" s="32" t="s">
        <v>1567</v>
      </c>
      <c r="E574" s="32" t="s">
        <v>629</v>
      </c>
      <c r="F574" s="32" t="s">
        <v>909</v>
      </c>
      <c r="G574" s="32">
        <f>IFERROR(INDEX(Ship!M$31:N$4500,MATCH(C574,Ship!M$31:M$4500,0),2),0)</f>
        <v>0</v>
      </c>
    </row>
    <row r="575" spans="1:7" x14ac:dyDescent="0.25">
      <c r="A575" s="32" t="s">
        <v>953</v>
      </c>
      <c r="B575" s="32" t="s">
        <v>954</v>
      </c>
      <c r="C575" s="32" t="s">
        <v>1899</v>
      </c>
      <c r="D575" s="32" t="s">
        <v>1570</v>
      </c>
      <c r="E575" s="32" t="s">
        <v>629</v>
      </c>
      <c r="F575" s="32" t="s">
        <v>909</v>
      </c>
      <c r="G575" s="32">
        <f>IFERROR(INDEX(Ship!M$31:N$4500,MATCH(C575,Ship!M$31:M$4500,0),2),0)</f>
        <v>0</v>
      </c>
    </row>
    <row r="576" spans="1:7" x14ac:dyDescent="0.25">
      <c r="A576" s="32" t="s">
        <v>953</v>
      </c>
      <c r="B576" s="32" t="s">
        <v>954</v>
      </c>
      <c r="C576" s="32" t="s">
        <v>1900</v>
      </c>
      <c r="D576" s="32" t="s">
        <v>1573</v>
      </c>
      <c r="E576" s="32" t="s">
        <v>629</v>
      </c>
      <c r="F576" s="32" t="s">
        <v>909</v>
      </c>
      <c r="G576" s="32">
        <f>IFERROR(INDEX(Ship!M$31:N$4500,MATCH(C576,Ship!M$31:M$4500,0),2),0)</f>
        <v>0</v>
      </c>
    </row>
    <row r="577" spans="1:7" x14ac:dyDescent="0.25">
      <c r="A577" s="32" t="s">
        <v>953</v>
      </c>
      <c r="B577" s="32" t="s">
        <v>954</v>
      </c>
      <c r="C577" s="32" t="s">
        <v>1901</v>
      </c>
      <c r="D577" s="32" t="s">
        <v>1576</v>
      </c>
      <c r="E577" s="32" t="s">
        <v>629</v>
      </c>
      <c r="F577" s="32" t="s">
        <v>909</v>
      </c>
      <c r="G577" s="32">
        <f>IFERROR(INDEX(Ship!M$31:N$4500,MATCH(C577,Ship!M$31:M$4500,0),2),0)</f>
        <v>0</v>
      </c>
    </row>
    <row r="578" spans="1:7" x14ac:dyDescent="0.25">
      <c r="A578" s="32" t="s">
        <v>953</v>
      </c>
      <c r="B578" s="32" t="s">
        <v>954</v>
      </c>
      <c r="C578" s="32" t="s">
        <v>1902</v>
      </c>
      <c r="D578" s="32" t="s">
        <v>1579</v>
      </c>
      <c r="E578" s="32" t="s">
        <v>629</v>
      </c>
      <c r="F578" s="32" t="s">
        <v>909</v>
      </c>
      <c r="G578" s="32">
        <f>IFERROR(INDEX(Ship!M$31:N$4500,MATCH(C578,Ship!M$31:M$4500,0),2),0)</f>
        <v>0</v>
      </c>
    </row>
    <row r="579" spans="1:7" x14ac:dyDescent="0.25">
      <c r="A579" s="32" t="s">
        <v>953</v>
      </c>
      <c r="B579" s="32" t="s">
        <v>954</v>
      </c>
      <c r="C579" s="32" t="s">
        <v>1903</v>
      </c>
      <c r="D579" s="32" t="s">
        <v>1582</v>
      </c>
      <c r="E579" s="32" t="s">
        <v>629</v>
      </c>
      <c r="F579" s="32" t="s">
        <v>909</v>
      </c>
      <c r="G579" s="32">
        <f>IFERROR(INDEX(Ship!M$31:N$4500,MATCH(C579,Ship!M$31:M$4500,0),2),0)</f>
        <v>0</v>
      </c>
    </row>
    <row r="580" spans="1:7" x14ac:dyDescent="0.25">
      <c r="A580" s="32" t="s">
        <v>953</v>
      </c>
      <c r="B580" s="32" t="s">
        <v>954</v>
      </c>
      <c r="C580" s="32" t="s">
        <v>1904</v>
      </c>
      <c r="D580" s="32" t="s">
        <v>1585</v>
      </c>
      <c r="E580" s="32" t="s">
        <v>629</v>
      </c>
      <c r="F580" s="32" t="s">
        <v>909</v>
      </c>
      <c r="G580" s="32">
        <f>IFERROR(INDEX(Ship!M$31:N$4500,MATCH(C580,Ship!M$31:M$4500,0),2),0)</f>
        <v>0</v>
      </c>
    </row>
    <row r="581" spans="1:7" x14ac:dyDescent="0.25">
      <c r="A581" s="32" t="s">
        <v>953</v>
      </c>
      <c r="B581" s="32" t="s">
        <v>954</v>
      </c>
      <c r="C581" s="32" t="s">
        <v>1905</v>
      </c>
      <c r="D581" s="32" t="s">
        <v>1588</v>
      </c>
      <c r="E581" s="32" t="s">
        <v>629</v>
      </c>
      <c r="F581" s="32" t="s">
        <v>909</v>
      </c>
      <c r="G581" s="32">
        <f>IFERROR(INDEX(Ship!M$31:N$4500,MATCH(C581,Ship!M$31:M$4500,0),2),0)</f>
        <v>0</v>
      </c>
    </row>
    <row r="582" spans="1:7" x14ac:dyDescent="0.25">
      <c r="A582" s="32" t="s">
        <v>953</v>
      </c>
      <c r="B582" s="32" t="s">
        <v>954</v>
      </c>
      <c r="C582" s="32" t="s">
        <v>1906</v>
      </c>
      <c r="D582" s="32" t="s">
        <v>1591</v>
      </c>
      <c r="E582" s="32" t="s">
        <v>629</v>
      </c>
      <c r="F582" s="32" t="s">
        <v>909</v>
      </c>
      <c r="G582" s="32">
        <f>IFERROR(INDEX(Ship!M$31:N$4500,MATCH(C582,Ship!M$31:M$4500,0),2),0)</f>
        <v>0</v>
      </c>
    </row>
    <row r="583" spans="1:7" x14ac:dyDescent="0.25">
      <c r="A583" s="32" t="s">
        <v>953</v>
      </c>
      <c r="B583" s="32" t="s">
        <v>954</v>
      </c>
      <c r="C583" s="32" t="s">
        <v>1907</v>
      </c>
      <c r="D583" s="32" t="s">
        <v>1594</v>
      </c>
      <c r="E583" s="32" t="s">
        <v>629</v>
      </c>
      <c r="F583" s="32" t="s">
        <v>909</v>
      </c>
      <c r="G583" s="32">
        <f>IFERROR(INDEX(Ship!M$31:N$4500,MATCH(C583,Ship!M$31:M$4500,0),2),0)</f>
        <v>0</v>
      </c>
    </row>
    <row r="584" spans="1:7" x14ac:dyDescent="0.25">
      <c r="A584" s="32" t="s">
        <v>953</v>
      </c>
      <c r="B584" s="32" t="s">
        <v>954</v>
      </c>
      <c r="C584" s="32" t="s">
        <v>1908</v>
      </c>
      <c r="D584" s="32" t="s">
        <v>1597</v>
      </c>
      <c r="E584" s="32" t="s">
        <v>629</v>
      </c>
      <c r="F584" s="32" t="s">
        <v>909</v>
      </c>
      <c r="G584" s="32">
        <f>IFERROR(INDEX(Ship!M$31:N$4500,MATCH(C584,Ship!M$31:M$4500,0),2),0)</f>
        <v>0</v>
      </c>
    </row>
    <row r="585" spans="1:7" x14ac:dyDescent="0.25">
      <c r="A585" s="32" t="s">
        <v>953</v>
      </c>
      <c r="B585" s="32" t="s">
        <v>954</v>
      </c>
      <c r="C585" s="32" t="s">
        <v>1909</v>
      </c>
      <c r="D585" s="32" t="s">
        <v>1600</v>
      </c>
      <c r="E585" s="32" t="s">
        <v>629</v>
      </c>
      <c r="F585" s="32" t="s">
        <v>909</v>
      </c>
      <c r="G585" s="32">
        <f>IFERROR(INDEX(Ship!M$31:N$4500,MATCH(C585,Ship!M$31:M$4500,0),2),0)</f>
        <v>0</v>
      </c>
    </row>
    <row r="586" spans="1:7" x14ac:dyDescent="0.25">
      <c r="A586" s="32" t="s">
        <v>953</v>
      </c>
      <c r="B586" s="32" t="s">
        <v>954</v>
      </c>
      <c r="C586" s="32" t="s">
        <v>1910</v>
      </c>
      <c r="D586" s="32" t="s">
        <v>1603</v>
      </c>
      <c r="E586" s="32" t="s">
        <v>629</v>
      </c>
      <c r="F586" s="32" t="s">
        <v>909</v>
      </c>
      <c r="G586" s="32">
        <f>IFERROR(INDEX(Ship!M$31:N$4500,MATCH(C586,Ship!M$31:M$4500,0),2),0)</f>
        <v>0</v>
      </c>
    </row>
    <row r="587" spans="1:7" x14ac:dyDescent="0.25">
      <c r="A587" s="32" t="s">
        <v>953</v>
      </c>
      <c r="B587" s="32" t="s">
        <v>954</v>
      </c>
      <c r="C587" s="32" t="s">
        <v>1911</v>
      </c>
      <c r="D587" s="32" t="s">
        <v>1606</v>
      </c>
      <c r="E587" s="32" t="s">
        <v>629</v>
      </c>
      <c r="F587" s="32" t="s">
        <v>909</v>
      </c>
      <c r="G587" s="32">
        <f>IFERROR(INDEX(Ship!M$31:N$4500,MATCH(C587,Ship!M$31:M$4500,0),2),0)</f>
        <v>0</v>
      </c>
    </row>
    <row r="588" spans="1:7" x14ac:dyDescent="0.25">
      <c r="A588" s="32" t="s">
        <v>953</v>
      </c>
      <c r="B588" s="32" t="s">
        <v>954</v>
      </c>
      <c r="C588" s="32" t="s">
        <v>1912</v>
      </c>
      <c r="D588" s="32" t="s">
        <v>1609</v>
      </c>
      <c r="E588" s="32" t="s">
        <v>629</v>
      </c>
      <c r="F588" s="32" t="s">
        <v>909</v>
      </c>
      <c r="G588" s="32">
        <f>IFERROR(INDEX(Ship!M$31:N$4500,MATCH(C588,Ship!M$31:M$4500,0),2),0)</f>
        <v>0</v>
      </c>
    </row>
    <row r="589" spans="1:7" x14ac:dyDescent="0.25">
      <c r="A589" s="32" t="s">
        <v>953</v>
      </c>
      <c r="B589" s="32" t="s">
        <v>954</v>
      </c>
      <c r="C589" s="32" t="s">
        <v>1913</v>
      </c>
      <c r="D589" s="32" t="s">
        <v>1612</v>
      </c>
      <c r="E589" s="32" t="s">
        <v>629</v>
      </c>
      <c r="F589" s="32" t="s">
        <v>909</v>
      </c>
      <c r="G589" s="32">
        <f>IFERROR(INDEX(Ship!M$31:N$4500,MATCH(C589,Ship!M$31:M$4500,0),2),0)</f>
        <v>0</v>
      </c>
    </row>
    <row r="590" spans="1:7" x14ac:dyDescent="0.25">
      <c r="A590" s="32" t="s">
        <v>953</v>
      </c>
      <c r="B590" s="32" t="s">
        <v>954</v>
      </c>
      <c r="C590" s="32" t="s">
        <v>1914</v>
      </c>
      <c r="D590" s="32" t="s">
        <v>1615</v>
      </c>
      <c r="E590" s="32" t="s">
        <v>629</v>
      </c>
      <c r="F590" s="32" t="s">
        <v>909</v>
      </c>
      <c r="G590" s="32">
        <f>IFERROR(INDEX(Ship!M$31:N$4500,MATCH(C590,Ship!M$31:M$4500,0),2),0)</f>
        <v>0</v>
      </c>
    </row>
    <row r="591" spans="1:7" x14ac:dyDescent="0.25">
      <c r="A591" s="32" t="s">
        <v>953</v>
      </c>
      <c r="B591" s="32" t="s">
        <v>954</v>
      </c>
      <c r="C591" s="32" t="s">
        <v>1915</v>
      </c>
      <c r="D591" s="32" t="s">
        <v>1618</v>
      </c>
      <c r="E591" s="32" t="s">
        <v>629</v>
      </c>
      <c r="F591" s="32" t="s">
        <v>909</v>
      </c>
      <c r="G591" s="32">
        <f>IFERROR(INDEX(Ship!M$31:N$4500,MATCH(C591,Ship!M$31:M$4500,0),2),0)</f>
        <v>0</v>
      </c>
    </row>
    <row r="592" spans="1:7" x14ac:dyDescent="0.25">
      <c r="A592" s="32" t="s">
        <v>953</v>
      </c>
      <c r="B592" s="32" t="s">
        <v>954</v>
      </c>
      <c r="C592" s="32" t="s">
        <v>1916</v>
      </c>
      <c r="D592" s="32" t="s">
        <v>1621</v>
      </c>
      <c r="E592" s="32" t="s">
        <v>629</v>
      </c>
      <c r="F592" s="32" t="s">
        <v>909</v>
      </c>
      <c r="G592" s="32">
        <f>IFERROR(INDEX(Ship!M$31:N$4500,MATCH(C592,Ship!M$31:M$4500,0),2),0)</f>
        <v>0</v>
      </c>
    </row>
    <row r="593" spans="1:7" x14ac:dyDescent="0.25">
      <c r="A593" s="32" t="s">
        <v>953</v>
      </c>
      <c r="B593" s="32" t="s">
        <v>954</v>
      </c>
      <c r="C593" s="32" t="s">
        <v>1917</v>
      </c>
      <c r="D593" s="32" t="s">
        <v>1624</v>
      </c>
      <c r="E593" s="32" t="s">
        <v>629</v>
      </c>
      <c r="F593" s="32" t="s">
        <v>909</v>
      </c>
      <c r="G593" s="32">
        <f>IFERROR(INDEX(Ship!M$31:N$4500,MATCH(C593,Ship!M$31:M$4500,0),2),0)</f>
        <v>0</v>
      </c>
    </row>
    <row r="594" spans="1:7" x14ac:dyDescent="0.25">
      <c r="A594" s="32" t="s">
        <v>953</v>
      </c>
      <c r="B594" s="32" t="s">
        <v>954</v>
      </c>
      <c r="C594" s="32" t="s">
        <v>1918</v>
      </c>
      <c r="D594" s="32" t="s">
        <v>1627</v>
      </c>
      <c r="E594" s="32" t="s">
        <v>629</v>
      </c>
      <c r="F594" s="32" t="s">
        <v>909</v>
      </c>
      <c r="G594" s="32">
        <f>IFERROR(INDEX(Ship!M$31:N$4500,MATCH(C594,Ship!M$31:M$4500,0),2),0)</f>
        <v>0</v>
      </c>
    </row>
    <row r="595" spans="1:7" x14ac:dyDescent="0.25">
      <c r="A595" s="32" t="s">
        <v>953</v>
      </c>
      <c r="B595" s="32" t="s">
        <v>954</v>
      </c>
      <c r="C595" s="32" t="s">
        <v>1919</v>
      </c>
      <c r="D595" s="32" t="s">
        <v>1630</v>
      </c>
      <c r="E595" s="32" t="s">
        <v>629</v>
      </c>
      <c r="F595" s="32" t="s">
        <v>909</v>
      </c>
      <c r="G595" s="32">
        <f>IFERROR(INDEX(Ship!M$31:N$4500,MATCH(C595,Ship!M$31:M$4500,0),2),0)</f>
        <v>0</v>
      </c>
    </row>
    <row r="596" spans="1:7" x14ac:dyDescent="0.25">
      <c r="A596" s="32" t="s">
        <v>953</v>
      </c>
      <c r="B596" s="32" t="s">
        <v>954</v>
      </c>
      <c r="C596" s="32" t="s">
        <v>1920</v>
      </c>
      <c r="D596" s="32" t="s">
        <v>1633</v>
      </c>
      <c r="E596" s="32" t="s">
        <v>629</v>
      </c>
      <c r="F596" s="32" t="s">
        <v>909</v>
      </c>
      <c r="G596" s="32">
        <f>IFERROR(INDEX(Ship!M$31:N$4500,MATCH(C596,Ship!M$31:M$4500,0),2),0)</f>
        <v>0</v>
      </c>
    </row>
    <row r="597" spans="1:7" x14ac:dyDescent="0.25">
      <c r="A597" s="32" t="s">
        <v>953</v>
      </c>
      <c r="B597" s="32" t="s">
        <v>954</v>
      </c>
      <c r="C597" s="32" t="s">
        <v>1921</v>
      </c>
      <c r="D597" s="32" t="s">
        <v>1636</v>
      </c>
      <c r="E597" s="32" t="s">
        <v>629</v>
      </c>
      <c r="F597" s="32" t="s">
        <v>909</v>
      </c>
      <c r="G597" s="32">
        <f>IFERROR(INDEX(Ship!M$31:N$4500,MATCH(C597,Ship!M$31:M$4500,0),2),0)</f>
        <v>0</v>
      </c>
    </row>
    <row r="598" spans="1:7" x14ac:dyDescent="0.25">
      <c r="A598" s="32" t="s">
        <v>953</v>
      </c>
      <c r="B598" s="32" t="s">
        <v>954</v>
      </c>
      <c r="C598" s="32" t="s">
        <v>1922</v>
      </c>
      <c r="D598" s="32" t="s">
        <v>1639</v>
      </c>
      <c r="E598" s="32" t="s">
        <v>629</v>
      </c>
      <c r="F598" s="32" t="s">
        <v>909</v>
      </c>
      <c r="G598" s="32">
        <f>IFERROR(INDEX(Ship!M$31:N$4500,MATCH(C598,Ship!M$31:M$4500,0),2),0)</f>
        <v>0</v>
      </c>
    </row>
    <row r="599" spans="1:7" x14ac:dyDescent="0.25">
      <c r="A599" s="32" t="s">
        <v>953</v>
      </c>
      <c r="B599" s="32" t="s">
        <v>954</v>
      </c>
      <c r="C599" s="32" t="s">
        <v>1923</v>
      </c>
      <c r="D599" s="32" t="s">
        <v>1642</v>
      </c>
      <c r="E599" s="32" t="s">
        <v>629</v>
      </c>
      <c r="F599" s="32" t="s">
        <v>909</v>
      </c>
      <c r="G599" s="32">
        <f>IFERROR(INDEX(Ship!M$31:N$4500,MATCH(C599,Ship!M$31:M$4500,0),2),0)</f>
        <v>0</v>
      </c>
    </row>
    <row r="600" spans="1:7" x14ac:dyDescent="0.25">
      <c r="A600" s="32" t="s">
        <v>953</v>
      </c>
      <c r="B600" s="32" t="s">
        <v>954</v>
      </c>
      <c r="C600" s="32" t="s">
        <v>1924</v>
      </c>
      <c r="D600" s="32" t="s">
        <v>1645</v>
      </c>
      <c r="E600" s="32" t="s">
        <v>629</v>
      </c>
      <c r="F600" s="32" t="s">
        <v>909</v>
      </c>
      <c r="G600" s="32">
        <f>IFERROR(INDEX(Ship!M$31:N$4500,MATCH(C600,Ship!M$31:M$4500,0),2),0)</f>
        <v>0</v>
      </c>
    </row>
    <row r="601" spans="1:7" x14ac:dyDescent="0.25">
      <c r="A601" s="32" t="s">
        <v>953</v>
      </c>
      <c r="B601" s="32" t="s">
        <v>954</v>
      </c>
      <c r="C601" s="32" t="s">
        <v>1925</v>
      </c>
      <c r="D601" s="32" t="s">
        <v>1648</v>
      </c>
      <c r="E601" s="32" t="s">
        <v>629</v>
      </c>
      <c r="F601" s="32" t="s">
        <v>909</v>
      </c>
      <c r="G601" s="32">
        <f>IFERROR(INDEX(Ship!M$31:N$4500,MATCH(C601,Ship!M$31:M$4500,0),2),0)</f>
        <v>0</v>
      </c>
    </row>
    <row r="602" spans="1:7" x14ac:dyDescent="0.25">
      <c r="A602" s="32" t="s">
        <v>953</v>
      </c>
      <c r="B602" s="32" t="s">
        <v>954</v>
      </c>
      <c r="C602" s="32" t="s">
        <v>1926</v>
      </c>
      <c r="D602" s="32" t="s">
        <v>1651</v>
      </c>
      <c r="E602" s="32" t="s">
        <v>629</v>
      </c>
      <c r="F602" s="32" t="s">
        <v>909</v>
      </c>
      <c r="G602" s="32">
        <f>IFERROR(INDEX(Ship!M$31:N$4500,MATCH(C602,Ship!M$31:M$4500,0),2),0)</f>
        <v>0</v>
      </c>
    </row>
    <row r="603" spans="1:7" x14ac:dyDescent="0.25">
      <c r="A603" s="32" t="s">
        <v>953</v>
      </c>
      <c r="B603" s="32" t="s">
        <v>954</v>
      </c>
      <c r="C603" s="32" t="s">
        <v>1927</v>
      </c>
      <c r="D603" s="32" t="s">
        <v>1654</v>
      </c>
      <c r="E603" s="32" t="s">
        <v>629</v>
      </c>
      <c r="F603" s="32" t="s">
        <v>909</v>
      </c>
      <c r="G603" s="32">
        <f>IFERROR(INDEX(Ship!M$31:N$4500,MATCH(C603,Ship!M$31:M$4500,0),2),0)</f>
        <v>0</v>
      </c>
    </row>
    <row r="604" spans="1:7" x14ac:dyDescent="0.25">
      <c r="A604" s="32" t="s">
        <v>953</v>
      </c>
      <c r="B604" s="32" t="s">
        <v>954</v>
      </c>
      <c r="C604" s="32" t="s">
        <v>1928</v>
      </c>
      <c r="D604" s="32" t="s">
        <v>955</v>
      </c>
      <c r="E604" s="32" t="s">
        <v>629</v>
      </c>
      <c r="F604" s="32" t="s">
        <v>910</v>
      </c>
      <c r="G604" s="32">
        <f>IFERROR(INDEX(Ship!M$31:N$4500,MATCH(C604,Ship!M$31:M$4500,0),2),0)</f>
        <v>0</v>
      </c>
    </row>
    <row r="605" spans="1:7" x14ac:dyDescent="0.25">
      <c r="A605" s="32" t="s">
        <v>953</v>
      </c>
      <c r="B605" s="32" t="s">
        <v>954</v>
      </c>
      <c r="C605" s="32" t="s">
        <v>1929</v>
      </c>
      <c r="D605" s="32" t="s">
        <v>956</v>
      </c>
      <c r="E605" s="32" t="s">
        <v>629</v>
      </c>
      <c r="F605" s="32" t="s">
        <v>910</v>
      </c>
      <c r="G605" s="32">
        <f>IFERROR(INDEX(Ship!M$31:N$4500,MATCH(C605,Ship!M$31:M$4500,0),2),0)</f>
        <v>0</v>
      </c>
    </row>
    <row r="606" spans="1:7" x14ac:dyDescent="0.25">
      <c r="A606" s="32" t="s">
        <v>953</v>
      </c>
      <c r="B606" s="32" t="s">
        <v>954</v>
      </c>
      <c r="C606" s="32" t="s">
        <v>1930</v>
      </c>
      <c r="D606" s="32" t="s">
        <v>957</v>
      </c>
      <c r="E606" s="32" t="s">
        <v>629</v>
      </c>
      <c r="F606" s="32" t="s">
        <v>910</v>
      </c>
      <c r="G606" s="32">
        <f>IFERROR(INDEX(Ship!M$31:N$4500,MATCH(C606,Ship!M$31:M$4500,0),2),0)</f>
        <v>0</v>
      </c>
    </row>
    <row r="607" spans="1:7" x14ac:dyDescent="0.25">
      <c r="A607" s="32" t="s">
        <v>953</v>
      </c>
      <c r="B607" s="32" t="s">
        <v>954</v>
      </c>
      <c r="C607" s="32" t="s">
        <v>1931</v>
      </c>
      <c r="D607" s="32" t="s">
        <v>958</v>
      </c>
      <c r="E607" s="32" t="s">
        <v>629</v>
      </c>
      <c r="F607" s="32" t="s">
        <v>910</v>
      </c>
      <c r="G607" s="32">
        <f>IFERROR(INDEX(Ship!M$31:N$4500,MATCH(C607,Ship!M$31:M$4500,0),2),0)</f>
        <v>0</v>
      </c>
    </row>
    <row r="608" spans="1:7" x14ac:dyDescent="0.25">
      <c r="A608" s="32" t="s">
        <v>953</v>
      </c>
      <c r="B608" s="32" t="s">
        <v>954</v>
      </c>
      <c r="C608" s="32" t="s">
        <v>1932</v>
      </c>
      <c r="D608" s="32" t="s">
        <v>959</v>
      </c>
      <c r="E608" s="32" t="s">
        <v>629</v>
      </c>
      <c r="F608" s="32" t="s">
        <v>910</v>
      </c>
      <c r="G608" s="32">
        <f>IFERROR(INDEX(Ship!M$31:N$4500,MATCH(C608,Ship!M$31:M$4500,0),2),0)</f>
        <v>0</v>
      </c>
    </row>
    <row r="609" spans="1:7" x14ac:dyDescent="0.25">
      <c r="A609" s="32" t="s">
        <v>953</v>
      </c>
      <c r="B609" s="32" t="s">
        <v>954</v>
      </c>
      <c r="C609" s="32" t="s">
        <v>1933</v>
      </c>
      <c r="D609" s="32" t="s">
        <v>960</v>
      </c>
      <c r="E609" s="32" t="s">
        <v>629</v>
      </c>
      <c r="F609" s="32" t="s">
        <v>910</v>
      </c>
      <c r="G609" s="32">
        <f>IFERROR(INDEX(Ship!M$31:N$4500,MATCH(C609,Ship!M$31:M$4500,0),2),0)</f>
        <v>0</v>
      </c>
    </row>
    <row r="610" spans="1:7" x14ac:dyDescent="0.25">
      <c r="A610" s="32" t="s">
        <v>953</v>
      </c>
      <c r="B610" s="32" t="s">
        <v>954</v>
      </c>
      <c r="C610" s="32" t="s">
        <v>1934</v>
      </c>
      <c r="D610" s="32" t="s">
        <v>961</v>
      </c>
      <c r="E610" s="32" t="s">
        <v>629</v>
      </c>
      <c r="F610" s="32" t="s">
        <v>910</v>
      </c>
      <c r="G610" s="32">
        <f>IFERROR(INDEX(Ship!M$31:N$4500,MATCH(C610,Ship!M$31:M$4500,0),2),0)</f>
        <v>0</v>
      </c>
    </row>
    <row r="611" spans="1:7" x14ac:dyDescent="0.25">
      <c r="A611" s="32" t="s">
        <v>953</v>
      </c>
      <c r="B611" s="32" t="s">
        <v>954</v>
      </c>
      <c r="C611" s="32" t="s">
        <v>1935</v>
      </c>
      <c r="D611" s="32" t="s">
        <v>962</v>
      </c>
      <c r="E611" s="32" t="s">
        <v>629</v>
      </c>
      <c r="F611" s="32" t="s">
        <v>910</v>
      </c>
      <c r="G611" s="32">
        <f>IFERROR(INDEX(Ship!M$31:N$4500,MATCH(C611,Ship!M$31:M$4500,0),2),0)</f>
        <v>0</v>
      </c>
    </row>
    <row r="612" spans="1:7" x14ac:dyDescent="0.25">
      <c r="A612" s="32" t="s">
        <v>953</v>
      </c>
      <c r="B612" s="32" t="s">
        <v>954</v>
      </c>
      <c r="C612" s="32" t="s">
        <v>1936</v>
      </c>
      <c r="D612" s="32" t="s">
        <v>963</v>
      </c>
      <c r="E612" s="32" t="s">
        <v>629</v>
      </c>
      <c r="F612" s="32" t="s">
        <v>910</v>
      </c>
      <c r="G612" s="32">
        <f>IFERROR(INDEX(Ship!M$31:N$4500,MATCH(C612,Ship!M$31:M$4500,0),2),0)</f>
        <v>0</v>
      </c>
    </row>
    <row r="613" spans="1:7" x14ac:dyDescent="0.25">
      <c r="A613" s="32" t="s">
        <v>953</v>
      </c>
      <c r="B613" s="32" t="s">
        <v>954</v>
      </c>
      <c r="C613" s="32" t="s">
        <v>1937</v>
      </c>
      <c r="D613" s="32" t="s">
        <v>964</v>
      </c>
      <c r="E613" s="32" t="s">
        <v>629</v>
      </c>
      <c r="F613" s="32" t="s">
        <v>910</v>
      </c>
      <c r="G613" s="32">
        <f>IFERROR(INDEX(Ship!M$31:N$4500,MATCH(C613,Ship!M$31:M$4500,0),2),0)</f>
        <v>0</v>
      </c>
    </row>
    <row r="614" spans="1:7" x14ac:dyDescent="0.25">
      <c r="A614" s="32" t="s">
        <v>953</v>
      </c>
      <c r="B614" s="32" t="s">
        <v>954</v>
      </c>
      <c r="C614" s="32" t="s">
        <v>1938</v>
      </c>
      <c r="D614" s="32" t="s">
        <v>965</v>
      </c>
      <c r="E614" s="32" t="s">
        <v>629</v>
      </c>
      <c r="F614" s="32" t="s">
        <v>910</v>
      </c>
      <c r="G614" s="32">
        <f>IFERROR(INDEX(Ship!M$31:N$4500,MATCH(C614,Ship!M$31:M$4500,0),2),0)</f>
        <v>0</v>
      </c>
    </row>
    <row r="615" spans="1:7" x14ac:dyDescent="0.25">
      <c r="A615" s="32" t="s">
        <v>953</v>
      </c>
      <c r="B615" s="32" t="s">
        <v>954</v>
      </c>
      <c r="C615" s="32" t="s">
        <v>1939</v>
      </c>
      <c r="D615" s="32" t="s">
        <v>966</v>
      </c>
      <c r="E615" s="32" t="s">
        <v>629</v>
      </c>
      <c r="F615" s="32" t="s">
        <v>910</v>
      </c>
      <c r="G615" s="32">
        <f>IFERROR(INDEX(Ship!M$31:N$4500,MATCH(C615,Ship!M$31:M$4500,0),2),0)</f>
        <v>0</v>
      </c>
    </row>
    <row r="616" spans="1:7" x14ac:dyDescent="0.25">
      <c r="A616" s="32" t="s">
        <v>953</v>
      </c>
      <c r="B616" s="32" t="s">
        <v>954</v>
      </c>
      <c r="C616" s="32" t="s">
        <v>1940</v>
      </c>
      <c r="D616" s="32" t="s">
        <v>967</v>
      </c>
      <c r="E616" s="32" t="s">
        <v>629</v>
      </c>
      <c r="F616" s="32" t="s">
        <v>910</v>
      </c>
      <c r="G616" s="32">
        <f>IFERROR(INDEX(Ship!M$31:N$4500,MATCH(C616,Ship!M$31:M$4500,0),2),0)</f>
        <v>0</v>
      </c>
    </row>
    <row r="617" spans="1:7" x14ac:dyDescent="0.25">
      <c r="A617" s="32" t="s">
        <v>953</v>
      </c>
      <c r="B617" s="32" t="s">
        <v>954</v>
      </c>
      <c r="C617" s="32" t="s">
        <v>1941</v>
      </c>
      <c r="D617" s="32" t="s">
        <v>968</v>
      </c>
      <c r="E617" s="32" t="s">
        <v>629</v>
      </c>
      <c r="F617" s="32" t="s">
        <v>910</v>
      </c>
      <c r="G617" s="32">
        <f>IFERROR(INDEX(Ship!M$31:N$4500,MATCH(C617,Ship!M$31:M$4500,0),2),0)</f>
        <v>0</v>
      </c>
    </row>
    <row r="618" spans="1:7" x14ac:dyDescent="0.25">
      <c r="A618" s="32" t="s">
        <v>953</v>
      </c>
      <c r="B618" s="32" t="s">
        <v>954</v>
      </c>
      <c r="C618" s="32" t="s">
        <v>1942</v>
      </c>
      <c r="D618" s="32" t="s">
        <v>969</v>
      </c>
      <c r="E618" s="32" t="s">
        <v>629</v>
      </c>
      <c r="F618" s="32" t="s">
        <v>910</v>
      </c>
      <c r="G618" s="32">
        <f>IFERROR(INDEX(Ship!M$31:N$4500,MATCH(C618,Ship!M$31:M$4500,0),2),0)</f>
        <v>0</v>
      </c>
    </row>
    <row r="619" spans="1:7" x14ac:dyDescent="0.25">
      <c r="A619" s="32" t="s">
        <v>953</v>
      </c>
      <c r="B619" s="32" t="s">
        <v>954</v>
      </c>
      <c r="C619" s="32" t="s">
        <v>1943</v>
      </c>
      <c r="D619" s="32" t="s">
        <v>970</v>
      </c>
      <c r="E619" s="32" t="s">
        <v>629</v>
      </c>
      <c r="F619" s="32" t="s">
        <v>910</v>
      </c>
      <c r="G619" s="32">
        <f>IFERROR(INDEX(Ship!M$31:N$4500,MATCH(C619,Ship!M$31:M$4500,0),2),0)</f>
        <v>0</v>
      </c>
    </row>
    <row r="620" spans="1:7" x14ac:dyDescent="0.25">
      <c r="A620" s="32" t="s">
        <v>953</v>
      </c>
      <c r="B620" s="32" t="s">
        <v>954</v>
      </c>
      <c r="C620" s="32" t="s">
        <v>1944</v>
      </c>
      <c r="D620" s="32" t="s">
        <v>971</v>
      </c>
      <c r="E620" s="32" t="s">
        <v>629</v>
      </c>
      <c r="F620" s="32" t="s">
        <v>910</v>
      </c>
      <c r="G620" s="32">
        <f>IFERROR(INDEX(Ship!M$31:N$4500,MATCH(C620,Ship!M$31:M$4500,0),2),0)</f>
        <v>0</v>
      </c>
    </row>
    <row r="621" spans="1:7" x14ac:dyDescent="0.25">
      <c r="A621" s="32" t="s">
        <v>953</v>
      </c>
      <c r="B621" s="32" t="s">
        <v>954</v>
      </c>
      <c r="C621" s="32" t="s">
        <v>1945</v>
      </c>
      <c r="D621" s="32" t="s">
        <v>972</v>
      </c>
      <c r="E621" s="32" t="s">
        <v>629</v>
      </c>
      <c r="F621" s="32" t="s">
        <v>910</v>
      </c>
      <c r="G621" s="32">
        <f>IFERROR(INDEX(Ship!M$31:N$4500,MATCH(C621,Ship!M$31:M$4500,0),2),0)</f>
        <v>0</v>
      </c>
    </row>
    <row r="622" spans="1:7" x14ac:dyDescent="0.25">
      <c r="A622" s="32" t="s">
        <v>953</v>
      </c>
      <c r="B622" s="32" t="s">
        <v>954</v>
      </c>
      <c r="C622" s="32" t="s">
        <v>1946</v>
      </c>
      <c r="D622" s="32" t="s">
        <v>973</v>
      </c>
      <c r="E622" s="32" t="s">
        <v>629</v>
      </c>
      <c r="F622" s="32" t="s">
        <v>910</v>
      </c>
      <c r="G622" s="32">
        <f>IFERROR(INDEX(Ship!M$31:N$4500,MATCH(C622,Ship!M$31:M$4500,0),2),0)</f>
        <v>0</v>
      </c>
    </row>
    <row r="623" spans="1:7" x14ac:dyDescent="0.25">
      <c r="A623" s="32" t="s">
        <v>953</v>
      </c>
      <c r="B623" s="32" t="s">
        <v>954</v>
      </c>
      <c r="C623" s="32" t="s">
        <v>1947</v>
      </c>
      <c r="D623" s="32" t="s">
        <v>974</v>
      </c>
      <c r="E623" s="32" t="s">
        <v>629</v>
      </c>
      <c r="F623" s="32" t="s">
        <v>910</v>
      </c>
      <c r="G623" s="32">
        <f>IFERROR(INDEX(Ship!M$31:N$4500,MATCH(C623,Ship!M$31:M$4500,0),2),0)</f>
        <v>0</v>
      </c>
    </row>
    <row r="624" spans="1:7" x14ac:dyDescent="0.25">
      <c r="A624" s="32" t="s">
        <v>953</v>
      </c>
      <c r="B624" s="32" t="s">
        <v>954</v>
      </c>
      <c r="C624" s="32" t="s">
        <v>1948</v>
      </c>
      <c r="D624" s="32" t="s">
        <v>975</v>
      </c>
      <c r="E624" s="32" t="s">
        <v>629</v>
      </c>
      <c r="F624" s="32" t="s">
        <v>910</v>
      </c>
      <c r="G624" s="32">
        <f>IFERROR(INDEX(Ship!M$31:N$4500,MATCH(C624,Ship!M$31:M$4500,0),2),0)</f>
        <v>0</v>
      </c>
    </row>
    <row r="625" spans="1:7" x14ac:dyDescent="0.25">
      <c r="A625" s="32" t="s">
        <v>953</v>
      </c>
      <c r="B625" s="32" t="s">
        <v>954</v>
      </c>
      <c r="C625" s="32" t="s">
        <v>1949</v>
      </c>
      <c r="D625" s="32" t="s">
        <v>976</v>
      </c>
      <c r="E625" s="32" t="s">
        <v>629</v>
      </c>
      <c r="F625" s="32" t="s">
        <v>910</v>
      </c>
      <c r="G625" s="32">
        <f>IFERROR(INDEX(Ship!M$31:N$4500,MATCH(C625,Ship!M$31:M$4500,0),2),0)</f>
        <v>0</v>
      </c>
    </row>
    <row r="626" spans="1:7" x14ac:dyDescent="0.25">
      <c r="A626" s="32" t="s">
        <v>953</v>
      </c>
      <c r="B626" s="32" t="s">
        <v>954</v>
      </c>
      <c r="C626" s="32" t="s">
        <v>1950</v>
      </c>
      <c r="D626" s="32" t="s">
        <v>977</v>
      </c>
      <c r="E626" s="32" t="s">
        <v>629</v>
      </c>
      <c r="F626" s="32" t="s">
        <v>910</v>
      </c>
      <c r="G626" s="32">
        <f>IFERROR(INDEX(Ship!M$31:N$4500,MATCH(C626,Ship!M$31:M$4500,0),2),0)</f>
        <v>0</v>
      </c>
    </row>
    <row r="627" spans="1:7" x14ac:dyDescent="0.25">
      <c r="A627" s="32" t="s">
        <v>953</v>
      </c>
      <c r="B627" s="32" t="s">
        <v>954</v>
      </c>
      <c r="C627" s="32" t="s">
        <v>1951</v>
      </c>
      <c r="D627" s="32" t="s">
        <v>978</v>
      </c>
      <c r="E627" s="32" t="s">
        <v>629</v>
      </c>
      <c r="F627" s="32" t="s">
        <v>910</v>
      </c>
      <c r="G627" s="32">
        <f>IFERROR(INDEX(Ship!M$31:N$4500,MATCH(C627,Ship!M$31:M$4500,0),2),0)</f>
        <v>0</v>
      </c>
    </row>
    <row r="628" spans="1:7" x14ac:dyDescent="0.25">
      <c r="A628" s="32" t="s">
        <v>953</v>
      </c>
      <c r="B628" s="32" t="s">
        <v>954</v>
      </c>
      <c r="C628" s="32" t="s">
        <v>1952</v>
      </c>
      <c r="D628" s="32" t="s">
        <v>979</v>
      </c>
      <c r="E628" s="32" t="s">
        <v>629</v>
      </c>
      <c r="F628" s="32" t="s">
        <v>910</v>
      </c>
      <c r="G628" s="32">
        <f>IFERROR(INDEX(Ship!M$31:N$4500,MATCH(C628,Ship!M$31:M$4500,0),2),0)</f>
        <v>0</v>
      </c>
    </row>
    <row r="629" spans="1:7" x14ac:dyDescent="0.25">
      <c r="A629" s="32" t="s">
        <v>953</v>
      </c>
      <c r="B629" s="32" t="s">
        <v>954</v>
      </c>
      <c r="C629" s="32" t="s">
        <v>1953</v>
      </c>
      <c r="D629" s="32" t="s">
        <v>980</v>
      </c>
      <c r="E629" s="32" t="s">
        <v>629</v>
      </c>
      <c r="F629" s="32" t="s">
        <v>910</v>
      </c>
      <c r="G629" s="32">
        <f>IFERROR(INDEX(Ship!M$31:N$4500,MATCH(C629,Ship!M$31:M$4500,0),2),0)</f>
        <v>0</v>
      </c>
    </row>
    <row r="630" spans="1:7" x14ac:dyDescent="0.25">
      <c r="A630" s="32" t="s">
        <v>953</v>
      </c>
      <c r="B630" s="32" t="s">
        <v>954</v>
      </c>
      <c r="C630" s="32" t="s">
        <v>1954</v>
      </c>
      <c r="D630" s="32" t="s">
        <v>981</v>
      </c>
      <c r="E630" s="32" t="s">
        <v>629</v>
      </c>
      <c r="F630" s="32" t="s">
        <v>910</v>
      </c>
      <c r="G630" s="32">
        <f>IFERROR(INDEX(Ship!M$31:N$4500,MATCH(C630,Ship!M$31:M$4500,0),2),0)</f>
        <v>0</v>
      </c>
    </row>
    <row r="631" spans="1:7" x14ac:dyDescent="0.25">
      <c r="A631" s="32" t="s">
        <v>953</v>
      </c>
      <c r="B631" s="32" t="s">
        <v>954</v>
      </c>
      <c r="C631" s="32" t="s">
        <v>1955</v>
      </c>
      <c r="D631" s="32" t="s">
        <v>982</v>
      </c>
      <c r="E631" s="32" t="s">
        <v>629</v>
      </c>
      <c r="F631" s="32" t="s">
        <v>910</v>
      </c>
      <c r="G631" s="32">
        <f>IFERROR(INDEX(Ship!M$31:N$4500,MATCH(C631,Ship!M$31:M$4500,0),2),0)</f>
        <v>0</v>
      </c>
    </row>
    <row r="632" spans="1:7" x14ac:dyDescent="0.25">
      <c r="A632" s="32" t="s">
        <v>953</v>
      </c>
      <c r="B632" s="32" t="s">
        <v>954</v>
      </c>
      <c r="C632" s="32" t="s">
        <v>1956</v>
      </c>
      <c r="D632" s="32" t="s">
        <v>983</v>
      </c>
      <c r="E632" s="32" t="s">
        <v>629</v>
      </c>
      <c r="F632" s="32" t="s">
        <v>910</v>
      </c>
      <c r="G632" s="32">
        <f>IFERROR(INDEX(Ship!M$31:N$4500,MATCH(C632,Ship!M$31:M$4500,0),2),0)</f>
        <v>0</v>
      </c>
    </row>
    <row r="633" spans="1:7" x14ac:dyDescent="0.25">
      <c r="A633" s="32" t="s">
        <v>953</v>
      </c>
      <c r="B633" s="32" t="s">
        <v>954</v>
      </c>
      <c r="C633" s="32" t="s">
        <v>1957</v>
      </c>
      <c r="D633" s="32" t="s">
        <v>984</v>
      </c>
      <c r="E633" s="32" t="s">
        <v>629</v>
      </c>
      <c r="F633" s="32" t="s">
        <v>910</v>
      </c>
      <c r="G633" s="32">
        <f>IFERROR(INDEX(Ship!M$31:N$4500,MATCH(C633,Ship!M$31:M$4500,0),2),0)</f>
        <v>0</v>
      </c>
    </row>
    <row r="634" spans="1:7" x14ac:dyDescent="0.25">
      <c r="A634" s="32" t="s">
        <v>953</v>
      </c>
      <c r="B634" s="32" t="s">
        <v>954</v>
      </c>
      <c r="C634" s="32" t="s">
        <v>1958</v>
      </c>
      <c r="D634" s="32" t="s">
        <v>985</v>
      </c>
      <c r="E634" s="32" t="s">
        <v>629</v>
      </c>
      <c r="F634" s="32" t="s">
        <v>910</v>
      </c>
      <c r="G634" s="32">
        <f>IFERROR(INDEX(Ship!M$31:N$4500,MATCH(C634,Ship!M$31:M$4500,0),2),0)</f>
        <v>0</v>
      </c>
    </row>
    <row r="635" spans="1:7" x14ac:dyDescent="0.25">
      <c r="A635" s="32" t="s">
        <v>953</v>
      </c>
      <c r="B635" s="32" t="s">
        <v>954</v>
      </c>
      <c r="C635" s="32" t="s">
        <v>1959</v>
      </c>
      <c r="D635" s="32" t="s">
        <v>986</v>
      </c>
      <c r="E635" s="32" t="s">
        <v>629</v>
      </c>
      <c r="F635" s="32" t="s">
        <v>910</v>
      </c>
      <c r="G635" s="32">
        <f>IFERROR(INDEX(Ship!M$31:N$4500,MATCH(C635,Ship!M$31:M$4500,0),2),0)</f>
        <v>0</v>
      </c>
    </row>
    <row r="636" spans="1:7" x14ac:dyDescent="0.25">
      <c r="A636" s="32" t="s">
        <v>953</v>
      </c>
      <c r="B636" s="32" t="s">
        <v>954</v>
      </c>
      <c r="C636" s="32" t="s">
        <v>1960</v>
      </c>
      <c r="D636" s="32" t="s">
        <v>987</v>
      </c>
      <c r="E636" s="32" t="s">
        <v>629</v>
      </c>
      <c r="F636" s="32" t="s">
        <v>910</v>
      </c>
      <c r="G636" s="32">
        <f>IFERROR(INDEX(Ship!M$31:N$4500,MATCH(C636,Ship!M$31:M$4500,0),2),0)</f>
        <v>0</v>
      </c>
    </row>
    <row r="637" spans="1:7" x14ac:dyDescent="0.25">
      <c r="A637" s="32" t="s">
        <v>953</v>
      </c>
      <c r="B637" s="32" t="s">
        <v>954</v>
      </c>
      <c r="C637" s="32" t="s">
        <v>1961</v>
      </c>
      <c r="D637" s="32" t="s">
        <v>988</v>
      </c>
      <c r="E637" s="32" t="s">
        <v>629</v>
      </c>
      <c r="F637" s="32" t="s">
        <v>910</v>
      </c>
      <c r="G637" s="32">
        <f>IFERROR(INDEX(Ship!M$31:N$4500,MATCH(C637,Ship!M$31:M$4500,0),2),0)</f>
        <v>0</v>
      </c>
    </row>
    <row r="638" spans="1:7" x14ac:dyDescent="0.25">
      <c r="A638" s="32" t="s">
        <v>953</v>
      </c>
      <c r="B638" s="32" t="s">
        <v>954</v>
      </c>
      <c r="C638" s="32" t="s">
        <v>1962</v>
      </c>
      <c r="D638" s="32" t="s">
        <v>989</v>
      </c>
      <c r="E638" s="32" t="s">
        <v>629</v>
      </c>
      <c r="F638" s="32" t="s">
        <v>910</v>
      </c>
      <c r="G638" s="32">
        <f>IFERROR(INDEX(Ship!M$31:N$4500,MATCH(C638,Ship!M$31:M$4500,0),2),0)</f>
        <v>0</v>
      </c>
    </row>
    <row r="639" spans="1:7" x14ac:dyDescent="0.25">
      <c r="A639" s="32" t="s">
        <v>953</v>
      </c>
      <c r="B639" s="32" t="s">
        <v>954</v>
      </c>
      <c r="C639" s="32" t="s">
        <v>1963</v>
      </c>
      <c r="D639" s="32" t="s">
        <v>990</v>
      </c>
      <c r="E639" s="32" t="s">
        <v>629</v>
      </c>
      <c r="F639" s="32" t="s">
        <v>910</v>
      </c>
      <c r="G639" s="32">
        <f>IFERROR(INDEX(Ship!M$31:N$4500,MATCH(C639,Ship!M$31:M$4500,0),2),0)</f>
        <v>0</v>
      </c>
    </row>
    <row r="640" spans="1:7" x14ac:dyDescent="0.25">
      <c r="A640" s="32" t="s">
        <v>953</v>
      </c>
      <c r="B640" s="32" t="s">
        <v>954</v>
      </c>
      <c r="C640" s="32" t="s">
        <v>1964</v>
      </c>
      <c r="D640" s="32" t="s">
        <v>991</v>
      </c>
      <c r="E640" s="32" t="s">
        <v>629</v>
      </c>
      <c r="F640" s="32" t="s">
        <v>910</v>
      </c>
      <c r="G640" s="32">
        <f>IFERROR(INDEX(Ship!M$31:N$4500,MATCH(C640,Ship!M$31:M$4500,0),2),0)</f>
        <v>0</v>
      </c>
    </row>
    <row r="641" spans="1:7" x14ac:dyDescent="0.25">
      <c r="A641" s="32" t="s">
        <v>953</v>
      </c>
      <c r="B641" s="32" t="s">
        <v>954</v>
      </c>
      <c r="C641" s="32" t="s">
        <v>1965</v>
      </c>
      <c r="D641" s="32" t="s">
        <v>992</v>
      </c>
      <c r="E641" s="32" t="s">
        <v>629</v>
      </c>
      <c r="F641" s="32" t="s">
        <v>910</v>
      </c>
      <c r="G641" s="32">
        <f>IFERROR(INDEX(Ship!M$31:N$4500,MATCH(C641,Ship!M$31:M$4500,0),2),0)</f>
        <v>0</v>
      </c>
    </row>
    <row r="642" spans="1:7" x14ac:dyDescent="0.25">
      <c r="A642" s="32" t="s">
        <v>953</v>
      </c>
      <c r="B642" s="32" t="s">
        <v>954</v>
      </c>
      <c r="C642" s="32" t="s">
        <v>1966</v>
      </c>
      <c r="D642" s="32" t="s">
        <v>993</v>
      </c>
      <c r="E642" s="32" t="s">
        <v>629</v>
      </c>
      <c r="F642" s="32" t="s">
        <v>910</v>
      </c>
      <c r="G642" s="32">
        <f>IFERROR(INDEX(Ship!M$31:N$4500,MATCH(C642,Ship!M$31:M$4500,0),2),0)</f>
        <v>0</v>
      </c>
    </row>
    <row r="643" spans="1:7" x14ac:dyDescent="0.25">
      <c r="A643" s="32" t="s">
        <v>953</v>
      </c>
      <c r="B643" s="32" t="s">
        <v>954</v>
      </c>
      <c r="C643" s="32" t="s">
        <v>1967</v>
      </c>
      <c r="D643" s="32" t="s">
        <v>994</v>
      </c>
      <c r="E643" s="32" t="s">
        <v>629</v>
      </c>
      <c r="F643" s="32" t="s">
        <v>910</v>
      </c>
      <c r="G643" s="32">
        <f>IFERROR(INDEX(Ship!M$31:N$4500,MATCH(C643,Ship!M$31:M$4500,0),2),0)</f>
        <v>0</v>
      </c>
    </row>
    <row r="644" spans="1:7" x14ac:dyDescent="0.25">
      <c r="A644" s="32" t="s">
        <v>953</v>
      </c>
      <c r="B644" s="32" t="s">
        <v>954</v>
      </c>
      <c r="C644" s="32" t="s">
        <v>1968</v>
      </c>
      <c r="D644" s="32" t="s">
        <v>995</v>
      </c>
      <c r="E644" s="32" t="s">
        <v>629</v>
      </c>
      <c r="F644" s="32" t="s">
        <v>910</v>
      </c>
      <c r="G644" s="32">
        <f>IFERROR(INDEX(Ship!M$31:N$4500,MATCH(C644,Ship!M$31:M$4500,0),2),0)</f>
        <v>0</v>
      </c>
    </row>
    <row r="645" spans="1:7" x14ac:dyDescent="0.25">
      <c r="A645" s="32" t="s">
        <v>953</v>
      </c>
      <c r="B645" s="32" t="s">
        <v>954</v>
      </c>
      <c r="C645" s="32" t="s">
        <v>1969</v>
      </c>
      <c r="D645" s="32" t="s">
        <v>996</v>
      </c>
      <c r="E645" s="32" t="s">
        <v>629</v>
      </c>
      <c r="F645" s="32" t="s">
        <v>910</v>
      </c>
      <c r="G645" s="32">
        <f>IFERROR(INDEX(Ship!M$31:N$4500,MATCH(C645,Ship!M$31:M$4500,0),2),0)</f>
        <v>0</v>
      </c>
    </row>
    <row r="646" spans="1:7" x14ac:dyDescent="0.25">
      <c r="A646" s="32" t="s">
        <v>953</v>
      </c>
      <c r="B646" s="32" t="s">
        <v>954</v>
      </c>
      <c r="C646" s="32" t="s">
        <v>1970</v>
      </c>
      <c r="D646" s="32" t="s">
        <v>997</v>
      </c>
      <c r="E646" s="32" t="s">
        <v>629</v>
      </c>
      <c r="F646" s="32" t="s">
        <v>910</v>
      </c>
      <c r="G646" s="32">
        <f>IFERROR(INDEX(Ship!M$31:N$4500,MATCH(C646,Ship!M$31:M$4500,0),2),0)</f>
        <v>0</v>
      </c>
    </row>
    <row r="647" spans="1:7" x14ac:dyDescent="0.25">
      <c r="A647" s="32" t="s">
        <v>953</v>
      </c>
      <c r="B647" s="32" t="s">
        <v>954</v>
      </c>
      <c r="C647" s="32" t="s">
        <v>1971</v>
      </c>
      <c r="D647" s="32" t="s">
        <v>998</v>
      </c>
      <c r="E647" s="32" t="s">
        <v>629</v>
      </c>
      <c r="F647" s="32" t="s">
        <v>910</v>
      </c>
      <c r="G647" s="32">
        <f>IFERROR(INDEX(Ship!M$31:N$4500,MATCH(C647,Ship!M$31:M$4500,0),2),0)</f>
        <v>0</v>
      </c>
    </row>
    <row r="648" spans="1:7" x14ac:dyDescent="0.25">
      <c r="A648" s="32" t="s">
        <v>953</v>
      </c>
      <c r="B648" s="32" t="s">
        <v>954</v>
      </c>
      <c r="C648" s="32" t="s">
        <v>1972</v>
      </c>
      <c r="D648" s="32" t="s">
        <v>999</v>
      </c>
      <c r="E648" s="32" t="s">
        <v>629</v>
      </c>
      <c r="F648" s="32" t="s">
        <v>910</v>
      </c>
      <c r="G648" s="32">
        <f>IFERROR(INDEX(Ship!M$31:N$4500,MATCH(C648,Ship!M$31:M$4500,0),2),0)</f>
        <v>0</v>
      </c>
    </row>
    <row r="649" spans="1:7" x14ac:dyDescent="0.25">
      <c r="A649" s="32" t="s">
        <v>953</v>
      </c>
      <c r="B649" s="32" t="s">
        <v>954</v>
      </c>
      <c r="C649" s="32" t="s">
        <v>1973</v>
      </c>
      <c r="D649" s="32" t="s">
        <v>1000</v>
      </c>
      <c r="E649" s="32" t="s">
        <v>629</v>
      </c>
      <c r="F649" s="32" t="s">
        <v>910</v>
      </c>
      <c r="G649" s="32">
        <f>IFERROR(INDEX(Ship!M$31:N$4500,MATCH(C649,Ship!M$31:M$4500,0),2),0)</f>
        <v>0</v>
      </c>
    </row>
    <row r="650" spans="1:7" x14ac:dyDescent="0.25">
      <c r="A650" s="32" t="s">
        <v>953</v>
      </c>
      <c r="B650" s="32" t="s">
        <v>954</v>
      </c>
      <c r="C650" s="32" t="s">
        <v>1974</v>
      </c>
      <c r="D650" s="32" t="s">
        <v>1001</v>
      </c>
      <c r="E650" s="32" t="s">
        <v>629</v>
      </c>
      <c r="F650" s="32" t="s">
        <v>910</v>
      </c>
      <c r="G650" s="32">
        <f>IFERROR(INDEX(Ship!M$31:N$4500,MATCH(C650,Ship!M$31:M$4500,0),2),0)</f>
        <v>0</v>
      </c>
    </row>
    <row r="651" spans="1:7" x14ac:dyDescent="0.25">
      <c r="A651" s="32" t="s">
        <v>953</v>
      </c>
      <c r="B651" s="32" t="s">
        <v>954</v>
      </c>
      <c r="C651" s="32" t="s">
        <v>1975</v>
      </c>
      <c r="D651" s="32" t="s">
        <v>1002</v>
      </c>
      <c r="E651" s="32" t="s">
        <v>629</v>
      </c>
      <c r="F651" s="32" t="s">
        <v>910</v>
      </c>
      <c r="G651" s="32">
        <f>IFERROR(INDEX(Ship!M$31:N$4500,MATCH(C651,Ship!M$31:M$4500,0),2),0)</f>
        <v>0</v>
      </c>
    </row>
    <row r="652" spans="1:7" x14ac:dyDescent="0.25">
      <c r="A652" s="32" t="s">
        <v>953</v>
      </c>
      <c r="B652" s="32" t="s">
        <v>954</v>
      </c>
      <c r="C652" s="32" t="s">
        <v>1976</v>
      </c>
      <c r="D652" s="32" t="s">
        <v>1003</v>
      </c>
      <c r="E652" s="32" t="s">
        <v>629</v>
      </c>
      <c r="F652" s="32" t="s">
        <v>910</v>
      </c>
      <c r="G652" s="32">
        <f>IFERROR(INDEX(Ship!M$31:N$4500,MATCH(C652,Ship!M$31:M$4500,0),2),0)</f>
        <v>0</v>
      </c>
    </row>
    <row r="653" spans="1:7" x14ac:dyDescent="0.25">
      <c r="A653" s="32" t="s">
        <v>953</v>
      </c>
      <c r="B653" s="32" t="s">
        <v>954</v>
      </c>
      <c r="C653" s="32" t="s">
        <v>1977</v>
      </c>
      <c r="D653" s="32" t="s">
        <v>1004</v>
      </c>
      <c r="E653" s="32" t="s">
        <v>629</v>
      </c>
      <c r="F653" s="32" t="s">
        <v>910</v>
      </c>
      <c r="G653" s="32">
        <f>IFERROR(INDEX(Ship!M$31:N$4500,MATCH(C653,Ship!M$31:M$4500,0),2),0)</f>
        <v>0</v>
      </c>
    </row>
    <row r="654" spans="1:7" x14ac:dyDescent="0.25">
      <c r="A654" s="32" t="s">
        <v>953</v>
      </c>
      <c r="B654" s="32" t="s">
        <v>954</v>
      </c>
      <c r="C654" s="32" t="s">
        <v>1978</v>
      </c>
      <c r="D654" s="32" t="s">
        <v>1005</v>
      </c>
      <c r="E654" s="32" t="s">
        <v>629</v>
      </c>
      <c r="F654" s="32" t="s">
        <v>910</v>
      </c>
      <c r="G654" s="32">
        <f>IFERROR(INDEX(Ship!M$31:N$4500,MATCH(C654,Ship!M$31:M$4500,0),2),0)</f>
        <v>0</v>
      </c>
    </row>
    <row r="655" spans="1:7" x14ac:dyDescent="0.25">
      <c r="A655" s="32" t="s">
        <v>953</v>
      </c>
      <c r="B655" s="32" t="s">
        <v>954</v>
      </c>
      <c r="C655" s="32" t="s">
        <v>1979</v>
      </c>
      <c r="D655" s="32" t="s">
        <v>1006</v>
      </c>
      <c r="E655" s="32" t="s">
        <v>629</v>
      </c>
      <c r="F655" s="32" t="s">
        <v>910</v>
      </c>
      <c r="G655" s="32">
        <f>IFERROR(INDEX(Ship!M$31:N$4500,MATCH(C655,Ship!M$31:M$4500,0),2),0)</f>
        <v>0</v>
      </c>
    </row>
    <row r="656" spans="1:7" x14ac:dyDescent="0.25">
      <c r="A656" s="32" t="s">
        <v>953</v>
      </c>
      <c r="B656" s="32" t="s">
        <v>954</v>
      </c>
      <c r="C656" s="32" t="s">
        <v>1980</v>
      </c>
      <c r="D656" s="32" t="s">
        <v>1007</v>
      </c>
      <c r="E656" s="32" t="s">
        <v>629</v>
      </c>
      <c r="F656" s="32" t="s">
        <v>910</v>
      </c>
      <c r="G656" s="32">
        <f>IFERROR(INDEX(Ship!M$31:N$4500,MATCH(C656,Ship!M$31:M$4500,0),2),0)</f>
        <v>0</v>
      </c>
    </row>
    <row r="657" spans="1:7" x14ac:dyDescent="0.25">
      <c r="A657" s="32" t="s">
        <v>953</v>
      </c>
      <c r="B657" s="32" t="s">
        <v>954</v>
      </c>
      <c r="C657" s="32" t="s">
        <v>1981</v>
      </c>
      <c r="D657" s="32" t="s">
        <v>1008</v>
      </c>
      <c r="E657" s="32" t="s">
        <v>629</v>
      </c>
      <c r="F657" s="32" t="s">
        <v>910</v>
      </c>
      <c r="G657" s="32">
        <f>IFERROR(INDEX(Ship!M$31:N$4500,MATCH(C657,Ship!M$31:M$4500,0),2),0)</f>
        <v>0</v>
      </c>
    </row>
    <row r="658" spans="1:7" x14ac:dyDescent="0.25">
      <c r="A658" s="32" t="s">
        <v>953</v>
      </c>
      <c r="B658" s="32" t="s">
        <v>954</v>
      </c>
      <c r="C658" s="32" t="s">
        <v>1982</v>
      </c>
      <c r="D658" s="32" t="s">
        <v>1009</v>
      </c>
      <c r="E658" s="32" t="s">
        <v>629</v>
      </c>
      <c r="F658" s="32" t="s">
        <v>910</v>
      </c>
      <c r="G658" s="32">
        <f>IFERROR(INDEX(Ship!M$31:N$4500,MATCH(C658,Ship!M$31:M$4500,0),2),0)</f>
        <v>0</v>
      </c>
    </row>
    <row r="659" spans="1:7" x14ac:dyDescent="0.25">
      <c r="A659" s="32" t="s">
        <v>953</v>
      </c>
      <c r="B659" s="32" t="s">
        <v>954</v>
      </c>
      <c r="C659" s="32" t="s">
        <v>1983</v>
      </c>
      <c r="D659" s="32" t="s">
        <v>1010</v>
      </c>
      <c r="E659" s="32" t="s">
        <v>629</v>
      </c>
      <c r="F659" s="32" t="s">
        <v>910</v>
      </c>
      <c r="G659" s="32">
        <f>IFERROR(INDEX(Ship!M$31:N$4500,MATCH(C659,Ship!M$31:M$4500,0),2),0)</f>
        <v>0</v>
      </c>
    </row>
    <row r="660" spans="1:7" x14ac:dyDescent="0.25">
      <c r="A660" s="32" t="s">
        <v>953</v>
      </c>
      <c r="B660" s="32" t="s">
        <v>954</v>
      </c>
      <c r="C660" s="32" t="s">
        <v>1984</v>
      </c>
      <c r="D660" s="32" t="s">
        <v>1011</v>
      </c>
      <c r="E660" s="32" t="s">
        <v>629</v>
      </c>
      <c r="F660" s="32" t="s">
        <v>910</v>
      </c>
      <c r="G660" s="32">
        <f>IFERROR(INDEX(Ship!M$31:N$4500,MATCH(C660,Ship!M$31:M$4500,0),2),0)</f>
        <v>0</v>
      </c>
    </row>
    <row r="661" spans="1:7" x14ac:dyDescent="0.25">
      <c r="A661" s="32" t="s">
        <v>953</v>
      </c>
      <c r="B661" s="32" t="s">
        <v>954</v>
      </c>
      <c r="C661" s="32" t="s">
        <v>1985</v>
      </c>
      <c r="D661" s="32" t="s">
        <v>1012</v>
      </c>
      <c r="E661" s="32" t="s">
        <v>629</v>
      </c>
      <c r="F661" s="32" t="s">
        <v>910</v>
      </c>
      <c r="G661" s="32">
        <f>IFERROR(INDEX(Ship!M$31:N$4500,MATCH(C661,Ship!M$31:M$4500,0),2),0)</f>
        <v>0</v>
      </c>
    </row>
    <row r="662" spans="1:7" x14ac:dyDescent="0.25">
      <c r="A662" s="32" t="s">
        <v>953</v>
      </c>
      <c r="B662" s="32" t="s">
        <v>954</v>
      </c>
      <c r="C662" s="32" t="s">
        <v>1986</v>
      </c>
      <c r="D662" s="32" t="s">
        <v>1013</v>
      </c>
      <c r="E662" s="32" t="s">
        <v>629</v>
      </c>
      <c r="F662" s="32" t="s">
        <v>910</v>
      </c>
      <c r="G662" s="32">
        <f>IFERROR(INDEX(Ship!M$31:N$4500,MATCH(C662,Ship!M$31:M$4500,0),2),0)</f>
        <v>0</v>
      </c>
    </row>
    <row r="663" spans="1:7" x14ac:dyDescent="0.25">
      <c r="A663" s="32" t="s">
        <v>953</v>
      </c>
      <c r="B663" s="32" t="s">
        <v>954</v>
      </c>
      <c r="C663" s="32" t="s">
        <v>1987</v>
      </c>
      <c r="D663" s="32" t="s">
        <v>1014</v>
      </c>
      <c r="E663" s="32" t="s">
        <v>629</v>
      </c>
      <c r="F663" s="32" t="s">
        <v>910</v>
      </c>
      <c r="G663" s="32">
        <f>IFERROR(INDEX(Ship!M$31:N$4500,MATCH(C663,Ship!M$31:M$4500,0),2),0)</f>
        <v>0</v>
      </c>
    </row>
    <row r="664" spans="1:7" x14ac:dyDescent="0.25">
      <c r="A664" s="32" t="s">
        <v>953</v>
      </c>
      <c r="B664" s="32" t="s">
        <v>954</v>
      </c>
      <c r="C664" s="32" t="s">
        <v>1988</v>
      </c>
      <c r="D664" s="32" t="s">
        <v>1015</v>
      </c>
      <c r="E664" s="32" t="s">
        <v>629</v>
      </c>
      <c r="F664" s="32" t="s">
        <v>910</v>
      </c>
      <c r="G664" s="32">
        <f>IFERROR(INDEX(Ship!M$31:N$4500,MATCH(C664,Ship!M$31:M$4500,0),2),0)</f>
        <v>0</v>
      </c>
    </row>
    <row r="665" spans="1:7" x14ac:dyDescent="0.25">
      <c r="A665" s="32" t="s">
        <v>953</v>
      </c>
      <c r="B665" s="32" t="s">
        <v>954</v>
      </c>
      <c r="C665" s="32" t="s">
        <v>1989</v>
      </c>
      <c r="D665" s="32" t="s">
        <v>1016</v>
      </c>
      <c r="E665" s="32" t="s">
        <v>629</v>
      </c>
      <c r="F665" s="32" t="s">
        <v>910</v>
      </c>
      <c r="G665" s="32">
        <f>IFERROR(INDEX(Ship!M$31:N$4500,MATCH(C665,Ship!M$31:M$4500,0),2),0)</f>
        <v>0</v>
      </c>
    </row>
    <row r="666" spans="1:7" x14ac:dyDescent="0.25">
      <c r="A666" s="32" t="s">
        <v>953</v>
      </c>
      <c r="B666" s="32" t="s">
        <v>954</v>
      </c>
      <c r="C666" s="32" t="s">
        <v>1990</v>
      </c>
      <c r="D666" s="32" t="s">
        <v>1017</v>
      </c>
      <c r="E666" s="32" t="s">
        <v>629</v>
      </c>
      <c r="F666" s="32" t="s">
        <v>910</v>
      </c>
      <c r="G666" s="32">
        <f>IFERROR(INDEX(Ship!M$31:N$4500,MATCH(C666,Ship!M$31:M$4500,0),2),0)</f>
        <v>0</v>
      </c>
    </row>
    <row r="667" spans="1:7" x14ac:dyDescent="0.25">
      <c r="A667" s="32" t="s">
        <v>953</v>
      </c>
      <c r="B667" s="32" t="s">
        <v>954</v>
      </c>
      <c r="C667" s="32" t="s">
        <v>1991</v>
      </c>
      <c r="D667" s="32" t="s">
        <v>1018</v>
      </c>
      <c r="E667" s="32" t="s">
        <v>629</v>
      </c>
      <c r="F667" s="32" t="s">
        <v>910</v>
      </c>
      <c r="G667" s="32">
        <f>IFERROR(INDEX(Ship!M$31:N$4500,MATCH(C667,Ship!M$31:M$4500,0),2),0)</f>
        <v>0</v>
      </c>
    </row>
    <row r="668" spans="1:7" x14ac:dyDescent="0.25">
      <c r="A668" s="32" t="s">
        <v>953</v>
      </c>
      <c r="B668" s="32" t="s">
        <v>954</v>
      </c>
      <c r="C668" s="32" t="s">
        <v>1992</v>
      </c>
      <c r="D668" s="32" t="s">
        <v>1019</v>
      </c>
      <c r="E668" s="32" t="s">
        <v>629</v>
      </c>
      <c r="F668" s="32" t="s">
        <v>910</v>
      </c>
      <c r="G668" s="32">
        <f>IFERROR(INDEX(Ship!M$31:N$4500,MATCH(C668,Ship!M$31:M$4500,0),2),0)</f>
        <v>0</v>
      </c>
    </row>
    <row r="669" spans="1:7" x14ac:dyDescent="0.25">
      <c r="A669" s="32" t="s">
        <v>953</v>
      </c>
      <c r="B669" s="32" t="s">
        <v>954</v>
      </c>
      <c r="C669" s="32" t="s">
        <v>1993</v>
      </c>
      <c r="D669" s="32" t="s">
        <v>1020</v>
      </c>
      <c r="E669" s="32" t="s">
        <v>629</v>
      </c>
      <c r="F669" s="32" t="s">
        <v>910</v>
      </c>
      <c r="G669" s="32">
        <f>IFERROR(INDEX(Ship!M$31:N$4500,MATCH(C669,Ship!M$31:M$4500,0),2),0)</f>
        <v>0</v>
      </c>
    </row>
    <row r="670" spans="1:7" x14ac:dyDescent="0.25">
      <c r="A670" s="32" t="s">
        <v>953</v>
      </c>
      <c r="B670" s="32" t="s">
        <v>954</v>
      </c>
      <c r="C670" s="32" t="s">
        <v>1994</v>
      </c>
      <c r="D670" s="32" t="s">
        <v>1021</v>
      </c>
      <c r="E670" s="32" t="s">
        <v>629</v>
      </c>
      <c r="F670" s="32" t="s">
        <v>910</v>
      </c>
      <c r="G670" s="32">
        <f>IFERROR(INDEX(Ship!M$31:N$4500,MATCH(C670,Ship!M$31:M$4500,0),2),0)</f>
        <v>0</v>
      </c>
    </row>
    <row r="671" spans="1:7" x14ac:dyDescent="0.25">
      <c r="A671" s="32" t="s">
        <v>953</v>
      </c>
      <c r="B671" s="32" t="s">
        <v>954</v>
      </c>
      <c r="C671" s="32" t="s">
        <v>1995</v>
      </c>
      <c r="D671" s="32" t="s">
        <v>1022</v>
      </c>
      <c r="E671" s="32" t="s">
        <v>629</v>
      </c>
      <c r="F671" s="32" t="s">
        <v>910</v>
      </c>
      <c r="G671" s="32">
        <f>IFERROR(INDEX(Ship!M$31:N$4500,MATCH(C671,Ship!M$31:M$4500,0),2),0)</f>
        <v>0</v>
      </c>
    </row>
    <row r="672" spans="1:7" x14ac:dyDescent="0.25">
      <c r="A672" s="32" t="s">
        <v>953</v>
      </c>
      <c r="B672" s="32" t="s">
        <v>954</v>
      </c>
      <c r="C672" s="32" t="s">
        <v>1996</v>
      </c>
      <c r="D672" s="32" t="s">
        <v>1023</v>
      </c>
      <c r="E672" s="32" t="s">
        <v>629</v>
      </c>
      <c r="F672" s="32" t="s">
        <v>910</v>
      </c>
      <c r="G672" s="32">
        <f>IFERROR(INDEX(Ship!M$31:N$4500,MATCH(C672,Ship!M$31:M$4500,0),2),0)</f>
        <v>0</v>
      </c>
    </row>
    <row r="673" spans="1:7" x14ac:dyDescent="0.25">
      <c r="A673" s="32" t="s">
        <v>953</v>
      </c>
      <c r="B673" s="32" t="s">
        <v>954</v>
      </c>
      <c r="C673" s="32" t="s">
        <v>1997</v>
      </c>
      <c r="D673" s="32" t="s">
        <v>1024</v>
      </c>
      <c r="E673" s="32" t="s">
        <v>629</v>
      </c>
      <c r="F673" s="32" t="s">
        <v>910</v>
      </c>
      <c r="G673" s="32">
        <f>IFERROR(INDEX(Ship!M$31:N$4500,MATCH(C673,Ship!M$31:M$4500,0),2),0)</f>
        <v>0</v>
      </c>
    </row>
    <row r="674" spans="1:7" x14ac:dyDescent="0.25">
      <c r="A674" s="32" t="s">
        <v>953</v>
      </c>
      <c r="B674" s="32" t="s">
        <v>954</v>
      </c>
      <c r="C674" s="32" t="s">
        <v>368</v>
      </c>
      <c r="D674" s="32" t="s">
        <v>1025</v>
      </c>
      <c r="E674" s="32" t="s">
        <v>629</v>
      </c>
      <c r="F674" s="32" t="s">
        <v>910</v>
      </c>
      <c r="G674" s="32">
        <f>IFERROR(INDEX(Ship!M$31:N$4500,MATCH(C674,Ship!M$31:M$4500,0),2),0)</f>
        <v>0</v>
      </c>
    </row>
    <row r="675" spans="1:7" x14ac:dyDescent="0.25">
      <c r="A675" s="32" t="s">
        <v>953</v>
      </c>
      <c r="B675" s="32" t="s">
        <v>954</v>
      </c>
      <c r="C675" s="32" t="s">
        <v>369</v>
      </c>
      <c r="D675" s="32" t="s">
        <v>1026</v>
      </c>
      <c r="E675" s="32" t="s">
        <v>629</v>
      </c>
      <c r="F675" s="32" t="s">
        <v>910</v>
      </c>
      <c r="G675" s="32">
        <f>IFERROR(INDEX(Ship!M$31:N$4500,MATCH(C675,Ship!M$31:M$4500,0),2),0)</f>
        <v>0</v>
      </c>
    </row>
    <row r="676" spans="1:7" x14ac:dyDescent="0.25">
      <c r="A676" s="32" t="s">
        <v>953</v>
      </c>
      <c r="B676" s="32" t="s">
        <v>954</v>
      </c>
      <c r="C676" s="32" t="s">
        <v>913</v>
      </c>
      <c r="D676" s="32" t="s">
        <v>1027</v>
      </c>
      <c r="E676" s="32" t="s">
        <v>629</v>
      </c>
      <c r="F676" s="32" t="s">
        <v>910</v>
      </c>
      <c r="G676" s="32">
        <f>IFERROR(INDEX(Ship!M$31:N$4500,MATCH(C676,Ship!M$31:M$4500,0),2),0)</f>
        <v>0</v>
      </c>
    </row>
    <row r="677" spans="1:7" x14ac:dyDescent="0.25">
      <c r="A677" s="32" t="s">
        <v>953</v>
      </c>
      <c r="B677" s="32" t="s">
        <v>954</v>
      </c>
      <c r="C677" s="32" t="s">
        <v>370</v>
      </c>
      <c r="D677" s="32" t="s">
        <v>1028</v>
      </c>
      <c r="E677" s="32" t="s">
        <v>629</v>
      </c>
      <c r="F677" s="32" t="s">
        <v>910</v>
      </c>
      <c r="G677" s="32">
        <f>IFERROR(INDEX(Ship!M$31:N$4500,MATCH(C677,Ship!M$31:M$4500,0),2),0)</f>
        <v>0</v>
      </c>
    </row>
    <row r="678" spans="1:7" x14ac:dyDescent="0.25">
      <c r="A678" s="32" t="s">
        <v>953</v>
      </c>
      <c r="B678" s="32" t="s">
        <v>954</v>
      </c>
      <c r="C678" s="32" t="s">
        <v>371</v>
      </c>
      <c r="D678" s="32" t="s">
        <v>1029</v>
      </c>
      <c r="E678" s="32" t="s">
        <v>629</v>
      </c>
      <c r="F678" s="32" t="s">
        <v>910</v>
      </c>
      <c r="G678" s="32">
        <f>IFERROR(INDEX(Ship!M$31:N$4500,MATCH(C678,Ship!M$31:M$4500,0),2),0)</f>
        <v>0</v>
      </c>
    </row>
    <row r="679" spans="1:7" x14ac:dyDescent="0.25">
      <c r="A679" s="32" t="s">
        <v>953</v>
      </c>
      <c r="B679" s="32" t="s">
        <v>954</v>
      </c>
      <c r="C679" s="32" t="s">
        <v>372</v>
      </c>
      <c r="D679" s="32" t="s">
        <v>1030</v>
      </c>
      <c r="E679" s="32" t="s">
        <v>629</v>
      </c>
      <c r="F679" s="32" t="s">
        <v>910</v>
      </c>
      <c r="G679" s="32">
        <f>IFERROR(INDEX(Ship!M$31:N$4500,MATCH(C679,Ship!M$31:M$4500,0),2),0)</f>
        <v>0</v>
      </c>
    </row>
    <row r="680" spans="1:7" x14ac:dyDescent="0.25">
      <c r="A680" s="32" t="s">
        <v>953</v>
      </c>
      <c r="B680" s="32" t="s">
        <v>954</v>
      </c>
      <c r="C680" s="32" t="s">
        <v>373</v>
      </c>
      <c r="D680" s="32" t="s">
        <v>1031</v>
      </c>
      <c r="E680" s="32" t="s">
        <v>629</v>
      </c>
      <c r="F680" s="32" t="s">
        <v>910</v>
      </c>
      <c r="G680" s="32">
        <f>IFERROR(INDEX(Ship!M$31:N$4500,MATCH(C680,Ship!M$31:M$4500,0),2),0)</f>
        <v>0</v>
      </c>
    </row>
    <row r="681" spans="1:7" x14ac:dyDescent="0.25">
      <c r="A681" s="32" t="s">
        <v>953</v>
      </c>
      <c r="B681" s="32" t="s">
        <v>954</v>
      </c>
      <c r="C681" s="32" t="s">
        <v>374</v>
      </c>
      <c r="D681" s="32" t="s">
        <v>1032</v>
      </c>
      <c r="E681" s="32" t="s">
        <v>629</v>
      </c>
      <c r="F681" s="32" t="s">
        <v>910</v>
      </c>
      <c r="G681" s="32">
        <f>IFERROR(INDEX(Ship!M$31:N$4500,MATCH(C681,Ship!M$31:M$4500,0),2),0)</f>
        <v>0</v>
      </c>
    </row>
    <row r="682" spans="1:7" x14ac:dyDescent="0.25">
      <c r="A682" s="32" t="s">
        <v>953</v>
      </c>
      <c r="B682" s="32" t="s">
        <v>954</v>
      </c>
      <c r="C682" s="32" t="s">
        <v>914</v>
      </c>
      <c r="D682" s="32" t="s">
        <v>1033</v>
      </c>
      <c r="E682" s="32" t="s">
        <v>629</v>
      </c>
      <c r="F682" s="32" t="s">
        <v>910</v>
      </c>
      <c r="G682" s="32">
        <f>IFERROR(INDEX(Ship!M$31:N$4500,MATCH(C682,Ship!M$31:M$4500,0),2),0)</f>
        <v>0</v>
      </c>
    </row>
    <row r="683" spans="1:7" x14ac:dyDescent="0.25">
      <c r="A683" s="32" t="s">
        <v>953</v>
      </c>
      <c r="B683" s="32" t="s">
        <v>954</v>
      </c>
      <c r="C683" s="32" t="s">
        <v>375</v>
      </c>
      <c r="D683" s="32" t="s">
        <v>1034</v>
      </c>
      <c r="E683" s="32" t="s">
        <v>629</v>
      </c>
      <c r="F683" s="32" t="s">
        <v>910</v>
      </c>
      <c r="G683" s="32">
        <f>IFERROR(INDEX(Ship!M$31:N$4500,MATCH(C683,Ship!M$31:M$4500,0),2),0)</f>
        <v>0</v>
      </c>
    </row>
    <row r="684" spans="1:7" x14ac:dyDescent="0.25">
      <c r="A684" s="32" t="s">
        <v>953</v>
      </c>
      <c r="B684" s="32" t="s">
        <v>954</v>
      </c>
      <c r="C684" s="32" t="s">
        <v>376</v>
      </c>
      <c r="D684" s="32" t="s">
        <v>1035</v>
      </c>
      <c r="E684" s="32" t="s">
        <v>629</v>
      </c>
      <c r="F684" s="32" t="s">
        <v>910</v>
      </c>
      <c r="G684" s="32">
        <f>IFERROR(INDEX(Ship!M$31:N$4500,MATCH(C684,Ship!M$31:M$4500,0),2),0)</f>
        <v>0</v>
      </c>
    </row>
    <row r="685" spans="1:7" x14ac:dyDescent="0.25">
      <c r="A685" s="32" t="s">
        <v>953</v>
      </c>
      <c r="B685" s="32" t="s">
        <v>954</v>
      </c>
      <c r="C685" s="32" t="s">
        <v>377</v>
      </c>
      <c r="D685" s="32" t="s">
        <v>1036</v>
      </c>
      <c r="E685" s="32" t="s">
        <v>629</v>
      </c>
      <c r="F685" s="32" t="s">
        <v>910</v>
      </c>
      <c r="G685" s="32">
        <f>IFERROR(INDEX(Ship!M$31:N$4500,MATCH(C685,Ship!M$31:M$4500,0),2),0)</f>
        <v>0</v>
      </c>
    </row>
    <row r="686" spans="1:7" x14ac:dyDescent="0.25">
      <c r="A686" s="32" t="s">
        <v>953</v>
      </c>
      <c r="B686" s="32" t="s">
        <v>954</v>
      </c>
      <c r="C686" s="32" t="s">
        <v>378</v>
      </c>
      <c r="D686" s="32" t="s">
        <v>1037</v>
      </c>
      <c r="E686" s="32" t="s">
        <v>629</v>
      </c>
      <c r="F686" s="32" t="s">
        <v>910</v>
      </c>
      <c r="G686" s="32">
        <f>IFERROR(INDEX(Ship!M$31:N$4500,MATCH(C686,Ship!M$31:M$4500,0),2),0)</f>
        <v>0</v>
      </c>
    </row>
    <row r="687" spans="1:7" x14ac:dyDescent="0.25">
      <c r="A687" s="32" t="s">
        <v>953</v>
      </c>
      <c r="B687" s="32" t="s">
        <v>954</v>
      </c>
      <c r="C687" s="32" t="s">
        <v>379</v>
      </c>
      <c r="D687" s="32" t="s">
        <v>1038</v>
      </c>
      <c r="E687" s="32" t="s">
        <v>629</v>
      </c>
      <c r="F687" s="32" t="s">
        <v>910</v>
      </c>
      <c r="G687" s="32">
        <f>IFERROR(INDEX(Ship!M$31:N$4500,MATCH(C687,Ship!M$31:M$4500,0),2),0)</f>
        <v>0</v>
      </c>
    </row>
    <row r="688" spans="1:7" x14ac:dyDescent="0.25">
      <c r="A688" s="32" t="s">
        <v>953</v>
      </c>
      <c r="B688" s="32" t="s">
        <v>954</v>
      </c>
      <c r="C688" s="32" t="s">
        <v>380</v>
      </c>
      <c r="D688" s="32" t="s">
        <v>1039</v>
      </c>
      <c r="E688" s="32" t="s">
        <v>629</v>
      </c>
      <c r="F688" s="32" t="s">
        <v>910</v>
      </c>
      <c r="G688" s="32">
        <f>IFERROR(INDEX(Ship!M$31:N$4500,MATCH(C688,Ship!M$31:M$4500,0),2),0)</f>
        <v>0</v>
      </c>
    </row>
    <row r="689" spans="1:7" x14ac:dyDescent="0.25">
      <c r="A689" s="32" t="s">
        <v>953</v>
      </c>
      <c r="B689" s="32" t="s">
        <v>954</v>
      </c>
      <c r="C689" s="32" t="s">
        <v>381</v>
      </c>
      <c r="D689" s="32" t="s">
        <v>1040</v>
      </c>
      <c r="E689" s="32" t="s">
        <v>629</v>
      </c>
      <c r="F689" s="32" t="s">
        <v>910</v>
      </c>
      <c r="G689" s="32">
        <f>IFERROR(INDEX(Ship!M$31:N$4500,MATCH(C689,Ship!M$31:M$4500,0),2),0)</f>
        <v>0</v>
      </c>
    </row>
    <row r="690" spans="1:7" x14ac:dyDescent="0.25">
      <c r="A690" s="32" t="s">
        <v>953</v>
      </c>
      <c r="B690" s="32" t="s">
        <v>954</v>
      </c>
      <c r="C690" s="32" t="s">
        <v>382</v>
      </c>
      <c r="D690" s="32" t="s">
        <v>1041</v>
      </c>
      <c r="E690" s="32" t="s">
        <v>629</v>
      </c>
      <c r="F690" s="32" t="s">
        <v>910</v>
      </c>
      <c r="G690" s="32">
        <f>IFERROR(INDEX(Ship!M$31:N$4500,MATCH(C690,Ship!M$31:M$4500,0),2),0)</f>
        <v>0</v>
      </c>
    </row>
    <row r="691" spans="1:7" x14ac:dyDescent="0.25">
      <c r="A691" s="32" t="s">
        <v>953</v>
      </c>
      <c r="B691" s="32" t="s">
        <v>954</v>
      </c>
      <c r="C691" s="32" t="s">
        <v>383</v>
      </c>
      <c r="D691" s="32" t="s">
        <v>1042</v>
      </c>
      <c r="E691" s="32" t="s">
        <v>629</v>
      </c>
      <c r="F691" s="32" t="s">
        <v>910</v>
      </c>
      <c r="G691" s="32">
        <f>IFERROR(INDEX(Ship!M$31:N$4500,MATCH(C691,Ship!M$31:M$4500,0),2),0)</f>
        <v>0</v>
      </c>
    </row>
    <row r="692" spans="1:7" x14ac:dyDescent="0.25">
      <c r="A692" s="32" t="s">
        <v>953</v>
      </c>
      <c r="B692" s="32" t="s">
        <v>954</v>
      </c>
      <c r="C692" s="32" t="s">
        <v>384</v>
      </c>
      <c r="D692" s="32" t="s">
        <v>1043</v>
      </c>
      <c r="E692" s="32" t="s">
        <v>629</v>
      </c>
      <c r="F692" s="32" t="s">
        <v>910</v>
      </c>
      <c r="G692" s="32">
        <f>IFERROR(INDEX(Ship!M$31:N$4500,MATCH(C692,Ship!M$31:M$4500,0),2),0)</f>
        <v>0</v>
      </c>
    </row>
    <row r="693" spans="1:7" x14ac:dyDescent="0.25">
      <c r="A693" s="32" t="s">
        <v>953</v>
      </c>
      <c r="B693" s="32" t="s">
        <v>954</v>
      </c>
      <c r="C693" s="32" t="s">
        <v>385</v>
      </c>
      <c r="D693" s="32" t="s">
        <v>1044</v>
      </c>
      <c r="E693" s="32" t="s">
        <v>629</v>
      </c>
      <c r="F693" s="32" t="s">
        <v>910</v>
      </c>
      <c r="G693" s="32">
        <f>IFERROR(INDEX(Ship!M$31:N$4500,MATCH(C693,Ship!M$31:M$4500,0),2),0)</f>
        <v>0</v>
      </c>
    </row>
    <row r="694" spans="1:7" x14ac:dyDescent="0.25">
      <c r="A694" s="32" t="s">
        <v>953</v>
      </c>
      <c r="B694" s="32" t="s">
        <v>954</v>
      </c>
      <c r="C694" s="32" t="s">
        <v>386</v>
      </c>
      <c r="D694" s="32" t="s">
        <v>1045</v>
      </c>
      <c r="E694" s="32" t="s">
        <v>629</v>
      </c>
      <c r="F694" s="32" t="s">
        <v>910</v>
      </c>
      <c r="G694" s="32">
        <f>IFERROR(INDEX(Ship!M$31:N$4500,MATCH(C694,Ship!M$31:M$4500,0),2),0)</f>
        <v>0</v>
      </c>
    </row>
    <row r="695" spans="1:7" x14ac:dyDescent="0.25">
      <c r="A695" s="32" t="s">
        <v>953</v>
      </c>
      <c r="B695" s="32" t="s">
        <v>954</v>
      </c>
      <c r="C695" s="32" t="s">
        <v>387</v>
      </c>
      <c r="D695" s="32" t="s">
        <v>1046</v>
      </c>
      <c r="E695" s="32" t="s">
        <v>629</v>
      </c>
      <c r="F695" s="32" t="s">
        <v>910</v>
      </c>
      <c r="G695" s="32">
        <f>IFERROR(INDEX(Ship!M$31:N$4500,MATCH(C695,Ship!M$31:M$4500,0),2),0)</f>
        <v>0</v>
      </c>
    </row>
    <row r="696" spans="1:7" x14ac:dyDescent="0.25">
      <c r="A696" s="32" t="s">
        <v>953</v>
      </c>
      <c r="B696" s="32" t="s">
        <v>954</v>
      </c>
      <c r="C696" s="32" t="s">
        <v>388</v>
      </c>
      <c r="D696" s="32" t="s">
        <v>1047</v>
      </c>
      <c r="E696" s="32" t="s">
        <v>629</v>
      </c>
      <c r="F696" s="32" t="s">
        <v>910</v>
      </c>
      <c r="G696" s="32">
        <f>IFERROR(INDEX(Ship!M$31:N$4500,MATCH(C696,Ship!M$31:M$4500,0),2),0)</f>
        <v>0</v>
      </c>
    </row>
    <row r="697" spans="1:7" x14ac:dyDescent="0.25">
      <c r="A697" s="32" t="s">
        <v>953</v>
      </c>
      <c r="B697" s="32" t="s">
        <v>954</v>
      </c>
      <c r="C697" s="32" t="s">
        <v>389</v>
      </c>
      <c r="D697" s="32" t="s">
        <v>1048</v>
      </c>
      <c r="E697" s="32" t="s">
        <v>629</v>
      </c>
      <c r="F697" s="32" t="s">
        <v>910</v>
      </c>
      <c r="G697" s="32">
        <f>IFERROR(INDEX(Ship!M$31:N$4500,MATCH(C697,Ship!M$31:M$4500,0),2),0)</f>
        <v>0</v>
      </c>
    </row>
    <row r="698" spans="1:7" x14ac:dyDescent="0.25">
      <c r="A698" s="32" t="s">
        <v>953</v>
      </c>
      <c r="B698" s="32" t="s">
        <v>954</v>
      </c>
      <c r="C698" s="32" t="s">
        <v>390</v>
      </c>
      <c r="D698" s="32" t="s">
        <v>1049</v>
      </c>
      <c r="E698" s="32" t="s">
        <v>629</v>
      </c>
      <c r="F698" s="32" t="s">
        <v>910</v>
      </c>
      <c r="G698" s="32">
        <f>IFERROR(INDEX(Ship!M$31:N$4500,MATCH(C698,Ship!M$31:M$4500,0),2),0)</f>
        <v>0</v>
      </c>
    </row>
    <row r="699" spans="1:7" x14ac:dyDescent="0.25">
      <c r="A699" s="32" t="s">
        <v>953</v>
      </c>
      <c r="B699" s="32" t="s">
        <v>954</v>
      </c>
      <c r="C699" s="32" t="s">
        <v>391</v>
      </c>
      <c r="D699" s="32" t="s">
        <v>1050</v>
      </c>
      <c r="E699" s="32" t="s">
        <v>629</v>
      </c>
      <c r="F699" s="32" t="s">
        <v>910</v>
      </c>
      <c r="G699" s="32">
        <f>IFERROR(INDEX(Ship!M$31:N$4500,MATCH(C699,Ship!M$31:M$4500,0),2),0)</f>
        <v>0</v>
      </c>
    </row>
    <row r="700" spans="1:7" x14ac:dyDescent="0.25">
      <c r="A700" s="32" t="s">
        <v>953</v>
      </c>
      <c r="B700" s="32" t="s">
        <v>954</v>
      </c>
      <c r="C700" s="32" t="s">
        <v>392</v>
      </c>
      <c r="D700" s="32" t="s">
        <v>1051</v>
      </c>
      <c r="E700" s="32" t="s">
        <v>629</v>
      </c>
      <c r="F700" s="32" t="s">
        <v>910</v>
      </c>
      <c r="G700" s="32">
        <f>IFERROR(INDEX(Ship!M$31:N$4500,MATCH(C700,Ship!M$31:M$4500,0),2),0)</f>
        <v>0</v>
      </c>
    </row>
    <row r="701" spans="1:7" x14ac:dyDescent="0.25">
      <c r="A701" s="32" t="s">
        <v>953</v>
      </c>
      <c r="B701" s="32" t="s">
        <v>954</v>
      </c>
      <c r="C701" s="32" t="s">
        <v>393</v>
      </c>
      <c r="D701" s="32" t="s">
        <v>1052</v>
      </c>
      <c r="E701" s="32" t="s">
        <v>629</v>
      </c>
      <c r="F701" s="32" t="s">
        <v>910</v>
      </c>
      <c r="G701" s="32">
        <f>IFERROR(INDEX(Ship!M$31:N$4500,MATCH(C701,Ship!M$31:M$4500,0),2),0)</f>
        <v>0</v>
      </c>
    </row>
    <row r="702" spans="1:7" x14ac:dyDescent="0.25">
      <c r="A702" s="32" t="s">
        <v>953</v>
      </c>
      <c r="B702" s="32" t="s">
        <v>954</v>
      </c>
      <c r="C702" s="32" t="s">
        <v>394</v>
      </c>
      <c r="D702" s="32" t="s">
        <v>1053</v>
      </c>
      <c r="E702" s="32" t="s">
        <v>629</v>
      </c>
      <c r="F702" s="32" t="s">
        <v>910</v>
      </c>
      <c r="G702" s="32">
        <f>IFERROR(INDEX(Ship!M$31:N$4500,MATCH(C702,Ship!M$31:M$4500,0),2),0)</f>
        <v>0</v>
      </c>
    </row>
    <row r="703" spans="1:7" x14ac:dyDescent="0.25">
      <c r="A703" s="32" t="s">
        <v>953</v>
      </c>
      <c r="B703" s="32" t="s">
        <v>954</v>
      </c>
      <c r="C703" s="32" t="s">
        <v>395</v>
      </c>
      <c r="D703" s="32" t="s">
        <v>1054</v>
      </c>
      <c r="E703" s="32" t="s">
        <v>629</v>
      </c>
      <c r="F703" s="32" t="s">
        <v>910</v>
      </c>
      <c r="G703" s="32">
        <f>IFERROR(INDEX(Ship!M$31:N$4500,MATCH(C703,Ship!M$31:M$4500,0),2),0)</f>
        <v>0</v>
      </c>
    </row>
    <row r="704" spans="1:7" x14ac:dyDescent="0.25">
      <c r="A704" s="32" t="s">
        <v>953</v>
      </c>
      <c r="B704" s="32" t="s">
        <v>954</v>
      </c>
      <c r="C704" s="32" t="s">
        <v>396</v>
      </c>
      <c r="D704" s="32" t="s">
        <v>1055</v>
      </c>
      <c r="E704" s="32" t="s">
        <v>629</v>
      </c>
      <c r="F704" s="32" t="s">
        <v>910</v>
      </c>
      <c r="G704" s="32">
        <f>IFERROR(INDEX(Ship!M$31:N$4500,MATCH(C704,Ship!M$31:M$4500,0),2),0)</f>
        <v>0</v>
      </c>
    </row>
    <row r="705" spans="1:7" x14ac:dyDescent="0.25">
      <c r="A705" s="32" t="s">
        <v>953</v>
      </c>
      <c r="B705" s="32" t="s">
        <v>954</v>
      </c>
      <c r="C705" s="32" t="s">
        <v>397</v>
      </c>
      <c r="D705" s="32" t="s">
        <v>1056</v>
      </c>
      <c r="E705" s="32" t="s">
        <v>629</v>
      </c>
      <c r="F705" s="32" t="s">
        <v>910</v>
      </c>
      <c r="G705" s="32">
        <f>IFERROR(INDEX(Ship!M$31:N$4500,MATCH(C705,Ship!M$31:M$4500,0),2),0)</f>
        <v>0</v>
      </c>
    </row>
    <row r="706" spans="1:7" x14ac:dyDescent="0.25">
      <c r="A706" s="32" t="s">
        <v>953</v>
      </c>
      <c r="B706" s="32" t="s">
        <v>954</v>
      </c>
      <c r="C706" s="32" t="s">
        <v>398</v>
      </c>
      <c r="D706" s="32" t="s">
        <v>1057</v>
      </c>
      <c r="E706" s="32" t="s">
        <v>629</v>
      </c>
      <c r="F706" s="32" t="s">
        <v>910</v>
      </c>
      <c r="G706" s="32">
        <f>IFERROR(INDEX(Ship!M$31:N$4500,MATCH(C706,Ship!M$31:M$4500,0),2),0)</f>
        <v>0</v>
      </c>
    </row>
    <row r="707" spans="1:7" x14ac:dyDescent="0.25">
      <c r="A707" s="32" t="s">
        <v>953</v>
      </c>
      <c r="B707" s="32" t="s">
        <v>954</v>
      </c>
      <c r="C707" s="32" t="s">
        <v>399</v>
      </c>
      <c r="D707" s="32" t="s">
        <v>1058</v>
      </c>
      <c r="E707" s="32" t="s">
        <v>629</v>
      </c>
      <c r="F707" s="32" t="s">
        <v>910</v>
      </c>
      <c r="G707" s="32">
        <f>IFERROR(INDEX(Ship!M$31:N$4500,MATCH(C707,Ship!M$31:M$4500,0),2),0)</f>
        <v>0</v>
      </c>
    </row>
    <row r="708" spans="1:7" x14ac:dyDescent="0.25">
      <c r="A708" s="32" t="s">
        <v>953</v>
      </c>
      <c r="B708" s="32" t="s">
        <v>954</v>
      </c>
      <c r="C708" s="32" t="s">
        <v>1998</v>
      </c>
      <c r="D708" s="32" t="s">
        <v>1059</v>
      </c>
      <c r="E708" s="32" t="s">
        <v>629</v>
      </c>
      <c r="F708" s="32" t="s">
        <v>910</v>
      </c>
      <c r="G708" s="32">
        <f>IFERROR(INDEX(Ship!M$31:N$4500,MATCH(C708,Ship!M$31:M$4500,0),2),0)</f>
        <v>0</v>
      </c>
    </row>
    <row r="709" spans="1:7" x14ac:dyDescent="0.25">
      <c r="A709" s="32" t="s">
        <v>953</v>
      </c>
      <c r="B709" s="32" t="s">
        <v>954</v>
      </c>
      <c r="C709" s="32" t="s">
        <v>1999</v>
      </c>
      <c r="D709" s="32" t="s">
        <v>1060</v>
      </c>
      <c r="E709" s="32" t="s">
        <v>629</v>
      </c>
      <c r="F709" s="32" t="s">
        <v>910</v>
      </c>
      <c r="G709" s="32">
        <f>IFERROR(INDEX(Ship!M$31:N$4500,MATCH(C709,Ship!M$31:M$4500,0),2),0)</f>
        <v>0</v>
      </c>
    </row>
    <row r="710" spans="1:7" x14ac:dyDescent="0.25">
      <c r="A710" s="32" t="s">
        <v>953</v>
      </c>
      <c r="B710" s="32" t="s">
        <v>954</v>
      </c>
      <c r="C710" s="32" t="s">
        <v>2000</v>
      </c>
      <c r="D710" s="32" t="s">
        <v>1061</v>
      </c>
      <c r="E710" s="32" t="s">
        <v>629</v>
      </c>
      <c r="F710" s="32" t="s">
        <v>910</v>
      </c>
      <c r="G710" s="32">
        <f>IFERROR(INDEX(Ship!M$31:N$4500,MATCH(C710,Ship!M$31:M$4500,0),2),0)</f>
        <v>0</v>
      </c>
    </row>
    <row r="711" spans="1:7" x14ac:dyDescent="0.25">
      <c r="A711" s="32" t="s">
        <v>953</v>
      </c>
      <c r="B711" s="32" t="s">
        <v>954</v>
      </c>
      <c r="C711" s="32" t="s">
        <v>2001</v>
      </c>
      <c r="D711" s="32" t="s">
        <v>1062</v>
      </c>
      <c r="E711" s="32" t="s">
        <v>629</v>
      </c>
      <c r="F711" s="32" t="s">
        <v>910</v>
      </c>
      <c r="G711" s="32">
        <f>IFERROR(INDEX(Ship!M$31:N$4500,MATCH(C711,Ship!M$31:M$4500,0),2),0)</f>
        <v>0</v>
      </c>
    </row>
    <row r="712" spans="1:7" x14ac:dyDescent="0.25">
      <c r="A712" s="32" t="s">
        <v>953</v>
      </c>
      <c r="B712" s="32" t="s">
        <v>954</v>
      </c>
      <c r="C712" s="32" t="s">
        <v>2002</v>
      </c>
      <c r="D712" s="32" t="s">
        <v>1063</v>
      </c>
      <c r="E712" s="32" t="s">
        <v>629</v>
      </c>
      <c r="F712" s="32" t="s">
        <v>910</v>
      </c>
      <c r="G712" s="32">
        <f>IFERROR(INDEX(Ship!M$31:N$4500,MATCH(C712,Ship!M$31:M$4500,0),2),0)</f>
        <v>0</v>
      </c>
    </row>
    <row r="713" spans="1:7" x14ac:dyDescent="0.25">
      <c r="A713" s="32" t="s">
        <v>953</v>
      </c>
      <c r="B713" s="32" t="s">
        <v>954</v>
      </c>
      <c r="C713" s="32" t="s">
        <v>2003</v>
      </c>
      <c r="D713" s="32" t="s">
        <v>1064</v>
      </c>
      <c r="E713" s="32" t="s">
        <v>629</v>
      </c>
      <c r="F713" s="32" t="s">
        <v>910</v>
      </c>
      <c r="G713" s="32">
        <f>IFERROR(INDEX(Ship!M$31:N$4500,MATCH(C713,Ship!M$31:M$4500,0),2),0)</f>
        <v>0</v>
      </c>
    </row>
    <row r="714" spans="1:7" x14ac:dyDescent="0.25">
      <c r="A714" s="32" t="s">
        <v>953</v>
      </c>
      <c r="B714" s="32" t="s">
        <v>954</v>
      </c>
      <c r="C714" s="32" t="s">
        <v>2004</v>
      </c>
      <c r="D714" s="32" t="s">
        <v>1065</v>
      </c>
      <c r="E714" s="32" t="s">
        <v>629</v>
      </c>
      <c r="F714" s="32" t="s">
        <v>910</v>
      </c>
      <c r="G714" s="32">
        <f>IFERROR(INDEX(Ship!M$31:N$4500,MATCH(C714,Ship!M$31:M$4500,0),2),0)</f>
        <v>0</v>
      </c>
    </row>
    <row r="715" spans="1:7" x14ac:dyDescent="0.25">
      <c r="A715" s="32" t="s">
        <v>953</v>
      </c>
      <c r="B715" s="32" t="s">
        <v>954</v>
      </c>
      <c r="C715" s="32" t="s">
        <v>2005</v>
      </c>
      <c r="D715" s="32" t="s">
        <v>1066</v>
      </c>
      <c r="E715" s="32" t="s">
        <v>629</v>
      </c>
      <c r="F715" s="32" t="s">
        <v>910</v>
      </c>
      <c r="G715" s="32">
        <f>IFERROR(INDEX(Ship!M$31:N$4500,MATCH(C715,Ship!M$31:M$4500,0),2),0)</f>
        <v>0</v>
      </c>
    </row>
    <row r="716" spans="1:7" x14ac:dyDescent="0.25">
      <c r="A716" s="32" t="s">
        <v>953</v>
      </c>
      <c r="B716" s="32" t="s">
        <v>954</v>
      </c>
      <c r="C716" s="32" t="s">
        <v>2006</v>
      </c>
      <c r="D716" s="32" t="s">
        <v>1067</v>
      </c>
      <c r="E716" s="32" t="s">
        <v>629</v>
      </c>
      <c r="F716" s="32" t="s">
        <v>910</v>
      </c>
      <c r="G716" s="32">
        <f>IFERROR(INDEX(Ship!M$31:N$4500,MATCH(C716,Ship!M$31:M$4500,0),2),0)</f>
        <v>0</v>
      </c>
    </row>
    <row r="717" spans="1:7" x14ac:dyDescent="0.25">
      <c r="A717" s="32" t="s">
        <v>953</v>
      </c>
      <c r="B717" s="32" t="s">
        <v>954</v>
      </c>
      <c r="C717" s="32" t="s">
        <v>2007</v>
      </c>
      <c r="D717" s="32" t="s">
        <v>1068</v>
      </c>
      <c r="E717" s="32" t="s">
        <v>629</v>
      </c>
      <c r="F717" s="32" t="s">
        <v>910</v>
      </c>
      <c r="G717" s="32">
        <f>IFERROR(INDEX(Ship!M$31:N$4500,MATCH(C717,Ship!M$31:M$4500,0),2),0)</f>
        <v>0</v>
      </c>
    </row>
    <row r="718" spans="1:7" x14ac:dyDescent="0.25">
      <c r="A718" s="32" t="s">
        <v>953</v>
      </c>
      <c r="B718" s="32" t="s">
        <v>954</v>
      </c>
      <c r="C718" s="32" t="s">
        <v>2008</v>
      </c>
      <c r="D718" s="32" t="s">
        <v>1069</v>
      </c>
      <c r="E718" s="32" t="s">
        <v>629</v>
      </c>
      <c r="F718" s="32" t="s">
        <v>910</v>
      </c>
      <c r="G718" s="32">
        <f>IFERROR(INDEX(Ship!M$31:N$4500,MATCH(C718,Ship!M$31:M$4500,0),2),0)</f>
        <v>0</v>
      </c>
    </row>
    <row r="719" spans="1:7" x14ac:dyDescent="0.25">
      <c r="A719" s="32" t="s">
        <v>953</v>
      </c>
      <c r="B719" s="32" t="s">
        <v>954</v>
      </c>
      <c r="C719" s="32" t="s">
        <v>2009</v>
      </c>
      <c r="D719" s="32" t="s">
        <v>1070</v>
      </c>
      <c r="E719" s="32" t="s">
        <v>629</v>
      </c>
      <c r="F719" s="32" t="s">
        <v>910</v>
      </c>
      <c r="G719" s="32">
        <f>IFERROR(INDEX(Ship!M$31:N$4500,MATCH(C719,Ship!M$31:M$4500,0),2),0)</f>
        <v>0</v>
      </c>
    </row>
    <row r="720" spans="1:7" x14ac:dyDescent="0.25">
      <c r="A720" s="32" t="s">
        <v>953</v>
      </c>
      <c r="B720" s="32" t="s">
        <v>954</v>
      </c>
      <c r="C720" s="32" t="s">
        <v>2010</v>
      </c>
      <c r="D720" s="32" t="s">
        <v>1071</v>
      </c>
      <c r="E720" s="32" t="s">
        <v>629</v>
      </c>
      <c r="F720" s="32" t="s">
        <v>910</v>
      </c>
      <c r="G720" s="32">
        <f>IFERROR(INDEX(Ship!M$31:N$4500,MATCH(C720,Ship!M$31:M$4500,0),2),0)</f>
        <v>0</v>
      </c>
    </row>
    <row r="721" spans="1:7" x14ac:dyDescent="0.25">
      <c r="A721" s="32" t="s">
        <v>953</v>
      </c>
      <c r="B721" s="32" t="s">
        <v>954</v>
      </c>
      <c r="C721" s="32" t="s">
        <v>2011</v>
      </c>
      <c r="D721" s="32" t="s">
        <v>1072</v>
      </c>
      <c r="E721" s="32" t="s">
        <v>629</v>
      </c>
      <c r="F721" s="32" t="s">
        <v>910</v>
      </c>
      <c r="G721" s="32">
        <f>IFERROR(INDEX(Ship!M$31:N$4500,MATCH(C721,Ship!M$31:M$4500,0),2),0)</f>
        <v>0</v>
      </c>
    </row>
    <row r="722" spans="1:7" x14ac:dyDescent="0.25">
      <c r="A722" s="32" t="s">
        <v>953</v>
      </c>
      <c r="B722" s="32" t="s">
        <v>954</v>
      </c>
      <c r="C722" s="32" t="s">
        <v>2012</v>
      </c>
      <c r="D722" s="32" t="s">
        <v>1073</v>
      </c>
      <c r="E722" s="32" t="s">
        <v>629</v>
      </c>
      <c r="F722" s="32" t="s">
        <v>910</v>
      </c>
      <c r="G722" s="32">
        <f>IFERROR(INDEX(Ship!M$31:N$4500,MATCH(C722,Ship!M$31:M$4500,0),2),0)</f>
        <v>0</v>
      </c>
    </row>
    <row r="723" spans="1:7" x14ac:dyDescent="0.25">
      <c r="A723" s="32" t="s">
        <v>953</v>
      </c>
      <c r="B723" s="32" t="s">
        <v>954</v>
      </c>
      <c r="C723" s="32" t="s">
        <v>2013</v>
      </c>
      <c r="D723" s="32" t="s">
        <v>1074</v>
      </c>
      <c r="E723" s="32" t="s">
        <v>629</v>
      </c>
      <c r="F723" s="32" t="s">
        <v>910</v>
      </c>
      <c r="G723" s="32">
        <f>IFERROR(INDEX(Ship!M$31:N$4500,MATCH(C723,Ship!M$31:M$4500,0),2),0)</f>
        <v>0</v>
      </c>
    </row>
    <row r="724" spans="1:7" x14ac:dyDescent="0.25">
      <c r="A724" s="32" t="s">
        <v>953</v>
      </c>
      <c r="B724" s="32" t="s">
        <v>954</v>
      </c>
      <c r="C724" s="32" t="s">
        <v>2014</v>
      </c>
      <c r="D724" s="32" t="s">
        <v>1075</v>
      </c>
      <c r="E724" s="32" t="s">
        <v>629</v>
      </c>
      <c r="F724" s="32" t="s">
        <v>910</v>
      </c>
      <c r="G724" s="32">
        <f>IFERROR(INDEX(Ship!M$31:N$4500,MATCH(C724,Ship!M$31:M$4500,0),2),0)</f>
        <v>0</v>
      </c>
    </row>
    <row r="725" spans="1:7" x14ac:dyDescent="0.25">
      <c r="A725" s="32" t="s">
        <v>953</v>
      </c>
      <c r="B725" s="32" t="s">
        <v>954</v>
      </c>
      <c r="C725" s="32" t="s">
        <v>2015</v>
      </c>
      <c r="D725" s="32" t="s">
        <v>1076</v>
      </c>
      <c r="E725" s="32" t="s">
        <v>629</v>
      </c>
      <c r="F725" s="32" t="s">
        <v>910</v>
      </c>
      <c r="G725" s="32">
        <f>IFERROR(INDEX(Ship!M$31:N$4500,MATCH(C725,Ship!M$31:M$4500,0),2),0)</f>
        <v>0</v>
      </c>
    </row>
    <row r="726" spans="1:7" x14ac:dyDescent="0.25">
      <c r="A726" s="32" t="s">
        <v>953</v>
      </c>
      <c r="B726" s="32" t="s">
        <v>954</v>
      </c>
      <c r="C726" s="32" t="s">
        <v>2016</v>
      </c>
      <c r="D726" s="32" t="s">
        <v>1077</v>
      </c>
      <c r="E726" s="32" t="s">
        <v>629</v>
      </c>
      <c r="F726" s="32" t="s">
        <v>910</v>
      </c>
      <c r="G726" s="32">
        <f>IFERROR(INDEX(Ship!M$31:N$4500,MATCH(C726,Ship!M$31:M$4500,0),2),0)</f>
        <v>0</v>
      </c>
    </row>
    <row r="727" spans="1:7" x14ac:dyDescent="0.25">
      <c r="A727" s="32" t="s">
        <v>953</v>
      </c>
      <c r="B727" s="32" t="s">
        <v>954</v>
      </c>
      <c r="C727" s="32" t="s">
        <v>2017</v>
      </c>
      <c r="D727" s="32" t="s">
        <v>1078</v>
      </c>
      <c r="E727" s="32" t="s">
        <v>629</v>
      </c>
      <c r="F727" s="32" t="s">
        <v>910</v>
      </c>
      <c r="G727" s="32">
        <f>IFERROR(INDEX(Ship!M$31:N$4500,MATCH(C727,Ship!M$31:M$4500,0),2),0)</f>
        <v>0</v>
      </c>
    </row>
    <row r="728" spans="1:7" x14ac:dyDescent="0.25">
      <c r="A728" s="32" t="s">
        <v>953</v>
      </c>
      <c r="B728" s="32" t="s">
        <v>954</v>
      </c>
      <c r="C728" s="32" t="s">
        <v>2018</v>
      </c>
      <c r="D728" s="32" t="s">
        <v>1079</v>
      </c>
      <c r="E728" s="32" t="s">
        <v>629</v>
      </c>
      <c r="F728" s="32" t="s">
        <v>910</v>
      </c>
      <c r="G728" s="32">
        <f>IFERROR(INDEX(Ship!M$31:N$4500,MATCH(C728,Ship!M$31:M$4500,0),2),0)</f>
        <v>0</v>
      </c>
    </row>
    <row r="729" spans="1:7" x14ac:dyDescent="0.25">
      <c r="A729" s="32" t="s">
        <v>953</v>
      </c>
      <c r="B729" s="32" t="s">
        <v>954</v>
      </c>
      <c r="C729" s="32" t="s">
        <v>2019</v>
      </c>
      <c r="D729" s="32" t="s">
        <v>1080</v>
      </c>
      <c r="E729" s="32" t="s">
        <v>629</v>
      </c>
      <c r="F729" s="32" t="s">
        <v>910</v>
      </c>
      <c r="G729" s="32">
        <f>IFERROR(INDEX(Ship!M$31:N$4500,MATCH(C729,Ship!M$31:M$4500,0),2),0)</f>
        <v>0</v>
      </c>
    </row>
    <row r="730" spans="1:7" x14ac:dyDescent="0.25">
      <c r="A730" s="32" t="s">
        <v>953</v>
      </c>
      <c r="B730" s="32" t="s">
        <v>954</v>
      </c>
      <c r="C730" s="32" t="s">
        <v>2020</v>
      </c>
      <c r="D730" s="32" t="s">
        <v>1081</v>
      </c>
      <c r="E730" s="32" t="s">
        <v>629</v>
      </c>
      <c r="F730" s="32" t="s">
        <v>910</v>
      </c>
      <c r="G730" s="32">
        <f>IFERROR(INDEX(Ship!M$31:N$4500,MATCH(C730,Ship!M$31:M$4500,0),2),0)</f>
        <v>0</v>
      </c>
    </row>
    <row r="731" spans="1:7" x14ac:dyDescent="0.25">
      <c r="A731" s="32" t="s">
        <v>953</v>
      </c>
      <c r="B731" s="32" t="s">
        <v>954</v>
      </c>
      <c r="C731" s="32" t="s">
        <v>2021</v>
      </c>
      <c r="D731" s="32" t="s">
        <v>1082</v>
      </c>
      <c r="E731" s="32" t="s">
        <v>629</v>
      </c>
      <c r="F731" s="32" t="s">
        <v>910</v>
      </c>
      <c r="G731" s="32">
        <f>IFERROR(INDEX(Ship!M$31:N$4500,MATCH(C731,Ship!M$31:M$4500,0),2),0)</f>
        <v>0</v>
      </c>
    </row>
    <row r="732" spans="1:7" x14ac:dyDescent="0.25">
      <c r="A732" s="32" t="s">
        <v>953</v>
      </c>
      <c r="B732" s="32" t="s">
        <v>954</v>
      </c>
      <c r="C732" s="32" t="s">
        <v>2022</v>
      </c>
      <c r="D732" s="32" t="s">
        <v>1083</v>
      </c>
      <c r="E732" s="32" t="s">
        <v>629</v>
      </c>
      <c r="F732" s="32" t="s">
        <v>910</v>
      </c>
      <c r="G732" s="32">
        <f>IFERROR(INDEX(Ship!M$31:N$4500,MATCH(C732,Ship!M$31:M$4500,0),2),0)</f>
        <v>0</v>
      </c>
    </row>
    <row r="733" spans="1:7" x14ac:dyDescent="0.25">
      <c r="A733" s="32" t="s">
        <v>953</v>
      </c>
      <c r="B733" s="32" t="s">
        <v>954</v>
      </c>
      <c r="C733" s="32" t="s">
        <v>2023</v>
      </c>
      <c r="D733" s="32" t="s">
        <v>1084</v>
      </c>
      <c r="E733" s="32" t="s">
        <v>629</v>
      </c>
      <c r="F733" s="32" t="s">
        <v>910</v>
      </c>
      <c r="G733" s="32">
        <f>IFERROR(INDEX(Ship!M$31:N$4500,MATCH(C733,Ship!M$31:M$4500,0),2),0)</f>
        <v>0</v>
      </c>
    </row>
    <row r="734" spans="1:7" x14ac:dyDescent="0.25">
      <c r="A734" s="32" t="s">
        <v>953</v>
      </c>
      <c r="B734" s="32" t="s">
        <v>954</v>
      </c>
      <c r="C734" s="32" t="s">
        <v>2024</v>
      </c>
      <c r="D734" s="32" t="s">
        <v>1085</v>
      </c>
      <c r="E734" s="32" t="s">
        <v>629</v>
      </c>
      <c r="F734" s="32" t="s">
        <v>910</v>
      </c>
      <c r="G734" s="32">
        <f>IFERROR(INDEX(Ship!M$31:N$4500,MATCH(C734,Ship!M$31:M$4500,0),2),0)</f>
        <v>0</v>
      </c>
    </row>
    <row r="735" spans="1:7" x14ac:dyDescent="0.25">
      <c r="A735" s="32" t="s">
        <v>953</v>
      </c>
      <c r="B735" s="32" t="s">
        <v>954</v>
      </c>
      <c r="C735" s="32" t="s">
        <v>2025</v>
      </c>
      <c r="D735" s="32" t="s">
        <v>1086</v>
      </c>
      <c r="E735" s="32" t="s">
        <v>629</v>
      </c>
      <c r="F735" s="32" t="s">
        <v>910</v>
      </c>
      <c r="G735" s="32">
        <f>IFERROR(INDEX(Ship!M$31:N$4500,MATCH(C735,Ship!M$31:M$4500,0),2),0)</f>
        <v>0</v>
      </c>
    </row>
    <row r="736" spans="1:7" x14ac:dyDescent="0.25">
      <c r="A736" s="32" t="s">
        <v>953</v>
      </c>
      <c r="B736" s="32" t="s">
        <v>954</v>
      </c>
      <c r="C736" s="32" t="s">
        <v>2026</v>
      </c>
      <c r="D736" s="32" t="s">
        <v>1087</v>
      </c>
      <c r="E736" s="32" t="s">
        <v>629</v>
      </c>
      <c r="F736" s="32" t="s">
        <v>910</v>
      </c>
      <c r="G736" s="32">
        <f>IFERROR(INDEX(Ship!M$31:N$4500,MATCH(C736,Ship!M$31:M$4500,0),2),0)</f>
        <v>0</v>
      </c>
    </row>
    <row r="737" spans="1:7" x14ac:dyDescent="0.25">
      <c r="A737" s="32" t="s">
        <v>953</v>
      </c>
      <c r="B737" s="32" t="s">
        <v>954</v>
      </c>
      <c r="C737" s="32" t="s">
        <v>2027</v>
      </c>
      <c r="D737" s="32" t="s">
        <v>1088</v>
      </c>
      <c r="E737" s="32" t="s">
        <v>629</v>
      </c>
      <c r="F737" s="32" t="s">
        <v>910</v>
      </c>
      <c r="G737" s="32">
        <f>IFERROR(INDEX(Ship!M$31:N$4500,MATCH(C737,Ship!M$31:M$4500,0),2),0)</f>
        <v>0</v>
      </c>
    </row>
    <row r="738" spans="1:7" x14ac:dyDescent="0.25">
      <c r="A738" s="32" t="s">
        <v>953</v>
      </c>
      <c r="B738" s="32" t="s">
        <v>954</v>
      </c>
      <c r="C738" s="32" t="s">
        <v>2028</v>
      </c>
      <c r="D738" s="32" t="s">
        <v>1089</v>
      </c>
      <c r="E738" s="32" t="s">
        <v>629</v>
      </c>
      <c r="F738" s="32" t="s">
        <v>910</v>
      </c>
      <c r="G738" s="32">
        <f>IFERROR(INDEX(Ship!M$31:N$4500,MATCH(C738,Ship!M$31:M$4500,0),2),0)</f>
        <v>0</v>
      </c>
    </row>
    <row r="739" spans="1:7" x14ac:dyDescent="0.25">
      <c r="A739" s="32" t="s">
        <v>953</v>
      </c>
      <c r="B739" s="32" t="s">
        <v>954</v>
      </c>
      <c r="C739" s="32" t="s">
        <v>2029</v>
      </c>
      <c r="D739" s="32" t="s">
        <v>1090</v>
      </c>
      <c r="E739" s="32" t="s">
        <v>629</v>
      </c>
      <c r="F739" s="32" t="s">
        <v>910</v>
      </c>
      <c r="G739" s="32">
        <f>IFERROR(INDEX(Ship!M$31:N$4500,MATCH(C739,Ship!M$31:M$4500,0),2),0)</f>
        <v>0</v>
      </c>
    </row>
    <row r="740" spans="1:7" x14ac:dyDescent="0.25">
      <c r="A740" s="32" t="s">
        <v>953</v>
      </c>
      <c r="B740" s="32" t="s">
        <v>954</v>
      </c>
      <c r="C740" s="32" t="s">
        <v>2030</v>
      </c>
      <c r="D740" s="32" t="s">
        <v>1091</v>
      </c>
      <c r="E740" s="32" t="s">
        <v>629</v>
      </c>
      <c r="F740" s="32" t="s">
        <v>910</v>
      </c>
      <c r="G740" s="32">
        <f>IFERROR(INDEX(Ship!M$31:N$4500,MATCH(C740,Ship!M$31:M$4500,0),2),0)</f>
        <v>0</v>
      </c>
    </row>
    <row r="741" spans="1:7" x14ac:dyDescent="0.25">
      <c r="A741" s="32" t="s">
        <v>953</v>
      </c>
      <c r="B741" s="32" t="s">
        <v>954</v>
      </c>
      <c r="C741" s="32" t="s">
        <v>2031</v>
      </c>
      <c r="D741" s="32" t="s">
        <v>1092</v>
      </c>
      <c r="E741" s="32" t="s">
        <v>629</v>
      </c>
      <c r="F741" s="32" t="s">
        <v>910</v>
      </c>
      <c r="G741" s="32">
        <f>IFERROR(INDEX(Ship!M$31:N$4500,MATCH(C741,Ship!M$31:M$4500,0),2),0)</f>
        <v>0</v>
      </c>
    </row>
    <row r="742" spans="1:7" x14ac:dyDescent="0.25">
      <c r="A742" s="32" t="s">
        <v>953</v>
      </c>
      <c r="B742" s="32" t="s">
        <v>954</v>
      </c>
      <c r="C742" s="32" t="s">
        <v>2032</v>
      </c>
      <c r="D742" s="32" t="s">
        <v>1093</v>
      </c>
      <c r="E742" s="32" t="s">
        <v>629</v>
      </c>
      <c r="F742" s="32" t="s">
        <v>910</v>
      </c>
      <c r="G742" s="32">
        <f>IFERROR(INDEX(Ship!M$31:N$4500,MATCH(C742,Ship!M$31:M$4500,0),2),0)</f>
        <v>0</v>
      </c>
    </row>
    <row r="743" spans="1:7" x14ac:dyDescent="0.25">
      <c r="A743" s="32" t="s">
        <v>953</v>
      </c>
      <c r="B743" s="32" t="s">
        <v>954</v>
      </c>
      <c r="C743" s="32" t="s">
        <v>2033</v>
      </c>
      <c r="D743" s="32" t="s">
        <v>1094</v>
      </c>
      <c r="E743" s="32" t="s">
        <v>629</v>
      </c>
      <c r="F743" s="32" t="s">
        <v>910</v>
      </c>
      <c r="G743" s="32">
        <f>IFERROR(INDEX(Ship!M$31:N$4500,MATCH(C743,Ship!M$31:M$4500,0),2),0)</f>
        <v>0</v>
      </c>
    </row>
    <row r="744" spans="1:7" x14ac:dyDescent="0.25">
      <c r="A744" s="32" t="s">
        <v>953</v>
      </c>
      <c r="B744" s="32" t="s">
        <v>954</v>
      </c>
      <c r="C744" s="32" t="s">
        <v>2034</v>
      </c>
      <c r="D744" s="32" t="s">
        <v>1095</v>
      </c>
      <c r="E744" s="32" t="s">
        <v>629</v>
      </c>
      <c r="F744" s="32" t="s">
        <v>910</v>
      </c>
      <c r="G744" s="32">
        <f>IFERROR(INDEX(Ship!M$31:N$4500,MATCH(C744,Ship!M$31:M$4500,0),2),0)</f>
        <v>0</v>
      </c>
    </row>
    <row r="745" spans="1:7" x14ac:dyDescent="0.25">
      <c r="A745" s="32" t="s">
        <v>953</v>
      </c>
      <c r="B745" s="32" t="s">
        <v>954</v>
      </c>
      <c r="C745" s="32" t="s">
        <v>2035</v>
      </c>
      <c r="D745" s="32" t="s">
        <v>1096</v>
      </c>
      <c r="E745" s="32" t="s">
        <v>629</v>
      </c>
      <c r="F745" s="32" t="s">
        <v>910</v>
      </c>
      <c r="G745" s="32">
        <f>IFERROR(INDEX(Ship!M$31:N$4500,MATCH(C745,Ship!M$31:M$4500,0),2),0)</f>
        <v>0</v>
      </c>
    </row>
    <row r="746" spans="1:7" x14ac:dyDescent="0.25">
      <c r="A746" s="32" t="s">
        <v>953</v>
      </c>
      <c r="B746" s="32" t="s">
        <v>954</v>
      </c>
      <c r="C746" s="32" t="s">
        <v>2036</v>
      </c>
      <c r="D746" s="32" t="s">
        <v>1097</v>
      </c>
      <c r="E746" s="32" t="s">
        <v>629</v>
      </c>
      <c r="F746" s="32" t="s">
        <v>910</v>
      </c>
      <c r="G746" s="32">
        <f>IFERROR(INDEX(Ship!M$31:N$4500,MATCH(C746,Ship!M$31:M$4500,0),2),0)</f>
        <v>0</v>
      </c>
    </row>
    <row r="747" spans="1:7" x14ac:dyDescent="0.25">
      <c r="A747" s="32" t="s">
        <v>953</v>
      </c>
      <c r="B747" s="32" t="s">
        <v>954</v>
      </c>
      <c r="C747" s="32" t="s">
        <v>2037</v>
      </c>
      <c r="D747" s="32" t="s">
        <v>1098</v>
      </c>
      <c r="E747" s="32" t="s">
        <v>629</v>
      </c>
      <c r="F747" s="32" t="s">
        <v>910</v>
      </c>
      <c r="G747" s="32">
        <f>IFERROR(INDEX(Ship!M$31:N$4500,MATCH(C747,Ship!M$31:M$4500,0),2),0)</f>
        <v>0</v>
      </c>
    </row>
    <row r="748" spans="1:7" x14ac:dyDescent="0.25">
      <c r="A748" s="32" t="s">
        <v>953</v>
      </c>
      <c r="B748" s="32" t="s">
        <v>954</v>
      </c>
      <c r="C748" s="32" t="s">
        <v>2038</v>
      </c>
      <c r="D748" s="32" t="s">
        <v>1099</v>
      </c>
      <c r="E748" s="32" t="s">
        <v>629</v>
      </c>
      <c r="F748" s="32" t="s">
        <v>910</v>
      </c>
      <c r="G748" s="32">
        <f>IFERROR(INDEX(Ship!M$31:N$4500,MATCH(C748,Ship!M$31:M$4500,0),2),0)</f>
        <v>0</v>
      </c>
    </row>
    <row r="749" spans="1:7" x14ac:dyDescent="0.25">
      <c r="A749" s="32" t="s">
        <v>953</v>
      </c>
      <c r="B749" s="32" t="s">
        <v>954</v>
      </c>
      <c r="C749" s="32" t="s">
        <v>2039</v>
      </c>
      <c r="D749" s="32" t="s">
        <v>1100</v>
      </c>
      <c r="E749" s="32" t="s">
        <v>629</v>
      </c>
      <c r="F749" s="32" t="s">
        <v>910</v>
      </c>
      <c r="G749" s="32">
        <f>IFERROR(INDEX(Ship!M$31:N$4500,MATCH(C749,Ship!M$31:M$4500,0),2),0)</f>
        <v>0</v>
      </c>
    </row>
    <row r="750" spans="1:7" x14ac:dyDescent="0.25">
      <c r="A750" s="32" t="s">
        <v>953</v>
      </c>
      <c r="B750" s="32" t="s">
        <v>954</v>
      </c>
      <c r="C750" s="32" t="s">
        <v>2040</v>
      </c>
      <c r="D750" s="32" t="s">
        <v>1101</v>
      </c>
      <c r="E750" s="32" t="s">
        <v>629</v>
      </c>
      <c r="F750" s="32" t="s">
        <v>910</v>
      </c>
      <c r="G750" s="32">
        <f>IFERROR(INDEX(Ship!M$31:N$4500,MATCH(C750,Ship!M$31:M$4500,0),2),0)</f>
        <v>0</v>
      </c>
    </row>
    <row r="751" spans="1:7" x14ac:dyDescent="0.25">
      <c r="A751" s="32" t="s">
        <v>953</v>
      </c>
      <c r="B751" s="32" t="s">
        <v>954</v>
      </c>
      <c r="C751" s="32" t="s">
        <v>2041</v>
      </c>
      <c r="D751" s="32" t="s">
        <v>1102</v>
      </c>
      <c r="E751" s="32" t="s">
        <v>629</v>
      </c>
      <c r="F751" s="32" t="s">
        <v>910</v>
      </c>
      <c r="G751" s="32">
        <f>IFERROR(INDEX(Ship!M$31:N$4500,MATCH(C751,Ship!M$31:M$4500,0),2),0)</f>
        <v>0</v>
      </c>
    </row>
    <row r="752" spans="1:7" x14ac:dyDescent="0.25">
      <c r="A752" s="32" t="s">
        <v>953</v>
      </c>
      <c r="B752" s="32" t="s">
        <v>954</v>
      </c>
      <c r="C752" s="32" t="s">
        <v>2042</v>
      </c>
      <c r="D752" s="32" t="s">
        <v>1103</v>
      </c>
      <c r="E752" s="32" t="s">
        <v>629</v>
      </c>
      <c r="F752" s="32" t="s">
        <v>910</v>
      </c>
      <c r="G752" s="32">
        <f>IFERROR(INDEX(Ship!M$31:N$4500,MATCH(C752,Ship!M$31:M$4500,0),2),0)</f>
        <v>0</v>
      </c>
    </row>
    <row r="753" spans="1:7" x14ac:dyDescent="0.25">
      <c r="A753" s="32" t="s">
        <v>953</v>
      </c>
      <c r="B753" s="32" t="s">
        <v>954</v>
      </c>
      <c r="C753" s="32" t="s">
        <v>2043</v>
      </c>
      <c r="D753" s="32" t="s">
        <v>1104</v>
      </c>
      <c r="E753" s="32" t="s">
        <v>629</v>
      </c>
      <c r="F753" s="32" t="s">
        <v>910</v>
      </c>
      <c r="G753" s="32">
        <f>IFERROR(INDEX(Ship!M$31:N$4500,MATCH(C753,Ship!M$31:M$4500,0),2),0)</f>
        <v>0</v>
      </c>
    </row>
    <row r="754" spans="1:7" x14ac:dyDescent="0.25">
      <c r="A754" s="32" t="s">
        <v>953</v>
      </c>
      <c r="B754" s="32" t="s">
        <v>954</v>
      </c>
      <c r="C754" s="32" t="s">
        <v>2044</v>
      </c>
      <c r="D754" s="32" t="s">
        <v>1105</v>
      </c>
      <c r="E754" s="32" t="s">
        <v>629</v>
      </c>
      <c r="F754" s="32" t="s">
        <v>910</v>
      </c>
      <c r="G754" s="32">
        <f>IFERROR(INDEX(Ship!M$31:N$4500,MATCH(C754,Ship!M$31:M$4500,0),2),0)</f>
        <v>0</v>
      </c>
    </row>
    <row r="755" spans="1:7" x14ac:dyDescent="0.25">
      <c r="A755" s="32" t="s">
        <v>953</v>
      </c>
      <c r="B755" s="32" t="s">
        <v>954</v>
      </c>
      <c r="C755" s="32" t="s">
        <v>2045</v>
      </c>
      <c r="D755" s="32" t="s">
        <v>1106</v>
      </c>
      <c r="E755" s="32" t="s">
        <v>629</v>
      </c>
      <c r="F755" s="32" t="s">
        <v>910</v>
      </c>
      <c r="G755" s="32">
        <f>IFERROR(INDEX(Ship!M$31:N$4500,MATCH(C755,Ship!M$31:M$4500,0),2),0)</f>
        <v>0</v>
      </c>
    </row>
    <row r="756" spans="1:7" x14ac:dyDescent="0.25">
      <c r="A756" s="32" t="s">
        <v>953</v>
      </c>
      <c r="B756" s="32" t="s">
        <v>954</v>
      </c>
      <c r="C756" s="32" t="s">
        <v>2046</v>
      </c>
      <c r="D756" s="32" t="s">
        <v>1107</v>
      </c>
      <c r="E756" s="32" t="s">
        <v>629</v>
      </c>
      <c r="F756" s="32" t="s">
        <v>910</v>
      </c>
      <c r="G756" s="32">
        <f>IFERROR(INDEX(Ship!M$31:N$4500,MATCH(C756,Ship!M$31:M$4500,0),2),0)</f>
        <v>0</v>
      </c>
    </row>
    <row r="757" spans="1:7" x14ac:dyDescent="0.25">
      <c r="A757" s="32" t="s">
        <v>953</v>
      </c>
      <c r="B757" s="32" t="s">
        <v>954</v>
      </c>
      <c r="C757" s="32" t="s">
        <v>2047</v>
      </c>
      <c r="D757" s="32" t="s">
        <v>1108</v>
      </c>
      <c r="E757" s="32" t="s">
        <v>629</v>
      </c>
      <c r="F757" s="32" t="s">
        <v>910</v>
      </c>
      <c r="G757" s="32">
        <f>IFERROR(INDEX(Ship!M$31:N$4500,MATCH(C757,Ship!M$31:M$4500,0),2),0)</f>
        <v>0</v>
      </c>
    </row>
    <row r="758" spans="1:7" x14ac:dyDescent="0.25">
      <c r="A758" s="32" t="s">
        <v>953</v>
      </c>
      <c r="B758" s="32" t="s">
        <v>954</v>
      </c>
      <c r="C758" s="32" t="s">
        <v>2048</v>
      </c>
      <c r="D758" s="32" t="s">
        <v>1109</v>
      </c>
      <c r="E758" s="32" t="s">
        <v>629</v>
      </c>
      <c r="F758" s="32" t="s">
        <v>910</v>
      </c>
      <c r="G758" s="32">
        <f>IFERROR(INDEX(Ship!M$31:N$4500,MATCH(C758,Ship!M$31:M$4500,0),2),0)</f>
        <v>0</v>
      </c>
    </row>
    <row r="759" spans="1:7" x14ac:dyDescent="0.25">
      <c r="A759" s="32" t="s">
        <v>953</v>
      </c>
      <c r="B759" s="32" t="s">
        <v>954</v>
      </c>
      <c r="C759" s="32" t="s">
        <v>2049</v>
      </c>
      <c r="D759" s="32" t="s">
        <v>1110</v>
      </c>
      <c r="E759" s="32" t="s">
        <v>629</v>
      </c>
      <c r="F759" s="32" t="s">
        <v>910</v>
      </c>
      <c r="G759" s="32">
        <f>IFERROR(INDEX(Ship!M$31:N$4500,MATCH(C759,Ship!M$31:M$4500,0),2),0)</f>
        <v>0</v>
      </c>
    </row>
    <row r="760" spans="1:7" x14ac:dyDescent="0.25">
      <c r="A760" s="32" t="s">
        <v>953</v>
      </c>
      <c r="B760" s="32" t="s">
        <v>954</v>
      </c>
      <c r="C760" s="32" t="s">
        <v>2050</v>
      </c>
      <c r="D760" s="32" t="s">
        <v>1111</v>
      </c>
      <c r="E760" s="32" t="s">
        <v>629</v>
      </c>
      <c r="F760" s="32" t="s">
        <v>910</v>
      </c>
      <c r="G760" s="32">
        <f>IFERROR(INDEX(Ship!M$31:N$4500,MATCH(C760,Ship!M$31:M$4500,0),2),0)</f>
        <v>0</v>
      </c>
    </row>
    <row r="761" spans="1:7" x14ac:dyDescent="0.25">
      <c r="A761" s="32" t="s">
        <v>953</v>
      </c>
      <c r="B761" s="32" t="s">
        <v>954</v>
      </c>
      <c r="C761" s="32" t="s">
        <v>2051</v>
      </c>
      <c r="D761" s="32" t="s">
        <v>1112</v>
      </c>
      <c r="E761" s="32" t="s">
        <v>629</v>
      </c>
      <c r="F761" s="32" t="s">
        <v>910</v>
      </c>
      <c r="G761" s="32">
        <f>IFERROR(INDEX(Ship!M$31:N$4500,MATCH(C761,Ship!M$31:M$4500,0),2),0)</f>
        <v>0</v>
      </c>
    </row>
    <row r="762" spans="1:7" x14ac:dyDescent="0.25">
      <c r="A762" s="32" t="s">
        <v>953</v>
      </c>
      <c r="B762" s="32" t="s">
        <v>954</v>
      </c>
      <c r="C762" s="32" t="s">
        <v>2052</v>
      </c>
      <c r="D762" s="32" t="s">
        <v>1113</v>
      </c>
      <c r="E762" s="32" t="s">
        <v>629</v>
      </c>
      <c r="F762" s="32" t="s">
        <v>910</v>
      </c>
      <c r="G762" s="32">
        <f>IFERROR(INDEX(Ship!M$31:N$4500,MATCH(C762,Ship!M$31:M$4500,0),2),0)</f>
        <v>0</v>
      </c>
    </row>
    <row r="763" spans="1:7" x14ac:dyDescent="0.25">
      <c r="A763" s="32" t="s">
        <v>953</v>
      </c>
      <c r="B763" s="32" t="s">
        <v>954</v>
      </c>
      <c r="C763" s="32" t="s">
        <v>2053</v>
      </c>
      <c r="D763" s="32" t="s">
        <v>1114</v>
      </c>
      <c r="E763" s="32" t="s">
        <v>629</v>
      </c>
      <c r="F763" s="32" t="s">
        <v>910</v>
      </c>
      <c r="G763" s="32">
        <f>IFERROR(INDEX(Ship!M$31:N$4500,MATCH(C763,Ship!M$31:M$4500,0),2),0)</f>
        <v>0</v>
      </c>
    </row>
    <row r="764" spans="1:7" x14ac:dyDescent="0.25">
      <c r="A764" s="32" t="s">
        <v>953</v>
      </c>
      <c r="B764" s="32" t="s">
        <v>954</v>
      </c>
      <c r="C764" s="32" t="s">
        <v>2054</v>
      </c>
      <c r="D764" s="32" t="s">
        <v>1115</v>
      </c>
      <c r="E764" s="32" t="s">
        <v>629</v>
      </c>
      <c r="F764" s="32" t="s">
        <v>910</v>
      </c>
      <c r="G764" s="32">
        <f>IFERROR(INDEX(Ship!M$31:N$4500,MATCH(C764,Ship!M$31:M$4500,0),2),0)</f>
        <v>0</v>
      </c>
    </row>
    <row r="765" spans="1:7" x14ac:dyDescent="0.25">
      <c r="A765" s="32" t="s">
        <v>953</v>
      </c>
      <c r="B765" s="32" t="s">
        <v>954</v>
      </c>
      <c r="C765" s="32" t="s">
        <v>2055</v>
      </c>
      <c r="D765" s="32" t="s">
        <v>1116</v>
      </c>
      <c r="E765" s="32" t="s">
        <v>629</v>
      </c>
      <c r="F765" s="32" t="s">
        <v>910</v>
      </c>
      <c r="G765" s="32">
        <f>IFERROR(INDEX(Ship!M$31:N$4500,MATCH(C765,Ship!M$31:M$4500,0),2),0)</f>
        <v>0</v>
      </c>
    </row>
    <row r="766" spans="1:7" x14ac:dyDescent="0.25">
      <c r="A766" s="32" t="s">
        <v>953</v>
      </c>
      <c r="B766" s="32" t="s">
        <v>954</v>
      </c>
      <c r="C766" s="32" t="s">
        <v>400</v>
      </c>
      <c r="D766" s="32" t="s">
        <v>1117</v>
      </c>
      <c r="E766" s="32" t="s">
        <v>629</v>
      </c>
      <c r="F766" s="32" t="s">
        <v>910</v>
      </c>
      <c r="G766" s="32">
        <f>IFERROR(INDEX(Ship!M$31:N$4500,MATCH(C766,Ship!M$31:M$4500,0),2),0)</f>
        <v>0</v>
      </c>
    </row>
    <row r="767" spans="1:7" x14ac:dyDescent="0.25">
      <c r="A767" s="32" t="s">
        <v>953</v>
      </c>
      <c r="B767" s="32" t="s">
        <v>954</v>
      </c>
      <c r="C767" s="32" t="s">
        <v>949</v>
      </c>
      <c r="D767" s="32" t="s">
        <v>1118</v>
      </c>
      <c r="E767" s="32" t="s">
        <v>629</v>
      </c>
      <c r="F767" s="32" t="s">
        <v>910</v>
      </c>
      <c r="G767" s="32">
        <f>IFERROR(INDEX(Ship!M$31:N$4500,MATCH(C767,Ship!M$31:M$4500,0),2),0)</f>
        <v>0</v>
      </c>
    </row>
    <row r="768" spans="1:7" x14ac:dyDescent="0.25">
      <c r="A768" s="32" t="s">
        <v>953</v>
      </c>
      <c r="B768" s="32" t="s">
        <v>954</v>
      </c>
      <c r="C768" s="32" t="s">
        <v>401</v>
      </c>
      <c r="D768" s="32" t="s">
        <v>1119</v>
      </c>
      <c r="E768" s="32" t="s">
        <v>629</v>
      </c>
      <c r="F768" s="32" t="s">
        <v>910</v>
      </c>
      <c r="G768" s="32">
        <f>IFERROR(INDEX(Ship!M$31:N$4500,MATCH(C768,Ship!M$31:M$4500,0),2),0)</f>
        <v>0</v>
      </c>
    </row>
    <row r="769" spans="1:7" x14ac:dyDescent="0.25">
      <c r="A769" s="32" t="s">
        <v>953</v>
      </c>
      <c r="B769" s="32" t="s">
        <v>954</v>
      </c>
      <c r="C769" s="32" t="s">
        <v>402</v>
      </c>
      <c r="D769" s="32" t="s">
        <v>1120</v>
      </c>
      <c r="E769" s="32" t="s">
        <v>629</v>
      </c>
      <c r="F769" s="32" t="s">
        <v>910</v>
      </c>
      <c r="G769" s="32">
        <f>IFERROR(INDEX(Ship!M$31:N$4500,MATCH(C769,Ship!M$31:M$4500,0),2),0)</f>
        <v>0</v>
      </c>
    </row>
    <row r="770" spans="1:7" x14ac:dyDescent="0.25">
      <c r="A770" s="32" t="s">
        <v>953</v>
      </c>
      <c r="B770" s="32" t="s">
        <v>954</v>
      </c>
      <c r="C770" s="32" t="s">
        <v>403</v>
      </c>
      <c r="D770" s="32" t="s">
        <v>1121</v>
      </c>
      <c r="E770" s="32" t="s">
        <v>629</v>
      </c>
      <c r="F770" s="32" t="s">
        <v>910</v>
      </c>
      <c r="G770" s="32">
        <f>IFERROR(INDEX(Ship!M$31:N$4500,MATCH(C770,Ship!M$31:M$4500,0),2),0)</f>
        <v>0</v>
      </c>
    </row>
    <row r="771" spans="1:7" x14ac:dyDescent="0.25">
      <c r="A771" s="32" t="s">
        <v>953</v>
      </c>
      <c r="B771" s="32" t="s">
        <v>954</v>
      </c>
      <c r="C771" s="32" t="s">
        <v>404</v>
      </c>
      <c r="D771" s="32" t="s">
        <v>1122</v>
      </c>
      <c r="E771" s="32" t="s">
        <v>629</v>
      </c>
      <c r="F771" s="32" t="s">
        <v>910</v>
      </c>
      <c r="G771" s="32">
        <f>IFERROR(INDEX(Ship!M$31:N$4500,MATCH(C771,Ship!M$31:M$4500,0),2),0)</f>
        <v>0</v>
      </c>
    </row>
    <row r="772" spans="1:7" x14ac:dyDescent="0.25">
      <c r="A772" s="32" t="s">
        <v>953</v>
      </c>
      <c r="B772" s="32" t="s">
        <v>954</v>
      </c>
      <c r="C772" s="32" t="s">
        <v>405</v>
      </c>
      <c r="D772" s="32" t="s">
        <v>1123</v>
      </c>
      <c r="E772" s="32" t="s">
        <v>629</v>
      </c>
      <c r="F772" s="32" t="s">
        <v>910</v>
      </c>
      <c r="G772" s="32">
        <f>IFERROR(INDEX(Ship!M$31:N$4500,MATCH(C772,Ship!M$31:M$4500,0),2),0)</f>
        <v>0</v>
      </c>
    </row>
    <row r="773" spans="1:7" x14ac:dyDescent="0.25">
      <c r="A773" s="32" t="s">
        <v>953</v>
      </c>
      <c r="B773" s="32" t="s">
        <v>954</v>
      </c>
      <c r="C773" s="32" t="s">
        <v>406</v>
      </c>
      <c r="D773" s="32" t="s">
        <v>1124</v>
      </c>
      <c r="E773" s="32" t="s">
        <v>629</v>
      </c>
      <c r="F773" s="32" t="s">
        <v>910</v>
      </c>
      <c r="G773" s="32">
        <f>IFERROR(INDEX(Ship!M$31:N$4500,MATCH(C773,Ship!M$31:M$4500,0),2),0)</f>
        <v>0</v>
      </c>
    </row>
    <row r="774" spans="1:7" x14ac:dyDescent="0.25">
      <c r="A774" s="32" t="s">
        <v>953</v>
      </c>
      <c r="B774" s="32" t="s">
        <v>954</v>
      </c>
      <c r="C774" s="32" t="s">
        <v>407</v>
      </c>
      <c r="D774" s="32" t="s">
        <v>1125</v>
      </c>
      <c r="E774" s="32" t="s">
        <v>629</v>
      </c>
      <c r="F774" s="32" t="s">
        <v>910</v>
      </c>
      <c r="G774" s="32">
        <f>IFERROR(INDEX(Ship!M$31:N$4500,MATCH(C774,Ship!M$31:M$4500,0),2),0)</f>
        <v>0</v>
      </c>
    </row>
    <row r="775" spans="1:7" x14ac:dyDescent="0.25">
      <c r="A775" s="32" t="s">
        <v>953</v>
      </c>
      <c r="B775" s="32" t="s">
        <v>954</v>
      </c>
      <c r="C775" s="32" t="s">
        <v>408</v>
      </c>
      <c r="D775" s="32" t="s">
        <v>1126</v>
      </c>
      <c r="E775" s="32" t="s">
        <v>629</v>
      </c>
      <c r="F775" s="32" t="s">
        <v>910</v>
      </c>
      <c r="G775" s="32">
        <f>IFERROR(INDEX(Ship!M$31:N$4500,MATCH(C775,Ship!M$31:M$4500,0),2),0)</f>
        <v>0</v>
      </c>
    </row>
    <row r="776" spans="1:7" x14ac:dyDescent="0.25">
      <c r="A776" s="32" t="s">
        <v>953</v>
      </c>
      <c r="B776" s="32" t="s">
        <v>954</v>
      </c>
      <c r="C776" s="32" t="s">
        <v>409</v>
      </c>
      <c r="D776" s="32" t="s">
        <v>1127</v>
      </c>
      <c r="E776" s="32" t="s">
        <v>629</v>
      </c>
      <c r="F776" s="32" t="s">
        <v>910</v>
      </c>
      <c r="G776" s="32">
        <f>IFERROR(INDEX(Ship!M$31:N$4500,MATCH(C776,Ship!M$31:M$4500,0),2),0)</f>
        <v>0</v>
      </c>
    </row>
    <row r="777" spans="1:7" x14ac:dyDescent="0.25">
      <c r="A777" s="32" t="s">
        <v>953</v>
      </c>
      <c r="B777" s="32" t="s">
        <v>954</v>
      </c>
      <c r="C777" s="32" t="s">
        <v>410</v>
      </c>
      <c r="D777" s="32" t="s">
        <v>1128</v>
      </c>
      <c r="E777" s="32" t="s">
        <v>629</v>
      </c>
      <c r="F777" s="32" t="s">
        <v>910</v>
      </c>
      <c r="G777" s="32">
        <f>IFERROR(INDEX(Ship!M$31:N$4500,MATCH(C777,Ship!M$31:M$4500,0),2),0)</f>
        <v>0</v>
      </c>
    </row>
    <row r="778" spans="1:7" x14ac:dyDescent="0.25">
      <c r="A778" s="32" t="s">
        <v>953</v>
      </c>
      <c r="B778" s="32" t="s">
        <v>954</v>
      </c>
      <c r="C778" s="32" t="s">
        <v>411</v>
      </c>
      <c r="D778" s="32" t="s">
        <v>1129</v>
      </c>
      <c r="E778" s="32" t="s">
        <v>629</v>
      </c>
      <c r="F778" s="32" t="s">
        <v>910</v>
      </c>
      <c r="G778" s="32">
        <f>IFERROR(INDEX(Ship!M$31:N$4500,MATCH(C778,Ship!M$31:M$4500,0),2),0)</f>
        <v>0</v>
      </c>
    </row>
    <row r="779" spans="1:7" x14ac:dyDescent="0.25">
      <c r="A779" s="32" t="s">
        <v>953</v>
      </c>
      <c r="B779" s="32" t="s">
        <v>954</v>
      </c>
      <c r="C779" s="32" t="s">
        <v>412</v>
      </c>
      <c r="D779" s="32" t="s">
        <v>1130</v>
      </c>
      <c r="E779" s="32" t="s">
        <v>629</v>
      </c>
      <c r="F779" s="32" t="s">
        <v>910</v>
      </c>
      <c r="G779" s="32">
        <f>IFERROR(INDEX(Ship!M$31:N$4500,MATCH(C779,Ship!M$31:M$4500,0),2),0)</f>
        <v>0</v>
      </c>
    </row>
    <row r="780" spans="1:7" x14ac:dyDescent="0.25">
      <c r="A780" s="32" t="s">
        <v>953</v>
      </c>
      <c r="B780" s="32" t="s">
        <v>954</v>
      </c>
      <c r="C780" s="32" t="s">
        <v>413</v>
      </c>
      <c r="D780" s="32" t="s">
        <v>1131</v>
      </c>
      <c r="E780" s="32" t="s">
        <v>629</v>
      </c>
      <c r="F780" s="32" t="s">
        <v>910</v>
      </c>
      <c r="G780" s="32">
        <f>IFERROR(INDEX(Ship!M$31:N$4500,MATCH(C780,Ship!M$31:M$4500,0),2),0)</f>
        <v>0</v>
      </c>
    </row>
    <row r="781" spans="1:7" x14ac:dyDescent="0.25">
      <c r="A781" s="32" t="s">
        <v>953</v>
      </c>
      <c r="B781" s="32" t="s">
        <v>954</v>
      </c>
      <c r="C781" s="32" t="s">
        <v>414</v>
      </c>
      <c r="D781" s="32" t="s">
        <v>1132</v>
      </c>
      <c r="E781" s="32" t="s">
        <v>629</v>
      </c>
      <c r="F781" s="32" t="s">
        <v>910</v>
      </c>
      <c r="G781" s="32">
        <f>IFERROR(INDEX(Ship!M$31:N$4500,MATCH(C781,Ship!M$31:M$4500,0),2),0)</f>
        <v>0</v>
      </c>
    </row>
    <row r="782" spans="1:7" x14ac:dyDescent="0.25">
      <c r="A782" s="32" t="s">
        <v>953</v>
      </c>
      <c r="B782" s="32" t="s">
        <v>954</v>
      </c>
      <c r="C782" s="32" t="s">
        <v>415</v>
      </c>
      <c r="D782" s="32" t="s">
        <v>1133</v>
      </c>
      <c r="E782" s="32" t="s">
        <v>629</v>
      </c>
      <c r="F782" s="32" t="s">
        <v>910</v>
      </c>
      <c r="G782" s="32">
        <f>IFERROR(INDEX(Ship!M$31:N$4500,MATCH(C782,Ship!M$31:M$4500,0),2),0)</f>
        <v>0</v>
      </c>
    </row>
    <row r="783" spans="1:7" x14ac:dyDescent="0.25">
      <c r="A783" s="32" t="s">
        <v>953</v>
      </c>
      <c r="B783" s="32" t="s">
        <v>954</v>
      </c>
      <c r="C783" s="32" t="s">
        <v>950</v>
      </c>
      <c r="D783" s="32" t="s">
        <v>668</v>
      </c>
      <c r="E783" s="32" t="s">
        <v>629</v>
      </c>
      <c r="F783" s="32" t="s">
        <v>910</v>
      </c>
      <c r="G783" s="32">
        <f>IFERROR(INDEX(Ship!M$31:N$4500,MATCH(C783,Ship!M$31:M$4500,0),2),0)</f>
        <v>0</v>
      </c>
    </row>
    <row r="784" spans="1:7" x14ac:dyDescent="0.25">
      <c r="A784" s="32" t="s">
        <v>953</v>
      </c>
      <c r="B784" s="32" t="s">
        <v>954</v>
      </c>
      <c r="C784" s="32" t="s">
        <v>416</v>
      </c>
      <c r="D784" s="32" t="s">
        <v>1134</v>
      </c>
      <c r="E784" s="32" t="s">
        <v>629</v>
      </c>
      <c r="F784" s="32" t="s">
        <v>910</v>
      </c>
      <c r="G784" s="32">
        <f>IFERROR(INDEX(Ship!M$31:N$4500,MATCH(C784,Ship!M$31:M$4500,0),2),0)</f>
        <v>0</v>
      </c>
    </row>
    <row r="785" spans="1:7" x14ac:dyDescent="0.25">
      <c r="A785" s="32" t="s">
        <v>953</v>
      </c>
      <c r="B785" s="32" t="s">
        <v>954</v>
      </c>
      <c r="C785" s="32" t="s">
        <v>911</v>
      </c>
      <c r="D785" s="32" t="s">
        <v>1135</v>
      </c>
      <c r="E785" s="32" t="s">
        <v>629</v>
      </c>
      <c r="F785" s="32" t="s">
        <v>910</v>
      </c>
      <c r="G785" s="32">
        <f>IFERROR(INDEX(Ship!M$31:N$4500,MATCH(C785,Ship!M$31:M$4500,0),2),0)</f>
        <v>0</v>
      </c>
    </row>
    <row r="786" spans="1:7" x14ac:dyDescent="0.25">
      <c r="A786" s="32" t="s">
        <v>953</v>
      </c>
      <c r="B786" s="32" t="s">
        <v>954</v>
      </c>
      <c r="C786" s="32" t="s">
        <v>417</v>
      </c>
      <c r="D786" s="32" t="s">
        <v>1136</v>
      </c>
      <c r="E786" s="32" t="s">
        <v>629</v>
      </c>
      <c r="F786" s="32" t="s">
        <v>910</v>
      </c>
      <c r="G786" s="32">
        <f>IFERROR(INDEX(Ship!M$31:N$4500,MATCH(C786,Ship!M$31:M$4500,0),2),0)</f>
        <v>0</v>
      </c>
    </row>
    <row r="787" spans="1:7" x14ac:dyDescent="0.25">
      <c r="A787" s="32" t="s">
        <v>953</v>
      </c>
      <c r="B787" s="32" t="s">
        <v>954</v>
      </c>
      <c r="C787" s="32" t="s">
        <v>418</v>
      </c>
      <c r="D787" s="32" t="s">
        <v>1137</v>
      </c>
      <c r="E787" s="32" t="s">
        <v>629</v>
      </c>
      <c r="F787" s="32" t="s">
        <v>910</v>
      </c>
      <c r="G787" s="32">
        <f>IFERROR(INDEX(Ship!M$31:N$4500,MATCH(C787,Ship!M$31:M$4500,0),2),0)</f>
        <v>0</v>
      </c>
    </row>
    <row r="788" spans="1:7" x14ac:dyDescent="0.25">
      <c r="A788" s="32" t="s">
        <v>953</v>
      </c>
      <c r="B788" s="32" t="s">
        <v>954</v>
      </c>
      <c r="C788" s="32" t="s">
        <v>419</v>
      </c>
      <c r="D788" s="32" t="s">
        <v>1138</v>
      </c>
      <c r="E788" s="32" t="s">
        <v>629</v>
      </c>
      <c r="F788" s="32" t="s">
        <v>910</v>
      </c>
      <c r="G788" s="32">
        <f>IFERROR(INDEX(Ship!M$31:N$4500,MATCH(C788,Ship!M$31:M$4500,0),2),0)</f>
        <v>0</v>
      </c>
    </row>
    <row r="789" spans="1:7" x14ac:dyDescent="0.25">
      <c r="A789" s="32" t="s">
        <v>953</v>
      </c>
      <c r="B789" s="32" t="s">
        <v>954</v>
      </c>
      <c r="C789" s="32" t="s">
        <v>420</v>
      </c>
      <c r="D789" s="32" t="s">
        <v>1139</v>
      </c>
      <c r="E789" s="32" t="s">
        <v>629</v>
      </c>
      <c r="F789" s="32" t="s">
        <v>910</v>
      </c>
      <c r="G789" s="32">
        <f>IFERROR(INDEX(Ship!M$31:N$4500,MATCH(C789,Ship!M$31:M$4500,0),2),0)</f>
        <v>0</v>
      </c>
    </row>
    <row r="790" spans="1:7" x14ac:dyDescent="0.25">
      <c r="A790" s="32" t="s">
        <v>953</v>
      </c>
      <c r="B790" s="32" t="s">
        <v>954</v>
      </c>
      <c r="C790" s="32" t="s">
        <v>423</v>
      </c>
      <c r="D790" s="32" t="s">
        <v>1142</v>
      </c>
      <c r="E790" s="32" t="s">
        <v>629</v>
      </c>
      <c r="F790" s="32" t="s">
        <v>910</v>
      </c>
      <c r="G790" s="32">
        <f>IFERROR(INDEX(Ship!M$31:N$4500,MATCH(C790,Ship!M$31:M$4500,0),2),0)</f>
        <v>0</v>
      </c>
    </row>
    <row r="791" spans="1:7" x14ac:dyDescent="0.25">
      <c r="A791" s="32" t="s">
        <v>953</v>
      </c>
      <c r="B791" s="32" t="s">
        <v>954</v>
      </c>
      <c r="C791" s="32" t="s">
        <v>425</v>
      </c>
      <c r="D791" s="32" t="s">
        <v>1144</v>
      </c>
      <c r="E791" s="32" t="s">
        <v>629</v>
      </c>
      <c r="F791" s="32" t="s">
        <v>910</v>
      </c>
      <c r="G791" s="32">
        <f>IFERROR(INDEX(Ship!M$31:N$4500,MATCH(C791,Ship!M$31:M$4500,0),2),0)</f>
        <v>0</v>
      </c>
    </row>
    <row r="792" spans="1:7" x14ac:dyDescent="0.25">
      <c r="A792" s="32" t="s">
        <v>953</v>
      </c>
      <c r="B792" s="32" t="s">
        <v>954</v>
      </c>
      <c r="C792" s="32" t="s">
        <v>427</v>
      </c>
      <c r="D792" s="32" t="s">
        <v>1146</v>
      </c>
      <c r="E792" s="32" t="s">
        <v>629</v>
      </c>
      <c r="F792" s="32" t="s">
        <v>910</v>
      </c>
      <c r="G792" s="32">
        <f>IFERROR(INDEX(Ship!M$31:N$4500,MATCH(C792,Ship!M$31:M$4500,0),2),0)</f>
        <v>0</v>
      </c>
    </row>
    <row r="793" spans="1:7" x14ac:dyDescent="0.25">
      <c r="A793" s="32" t="s">
        <v>953</v>
      </c>
      <c r="B793" s="32" t="s">
        <v>954</v>
      </c>
      <c r="C793" s="32" t="s">
        <v>429</v>
      </c>
      <c r="D793" s="32" t="s">
        <v>1148</v>
      </c>
      <c r="E793" s="32" t="s">
        <v>629</v>
      </c>
      <c r="F793" s="32" t="s">
        <v>910</v>
      </c>
      <c r="G793" s="32">
        <f>IFERROR(INDEX(Ship!M$31:N$4500,MATCH(C793,Ship!M$31:M$4500,0),2),0)</f>
        <v>0</v>
      </c>
    </row>
    <row r="794" spans="1:7" x14ac:dyDescent="0.25">
      <c r="A794" s="32" t="s">
        <v>953</v>
      </c>
      <c r="B794" s="32" t="s">
        <v>954</v>
      </c>
      <c r="C794" s="32" t="s">
        <v>431</v>
      </c>
      <c r="D794" s="32" t="s">
        <v>1150</v>
      </c>
      <c r="E794" s="32" t="s">
        <v>629</v>
      </c>
      <c r="F794" s="32" t="s">
        <v>910</v>
      </c>
      <c r="G794" s="32">
        <f>IFERROR(INDEX(Ship!M$31:N$4500,MATCH(C794,Ship!M$31:M$4500,0),2),0)</f>
        <v>0</v>
      </c>
    </row>
    <row r="795" spans="1:7" x14ac:dyDescent="0.25">
      <c r="A795" s="32" t="s">
        <v>953</v>
      </c>
      <c r="B795" s="32" t="s">
        <v>954</v>
      </c>
      <c r="C795" s="32" t="s">
        <v>433</v>
      </c>
      <c r="D795" s="32" t="s">
        <v>1152</v>
      </c>
      <c r="E795" s="32" t="s">
        <v>629</v>
      </c>
      <c r="F795" s="32" t="s">
        <v>910</v>
      </c>
      <c r="G795" s="32">
        <f>IFERROR(INDEX(Ship!M$31:N$4500,MATCH(C795,Ship!M$31:M$4500,0),2),0)</f>
        <v>0</v>
      </c>
    </row>
    <row r="796" spans="1:7" x14ac:dyDescent="0.25">
      <c r="A796" s="32" t="s">
        <v>953</v>
      </c>
      <c r="B796" s="32" t="s">
        <v>954</v>
      </c>
      <c r="C796" s="32" t="s">
        <v>436</v>
      </c>
      <c r="D796" s="32" t="s">
        <v>1155</v>
      </c>
      <c r="E796" s="32" t="s">
        <v>629</v>
      </c>
      <c r="F796" s="32" t="s">
        <v>910</v>
      </c>
      <c r="G796" s="32">
        <f>IFERROR(INDEX(Ship!M$31:N$4500,MATCH(C796,Ship!M$31:M$4500,0),2),0)</f>
        <v>0</v>
      </c>
    </row>
    <row r="797" spans="1:7" x14ac:dyDescent="0.25">
      <c r="A797" s="32" t="s">
        <v>953</v>
      </c>
      <c r="B797" s="32" t="s">
        <v>954</v>
      </c>
      <c r="C797" s="32" t="s">
        <v>438</v>
      </c>
      <c r="D797" s="32" t="s">
        <v>1157</v>
      </c>
      <c r="E797" s="32" t="s">
        <v>629</v>
      </c>
      <c r="F797" s="32" t="s">
        <v>910</v>
      </c>
      <c r="G797" s="32">
        <f>IFERROR(INDEX(Ship!M$31:N$4500,MATCH(C797,Ship!M$31:M$4500,0),2),0)</f>
        <v>0</v>
      </c>
    </row>
    <row r="798" spans="1:7" x14ac:dyDescent="0.25">
      <c r="A798" s="32" t="s">
        <v>953</v>
      </c>
      <c r="B798" s="32" t="s">
        <v>954</v>
      </c>
      <c r="C798" s="32" t="s">
        <v>440</v>
      </c>
      <c r="D798" s="32" t="s">
        <v>1159</v>
      </c>
      <c r="E798" s="32" t="s">
        <v>629</v>
      </c>
      <c r="F798" s="32" t="s">
        <v>910</v>
      </c>
      <c r="G798" s="32">
        <f>IFERROR(INDEX(Ship!M$31:N$4500,MATCH(C798,Ship!M$31:M$4500,0),2),0)</f>
        <v>0</v>
      </c>
    </row>
    <row r="799" spans="1:7" x14ac:dyDescent="0.25">
      <c r="A799" s="32" t="s">
        <v>953</v>
      </c>
      <c r="B799" s="32" t="s">
        <v>954</v>
      </c>
      <c r="C799" s="32" t="s">
        <v>443</v>
      </c>
      <c r="D799" s="32" t="s">
        <v>1162</v>
      </c>
      <c r="E799" s="32" t="s">
        <v>629</v>
      </c>
      <c r="F799" s="32" t="s">
        <v>910</v>
      </c>
      <c r="G799" s="32">
        <f>IFERROR(INDEX(Ship!M$31:N$4500,MATCH(C799,Ship!M$31:M$4500,0),2),0)</f>
        <v>0</v>
      </c>
    </row>
    <row r="800" spans="1:7" x14ac:dyDescent="0.25">
      <c r="A800" s="32" t="s">
        <v>953</v>
      </c>
      <c r="B800" s="32" t="s">
        <v>954</v>
      </c>
      <c r="C800" s="32" t="s">
        <v>445</v>
      </c>
      <c r="D800" s="32" t="s">
        <v>1164</v>
      </c>
      <c r="E800" s="32" t="s">
        <v>629</v>
      </c>
      <c r="F800" s="32" t="s">
        <v>910</v>
      </c>
      <c r="G800" s="32">
        <f>IFERROR(INDEX(Ship!M$31:N$4500,MATCH(C800,Ship!M$31:M$4500,0),2),0)</f>
        <v>0</v>
      </c>
    </row>
    <row r="801" spans="1:7" x14ac:dyDescent="0.25">
      <c r="A801" s="32" t="s">
        <v>953</v>
      </c>
      <c r="B801" s="32" t="s">
        <v>954</v>
      </c>
      <c r="C801" s="32" t="s">
        <v>2056</v>
      </c>
      <c r="D801" s="32" t="s">
        <v>1166</v>
      </c>
      <c r="E801" s="32" t="s">
        <v>629</v>
      </c>
      <c r="F801" s="32" t="s">
        <v>910</v>
      </c>
      <c r="G801" s="32">
        <f>IFERROR(INDEX(Ship!M$31:N$4500,MATCH(C801,Ship!M$31:M$4500,0),2),0)</f>
        <v>0</v>
      </c>
    </row>
    <row r="802" spans="1:7" x14ac:dyDescent="0.25">
      <c r="A802" s="32" t="s">
        <v>953</v>
      </c>
      <c r="B802" s="32" t="s">
        <v>954</v>
      </c>
      <c r="C802" s="32" t="s">
        <v>482</v>
      </c>
      <c r="D802" s="32" t="s">
        <v>1166</v>
      </c>
      <c r="E802" s="32" t="s">
        <v>629</v>
      </c>
      <c r="F802" s="32" t="s">
        <v>910</v>
      </c>
      <c r="G802" s="32">
        <f>IFERROR(INDEX(Ship!M$31:N$4500,MATCH(C802,Ship!M$31:M$4500,0),2),0)</f>
        <v>0</v>
      </c>
    </row>
    <row r="803" spans="1:7" x14ac:dyDescent="0.25">
      <c r="A803" s="32" t="s">
        <v>953</v>
      </c>
      <c r="B803" s="32" t="s">
        <v>954</v>
      </c>
      <c r="C803" s="32" t="s">
        <v>484</v>
      </c>
      <c r="D803" s="32" t="s">
        <v>1164</v>
      </c>
      <c r="E803" s="32" t="s">
        <v>629</v>
      </c>
      <c r="F803" s="32" t="s">
        <v>910</v>
      </c>
      <c r="G803" s="32">
        <f>IFERROR(INDEX(Ship!M$31:N$4500,MATCH(C803,Ship!M$31:M$4500,0),2),0)</f>
        <v>0</v>
      </c>
    </row>
    <row r="804" spans="1:7" x14ac:dyDescent="0.25">
      <c r="A804" s="32" t="s">
        <v>953</v>
      </c>
      <c r="B804" s="32" t="s">
        <v>954</v>
      </c>
      <c r="C804" s="32" t="s">
        <v>486</v>
      </c>
      <c r="D804" s="32" t="s">
        <v>1162</v>
      </c>
      <c r="E804" s="32" t="s">
        <v>629</v>
      </c>
      <c r="F804" s="32" t="s">
        <v>910</v>
      </c>
      <c r="G804" s="32">
        <f>IFERROR(INDEX(Ship!M$31:N$4500,MATCH(C804,Ship!M$31:M$4500,0),2),0)</f>
        <v>0</v>
      </c>
    </row>
    <row r="805" spans="1:7" x14ac:dyDescent="0.25">
      <c r="A805" s="32" t="s">
        <v>953</v>
      </c>
      <c r="B805" s="32" t="s">
        <v>954</v>
      </c>
      <c r="C805" s="32" t="s">
        <v>489</v>
      </c>
      <c r="D805" s="32" t="s">
        <v>1159</v>
      </c>
      <c r="E805" s="32" t="s">
        <v>629</v>
      </c>
      <c r="F805" s="32" t="s">
        <v>910</v>
      </c>
      <c r="G805" s="32">
        <f>IFERROR(INDEX(Ship!M$31:N$4500,MATCH(C805,Ship!M$31:M$4500,0),2),0)</f>
        <v>0</v>
      </c>
    </row>
    <row r="806" spans="1:7" x14ac:dyDescent="0.25">
      <c r="A806" s="32" t="s">
        <v>953</v>
      </c>
      <c r="B806" s="32" t="s">
        <v>954</v>
      </c>
      <c r="C806" s="32" t="s">
        <v>490</v>
      </c>
      <c r="D806" s="32" t="s">
        <v>1157</v>
      </c>
      <c r="E806" s="32" t="s">
        <v>629</v>
      </c>
      <c r="F806" s="32" t="s">
        <v>910</v>
      </c>
      <c r="G806" s="32">
        <f>IFERROR(INDEX(Ship!M$31:N$4500,MATCH(C806,Ship!M$31:M$4500,0),2),0)</f>
        <v>0</v>
      </c>
    </row>
    <row r="807" spans="1:7" x14ac:dyDescent="0.25">
      <c r="A807" s="32" t="s">
        <v>953</v>
      </c>
      <c r="B807" s="32" t="s">
        <v>954</v>
      </c>
      <c r="C807" s="32" t="s">
        <v>492</v>
      </c>
      <c r="D807" s="32" t="s">
        <v>1155</v>
      </c>
      <c r="E807" s="32" t="s">
        <v>629</v>
      </c>
      <c r="F807" s="32" t="s">
        <v>910</v>
      </c>
      <c r="G807" s="32">
        <f>IFERROR(INDEX(Ship!M$31:N$4500,MATCH(C807,Ship!M$31:M$4500,0),2),0)</f>
        <v>0</v>
      </c>
    </row>
    <row r="808" spans="1:7" x14ac:dyDescent="0.25">
      <c r="A808" s="32" t="s">
        <v>953</v>
      </c>
      <c r="B808" s="32" t="s">
        <v>954</v>
      </c>
      <c r="C808" s="32" t="s">
        <v>495</v>
      </c>
      <c r="D808" s="32" t="s">
        <v>1152</v>
      </c>
      <c r="E808" s="32" t="s">
        <v>629</v>
      </c>
      <c r="F808" s="32" t="s">
        <v>910</v>
      </c>
      <c r="G808" s="32">
        <f>IFERROR(INDEX(Ship!M$31:N$4500,MATCH(C808,Ship!M$31:M$4500,0),2),0)</f>
        <v>0</v>
      </c>
    </row>
    <row r="809" spans="1:7" x14ac:dyDescent="0.25">
      <c r="A809" s="32" t="s">
        <v>953</v>
      </c>
      <c r="B809" s="32" t="s">
        <v>954</v>
      </c>
      <c r="C809" s="32" t="s">
        <v>497</v>
      </c>
      <c r="D809" s="32" t="s">
        <v>1150</v>
      </c>
      <c r="E809" s="32" t="s">
        <v>629</v>
      </c>
      <c r="F809" s="32" t="s">
        <v>910</v>
      </c>
      <c r="G809" s="32">
        <f>IFERROR(INDEX(Ship!M$31:N$4500,MATCH(C809,Ship!M$31:M$4500,0),2),0)</f>
        <v>0</v>
      </c>
    </row>
    <row r="810" spans="1:7" x14ac:dyDescent="0.25">
      <c r="A810" s="32" t="s">
        <v>953</v>
      </c>
      <c r="B810" s="32" t="s">
        <v>954</v>
      </c>
      <c r="C810" s="32" t="s">
        <v>499</v>
      </c>
      <c r="D810" s="32" t="s">
        <v>1148</v>
      </c>
      <c r="E810" s="32" t="s">
        <v>629</v>
      </c>
      <c r="F810" s="32" t="s">
        <v>910</v>
      </c>
      <c r="G810" s="32">
        <f>IFERROR(INDEX(Ship!M$31:N$4500,MATCH(C810,Ship!M$31:M$4500,0),2),0)</f>
        <v>0</v>
      </c>
    </row>
    <row r="811" spans="1:7" x14ac:dyDescent="0.25">
      <c r="A811" s="32" t="s">
        <v>953</v>
      </c>
      <c r="B811" s="32" t="s">
        <v>954</v>
      </c>
      <c r="C811" s="32" t="s">
        <v>501</v>
      </c>
      <c r="D811" s="32" t="s">
        <v>1146</v>
      </c>
      <c r="E811" s="32" t="s">
        <v>629</v>
      </c>
      <c r="F811" s="32" t="s">
        <v>910</v>
      </c>
      <c r="G811" s="32">
        <f>IFERROR(INDEX(Ship!M$31:N$4500,MATCH(C811,Ship!M$31:M$4500,0),2),0)</f>
        <v>0</v>
      </c>
    </row>
    <row r="812" spans="1:7" x14ac:dyDescent="0.25">
      <c r="A812" s="32" t="s">
        <v>953</v>
      </c>
      <c r="B812" s="32" t="s">
        <v>954</v>
      </c>
      <c r="C812" s="32" t="s">
        <v>503</v>
      </c>
      <c r="D812" s="32" t="s">
        <v>1144</v>
      </c>
      <c r="E812" s="32" t="s">
        <v>629</v>
      </c>
      <c r="F812" s="32" t="s">
        <v>910</v>
      </c>
      <c r="G812" s="32">
        <f>IFERROR(INDEX(Ship!M$31:N$4500,MATCH(C812,Ship!M$31:M$4500,0),2),0)</f>
        <v>0</v>
      </c>
    </row>
    <row r="813" spans="1:7" x14ac:dyDescent="0.25">
      <c r="A813" s="32" t="s">
        <v>953</v>
      </c>
      <c r="B813" s="32" t="s">
        <v>954</v>
      </c>
      <c r="C813" s="32" t="s">
        <v>505</v>
      </c>
      <c r="D813" s="32" t="s">
        <v>1142</v>
      </c>
      <c r="E813" s="32" t="s">
        <v>629</v>
      </c>
      <c r="F813" s="32" t="s">
        <v>910</v>
      </c>
      <c r="G813" s="32">
        <f>IFERROR(INDEX(Ship!M$31:N$4500,MATCH(C813,Ship!M$31:M$4500,0),2),0)</f>
        <v>0</v>
      </c>
    </row>
    <row r="814" spans="1:7" x14ac:dyDescent="0.25">
      <c r="A814" s="32" t="s">
        <v>953</v>
      </c>
      <c r="B814" s="32" t="s">
        <v>954</v>
      </c>
      <c r="C814" s="32" t="s">
        <v>507</v>
      </c>
      <c r="D814" s="32" t="s">
        <v>1139</v>
      </c>
      <c r="E814" s="32" t="s">
        <v>629</v>
      </c>
      <c r="F814" s="32" t="s">
        <v>910</v>
      </c>
      <c r="G814" s="32">
        <f>IFERROR(INDEX(Ship!M$31:N$4500,MATCH(C814,Ship!M$31:M$4500,0),2),0)</f>
        <v>0</v>
      </c>
    </row>
    <row r="815" spans="1:7" x14ac:dyDescent="0.25">
      <c r="A815" s="32" t="s">
        <v>953</v>
      </c>
      <c r="B815" s="32" t="s">
        <v>954</v>
      </c>
      <c r="C815" s="32" t="s">
        <v>508</v>
      </c>
      <c r="D815" s="32" t="s">
        <v>1138</v>
      </c>
      <c r="E815" s="32" t="s">
        <v>629</v>
      </c>
      <c r="F815" s="32" t="s">
        <v>910</v>
      </c>
      <c r="G815" s="32">
        <f>IFERROR(INDEX(Ship!M$31:N$4500,MATCH(C815,Ship!M$31:M$4500,0),2),0)</f>
        <v>0</v>
      </c>
    </row>
    <row r="816" spans="1:7" x14ac:dyDescent="0.25">
      <c r="A816" s="32" t="s">
        <v>953</v>
      </c>
      <c r="B816" s="32" t="s">
        <v>954</v>
      </c>
      <c r="C816" s="32" t="s">
        <v>509</v>
      </c>
      <c r="D816" s="32" t="s">
        <v>1137</v>
      </c>
      <c r="E816" s="32" t="s">
        <v>629</v>
      </c>
      <c r="F816" s="32" t="s">
        <v>910</v>
      </c>
      <c r="G816" s="32">
        <f>IFERROR(INDEX(Ship!M$31:N$4500,MATCH(C816,Ship!M$31:M$4500,0),2),0)</f>
        <v>0</v>
      </c>
    </row>
    <row r="817" spans="1:7" x14ac:dyDescent="0.25">
      <c r="A817" s="32" t="s">
        <v>953</v>
      </c>
      <c r="B817" s="32" t="s">
        <v>954</v>
      </c>
      <c r="C817" s="32" t="s">
        <v>510</v>
      </c>
      <c r="D817" s="32" t="s">
        <v>1136</v>
      </c>
      <c r="E817" s="32" t="s">
        <v>629</v>
      </c>
      <c r="F817" s="32" t="s">
        <v>910</v>
      </c>
      <c r="G817" s="32">
        <f>IFERROR(INDEX(Ship!M$31:N$4500,MATCH(C817,Ship!M$31:M$4500,0),2),0)</f>
        <v>0</v>
      </c>
    </row>
    <row r="818" spans="1:7" x14ac:dyDescent="0.25">
      <c r="A818" s="32" t="s">
        <v>953</v>
      </c>
      <c r="B818" s="32" t="s">
        <v>954</v>
      </c>
      <c r="C818" s="32" t="s">
        <v>511</v>
      </c>
      <c r="D818" s="32" t="s">
        <v>1135</v>
      </c>
      <c r="E818" s="32" t="s">
        <v>629</v>
      </c>
      <c r="F818" s="32" t="s">
        <v>910</v>
      </c>
      <c r="G818" s="32">
        <f>IFERROR(INDEX(Ship!M$31:N$4500,MATCH(C818,Ship!M$31:M$4500,0),2),0)</f>
        <v>0</v>
      </c>
    </row>
    <row r="819" spans="1:7" x14ac:dyDescent="0.25">
      <c r="A819" s="32" t="s">
        <v>953</v>
      </c>
      <c r="B819" s="32" t="s">
        <v>954</v>
      </c>
      <c r="C819" s="32" t="s">
        <v>512</v>
      </c>
      <c r="D819" s="32" t="s">
        <v>1134</v>
      </c>
      <c r="E819" s="32" t="s">
        <v>629</v>
      </c>
      <c r="F819" s="32" t="s">
        <v>910</v>
      </c>
      <c r="G819" s="32">
        <f>IFERROR(INDEX(Ship!M$31:N$4500,MATCH(C819,Ship!M$31:M$4500,0),2),0)</f>
        <v>0</v>
      </c>
    </row>
    <row r="820" spans="1:7" x14ac:dyDescent="0.25">
      <c r="A820" s="32" t="s">
        <v>953</v>
      </c>
      <c r="B820" s="32" t="s">
        <v>954</v>
      </c>
      <c r="C820" s="32" t="s">
        <v>513</v>
      </c>
      <c r="D820" s="32" t="s">
        <v>668</v>
      </c>
      <c r="E820" s="32" t="s">
        <v>629</v>
      </c>
      <c r="F820" s="32" t="s">
        <v>910</v>
      </c>
      <c r="G820" s="32">
        <f>IFERROR(INDEX(Ship!M$31:N$4500,MATCH(C820,Ship!M$31:M$4500,0),2),0)</f>
        <v>0</v>
      </c>
    </row>
    <row r="821" spans="1:7" x14ac:dyDescent="0.25">
      <c r="A821" s="32" t="s">
        <v>953</v>
      </c>
      <c r="B821" s="32" t="s">
        <v>954</v>
      </c>
      <c r="C821" s="32" t="s">
        <v>514</v>
      </c>
      <c r="D821" s="32" t="s">
        <v>1133</v>
      </c>
      <c r="E821" s="32" t="s">
        <v>629</v>
      </c>
      <c r="F821" s="32" t="s">
        <v>910</v>
      </c>
      <c r="G821" s="32">
        <f>IFERROR(INDEX(Ship!M$31:N$4500,MATCH(C821,Ship!M$31:M$4500,0),2),0)</f>
        <v>0</v>
      </c>
    </row>
    <row r="822" spans="1:7" x14ac:dyDescent="0.25">
      <c r="A822" s="32" t="s">
        <v>953</v>
      </c>
      <c r="B822" s="32" t="s">
        <v>954</v>
      </c>
      <c r="C822" s="32" t="s">
        <v>515</v>
      </c>
      <c r="D822" s="32" t="s">
        <v>1132</v>
      </c>
      <c r="E822" s="32" t="s">
        <v>629</v>
      </c>
      <c r="F822" s="32" t="s">
        <v>910</v>
      </c>
      <c r="G822" s="32">
        <f>IFERROR(INDEX(Ship!M$31:N$4500,MATCH(C822,Ship!M$31:M$4500,0),2),0)</f>
        <v>0</v>
      </c>
    </row>
    <row r="823" spans="1:7" x14ac:dyDescent="0.25">
      <c r="A823" s="32" t="s">
        <v>953</v>
      </c>
      <c r="B823" s="32" t="s">
        <v>954</v>
      </c>
      <c r="C823" s="32" t="s">
        <v>516</v>
      </c>
      <c r="D823" s="32" t="s">
        <v>1131</v>
      </c>
      <c r="E823" s="32" t="s">
        <v>629</v>
      </c>
      <c r="F823" s="32" t="s">
        <v>910</v>
      </c>
      <c r="G823" s="32">
        <f>IFERROR(INDEX(Ship!M$31:N$4500,MATCH(C823,Ship!M$31:M$4500,0),2),0)</f>
        <v>0</v>
      </c>
    </row>
    <row r="824" spans="1:7" x14ac:dyDescent="0.25">
      <c r="A824" s="32" t="s">
        <v>953</v>
      </c>
      <c r="B824" s="32" t="s">
        <v>954</v>
      </c>
      <c r="C824" s="32" t="s">
        <v>517</v>
      </c>
      <c r="D824" s="32" t="s">
        <v>1130</v>
      </c>
      <c r="E824" s="32" t="s">
        <v>629</v>
      </c>
      <c r="F824" s="32" t="s">
        <v>910</v>
      </c>
      <c r="G824" s="32">
        <f>IFERROR(INDEX(Ship!M$31:N$4500,MATCH(C824,Ship!M$31:M$4500,0),2),0)</f>
        <v>0</v>
      </c>
    </row>
    <row r="825" spans="1:7" x14ac:dyDescent="0.25">
      <c r="A825" s="32" t="s">
        <v>953</v>
      </c>
      <c r="B825" s="32" t="s">
        <v>954</v>
      </c>
      <c r="C825" s="32" t="s">
        <v>518</v>
      </c>
      <c r="D825" s="32" t="s">
        <v>1129</v>
      </c>
      <c r="E825" s="32" t="s">
        <v>629</v>
      </c>
      <c r="F825" s="32" t="s">
        <v>910</v>
      </c>
      <c r="G825" s="32">
        <f>IFERROR(INDEX(Ship!M$31:N$4500,MATCH(C825,Ship!M$31:M$4500,0),2),0)</f>
        <v>0</v>
      </c>
    </row>
    <row r="826" spans="1:7" x14ac:dyDescent="0.25">
      <c r="A826" s="32" t="s">
        <v>953</v>
      </c>
      <c r="B826" s="32" t="s">
        <v>954</v>
      </c>
      <c r="C826" s="32" t="s">
        <v>519</v>
      </c>
      <c r="D826" s="32" t="s">
        <v>1128</v>
      </c>
      <c r="E826" s="32" t="s">
        <v>629</v>
      </c>
      <c r="F826" s="32" t="s">
        <v>910</v>
      </c>
      <c r="G826" s="32">
        <f>IFERROR(INDEX(Ship!M$31:N$4500,MATCH(C826,Ship!M$31:M$4500,0),2),0)</f>
        <v>0</v>
      </c>
    </row>
    <row r="827" spans="1:7" x14ac:dyDescent="0.25">
      <c r="A827" s="32" t="s">
        <v>953</v>
      </c>
      <c r="B827" s="32" t="s">
        <v>954</v>
      </c>
      <c r="C827" s="32" t="s">
        <v>520</v>
      </c>
      <c r="D827" s="32" t="s">
        <v>1127</v>
      </c>
      <c r="E827" s="32" t="s">
        <v>629</v>
      </c>
      <c r="F827" s="32" t="s">
        <v>910</v>
      </c>
      <c r="G827" s="32">
        <f>IFERROR(INDEX(Ship!M$31:N$4500,MATCH(C827,Ship!M$31:M$4500,0),2),0)</f>
        <v>0</v>
      </c>
    </row>
    <row r="828" spans="1:7" x14ac:dyDescent="0.25">
      <c r="A828" s="32" t="s">
        <v>953</v>
      </c>
      <c r="B828" s="32" t="s">
        <v>954</v>
      </c>
      <c r="C828" s="32" t="s">
        <v>521</v>
      </c>
      <c r="D828" s="32" t="s">
        <v>1126</v>
      </c>
      <c r="E828" s="32" t="s">
        <v>629</v>
      </c>
      <c r="F828" s="32" t="s">
        <v>910</v>
      </c>
      <c r="G828" s="32">
        <f>IFERROR(INDEX(Ship!M$31:N$4500,MATCH(C828,Ship!M$31:M$4500,0),2),0)</f>
        <v>0</v>
      </c>
    </row>
    <row r="829" spans="1:7" x14ac:dyDescent="0.25">
      <c r="A829" s="32" t="s">
        <v>953</v>
      </c>
      <c r="B829" s="32" t="s">
        <v>954</v>
      </c>
      <c r="C829" s="32" t="s">
        <v>522</v>
      </c>
      <c r="D829" s="32" t="s">
        <v>1125</v>
      </c>
      <c r="E829" s="32" t="s">
        <v>629</v>
      </c>
      <c r="F829" s="32" t="s">
        <v>910</v>
      </c>
      <c r="G829" s="32">
        <f>IFERROR(INDEX(Ship!M$31:N$4500,MATCH(C829,Ship!M$31:M$4500,0),2),0)</f>
        <v>0</v>
      </c>
    </row>
    <row r="830" spans="1:7" x14ac:dyDescent="0.25">
      <c r="A830" s="32" t="s">
        <v>953</v>
      </c>
      <c r="B830" s="32" t="s">
        <v>954</v>
      </c>
      <c r="C830" s="32" t="s">
        <v>523</v>
      </c>
      <c r="D830" s="32" t="s">
        <v>1124</v>
      </c>
      <c r="E830" s="32" t="s">
        <v>629</v>
      </c>
      <c r="F830" s="32" t="s">
        <v>910</v>
      </c>
      <c r="G830" s="32">
        <f>IFERROR(INDEX(Ship!M$31:N$4500,MATCH(C830,Ship!M$31:M$4500,0),2),0)</f>
        <v>0</v>
      </c>
    </row>
    <row r="831" spans="1:7" x14ac:dyDescent="0.25">
      <c r="A831" s="32" t="s">
        <v>953</v>
      </c>
      <c r="B831" s="32" t="s">
        <v>954</v>
      </c>
      <c r="C831" s="32" t="s">
        <v>524</v>
      </c>
      <c r="D831" s="32" t="s">
        <v>1123</v>
      </c>
      <c r="E831" s="32" t="s">
        <v>629</v>
      </c>
      <c r="F831" s="32" t="s">
        <v>910</v>
      </c>
      <c r="G831" s="32">
        <f>IFERROR(INDEX(Ship!M$31:N$4500,MATCH(C831,Ship!M$31:M$4500,0),2),0)</f>
        <v>0</v>
      </c>
    </row>
    <row r="832" spans="1:7" x14ac:dyDescent="0.25">
      <c r="A832" s="32" t="s">
        <v>953</v>
      </c>
      <c r="B832" s="32" t="s">
        <v>954</v>
      </c>
      <c r="C832" s="32" t="s">
        <v>525</v>
      </c>
      <c r="D832" s="32" t="s">
        <v>1122</v>
      </c>
      <c r="E832" s="32" t="s">
        <v>629</v>
      </c>
      <c r="F832" s="32" t="s">
        <v>910</v>
      </c>
      <c r="G832" s="32">
        <f>IFERROR(INDEX(Ship!M$31:N$4500,MATCH(C832,Ship!M$31:M$4500,0),2),0)</f>
        <v>0</v>
      </c>
    </row>
    <row r="833" spans="1:7" x14ac:dyDescent="0.25">
      <c r="A833" s="32" t="s">
        <v>953</v>
      </c>
      <c r="B833" s="32" t="s">
        <v>954</v>
      </c>
      <c r="C833" s="32" t="s">
        <v>526</v>
      </c>
      <c r="D833" s="32" t="s">
        <v>1121</v>
      </c>
      <c r="E833" s="32" t="s">
        <v>629</v>
      </c>
      <c r="F833" s="32" t="s">
        <v>910</v>
      </c>
      <c r="G833" s="32">
        <f>IFERROR(INDEX(Ship!M$31:N$4500,MATCH(C833,Ship!M$31:M$4500,0),2),0)</f>
        <v>0</v>
      </c>
    </row>
    <row r="834" spans="1:7" x14ac:dyDescent="0.25">
      <c r="A834" s="32" t="s">
        <v>953</v>
      </c>
      <c r="B834" s="32" t="s">
        <v>954</v>
      </c>
      <c r="C834" s="32" t="s">
        <v>527</v>
      </c>
      <c r="D834" s="32" t="s">
        <v>1120</v>
      </c>
      <c r="E834" s="32" t="s">
        <v>629</v>
      </c>
      <c r="F834" s="32" t="s">
        <v>910</v>
      </c>
      <c r="G834" s="32">
        <f>IFERROR(INDEX(Ship!M$31:N$4500,MATCH(C834,Ship!M$31:M$4500,0),2),0)</f>
        <v>0</v>
      </c>
    </row>
    <row r="835" spans="1:7" x14ac:dyDescent="0.25">
      <c r="A835" s="32" t="s">
        <v>953</v>
      </c>
      <c r="B835" s="32" t="s">
        <v>954</v>
      </c>
      <c r="C835" s="32" t="s">
        <v>528</v>
      </c>
      <c r="D835" s="32" t="s">
        <v>1119</v>
      </c>
      <c r="E835" s="32" t="s">
        <v>629</v>
      </c>
      <c r="F835" s="32" t="s">
        <v>910</v>
      </c>
      <c r="G835" s="32">
        <f>IFERROR(INDEX(Ship!M$31:N$4500,MATCH(C835,Ship!M$31:M$4500,0),2),0)</f>
        <v>0</v>
      </c>
    </row>
    <row r="836" spans="1:7" x14ac:dyDescent="0.25">
      <c r="A836" s="32" t="s">
        <v>953</v>
      </c>
      <c r="B836" s="32" t="s">
        <v>954</v>
      </c>
      <c r="C836" s="32" t="s">
        <v>529</v>
      </c>
      <c r="D836" s="32" t="s">
        <v>1118</v>
      </c>
      <c r="E836" s="32" t="s">
        <v>629</v>
      </c>
      <c r="F836" s="32" t="s">
        <v>910</v>
      </c>
      <c r="G836" s="32">
        <f>IFERROR(INDEX(Ship!M$31:N$4500,MATCH(C836,Ship!M$31:M$4500,0),2),0)</f>
        <v>0</v>
      </c>
    </row>
    <row r="837" spans="1:7" x14ac:dyDescent="0.25">
      <c r="A837" s="32" t="s">
        <v>953</v>
      </c>
      <c r="B837" s="32" t="s">
        <v>954</v>
      </c>
      <c r="C837" s="32" t="s">
        <v>530</v>
      </c>
      <c r="D837" s="32" t="s">
        <v>1117</v>
      </c>
      <c r="E837" s="32" t="s">
        <v>629</v>
      </c>
      <c r="F837" s="32" t="s">
        <v>910</v>
      </c>
      <c r="G837" s="32">
        <f>IFERROR(INDEX(Ship!M$31:N$4500,MATCH(C837,Ship!M$31:M$4500,0),2),0)</f>
        <v>0</v>
      </c>
    </row>
    <row r="838" spans="1:7" x14ac:dyDescent="0.25">
      <c r="A838" s="32" t="s">
        <v>953</v>
      </c>
      <c r="B838" s="32" t="s">
        <v>954</v>
      </c>
      <c r="C838" s="32" t="s">
        <v>531</v>
      </c>
      <c r="D838" s="32" t="s">
        <v>1116</v>
      </c>
      <c r="E838" s="32" t="s">
        <v>629</v>
      </c>
      <c r="F838" s="32" t="s">
        <v>910</v>
      </c>
      <c r="G838" s="32">
        <f>IFERROR(INDEX(Ship!M$31:N$4500,MATCH(C838,Ship!M$31:M$4500,0),2),0)</f>
        <v>0</v>
      </c>
    </row>
    <row r="839" spans="1:7" x14ac:dyDescent="0.25">
      <c r="A839" s="32" t="s">
        <v>953</v>
      </c>
      <c r="B839" s="32" t="s">
        <v>954</v>
      </c>
      <c r="C839" s="32" t="s">
        <v>532</v>
      </c>
      <c r="D839" s="32" t="s">
        <v>1115</v>
      </c>
      <c r="E839" s="32" t="s">
        <v>629</v>
      </c>
      <c r="F839" s="32" t="s">
        <v>910</v>
      </c>
      <c r="G839" s="32">
        <f>IFERROR(INDEX(Ship!M$31:N$4500,MATCH(C839,Ship!M$31:M$4500,0),2),0)</f>
        <v>0</v>
      </c>
    </row>
    <row r="840" spans="1:7" x14ac:dyDescent="0.25">
      <c r="A840" s="32" t="s">
        <v>953</v>
      </c>
      <c r="B840" s="32" t="s">
        <v>954</v>
      </c>
      <c r="C840" s="32" t="s">
        <v>2057</v>
      </c>
      <c r="D840" s="32" t="s">
        <v>1114</v>
      </c>
      <c r="E840" s="32" t="s">
        <v>629</v>
      </c>
      <c r="F840" s="32" t="s">
        <v>910</v>
      </c>
      <c r="G840" s="32">
        <f>IFERROR(INDEX(Ship!M$31:N$4500,MATCH(C840,Ship!M$31:M$4500,0),2),0)</f>
        <v>0</v>
      </c>
    </row>
    <row r="841" spans="1:7" x14ac:dyDescent="0.25">
      <c r="A841" s="32" t="s">
        <v>953</v>
      </c>
      <c r="B841" s="32" t="s">
        <v>954</v>
      </c>
      <c r="C841" s="32" t="s">
        <v>2058</v>
      </c>
      <c r="D841" s="32" t="s">
        <v>1113</v>
      </c>
      <c r="E841" s="32" t="s">
        <v>629</v>
      </c>
      <c r="F841" s="32" t="s">
        <v>910</v>
      </c>
      <c r="G841" s="32">
        <f>IFERROR(INDEX(Ship!M$31:N$4500,MATCH(C841,Ship!M$31:M$4500,0),2),0)</f>
        <v>0</v>
      </c>
    </row>
    <row r="842" spans="1:7" x14ac:dyDescent="0.25">
      <c r="A842" s="32" t="s">
        <v>953</v>
      </c>
      <c r="B842" s="32" t="s">
        <v>954</v>
      </c>
      <c r="C842" s="32" t="s">
        <v>2059</v>
      </c>
      <c r="D842" s="32" t="s">
        <v>1112</v>
      </c>
      <c r="E842" s="32" t="s">
        <v>629</v>
      </c>
      <c r="F842" s="32" t="s">
        <v>910</v>
      </c>
      <c r="G842" s="32">
        <f>IFERROR(INDEX(Ship!M$31:N$4500,MATCH(C842,Ship!M$31:M$4500,0),2),0)</f>
        <v>0</v>
      </c>
    </row>
    <row r="843" spans="1:7" x14ac:dyDescent="0.25">
      <c r="A843" s="32" t="s">
        <v>953</v>
      </c>
      <c r="B843" s="32" t="s">
        <v>954</v>
      </c>
      <c r="C843" s="32" t="s">
        <v>2060</v>
      </c>
      <c r="D843" s="32" t="s">
        <v>1111</v>
      </c>
      <c r="E843" s="32" t="s">
        <v>629</v>
      </c>
      <c r="F843" s="32" t="s">
        <v>910</v>
      </c>
      <c r="G843" s="32">
        <f>IFERROR(INDEX(Ship!M$31:N$4500,MATCH(C843,Ship!M$31:M$4500,0),2),0)</f>
        <v>0</v>
      </c>
    </row>
    <row r="844" spans="1:7" x14ac:dyDescent="0.25">
      <c r="A844" s="32" t="s">
        <v>953</v>
      </c>
      <c r="B844" s="32" t="s">
        <v>954</v>
      </c>
      <c r="C844" s="32" t="s">
        <v>2061</v>
      </c>
      <c r="D844" s="32" t="s">
        <v>1110</v>
      </c>
      <c r="E844" s="32" t="s">
        <v>629</v>
      </c>
      <c r="F844" s="32" t="s">
        <v>910</v>
      </c>
      <c r="G844" s="32">
        <f>IFERROR(INDEX(Ship!M$31:N$4500,MATCH(C844,Ship!M$31:M$4500,0),2),0)</f>
        <v>0</v>
      </c>
    </row>
    <row r="845" spans="1:7" x14ac:dyDescent="0.25">
      <c r="A845" s="32" t="s">
        <v>953</v>
      </c>
      <c r="B845" s="32" t="s">
        <v>954</v>
      </c>
      <c r="C845" s="32" t="s">
        <v>2062</v>
      </c>
      <c r="D845" s="32" t="s">
        <v>1109</v>
      </c>
      <c r="E845" s="32" t="s">
        <v>629</v>
      </c>
      <c r="F845" s="32" t="s">
        <v>910</v>
      </c>
      <c r="G845" s="32">
        <f>IFERROR(INDEX(Ship!M$31:N$4500,MATCH(C845,Ship!M$31:M$4500,0),2),0)</f>
        <v>0</v>
      </c>
    </row>
    <row r="846" spans="1:7" x14ac:dyDescent="0.25">
      <c r="A846" s="32" t="s">
        <v>953</v>
      </c>
      <c r="B846" s="32" t="s">
        <v>954</v>
      </c>
      <c r="C846" s="32" t="s">
        <v>2063</v>
      </c>
      <c r="D846" s="32" t="s">
        <v>1108</v>
      </c>
      <c r="E846" s="32" t="s">
        <v>629</v>
      </c>
      <c r="F846" s="32" t="s">
        <v>910</v>
      </c>
      <c r="G846" s="32">
        <f>IFERROR(INDEX(Ship!M$31:N$4500,MATCH(C846,Ship!M$31:M$4500,0),2),0)</f>
        <v>0</v>
      </c>
    </row>
    <row r="847" spans="1:7" x14ac:dyDescent="0.25">
      <c r="A847" s="32" t="s">
        <v>953</v>
      </c>
      <c r="B847" s="32" t="s">
        <v>954</v>
      </c>
      <c r="C847" s="32" t="s">
        <v>2064</v>
      </c>
      <c r="D847" s="32" t="s">
        <v>1107</v>
      </c>
      <c r="E847" s="32" t="s">
        <v>629</v>
      </c>
      <c r="F847" s="32" t="s">
        <v>910</v>
      </c>
      <c r="G847" s="32">
        <f>IFERROR(INDEX(Ship!M$31:N$4500,MATCH(C847,Ship!M$31:M$4500,0),2),0)</f>
        <v>0</v>
      </c>
    </row>
    <row r="848" spans="1:7" x14ac:dyDescent="0.25">
      <c r="A848" s="32" t="s">
        <v>953</v>
      </c>
      <c r="B848" s="32" t="s">
        <v>954</v>
      </c>
      <c r="C848" s="32" t="s">
        <v>2065</v>
      </c>
      <c r="D848" s="32" t="s">
        <v>1106</v>
      </c>
      <c r="E848" s="32" t="s">
        <v>629</v>
      </c>
      <c r="F848" s="32" t="s">
        <v>910</v>
      </c>
      <c r="G848" s="32">
        <f>IFERROR(INDEX(Ship!M$31:N$4500,MATCH(C848,Ship!M$31:M$4500,0),2),0)</f>
        <v>0</v>
      </c>
    </row>
    <row r="849" spans="1:7" x14ac:dyDescent="0.25">
      <c r="A849" s="32" t="s">
        <v>953</v>
      </c>
      <c r="B849" s="32" t="s">
        <v>954</v>
      </c>
      <c r="C849" s="32" t="s">
        <v>2066</v>
      </c>
      <c r="D849" s="32" t="s">
        <v>1105</v>
      </c>
      <c r="E849" s="32" t="s">
        <v>629</v>
      </c>
      <c r="F849" s="32" t="s">
        <v>910</v>
      </c>
      <c r="G849" s="32">
        <f>IFERROR(INDEX(Ship!M$31:N$4500,MATCH(C849,Ship!M$31:M$4500,0),2),0)</f>
        <v>0</v>
      </c>
    </row>
    <row r="850" spans="1:7" x14ac:dyDescent="0.25">
      <c r="A850" s="32" t="s">
        <v>953</v>
      </c>
      <c r="B850" s="32" t="s">
        <v>954</v>
      </c>
      <c r="C850" s="32" t="s">
        <v>2067</v>
      </c>
      <c r="D850" s="32" t="s">
        <v>1104</v>
      </c>
      <c r="E850" s="32" t="s">
        <v>629</v>
      </c>
      <c r="F850" s="32" t="s">
        <v>910</v>
      </c>
      <c r="G850" s="32">
        <f>IFERROR(INDEX(Ship!M$31:N$4500,MATCH(C850,Ship!M$31:M$4500,0),2),0)</f>
        <v>0</v>
      </c>
    </row>
    <row r="851" spans="1:7" x14ac:dyDescent="0.25">
      <c r="A851" s="32" t="s">
        <v>953</v>
      </c>
      <c r="B851" s="32" t="s">
        <v>954</v>
      </c>
      <c r="C851" s="32" t="s">
        <v>2068</v>
      </c>
      <c r="D851" s="32" t="s">
        <v>1103</v>
      </c>
      <c r="E851" s="32" t="s">
        <v>629</v>
      </c>
      <c r="F851" s="32" t="s">
        <v>910</v>
      </c>
      <c r="G851" s="32">
        <f>IFERROR(INDEX(Ship!M$31:N$4500,MATCH(C851,Ship!M$31:M$4500,0),2),0)</f>
        <v>0</v>
      </c>
    </row>
    <row r="852" spans="1:7" x14ac:dyDescent="0.25">
      <c r="A852" s="32" t="s">
        <v>953</v>
      </c>
      <c r="B852" s="32" t="s">
        <v>954</v>
      </c>
      <c r="C852" s="32" t="s">
        <v>2069</v>
      </c>
      <c r="D852" s="32" t="s">
        <v>1102</v>
      </c>
      <c r="E852" s="32" t="s">
        <v>629</v>
      </c>
      <c r="F852" s="32" t="s">
        <v>910</v>
      </c>
      <c r="G852" s="32">
        <f>IFERROR(INDEX(Ship!M$31:N$4500,MATCH(C852,Ship!M$31:M$4500,0),2),0)</f>
        <v>0</v>
      </c>
    </row>
    <row r="853" spans="1:7" x14ac:dyDescent="0.25">
      <c r="A853" s="32" t="s">
        <v>953</v>
      </c>
      <c r="B853" s="32" t="s">
        <v>954</v>
      </c>
      <c r="C853" s="32" t="s">
        <v>2070</v>
      </c>
      <c r="D853" s="32" t="s">
        <v>1101</v>
      </c>
      <c r="E853" s="32" t="s">
        <v>629</v>
      </c>
      <c r="F853" s="32" t="s">
        <v>910</v>
      </c>
      <c r="G853" s="32">
        <f>IFERROR(INDEX(Ship!M$31:N$4500,MATCH(C853,Ship!M$31:M$4500,0),2),0)</f>
        <v>0</v>
      </c>
    </row>
    <row r="854" spans="1:7" x14ac:dyDescent="0.25">
      <c r="A854" s="32" t="s">
        <v>953</v>
      </c>
      <c r="B854" s="32" t="s">
        <v>954</v>
      </c>
      <c r="C854" s="32" t="s">
        <v>2071</v>
      </c>
      <c r="D854" s="32" t="s">
        <v>1100</v>
      </c>
      <c r="E854" s="32" t="s">
        <v>629</v>
      </c>
      <c r="F854" s="32" t="s">
        <v>910</v>
      </c>
      <c r="G854" s="32">
        <f>IFERROR(INDEX(Ship!M$31:N$4500,MATCH(C854,Ship!M$31:M$4500,0),2),0)</f>
        <v>0</v>
      </c>
    </row>
    <row r="855" spans="1:7" x14ac:dyDescent="0.25">
      <c r="A855" s="32" t="s">
        <v>953</v>
      </c>
      <c r="B855" s="32" t="s">
        <v>954</v>
      </c>
      <c r="C855" s="32" t="s">
        <v>2072</v>
      </c>
      <c r="D855" s="32" t="s">
        <v>1099</v>
      </c>
      <c r="E855" s="32" t="s">
        <v>629</v>
      </c>
      <c r="F855" s="32" t="s">
        <v>910</v>
      </c>
      <c r="G855" s="32">
        <f>IFERROR(INDEX(Ship!M$31:N$4500,MATCH(C855,Ship!M$31:M$4500,0),2),0)</f>
        <v>0</v>
      </c>
    </row>
    <row r="856" spans="1:7" x14ac:dyDescent="0.25">
      <c r="A856" s="32" t="s">
        <v>953</v>
      </c>
      <c r="B856" s="32" t="s">
        <v>954</v>
      </c>
      <c r="C856" s="32" t="s">
        <v>2073</v>
      </c>
      <c r="D856" s="32" t="s">
        <v>1098</v>
      </c>
      <c r="E856" s="32" t="s">
        <v>629</v>
      </c>
      <c r="F856" s="32" t="s">
        <v>910</v>
      </c>
      <c r="G856" s="32">
        <f>IFERROR(INDEX(Ship!M$31:N$4500,MATCH(C856,Ship!M$31:M$4500,0),2),0)</f>
        <v>0</v>
      </c>
    </row>
    <row r="857" spans="1:7" x14ac:dyDescent="0.25">
      <c r="A857" s="32" t="s">
        <v>953</v>
      </c>
      <c r="B857" s="32" t="s">
        <v>954</v>
      </c>
      <c r="C857" s="32" t="s">
        <v>2074</v>
      </c>
      <c r="D857" s="32" t="s">
        <v>1097</v>
      </c>
      <c r="E857" s="32" t="s">
        <v>629</v>
      </c>
      <c r="F857" s="32" t="s">
        <v>910</v>
      </c>
      <c r="G857" s="32">
        <f>IFERROR(INDEX(Ship!M$31:N$4500,MATCH(C857,Ship!M$31:M$4500,0),2),0)</f>
        <v>0</v>
      </c>
    </row>
    <row r="858" spans="1:7" x14ac:dyDescent="0.25">
      <c r="A858" s="32" t="s">
        <v>953</v>
      </c>
      <c r="B858" s="32" t="s">
        <v>954</v>
      </c>
      <c r="C858" s="32" t="s">
        <v>2075</v>
      </c>
      <c r="D858" s="32" t="s">
        <v>1096</v>
      </c>
      <c r="E858" s="32" t="s">
        <v>629</v>
      </c>
      <c r="F858" s="32" t="s">
        <v>910</v>
      </c>
      <c r="G858" s="32">
        <f>IFERROR(INDEX(Ship!M$31:N$4500,MATCH(C858,Ship!M$31:M$4500,0),2),0)</f>
        <v>0</v>
      </c>
    </row>
    <row r="859" spans="1:7" x14ac:dyDescent="0.25">
      <c r="A859" s="32" t="s">
        <v>953</v>
      </c>
      <c r="B859" s="32" t="s">
        <v>954</v>
      </c>
      <c r="C859" s="32" t="s">
        <v>2076</v>
      </c>
      <c r="D859" s="32" t="s">
        <v>1095</v>
      </c>
      <c r="E859" s="32" t="s">
        <v>629</v>
      </c>
      <c r="F859" s="32" t="s">
        <v>910</v>
      </c>
      <c r="G859" s="32">
        <f>IFERROR(INDEX(Ship!M$31:N$4500,MATCH(C859,Ship!M$31:M$4500,0),2),0)</f>
        <v>0</v>
      </c>
    </row>
    <row r="860" spans="1:7" x14ac:dyDescent="0.25">
      <c r="A860" s="32" t="s">
        <v>953</v>
      </c>
      <c r="B860" s="32" t="s">
        <v>954</v>
      </c>
      <c r="C860" s="32" t="s">
        <v>2077</v>
      </c>
      <c r="D860" s="32" t="s">
        <v>1094</v>
      </c>
      <c r="E860" s="32" t="s">
        <v>629</v>
      </c>
      <c r="F860" s="32" t="s">
        <v>910</v>
      </c>
      <c r="G860" s="32">
        <f>IFERROR(INDEX(Ship!M$31:N$4500,MATCH(C860,Ship!M$31:M$4500,0),2),0)</f>
        <v>0</v>
      </c>
    </row>
    <row r="861" spans="1:7" x14ac:dyDescent="0.25">
      <c r="A861" s="32" t="s">
        <v>953</v>
      </c>
      <c r="B861" s="32" t="s">
        <v>954</v>
      </c>
      <c r="C861" s="32" t="s">
        <v>2078</v>
      </c>
      <c r="D861" s="32" t="s">
        <v>1093</v>
      </c>
      <c r="E861" s="32" t="s">
        <v>629</v>
      </c>
      <c r="F861" s="32" t="s">
        <v>910</v>
      </c>
      <c r="G861" s="32">
        <f>IFERROR(INDEX(Ship!M$31:N$4500,MATCH(C861,Ship!M$31:M$4500,0),2),0)</f>
        <v>0</v>
      </c>
    </row>
    <row r="862" spans="1:7" x14ac:dyDescent="0.25">
      <c r="A862" s="32" t="s">
        <v>953</v>
      </c>
      <c r="B862" s="32" t="s">
        <v>954</v>
      </c>
      <c r="C862" s="32" t="s">
        <v>2079</v>
      </c>
      <c r="D862" s="32" t="s">
        <v>1092</v>
      </c>
      <c r="E862" s="32" t="s">
        <v>629</v>
      </c>
      <c r="F862" s="32" t="s">
        <v>910</v>
      </c>
      <c r="G862" s="32">
        <f>IFERROR(INDEX(Ship!M$31:N$4500,MATCH(C862,Ship!M$31:M$4500,0),2),0)</f>
        <v>0</v>
      </c>
    </row>
    <row r="863" spans="1:7" x14ac:dyDescent="0.25">
      <c r="A863" s="32" t="s">
        <v>953</v>
      </c>
      <c r="B863" s="32" t="s">
        <v>954</v>
      </c>
      <c r="C863" s="32" t="s">
        <v>2080</v>
      </c>
      <c r="D863" s="32" t="s">
        <v>1091</v>
      </c>
      <c r="E863" s="32" t="s">
        <v>629</v>
      </c>
      <c r="F863" s="32" t="s">
        <v>910</v>
      </c>
      <c r="G863" s="32">
        <f>IFERROR(INDEX(Ship!M$31:N$4500,MATCH(C863,Ship!M$31:M$4500,0),2),0)</f>
        <v>0</v>
      </c>
    </row>
    <row r="864" spans="1:7" x14ac:dyDescent="0.25">
      <c r="A864" s="32" t="s">
        <v>953</v>
      </c>
      <c r="B864" s="32" t="s">
        <v>954</v>
      </c>
      <c r="C864" s="32" t="s">
        <v>2081</v>
      </c>
      <c r="D864" s="32" t="s">
        <v>1090</v>
      </c>
      <c r="E864" s="32" t="s">
        <v>629</v>
      </c>
      <c r="F864" s="32" t="s">
        <v>910</v>
      </c>
      <c r="G864" s="32">
        <f>IFERROR(INDEX(Ship!M$31:N$4500,MATCH(C864,Ship!M$31:M$4500,0),2),0)</f>
        <v>0</v>
      </c>
    </row>
    <row r="865" spans="1:7" x14ac:dyDescent="0.25">
      <c r="A865" s="32" t="s">
        <v>953</v>
      </c>
      <c r="B865" s="32" t="s">
        <v>954</v>
      </c>
      <c r="C865" s="32" t="s">
        <v>2082</v>
      </c>
      <c r="D865" s="32" t="s">
        <v>1089</v>
      </c>
      <c r="E865" s="32" t="s">
        <v>629</v>
      </c>
      <c r="F865" s="32" t="s">
        <v>910</v>
      </c>
      <c r="G865" s="32">
        <f>IFERROR(INDEX(Ship!M$31:N$4500,MATCH(C865,Ship!M$31:M$4500,0),2),0)</f>
        <v>0</v>
      </c>
    </row>
    <row r="866" spans="1:7" x14ac:dyDescent="0.25">
      <c r="A866" s="32" t="s">
        <v>953</v>
      </c>
      <c r="B866" s="32" t="s">
        <v>954</v>
      </c>
      <c r="C866" s="32" t="s">
        <v>2083</v>
      </c>
      <c r="D866" s="32" t="s">
        <v>1088</v>
      </c>
      <c r="E866" s="32" t="s">
        <v>629</v>
      </c>
      <c r="F866" s="32" t="s">
        <v>910</v>
      </c>
      <c r="G866" s="32">
        <f>IFERROR(INDEX(Ship!M$31:N$4500,MATCH(C866,Ship!M$31:M$4500,0),2),0)</f>
        <v>0</v>
      </c>
    </row>
    <row r="867" spans="1:7" x14ac:dyDescent="0.25">
      <c r="A867" s="32" t="s">
        <v>953</v>
      </c>
      <c r="B867" s="32" t="s">
        <v>954</v>
      </c>
      <c r="C867" s="32" t="s">
        <v>2084</v>
      </c>
      <c r="D867" s="32" t="s">
        <v>1087</v>
      </c>
      <c r="E867" s="32" t="s">
        <v>629</v>
      </c>
      <c r="F867" s="32" t="s">
        <v>910</v>
      </c>
      <c r="G867" s="32">
        <f>IFERROR(INDEX(Ship!M$31:N$4500,MATCH(C867,Ship!M$31:M$4500,0),2),0)</f>
        <v>0</v>
      </c>
    </row>
    <row r="868" spans="1:7" x14ac:dyDescent="0.25">
      <c r="A868" s="32" t="s">
        <v>953</v>
      </c>
      <c r="B868" s="32" t="s">
        <v>954</v>
      </c>
      <c r="C868" s="32" t="s">
        <v>2085</v>
      </c>
      <c r="D868" s="32" t="s">
        <v>1086</v>
      </c>
      <c r="E868" s="32" t="s">
        <v>629</v>
      </c>
      <c r="F868" s="32" t="s">
        <v>910</v>
      </c>
      <c r="G868" s="32">
        <f>IFERROR(INDEX(Ship!M$31:N$4500,MATCH(C868,Ship!M$31:M$4500,0),2),0)</f>
        <v>0</v>
      </c>
    </row>
    <row r="869" spans="1:7" x14ac:dyDescent="0.25">
      <c r="A869" s="32" t="s">
        <v>953</v>
      </c>
      <c r="B869" s="32" t="s">
        <v>954</v>
      </c>
      <c r="C869" s="32" t="s">
        <v>2086</v>
      </c>
      <c r="D869" s="32" t="s">
        <v>1085</v>
      </c>
      <c r="E869" s="32" t="s">
        <v>629</v>
      </c>
      <c r="F869" s="32" t="s">
        <v>910</v>
      </c>
      <c r="G869" s="32">
        <f>IFERROR(INDEX(Ship!M$31:N$4500,MATCH(C869,Ship!M$31:M$4500,0),2),0)</f>
        <v>0</v>
      </c>
    </row>
    <row r="870" spans="1:7" x14ac:dyDescent="0.25">
      <c r="A870" s="32" t="s">
        <v>953</v>
      </c>
      <c r="B870" s="32" t="s">
        <v>954</v>
      </c>
      <c r="C870" s="32" t="s">
        <v>2087</v>
      </c>
      <c r="D870" s="32" t="s">
        <v>1084</v>
      </c>
      <c r="E870" s="32" t="s">
        <v>629</v>
      </c>
      <c r="F870" s="32" t="s">
        <v>910</v>
      </c>
      <c r="G870" s="32">
        <f>IFERROR(INDEX(Ship!M$31:N$4500,MATCH(C870,Ship!M$31:M$4500,0),2),0)</f>
        <v>0</v>
      </c>
    </row>
    <row r="871" spans="1:7" x14ac:dyDescent="0.25">
      <c r="A871" s="32" t="s">
        <v>953</v>
      </c>
      <c r="B871" s="32" t="s">
        <v>954</v>
      </c>
      <c r="C871" s="32" t="s">
        <v>2088</v>
      </c>
      <c r="D871" s="32" t="s">
        <v>1083</v>
      </c>
      <c r="E871" s="32" t="s">
        <v>629</v>
      </c>
      <c r="F871" s="32" t="s">
        <v>910</v>
      </c>
      <c r="G871" s="32">
        <f>IFERROR(INDEX(Ship!M$31:N$4500,MATCH(C871,Ship!M$31:M$4500,0),2),0)</f>
        <v>0</v>
      </c>
    </row>
    <row r="872" spans="1:7" x14ac:dyDescent="0.25">
      <c r="A872" s="32" t="s">
        <v>953</v>
      </c>
      <c r="B872" s="32" t="s">
        <v>954</v>
      </c>
      <c r="C872" s="32" t="s">
        <v>2089</v>
      </c>
      <c r="D872" s="32" t="s">
        <v>1082</v>
      </c>
      <c r="E872" s="32" t="s">
        <v>629</v>
      </c>
      <c r="F872" s="32" t="s">
        <v>910</v>
      </c>
      <c r="G872" s="32">
        <f>IFERROR(INDEX(Ship!M$31:N$4500,MATCH(C872,Ship!M$31:M$4500,0),2),0)</f>
        <v>0</v>
      </c>
    </row>
    <row r="873" spans="1:7" x14ac:dyDescent="0.25">
      <c r="A873" s="32" t="s">
        <v>953</v>
      </c>
      <c r="B873" s="32" t="s">
        <v>954</v>
      </c>
      <c r="C873" s="32" t="s">
        <v>2090</v>
      </c>
      <c r="D873" s="32" t="s">
        <v>1081</v>
      </c>
      <c r="E873" s="32" t="s">
        <v>629</v>
      </c>
      <c r="F873" s="32" t="s">
        <v>910</v>
      </c>
      <c r="G873" s="32">
        <f>IFERROR(INDEX(Ship!M$31:N$4500,MATCH(C873,Ship!M$31:M$4500,0),2),0)</f>
        <v>0</v>
      </c>
    </row>
    <row r="874" spans="1:7" x14ac:dyDescent="0.25">
      <c r="A874" s="32" t="s">
        <v>953</v>
      </c>
      <c r="B874" s="32" t="s">
        <v>954</v>
      </c>
      <c r="C874" s="32" t="s">
        <v>2091</v>
      </c>
      <c r="D874" s="32" t="s">
        <v>1080</v>
      </c>
      <c r="E874" s="32" t="s">
        <v>629</v>
      </c>
      <c r="F874" s="32" t="s">
        <v>910</v>
      </c>
      <c r="G874" s="32">
        <f>IFERROR(INDEX(Ship!M$31:N$4500,MATCH(C874,Ship!M$31:M$4500,0),2),0)</f>
        <v>0</v>
      </c>
    </row>
    <row r="875" spans="1:7" x14ac:dyDescent="0.25">
      <c r="A875" s="32" t="s">
        <v>953</v>
      </c>
      <c r="B875" s="32" t="s">
        <v>954</v>
      </c>
      <c r="C875" s="32" t="s">
        <v>2092</v>
      </c>
      <c r="D875" s="32" t="s">
        <v>1079</v>
      </c>
      <c r="E875" s="32" t="s">
        <v>629</v>
      </c>
      <c r="F875" s="32" t="s">
        <v>910</v>
      </c>
      <c r="G875" s="32">
        <f>IFERROR(INDEX(Ship!M$31:N$4500,MATCH(C875,Ship!M$31:M$4500,0),2),0)</f>
        <v>0</v>
      </c>
    </row>
    <row r="876" spans="1:7" x14ac:dyDescent="0.25">
      <c r="A876" s="32" t="s">
        <v>953</v>
      </c>
      <c r="B876" s="32" t="s">
        <v>954</v>
      </c>
      <c r="C876" s="32" t="s">
        <v>2093</v>
      </c>
      <c r="D876" s="32" t="s">
        <v>1078</v>
      </c>
      <c r="E876" s="32" t="s">
        <v>629</v>
      </c>
      <c r="F876" s="32" t="s">
        <v>910</v>
      </c>
      <c r="G876" s="32">
        <f>IFERROR(INDEX(Ship!M$31:N$4500,MATCH(C876,Ship!M$31:M$4500,0),2),0)</f>
        <v>0</v>
      </c>
    </row>
    <row r="877" spans="1:7" x14ac:dyDescent="0.25">
      <c r="A877" s="32" t="s">
        <v>953</v>
      </c>
      <c r="B877" s="32" t="s">
        <v>954</v>
      </c>
      <c r="C877" s="32" t="s">
        <v>2094</v>
      </c>
      <c r="D877" s="32" t="s">
        <v>1077</v>
      </c>
      <c r="E877" s="32" t="s">
        <v>629</v>
      </c>
      <c r="F877" s="32" t="s">
        <v>910</v>
      </c>
      <c r="G877" s="32">
        <f>IFERROR(INDEX(Ship!M$31:N$4500,MATCH(C877,Ship!M$31:M$4500,0),2),0)</f>
        <v>0</v>
      </c>
    </row>
    <row r="878" spans="1:7" x14ac:dyDescent="0.25">
      <c r="A878" s="32" t="s">
        <v>953</v>
      </c>
      <c r="B878" s="32" t="s">
        <v>954</v>
      </c>
      <c r="C878" s="32" t="s">
        <v>2095</v>
      </c>
      <c r="D878" s="32" t="s">
        <v>1076</v>
      </c>
      <c r="E878" s="32" t="s">
        <v>629</v>
      </c>
      <c r="F878" s="32" t="s">
        <v>910</v>
      </c>
      <c r="G878" s="32">
        <f>IFERROR(INDEX(Ship!M$31:N$4500,MATCH(C878,Ship!M$31:M$4500,0),2),0)</f>
        <v>0</v>
      </c>
    </row>
    <row r="879" spans="1:7" x14ac:dyDescent="0.25">
      <c r="A879" s="32" t="s">
        <v>953</v>
      </c>
      <c r="B879" s="32" t="s">
        <v>954</v>
      </c>
      <c r="C879" s="32" t="s">
        <v>2096</v>
      </c>
      <c r="D879" s="32" t="s">
        <v>1075</v>
      </c>
      <c r="E879" s="32" t="s">
        <v>629</v>
      </c>
      <c r="F879" s="32" t="s">
        <v>910</v>
      </c>
      <c r="G879" s="32">
        <f>IFERROR(INDEX(Ship!M$31:N$4500,MATCH(C879,Ship!M$31:M$4500,0),2),0)</f>
        <v>0</v>
      </c>
    </row>
    <row r="880" spans="1:7" x14ac:dyDescent="0.25">
      <c r="A880" s="32" t="s">
        <v>953</v>
      </c>
      <c r="B880" s="32" t="s">
        <v>954</v>
      </c>
      <c r="C880" s="32" t="s">
        <v>2097</v>
      </c>
      <c r="D880" s="32" t="s">
        <v>1074</v>
      </c>
      <c r="E880" s="32" t="s">
        <v>629</v>
      </c>
      <c r="F880" s="32" t="s">
        <v>910</v>
      </c>
      <c r="G880" s="32">
        <f>IFERROR(INDEX(Ship!M$31:N$4500,MATCH(C880,Ship!M$31:M$4500,0),2),0)</f>
        <v>0</v>
      </c>
    </row>
    <row r="881" spans="1:7" x14ac:dyDescent="0.25">
      <c r="A881" s="32" t="s">
        <v>953</v>
      </c>
      <c r="B881" s="32" t="s">
        <v>954</v>
      </c>
      <c r="C881" s="32" t="s">
        <v>2098</v>
      </c>
      <c r="D881" s="32" t="s">
        <v>1073</v>
      </c>
      <c r="E881" s="32" t="s">
        <v>629</v>
      </c>
      <c r="F881" s="32" t="s">
        <v>910</v>
      </c>
      <c r="G881" s="32">
        <f>IFERROR(INDEX(Ship!M$31:N$4500,MATCH(C881,Ship!M$31:M$4500,0),2),0)</f>
        <v>0</v>
      </c>
    </row>
    <row r="882" spans="1:7" x14ac:dyDescent="0.25">
      <c r="A882" s="32" t="s">
        <v>953</v>
      </c>
      <c r="B882" s="32" t="s">
        <v>954</v>
      </c>
      <c r="C882" s="32" t="s">
        <v>2099</v>
      </c>
      <c r="D882" s="32" t="s">
        <v>1072</v>
      </c>
      <c r="E882" s="32" t="s">
        <v>629</v>
      </c>
      <c r="F882" s="32" t="s">
        <v>910</v>
      </c>
      <c r="G882" s="32">
        <f>IFERROR(INDEX(Ship!M$31:N$4500,MATCH(C882,Ship!M$31:M$4500,0),2),0)</f>
        <v>0</v>
      </c>
    </row>
    <row r="883" spans="1:7" x14ac:dyDescent="0.25">
      <c r="A883" s="32" t="s">
        <v>953</v>
      </c>
      <c r="B883" s="32" t="s">
        <v>954</v>
      </c>
      <c r="C883" s="32" t="s">
        <v>2100</v>
      </c>
      <c r="D883" s="32" t="s">
        <v>1071</v>
      </c>
      <c r="E883" s="32" t="s">
        <v>629</v>
      </c>
      <c r="F883" s="32" t="s">
        <v>910</v>
      </c>
      <c r="G883" s="32">
        <f>IFERROR(INDEX(Ship!M$31:N$4500,MATCH(C883,Ship!M$31:M$4500,0),2),0)</f>
        <v>0</v>
      </c>
    </row>
    <row r="884" spans="1:7" x14ac:dyDescent="0.25">
      <c r="A884" s="32" t="s">
        <v>953</v>
      </c>
      <c r="B884" s="32" t="s">
        <v>954</v>
      </c>
      <c r="C884" s="32" t="s">
        <v>2101</v>
      </c>
      <c r="D884" s="32" t="s">
        <v>1070</v>
      </c>
      <c r="E884" s="32" t="s">
        <v>629</v>
      </c>
      <c r="F884" s="32" t="s">
        <v>910</v>
      </c>
      <c r="G884" s="32">
        <f>IFERROR(INDEX(Ship!M$31:N$4500,MATCH(C884,Ship!M$31:M$4500,0),2),0)</f>
        <v>0</v>
      </c>
    </row>
    <row r="885" spans="1:7" x14ac:dyDescent="0.25">
      <c r="A885" s="32" t="s">
        <v>953</v>
      </c>
      <c r="B885" s="32" t="s">
        <v>954</v>
      </c>
      <c r="C885" s="32" t="s">
        <v>2102</v>
      </c>
      <c r="D885" s="32" t="s">
        <v>1069</v>
      </c>
      <c r="E885" s="32" t="s">
        <v>629</v>
      </c>
      <c r="F885" s="32" t="s">
        <v>910</v>
      </c>
      <c r="G885" s="32">
        <f>IFERROR(INDEX(Ship!M$31:N$4500,MATCH(C885,Ship!M$31:M$4500,0),2),0)</f>
        <v>0</v>
      </c>
    </row>
    <row r="886" spans="1:7" x14ac:dyDescent="0.25">
      <c r="A886" s="32" t="s">
        <v>953</v>
      </c>
      <c r="B886" s="32" t="s">
        <v>954</v>
      </c>
      <c r="C886" s="32" t="s">
        <v>2103</v>
      </c>
      <c r="D886" s="32" t="s">
        <v>1068</v>
      </c>
      <c r="E886" s="32" t="s">
        <v>629</v>
      </c>
      <c r="F886" s="32" t="s">
        <v>910</v>
      </c>
      <c r="G886" s="32">
        <f>IFERROR(INDEX(Ship!M$31:N$4500,MATCH(C886,Ship!M$31:M$4500,0),2),0)</f>
        <v>0</v>
      </c>
    </row>
    <row r="887" spans="1:7" x14ac:dyDescent="0.25">
      <c r="A887" s="32" t="s">
        <v>953</v>
      </c>
      <c r="B887" s="32" t="s">
        <v>954</v>
      </c>
      <c r="C887" s="32" t="s">
        <v>2104</v>
      </c>
      <c r="D887" s="32" t="s">
        <v>1067</v>
      </c>
      <c r="E887" s="32" t="s">
        <v>629</v>
      </c>
      <c r="F887" s="32" t="s">
        <v>910</v>
      </c>
      <c r="G887" s="32">
        <f>IFERROR(INDEX(Ship!M$31:N$4500,MATCH(C887,Ship!M$31:M$4500,0),2),0)</f>
        <v>0</v>
      </c>
    </row>
    <row r="888" spans="1:7" x14ac:dyDescent="0.25">
      <c r="A888" s="32" t="s">
        <v>953</v>
      </c>
      <c r="B888" s="32" t="s">
        <v>954</v>
      </c>
      <c r="C888" s="32" t="s">
        <v>2105</v>
      </c>
      <c r="D888" s="32" t="s">
        <v>1066</v>
      </c>
      <c r="E888" s="32" t="s">
        <v>629</v>
      </c>
      <c r="F888" s="32" t="s">
        <v>910</v>
      </c>
      <c r="G888" s="32">
        <f>IFERROR(INDEX(Ship!M$31:N$4500,MATCH(C888,Ship!M$31:M$4500,0),2),0)</f>
        <v>0</v>
      </c>
    </row>
    <row r="889" spans="1:7" x14ac:dyDescent="0.25">
      <c r="A889" s="32" t="s">
        <v>953</v>
      </c>
      <c r="B889" s="32" t="s">
        <v>954</v>
      </c>
      <c r="C889" s="32" t="s">
        <v>2106</v>
      </c>
      <c r="D889" s="32" t="s">
        <v>1065</v>
      </c>
      <c r="E889" s="32" t="s">
        <v>629</v>
      </c>
      <c r="F889" s="32" t="s">
        <v>910</v>
      </c>
      <c r="G889" s="32">
        <f>IFERROR(INDEX(Ship!M$31:N$4500,MATCH(C889,Ship!M$31:M$4500,0),2),0)</f>
        <v>0</v>
      </c>
    </row>
    <row r="890" spans="1:7" x14ac:dyDescent="0.25">
      <c r="A890" s="32" t="s">
        <v>953</v>
      </c>
      <c r="B890" s="32" t="s">
        <v>954</v>
      </c>
      <c r="C890" s="32" t="s">
        <v>2107</v>
      </c>
      <c r="D890" s="32" t="s">
        <v>1064</v>
      </c>
      <c r="E890" s="32" t="s">
        <v>629</v>
      </c>
      <c r="F890" s="32" t="s">
        <v>910</v>
      </c>
      <c r="G890" s="32">
        <f>IFERROR(INDEX(Ship!M$31:N$4500,MATCH(C890,Ship!M$31:M$4500,0),2),0)</f>
        <v>0</v>
      </c>
    </row>
    <row r="891" spans="1:7" x14ac:dyDescent="0.25">
      <c r="A891" s="32" t="s">
        <v>953</v>
      </c>
      <c r="B891" s="32" t="s">
        <v>954</v>
      </c>
      <c r="C891" s="32" t="s">
        <v>2108</v>
      </c>
      <c r="D891" s="32" t="s">
        <v>1063</v>
      </c>
      <c r="E891" s="32" t="s">
        <v>629</v>
      </c>
      <c r="F891" s="32" t="s">
        <v>910</v>
      </c>
      <c r="G891" s="32">
        <f>IFERROR(INDEX(Ship!M$31:N$4500,MATCH(C891,Ship!M$31:M$4500,0),2),0)</f>
        <v>0</v>
      </c>
    </row>
    <row r="892" spans="1:7" x14ac:dyDescent="0.25">
      <c r="A892" s="32" t="s">
        <v>953</v>
      </c>
      <c r="B892" s="32" t="s">
        <v>954</v>
      </c>
      <c r="C892" s="32" t="s">
        <v>2109</v>
      </c>
      <c r="D892" s="32" t="s">
        <v>1062</v>
      </c>
      <c r="E892" s="32" t="s">
        <v>629</v>
      </c>
      <c r="F892" s="32" t="s">
        <v>910</v>
      </c>
      <c r="G892" s="32">
        <f>IFERROR(INDEX(Ship!M$31:N$4500,MATCH(C892,Ship!M$31:M$4500,0),2),0)</f>
        <v>0</v>
      </c>
    </row>
    <row r="893" spans="1:7" x14ac:dyDescent="0.25">
      <c r="A893" s="32" t="s">
        <v>953</v>
      </c>
      <c r="B893" s="32" t="s">
        <v>954</v>
      </c>
      <c r="C893" s="32" t="s">
        <v>2110</v>
      </c>
      <c r="D893" s="32" t="s">
        <v>1061</v>
      </c>
      <c r="E893" s="32" t="s">
        <v>629</v>
      </c>
      <c r="F893" s="32" t="s">
        <v>910</v>
      </c>
      <c r="G893" s="32">
        <f>IFERROR(INDEX(Ship!M$31:N$4500,MATCH(C893,Ship!M$31:M$4500,0),2),0)</f>
        <v>0</v>
      </c>
    </row>
    <row r="894" spans="1:7" x14ac:dyDescent="0.25">
      <c r="A894" s="32" t="s">
        <v>953</v>
      </c>
      <c r="B894" s="32" t="s">
        <v>954</v>
      </c>
      <c r="C894" s="32" t="s">
        <v>2111</v>
      </c>
      <c r="D894" s="32" t="s">
        <v>1060</v>
      </c>
      <c r="E894" s="32" t="s">
        <v>629</v>
      </c>
      <c r="F894" s="32" t="s">
        <v>910</v>
      </c>
      <c r="G894" s="32">
        <f>IFERROR(INDEX(Ship!M$31:N$4500,MATCH(C894,Ship!M$31:M$4500,0),2),0)</f>
        <v>0</v>
      </c>
    </row>
    <row r="895" spans="1:7" x14ac:dyDescent="0.25">
      <c r="A895" s="32" t="s">
        <v>953</v>
      </c>
      <c r="B895" s="32" t="s">
        <v>954</v>
      </c>
      <c r="C895" s="32" t="s">
        <v>2112</v>
      </c>
      <c r="D895" s="32" t="s">
        <v>1059</v>
      </c>
      <c r="E895" s="32" t="s">
        <v>629</v>
      </c>
      <c r="F895" s="32" t="s">
        <v>910</v>
      </c>
      <c r="G895" s="32">
        <f>IFERROR(INDEX(Ship!M$31:N$4500,MATCH(C895,Ship!M$31:M$4500,0),2),0)</f>
        <v>0</v>
      </c>
    </row>
    <row r="896" spans="1:7" x14ac:dyDescent="0.25">
      <c r="A896" s="32" t="s">
        <v>953</v>
      </c>
      <c r="B896" s="32" t="s">
        <v>954</v>
      </c>
      <c r="C896" s="32" t="s">
        <v>2113</v>
      </c>
      <c r="D896" s="32" t="s">
        <v>1058</v>
      </c>
      <c r="E896" s="32" t="s">
        <v>629</v>
      </c>
      <c r="F896" s="32" t="s">
        <v>910</v>
      </c>
      <c r="G896" s="32">
        <f>IFERROR(INDEX(Ship!M$31:N$4500,MATCH(C896,Ship!M$31:M$4500,0),2),0)</f>
        <v>0</v>
      </c>
    </row>
    <row r="897" spans="1:7" x14ac:dyDescent="0.25">
      <c r="A897" s="32" t="s">
        <v>953</v>
      </c>
      <c r="B897" s="32" t="s">
        <v>954</v>
      </c>
      <c r="C897" s="32" t="s">
        <v>2114</v>
      </c>
      <c r="D897" s="32" t="s">
        <v>1057</v>
      </c>
      <c r="E897" s="32" t="s">
        <v>629</v>
      </c>
      <c r="F897" s="32" t="s">
        <v>910</v>
      </c>
      <c r="G897" s="32">
        <f>IFERROR(INDEX(Ship!M$31:N$4500,MATCH(C897,Ship!M$31:M$4500,0),2),0)</f>
        <v>0</v>
      </c>
    </row>
    <row r="898" spans="1:7" x14ac:dyDescent="0.25">
      <c r="A898" s="32" t="s">
        <v>953</v>
      </c>
      <c r="B898" s="32" t="s">
        <v>954</v>
      </c>
      <c r="C898" s="32" t="s">
        <v>2115</v>
      </c>
      <c r="D898" s="32" t="s">
        <v>1056</v>
      </c>
      <c r="E898" s="32" t="s">
        <v>629</v>
      </c>
      <c r="F898" s="32" t="s">
        <v>910</v>
      </c>
      <c r="G898" s="32">
        <f>IFERROR(INDEX(Ship!M$31:N$4500,MATCH(C898,Ship!M$31:M$4500,0),2),0)</f>
        <v>0</v>
      </c>
    </row>
    <row r="899" spans="1:7" x14ac:dyDescent="0.25">
      <c r="A899" s="32" t="s">
        <v>953</v>
      </c>
      <c r="B899" s="32" t="s">
        <v>954</v>
      </c>
      <c r="C899" s="32" t="s">
        <v>2116</v>
      </c>
      <c r="D899" s="32" t="s">
        <v>1055</v>
      </c>
      <c r="E899" s="32" t="s">
        <v>629</v>
      </c>
      <c r="F899" s="32" t="s">
        <v>910</v>
      </c>
      <c r="G899" s="32">
        <f>IFERROR(INDEX(Ship!M$31:N$4500,MATCH(C899,Ship!M$31:M$4500,0),2),0)</f>
        <v>0</v>
      </c>
    </row>
    <row r="900" spans="1:7" x14ac:dyDescent="0.25">
      <c r="A900" s="32" t="s">
        <v>953</v>
      </c>
      <c r="B900" s="32" t="s">
        <v>954</v>
      </c>
      <c r="C900" s="32" t="s">
        <v>2117</v>
      </c>
      <c r="D900" s="32" t="s">
        <v>1054</v>
      </c>
      <c r="E900" s="32" t="s">
        <v>629</v>
      </c>
      <c r="F900" s="32" t="s">
        <v>910</v>
      </c>
      <c r="G900" s="32">
        <f>IFERROR(INDEX(Ship!M$31:N$4500,MATCH(C900,Ship!M$31:M$4500,0),2),0)</f>
        <v>0</v>
      </c>
    </row>
    <row r="901" spans="1:7" x14ac:dyDescent="0.25">
      <c r="A901" s="32" t="s">
        <v>953</v>
      </c>
      <c r="B901" s="32" t="s">
        <v>954</v>
      </c>
      <c r="C901" s="32" t="s">
        <v>2118</v>
      </c>
      <c r="D901" s="32" t="s">
        <v>1053</v>
      </c>
      <c r="E901" s="32" t="s">
        <v>629</v>
      </c>
      <c r="F901" s="32" t="s">
        <v>910</v>
      </c>
      <c r="G901" s="32">
        <f>IFERROR(INDEX(Ship!M$31:N$4500,MATCH(C901,Ship!M$31:M$4500,0),2),0)</f>
        <v>0</v>
      </c>
    </row>
    <row r="902" spans="1:7" x14ac:dyDescent="0.25">
      <c r="A902" s="32" t="s">
        <v>953</v>
      </c>
      <c r="B902" s="32" t="s">
        <v>954</v>
      </c>
      <c r="C902" s="32" t="s">
        <v>2119</v>
      </c>
      <c r="D902" s="32" t="s">
        <v>1052</v>
      </c>
      <c r="E902" s="32" t="s">
        <v>629</v>
      </c>
      <c r="F902" s="32" t="s">
        <v>910</v>
      </c>
      <c r="G902" s="32">
        <f>IFERROR(INDEX(Ship!M$31:N$4500,MATCH(C902,Ship!M$31:M$4500,0),2),0)</f>
        <v>0</v>
      </c>
    </row>
    <row r="903" spans="1:7" x14ac:dyDescent="0.25">
      <c r="A903" s="32" t="s">
        <v>953</v>
      </c>
      <c r="B903" s="32" t="s">
        <v>954</v>
      </c>
      <c r="C903" s="32" t="s">
        <v>2120</v>
      </c>
      <c r="D903" s="32" t="s">
        <v>1051</v>
      </c>
      <c r="E903" s="32" t="s">
        <v>629</v>
      </c>
      <c r="F903" s="32" t="s">
        <v>910</v>
      </c>
      <c r="G903" s="32">
        <f>IFERROR(INDEX(Ship!M$31:N$4500,MATCH(C903,Ship!M$31:M$4500,0),2),0)</f>
        <v>0</v>
      </c>
    </row>
    <row r="904" spans="1:7" x14ac:dyDescent="0.25">
      <c r="A904" s="32" t="s">
        <v>953</v>
      </c>
      <c r="B904" s="32" t="s">
        <v>954</v>
      </c>
      <c r="C904" s="32" t="s">
        <v>2121</v>
      </c>
      <c r="D904" s="32" t="s">
        <v>1050</v>
      </c>
      <c r="E904" s="32" t="s">
        <v>629</v>
      </c>
      <c r="F904" s="32" t="s">
        <v>910</v>
      </c>
      <c r="G904" s="32">
        <f>IFERROR(INDEX(Ship!M$31:N$4500,MATCH(C904,Ship!M$31:M$4500,0),2),0)</f>
        <v>0</v>
      </c>
    </row>
    <row r="905" spans="1:7" x14ac:dyDescent="0.25">
      <c r="A905" s="32" t="s">
        <v>953</v>
      </c>
      <c r="B905" s="32" t="s">
        <v>954</v>
      </c>
      <c r="C905" s="32" t="s">
        <v>2122</v>
      </c>
      <c r="D905" s="32" t="s">
        <v>1049</v>
      </c>
      <c r="E905" s="32" t="s">
        <v>629</v>
      </c>
      <c r="F905" s="32" t="s">
        <v>910</v>
      </c>
      <c r="G905" s="32">
        <f>IFERROR(INDEX(Ship!M$31:N$4500,MATCH(C905,Ship!M$31:M$4500,0),2),0)</f>
        <v>0</v>
      </c>
    </row>
    <row r="906" spans="1:7" x14ac:dyDescent="0.25">
      <c r="A906" s="32" t="s">
        <v>953</v>
      </c>
      <c r="B906" s="32" t="s">
        <v>954</v>
      </c>
      <c r="C906" s="32" t="s">
        <v>669</v>
      </c>
      <c r="D906" s="32" t="s">
        <v>1048</v>
      </c>
      <c r="E906" s="32" t="s">
        <v>629</v>
      </c>
      <c r="F906" s="32" t="s">
        <v>910</v>
      </c>
      <c r="G906" s="32">
        <f>IFERROR(INDEX(Ship!M$31:N$4500,MATCH(C906,Ship!M$31:M$4500,0),2),0)</f>
        <v>0</v>
      </c>
    </row>
    <row r="907" spans="1:7" x14ac:dyDescent="0.25">
      <c r="A907" s="32" t="s">
        <v>953</v>
      </c>
      <c r="B907" s="32" t="s">
        <v>954</v>
      </c>
      <c r="C907" s="32" t="s">
        <v>671</v>
      </c>
      <c r="D907" s="32" t="s">
        <v>1047</v>
      </c>
      <c r="E907" s="32" t="s">
        <v>629</v>
      </c>
      <c r="F907" s="32" t="s">
        <v>910</v>
      </c>
      <c r="G907" s="32">
        <f>IFERROR(INDEX(Ship!M$31:N$4500,MATCH(C907,Ship!M$31:M$4500,0),2),0)</f>
        <v>0</v>
      </c>
    </row>
    <row r="908" spans="1:7" x14ac:dyDescent="0.25">
      <c r="A908" s="32" t="s">
        <v>953</v>
      </c>
      <c r="B908" s="32" t="s">
        <v>954</v>
      </c>
      <c r="C908" s="32" t="s">
        <v>533</v>
      </c>
      <c r="D908" s="32" t="s">
        <v>1046</v>
      </c>
      <c r="E908" s="32" t="s">
        <v>629</v>
      </c>
      <c r="F908" s="32" t="s">
        <v>910</v>
      </c>
      <c r="G908" s="32">
        <f>IFERROR(INDEX(Ship!M$31:N$4500,MATCH(C908,Ship!M$31:M$4500,0),2),0)</f>
        <v>0</v>
      </c>
    </row>
    <row r="909" spans="1:7" x14ac:dyDescent="0.25">
      <c r="A909" s="32" t="s">
        <v>953</v>
      </c>
      <c r="B909" s="32" t="s">
        <v>954</v>
      </c>
      <c r="C909" s="32" t="s">
        <v>534</v>
      </c>
      <c r="D909" s="32" t="s">
        <v>1045</v>
      </c>
      <c r="E909" s="32" t="s">
        <v>629</v>
      </c>
      <c r="F909" s="32" t="s">
        <v>910</v>
      </c>
      <c r="G909" s="32">
        <f>IFERROR(INDEX(Ship!M$31:N$4500,MATCH(C909,Ship!M$31:M$4500,0),2),0)</f>
        <v>0</v>
      </c>
    </row>
    <row r="910" spans="1:7" x14ac:dyDescent="0.25">
      <c r="A910" s="32" t="s">
        <v>953</v>
      </c>
      <c r="B910" s="32" t="s">
        <v>954</v>
      </c>
      <c r="C910" s="32" t="s">
        <v>670</v>
      </c>
      <c r="D910" s="32" t="s">
        <v>1044</v>
      </c>
      <c r="E910" s="32" t="s">
        <v>629</v>
      </c>
      <c r="F910" s="32" t="s">
        <v>910</v>
      </c>
      <c r="G910" s="32">
        <f>IFERROR(INDEX(Ship!M$31:N$4500,MATCH(C910,Ship!M$31:M$4500,0),2),0)</f>
        <v>0</v>
      </c>
    </row>
    <row r="911" spans="1:7" x14ac:dyDescent="0.25">
      <c r="A911" s="32" t="s">
        <v>953</v>
      </c>
      <c r="B911" s="32" t="s">
        <v>954</v>
      </c>
      <c r="C911" s="32" t="s">
        <v>672</v>
      </c>
      <c r="D911" s="32" t="s">
        <v>1043</v>
      </c>
      <c r="E911" s="32" t="s">
        <v>629</v>
      </c>
      <c r="F911" s="32" t="s">
        <v>910</v>
      </c>
      <c r="G911" s="32">
        <f>IFERROR(INDEX(Ship!M$31:N$4500,MATCH(C911,Ship!M$31:M$4500,0),2),0)</f>
        <v>0</v>
      </c>
    </row>
    <row r="912" spans="1:7" x14ac:dyDescent="0.25">
      <c r="A912" s="32" t="s">
        <v>953</v>
      </c>
      <c r="B912" s="32" t="s">
        <v>954</v>
      </c>
      <c r="C912" s="32" t="s">
        <v>673</v>
      </c>
      <c r="D912" s="32" t="s">
        <v>1042</v>
      </c>
      <c r="E912" s="32" t="s">
        <v>629</v>
      </c>
      <c r="F912" s="32" t="s">
        <v>910</v>
      </c>
      <c r="G912" s="32">
        <f>IFERROR(INDEX(Ship!M$31:N$4500,MATCH(C912,Ship!M$31:M$4500,0),2),0)</f>
        <v>0</v>
      </c>
    </row>
    <row r="913" spans="1:7" x14ac:dyDescent="0.25">
      <c r="A913" s="32" t="s">
        <v>953</v>
      </c>
      <c r="B913" s="32" t="s">
        <v>954</v>
      </c>
      <c r="C913" s="32" t="s">
        <v>675</v>
      </c>
      <c r="D913" s="32" t="s">
        <v>1041</v>
      </c>
      <c r="E913" s="32" t="s">
        <v>629</v>
      </c>
      <c r="F913" s="32" t="s">
        <v>910</v>
      </c>
      <c r="G913" s="32">
        <f>IFERROR(INDEX(Ship!M$31:N$4500,MATCH(C913,Ship!M$31:M$4500,0),2),0)</f>
        <v>0</v>
      </c>
    </row>
    <row r="914" spans="1:7" x14ac:dyDescent="0.25">
      <c r="A914" s="32" t="s">
        <v>953</v>
      </c>
      <c r="B914" s="32" t="s">
        <v>954</v>
      </c>
      <c r="C914" s="32" t="s">
        <v>535</v>
      </c>
      <c r="D914" s="32" t="s">
        <v>1040</v>
      </c>
      <c r="E914" s="32" t="s">
        <v>629</v>
      </c>
      <c r="F914" s="32" t="s">
        <v>910</v>
      </c>
      <c r="G914" s="32">
        <f>IFERROR(INDEX(Ship!M$31:N$4500,MATCH(C914,Ship!M$31:M$4500,0),2),0)</f>
        <v>0</v>
      </c>
    </row>
    <row r="915" spans="1:7" x14ac:dyDescent="0.25">
      <c r="A915" s="32" t="s">
        <v>953</v>
      </c>
      <c r="B915" s="32" t="s">
        <v>954</v>
      </c>
      <c r="C915" s="32" t="s">
        <v>536</v>
      </c>
      <c r="D915" s="32" t="s">
        <v>1039</v>
      </c>
      <c r="E915" s="32" t="s">
        <v>629</v>
      </c>
      <c r="F915" s="32" t="s">
        <v>910</v>
      </c>
      <c r="G915" s="32">
        <f>IFERROR(INDEX(Ship!M$31:N$4500,MATCH(C915,Ship!M$31:M$4500,0),2),0)</f>
        <v>0</v>
      </c>
    </row>
    <row r="916" spans="1:7" x14ac:dyDescent="0.25">
      <c r="A916" s="32" t="s">
        <v>953</v>
      </c>
      <c r="B916" s="32" t="s">
        <v>954</v>
      </c>
      <c r="C916" s="32" t="s">
        <v>674</v>
      </c>
      <c r="D916" s="32" t="s">
        <v>1038</v>
      </c>
      <c r="E916" s="32" t="s">
        <v>629</v>
      </c>
      <c r="F916" s="32" t="s">
        <v>910</v>
      </c>
      <c r="G916" s="32">
        <f>IFERROR(INDEX(Ship!M$31:N$4500,MATCH(C916,Ship!M$31:M$4500,0),2),0)</f>
        <v>0</v>
      </c>
    </row>
    <row r="917" spans="1:7" x14ac:dyDescent="0.25">
      <c r="A917" s="32" t="s">
        <v>953</v>
      </c>
      <c r="B917" s="32" t="s">
        <v>954</v>
      </c>
      <c r="C917" s="32" t="s">
        <v>676</v>
      </c>
      <c r="D917" s="32" t="s">
        <v>1037</v>
      </c>
      <c r="E917" s="32" t="s">
        <v>629</v>
      </c>
      <c r="F917" s="32" t="s">
        <v>910</v>
      </c>
      <c r="G917" s="32">
        <f>IFERROR(INDEX(Ship!M$31:N$4500,MATCH(C917,Ship!M$31:M$4500,0),2),0)</f>
        <v>0</v>
      </c>
    </row>
    <row r="918" spans="1:7" x14ac:dyDescent="0.25">
      <c r="A918" s="32" t="s">
        <v>953</v>
      </c>
      <c r="B918" s="32" t="s">
        <v>954</v>
      </c>
      <c r="C918" s="32" t="s">
        <v>677</v>
      </c>
      <c r="D918" s="32" t="s">
        <v>1036</v>
      </c>
      <c r="E918" s="32" t="s">
        <v>629</v>
      </c>
      <c r="F918" s="32" t="s">
        <v>910</v>
      </c>
      <c r="G918" s="32">
        <f>IFERROR(INDEX(Ship!M$31:N$4500,MATCH(C918,Ship!M$31:M$4500,0),2),0)</f>
        <v>0</v>
      </c>
    </row>
    <row r="919" spans="1:7" x14ac:dyDescent="0.25">
      <c r="A919" s="32" t="s">
        <v>953</v>
      </c>
      <c r="B919" s="32" t="s">
        <v>954</v>
      </c>
      <c r="C919" s="32" t="s">
        <v>679</v>
      </c>
      <c r="D919" s="32" t="s">
        <v>1035</v>
      </c>
      <c r="E919" s="32" t="s">
        <v>629</v>
      </c>
      <c r="F919" s="32" t="s">
        <v>910</v>
      </c>
      <c r="G919" s="32">
        <f>IFERROR(INDEX(Ship!M$31:N$4500,MATCH(C919,Ship!M$31:M$4500,0),2),0)</f>
        <v>0</v>
      </c>
    </row>
    <row r="920" spans="1:7" x14ac:dyDescent="0.25">
      <c r="A920" s="32" t="s">
        <v>953</v>
      </c>
      <c r="B920" s="32" t="s">
        <v>954</v>
      </c>
      <c r="C920" s="32" t="s">
        <v>537</v>
      </c>
      <c r="D920" s="32" t="s">
        <v>1034</v>
      </c>
      <c r="E920" s="32" t="s">
        <v>629</v>
      </c>
      <c r="F920" s="32" t="s">
        <v>910</v>
      </c>
      <c r="G920" s="32">
        <f>IFERROR(INDEX(Ship!M$31:N$4500,MATCH(C920,Ship!M$31:M$4500,0),2),0)</f>
        <v>0</v>
      </c>
    </row>
    <row r="921" spans="1:7" x14ac:dyDescent="0.25">
      <c r="A921" s="32" t="s">
        <v>953</v>
      </c>
      <c r="B921" s="32" t="s">
        <v>954</v>
      </c>
      <c r="C921" s="32" t="s">
        <v>538</v>
      </c>
      <c r="D921" s="32" t="s">
        <v>1033</v>
      </c>
      <c r="E921" s="32" t="s">
        <v>629</v>
      </c>
      <c r="F921" s="32" t="s">
        <v>910</v>
      </c>
      <c r="G921" s="32">
        <f>IFERROR(INDEX(Ship!M$31:N$4500,MATCH(C921,Ship!M$31:M$4500,0),2),0)</f>
        <v>0</v>
      </c>
    </row>
    <row r="922" spans="1:7" x14ac:dyDescent="0.25">
      <c r="A922" s="32" t="s">
        <v>953</v>
      </c>
      <c r="B922" s="32" t="s">
        <v>954</v>
      </c>
      <c r="C922" s="32" t="s">
        <v>678</v>
      </c>
      <c r="D922" s="32" t="s">
        <v>1032</v>
      </c>
      <c r="E922" s="32" t="s">
        <v>629</v>
      </c>
      <c r="F922" s="32" t="s">
        <v>910</v>
      </c>
      <c r="G922" s="32">
        <f>IFERROR(INDEX(Ship!M$31:N$4500,MATCH(C922,Ship!M$31:M$4500,0),2),0)</f>
        <v>0</v>
      </c>
    </row>
    <row r="923" spans="1:7" x14ac:dyDescent="0.25">
      <c r="A923" s="32" t="s">
        <v>953</v>
      </c>
      <c r="B923" s="32" t="s">
        <v>954</v>
      </c>
      <c r="C923" s="32" t="s">
        <v>680</v>
      </c>
      <c r="D923" s="32" t="s">
        <v>1031</v>
      </c>
      <c r="E923" s="32" t="s">
        <v>629</v>
      </c>
      <c r="F923" s="32" t="s">
        <v>910</v>
      </c>
      <c r="G923" s="32">
        <f>IFERROR(INDEX(Ship!M$31:N$4500,MATCH(C923,Ship!M$31:M$4500,0),2),0)</f>
        <v>0</v>
      </c>
    </row>
    <row r="924" spans="1:7" x14ac:dyDescent="0.25">
      <c r="A924" s="32" t="s">
        <v>953</v>
      </c>
      <c r="B924" s="32" t="s">
        <v>954</v>
      </c>
      <c r="C924" s="32" t="s">
        <v>681</v>
      </c>
      <c r="D924" s="32" t="s">
        <v>1030</v>
      </c>
      <c r="E924" s="32" t="s">
        <v>629</v>
      </c>
      <c r="F924" s="32" t="s">
        <v>910</v>
      </c>
      <c r="G924" s="32">
        <f>IFERROR(INDEX(Ship!M$31:N$4500,MATCH(C924,Ship!M$31:M$4500,0),2),0)</f>
        <v>0</v>
      </c>
    </row>
    <row r="925" spans="1:7" x14ac:dyDescent="0.25">
      <c r="A925" s="32" t="s">
        <v>953</v>
      </c>
      <c r="B925" s="32" t="s">
        <v>954</v>
      </c>
      <c r="C925" s="32" t="s">
        <v>683</v>
      </c>
      <c r="D925" s="32" t="s">
        <v>1029</v>
      </c>
      <c r="E925" s="32" t="s">
        <v>629</v>
      </c>
      <c r="F925" s="32" t="s">
        <v>910</v>
      </c>
      <c r="G925" s="32">
        <f>IFERROR(INDEX(Ship!M$31:N$4500,MATCH(C925,Ship!M$31:M$4500,0),2),0)</f>
        <v>0</v>
      </c>
    </row>
    <row r="926" spans="1:7" x14ac:dyDescent="0.25">
      <c r="A926" s="32" t="s">
        <v>953</v>
      </c>
      <c r="B926" s="32" t="s">
        <v>954</v>
      </c>
      <c r="C926" s="32" t="s">
        <v>539</v>
      </c>
      <c r="D926" s="32" t="s">
        <v>1028</v>
      </c>
      <c r="E926" s="32" t="s">
        <v>629</v>
      </c>
      <c r="F926" s="32" t="s">
        <v>910</v>
      </c>
      <c r="G926" s="32">
        <f>IFERROR(INDEX(Ship!M$31:N$4500,MATCH(C926,Ship!M$31:M$4500,0),2),0)</f>
        <v>0</v>
      </c>
    </row>
    <row r="927" spans="1:7" x14ac:dyDescent="0.25">
      <c r="A927" s="32" t="s">
        <v>953</v>
      </c>
      <c r="B927" s="32" t="s">
        <v>954</v>
      </c>
      <c r="C927" s="32" t="s">
        <v>540</v>
      </c>
      <c r="D927" s="32" t="s">
        <v>1027</v>
      </c>
      <c r="E927" s="32" t="s">
        <v>629</v>
      </c>
      <c r="F927" s="32" t="s">
        <v>910</v>
      </c>
      <c r="G927" s="32">
        <f>IFERROR(INDEX(Ship!M$31:N$4500,MATCH(C927,Ship!M$31:M$4500,0),2),0)</f>
        <v>0</v>
      </c>
    </row>
    <row r="928" spans="1:7" x14ac:dyDescent="0.25">
      <c r="A928" s="32" t="s">
        <v>953</v>
      </c>
      <c r="B928" s="32" t="s">
        <v>954</v>
      </c>
      <c r="C928" s="32" t="s">
        <v>682</v>
      </c>
      <c r="D928" s="32" t="s">
        <v>1026</v>
      </c>
      <c r="E928" s="32" t="s">
        <v>629</v>
      </c>
      <c r="F928" s="32" t="s">
        <v>910</v>
      </c>
      <c r="G928" s="32">
        <f>IFERROR(INDEX(Ship!M$31:N$4500,MATCH(C928,Ship!M$31:M$4500,0),2),0)</f>
        <v>0</v>
      </c>
    </row>
    <row r="929" spans="1:7" x14ac:dyDescent="0.25">
      <c r="A929" s="32" t="s">
        <v>953</v>
      </c>
      <c r="B929" s="32" t="s">
        <v>954</v>
      </c>
      <c r="C929" s="32" t="s">
        <v>684</v>
      </c>
      <c r="D929" s="32" t="s">
        <v>1025</v>
      </c>
      <c r="E929" s="32" t="s">
        <v>629</v>
      </c>
      <c r="F929" s="32" t="s">
        <v>910</v>
      </c>
      <c r="G929" s="32">
        <f>IFERROR(INDEX(Ship!M$31:N$4500,MATCH(C929,Ship!M$31:M$4500,0),2),0)</f>
        <v>0</v>
      </c>
    </row>
    <row r="930" spans="1:7" x14ac:dyDescent="0.25">
      <c r="A930" s="32" t="s">
        <v>953</v>
      </c>
      <c r="B930" s="32" t="s">
        <v>954</v>
      </c>
      <c r="C930" s="32" t="s">
        <v>541</v>
      </c>
      <c r="D930" s="32" t="s">
        <v>1024</v>
      </c>
      <c r="E930" s="32" t="s">
        <v>629</v>
      </c>
      <c r="F930" s="32" t="s">
        <v>910</v>
      </c>
      <c r="G930" s="32">
        <f>IFERROR(INDEX(Ship!M$31:N$4500,MATCH(C930,Ship!M$31:M$4500,0),2),0)</f>
        <v>0</v>
      </c>
    </row>
    <row r="931" spans="1:7" x14ac:dyDescent="0.25">
      <c r="A931" s="32" t="s">
        <v>953</v>
      </c>
      <c r="B931" s="32" t="s">
        <v>954</v>
      </c>
      <c r="C931" s="32" t="s">
        <v>685</v>
      </c>
      <c r="D931" s="32" t="s">
        <v>1023</v>
      </c>
      <c r="E931" s="32" t="s">
        <v>629</v>
      </c>
      <c r="F931" s="32" t="s">
        <v>910</v>
      </c>
      <c r="G931" s="32">
        <f>IFERROR(INDEX(Ship!M$31:N$4500,MATCH(C931,Ship!M$31:M$4500,0),2),0)</f>
        <v>0</v>
      </c>
    </row>
    <row r="932" spans="1:7" x14ac:dyDescent="0.25">
      <c r="A932" s="32" t="s">
        <v>953</v>
      </c>
      <c r="B932" s="32" t="s">
        <v>954</v>
      </c>
      <c r="C932" s="32" t="s">
        <v>542</v>
      </c>
      <c r="D932" s="32" t="s">
        <v>1022</v>
      </c>
      <c r="E932" s="32" t="s">
        <v>629</v>
      </c>
      <c r="F932" s="32" t="s">
        <v>910</v>
      </c>
      <c r="G932" s="32">
        <f>IFERROR(INDEX(Ship!M$31:N$4500,MATCH(C932,Ship!M$31:M$4500,0),2),0)</f>
        <v>0</v>
      </c>
    </row>
    <row r="933" spans="1:7" x14ac:dyDescent="0.25">
      <c r="A933" s="32" t="s">
        <v>953</v>
      </c>
      <c r="B933" s="32" t="s">
        <v>954</v>
      </c>
      <c r="C933" s="32" t="s">
        <v>543</v>
      </c>
      <c r="D933" s="32" t="s">
        <v>1021</v>
      </c>
      <c r="E933" s="32" t="s">
        <v>629</v>
      </c>
      <c r="F933" s="32" t="s">
        <v>910</v>
      </c>
      <c r="G933" s="32">
        <f>IFERROR(INDEX(Ship!M$31:N$4500,MATCH(C933,Ship!M$31:M$4500,0),2),0)</f>
        <v>0</v>
      </c>
    </row>
    <row r="934" spans="1:7" x14ac:dyDescent="0.25">
      <c r="A934" s="32" t="s">
        <v>953</v>
      </c>
      <c r="B934" s="32" t="s">
        <v>954</v>
      </c>
      <c r="C934" s="32" t="s">
        <v>687</v>
      </c>
      <c r="D934" s="32" t="s">
        <v>1020</v>
      </c>
      <c r="E934" s="32" t="s">
        <v>629</v>
      </c>
      <c r="F934" s="32" t="s">
        <v>910</v>
      </c>
      <c r="G934" s="32">
        <f>IFERROR(INDEX(Ship!M$31:N$4500,MATCH(C934,Ship!M$31:M$4500,0),2),0)</f>
        <v>0</v>
      </c>
    </row>
    <row r="935" spans="1:7" x14ac:dyDescent="0.25">
      <c r="A935" s="32" t="s">
        <v>953</v>
      </c>
      <c r="B935" s="32" t="s">
        <v>954</v>
      </c>
      <c r="C935" s="32" t="s">
        <v>686</v>
      </c>
      <c r="D935" s="32" t="s">
        <v>1019</v>
      </c>
      <c r="E935" s="32" t="s">
        <v>629</v>
      </c>
      <c r="F935" s="32" t="s">
        <v>910</v>
      </c>
      <c r="G935" s="32">
        <f>IFERROR(INDEX(Ship!M$31:N$4500,MATCH(C935,Ship!M$31:M$4500,0),2),0)</f>
        <v>0</v>
      </c>
    </row>
    <row r="936" spans="1:7" x14ac:dyDescent="0.25">
      <c r="A936" s="32" t="s">
        <v>953</v>
      </c>
      <c r="B936" s="32" t="s">
        <v>954</v>
      </c>
      <c r="C936" s="32" t="s">
        <v>544</v>
      </c>
      <c r="D936" s="32" t="s">
        <v>1018</v>
      </c>
      <c r="E936" s="32" t="s">
        <v>629</v>
      </c>
      <c r="F936" s="32" t="s">
        <v>910</v>
      </c>
      <c r="G936" s="32">
        <f>IFERROR(INDEX(Ship!M$31:N$4500,MATCH(C936,Ship!M$31:M$4500,0),2),0)</f>
        <v>0</v>
      </c>
    </row>
    <row r="937" spans="1:7" x14ac:dyDescent="0.25">
      <c r="A937" s="32" t="s">
        <v>953</v>
      </c>
      <c r="B937" s="32" t="s">
        <v>954</v>
      </c>
      <c r="C937" s="32" t="s">
        <v>689</v>
      </c>
      <c r="D937" s="32" t="s">
        <v>1017</v>
      </c>
      <c r="E937" s="32" t="s">
        <v>629</v>
      </c>
      <c r="F937" s="32" t="s">
        <v>910</v>
      </c>
      <c r="G937" s="32">
        <f>IFERROR(INDEX(Ship!M$31:N$4500,MATCH(C937,Ship!M$31:M$4500,0),2),0)</f>
        <v>0</v>
      </c>
    </row>
    <row r="938" spans="1:7" x14ac:dyDescent="0.25">
      <c r="A938" s="32" t="s">
        <v>953</v>
      </c>
      <c r="B938" s="32" t="s">
        <v>954</v>
      </c>
      <c r="C938" s="32" t="s">
        <v>688</v>
      </c>
      <c r="D938" s="32" t="s">
        <v>1016</v>
      </c>
      <c r="E938" s="32" t="s">
        <v>629</v>
      </c>
      <c r="F938" s="32" t="s">
        <v>910</v>
      </c>
      <c r="G938" s="32">
        <f>IFERROR(INDEX(Ship!M$31:N$4500,MATCH(C938,Ship!M$31:M$4500,0),2),0)</f>
        <v>0</v>
      </c>
    </row>
    <row r="939" spans="1:7" x14ac:dyDescent="0.25">
      <c r="A939" s="32" t="s">
        <v>953</v>
      </c>
      <c r="B939" s="32" t="s">
        <v>954</v>
      </c>
      <c r="C939" s="32" t="s">
        <v>545</v>
      </c>
      <c r="D939" s="32" t="s">
        <v>1015</v>
      </c>
      <c r="E939" s="32" t="s">
        <v>629</v>
      </c>
      <c r="F939" s="32" t="s">
        <v>910</v>
      </c>
      <c r="G939" s="32">
        <f>IFERROR(INDEX(Ship!M$31:N$4500,MATCH(C939,Ship!M$31:M$4500,0),2),0)</f>
        <v>0</v>
      </c>
    </row>
    <row r="940" spans="1:7" x14ac:dyDescent="0.25">
      <c r="A940" s="32" t="s">
        <v>953</v>
      </c>
      <c r="B940" s="32" t="s">
        <v>954</v>
      </c>
      <c r="C940" s="32" t="s">
        <v>690</v>
      </c>
      <c r="D940" s="32" t="s">
        <v>1014</v>
      </c>
      <c r="E940" s="32" t="s">
        <v>629</v>
      </c>
      <c r="F940" s="32" t="s">
        <v>910</v>
      </c>
      <c r="G940" s="32">
        <f>IFERROR(INDEX(Ship!M$31:N$4500,MATCH(C940,Ship!M$31:M$4500,0),2),0)</f>
        <v>0</v>
      </c>
    </row>
    <row r="941" spans="1:7" x14ac:dyDescent="0.25">
      <c r="A941" s="32" t="s">
        <v>953</v>
      </c>
      <c r="B941" s="32" t="s">
        <v>954</v>
      </c>
      <c r="C941" s="32" t="s">
        <v>546</v>
      </c>
      <c r="D941" s="32" t="s">
        <v>1013</v>
      </c>
      <c r="E941" s="32" t="s">
        <v>629</v>
      </c>
      <c r="F941" s="32" t="s">
        <v>910</v>
      </c>
      <c r="G941" s="32">
        <f>IFERROR(INDEX(Ship!M$31:N$4500,MATCH(C941,Ship!M$31:M$4500,0),2),0)</f>
        <v>0</v>
      </c>
    </row>
    <row r="942" spans="1:7" x14ac:dyDescent="0.25">
      <c r="A942" s="32" t="s">
        <v>953</v>
      </c>
      <c r="B942" s="32" t="s">
        <v>954</v>
      </c>
      <c r="C942" s="32" t="s">
        <v>692</v>
      </c>
      <c r="D942" s="32" t="s">
        <v>1012</v>
      </c>
      <c r="E942" s="32" t="s">
        <v>629</v>
      </c>
      <c r="F942" s="32" t="s">
        <v>910</v>
      </c>
      <c r="G942" s="32">
        <f>IFERROR(INDEX(Ship!M$31:N$4500,MATCH(C942,Ship!M$31:M$4500,0),2),0)</f>
        <v>0</v>
      </c>
    </row>
    <row r="943" spans="1:7" x14ac:dyDescent="0.25">
      <c r="A943" s="32" t="s">
        <v>953</v>
      </c>
      <c r="B943" s="32" t="s">
        <v>954</v>
      </c>
      <c r="C943" s="32" t="s">
        <v>691</v>
      </c>
      <c r="D943" s="32" t="s">
        <v>1011</v>
      </c>
      <c r="E943" s="32" t="s">
        <v>629</v>
      </c>
      <c r="F943" s="32" t="s">
        <v>910</v>
      </c>
      <c r="G943" s="32">
        <f>IFERROR(INDEX(Ship!M$31:N$4500,MATCH(C943,Ship!M$31:M$4500,0),2),0)</f>
        <v>0</v>
      </c>
    </row>
    <row r="944" spans="1:7" x14ac:dyDescent="0.25">
      <c r="A944" s="32" t="s">
        <v>953</v>
      </c>
      <c r="B944" s="32" t="s">
        <v>954</v>
      </c>
      <c r="C944" s="32" t="s">
        <v>547</v>
      </c>
      <c r="D944" s="32" t="s">
        <v>1010</v>
      </c>
      <c r="E944" s="32" t="s">
        <v>629</v>
      </c>
      <c r="F944" s="32" t="s">
        <v>910</v>
      </c>
      <c r="G944" s="32">
        <f>IFERROR(INDEX(Ship!M$31:N$4500,MATCH(C944,Ship!M$31:M$4500,0),2),0)</f>
        <v>0</v>
      </c>
    </row>
    <row r="945" spans="1:7" x14ac:dyDescent="0.25">
      <c r="A945" s="32" t="s">
        <v>953</v>
      </c>
      <c r="B945" s="32" t="s">
        <v>954</v>
      </c>
      <c r="C945" s="32" t="s">
        <v>694</v>
      </c>
      <c r="D945" s="32" t="s">
        <v>1009</v>
      </c>
      <c r="E945" s="32" t="s">
        <v>629</v>
      </c>
      <c r="F945" s="32" t="s">
        <v>910</v>
      </c>
      <c r="G945" s="32">
        <f>IFERROR(INDEX(Ship!M$31:N$4500,MATCH(C945,Ship!M$31:M$4500,0),2),0)</f>
        <v>0</v>
      </c>
    </row>
    <row r="946" spans="1:7" x14ac:dyDescent="0.25">
      <c r="A946" s="32" t="s">
        <v>953</v>
      </c>
      <c r="B946" s="32" t="s">
        <v>954</v>
      </c>
      <c r="C946" s="32" t="s">
        <v>693</v>
      </c>
      <c r="D946" s="32" t="s">
        <v>1008</v>
      </c>
      <c r="E946" s="32" t="s">
        <v>629</v>
      </c>
      <c r="F946" s="32" t="s">
        <v>910</v>
      </c>
      <c r="G946" s="32">
        <f>IFERROR(INDEX(Ship!M$31:N$4500,MATCH(C946,Ship!M$31:M$4500,0),2),0)</f>
        <v>0</v>
      </c>
    </row>
    <row r="947" spans="1:7" x14ac:dyDescent="0.25">
      <c r="A947" s="32" t="s">
        <v>953</v>
      </c>
      <c r="B947" s="32" t="s">
        <v>954</v>
      </c>
      <c r="C947" s="32" t="s">
        <v>548</v>
      </c>
      <c r="D947" s="32" t="s">
        <v>1007</v>
      </c>
      <c r="E947" s="32" t="s">
        <v>629</v>
      </c>
      <c r="F947" s="32" t="s">
        <v>910</v>
      </c>
      <c r="G947" s="32">
        <f>IFERROR(INDEX(Ship!M$31:N$4500,MATCH(C947,Ship!M$31:M$4500,0),2),0)</f>
        <v>0</v>
      </c>
    </row>
    <row r="948" spans="1:7" x14ac:dyDescent="0.25">
      <c r="A948" s="32" t="s">
        <v>953</v>
      </c>
      <c r="B948" s="32" t="s">
        <v>954</v>
      </c>
      <c r="C948" s="32" t="s">
        <v>696</v>
      </c>
      <c r="D948" s="32" t="s">
        <v>1006</v>
      </c>
      <c r="E948" s="32" t="s">
        <v>629</v>
      </c>
      <c r="F948" s="32" t="s">
        <v>910</v>
      </c>
      <c r="G948" s="32">
        <f>IFERROR(INDEX(Ship!M$31:N$4500,MATCH(C948,Ship!M$31:M$4500,0),2),0)</f>
        <v>0</v>
      </c>
    </row>
    <row r="949" spans="1:7" x14ac:dyDescent="0.25">
      <c r="A949" s="32" t="s">
        <v>953</v>
      </c>
      <c r="B949" s="32" t="s">
        <v>954</v>
      </c>
      <c r="C949" s="32" t="s">
        <v>695</v>
      </c>
      <c r="D949" s="32" t="s">
        <v>1005</v>
      </c>
      <c r="E949" s="32" t="s">
        <v>629</v>
      </c>
      <c r="F949" s="32" t="s">
        <v>910</v>
      </c>
      <c r="G949" s="32">
        <f>IFERROR(INDEX(Ship!M$31:N$4500,MATCH(C949,Ship!M$31:M$4500,0),2),0)</f>
        <v>0</v>
      </c>
    </row>
    <row r="950" spans="1:7" x14ac:dyDescent="0.25">
      <c r="A950" s="32" t="s">
        <v>953</v>
      </c>
      <c r="B950" s="32" t="s">
        <v>954</v>
      </c>
      <c r="C950" s="32" t="s">
        <v>549</v>
      </c>
      <c r="D950" s="32" t="s">
        <v>1004</v>
      </c>
      <c r="E950" s="32" t="s">
        <v>629</v>
      </c>
      <c r="F950" s="32" t="s">
        <v>910</v>
      </c>
      <c r="G950" s="32">
        <f>IFERROR(INDEX(Ship!M$31:N$4500,MATCH(C950,Ship!M$31:M$4500,0),2),0)</f>
        <v>0</v>
      </c>
    </row>
    <row r="951" spans="1:7" x14ac:dyDescent="0.25">
      <c r="A951" s="32" t="s">
        <v>953</v>
      </c>
      <c r="B951" s="32" t="s">
        <v>954</v>
      </c>
      <c r="C951" s="32" t="s">
        <v>698</v>
      </c>
      <c r="D951" s="32" t="s">
        <v>1003</v>
      </c>
      <c r="E951" s="32" t="s">
        <v>629</v>
      </c>
      <c r="F951" s="32" t="s">
        <v>910</v>
      </c>
      <c r="G951" s="32">
        <f>IFERROR(INDEX(Ship!M$31:N$4500,MATCH(C951,Ship!M$31:M$4500,0),2),0)</f>
        <v>0</v>
      </c>
    </row>
    <row r="952" spans="1:7" x14ac:dyDescent="0.25">
      <c r="A952" s="32" t="s">
        <v>953</v>
      </c>
      <c r="B952" s="32" t="s">
        <v>954</v>
      </c>
      <c r="C952" s="32" t="s">
        <v>697</v>
      </c>
      <c r="D952" s="32" t="s">
        <v>1002</v>
      </c>
      <c r="E952" s="32" t="s">
        <v>629</v>
      </c>
      <c r="F952" s="32" t="s">
        <v>910</v>
      </c>
      <c r="G952" s="32">
        <f>IFERROR(INDEX(Ship!M$31:N$4500,MATCH(C952,Ship!M$31:M$4500,0),2),0)</f>
        <v>0</v>
      </c>
    </row>
    <row r="953" spans="1:7" x14ac:dyDescent="0.25">
      <c r="A953" s="32" t="s">
        <v>953</v>
      </c>
      <c r="B953" s="32" t="s">
        <v>954</v>
      </c>
      <c r="C953" s="32" t="s">
        <v>550</v>
      </c>
      <c r="D953" s="32" t="s">
        <v>1001</v>
      </c>
      <c r="E953" s="32" t="s">
        <v>629</v>
      </c>
      <c r="F953" s="32" t="s">
        <v>910</v>
      </c>
      <c r="G953" s="32">
        <f>IFERROR(INDEX(Ship!M$31:N$4500,MATCH(C953,Ship!M$31:M$4500,0),2),0)</f>
        <v>0</v>
      </c>
    </row>
    <row r="954" spans="1:7" x14ac:dyDescent="0.25">
      <c r="A954" s="32" t="s">
        <v>953</v>
      </c>
      <c r="B954" s="32" t="s">
        <v>954</v>
      </c>
      <c r="C954" s="32" t="s">
        <v>700</v>
      </c>
      <c r="D954" s="32" t="s">
        <v>1000</v>
      </c>
      <c r="E954" s="32" t="s">
        <v>629</v>
      </c>
      <c r="F954" s="32" t="s">
        <v>910</v>
      </c>
      <c r="G954" s="32">
        <f>IFERROR(INDEX(Ship!M$31:N$4500,MATCH(C954,Ship!M$31:M$4500,0),2),0)</f>
        <v>0</v>
      </c>
    </row>
    <row r="955" spans="1:7" x14ac:dyDescent="0.25">
      <c r="A955" s="32" t="s">
        <v>953</v>
      </c>
      <c r="B955" s="32" t="s">
        <v>954</v>
      </c>
      <c r="C955" s="32" t="s">
        <v>699</v>
      </c>
      <c r="D955" s="32" t="s">
        <v>999</v>
      </c>
      <c r="E955" s="32" t="s">
        <v>629</v>
      </c>
      <c r="F955" s="32" t="s">
        <v>910</v>
      </c>
      <c r="G955" s="32">
        <f>IFERROR(INDEX(Ship!M$31:N$4500,MATCH(C955,Ship!M$31:M$4500,0),2),0)</f>
        <v>0</v>
      </c>
    </row>
    <row r="956" spans="1:7" x14ac:dyDescent="0.25">
      <c r="A956" s="32" t="s">
        <v>953</v>
      </c>
      <c r="B956" s="32" t="s">
        <v>954</v>
      </c>
      <c r="C956" s="32" t="s">
        <v>551</v>
      </c>
      <c r="D956" s="32" t="s">
        <v>998</v>
      </c>
      <c r="E956" s="32" t="s">
        <v>629</v>
      </c>
      <c r="F956" s="32" t="s">
        <v>910</v>
      </c>
      <c r="G956" s="32">
        <f>IFERROR(INDEX(Ship!M$31:N$4500,MATCH(C956,Ship!M$31:M$4500,0),2),0)</f>
        <v>0</v>
      </c>
    </row>
    <row r="957" spans="1:7" x14ac:dyDescent="0.25">
      <c r="A957" s="32" t="s">
        <v>953</v>
      </c>
      <c r="B957" s="32" t="s">
        <v>954</v>
      </c>
      <c r="C957" s="32" t="s">
        <v>702</v>
      </c>
      <c r="D957" s="32" t="s">
        <v>997</v>
      </c>
      <c r="E957" s="32" t="s">
        <v>629</v>
      </c>
      <c r="F957" s="32" t="s">
        <v>910</v>
      </c>
      <c r="G957" s="32">
        <f>IFERROR(INDEX(Ship!M$31:N$4500,MATCH(C957,Ship!M$31:M$4500,0),2),0)</f>
        <v>0</v>
      </c>
    </row>
    <row r="958" spans="1:7" x14ac:dyDescent="0.25">
      <c r="A958" s="32" t="s">
        <v>953</v>
      </c>
      <c r="B958" s="32" t="s">
        <v>954</v>
      </c>
      <c r="C958" s="32" t="s">
        <v>701</v>
      </c>
      <c r="D958" s="32" t="s">
        <v>996</v>
      </c>
      <c r="E958" s="32" t="s">
        <v>629</v>
      </c>
      <c r="F958" s="32" t="s">
        <v>910</v>
      </c>
      <c r="G958" s="32">
        <f>IFERROR(INDEX(Ship!M$31:N$4500,MATCH(C958,Ship!M$31:M$4500,0),2),0)</f>
        <v>0</v>
      </c>
    </row>
    <row r="959" spans="1:7" x14ac:dyDescent="0.25">
      <c r="A959" s="32" t="s">
        <v>953</v>
      </c>
      <c r="B959" s="32" t="s">
        <v>954</v>
      </c>
      <c r="C959" s="32" t="s">
        <v>552</v>
      </c>
      <c r="D959" s="32" t="s">
        <v>995</v>
      </c>
      <c r="E959" s="32" t="s">
        <v>629</v>
      </c>
      <c r="F959" s="32" t="s">
        <v>910</v>
      </c>
      <c r="G959" s="32">
        <f>IFERROR(INDEX(Ship!M$31:N$4500,MATCH(C959,Ship!M$31:M$4500,0),2),0)</f>
        <v>0</v>
      </c>
    </row>
    <row r="960" spans="1:7" x14ac:dyDescent="0.25">
      <c r="A960" s="32" t="s">
        <v>953</v>
      </c>
      <c r="B960" s="32" t="s">
        <v>954</v>
      </c>
      <c r="C960" s="32" t="s">
        <v>704</v>
      </c>
      <c r="D960" s="32" t="s">
        <v>994</v>
      </c>
      <c r="E960" s="32" t="s">
        <v>629</v>
      </c>
      <c r="F960" s="32" t="s">
        <v>910</v>
      </c>
      <c r="G960" s="32">
        <f>IFERROR(INDEX(Ship!M$31:N$4500,MATCH(C960,Ship!M$31:M$4500,0),2),0)</f>
        <v>0</v>
      </c>
    </row>
    <row r="961" spans="1:7" x14ac:dyDescent="0.25">
      <c r="A961" s="32" t="s">
        <v>953</v>
      </c>
      <c r="B961" s="32" t="s">
        <v>954</v>
      </c>
      <c r="C961" s="32" t="s">
        <v>703</v>
      </c>
      <c r="D961" s="32" t="s">
        <v>993</v>
      </c>
      <c r="E961" s="32" t="s">
        <v>629</v>
      </c>
      <c r="F961" s="32" t="s">
        <v>910</v>
      </c>
      <c r="G961" s="32">
        <f>IFERROR(INDEX(Ship!M$31:N$4500,MATCH(C961,Ship!M$31:M$4500,0),2),0)</f>
        <v>0</v>
      </c>
    </row>
    <row r="962" spans="1:7" x14ac:dyDescent="0.25">
      <c r="A962" s="32" t="s">
        <v>953</v>
      </c>
      <c r="B962" s="32" t="s">
        <v>954</v>
      </c>
      <c r="C962" s="32" t="s">
        <v>553</v>
      </c>
      <c r="D962" s="32" t="s">
        <v>992</v>
      </c>
      <c r="E962" s="32" t="s">
        <v>629</v>
      </c>
      <c r="F962" s="32" t="s">
        <v>910</v>
      </c>
      <c r="G962" s="32">
        <f>IFERROR(INDEX(Ship!M$31:N$4500,MATCH(C962,Ship!M$31:M$4500,0),2),0)</f>
        <v>0</v>
      </c>
    </row>
    <row r="963" spans="1:7" x14ac:dyDescent="0.25">
      <c r="A963" s="32" t="s">
        <v>953</v>
      </c>
      <c r="B963" s="32" t="s">
        <v>954</v>
      </c>
      <c r="C963" s="32" t="s">
        <v>706</v>
      </c>
      <c r="D963" s="32" t="s">
        <v>991</v>
      </c>
      <c r="E963" s="32" t="s">
        <v>629</v>
      </c>
      <c r="F963" s="32" t="s">
        <v>910</v>
      </c>
      <c r="G963" s="32">
        <f>IFERROR(INDEX(Ship!M$31:N$4500,MATCH(C963,Ship!M$31:M$4500,0),2),0)</f>
        <v>0</v>
      </c>
    </row>
    <row r="964" spans="1:7" x14ac:dyDescent="0.25">
      <c r="A964" s="32" t="s">
        <v>953</v>
      </c>
      <c r="B964" s="32" t="s">
        <v>954</v>
      </c>
      <c r="C964" s="32" t="s">
        <v>705</v>
      </c>
      <c r="D964" s="32" t="s">
        <v>990</v>
      </c>
      <c r="E964" s="32" t="s">
        <v>629</v>
      </c>
      <c r="F964" s="32" t="s">
        <v>910</v>
      </c>
      <c r="G964" s="32">
        <f>IFERROR(INDEX(Ship!M$31:N$4500,MATCH(C964,Ship!M$31:M$4500,0),2),0)</f>
        <v>0</v>
      </c>
    </row>
    <row r="965" spans="1:7" x14ac:dyDescent="0.25">
      <c r="A965" s="32" t="s">
        <v>953</v>
      </c>
      <c r="B965" s="32" t="s">
        <v>954</v>
      </c>
      <c r="C965" s="32" t="s">
        <v>554</v>
      </c>
      <c r="D965" s="32" t="s">
        <v>989</v>
      </c>
      <c r="E965" s="32" t="s">
        <v>629</v>
      </c>
      <c r="F965" s="32" t="s">
        <v>910</v>
      </c>
      <c r="G965" s="32">
        <f>IFERROR(INDEX(Ship!M$31:N$4500,MATCH(C965,Ship!M$31:M$4500,0),2),0)</f>
        <v>0</v>
      </c>
    </row>
    <row r="966" spans="1:7" x14ac:dyDescent="0.25">
      <c r="A966" s="32" t="s">
        <v>953</v>
      </c>
      <c r="B966" s="32" t="s">
        <v>954</v>
      </c>
      <c r="C966" s="32" t="s">
        <v>708</v>
      </c>
      <c r="D966" s="32" t="s">
        <v>988</v>
      </c>
      <c r="E966" s="32" t="s">
        <v>629</v>
      </c>
      <c r="F966" s="32" t="s">
        <v>910</v>
      </c>
      <c r="G966" s="32">
        <f>IFERROR(INDEX(Ship!M$31:N$4500,MATCH(C966,Ship!M$31:M$4500,0),2),0)</f>
        <v>0</v>
      </c>
    </row>
    <row r="967" spans="1:7" x14ac:dyDescent="0.25">
      <c r="A967" s="32" t="s">
        <v>953</v>
      </c>
      <c r="B967" s="32" t="s">
        <v>954</v>
      </c>
      <c r="C967" s="32" t="s">
        <v>707</v>
      </c>
      <c r="D967" s="32" t="s">
        <v>987</v>
      </c>
      <c r="E967" s="32" t="s">
        <v>629</v>
      </c>
      <c r="F967" s="32" t="s">
        <v>910</v>
      </c>
      <c r="G967" s="32">
        <f>IFERROR(INDEX(Ship!M$31:N$4500,MATCH(C967,Ship!M$31:M$4500,0),2),0)</f>
        <v>0</v>
      </c>
    </row>
    <row r="968" spans="1:7" x14ac:dyDescent="0.25">
      <c r="A968" s="32" t="s">
        <v>953</v>
      </c>
      <c r="B968" s="32" t="s">
        <v>954</v>
      </c>
      <c r="C968" s="32" t="s">
        <v>555</v>
      </c>
      <c r="D968" s="32" t="s">
        <v>986</v>
      </c>
      <c r="E968" s="32" t="s">
        <v>629</v>
      </c>
      <c r="F968" s="32" t="s">
        <v>910</v>
      </c>
      <c r="G968" s="32">
        <f>IFERROR(INDEX(Ship!M$31:N$4500,MATCH(C968,Ship!M$31:M$4500,0),2),0)</f>
        <v>0</v>
      </c>
    </row>
    <row r="969" spans="1:7" x14ac:dyDescent="0.25">
      <c r="A969" s="32" t="s">
        <v>953</v>
      </c>
      <c r="B969" s="32" t="s">
        <v>954</v>
      </c>
      <c r="C969" s="32" t="s">
        <v>710</v>
      </c>
      <c r="D969" s="32" t="s">
        <v>985</v>
      </c>
      <c r="E969" s="32" t="s">
        <v>629</v>
      </c>
      <c r="F969" s="32" t="s">
        <v>910</v>
      </c>
      <c r="G969" s="32">
        <f>IFERROR(INDEX(Ship!M$31:N$4500,MATCH(C969,Ship!M$31:M$4500,0),2),0)</f>
        <v>0</v>
      </c>
    </row>
    <row r="970" spans="1:7" x14ac:dyDescent="0.25">
      <c r="A970" s="32" t="s">
        <v>953</v>
      </c>
      <c r="B970" s="32" t="s">
        <v>954</v>
      </c>
      <c r="C970" s="32" t="s">
        <v>709</v>
      </c>
      <c r="D970" s="32" t="s">
        <v>984</v>
      </c>
      <c r="E970" s="32" t="s">
        <v>629</v>
      </c>
      <c r="F970" s="32" t="s">
        <v>910</v>
      </c>
      <c r="G970" s="32">
        <f>IFERROR(INDEX(Ship!M$31:N$4500,MATCH(C970,Ship!M$31:M$4500,0),2),0)</f>
        <v>0</v>
      </c>
    </row>
    <row r="971" spans="1:7" x14ac:dyDescent="0.25">
      <c r="A971" s="32" t="s">
        <v>953</v>
      </c>
      <c r="B971" s="32" t="s">
        <v>954</v>
      </c>
      <c r="C971" s="32" t="s">
        <v>556</v>
      </c>
      <c r="D971" s="32" t="s">
        <v>983</v>
      </c>
      <c r="E971" s="32" t="s">
        <v>629</v>
      </c>
      <c r="F971" s="32" t="s">
        <v>910</v>
      </c>
      <c r="G971" s="32">
        <f>IFERROR(INDEX(Ship!M$31:N$4500,MATCH(C971,Ship!M$31:M$4500,0),2),0)</f>
        <v>0</v>
      </c>
    </row>
    <row r="972" spans="1:7" x14ac:dyDescent="0.25">
      <c r="A972" s="32" t="s">
        <v>953</v>
      </c>
      <c r="B972" s="32" t="s">
        <v>954</v>
      </c>
      <c r="C972" s="32" t="s">
        <v>712</v>
      </c>
      <c r="D972" s="32" t="s">
        <v>982</v>
      </c>
      <c r="E972" s="32" t="s">
        <v>629</v>
      </c>
      <c r="F972" s="32" t="s">
        <v>910</v>
      </c>
      <c r="G972" s="32">
        <f>IFERROR(INDEX(Ship!M$31:N$4500,MATCH(C972,Ship!M$31:M$4500,0),2),0)</f>
        <v>0</v>
      </c>
    </row>
    <row r="973" spans="1:7" x14ac:dyDescent="0.25">
      <c r="A973" s="32" t="s">
        <v>953</v>
      </c>
      <c r="B973" s="32" t="s">
        <v>954</v>
      </c>
      <c r="C973" s="32" t="s">
        <v>711</v>
      </c>
      <c r="D973" s="32" t="s">
        <v>981</v>
      </c>
      <c r="E973" s="32" t="s">
        <v>629</v>
      </c>
      <c r="F973" s="32" t="s">
        <v>910</v>
      </c>
      <c r="G973" s="32">
        <f>IFERROR(INDEX(Ship!M$31:N$4500,MATCH(C973,Ship!M$31:M$4500,0),2),0)</f>
        <v>0</v>
      </c>
    </row>
    <row r="974" spans="1:7" x14ac:dyDescent="0.25">
      <c r="A974" s="32" t="s">
        <v>953</v>
      </c>
      <c r="B974" s="32" t="s">
        <v>954</v>
      </c>
      <c r="C974" s="32" t="s">
        <v>557</v>
      </c>
      <c r="D974" s="32" t="s">
        <v>980</v>
      </c>
      <c r="E974" s="32" t="s">
        <v>629</v>
      </c>
      <c r="F974" s="32" t="s">
        <v>910</v>
      </c>
      <c r="G974" s="32">
        <f>IFERROR(INDEX(Ship!M$31:N$4500,MATCH(C974,Ship!M$31:M$4500,0),2),0)</f>
        <v>0</v>
      </c>
    </row>
    <row r="975" spans="1:7" x14ac:dyDescent="0.25">
      <c r="A975" s="32" t="s">
        <v>953</v>
      </c>
      <c r="B975" s="32" t="s">
        <v>954</v>
      </c>
      <c r="C975" s="32" t="s">
        <v>714</v>
      </c>
      <c r="D975" s="32" t="s">
        <v>979</v>
      </c>
      <c r="E975" s="32" t="s">
        <v>629</v>
      </c>
      <c r="F975" s="32" t="s">
        <v>910</v>
      </c>
      <c r="G975" s="32">
        <f>IFERROR(INDEX(Ship!M$31:N$4500,MATCH(C975,Ship!M$31:M$4500,0),2),0)</f>
        <v>0</v>
      </c>
    </row>
    <row r="976" spans="1:7" x14ac:dyDescent="0.25">
      <c r="A976" s="32" t="s">
        <v>953</v>
      </c>
      <c r="B976" s="32" t="s">
        <v>954</v>
      </c>
      <c r="C976" s="32" t="s">
        <v>713</v>
      </c>
      <c r="D976" s="32" t="s">
        <v>978</v>
      </c>
      <c r="E976" s="32" t="s">
        <v>629</v>
      </c>
      <c r="F976" s="32" t="s">
        <v>910</v>
      </c>
      <c r="G976" s="32">
        <f>IFERROR(INDEX(Ship!M$31:N$4500,MATCH(C976,Ship!M$31:M$4500,0),2),0)</f>
        <v>0</v>
      </c>
    </row>
    <row r="977" spans="1:7" x14ac:dyDescent="0.25">
      <c r="A977" s="32" t="s">
        <v>953</v>
      </c>
      <c r="B977" s="32" t="s">
        <v>954</v>
      </c>
      <c r="C977" s="32" t="s">
        <v>558</v>
      </c>
      <c r="D977" s="32" t="s">
        <v>977</v>
      </c>
      <c r="E977" s="32" t="s">
        <v>629</v>
      </c>
      <c r="F977" s="32" t="s">
        <v>910</v>
      </c>
      <c r="G977" s="32">
        <f>IFERROR(INDEX(Ship!M$31:N$4500,MATCH(C977,Ship!M$31:M$4500,0),2),0)</f>
        <v>0</v>
      </c>
    </row>
    <row r="978" spans="1:7" x14ac:dyDescent="0.25">
      <c r="A978" s="32" t="s">
        <v>953</v>
      </c>
      <c r="B978" s="32" t="s">
        <v>954</v>
      </c>
      <c r="C978" s="32" t="s">
        <v>716</v>
      </c>
      <c r="D978" s="32" t="s">
        <v>976</v>
      </c>
      <c r="E978" s="32" t="s">
        <v>629</v>
      </c>
      <c r="F978" s="32" t="s">
        <v>910</v>
      </c>
      <c r="G978" s="32">
        <f>IFERROR(INDEX(Ship!M$31:N$4500,MATCH(C978,Ship!M$31:M$4500,0),2),0)</f>
        <v>0</v>
      </c>
    </row>
    <row r="979" spans="1:7" x14ac:dyDescent="0.25">
      <c r="A979" s="32" t="s">
        <v>953</v>
      </c>
      <c r="B979" s="32" t="s">
        <v>954</v>
      </c>
      <c r="C979" s="32" t="s">
        <v>715</v>
      </c>
      <c r="D979" s="32" t="s">
        <v>975</v>
      </c>
      <c r="E979" s="32" t="s">
        <v>629</v>
      </c>
      <c r="F979" s="32" t="s">
        <v>910</v>
      </c>
      <c r="G979" s="32">
        <f>IFERROR(INDEX(Ship!M$31:N$4500,MATCH(C979,Ship!M$31:M$4500,0),2),0)</f>
        <v>0</v>
      </c>
    </row>
    <row r="980" spans="1:7" x14ac:dyDescent="0.25">
      <c r="A980" s="32" t="s">
        <v>953</v>
      </c>
      <c r="B980" s="32" t="s">
        <v>954</v>
      </c>
      <c r="C980" s="32" t="s">
        <v>718</v>
      </c>
      <c r="D980" s="32" t="s">
        <v>974</v>
      </c>
      <c r="E980" s="32" t="s">
        <v>629</v>
      </c>
      <c r="F980" s="32" t="s">
        <v>910</v>
      </c>
      <c r="G980" s="32">
        <f>IFERROR(INDEX(Ship!M$31:N$4500,MATCH(C980,Ship!M$31:M$4500,0),2),0)</f>
        <v>0</v>
      </c>
    </row>
    <row r="981" spans="1:7" x14ac:dyDescent="0.25">
      <c r="A981" s="32" t="s">
        <v>953</v>
      </c>
      <c r="B981" s="32" t="s">
        <v>954</v>
      </c>
      <c r="C981" s="32" t="s">
        <v>717</v>
      </c>
      <c r="D981" s="32" t="s">
        <v>973</v>
      </c>
      <c r="E981" s="32" t="s">
        <v>629</v>
      </c>
      <c r="F981" s="32" t="s">
        <v>910</v>
      </c>
      <c r="G981" s="32">
        <f>IFERROR(INDEX(Ship!M$31:N$4500,MATCH(C981,Ship!M$31:M$4500,0),2),0)</f>
        <v>0</v>
      </c>
    </row>
    <row r="982" spans="1:7" x14ac:dyDescent="0.25">
      <c r="A982" s="32" t="s">
        <v>953</v>
      </c>
      <c r="B982" s="32" t="s">
        <v>954</v>
      </c>
      <c r="C982" s="32" t="s">
        <v>559</v>
      </c>
      <c r="D982" s="32" t="s">
        <v>972</v>
      </c>
      <c r="E982" s="32" t="s">
        <v>629</v>
      </c>
      <c r="F982" s="32" t="s">
        <v>910</v>
      </c>
      <c r="G982" s="32">
        <f>IFERROR(INDEX(Ship!M$31:N$4500,MATCH(C982,Ship!M$31:M$4500,0),2),0)</f>
        <v>0</v>
      </c>
    </row>
    <row r="983" spans="1:7" x14ac:dyDescent="0.25">
      <c r="A983" s="32" t="s">
        <v>953</v>
      </c>
      <c r="B983" s="32" t="s">
        <v>954</v>
      </c>
      <c r="C983" s="32" t="s">
        <v>720</v>
      </c>
      <c r="D983" s="32" t="s">
        <v>971</v>
      </c>
      <c r="E983" s="32" t="s">
        <v>629</v>
      </c>
      <c r="F983" s="32" t="s">
        <v>910</v>
      </c>
      <c r="G983" s="32">
        <f>IFERROR(INDEX(Ship!M$31:N$4500,MATCH(C983,Ship!M$31:M$4500,0),2),0)</f>
        <v>0</v>
      </c>
    </row>
    <row r="984" spans="1:7" x14ac:dyDescent="0.25">
      <c r="A984" s="32" t="s">
        <v>953</v>
      </c>
      <c r="B984" s="32" t="s">
        <v>954</v>
      </c>
      <c r="C984" s="32" t="s">
        <v>719</v>
      </c>
      <c r="D984" s="32" t="s">
        <v>970</v>
      </c>
      <c r="E984" s="32" t="s">
        <v>629</v>
      </c>
      <c r="F984" s="32" t="s">
        <v>910</v>
      </c>
      <c r="G984" s="32">
        <f>IFERROR(INDEX(Ship!M$31:N$4500,MATCH(C984,Ship!M$31:M$4500,0),2),0)</f>
        <v>0</v>
      </c>
    </row>
    <row r="985" spans="1:7" x14ac:dyDescent="0.25">
      <c r="A985" s="32" t="s">
        <v>953</v>
      </c>
      <c r="B985" s="32" t="s">
        <v>954</v>
      </c>
      <c r="C985" s="32" t="s">
        <v>560</v>
      </c>
      <c r="D985" s="32" t="s">
        <v>969</v>
      </c>
      <c r="E985" s="32" t="s">
        <v>629</v>
      </c>
      <c r="F985" s="32" t="s">
        <v>910</v>
      </c>
      <c r="G985" s="32">
        <f>IFERROR(INDEX(Ship!M$31:N$4500,MATCH(C985,Ship!M$31:M$4500,0),2),0)</f>
        <v>0</v>
      </c>
    </row>
    <row r="986" spans="1:7" x14ac:dyDescent="0.25">
      <c r="A986" s="32" t="s">
        <v>953</v>
      </c>
      <c r="B986" s="32" t="s">
        <v>954</v>
      </c>
      <c r="C986" s="32" t="s">
        <v>722</v>
      </c>
      <c r="D986" s="32" t="s">
        <v>968</v>
      </c>
      <c r="E986" s="32" t="s">
        <v>629</v>
      </c>
      <c r="F986" s="32" t="s">
        <v>910</v>
      </c>
      <c r="G986" s="32">
        <f>IFERROR(INDEX(Ship!M$31:N$4500,MATCH(C986,Ship!M$31:M$4500,0),2),0)</f>
        <v>0</v>
      </c>
    </row>
    <row r="987" spans="1:7" x14ac:dyDescent="0.25">
      <c r="A987" s="32" t="s">
        <v>953</v>
      </c>
      <c r="B987" s="32" t="s">
        <v>954</v>
      </c>
      <c r="C987" s="32" t="s">
        <v>721</v>
      </c>
      <c r="D987" s="32" t="s">
        <v>967</v>
      </c>
      <c r="E987" s="32" t="s">
        <v>629</v>
      </c>
      <c r="F987" s="32" t="s">
        <v>910</v>
      </c>
      <c r="G987" s="32">
        <f>IFERROR(INDEX(Ship!M$31:N$4500,MATCH(C987,Ship!M$31:M$4500,0),2),0)</f>
        <v>0</v>
      </c>
    </row>
    <row r="988" spans="1:7" x14ac:dyDescent="0.25">
      <c r="A988" s="32" t="s">
        <v>953</v>
      </c>
      <c r="B988" s="32" t="s">
        <v>954</v>
      </c>
      <c r="C988" s="32" t="s">
        <v>561</v>
      </c>
      <c r="D988" s="32" t="s">
        <v>966</v>
      </c>
      <c r="E988" s="32" t="s">
        <v>629</v>
      </c>
      <c r="F988" s="32" t="s">
        <v>910</v>
      </c>
      <c r="G988" s="32">
        <f>IFERROR(INDEX(Ship!M$31:N$4500,MATCH(C988,Ship!M$31:M$4500,0),2),0)</f>
        <v>0</v>
      </c>
    </row>
    <row r="989" spans="1:7" x14ac:dyDescent="0.25">
      <c r="A989" s="32" t="s">
        <v>953</v>
      </c>
      <c r="B989" s="32" t="s">
        <v>954</v>
      </c>
      <c r="C989" s="32" t="s">
        <v>724</v>
      </c>
      <c r="D989" s="32" t="s">
        <v>965</v>
      </c>
      <c r="E989" s="32" t="s">
        <v>629</v>
      </c>
      <c r="F989" s="32" t="s">
        <v>910</v>
      </c>
      <c r="G989" s="32">
        <f>IFERROR(INDEX(Ship!M$31:N$4500,MATCH(C989,Ship!M$31:M$4500,0),2),0)</f>
        <v>0</v>
      </c>
    </row>
    <row r="990" spans="1:7" x14ac:dyDescent="0.25">
      <c r="A990" s="32" t="s">
        <v>953</v>
      </c>
      <c r="B990" s="32" t="s">
        <v>954</v>
      </c>
      <c r="C990" s="32" t="s">
        <v>723</v>
      </c>
      <c r="D990" s="32" t="s">
        <v>964</v>
      </c>
      <c r="E990" s="32" t="s">
        <v>629</v>
      </c>
      <c r="F990" s="32" t="s">
        <v>910</v>
      </c>
      <c r="G990" s="32">
        <f>IFERROR(INDEX(Ship!M$31:N$4500,MATCH(C990,Ship!M$31:M$4500,0),2),0)</f>
        <v>0</v>
      </c>
    </row>
    <row r="991" spans="1:7" x14ac:dyDescent="0.25">
      <c r="A991" s="32" t="s">
        <v>953</v>
      </c>
      <c r="B991" s="32" t="s">
        <v>954</v>
      </c>
      <c r="C991" s="32" t="s">
        <v>562</v>
      </c>
      <c r="D991" s="32" t="s">
        <v>963</v>
      </c>
      <c r="E991" s="32" t="s">
        <v>629</v>
      </c>
      <c r="F991" s="32" t="s">
        <v>910</v>
      </c>
      <c r="G991" s="32">
        <f>IFERROR(INDEX(Ship!M$31:N$4500,MATCH(C991,Ship!M$31:M$4500,0),2),0)</f>
        <v>0</v>
      </c>
    </row>
    <row r="992" spans="1:7" x14ac:dyDescent="0.25">
      <c r="A992" s="32" t="s">
        <v>953</v>
      </c>
      <c r="B992" s="32" t="s">
        <v>954</v>
      </c>
      <c r="C992" s="32" t="s">
        <v>726</v>
      </c>
      <c r="D992" s="32" t="s">
        <v>962</v>
      </c>
      <c r="E992" s="32" t="s">
        <v>629</v>
      </c>
      <c r="F992" s="32" t="s">
        <v>910</v>
      </c>
      <c r="G992" s="32">
        <f>IFERROR(INDEX(Ship!M$31:N$4500,MATCH(C992,Ship!M$31:M$4500,0),2),0)</f>
        <v>0</v>
      </c>
    </row>
    <row r="993" spans="1:7" x14ac:dyDescent="0.25">
      <c r="A993" s="32" t="s">
        <v>953</v>
      </c>
      <c r="B993" s="32" t="s">
        <v>954</v>
      </c>
      <c r="C993" s="32" t="s">
        <v>725</v>
      </c>
      <c r="D993" s="32" t="s">
        <v>961</v>
      </c>
      <c r="E993" s="32" t="s">
        <v>629</v>
      </c>
      <c r="F993" s="32" t="s">
        <v>910</v>
      </c>
      <c r="G993" s="32">
        <f>IFERROR(INDEX(Ship!M$31:N$4500,MATCH(C993,Ship!M$31:M$4500,0),2),0)</f>
        <v>0</v>
      </c>
    </row>
    <row r="994" spans="1:7" x14ac:dyDescent="0.25">
      <c r="A994" s="32" t="s">
        <v>953</v>
      </c>
      <c r="B994" s="32" t="s">
        <v>954</v>
      </c>
      <c r="C994" s="32" t="s">
        <v>563</v>
      </c>
      <c r="D994" s="32" t="s">
        <v>960</v>
      </c>
      <c r="E994" s="32" t="s">
        <v>629</v>
      </c>
      <c r="F994" s="32" t="s">
        <v>910</v>
      </c>
      <c r="G994" s="32">
        <f>IFERROR(INDEX(Ship!M$31:N$4500,MATCH(C994,Ship!M$31:M$4500,0),2),0)</f>
        <v>0</v>
      </c>
    </row>
    <row r="995" spans="1:7" x14ac:dyDescent="0.25">
      <c r="A995" s="32" t="s">
        <v>953</v>
      </c>
      <c r="B995" s="32" t="s">
        <v>954</v>
      </c>
      <c r="C995" s="32" t="s">
        <v>728</v>
      </c>
      <c r="D995" s="32" t="s">
        <v>959</v>
      </c>
      <c r="E995" s="32" t="s">
        <v>629</v>
      </c>
      <c r="F995" s="32" t="s">
        <v>910</v>
      </c>
      <c r="G995" s="32">
        <f>IFERROR(INDEX(Ship!M$31:N$4500,MATCH(C995,Ship!M$31:M$4500,0),2),0)</f>
        <v>0</v>
      </c>
    </row>
    <row r="996" spans="1:7" x14ac:dyDescent="0.25">
      <c r="A996" s="32" t="s">
        <v>953</v>
      </c>
      <c r="B996" s="32" t="s">
        <v>954</v>
      </c>
      <c r="C996" s="32" t="s">
        <v>727</v>
      </c>
      <c r="D996" s="32" t="s">
        <v>958</v>
      </c>
      <c r="E996" s="32" t="s">
        <v>629</v>
      </c>
      <c r="F996" s="32" t="s">
        <v>910</v>
      </c>
      <c r="G996" s="32">
        <f>IFERROR(INDEX(Ship!M$31:N$4500,MATCH(C996,Ship!M$31:M$4500,0),2),0)</f>
        <v>0</v>
      </c>
    </row>
    <row r="997" spans="1:7" x14ac:dyDescent="0.25">
      <c r="A997" s="32" t="s">
        <v>953</v>
      </c>
      <c r="B997" s="32" t="s">
        <v>954</v>
      </c>
      <c r="C997" s="32" t="s">
        <v>564</v>
      </c>
      <c r="D997" s="32" t="s">
        <v>957</v>
      </c>
      <c r="E997" s="32" t="s">
        <v>629</v>
      </c>
      <c r="F997" s="32" t="s">
        <v>910</v>
      </c>
      <c r="G997" s="32">
        <f>IFERROR(INDEX(Ship!M$31:N$4500,MATCH(C997,Ship!M$31:M$4500,0),2),0)</f>
        <v>0</v>
      </c>
    </row>
    <row r="998" spans="1:7" x14ac:dyDescent="0.25">
      <c r="A998" s="32" t="s">
        <v>953</v>
      </c>
      <c r="B998" s="32" t="s">
        <v>954</v>
      </c>
      <c r="C998" s="32" t="s">
        <v>730</v>
      </c>
      <c r="D998" s="32" t="s">
        <v>956</v>
      </c>
      <c r="E998" s="32" t="s">
        <v>629</v>
      </c>
      <c r="F998" s="32" t="s">
        <v>910</v>
      </c>
      <c r="G998" s="32">
        <f>IFERROR(INDEX(Ship!M$31:N$4500,MATCH(C998,Ship!M$31:M$4500,0),2),0)</f>
        <v>0</v>
      </c>
    </row>
    <row r="999" spans="1:7" x14ac:dyDescent="0.25">
      <c r="A999" s="32" t="s">
        <v>953</v>
      </c>
      <c r="B999" s="32" t="s">
        <v>954</v>
      </c>
      <c r="C999" s="32" t="s">
        <v>729</v>
      </c>
      <c r="D999" s="32" t="s">
        <v>955</v>
      </c>
      <c r="E999" s="32" t="s">
        <v>629</v>
      </c>
      <c r="F999" s="32" t="s">
        <v>910</v>
      </c>
      <c r="G999" s="32">
        <f>IFERROR(INDEX(Ship!M$31:N$4500,MATCH(C999,Ship!M$31:M$4500,0),2),0)</f>
        <v>0</v>
      </c>
    </row>
  </sheetData>
  <sortState ref="A2:G999">
    <sortCondition ref="F2:F99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"/>
  <sheetViews>
    <sheetView workbookViewId="0">
      <selection activeCell="C1" sqref="C1:D1"/>
    </sheetView>
  </sheetViews>
  <sheetFormatPr defaultRowHeight="15" x14ac:dyDescent="0.25"/>
  <cols>
    <col min="1" max="1" width="17.28515625" customWidth="1"/>
    <col min="2" max="2" width="13.7109375" bestFit="1" customWidth="1"/>
    <col min="3" max="3" width="10.28515625" bestFit="1" customWidth="1"/>
    <col min="4" max="4" width="15.7109375" bestFit="1" customWidth="1"/>
    <col min="5" max="5" width="10.7109375" customWidth="1"/>
    <col min="6" max="6" width="10.5703125" customWidth="1"/>
  </cols>
  <sheetData>
    <row r="1" spans="1:9" x14ac:dyDescent="0.25">
      <c r="A1" t="s">
        <v>0</v>
      </c>
      <c r="B1" t="str">
        <f>"http://awcsmetrics-iad.iad.proxy.amazon.com/reports/"&amp;B9&amp;"/"&amp;B9&amp;"-"&amp;A22&amp;"/"&amp;C3&amp;"T"&amp;C5&amp;":00.000Z/"&amp;C4&amp;"T"&amp;C6&amp;":00.000Z/-28800"</f>
        <v>http://awcsmetrics-iad.iad.proxy.amazon.com/reports/BOI2/BOI2-FlatsRouterController/2021-03-18T18:00:00.000Z/2021-03-19T00:00:00.000Z/-28800</v>
      </c>
      <c r="D1" s="38"/>
    </row>
    <row r="2" spans="1:9" x14ac:dyDescent="0.25">
      <c r="A2" t="s">
        <v>1</v>
      </c>
      <c r="B2" t="str">
        <f>"http://awcsmetrics-iad.iad.proxy.amazon.com/reports/"&amp;B9&amp;"/"&amp;B9&amp;"-"&amp;A21&amp;"/"&amp;C3&amp;"T"&amp;C5&amp;":00.000Z/"&amp;C4&amp;"T"&amp;C6&amp;":00.000Z/-28800"</f>
        <v>http://awcsmetrics-iad.iad.proxy.amazon.com/reports/BOI2/BOI2-ShippingSorterController/2021-03-18T18:00:00.000Z/2021-03-19T00:00:00.000Z/-28800</v>
      </c>
    </row>
    <row r="3" spans="1:9" x14ac:dyDescent="0.25">
      <c r="A3" t="s">
        <v>2</v>
      </c>
      <c r="B3" s="1">
        <f>(HOME!B4)</f>
        <v>44273</v>
      </c>
      <c r="C3" t="str">
        <f>IF(HOUR(C5)&lt;HOUR(B5),TEXT(DATE(YEAR(B3),MONTH(B3),DAY(B3))+1,"yyyy-mm-dd"),TEXT(DATE(YEAR(B3),MONTH(B3),DAY(B3)),"yyyy-mm-dd"))</f>
        <v>2021-03-18</v>
      </c>
      <c r="D3" t="str">
        <f>YEAR(E3)&amp;"%2F"&amp;TEXT(MONTH(E3),"00")&amp;"%2F"&amp;TEXT(DAY(E3),"00")</f>
        <v>2021%2F03%2F18</v>
      </c>
      <c r="E3" s="1">
        <f>HOME!B4</f>
        <v>44273</v>
      </c>
    </row>
    <row r="4" spans="1:9" x14ac:dyDescent="0.25">
      <c r="A4" t="s">
        <v>3</v>
      </c>
      <c r="B4" s="1">
        <f>(HOME!D4)</f>
        <v>44274</v>
      </c>
      <c r="C4" t="str">
        <f>IF(HOUR(C6)&lt;HOUR(B6),TEXT(DATE(YEAR(B4),MONTH(B4),DAY(B4))+1,"yyyy-mm-dd"),TEXT(DATE(YEAR(B4),MONTH(B4),DAY(B4)),"yyyy-mm-dd"))</f>
        <v>2021-03-19</v>
      </c>
      <c r="D4" t="str">
        <f>YEAR(E4)&amp;"%2F"&amp;TEXT(MONTH(E4),"00")&amp;"%2F"&amp;TEXT(DAY(E4),"00")</f>
        <v>2021%2F03%2F19</v>
      </c>
      <c r="E4" s="1">
        <f>HOME!D4</f>
        <v>44274</v>
      </c>
    </row>
    <row r="5" spans="1:9" x14ac:dyDescent="0.25">
      <c r="A5" t="s">
        <v>4</v>
      </c>
      <c r="B5" s="2">
        <f>HOME!B5</f>
        <v>0.75</v>
      </c>
      <c r="C5" s="3" t="str">
        <f>TEXT(HOUR(B5+B10),"00")&amp;":"&amp;TEXT(MINUTE(B5),"00")</f>
        <v>18:00</v>
      </c>
      <c r="D5" t="str">
        <f>TEXT(B5,"hh")</f>
        <v>18</v>
      </c>
      <c r="E5" t="str">
        <f>RIGHT(C5,2)</f>
        <v>00</v>
      </c>
    </row>
    <row r="6" spans="1:9" x14ac:dyDescent="0.25">
      <c r="A6" t="s">
        <v>5</v>
      </c>
      <c r="B6" s="2">
        <f>HOME!D5</f>
        <v>0</v>
      </c>
      <c r="C6" s="3" t="str">
        <f>TEXT(HOUR(B6+B10),"00")&amp;":"&amp;TEXT(MINUTE(B6),"00")</f>
        <v>00:00</v>
      </c>
      <c r="D6" t="str">
        <f>TEXT(B6,"hh")</f>
        <v>00</v>
      </c>
      <c r="E6" t="str">
        <f>RIGHT(C6,2)</f>
        <v>00</v>
      </c>
    </row>
    <row r="7" spans="1:9" x14ac:dyDescent="0.25">
      <c r="A7" t="s">
        <v>6</v>
      </c>
      <c r="B7" t="str">
        <f>"https://fclm-portal.amazon.com/reports/processPathRollup?reportFormat=HTML&amp;warehouseId="&amp;B9&amp;"&amp;startDateDay="&amp;D3&amp;"&amp;maxIntradayDays=1&amp;spanType=Intraday&amp;startDateIntraday="&amp;D3&amp;"&amp;startHourIntraday="&amp;D5&amp;"&amp;startMinuteIntraday="&amp;E5&amp;"&amp;endDateIntraday="&amp;D4&amp;"&amp;endHourIntraday="&amp;D6&amp;"&amp;endMinuteIntraday="&amp;E6&amp;"&amp;_adjustPlanHours=on&amp;_hideEmptyLineItems=on&amp;employmentType=AllEmployees"</f>
        <v>https://fclm-portal.amazon.com/reports/processPathRollup?reportFormat=HTML&amp;warehouseId=BOI2&amp;startDateDay=2021%2F03%2F18&amp;maxIntradayDays=1&amp;spanType=Intraday&amp;startDateIntraday=2021%2F03%2F18&amp;startHourIntraday=18&amp;startMinuteIntraday=00&amp;endDateIntraday=2021%2F03%2F19&amp;endHourIntraday=00&amp;endMinuteIntraday=00&amp;_adjustPlanHours=on&amp;_hideEmptyLineItems=on&amp;employmentType=AllEmployees</v>
      </c>
      <c r="C7" s="3"/>
    </row>
    <row r="8" spans="1:9" x14ac:dyDescent="0.25">
      <c r="A8" t="s">
        <v>7</v>
      </c>
      <c r="B8" t="str">
        <f>"https://fclm-portal.amazon.com/reports/functionRollup?reportFormat=CSV&amp;warehouseId="&amp;B9&amp;"&amp;processId=1003014&amp;maxIntradayDays=1&amp;spanType=Intraday&amp;startDateIntraday="&amp;D3&amp;"&amp;startHourIntraday="&amp;D5&amp;"&amp;startMinuteIntraday="&amp;E5&amp;"&amp;endDateIntraday="&amp;D4&amp;"&amp;endHourIntraday="&amp;D6&amp;"&amp;endMinuteIntraday="&amp;E6&amp;""</f>
        <v>https://fclm-portal.amazon.com/reports/functionRollup?reportFormat=CSV&amp;warehouseId=BOI2&amp;processId=1003014&amp;maxIntradayDays=1&amp;spanType=Intraday&amp;startDateIntraday=2021%2F03%2F18&amp;startHourIntraday=18&amp;startMinuteIntraday=00&amp;endDateIntraday=2021%2F03%2F19&amp;endHourIntraday=00&amp;endMinuteIntraday=00</v>
      </c>
    </row>
    <row r="9" spans="1:9" x14ac:dyDescent="0.25">
      <c r="A9" t="s">
        <v>8</v>
      </c>
      <c r="B9" s="4" t="s">
        <v>2456</v>
      </c>
    </row>
    <row r="10" spans="1:9" x14ac:dyDescent="0.25">
      <c r="A10" t="s">
        <v>9</v>
      </c>
      <c r="B10" s="4">
        <v>8</v>
      </c>
      <c r="C10" s="4">
        <v>17</v>
      </c>
    </row>
    <row r="11" spans="1:9" x14ac:dyDescent="0.25">
      <c r="B11" s="5">
        <f>B10/24</f>
        <v>0.33333333333333331</v>
      </c>
      <c r="C11" s="5">
        <f>C10/24</f>
        <v>0.70833333333333337</v>
      </c>
      <c r="D11">
        <f>14/24</f>
        <v>0.58333333333333337</v>
      </c>
    </row>
    <row r="14" spans="1:9" x14ac:dyDescent="0.25">
      <c r="A14" t="s">
        <v>10</v>
      </c>
      <c r="F14" t="s">
        <v>11</v>
      </c>
      <c r="H14" t="s">
        <v>12</v>
      </c>
    </row>
    <row r="15" spans="1:9" x14ac:dyDescent="0.25">
      <c r="A15" t="s">
        <v>13</v>
      </c>
      <c r="B15">
        <v>4</v>
      </c>
      <c r="C15">
        <v>13</v>
      </c>
      <c r="F15" s="4" t="s">
        <v>14</v>
      </c>
      <c r="G15" s="6">
        <f>IFERROR(VLOOKUP(F15,([1]Pivots!$B:$D),3,FALSE),0)</f>
        <v>164</v>
      </c>
      <c r="H15" s="7" t="s">
        <v>15</v>
      </c>
      <c r="I15" s="6">
        <f>IFERROR(VLOOKUP(H15,[1]Pivots!$B:$D,3,FALSE),0)</f>
        <v>60</v>
      </c>
    </row>
    <row r="16" spans="1:9" x14ac:dyDescent="0.25">
      <c r="A16" t="s">
        <v>16</v>
      </c>
      <c r="B16">
        <v>5</v>
      </c>
      <c r="C16">
        <v>14</v>
      </c>
      <c r="F16" s="4" t="s">
        <v>17</v>
      </c>
      <c r="G16" s="6">
        <f>IFERROR(VLOOKUP(F16,([1]Pivots!$B:$D),3,FALSE),0)</f>
        <v>0</v>
      </c>
      <c r="H16" s="7" t="s">
        <v>18</v>
      </c>
      <c r="I16" s="6">
        <f>IFERROR(VLOOKUP(H16,[1]Pivots!$B:$D,3,FALSE),0)</f>
        <v>138</v>
      </c>
    </row>
    <row r="17" spans="1:11" x14ac:dyDescent="0.25">
      <c r="A17" t="s">
        <v>19</v>
      </c>
      <c r="B17">
        <v>6</v>
      </c>
      <c r="C17">
        <v>15</v>
      </c>
      <c r="F17" s="4" t="s">
        <v>20</v>
      </c>
      <c r="G17" s="6">
        <f>IFERROR(VLOOKUP(F17,([1]Pivots!$B:$D),3,FALSE),0)</f>
        <v>1597</v>
      </c>
      <c r="H17" s="7" t="s">
        <v>21</v>
      </c>
      <c r="I17" s="6">
        <f>IFERROR(VLOOKUP(H17,[1]Pivots!$B:$D,3,FALSE),0)</f>
        <v>79</v>
      </c>
    </row>
    <row r="18" spans="1:11" x14ac:dyDescent="0.25">
      <c r="A18" t="s">
        <v>22</v>
      </c>
      <c r="B18">
        <v>7</v>
      </c>
      <c r="C18">
        <v>16</v>
      </c>
      <c r="F18" s="4" t="s">
        <v>23</v>
      </c>
      <c r="G18" s="6">
        <f>IFERROR(VLOOKUP(F18,([1]Pivots!$B:$D),3,FALSE),0)</f>
        <v>822</v>
      </c>
      <c r="H18" s="7" t="s">
        <v>24</v>
      </c>
      <c r="I18" s="6">
        <f>IFERROR(VLOOKUP(H18,[1]Pivots!$B:$D,3,FALSE),0)</f>
        <v>990</v>
      </c>
    </row>
    <row r="19" spans="1:11" x14ac:dyDescent="0.25">
      <c r="F19" s="4" t="s">
        <v>25</v>
      </c>
      <c r="G19" s="6">
        <f>IFERROR(VLOOKUP(F19,([1]Pivots!$B:$D),3,FALSE),0)</f>
        <v>929</v>
      </c>
      <c r="H19" s="7" t="s">
        <v>26</v>
      </c>
      <c r="I19" s="6">
        <f>IFERROR(VLOOKUP(H19,[1]Pivots!$B:$D,3,FALSE),0)</f>
        <v>32</v>
      </c>
    </row>
    <row r="20" spans="1:11" x14ac:dyDescent="0.25">
      <c r="A20" t="s">
        <v>27</v>
      </c>
      <c r="F20" s="4" t="s">
        <v>28</v>
      </c>
      <c r="G20" s="6">
        <f>IFERROR(VLOOKUP(F20,([1]Pivots!$B:$D),3,FALSE),0)</f>
        <v>1339</v>
      </c>
      <c r="H20" s="7" t="s">
        <v>29</v>
      </c>
      <c r="I20" s="6">
        <f>IFERROR(VLOOKUP(H20,[1]Pivots!$B:$D,3,FALSE),0)</f>
        <v>59</v>
      </c>
    </row>
    <row r="21" spans="1:11" x14ac:dyDescent="0.25">
      <c r="A21" s="4" t="s">
        <v>30</v>
      </c>
      <c r="F21" s="4" t="s">
        <v>31</v>
      </c>
      <c r="G21" s="6">
        <f>IFERROR(VLOOKUP(F21,([1]Pivots!$B:$D),3,FALSE),0)</f>
        <v>279</v>
      </c>
      <c r="H21" s="7" t="s">
        <v>32</v>
      </c>
      <c r="I21" s="6">
        <f>IFERROR(VLOOKUP(H21,[1]Pivots!$B:$D,3,FALSE),0)</f>
        <v>0</v>
      </c>
      <c r="K21" s="8" t="s">
        <v>30</v>
      </c>
    </row>
    <row r="22" spans="1:11" x14ac:dyDescent="0.25">
      <c r="A22" s="4" t="s">
        <v>33</v>
      </c>
      <c r="F22" s="4" t="s">
        <v>34</v>
      </c>
      <c r="G22" s="6">
        <f>IFERROR(VLOOKUP(F22,([1]Pivots!$B:$D),3,FALSE),0)</f>
        <v>751</v>
      </c>
      <c r="H22" s="7" t="s">
        <v>35</v>
      </c>
      <c r="I22" s="6">
        <f>IFERROR(VLOOKUP(H22,[1]Pivots!$B:$D,3,FALSE),0)</f>
        <v>0</v>
      </c>
      <c r="K22" s="8" t="s">
        <v>36</v>
      </c>
    </row>
    <row r="23" spans="1:11" x14ac:dyDescent="0.25">
      <c r="F23" s="4" t="s">
        <v>37</v>
      </c>
      <c r="G23" s="6">
        <f>IFERROR(VLOOKUP(F23,([1]Pivots!$B:$D),3,FALSE),0)</f>
        <v>302</v>
      </c>
      <c r="H23" s="7" t="s">
        <v>38</v>
      </c>
      <c r="I23" s="6">
        <f>IFERROR(VLOOKUP(H23,[1]Pivots!$B:$D,3,FALSE),0)</f>
        <v>0</v>
      </c>
      <c r="K23" t="s">
        <v>2123</v>
      </c>
    </row>
    <row r="24" spans="1:11" x14ac:dyDescent="0.25">
      <c r="F24" s="4" t="s">
        <v>39</v>
      </c>
      <c r="G24" s="6">
        <f>IFERROR(VLOOKUP(F24,([1]Pivots!$B:$D),3,FALSE),0)</f>
        <v>1367</v>
      </c>
      <c r="H24" s="7" t="s">
        <v>40</v>
      </c>
      <c r="I24" s="6">
        <f>IFERROR(VLOOKUP(H24,[1]Pivots!$B:$D,3,FALSE),0)</f>
        <v>169</v>
      </c>
      <c r="K24" t="s">
        <v>41</v>
      </c>
    </row>
    <row r="25" spans="1:11" x14ac:dyDescent="0.25">
      <c r="F25" s="4" t="s">
        <v>42</v>
      </c>
      <c r="G25" s="6">
        <f>IFERROR(VLOOKUP(F25,([1]Pivots!$B:$D),3,FALSE),0)</f>
        <v>902</v>
      </c>
      <c r="H25" s="7" t="s">
        <v>43</v>
      </c>
      <c r="I25" s="6">
        <f>IFERROR(VLOOKUP(H25,[1]Pivots!$B:$D,3,FALSE),0)</f>
        <v>1</v>
      </c>
      <c r="K25" t="s">
        <v>33</v>
      </c>
    </row>
    <row r="26" spans="1:11" x14ac:dyDescent="0.25">
      <c r="F26" s="4" t="s">
        <v>44</v>
      </c>
      <c r="G26" s="6">
        <f>IFERROR(VLOOKUP(F26,([1]Pivots!$B:$D),3,FALSE),0)</f>
        <v>56</v>
      </c>
      <c r="H26" s="7" t="s">
        <v>45</v>
      </c>
      <c r="I26" s="6">
        <f>IFERROR(VLOOKUP(H26,[1]Pivots!$B:$D,3,FALSE),0)</f>
        <v>182</v>
      </c>
    </row>
    <row r="27" spans="1:11" x14ac:dyDescent="0.25">
      <c r="F27" s="4" t="s">
        <v>46</v>
      </c>
      <c r="G27" s="6">
        <f>IFERROR(VLOOKUP(F27,([1]Pivots!$B:$D),3,FALSE),0)</f>
        <v>1241</v>
      </c>
      <c r="H27" s="7"/>
      <c r="I27" s="6"/>
    </row>
    <row r="28" spans="1:11" x14ac:dyDescent="0.25">
      <c r="F28" s="4" t="s">
        <v>47</v>
      </c>
      <c r="G28" s="6">
        <f>IFERROR(VLOOKUP(F28,([1]Pivots!$B:$D),3,FALSE),0)</f>
        <v>133</v>
      </c>
      <c r="H28" s="7"/>
      <c r="I28" s="6"/>
      <c r="K28" s="9">
        <f>IFERROR(VLOOKUP(F26,[1]Pivots!$B$2:$D$159,3,FALSE),0)</f>
        <v>56</v>
      </c>
    </row>
    <row r="29" spans="1:11" x14ac:dyDescent="0.25">
      <c r="F29" s="4" t="s">
        <v>48</v>
      </c>
      <c r="G29" s="6">
        <f>IFERROR(VLOOKUP(F29,([1]Pivots!$B:$D),3,FALSE),0)</f>
        <v>333</v>
      </c>
      <c r="H29" s="7"/>
      <c r="I29" s="6"/>
      <c r="K29" s="9"/>
    </row>
    <row r="30" spans="1:11" x14ac:dyDescent="0.25">
      <c r="F30" s="4" t="s">
        <v>49</v>
      </c>
      <c r="G30" s="6">
        <f>IFERROR(VLOOKUP(F30,([1]Pivots!$B:$D),3,FALSE),0)</f>
        <v>314</v>
      </c>
      <c r="H30" s="7"/>
      <c r="I30" s="6"/>
      <c r="K30" s="9"/>
    </row>
    <row r="31" spans="1:11" x14ac:dyDescent="0.25">
      <c r="F31" s="4" t="s">
        <v>50</v>
      </c>
      <c r="G31" s="6">
        <f>IFERROR(VLOOKUP(F31,([1]Pivots!$B:$D),3,FALSE),0)</f>
        <v>1508</v>
      </c>
      <c r="H31" s="7"/>
      <c r="I31" s="6"/>
      <c r="K31" s="9"/>
    </row>
    <row r="32" spans="1:11" x14ac:dyDescent="0.25">
      <c r="F32" s="10" t="s">
        <v>51</v>
      </c>
      <c r="G32" s="6">
        <f>IFERROR(VLOOKUP(F32,([1]Pivots!$B:$D),3,FALSE),0)</f>
        <v>296</v>
      </c>
      <c r="H32" s="7"/>
      <c r="I32" s="6"/>
    </row>
    <row r="33" spans="6:10" x14ac:dyDescent="0.25">
      <c r="F33" s="10" t="s">
        <v>52</v>
      </c>
      <c r="G33" s="6">
        <f>IFERROR(VLOOKUP(F33,([1]Pivots!$B:$D),3,FALSE),0)</f>
        <v>150</v>
      </c>
      <c r="H33" s="7"/>
      <c r="I33" s="6"/>
    </row>
    <row r="34" spans="6:10" x14ac:dyDescent="0.25">
      <c r="F34" s="4" t="s">
        <v>53</v>
      </c>
      <c r="G34" s="6">
        <f>IFERROR(VLOOKUP(F34,([1]Pivots!$B:$D),3,FALSE),0)</f>
        <v>67</v>
      </c>
      <c r="H34" s="7"/>
      <c r="I34" s="6"/>
    </row>
    <row r="35" spans="6:10" x14ac:dyDescent="0.25">
      <c r="H35" s="7"/>
      <c r="I35" s="6"/>
    </row>
    <row r="36" spans="6:10" x14ac:dyDescent="0.25">
      <c r="H36" s="7"/>
      <c r="I36" s="6"/>
    </row>
    <row r="37" spans="6:10" x14ac:dyDescent="0.25">
      <c r="H37" s="6"/>
      <c r="I37" s="6"/>
      <c r="J37" s="6"/>
    </row>
    <row r="38" spans="6:10" x14ac:dyDescent="0.25">
      <c r="H38" s="6"/>
      <c r="I38" s="6"/>
      <c r="J38" s="6"/>
    </row>
    <row r="39" spans="6:10" x14ac:dyDescent="0.25">
      <c r="H39" s="6"/>
      <c r="I39" s="6"/>
      <c r="J39" s="6"/>
    </row>
    <row r="40" spans="6:10" x14ac:dyDescent="0.25">
      <c r="H40" s="6"/>
      <c r="I40" s="6"/>
      <c r="J40" s="6"/>
    </row>
    <row r="41" spans="6:10" x14ac:dyDescent="0.25">
      <c r="H41" s="6"/>
      <c r="I41" s="6"/>
      <c r="J41" s="6"/>
    </row>
    <row r="42" spans="6:10" x14ac:dyDescent="0.25">
      <c r="H42" s="6"/>
      <c r="I42" s="6"/>
      <c r="J42" s="6"/>
    </row>
    <row r="43" spans="6:10" x14ac:dyDescent="0.25">
      <c r="H43" s="6"/>
      <c r="I43" s="6"/>
      <c r="J43" s="6"/>
    </row>
    <row r="44" spans="6:10" x14ac:dyDescent="0.25">
      <c r="H44" s="6"/>
      <c r="I44" s="6"/>
      <c r="J44" s="6"/>
    </row>
    <row r="45" spans="6:10" x14ac:dyDescent="0.25">
      <c r="H45" s="6"/>
      <c r="I45" s="6"/>
      <c r="J45" s="6"/>
    </row>
    <row r="46" spans="6:10" x14ac:dyDescent="0.25">
      <c r="H46" s="6"/>
      <c r="I46" s="6"/>
      <c r="J46" s="6"/>
    </row>
    <row r="47" spans="6:10" x14ac:dyDescent="0.25">
      <c r="H47" s="6"/>
      <c r="I47" s="6"/>
      <c r="J47" s="6"/>
    </row>
    <row r="48" spans="6:10" x14ac:dyDescent="0.25">
      <c r="H48" s="6"/>
      <c r="I48" s="6"/>
      <c r="J48" s="6"/>
    </row>
    <row r="49" spans="8:10" x14ac:dyDescent="0.25">
      <c r="H49" s="6"/>
      <c r="I49" s="6"/>
      <c r="J49" s="6"/>
    </row>
    <row r="50" spans="8:10" x14ac:dyDescent="0.25">
      <c r="H50" s="6"/>
      <c r="I50" s="6"/>
      <c r="J50" s="6"/>
    </row>
  </sheetData>
  <dataValidations count="2">
    <dataValidation type="list" allowBlank="1" showInputMessage="1" showErrorMessage="1" sqref="A22">
      <formula1>$K$24:$K$25</formula1>
    </dataValidation>
    <dataValidation type="list" allowBlank="1" showInputMessage="1" showErrorMessage="1" sqref="A21">
      <formula1>$K$21:$K$23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4894"/>
  <sheetViews>
    <sheetView workbookViewId="0">
      <selection sqref="A1:P4500"/>
    </sheetView>
  </sheetViews>
  <sheetFormatPr defaultRowHeight="15" x14ac:dyDescent="0.25"/>
  <cols>
    <col min="1" max="1" width="31.5703125" customWidth="1"/>
    <col min="2" max="2" width="33.5703125" bestFit="1" customWidth="1"/>
    <col min="3" max="3" width="31.5703125" customWidth="1"/>
    <col min="4" max="4" width="33.5703125" bestFit="1" customWidth="1"/>
    <col min="5" max="5" width="31.5703125" customWidth="1"/>
    <col min="6" max="6" width="33.5703125" bestFit="1" customWidth="1"/>
    <col min="7" max="7" width="31.5703125" bestFit="1" customWidth="1"/>
    <col min="8" max="8" width="33.5703125" bestFit="1" customWidth="1"/>
    <col min="9" max="9" width="31.5703125" bestFit="1" customWidth="1"/>
    <col min="10" max="10" width="33.5703125" bestFit="1" customWidth="1"/>
    <col min="11" max="11" width="23.5703125" customWidth="1"/>
    <col min="12" max="12" width="33.5703125" bestFit="1" customWidth="1"/>
    <col min="13" max="18" width="10.85546875" customWidth="1"/>
    <col min="19" max="19" width="4.7109375" customWidth="1"/>
    <col min="20" max="22" width="4.140625" customWidth="1"/>
    <col min="23" max="23" width="31.5703125" customWidth="1"/>
    <col min="24" max="24" width="33.5703125" customWidth="1"/>
    <col min="25" max="25" width="29.28515625" bestFit="1" customWidth="1"/>
    <col min="26" max="26" width="31.7109375" bestFit="1" customWidth="1"/>
    <col min="27" max="27" width="29.28515625" bestFit="1" customWidth="1"/>
    <col min="28" max="28" width="31.7109375" bestFit="1" customWidth="1"/>
    <col min="29" max="29" width="29.28515625" bestFit="1" customWidth="1"/>
    <col min="30" max="30" width="31.7109375" bestFit="1" customWidth="1"/>
    <col min="31" max="31" width="29.28515625" bestFit="1" customWidth="1"/>
    <col min="32" max="32" width="34" bestFit="1" customWidth="1"/>
    <col min="33" max="33" width="29.28515625" bestFit="1" customWidth="1"/>
    <col min="34" max="34" width="34" bestFit="1" customWidth="1"/>
    <col min="35" max="35" width="29.28515625" bestFit="1" customWidth="1"/>
    <col min="36" max="36" width="34" bestFit="1" customWidth="1"/>
    <col min="37" max="37" width="9.5703125" bestFit="1" customWidth="1"/>
    <col min="38" max="38" width="13.28515625" bestFit="1" customWidth="1"/>
    <col min="39" max="39" width="12.85546875" bestFit="1" customWidth="1"/>
  </cols>
  <sheetData>
    <row r="1" spans="1:36" x14ac:dyDescent="0.25">
      <c r="A1" s="22"/>
      <c r="B1" s="22" t="s">
        <v>5840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</row>
    <row r="2" spans="1:36" x14ac:dyDescent="0.25">
      <c r="A2" s="22" t="s">
        <v>358</v>
      </c>
      <c r="B2" s="22">
        <v>114966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</row>
    <row r="3" spans="1:36" x14ac:dyDescent="0.25">
      <c r="A3" s="22" t="s">
        <v>359</v>
      </c>
      <c r="B3" s="22">
        <v>11586</v>
      </c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</row>
    <row r="4" spans="1:36" x14ac:dyDescent="0.25">
      <c r="A4" s="22" t="s">
        <v>360</v>
      </c>
      <c r="B4" s="22">
        <v>117121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</row>
    <row r="5" spans="1:36" x14ac:dyDescent="0.25">
      <c r="A5" s="22" t="s">
        <v>361</v>
      </c>
      <c r="B5" s="22">
        <v>77368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</row>
    <row r="6" spans="1:36" x14ac:dyDescent="0.25">
      <c r="A6" s="22" t="s">
        <v>362</v>
      </c>
      <c r="B6" s="22">
        <v>6088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</row>
    <row r="7" spans="1:36" x14ac:dyDescent="0.25">
      <c r="A7" s="22" t="s">
        <v>363</v>
      </c>
      <c r="B7" s="22">
        <v>2381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</row>
    <row r="8" spans="1:36" x14ac:dyDescent="0.25">
      <c r="A8" s="22" t="s">
        <v>364</v>
      </c>
      <c r="B8" s="22">
        <v>93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</row>
    <row r="9" spans="1:36" x14ac:dyDescent="0.25">
      <c r="A9" s="22" t="s">
        <v>365</v>
      </c>
      <c r="B9" s="22">
        <v>5706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</row>
    <row r="10" spans="1:36" x14ac:dyDescent="0.25">
      <c r="A10" s="22" t="s">
        <v>366</v>
      </c>
      <c r="B10" s="22">
        <v>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</row>
    <row r="11" spans="1:36" x14ac:dyDescent="0.25">
      <c r="A11" s="22" t="s">
        <v>367</v>
      </c>
      <c r="B11" s="22">
        <v>0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</row>
    <row r="12" spans="1:36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</row>
    <row r="13" spans="1:36" x14ac:dyDescent="0.25">
      <c r="A13" s="22"/>
      <c r="B13" s="22" t="s">
        <v>5840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</row>
    <row r="14" spans="1:36" x14ac:dyDescent="0.25">
      <c r="A14" s="22" t="s">
        <v>2485</v>
      </c>
      <c r="B14" s="22">
        <v>26636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</row>
    <row r="15" spans="1:36" x14ac:dyDescent="0.25">
      <c r="A15" s="22" t="s">
        <v>2486</v>
      </c>
      <c r="B15" s="22">
        <v>1936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</row>
    <row r="16" spans="1:36" x14ac:dyDescent="0.25">
      <c r="A16" s="22" t="s">
        <v>2487</v>
      </c>
      <c r="B16" s="26">
        <v>7.2700000000000001E-2</v>
      </c>
      <c r="C16" s="22"/>
      <c r="D16" s="26"/>
      <c r="E16" s="22"/>
      <c r="F16" s="26"/>
      <c r="G16" s="22"/>
      <c r="H16" s="26"/>
      <c r="I16" s="22"/>
      <c r="J16" s="26"/>
      <c r="K16" s="22"/>
      <c r="L16" s="26"/>
      <c r="M16" s="22"/>
      <c r="N16" s="26"/>
      <c r="O16" s="22"/>
      <c r="P16" s="26"/>
      <c r="Q16" s="22"/>
      <c r="R16" s="26"/>
      <c r="S16" s="22"/>
      <c r="T16" s="26"/>
      <c r="U16" s="22"/>
      <c r="V16" s="26"/>
      <c r="W16" s="22"/>
      <c r="X16" s="26"/>
      <c r="Y16" s="22"/>
      <c r="Z16" s="26"/>
      <c r="AA16" s="22"/>
      <c r="AB16" s="26"/>
      <c r="AC16" s="22"/>
      <c r="AD16" s="26"/>
      <c r="AE16" s="22"/>
      <c r="AF16" s="26"/>
      <c r="AG16" s="22"/>
      <c r="AH16" s="26"/>
      <c r="AI16" s="22"/>
      <c r="AJ16" s="31"/>
    </row>
    <row r="17" spans="1:36" x14ac:dyDescent="0.25">
      <c r="A17" s="22" t="s">
        <v>2488</v>
      </c>
      <c r="B17" s="22">
        <v>0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</row>
    <row r="18" spans="1:36" x14ac:dyDescent="0.25">
      <c r="A18" s="22" t="s">
        <v>2489</v>
      </c>
      <c r="B18" s="26">
        <v>0</v>
      </c>
      <c r="C18" s="22"/>
      <c r="D18" s="26"/>
      <c r="E18" s="22"/>
      <c r="F18" s="26"/>
      <c r="G18" s="22"/>
      <c r="H18" s="26"/>
      <c r="I18" s="22"/>
      <c r="J18" s="26"/>
      <c r="K18" s="22"/>
      <c r="L18" s="26"/>
      <c r="M18" s="22"/>
      <c r="N18" s="26"/>
      <c r="O18" s="22"/>
      <c r="P18" s="26"/>
      <c r="Q18" s="22"/>
      <c r="R18" s="26"/>
      <c r="S18" s="22"/>
      <c r="T18" s="26"/>
      <c r="U18" s="22"/>
      <c r="V18" s="26"/>
      <c r="W18" s="22"/>
      <c r="X18" s="26"/>
      <c r="Y18" s="22"/>
      <c r="Z18" s="26"/>
      <c r="AA18" s="22"/>
      <c r="AB18" s="26"/>
      <c r="AC18" s="22"/>
      <c r="AD18" s="26"/>
      <c r="AE18" s="22"/>
      <c r="AF18" s="26"/>
      <c r="AG18" s="22"/>
      <c r="AH18" s="26"/>
      <c r="AI18" s="22"/>
      <c r="AJ18" s="26"/>
    </row>
    <row r="19" spans="1:36" x14ac:dyDescent="0.25">
      <c r="A19" s="22" t="s">
        <v>2490</v>
      </c>
      <c r="B19" s="22">
        <v>20088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</row>
    <row r="20" spans="1:36" x14ac:dyDescent="0.25">
      <c r="A20" s="22" t="s">
        <v>2491</v>
      </c>
      <c r="B20" s="22">
        <v>1779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</row>
    <row r="21" spans="1:36" x14ac:dyDescent="0.25">
      <c r="A21" s="22" t="s">
        <v>2492</v>
      </c>
      <c r="B21" s="26">
        <v>8.8599999999999998E-2</v>
      </c>
      <c r="C21" s="22"/>
      <c r="D21" s="26"/>
      <c r="E21" s="22"/>
      <c r="F21" s="26"/>
      <c r="G21" s="22"/>
      <c r="H21" s="26"/>
      <c r="I21" s="22"/>
      <c r="J21" s="26"/>
      <c r="K21" s="22"/>
      <c r="L21" s="26"/>
      <c r="M21" s="22"/>
      <c r="N21" s="26"/>
      <c r="O21" s="22"/>
      <c r="P21" s="26"/>
      <c r="Q21" s="22"/>
      <c r="R21" s="26"/>
      <c r="S21" s="22"/>
      <c r="T21" s="26"/>
      <c r="U21" s="22"/>
      <c r="V21" s="26"/>
      <c r="W21" s="22"/>
      <c r="X21" s="26"/>
      <c r="Y21" s="22"/>
      <c r="Z21" s="26"/>
      <c r="AA21" s="22"/>
      <c r="AB21" s="26"/>
      <c r="AC21" s="22"/>
      <c r="AD21" s="26"/>
      <c r="AE21" s="22"/>
      <c r="AF21" s="26"/>
      <c r="AG21" s="22"/>
      <c r="AH21" s="26"/>
      <c r="AI21" s="22"/>
      <c r="AJ21" s="26"/>
    </row>
    <row r="22" spans="1:36" x14ac:dyDescent="0.25">
      <c r="A22" s="22" t="s">
        <v>2493</v>
      </c>
      <c r="B22" s="22">
        <v>0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</row>
    <row r="23" spans="1:36" x14ac:dyDescent="0.25">
      <c r="A23" s="22" t="s">
        <v>2494</v>
      </c>
      <c r="B23" s="26">
        <v>0</v>
      </c>
      <c r="C23" s="22"/>
      <c r="D23" s="26"/>
      <c r="E23" s="22"/>
      <c r="F23" s="26"/>
      <c r="G23" s="22"/>
      <c r="H23" s="26"/>
      <c r="I23" s="22"/>
      <c r="J23" s="26"/>
      <c r="K23" s="22"/>
      <c r="L23" s="26"/>
      <c r="M23" s="22"/>
      <c r="N23" s="26"/>
      <c r="O23" s="22"/>
      <c r="P23" s="26"/>
      <c r="Q23" s="22"/>
      <c r="R23" s="26"/>
      <c r="S23" s="22"/>
      <c r="T23" s="26"/>
      <c r="U23" s="22"/>
      <c r="V23" s="26"/>
      <c r="W23" s="22"/>
      <c r="X23" s="26"/>
      <c r="Y23" s="22"/>
      <c r="Z23" s="26"/>
      <c r="AA23" s="22"/>
      <c r="AB23" s="26"/>
      <c r="AC23" s="22"/>
      <c r="AD23" s="26"/>
      <c r="AE23" s="22"/>
      <c r="AF23" s="26"/>
      <c r="AG23" s="22"/>
      <c r="AH23" s="26"/>
      <c r="AI23" s="22"/>
      <c r="AJ23" s="26"/>
    </row>
    <row r="24" spans="1:36" x14ac:dyDescent="0.25">
      <c r="A24" s="22" t="s">
        <v>2495</v>
      </c>
      <c r="B24" s="22">
        <v>13566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</row>
    <row r="25" spans="1:36" x14ac:dyDescent="0.25">
      <c r="A25" s="22" t="s">
        <v>2496</v>
      </c>
      <c r="B25" s="22">
        <v>1784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</row>
    <row r="26" spans="1:36" x14ac:dyDescent="0.25">
      <c r="A26" s="22" t="s">
        <v>2497</v>
      </c>
      <c r="B26" s="26">
        <v>0.13150000000000001</v>
      </c>
      <c r="C26" s="22"/>
      <c r="D26" s="26"/>
      <c r="E26" s="22"/>
      <c r="F26" s="26"/>
      <c r="G26" s="22"/>
      <c r="H26" s="26"/>
      <c r="I26" s="22"/>
      <c r="J26" s="26"/>
      <c r="K26" s="22"/>
      <c r="L26" s="26"/>
      <c r="M26" s="22"/>
      <c r="N26" s="26"/>
      <c r="O26" s="22"/>
      <c r="P26" s="26"/>
      <c r="Q26" s="22"/>
      <c r="R26" s="26"/>
      <c r="S26" s="22"/>
      <c r="T26" s="26"/>
      <c r="U26" s="22"/>
      <c r="V26" s="26"/>
      <c r="W26" s="22"/>
      <c r="X26" s="26"/>
      <c r="Y26" s="22"/>
      <c r="Z26" s="26"/>
      <c r="AA26" s="22"/>
      <c r="AB26" s="26"/>
      <c r="AC26" s="22"/>
      <c r="AD26" s="26"/>
      <c r="AE26" s="22"/>
      <c r="AF26" s="26"/>
      <c r="AG26" s="22"/>
      <c r="AH26" s="26"/>
      <c r="AI26" s="22"/>
      <c r="AJ26" s="26"/>
    </row>
    <row r="27" spans="1:36" x14ac:dyDescent="0.25">
      <c r="A27" s="22" t="s">
        <v>2498</v>
      </c>
      <c r="B27" s="22">
        <v>0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</row>
    <row r="28" spans="1:36" x14ac:dyDescent="0.25">
      <c r="A28" s="22" t="s">
        <v>2499</v>
      </c>
      <c r="B28" s="26">
        <v>0</v>
      </c>
      <c r="C28" s="22"/>
      <c r="D28" s="26"/>
      <c r="E28" s="22"/>
      <c r="F28" s="26"/>
      <c r="G28" s="22"/>
      <c r="H28" s="26"/>
      <c r="I28" s="22"/>
      <c r="J28" s="26"/>
      <c r="K28" s="22"/>
      <c r="L28" s="26"/>
      <c r="M28" s="22"/>
      <c r="N28" s="26"/>
      <c r="O28" s="22"/>
      <c r="P28" s="26"/>
      <c r="Q28" s="22"/>
      <c r="R28" s="26"/>
      <c r="S28" s="22"/>
      <c r="T28" s="26"/>
      <c r="U28" s="22"/>
      <c r="V28" s="26"/>
      <c r="W28" s="22"/>
      <c r="X28" s="26"/>
      <c r="Y28" s="22"/>
      <c r="Z28" s="26"/>
      <c r="AA28" s="22"/>
      <c r="AB28" s="26"/>
      <c r="AC28" s="22"/>
      <c r="AD28" s="26"/>
      <c r="AE28" s="22"/>
      <c r="AF28" s="26"/>
      <c r="AG28" s="22"/>
      <c r="AH28" s="26"/>
      <c r="AI28" s="22"/>
      <c r="AJ28" s="26"/>
    </row>
    <row r="29" spans="1:36" x14ac:dyDescent="0.25">
      <c r="A29" s="22" t="s">
        <v>4450</v>
      </c>
      <c r="B29" s="22">
        <v>35365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</row>
    <row r="30" spans="1:36" x14ac:dyDescent="0.25">
      <c r="A30" s="22" t="s">
        <v>4451</v>
      </c>
      <c r="B30" s="22">
        <v>2509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</row>
    <row r="31" spans="1:36" x14ac:dyDescent="0.25">
      <c r="A31" s="22" t="s">
        <v>4452</v>
      </c>
      <c r="B31" s="26">
        <v>7.0900000000000005E-2</v>
      </c>
      <c r="C31" s="22"/>
      <c r="D31" s="26"/>
      <c r="E31" s="22"/>
      <c r="F31" s="26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</row>
    <row r="32" spans="1:36" x14ac:dyDescent="0.25">
      <c r="A32" s="22" t="s">
        <v>4453</v>
      </c>
      <c r="B32" s="22">
        <v>0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</row>
    <row r="33" spans="1:36" x14ac:dyDescent="0.25">
      <c r="A33" s="22" t="s">
        <v>4454</v>
      </c>
      <c r="B33" s="26">
        <v>0</v>
      </c>
      <c r="C33" s="22"/>
      <c r="D33" s="26"/>
      <c r="E33" s="22"/>
      <c r="F33" s="26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</row>
    <row r="34" spans="1:36" x14ac:dyDescent="0.25">
      <c r="A34" s="22" t="s">
        <v>4455</v>
      </c>
      <c r="B34" s="22">
        <v>10005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</row>
    <row r="35" spans="1:36" x14ac:dyDescent="0.25">
      <c r="A35" s="22" t="s">
        <v>4456</v>
      </c>
      <c r="B35" s="22">
        <v>1787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</row>
    <row r="36" spans="1:36" x14ac:dyDescent="0.25">
      <c r="A36" s="22" t="s">
        <v>4457</v>
      </c>
      <c r="B36" s="26">
        <v>0.17860000000000001</v>
      </c>
      <c r="C36" s="22"/>
      <c r="D36" s="26"/>
      <c r="E36" s="22"/>
      <c r="F36" s="26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</row>
    <row r="37" spans="1:36" x14ac:dyDescent="0.25">
      <c r="A37" s="22" t="s">
        <v>4458</v>
      </c>
      <c r="B37" s="22">
        <v>0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</row>
    <row r="38" spans="1:36" x14ac:dyDescent="0.25">
      <c r="A38" s="22" t="s">
        <v>4459</v>
      </c>
      <c r="B38" s="26">
        <v>0</v>
      </c>
      <c r="C38" s="22"/>
      <c r="D38" s="26"/>
      <c r="E38" s="22"/>
      <c r="F38" s="26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</row>
    <row r="39" spans="1:36" x14ac:dyDescent="0.25">
      <c r="A39" s="22" t="s">
        <v>4460</v>
      </c>
      <c r="B39" s="22">
        <v>9306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</row>
    <row r="40" spans="1:36" x14ac:dyDescent="0.25">
      <c r="A40" s="22" t="s">
        <v>4461</v>
      </c>
      <c r="B40" s="22">
        <v>1791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</row>
    <row r="41" spans="1:36" x14ac:dyDescent="0.25">
      <c r="A41" s="22" t="s">
        <v>4462</v>
      </c>
      <c r="B41" s="26">
        <v>0.1925</v>
      </c>
      <c r="C41" s="22"/>
      <c r="D41" s="26"/>
      <c r="E41" s="22"/>
      <c r="F41" s="26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</row>
    <row r="42" spans="1:36" x14ac:dyDescent="0.25">
      <c r="A42" s="22" t="s">
        <v>4463</v>
      </c>
      <c r="B42" s="22">
        <v>0</v>
      </c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</row>
    <row r="43" spans="1:36" x14ac:dyDescent="0.25">
      <c r="A43" s="22" t="s">
        <v>4464</v>
      </c>
      <c r="B43" s="26">
        <v>0</v>
      </c>
      <c r="C43" s="22"/>
      <c r="D43" s="26"/>
      <c r="E43" s="22"/>
      <c r="F43" s="26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</row>
    <row r="44" spans="1:36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</row>
    <row r="45" spans="1:36" x14ac:dyDescent="0.25">
      <c r="A45" s="22"/>
      <c r="B45" s="22" t="s">
        <v>5840</v>
      </c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</row>
    <row r="46" spans="1:36" x14ac:dyDescent="0.25">
      <c r="A46" s="22" t="s">
        <v>1928</v>
      </c>
      <c r="B46" s="22">
        <v>117</v>
      </c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</row>
    <row r="47" spans="1:36" x14ac:dyDescent="0.25">
      <c r="A47" s="22" t="s">
        <v>2500</v>
      </c>
      <c r="B47" s="22">
        <v>0</v>
      </c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</row>
    <row r="48" spans="1:36" x14ac:dyDescent="0.25">
      <c r="A48" s="22" t="s">
        <v>2501</v>
      </c>
      <c r="B48" s="22">
        <v>0</v>
      </c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</row>
    <row r="49" spans="1:36" x14ac:dyDescent="0.25">
      <c r="A49" s="22" t="s">
        <v>2502</v>
      </c>
      <c r="B49" s="22">
        <v>0</v>
      </c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</row>
    <row r="50" spans="1:36" x14ac:dyDescent="0.25">
      <c r="A50" s="22" t="s">
        <v>2503</v>
      </c>
      <c r="B50" s="22">
        <v>1</v>
      </c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</row>
    <row r="51" spans="1:36" x14ac:dyDescent="0.25">
      <c r="A51" s="22" t="s">
        <v>2504</v>
      </c>
      <c r="B51" s="22">
        <v>0</v>
      </c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</row>
    <row r="52" spans="1:36" x14ac:dyDescent="0.25">
      <c r="A52" s="22" t="s">
        <v>2505</v>
      </c>
      <c r="B52" s="22">
        <v>0</v>
      </c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</row>
    <row r="53" spans="1:36" x14ac:dyDescent="0.25">
      <c r="A53" s="22" t="s">
        <v>2506</v>
      </c>
      <c r="B53" s="22">
        <v>0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</row>
    <row r="54" spans="1:36" x14ac:dyDescent="0.25">
      <c r="A54" s="22" t="s">
        <v>1929</v>
      </c>
      <c r="B54" s="22">
        <v>226</v>
      </c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</row>
    <row r="55" spans="1:36" x14ac:dyDescent="0.25">
      <c r="A55" s="22" t="s">
        <v>2507</v>
      </c>
      <c r="B55" s="22">
        <v>0</v>
      </c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</row>
    <row r="56" spans="1:36" x14ac:dyDescent="0.25">
      <c r="A56" s="22" t="s">
        <v>2508</v>
      </c>
      <c r="B56" s="22">
        <v>0</v>
      </c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</row>
    <row r="57" spans="1:36" x14ac:dyDescent="0.25">
      <c r="A57" s="22" t="s">
        <v>2509</v>
      </c>
      <c r="B57" s="22">
        <v>0</v>
      </c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</row>
    <row r="58" spans="1:36" x14ac:dyDescent="0.25">
      <c r="A58" s="22" t="s">
        <v>2510</v>
      </c>
      <c r="B58" s="22">
        <v>3</v>
      </c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</row>
    <row r="59" spans="1:36" x14ac:dyDescent="0.25">
      <c r="A59" s="22" t="s">
        <v>2511</v>
      </c>
      <c r="B59" s="22">
        <v>0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</row>
    <row r="60" spans="1:36" x14ac:dyDescent="0.25">
      <c r="A60" s="22" t="s">
        <v>2512</v>
      </c>
      <c r="B60" s="22">
        <v>0</v>
      </c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</row>
    <row r="61" spans="1:36" x14ac:dyDescent="0.25">
      <c r="A61" s="22" t="s">
        <v>2513</v>
      </c>
      <c r="B61" s="22">
        <v>0</v>
      </c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</row>
    <row r="62" spans="1:36" x14ac:dyDescent="0.25">
      <c r="A62" s="22" t="s">
        <v>1930</v>
      </c>
      <c r="B62" s="22">
        <v>4</v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</row>
    <row r="63" spans="1:36" x14ac:dyDescent="0.25">
      <c r="A63" s="22" t="s">
        <v>2514</v>
      </c>
      <c r="B63" s="22">
        <v>0</v>
      </c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</row>
    <row r="64" spans="1:36" x14ac:dyDescent="0.25">
      <c r="A64" s="22" t="s">
        <v>2515</v>
      </c>
      <c r="B64" s="22">
        <v>0</v>
      </c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</row>
    <row r="65" spans="1:36" x14ac:dyDescent="0.25">
      <c r="A65" s="22" t="s">
        <v>2516</v>
      </c>
      <c r="B65" s="22">
        <v>0</v>
      </c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</row>
    <row r="66" spans="1:36" x14ac:dyDescent="0.25">
      <c r="A66" s="22" t="s">
        <v>2517</v>
      </c>
      <c r="B66" s="22">
        <v>0</v>
      </c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</row>
    <row r="67" spans="1:36" x14ac:dyDescent="0.25">
      <c r="A67" s="22" t="s">
        <v>2518</v>
      </c>
      <c r="B67" s="22">
        <v>0</v>
      </c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</row>
    <row r="68" spans="1:36" x14ac:dyDescent="0.25">
      <c r="A68" s="22" t="s">
        <v>2519</v>
      </c>
      <c r="B68" s="22">
        <v>0</v>
      </c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</row>
    <row r="69" spans="1:36" x14ac:dyDescent="0.25">
      <c r="A69" s="22" t="s">
        <v>2520</v>
      </c>
      <c r="B69" s="22">
        <v>0</v>
      </c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</row>
    <row r="70" spans="1:36" x14ac:dyDescent="0.25">
      <c r="A70" s="22" t="s">
        <v>1931</v>
      </c>
      <c r="B70" s="22">
        <v>212</v>
      </c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</row>
    <row r="71" spans="1:36" x14ac:dyDescent="0.25">
      <c r="A71" s="22" t="s">
        <v>2521</v>
      </c>
      <c r="B71" s="22">
        <v>11</v>
      </c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</row>
    <row r="72" spans="1:36" x14ac:dyDescent="0.25">
      <c r="A72" s="22" t="s">
        <v>2522</v>
      </c>
      <c r="B72" s="22">
        <v>0</v>
      </c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</row>
    <row r="73" spans="1:36" x14ac:dyDescent="0.25">
      <c r="A73" s="22" t="s">
        <v>2523</v>
      </c>
      <c r="B73" s="22">
        <v>0</v>
      </c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</row>
    <row r="74" spans="1:36" x14ac:dyDescent="0.25">
      <c r="A74" s="22" t="s">
        <v>2524</v>
      </c>
      <c r="B74" s="22">
        <v>2</v>
      </c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</row>
    <row r="75" spans="1:36" x14ac:dyDescent="0.25">
      <c r="A75" s="22" t="s">
        <v>2525</v>
      </c>
      <c r="B75" s="22">
        <v>0</v>
      </c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</row>
    <row r="76" spans="1:36" x14ac:dyDescent="0.25">
      <c r="A76" s="22" t="s">
        <v>2526</v>
      </c>
      <c r="B76" s="22">
        <v>0</v>
      </c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</row>
    <row r="77" spans="1:36" x14ac:dyDescent="0.25">
      <c r="A77" s="22" t="s">
        <v>2527</v>
      </c>
      <c r="B77" s="22">
        <v>0</v>
      </c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</row>
    <row r="78" spans="1:36" x14ac:dyDescent="0.25">
      <c r="A78" s="22" t="s">
        <v>1932</v>
      </c>
      <c r="B78" s="22">
        <v>36</v>
      </c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</row>
    <row r="79" spans="1:36" x14ac:dyDescent="0.25">
      <c r="A79" s="22" t="s">
        <v>2528</v>
      </c>
      <c r="B79" s="22">
        <v>0</v>
      </c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</row>
    <row r="80" spans="1:36" x14ac:dyDescent="0.25">
      <c r="A80" s="22" t="s">
        <v>2529</v>
      </c>
      <c r="B80" s="22">
        <v>0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</row>
    <row r="81" spans="1:36" x14ac:dyDescent="0.25">
      <c r="A81" s="22" t="s">
        <v>2530</v>
      </c>
      <c r="B81" s="22">
        <v>0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</row>
    <row r="82" spans="1:36" x14ac:dyDescent="0.25">
      <c r="A82" s="22" t="s">
        <v>2531</v>
      </c>
      <c r="B82" s="22">
        <v>3</v>
      </c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</row>
    <row r="83" spans="1:36" x14ac:dyDescent="0.25">
      <c r="A83" s="22" t="s">
        <v>2532</v>
      </c>
      <c r="B83" s="22">
        <v>0</v>
      </c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</row>
    <row r="84" spans="1:36" x14ac:dyDescent="0.25">
      <c r="A84" s="22" t="s">
        <v>2533</v>
      </c>
      <c r="B84" s="22">
        <v>0</v>
      </c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</row>
    <row r="85" spans="1:36" x14ac:dyDescent="0.25">
      <c r="A85" s="22" t="s">
        <v>2534</v>
      </c>
      <c r="B85" s="22">
        <v>0</v>
      </c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</row>
    <row r="86" spans="1:36" x14ac:dyDescent="0.25">
      <c r="A86" s="22" t="s">
        <v>1933</v>
      </c>
      <c r="B86" s="22">
        <v>143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</row>
    <row r="87" spans="1:36" x14ac:dyDescent="0.25">
      <c r="A87" s="22" t="s">
        <v>2535</v>
      </c>
      <c r="B87" s="22">
        <v>4</v>
      </c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</row>
    <row r="88" spans="1:36" x14ac:dyDescent="0.25">
      <c r="A88" s="22" t="s">
        <v>2536</v>
      </c>
      <c r="B88" s="22">
        <v>0</v>
      </c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</row>
    <row r="89" spans="1:36" x14ac:dyDescent="0.25">
      <c r="A89" s="22" t="s">
        <v>2537</v>
      </c>
      <c r="B89" s="22">
        <v>0</v>
      </c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</row>
    <row r="90" spans="1:36" x14ac:dyDescent="0.25">
      <c r="A90" s="22" t="s">
        <v>2538</v>
      </c>
      <c r="B90" s="22">
        <v>3</v>
      </c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</row>
    <row r="91" spans="1:36" x14ac:dyDescent="0.25">
      <c r="A91" s="22" t="s">
        <v>2539</v>
      </c>
      <c r="B91" s="22">
        <v>0</v>
      </c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</row>
    <row r="92" spans="1:36" x14ac:dyDescent="0.25">
      <c r="A92" s="22" t="s">
        <v>2540</v>
      </c>
      <c r="B92" s="22">
        <v>0</v>
      </c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</row>
    <row r="93" spans="1:36" x14ac:dyDescent="0.25">
      <c r="A93" s="22" t="s">
        <v>2541</v>
      </c>
      <c r="B93" s="22">
        <v>0</v>
      </c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</row>
    <row r="94" spans="1:36" x14ac:dyDescent="0.25">
      <c r="A94" s="22" t="s">
        <v>1934</v>
      </c>
      <c r="B94" s="22">
        <v>0</v>
      </c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</row>
    <row r="95" spans="1:36" x14ac:dyDescent="0.25">
      <c r="A95" s="22" t="s">
        <v>2542</v>
      </c>
      <c r="B95" s="22">
        <v>0</v>
      </c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</row>
    <row r="96" spans="1:36" x14ac:dyDescent="0.25">
      <c r="A96" s="22" t="s">
        <v>2543</v>
      </c>
      <c r="B96" s="22">
        <v>0</v>
      </c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</row>
    <row r="97" spans="1:36" x14ac:dyDescent="0.25">
      <c r="A97" s="22" t="s">
        <v>2544</v>
      </c>
      <c r="B97" s="22">
        <v>0</v>
      </c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</row>
    <row r="98" spans="1:36" x14ac:dyDescent="0.25">
      <c r="A98" s="22" t="s">
        <v>2545</v>
      </c>
      <c r="B98" s="22">
        <v>0</v>
      </c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</row>
    <row r="99" spans="1:36" x14ac:dyDescent="0.25">
      <c r="A99" s="22" t="s">
        <v>2546</v>
      </c>
      <c r="B99" s="22">
        <v>0</v>
      </c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</row>
    <row r="100" spans="1:36" x14ac:dyDescent="0.25">
      <c r="A100" s="22" t="s">
        <v>2547</v>
      </c>
      <c r="B100" s="22">
        <v>0</v>
      </c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</row>
    <row r="101" spans="1:36" x14ac:dyDescent="0.25">
      <c r="A101" s="22" t="s">
        <v>2548</v>
      </c>
      <c r="B101" s="22">
        <v>0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</row>
    <row r="102" spans="1:36" x14ac:dyDescent="0.25">
      <c r="A102" s="22" t="s">
        <v>1935</v>
      </c>
      <c r="B102" s="22">
        <v>262</v>
      </c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</row>
    <row r="103" spans="1:36" x14ac:dyDescent="0.25">
      <c r="A103" s="22" t="s">
        <v>2549</v>
      </c>
      <c r="B103" s="22">
        <v>151</v>
      </c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</row>
    <row r="104" spans="1:36" x14ac:dyDescent="0.25">
      <c r="A104" s="22" t="s">
        <v>2550</v>
      </c>
      <c r="B104" s="22">
        <v>0</v>
      </c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</row>
    <row r="105" spans="1:36" x14ac:dyDescent="0.25">
      <c r="A105" s="22" t="s">
        <v>2551</v>
      </c>
      <c r="B105" s="22">
        <v>0</v>
      </c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</row>
    <row r="106" spans="1:36" x14ac:dyDescent="0.25">
      <c r="A106" s="22" t="s">
        <v>2552</v>
      </c>
      <c r="B106" s="22">
        <v>5</v>
      </c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</row>
    <row r="107" spans="1:36" x14ac:dyDescent="0.25">
      <c r="A107" s="22" t="s">
        <v>2553</v>
      </c>
      <c r="B107" s="22">
        <v>0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</row>
    <row r="108" spans="1:36" x14ac:dyDescent="0.25">
      <c r="A108" s="22" t="s">
        <v>2554</v>
      </c>
      <c r="B108" s="22">
        <v>0</v>
      </c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</row>
    <row r="109" spans="1:36" x14ac:dyDescent="0.25">
      <c r="A109" s="22" t="s">
        <v>2555</v>
      </c>
      <c r="B109" s="22">
        <v>0</v>
      </c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</row>
    <row r="110" spans="1:36" x14ac:dyDescent="0.25">
      <c r="A110" s="22" t="s">
        <v>1936</v>
      </c>
      <c r="B110" s="22">
        <v>12</v>
      </c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</row>
    <row r="111" spans="1:36" x14ac:dyDescent="0.25">
      <c r="A111" s="22" t="s">
        <v>2556</v>
      </c>
      <c r="B111" s="22">
        <v>0</v>
      </c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</row>
    <row r="112" spans="1:36" x14ac:dyDescent="0.25">
      <c r="A112" s="22" t="s">
        <v>2557</v>
      </c>
      <c r="B112" s="22">
        <v>0</v>
      </c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</row>
    <row r="113" spans="1:36" x14ac:dyDescent="0.25">
      <c r="A113" s="22" t="s">
        <v>2558</v>
      </c>
      <c r="B113" s="22">
        <v>0</v>
      </c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</row>
    <row r="114" spans="1:36" x14ac:dyDescent="0.25">
      <c r="A114" s="22" t="s">
        <v>2559</v>
      </c>
      <c r="B114" s="22">
        <v>0</v>
      </c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</row>
    <row r="115" spans="1:36" x14ac:dyDescent="0.25">
      <c r="A115" s="22" t="s">
        <v>2560</v>
      </c>
      <c r="B115" s="22">
        <v>0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</row>
    <row r="116" spans="1:36" x14ac:dyDescent="0.25">
      <c r="A116" s="22" t="s">
        <v>2561</v>
      </c>
      <c r="B116" s="22">
        <v>0</v>
      </c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</row>
    <row r="117" spans="1:36" x14ac:dyDescent="0.25">
      <c r="A117" s="22" t="s">
        <v>2562</v>
      </c>
      <c r="B117" s="22">
        <v>0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</row>
    <row r="118" spans="1:36" x14ac:dyDescent="0.25">
      <c r="A118" s="22" t="s">
        <v>1937</v>
      </c>
      <c r="B118" s="22">
        <v>226</v>
      </c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</row>
    <row r="119" spans="1:36" x14ac:dyDescent="0.25">
      <c r="A119" s="22" t="s">
        <v>2563</v>
      </c>
      <c r="B119" s="22">
        <v>75</v>
      </c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</row>
    <row r="120" spans="1:36" x14ac:dyDescent="0.25">
      <c r="A120" s="22" t="s">
        <v>2564</v>
      </c>
      <c r="B120" s="22">
        <v>0</v>
      </c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</row>
    <row r="121" spans="1:36" x14ac:dyDescent="0.25">
      <c r="A121" s="22" t="s">
        <v>2565</v>
      </c>
      <c r="B121" s="22">
        <v>0</v>
      </c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</row>
    <row r="122" spans="1:36" x14ac:dyDescent="0.25">
      <c r="A122" s="22" t="s">
        <v>2566</v>
      </c>
      <c r="B122" s="22">
        <v>3</v>
      </c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</row>
    <row r="123" spans="1:36" x14ac:dyDescent="0.25">
      <c r="A123" s="22" t="s">
        <v>2567</v>
      </c>
      <c r="B123" s="22">
        <v>0</v>
      </c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</row>
    <row r="124" spans="1:36" x14ac:dyDescent="0.25">
      <c r="A124" s="22" t="s">
        <v>2568</v>
      </c>
      <c r="B124" s="22">
        <v>0</v>
      </c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</row>
    <row r="125" spans="1:36" x14ac:dyDescent="0.25">
      <c r="A125" s="22" t="s">
        <v>2569</v>
      </c>
      <c r="B125" s="22">
        <v>0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</row>
    <row r="126" spans="1:36" x14ac:dyDescent="0.25">
      <c r="A126" s="22" t="s">
        <v>1938</v>
      </c>
      <c r="B126" s="22">
        <v>203</v>
      </c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</row>
    <row r="127" spans="1:36" x14ac:dyDescent="0.25">
      <c r="A127" s="22" t="s">
        <v>2570</v>
      </c>
      <c r="B127" s="22">
        <v>0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</row>
    <row r="128" spans="1:36" x14ac:dyDescent="0.25">
      <c r="A128" s="22" t="s">
        <v>2571</v>
      </c>
      <c r="B128" s="22">
        <v>0</v>
      </c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</row>
    <row r="129" spans="1:36" x14ac:dyDescent="0.25">
      <c r="A129" s="22" t="s">
        <v>2572</v>
      </c>
      <c r="B129" s="22">
        <v>0</v>
      </c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</row>
    <row r="130" spans="1:36" x14ac:dyDescent="0.25">
      <c r="A130" s="22" t="s">
        <v>2573</v>
      </c>
      <c r="B130" s="22">
        <v>1</v>
      </c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</row>
    <row r="131" spans="1:36" x14ac:dyDescent="0.25">
      <c r="A131" s="22" t="s">
        <v>2574</v>
      </c>
      <c r="B131" s="22">
        <v>0</v>
      </c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</row>
    <row r="132" spans="1:36" x14ac:dyDescent="0.25">
      <c r="A132" s="22" t="s">
        <v>2575</v>
      </c>
      <c r="B132" s="22">
        <v>0</v>
      </c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</row>
    <row r="133" spans="1:36" x14ac:dyDescent="0.25">
      <c r="A133" s="22" t="s">
        <v>2576</v>
      </c>
      <c r="B133" s="22">
        <v>0</v>
      </c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</row>
    <row r="134" spans="1:36" x14ac:dyDescent="0.25">
      <c r="A134" s="22" t="s">
        <v>1939</v>
      </c>
      <c r="B134" s="22">
        <v>0</v>
      </c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</row>
    <row r="135" spans="1:36" x14ac:dyDescent="0.25">
      <c r="A135" s="22" t="s">
        <v>2577</v>
      </c>
      <c r="B135" s="22">
        <v>0</v>
      </c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</row>
    <row r="136" spans="1:36" x14ac:dyDescent="0.25">
      <c r="A136" s="22" t="s">
        <v>2578</v>
      </c>
      <c r="B136" s="22">
        <v>0</v>
      </c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</row>
    <row r="137" spans="1:36" x14ac:dyDescent="0.25">
      <c r="A137" s="22" t="s">
        <v>2579</v>
      </c>
      <c r="B137" s="22">
        <v>0</v>
      </c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</row>
    <row r="138" spans="1:36" x14ac:dyDescent="0.25">
      <c r="A138" s="22" t="s">
        <v>2580</v>
      </c>
      <c r="B138" s="22">
        <v>0</v>
      </c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</row>
    <row r="139" spans="1:36" x14ac:dyDescent="0.25">
      <c r="A139" s="22" t="s">
        <v>2581</v>
      </c>
      <c r="B139" s="22">
        <v>0</v>
      </c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</row>
    <row r="140" spans="1:36" x14ac:dyDescent="0.25">
      <c r="A140" s="22" t="s">
        <v>2582</v>
      </c>
      <c r="B140" s="22">
        <v>0</v>
      </c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</row>
    <row r="141" spans="1:36" x14ac:dyDescent="0.25">
      <c r="A141" s="22" t="s">
        <v>2583</v>
      </c>
      <c r="B141" s="22">
        <v>0</v>
      </c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</row>
    <row r="142" spans="1:36" x14ac:dyDescent="0.25">
      <c r="A142" s="22" t="s">
        <v>1940</v>
      </c>
      <c r="B142" s="22">
        <v>0</v>
      </c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</row>
    <row r="143" spans="1:36" x14ac:dyDescent="0.25">
      <c r="A143" s="22" t="s">
        <v>2584</v>
      </c>
      <c r="B143" s="22">
        <v>0</v>
      </c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</row>
    <row r="144" spans="1:36" x14ac:dyDescent="0.25">
      <c r="A144" s="22" t="s">
        <v>2585</v>
      </c>
      <c r="B144" s="22">
        <v>0</v>
      </c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</row>
    <row r="145" spans="1:36" x14ac:dyDescent="0.25">
      <c r="A145" s="22" t="s">
        <v>2586</v>
      </c>
      <c r="B145" s="22">
        <v>0</v>
      </c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</row>
    <row r="146" spans="1:36" x14ac:dyDescent="0.25">
      <c r="A146" s="22" t="s">
        <v>2587</v>
      </c>
      <c r="B146" s="22">
        <v>0</v>
      </c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</row>
    <row r="147" spans="1:36" x14ac:dyDescent="0.25">
      <c r="A147" s="22" t="s">
        <v>2588</v>
      </c>
      <c r="B147" s="22">
        <v>0</v>
      </c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</row>
    <row r="148" spans="1:36" x14ac:dyDescent="0.25">
      <c r="A148" s="22" t="s">
        <v>2589</v>
      </c>
      <c r="B148" s="22">
        <v>0</v>
      </c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</row>
    <row r="149" spans="1:36" x14ac:dyDescent="0.25">
      <c r="A149" s="22" t="s">
        <v>2590</v>
      </c>
      <c r="B149" s="22">
        <v>0</v>
      </c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</row>
    <row r="150" spans="1:36" x14ac:dyDescent="0.25">
      <c r="A150" s="22" t="s">
        <v>1941</v>
      </c>
      <c r="B150" s="22">
        <v>0</v>
      </c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</row>
    <row r="151" spans="1:36" x14ac:dyDescent="0.25">
      <c r="A151" s="22" t="s">
        <v>2591</v>
      </c>
      <c r="B151" s="22">
        <v>0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</row>
    <row r="152" spans="1:36" x14ac:dyDescent="0.25">
      <c r="A152" s="22" t="s">
        <v>2592</v>
      </c>
      <c r="B152" s="22">
        <v>0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</row>
    <row r="153" spans="1:36" x14ac:dyDescent="0.25">
      <c r="A153" s="22" t="s">
        <v>2593</v>
      </c>
      <c r="B153" s="22">
        <v>0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</row>
    <row r="154" spans="1:36" x14ac:dyDescent="0.25">
      <c r="A154" s="22" t="s">
        <v>2594</v>
      </c>
      <c r="B154" s="22">
        <v>0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</row>
    <row r="155" spans="1:36" x14ac:dyDescent="0.25">
      <c r="A155" s="22" t="s">
        <v>2595</v>
      </c>
      <c r="B155" s="22">
        <v>0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</row>
    <row r="156" spans="1:36" x14ac:dyDescent="0.25">
      <c r="A156" s="22" t="s">
        <v>2596</v>
      </c>
      <c r="B156" s="22">
        <v>0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</row>
    <row r="157" spans="1:36" x14ac:dyDescent="0.25">
      <c r="A157" s="22" t="s">
        <v>2597</v>
      </c>
      <c r="B157" s="22">
        <v>0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</row>
    <row r="158" spans="1:36" x14ac:dyDescent="0.25">
      <c r="A158" s="22" t="s">
        <v>1942</v>
      </c>
      <c r="B158" s="22">
        <v>360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</row>
    <row r="159" spans="1:36" x14ac:dyDescent="0.25">
      <c r="A159" s="22" t="s">
        <v>4465</v>
      </c>
      <c r="B159" s="22">
        <v>231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</row>
    <row r="160" spans="1:36" x14ac:dyDescent="0.25">
      <c r="A160" s="22" t="s">
        <v>4466</v>
      </c>
      <c r="B160" s="22">
        <v>0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</row>
    <row r="161" spans="1:36" x14ac:dyDescent="0.25">
      <c r="A161" s="22" t="s">
        <v>4467</v>
      </c>
      <c r="B161" s="22">
        <v>0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</row>
    <row r="162" spans="1:36" x14ac:dyDescent="0.25">
      <c r="A162" s="22" t="s">
        <v>4468</v>
      </c>
      <c r="B162" s="22">
        <v>3</v>
      </c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</row>
    <row r="163" spans="1:36" x14ac:dyDescent="0.25">
      <c r="A163" s="22" t="s">
        <v>4469</v>
      </c>
      <c r="B163" s="22">
        <v>0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</row>
    <row r="164" spans="1:36" x14ac:dyDescent="0.25">
      <c r="A164" s="22" t="s">
        <v>4470</v>
      </c>
      <c r="B164" s="22">
        <v>0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</row>
    <row r="165" spans="1:36" x14ac:dyDescent="0.25">
      <c r="A165" s="22" t="s">
        <v>4471</v>
      </c>
      <c r="B165" s="22">
        <v>0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</row>
    <row r="166" spans="1:36" x14ac:dyDescent="0.25">
      <c r="A166" s="22" t="s">
        <v>1943</v>
      </c>
      <c r="B166" s="22">
        <v>0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</row>
    <row r="167" spans="1:36" x14ac:dyDescent="0.25">
      <c r="A167" s="22" t="s">
        <v>2598</v>
      </c>
      <c r="B167" s="22">
        <v>0</v>
      </c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</row>
    <row r="168" spans="1:36" x14ac:dyDescent="0.25">
      <c r="A168" s="22" t="s">
        <v>2599</v>
      </c>
      <c r="B168" s="22">
        <v>0</v>
      </c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</row>
    <row r="169" spans="1:36" x14ac:dyDescent="0.25">
      <c r="A169" s="22" t="s">
        <v>2600</v>
      </c>
      <c r="B169" s="22">
        <v>0</v>
      </c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</row>
    <row r="170" spans="1:36" x14ac:dyDescent="0.25">
      <c r="A170" s="22" t="s">
        <v>2601</v>
      </c>
      <c r="B170" s="22">
        <v>0</v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</row>
    <row r="171" spans="1:36" x14ac:dyDescent="0.25">
      <c r="A171" s="22" t="s">
        <v>2602</v>
      </c>
      <c r="B171" s="22">
        <v>0</v>
      </c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</row>
    <row r="172" spans="1:36" x14ac:dyDescent="0.25">
      <c r="A172" s="22" t="s">
        <v>2603</v>
      </c>
      <c r="B172" s="22">
        <v>0</v>
      </c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</row>
    <row r="173" spans="1:36" x14ac:dyDescent="0.25">
      <c r="A173" s="22" t="s">
        <v>2604</v>
      </c>
      <c r="B173" s="22">
        <v>0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</row>
    <row r="174" spans="1:36" x14ac:dyDescent="0.25">
      <c r="A174" s="22" t="s">
        <v>1944</v>
      </c>
      <c r="B174" s="22">
        <v>62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</row>
    <row r="175" spans="1:36" x14ac:dyDescent="0.25">
      <c r="A175" s="22" t="s">
        <v>2605</v>
      </c>
      <c r="B175" s="22">
        <v>0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</row>
    <row r="176" spans="1:36" x14ac:dyDescent="0.25">
      <c r="A176" s="22" t="s">
        <v>2606</v>
      </c>
      <c r="B176" s="22">
        <v>0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</row>
    <row r="177" spans="1:36" x14ac:dyDescent="0.25">
      <c r="A177" s="22" t="s">
        <v>2607</v>
      </c>
      <c r="B177" s="22">
        <v>0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</row>
    <row r="178" spans="1:36" x14ac:dyDescent="0.25">
      <c r="A178" s="22" t="s">
        <v>2608</v>
      </c>
      <c r="B178" s="22">
        <v>0</v>
      </c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</row>
    <row r="179" spans="1:36" x14ac:dyDescent="0.25">
      <c r="A179" s="22" t="s">
        <v>2609</v>
      </c>
      <c r="B179" s="22">
        <v>0</v>
      </c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</row>
    <row r="180" spans="1:36" x14ac:dyDescent="0.25">
      <c r="A180" s="22" t="s">
        <v>2610</v>
      </c>
      <c r="B180" s="22">
        <v>0</v>
      </c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</row>
    <row r="181" spans="1:36" x14ac:dyDescent="0.25">
      <c r="A181" s="22" t="s">
        <v>2611</v>
      </c>
      <c r="B181" s="22">
        <v>0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</row>
    <row r="182" spans="1:36" x14ac:dyDescent="0.25">
      <c r="A182" s="22" t="s">
        <v>1945</v>
      </c>
      <c r="B182" s="22">
        <v>0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</row>
    <row r="183" spans="1:36" x14ac:dyDescent="0.25">
      <c r="A183" s="22" t="s">
        <v>2612</v>
      </c>
      <c r="B183" s="22">
        <v>0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</row>
    <row r="184" spans="1:36" x14ac:dyDescent="0.25">
      <c r="A184" s="22" t="s">
        <v>2613</v>
      </c>
      <c r="B184" s="22">
        <v>0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</row>
    <row r="185" spans="1:36" x14ac:dyDescent="0.25">
      <c r="A185" s="22" t="s">
        <v>2614</v>
      </c>
      <c r="B185" s="22">
        <v>0</v>
      </c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</row>
    <row r="186" spans="1:36" x14ac:dyDescent="0.25">
      <c r="A186" s="22" t="s">
        <v>2615</v>
      </c>
      <c r="B186" s="22">
        <v>0</v>
      </c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</row>
    <row r="187" spans="1:36" x14ac:dyDescent="0.25">
      <c r="A187" s="22" t="s">
        <v>2616</v>
      </c>
      <c r="B187" s="22">
        <v>0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</row>
    <row r="188" spans="1:36" x14ac:dyDescent="0.25">
      <c r="A188" s="22" t="s">
        <v>2617</v>
      </c>
      <c r="B188" s="22">
        <v>0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</row>
    <row r="189" spans="1:36" x14ac:dyDescent="0.25">
      <c r="A189" s="22" t="s">
        <v>2618</v>
      </c>
      <c r="B189" s="22">
        <v>0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</row>
    <row r="190" spans="1:36" x14ac:dyDescent="0.25">
      <c r="A190" s="22" t="s">
        <v>1946</v>
      </c>
      <c r="B190" s="22">
        <v>0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</row>
    <row r="191" spans="1:36" x14ac:dyDescent="0.25">
      <c r="A191" s="22" t="s">
        <v>2619</v>
      </c>
      <c r="B191" s="22">
        <v>0</v>
      </c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</row>
    <row r="192" spans="1:36" x14ac:dyDescent="0.25">
      <c r="A192" s="22" t="s">
        <v>2620</v>
      </c>
      <c r="B192" s="22">
        <v>0</v>
      </c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</row>
    <row r="193" spans="1:36" x14ac:dyDescent="0.25">
      <c r="A193" s="22" t="s">
        <v>2621</v>
      </c>
      <c r="B193" s="22">
        <v>0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</row>
    <row r="194" spans="1:36" x14ac:dyDescent="0.25">
      <c r="A194" s="22" t="s">
        <v>2622</v>
      </c>
      <c r="B194" s="22">
        <v>0</v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</row>
    <row r="195" spans="1:36" x14ac:dyDescent="0.25">
      <c r="A195" s="22" t="s">
        <v>2623</v>
      </c>
      <c r="B195" s="22">
        <v>0</v>
      </c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</row>
    <row r="196" spans="1:36" x14ac:dyDescent="0.25">
      <c r="A196" s="22" t="s">
        <v>2624</v>
      </c>
      <c r="B196" s="22">
        <v>0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</row>
    <row r="197" spans="1:36" x14ac:dyDescent="0.25">
      <c r="A197" s="22" t="s">
        <v>2625</v>
      </c>
      <c r="B197" s="22">
        <v>0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</row>
    <row r="198" spans="1:36" x14ac:dyDescent="0.25">
      <c r="A198" s="22" t="s">
        <v>1947</v>
      </c>
      <c r="B198" s="22">
        <v>0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</row>
    <row r="199" spans="1:36" x14ac:dyDescent="0.25">
      <c r="A199" s="22" t="s">
        <v>2626</v>
      </c>
      <c r="B199" s="22">
        <v>0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</row>
    <row r="200" spans="1:36" x14ac:dyDescent="0.25">
      <c r="A200" s="22" t="s">
        <v>2627</v>
      </c>
      <c r="B200" s="22">
        <v>0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</row>
    <row r="201" spans="1:36" x14ac:dyDescent="0.25">
      <c r="A201" s="22" t="s">
        <v>2628</v>
      </c>
      <c r="B201" s="22">
        <v>0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</row>
    <row r="202" spans="1:36" x14ac:dyDescent="0.25">
      <c r="A202" s="22" t="s">
        <v>2629</v>
      </c>
      <c r="B202" s="22">
        <v>0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</row>
    <row r="203" spans="1:36" x14ac:dyDescent="0.25">
      <c r="A203" s="22" t="s">
        <v>2630</v>
      </c>
      <c r="B203" s="22">
        <v>0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</row>
    <row r="204" spans="1:36" x14ac:dyDescent="0.25">
      <c r="A204" s="22" t="s">
        <v>2631</v>
      </c>
      <c r="B204" s="22">
        <v>0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</row>
    <row r="205" spans="1:36" x14ac:dyDescent="0.25">
      <c r="A205" s="22" t="s">
        <v>2632</v>
      </c>
      <c r="B205" s="22">
        <v>0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</row>
    <row r="206" spans="1:36" x14ac:dyDescent="0.25">
      <c r="A206" s="22" t="s">
        <v>4472</v>
      </c>
      <c r="B206" s="22">
        <v>27</v>
      </c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</row>
    <row r="207" spans="1:36" x14ac:dyDescent="0.25">
      <c r="A207" s="22" t="s">
        <v>4473</v>
      </c>
      <c r="B207" s="22">
        <v>0</v>
      </c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</row>
    <row r="208" spans="1:36" x14ac:dyDescent="0.25">
      <c r="A208" s="22" t="s">
        <v>4474</v>
      </c>
      <c r="B208" s="22">
        <v>0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</row>
    <row r="209" spans="1:36" x14ac:dyDescent="0.25">
      <c r="A209" s="22" t="s">
        <v>4475</v>
      </c>
      <c r="B209" s="22">
        <v>0</v>
      </c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</row>
    <row r="210" spans="1:36" x14ac:dyDescent="0.25">
      <c r="A210" s="22" t="s">
        <v>4476</v>
      </c>
      <c r="B210" s="22">
        <v>0</v>
      </c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</row>
    <row r="211" spans="1:36" x14ac:dyDescent="0.25">
      <c r="A211" s="22" t="s">
        <v>4477</v>
      </c>
      <c r="B211" s="22">
        <v>0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</row>
    <row r="212" spans="1:36" x14ac:dyDescent="0.25">
      <c r="A212" s="22" t="s">
        <v>4478</v>
      </c>
      <c r="B212" s="22">
        <v>0</v>
      </c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</row>
    <row r="213" spans="1:36" x14ac:dyDescent="0.25">
      <c r="A213" s="22" t="s">
        <v>4479</v>
      </c>
      <c r="B213" s="22">
        <v>0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</row>
    <row r="214" spans="1:36" x14ac:dyDescent="0.25">
      <c r="A214" s="22" t="s">
        <v>4480</v>
      </c>
      <c r="B214" s="22">
        <v>26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</row>
    <row r="215" spans="1:36" x14ac:dyDescent="0.25">
      <c r="A215" s="22" t="s">
        <v>4481</v>
      </c>
      <c r="B215" s="22">
        <v>0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</row>
    <row r="216" spans="1:36" x14ac:dyDescent="0.25">
      <c r="A216" s="22" t="s">
        <v>4482</v>
      </c>
      <c r="B216" s="22">
        <v>0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</row>
    <row r="217" spans="1:36" x14ac:dyDescent="0.25">
      <c r="A217" s="22" t="s">
        <v>4483</v>
      </c>
      <c r="B217" s="22">
        <v>0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</row>
    <row r="218" spans="1:36" x14ac:dyDescent="0.25">
      <c r="A218" s="22" t="s">
        <v>4484</v>
      </c>
      <c r="B218" s="22">
        <v>0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</row>
    <row r="219" spans="1:36" x14ac:dyDescent="0.25">
      <c r="A219" s="22" t="s">
        <v>4485</v>
      </c>
      <c r="B219" s="22">
        <v>0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</row>
    <row r="220" spans="1:36" x14ac:dyDescent="0.25">
      <c r="A220" s="22" t="s">
        <v>4486</v>
      </c>
      <c r="B220" s="22">
        <v>0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</row>
    <row r="221" spans="1:36" x14ac:dyDescent="0.25">
      <c r="A221" s="22" t="s">
        <v>4487</v>
      </c>
      <c r="B221" s="22">
        <v>0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</row>
    <row r="222" spans="1:36" x14ac:dyDescent="0.25">
      <c r="A222" s="22" t="s">
        <v>4488</v>
      </c>
      <c r="B222" s="22">
        <v>0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</row>
    <row r="223" spans="1:36" x14ac:dyDescent="0.25">
      <c r="A223" s="22" t="s">
        <v>4489</v>
      </c>
      <c r="B223" s="22">
        <v>0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</row>
    <row r="224" spans="1:36" x14ac:dyDescent="0.25">
      <c r="A224" s="22" t="s">
        <v>4490</v>
      </c>
      <c r="B224" s="22">
        <v>0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</row>
    <row r="225" spans="1:36" x14ac:dyDescent="0.25">
      <c r="A225" s="22" t="s">
        <v>4491</v>
      </c>
      <c r="B225" s="22">
        <v>0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</row>
    <row r="226" spans="1:36" x14ac:dyDescent="0.25">
      <c r="A226" s="22" t="s">
        <v>4492</v>
      </c>
      <c r="B226" s="22">
        <v>0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</row>
    <row r="227" spans="1:36" x14ac:dyDescent="0.25">
      <c r="A227" s="22" t="s">
        <v>4493</v>
      </c>
      <c r="B227" s="22">
        <v>0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</row>
    <row r="228" spans="1:36" x14ac:dyDescent="0.25">
      <c r="A228" s="22" t="s">
        <v>4494</v>
      </c>
      <c r="B228" s="22">
        <v>0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</row>
    <row r="229" spans="1:36" x14ac:dyDescent="0.25">
      <c r="A229" s="22" t="s">
        <v>4495</v>
      </c>
      <c r="B229" s="22">
        <v>0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</row>
    <row r="230" spans="1:36" x14ac:dyDescent="0.25">
      <c r="A230" s="22" t="s">
        <v>4496</v>
      </c>
      <c r="B230" s="22">
        <v>0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</row>
    <row r="231" spans="1:36" x14ac:dyDescent="0.25">
      <c r="A231" s="22" t="s">
        <v>4497</v>
      </c>
      <c r="B231" s="22">
        <v>0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</row>
    <row r="232" spans="1:36" x14ac:dyDescent="0.25">
      <c r="A232" s="22" t="s">
        <v>4498</v>
      </c>
      <c r="B232" s="22">
        <v>0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</row>
    <row r="233" spans="1:36" x14ac:dyDescent="0.25">
      <c r="A233" s="22" t="s">
        <v>4499</v>
      </c>
      <c r="B233" s="22">
        <v>0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</row>
    <row r="234" spans="1:36" x14ac:dyDescent="0.25">
      <c r="A234" s="22" t="s">
        <v>4500</v>
      </c>
      <c r="B234" s="22">
        <v>0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</row>
    <row r="235" spans="1:36" x14ac:dyDescent="0.25">
      <c r="A235" s="22" t="s">
        <v>4501</v>
      </c>
      <c r="B235" s="22">
        <v>0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</row>
    <row r="236" spans="1:36" x14ac:dyDescent="0.25">
      <c r="A236" s="22" t="s">
        <v>4502</v>
      </c>
      <c r="B236" s="22">
        <v>0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</row>
    <row r="237" spans="1:36" x14ac:dyDescent="0.25">
      <c r="A237" s="22" t="s">
        <v>4503</v>
      </c>
      <c r="B237" s="22">
        <v>0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</row>
    <row r="238" spans="1:36" x14ac:dyDescent="0.25">
      <c r="A238" s="22" t="s">
        <v>4504</v>
      </c>
      <c r="B238" s="22">
        <v>160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</row>
    <row r="239" spans="1:36" x14ac:dyDescent="0.25">
      <c r="A239" s="22" t="s">
        <v>4505</v>
      </c>
      <c r="B239" s="22">
        <v>0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</row>
    <row r="240" spans="1:36" x14ac:dyDescent="0.25">
      <c r="A240" s="22" t="s">
        <v>4506</v>
      </c>
      <c r="B240" s="22">
        <v>0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</row>
    <row r="241" spans="1:36" x14ac:dyDescent="0.25">
      <c r="A241" s="22" t="s">
        <v>4507</v>
      </c>
      <c r="B241" s="22">
        <v>0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</row>
    <row r="242" spans="1:36" x14ac:dyDescent="0.25">
      <c r="A242" s="22" t="s">
        <v>4508</v>
      </c>
      <c r="B242" s="22">
        <v>1</v>
      </c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</row>
    <row r="243" spans="1:36" x14ac:dyDescent="0.25">
      <c r="A243" s="22" t="s">
        <v>4509</v>
      </c>
      <c r="B243" s="22">
        <v>0</v>
      </c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</row>
    <row r="244" spans="1:36" x14ac:dyDescent="0.25">
      <c r="A244" s="22" t="s">
        <v>4510</v>
      </c>
      <c r="B244" s="22">
        <v>0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</row>
    <row r="245" spans="1:36" x14ac:dyDescent="0.25">
      <c r="A245" s="22" t="s">
        <v>4511</v>
      </c>
      <c r="B245" s="22">
        <v>0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</row>
    <row r="246" spans="1:36" x14ac:dyDescent="0.25">
      <c r="A246" s="22" t="s">
        <v>4512</v>
      </c>
      <c r="B246" s="22">
        <v>0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</row>
    <row r="247" spans="1:36" x14ac:dyDescent="0.25">
      <c r="A247" s="22" t="s">
        <v>4513</v>
      </c>
      <c r="B247" s="22">
        <v>0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</row>
    <row r="248" spans="1:36" x14ac:dyDescent="0.25">
      <c r="A248" s="22" t="s">
        <v>4514</v>
      </c>
      <c r="B248" s="22">
        <v>0</v>
      </c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</row>
    <row r="249" spans="1:36" x14ac:dyDescent="0.25">
      <c r="A249" s="22" t="s">
        <v>4515</v>
      </c>
      <c r="B249" s="22">
        <v>0</v>
      </c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</row>
    <row r="250" spans="1:36" x14ac:dyDescent="0.25">
      <c r="A250" s="22" t="s">
        <v>4516</v>
      </c>
      <c r="B250" s="22">
        <v>0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</row>
    <row r="251" spans="1:36" x14ac:dyDescent="0.25">
      <c r="A251" s="22" t="s">
        <v>4517</v>
      </c>
      <c r="B251" s="22">
        <v>0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</row>
    <row r="252" spans="1:36" x14ac:dyDescent="0.25">
      <c r="A252" s="22" t="s">
        <v>4518</v>
      </c>
      <c r="B252" s="22">
        <v>0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</row>
    <row r="253" spans="1:36" x14ac:dyDescent="0.25">
      <c r="A253" s="22" t="s">
        <v>4519</v>
      </c>
      <c r="B253" s="22">
        <v>0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</row>
    <row r="254" spans="1:36" x14ac:dyDescent="0.25">
      <c r="A254" s="22" t="s">
        <v>4520</v>
      </c>
      <c r="B254" s="22">
        <v>0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</row>
    <row r="255" spans="1:36" x14ac:dyDescent="0.25">
      <c r="A255" s="22" t="s">
        <v>4521</v>
      </c>
      <c r="B255" s="22">
        <v>0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</row>
    <row r="256" spans="1:36" x14ac:dyDescent="0.25">
      <c r="A256" s="22" t="s">
        <v>4522</v>
      </c>
      <c r="B256" s="22">
        <v>0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</row>
    <row r="257" spans="1:36" x14ac:dyDescent="0.25">
      <c r="A257" s="22" t="s">
        <v>4523</v>
      </c>
      <c r="B257" s="22">
        <v>0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</row>
    <row r="258" spans="1:36" x14ac:dyDescent="0.25">
      <c r="A258" s="22" t="s">
        <v>4524</v>
      </c>
      <c r="B258" s="22">
        <v>0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</row>
    <row r="259" spans="1:36" x14ac:dyDescent="0.25">
      <c r="A259" s="22" t="s">
        <v>4525</v>
      </c>
      <c r="B259" s="22">
        <v>0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</row>
    <row r="260" spans="1:36" x14ac:dyDescent="0.25">
      <c r="A260" s="22" t="s">
        <v>4526</v>
      </c>
      <c r="B260" s="22">
        <v>0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</row>
    <row r="261" spans="1:36" x14ac:dyDescent="0.25">
      <c r="A261" s="22" t="s">
        <v>4527</v>
      </c>
      <c r="B261" s="22">
        <v>0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</row>
    <row r="262" spans="1:36" x14ac:dyDescent="0.25">
      <c r="A262" s="22" t="s">
        <v>4528</v>
      </c>
      <c r="B262" s="22">
        <v>0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</row>
    <row r="263" spans="1:36" x14ac:dyDescent="0.25">
      <c r="A263" s="22" t="s">
        <v>4529</v>
      </c>
      <c r="B263" s="22">
        <v>0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</row>
    <row r="264" spans="1:36" x14ac:dyDescent="0.25">
      <c r="A264" s="22" t="s">
        <v>4530</v>
      </c>
      <c r="B264" s="22">
        <v>0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</row>
    <row r="265" spans="1:36" x14ac:dyDescent="0.25">
      <c r="A265" s="22" t="s">
        <v>4531</v>
      </c>
      <c r="B265" s="22">
        <v>0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</row>
    <row r="266" spans="1:36" x14ac:dyDescent="0.25">
      <c r="A266" s="22" t="s">
        <v>4532</v>
      </c>
      <c r="B266" s="22">
        <v>0</v>
      </c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</row>
    <row r="267" spans="1:36" x14ac:dyDescent="0.25">
      <c r="A267" s="22" t="s">
        <v>4533</v>
      </c>
      <c r="B267" s="22">
        <v>0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</row>
    <row r="268" spans="1:36" x14ac:dyDescent="0.25">
      <c r="A268" s="22" t="s">
        <v>4534</v>
      </c>
      <c r="B268" s="22">
        <v>0</v>
      </c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</row>
    <row r="269" spans="1:36" x14ac:dyDescent="0.25">
      <c r="A269" s="22" t="s">
        <v>4535</v>
      </c>
      <c r="B269" s="22">
        <v>0</v>
      </c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</row>
    <row r="270" spans="1:36" x14ac:dyDescent="0.25">
      <c r="A270" s="22" t="s">
        <v>4536</v>
      </c>
      <c r="B270" s="22">
        <v>1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</row>
    <row r="271" spans="1:36" x14ac:dyDescent="0.25">
      <c r="A271" s="22" t="s">
        <v>4537</v>
      </c>
      <c r="B271" s="22">
        <v>0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</row>
    <row r="272" spans="1:36" x14ac:dyDescent="0.25">
      <c r="A272" s="22" t="s">
        <v>4538</v>
      </c>
      <c r="B272" s="22">
        <v>0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</row>
    <row r="273" spans="1:36" x14ac:dyDescent="0.25">
      <c r="A273" s="22" t="s">
        <v>4539</v>
      </c>
      <c r="B273" s="22">
        <v>0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</row>
    <row r="274" spans="1:36" x14ac:dyDescent="0.25">
      <c r="A274" s="22" t="s">
        <v>4540</v>
      </c>
      <c r="B274" s="22">
        <v>0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</row>
    <row r="275" spans="1:36" x14ac:dyDescent="0.25">
      <c r="A275" s="22" t="s">
        <v>4541</v>
      </c>
      <c r="B275" s="22">
        <v>0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</row>
    <row r="276" spans="1:36" x14ac:dyDescent="0.25">
      <c r="A276" s="22" t="s">
        <v>4542</v>
      </c>
      <c r="B276" s="22">
        <v>0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</row>
    <row r="277" spans="1:36" x14ac:dyDescent="0.25">
      <c r="A277" s="22" t="s">
        <v>4543</v>
      </c>
      <c r="B277" s="22">
        <v>0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</row>
    <row r="278" spans="1:36" x14ac:dyDescent="0.25">
      <c r="A278" s="22" t="s">
        <v>4544</v>
      </c>
      <c r="B278" s="22">
        <v>0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</row>
    <row r="279" spans="1:36" x14ac:dyDescent="0.25">
      <c r="A279" s="22" t="s">
        <v>4545</v>
      </c>
      <c r="B279" s="22">
        <v>0</v>
      </c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</row>
    <row r="280" spans="1:36" x14ac:dyDescent="0.25">
      <c r="A280" s="22" t="s">
        <v>4546</v>
      </c>
      <c r="B280" s="22">
        <v>0</v>
      </c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</row>
    <row r="281" spans="1:36" x14ac:dyDescent="0.25">
      <c r="A281" s="22" t="s">
        <v>4547</v>
      </c>
      <c r="B281" s="22">
        <v>0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</row>
    <row r="282" spans="1:36" x14ac:dyDescent="0.25">
      <c r="A282" s="22" t="s">
        <v>4548</v>
      </c>
      <c r="B282" s="22">
        <v>0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</row>
    <row r="283" spans="1:36" x14ac:dyDescent="0.25">
      <c r="A283" s="22" t="s">
        <v>4549</v>
      </c>
      <c r="B283" s="22">
        <v>0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</row>
    <row r="284" spans="1:36" x14ac:dyDescent="0.25">
      <c r="A284" s="22" t="s">
        <v>4550</v>
      </c>
      <c r="B284" s="22">
        <v>0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</row>
    <row r="285" spans="1:36" x14ac:dyDescent="0.25">
      <c r="A285" s="22" t="s">
        <v>4551</v>
      </c>
      <c r="B285" s="22">
        <v>0</v>
      </c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</row>
    <row r="286" spans="1:36" x14ac:dyDescent="0.25">
      <c r="A286" s="22" t="s">
        <v>1948</v>
      </c>
      <c r="B286" s="22">
        <v>0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</row>
    <row r="287" spans="1:36" x14ac:dyDescent="0.25">
      <c r="A287" s="22" t="s">
        <v>2633</v>
      </c>
      <c r="B287" s="22">
        <v>0</v>
      </c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</row>
    <row r="288" spans="1:36" x14ac:dyDescent="0.25">
      <c r="A288" s="22" t="s">
        <v>2634</v>
      </c>
      <c r="B288" s="22">
        <v>0</v>
      </c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</row>
    <row r="289" spans="1:36" x14ac:dyDescent="0.25">
      <c r="A289" s="22" t="s">
        <v>2635</v>
      </c>
      <c r="B289" s="22">
        <v>0</v>
      </c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</row>
    <row r="290" spans="1:36" x14ac:dyDescent="0.25">
      <c r="A290" s="22" t="s">
        <v>2636</v>
      </c>
      <c r="B290" s="22">
        <v>0</v>
      </c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</row>
    <row r="291" spans="1:36" x14ac:dyDescent="0.25">
      <c r="A291" s="22" t="s">
        <v>2637</v>
      </c>
      <c r="B291" s="22">
        <v>0</v>
      </c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</row>
    <row r="292" spans="1:36" x14ac:dyDescent="0.25">
      <c r="A292" s="22" t="s">
        <v>2638</v>
      </c>
      <c r="B292" s="22">
        <v>0</v>
      </c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</row>
    <row r="293" spans="1:36" x14ac:dyDescent="0.25">
      <c r="A293" s="22" t="s">
        <v>2639</v>
      </c>
      <c r="B293" s="22">
        <v>0</v>
      </c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</row>
    <row r="294" spans="1:36" x14ac:dyDescent="0.25">
      <c r="A294" s="22" t="s">
        <v>1952</v>
      </c>
      <c r="B294" s="22">
        <v>205</v>
      </c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</row>
    <row r="295" spans="1:36" x14ac:dyDescent="0.25">
      <c r="A295" s="22" t="s">
        <v>2640</v>
      </c>
      <c r="B295" s="22">
        <v>0</v>
      </c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</row>
    <row r="296" spans="1:36" x14ac:dyDescent="0.25">
      <c r="A296" s="22" t="s">
        <v>2641</v>
      </c>
      <c r="B296" s="22">
        <v>0</v>
      </c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</row>
    <row r="297" spans="1:36" x14ac:dyDescent="0.25">
      <c r="A297" s="22" t="s">
        <v>2642</v>
      </c>
      <c r="B297" s="22">
        <v>0</v>
      </c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</row>
    <row r="298" spans="1:36" x14ac:dyDescent="0.25">
      <c r="A298" s="22" t="s">
        <v>2643</v>
      </c>
      <c r="B298" s="22">
        <v>6</v>
      </c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</row>
    <row r="299" spans="1:36" x14ac:dyDescent="0.25">
      <c r="A299" s="22" t="s">
        <v>2644</v>
      </c>
      <c r="B299" s="22">
        <v>0</v>
      </c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</row>
    <row r="300" spans="1:36" x14ac:dyDescent="0.25">
      <c r="A300" s="22" t="s">
        <v>2645</v>
      </c>
      <c r="B300" s="22">
        <v>0</v>
      </c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</row>
    <row r="301" spans="1:36" x14ac:dyDescent="0.25">
      <c r="A301" s="22" t="s">
        <v>2646</v>
      </c>
      <c r="B301" s="22">
        <v>0</v>
      </c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</row>
    <row r="302" spans="1:36" x14ac:dyDescent="0.25">
      <c r="A302" s="22" t="s">
        <v>1953</v>
      </c>
      <c r="B302" s="22">
        <v>0</v>
      </c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</row>
    <row r="303" spans="1:36" x14ac:dyDescent="0.25">
      <c r="A303" s="22" t="s">
        <v>2647</v>
      </c>
      <c r="B303" s="22">
        <v>0</v>
      </c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</row>
    <row r="304" spans="1:36" x14ac:dyDescent="0.25">
      <c r="A304" s="22" t="s">
        <v>2648</v>
      </c>
      <c r="B304" s="22">
        <v>0</v>
      </c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</row>
    <row r="305" spans="1:36" x14ac:dyDescent="0.25">
      <c r="A305" s="22" t="s">
        <v>2649</v>
      </c>
      <c r="B305" s="22">
        <v>0</v>
      </c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</row>
    <row r="306" spans="1:36" x14ac:dyDescent="0.25">
      <c r="A306" s="22" t="s">
        <v>2650</v>
      </c>
      <c r="B306" s="22">
        <v>0</v>
      </c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</row>
    <row r="307" spans="1:36" x14ac:dyDescent="0.25">
      <c r="A307" s="22" t="s">
        <v>2651</v>
      </c>
      <c r="B307" s="22">
        <v>0</v>
      </c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</row>
    <row r="308" spans="1:36" x14ac:dyDescent="0.25">
      <c r="A308" s="22" t="s">
        <v>2652</v>
      </c>
      <c r="B308" s="22">
        <v>0</v>
      </c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</row>
    <row r="309" spans="1:36" x14ac:dyDescent="0.25">
      <c r="A309" s="22" t="s">
        <v>2653</v>
      </c>
      <c r="B309" s="22">
        <v>0</v>
      </c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</row>
    <row r="310" spans="1:36" x14ac:dyDescent="0.25">
      <c r="A310" s="22" t="s">
        <v>1954</v>
      </c>
      <c r="B310" s="22">
        <v>73</v>
      </c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</row>
    <row r="311" spans="1:36" x14ac:dyDescent="0.25">
      <c r="A311" s="22" t="s">
        <v>2654</v>
      </c>
      <c r="B311" s="22">
        <v>24</v>
      </c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</row>
    <row r="312" spans="1:36" x14ac:dyDescent="0.25">
      <c r="A312" s="22" t="s">
        <v>2655</v>
      </c>
      <c r="B312" s="22">
        <v>0</v>
      </c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</row>
    <row r="313" spans="1:36" x14ac:dyDescent="0.25">
      <c r="A313" s="22" t="s">
        <v>2656</v>
      </c>
      <c r="B313" s="22">
        <v>0</v>
      </c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</row>
    <row r="314" spans="1:36" x14ac:dyDescent="0.25">
      <c r="A314" s="22" t="s">
        <v>2657</v>
      </c>
      <c r="B314" s="22">
        <v>0</v>
      </c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</row>
    <row r="315" spans="1:36" x14ac:dyDescent="0.25">
      <c r="A315" s="22" t="s">
        <v>2658</v>
      </c>
      <c r="B315" s="22">
        <v>0</v>
      </c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</row>
    <row r="316" spans="1:36" x14ac:dyDescent="0.25">
      <c r="A316" s="22" t="s">
        <v>2659</v>
      </c>
      <c r="B316" s="22">
        <v>0</v>
      </c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</row>
    <row r="317" spans="1:36" x14ac:dyDescent="0.25">
      <c r="A317" s="22" t="s">
        <v>2660</v>
      </c>
      <c r="B317" s="22">
        <v>0</v>
      </c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</row>
    <row r="318" spans="1:36" x14ac:dyDescent="0.25">
      <c r="A318" s="22" t="s">
        <v>1955</v>
      </c>
      <c r="B318" s="22">
        <v>70</v>
      </c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</row>
    <row r="319" spans="1:36" x14ac:dyDescent="0.25">
      <c r="A319" s="22" t="s">
        <v>2661</v>
      </c>
      <c r="B319" s="22">
        <v>0</v>
      </c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</row>
    <row r="320" spans="1:36" x14ac:dyDescent="0.25">
      <c r="A320" s="22" t="s">
        <v>2662</v>
      </c>
      <c r="B320" s="22">
        <v>0</v>
      </c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</row>
    <row r="321" spans="1:36" x14ac:dyDescent="0.25">
      <c r="A321" s="22" t="s">
        <v>2663</v>
      </c>
      <c r="B321" s="22">
        <v>0</v>
      </c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</row>
    <row r="322" spans="1:36" x14ac:dyDescent="0.25">
      <c r="A322" s="22" t="s">
        <v>2664</v>
      </c>
      <c r="B322" s="22">
        <v>0</v>
      </c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</row>
    <row r="323" spans="1:36" x14ac:dyDescent="0.25">
      <c r="A323" s="22" t="s">
        <v>2665</v>
      </c>
      <c r="B323" s="22">
        <v>0</v>
      </c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</row>
    <row r="324" spans="1:36" x14ac:dyDescent="0.25">
      <c r="A324" s="22" t="s">
        <v>2666</v>
      </c>
      <c r="B324" s="22">
        <v>0</v>
      </c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</row>
    <row r="325" spans="1:36" x14ac:dyDescent="0.25">
      <c r="A325" s="22" t="s">
        <v>2667</v>
      </c>
      <c r="B325" s="22">
        <v>0</v>
      </c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</row>
    <row r="326" spans="1:36" x14ac:dyDescent="0.25">
      <c r="A326" s="22" t="s">
        <v>1956</v>
      </c>
      <c r="B326" s="22">
        <v>0</v>
      </c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</row>
    <row r="327" spans="1:36" x14ac:dyDescent="0.25">
      <c r="A327" s="22" t="s">
        <v>2668</v>
      </c>
      <c r="B327" s="22">
        <v>0</v>
      </c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</row>
    <row r="328" spans="1:36" x14ac:dyDescent="0.25">
      <c r="A328" s="22" t="s">
        <v>2669</v>
      </c>
      <c r="B328" s="22">
        <v>0</v>
      </c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</row>
    <row r="329" spans="1:36" x14ac:dyDescent="0.25">
      <c r="A329" s="22" t="s">
        <v>2670</v>
      </c>
      <c r="B329" s="22">
        <v>0</v>
      </c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</row>
    <row r="330" spans="1:36" x14ac:dyDescent="0.25">
      <c r="A330" s="22" t="s">
        <v>2671</v>
      </c>
      <c r="B330" s="22">
        <v>0</v>
      </c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</row>
    <row r="331" spans="1:36" x14ac:dyDescent="0.25">
      <c r="A331" s="22" t="s">
        <v>2672</v>
      </c>
      <c r="B331" s="22">
        <v>0</v>
      </c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</row>
    <row r="332" spans="1:36" x14ac:dyDescent="0.25">
      <c r="A332" s="22" t="s">
        <v>2673</v>
      </c>
      <c r="B332" s="22">
        <v>0</v>
      </c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</row>
    <row r="333" spans="1:36" x14ac:dyDescent="0.25">
      <c r="A333" s="22" t="s">
        <v>2674</v>
      </c>
      <c r="B333" s="22">
        <v>0</v>
      </c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</row>
    <row r="334" spans="1:36" x14ac:dyDescent="0.25">
      <c r="A334" s="22" t="s">
        <v>1957</v>
      </c>
      <c r="B334" s="22">
        <v>0</v>
      </c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</row>
    <row r="335" spans="1:36" x14ac:dyDescent="0.25">
      <c r="A335" s="22" t="s">
        <v>2675</v>
      </c>
      <c r="B335" s="22">
        <v>0</v>
      </c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</row>
    <row r="336" spans="1:36" x14ac:dyDescent="0.25">
      <c r="A336" s="22" t="s">
        <v>2676</v>
      </c>
      <c r="B336" s="22">
        <v>0</v>
      </c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</row>
    <row r="337" spans="1:36" x14ac:dyDescent="0.25">
      <c r="A337" s="22" t="s">
        <v>2677</v>
      </c>
      <c r="B337" s="22">
        <v>0</v>
      </c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</row>
    <row r="338" spans="1:36" x14ac:dyDescent="0.25">
      <c r="A338" s="22" t="s">
        <v>2678</v>
      </c>
      <c r="B338" s="22">
        <v>0</v>
      </c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</row>
    <row r="339" spans="1:36" x14ac:dyDescent="0.25">
      <c r="A339" s="22" t="s">
        <v>2679</v>
      </c>
      <c r="B339" s="22">
        <v>0</v>
      </c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</row>
    <row r="340" spans="1:36" x14ac:dyDescent="0.25">
      <c r="A340" s="22" t="s">
        <v>2680</v>
      </c>
      <c r="B340" s="22">
        <v>0</v>
      </c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</row>
    <row r="341" spans="1:36" x14ac:dyDescent="0.25">
      <c r="A341" s="22" t="s">
        <v>2681</v>
      </c>
      <c r="B341" s="22">
        <v>0</v>
      </c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</row>
    <row r="342" spans="1:36" x14ac:dyDescent="0.25">
      <c r="A342" s="22" t="s">
        <v>1958</v>
      </c>
      <c r="B342" s="22">
        <v>0</v>
      </c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</row>
    <row r="343" spans="1:36" x14ac:dyDescent="0.25">
      <c r="A343" s="22" t="s">
        <v>2682</v>
      </c>
      <c r="B343" s="22">
        <v>0</v>
      </c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</row>
    <row r="344" spans="1:36" x14ac:dyDescent="0.25">
      <c r="A344" s="22" t="s">
        <v>2683</v>
      </c>
      <c r="B344" s="22">
        <v>0</v>
      </c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</row>
    <row r="345" spans="1:36" x14ac:dyDescent="0.25">
      <c r="A345" s="22" t="s">
        <v>2684</v>
      </c>
      <c r="B345" s="22">
        <v>0</v>
      </c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</row>
    <row r="346" spans="1:36" x14ac:dyDescent="0.25">
      <c r="A346" s="22" t="s">
        <v>2685</v>
      </c>
      <c r="B346" s="22">
        <v>0</v>
      </c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</row>
    <row r="347" spans="1:36" x14ac:dyDescent="0.25">
      <c r="A347" s="22" t="s">
        <v>2686</v>
      </c>
      <c r="B347" s="22">
        <v>0</v>
      </c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</row>
    <row r="348" spans="1:36" x14ac:dyDescent="0.25">
      <c r="A348" s="22" t="s">
        <v>2687</v>
      </c>
      <c r="B348" s="22">
        <v>0</v>
      </c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</row>
    <row r="349" spans="1:36" x14ac:dyDescent="0.25">
      <c r="A349" s="22" t="s">
        <v>2688</v>
      </c>
      <c r="B349" s="22">
        <v>0</v>
      </c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</row>
    <row r="350" spans="1:36" x14ac:dyDescent="0.25">
      <c r="A350" s="22" t="s">
        <v>1959</v>
      </c>
      <c r="B350" s="22">
        <v>0</v>
      </c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</row>
    <row r="351" spans="1:36" x14ac:dyDescent="0.25">
      <c r="A351" s="22" t="s">
        <v>2689</v>
      </c>
      <c r="B351" s="22">
        <v>0</v>
      </c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</row>
    <row r="352" spans="1:36" x14ac:dyDescent="0.25">
      <c r="A352" s="22" t="s">
        <v>2690</v>
      </c>
      <c r="B352" s="22">
        <v>0</v>
      </c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</row>
    <row r="353" spans="1:36" x14ac:dyDescent="0.25">
      <c r="A353" s="22" t="s">
        <v>2691</v>
      </c>
      <c r="B353" s="22">
        <v>0</v>
      </c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</row>
    <row r="354" spans="1:36" x14ac:dyDescent="0.25">
      <c r="A354" s="22" t="s">
        <v>2692</v>
      </c>
      <c r="B354" s="22">
        <v>0</v>
      </c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</row>
    <row r="355" spans="1:36" x14ac:dyDescent="0.25">
      <c r="A355" s="22" t="s">
        <v>2693</v>
      </c>
      <c r="B355" s="22">
        <v>0</v>
      </c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</row>
    <row r="356" spans="1:36" x14ac:dyDescent="0.25">
      <c r="A356" s="22" t="s">
        <v>2694</v>
      </c>
      <c r="B356" s="22">
        <v>0</v>
      </c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</row>
    <row r="357" spans="1:36" x14ac:dyDescent="0.25">
      <c r="A357" s="22" t="s">
        <v>2695</v>
      </c>
      <c r="B357" s="22">
        <v>0</v>
      </c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</row>
    <row r="358" spans="1:36" x14ac:dyDescent="0.25">
      <c r="A358" s="22" t="s">
        <v>1963</v>
      </c>
      <c r="B358" s="22">
        <v>94</v>
      </c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</row>
    <row r="359" spans="1:36" x14ac:dyDescent="0.25">
      <c r="A359" s="22" t="s">
        <v>2696</v>
      </c>
      <c r="B359" s="22">
        <v>0</v>
      </c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</row>
    <row r="360" spans="1:36" x14ac:dyDescent="0.25">
      <c r="A360" s="22" t="s">
        <v>2697</v>
      </c>
      <c r="B360" s="22">
        <v>0</v>
      </c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</row>
    <row r="361" spans="1:36" x14ac:dyDescent="0.25">
      <c r="A361" s="22" t="s">
        <v>2698</v>
      </c>
      <c r="B361" s="22">
        <v>0</v>
      </c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</row>
    <row r="362" spans="1:36" x14ac:dyDescent="0.25">
      <c r="A362" s="22" t="s">
        <v>2699</v>
      </c>
      <c r="B362" s="22">
        <v>0</v>
      </c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</row>
    <row r="363" spans="1:36" x14ac:dyDescent="0.25">
      <c r="A363" s="22" t="s">
        <v>2700</v>
      </c>
      <c r="B363" s="22">
        <v>0</v>
      </c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</row>
    <row r="364" spans="1:36" x14ac:dyDescent="0.25">
      <c r="A364" s="22" t="s">
        <v>2701</v>
      </c>
      <c r="B364" s="22">
        <v>0</v>
      </c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</row>
    <row r="365" spans="1:36" x14ac:dyDescent="0.25">
      <c r="A365" s="22" t="s">
        <v>2702</v>
      </c>
      <c r="B365" s="22">
        <v>0</v>
      </c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</row>
    <row r="366" spans="1:36" x14ac:dyDescent="0.25">
      <c r="A366" s="22" t="s">
        <v>1964</v>
      </c>
      <c r="B366" s="22">
        <v>0</v>
      </c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</row>
    <row r="367" spans="1:36" x14ac:dyDescent="0.25">
      <c r="A367" s="22" t="s">
        <v>4552</v>
      </c>
      <c r="B367" s="22">
        <v>0</v>
      </c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</row>
    <row r="368" spans="1:36" x14ac:dyDescent="0.25">
      <c r="A368" s="22" t="s">
        <v>4553</v>
      </c>
      <c r="B368" s="22">
        <v>0</v>
      </c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</row>
    <row r="369" spans="1:36" x14ac:dyDescent="0.25">
      <c r="A369" s="22" t="s">
        <v>4554</v>
      </c>
      <c r="B369" s="22">
        <v>0</v>
      </c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</row>
    <row r="370" spans="1:36" x14ac:dyDescent="0.25">
      <c r="A370" s="22" t="s">
        <v>4555</v>
      </c>
      <c r="B370" s="22">
        <v>0</v>
      </c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</row>
    <row r="371" spans="1:36" x14ac:dyDescent="0.25">
      <c r="A371" s="22" t="s">
        <v>4556</v>
      </c>
      <c r="B371" s="22">
        <v>0</v>
      </c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</row>
    <row r="372" spans="1:36" x14ac:dyDescent="0.25">
      <c r="A372" s="22" t="s">
        <v>4557</v>
      </c>
      <c r="B372" s="22">
        <v>0</v>
      </c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</row>
    <row r="373" spans="1:36" x14ac:dyDescent="0.25">
      <c r="A373" s="22" t="s">
        <v>4558</v>
      </c>
      <c r="B373" s="22">
        <v>0</v>
      </c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</row>
    <row r="374" spans="1:36" x14ac:dyDescent="0.25">
      <c r="A374" s="22" t="s">
        <v>1965</v>
      </c>
      <c r="B374" s="22">
        <v>429</v>
      </c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</row>
    <row r="375" spans="1:36" x14ac:dyDescent="0.25">
      <c r="A375" s="22" t="s">
        <v>2703</v>
      </c>
      <c r="B375" s="22">
        <v>0</v>
      </c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</row>
    <row r="376" spans="1:36" x14ac:dyDescent="0.25">
      <c r="A376" s="22" t="s">
        <v>2704</v>
      </c>
      <c r="B376" s="22">
        <v>0</v>
      </c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</row>
    <row r="377" spans="1:36" x14ac:dyDescent="0.25">
      <c r="A377" s="22" t="s">
        <v>2705</v>
      </c>
      <c r="B377" s="22">
        <v>0</v>
      </c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</row>
    <row r="378" spans="1:36" x14ac:dyDescent="0.25">
      <c r="A378" s="22" t="s">
        <v>2706</v>
      </c>
      <c r="B378" s="22">
        <v>3</v>
      </c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</row>
    <row r="379" spans="1:36" x14ac:dyDescent="0.25">
      <c r="A379" s="22" t="s">
        <v>2707</v>
      </c>
      <c r="B379" s="22">
        <v>0</v>
      </c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</row>
    <row r="380" spans="1:36" x14ac:dyDescent="0.25">
      <c r="A380" s="22" t="s">
        <v>2708</v>
      </c>
      <c r="B380" s="22">
        <v>0</v>
      </c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</row>
    <row r="381" spans="1:36" x14ac:dyDescent="0.25">
      <c r="A381" s="22" t="s">
        <v>2709</v>
      </c>
      <c r="B381" s="22">
        <v>0</v>
      </c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</row>
    <row r="382" spans="1:36" x14ac:dyDescent="0.25">
      <c r="A382" s="22" t="s">
        <v>1966</v>
      </c>
      <c r="B382" s="22">
        <v>106</v>
      </c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</row>
    <row r="383" spans="1:36" x14ac:dyDescent="0.25">
      <c r="A383" s="22" t="s">
        <v>2710</v>
      </c>
      <c r="B383" s="22">
        <v>0</v>
      </c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</row>
    <row r="384" spans="1:36" x14ac:dyDescent="0.25">
      <c r="A384" s="22" t="s">
        <v>2711</v>
      </c>
      <c r="B384" s="22">
        <v>0</v>
      </c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</row>
    <row r="385" spans="1:36" x14ac:dyDescent="0.25">
      <c r="A385" s="22" t="s">
        <v>2712</v>
      </c>
      <c r="B385" s="22">
        <v>0</v>
      </c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</row>
    <row r="386" spans="1:36" x14ac:dyDescent="0.25">
      <c r="A386" s="22" t="s">
        <v>2713</v>
      </c>
      <c r="B386" s="22">
        <v>0</v>
      </c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</row>
    <row r="387" spans="1:36" x14ac:dyDescent="0.25">
      <c r="A387" s="22" t="s">
        <v>2714</v>
      </c>
      <c r="B387" s="22">
        <v>0</v>
      </c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</row>
    <row r="388" spans="1:36" x14ac:dyDescent="0.25">
      <c r="A388" s="22" t="s">
        <v>2715</v>
      </c>
      <c r="B388" s="22">
        <v>0</v>
      </c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</row>
    <row r="389" spans="1:36" x14ac:dyDescent="0.25">
      <c r="A389" s="22" t="s">
        <v>2716</v>
      </c>
      <c r="B389" s="22">
        <v>0</v>
      </c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</row>
    <row r="390" spans="1:36" x14ac:dyDescent="0.25">
      <c r="A390" s="22" t="s">
        <v>1967</v>
      </c>
      <c r="B390" s="22">
        <v>160</v>
      </c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</row>
    <row r="391" spans="1:36" x14ac:dyDescent="0.25">
      <c r="A391" s="22" t="s">
        <v>2717</v>
      </c>
      <c r="B391" s="22">
        <v>14</v>
      </c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</row>
    <row r="392" spans="1:36" x14ac:dyDescent="0.25">
      <c r="A392" s="22" t="s">
        <v>2718</v>
      </c>
      <c r="B392" s="22">
        <v>0</v>
      </c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</row>
    <row r="393" spans="1:36" x14ac:dyDescent="0.25">
      <c r="A393" s="22" t="s">
        <v>2719</v>
      </c>
      <c r="B393" s="22">
        <v>0</v>
      </c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</row>
    <row r="394" spans="1:36" x14ac:dyDescent="0.25">
      <c r="A394" s="22" t="s">
        <v>2720</v>
      </c>
      <c r="B394" s="22">
        <v>1</v>
      </c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</row>
    <row r="395" spans="1:36" x14ac:dyDescent="0.25">
      <c r="A395" s="22" t="s">
        <v>2721</v>
      </c>
      <c r="B395" s="22">
        <v>0</v>
      </c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</row>
    <row r="396" spans="1:36" x14ac:dyDescent="0.25">
      <c r="A396" s="22" t="s">
        <v>2722</v>
      </c>
      <c r="B396" s="22">
        <v>0</v>
      </c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</row>
    <row r="397" spans="1:36" x14ac:dyDescent="0.25">
      <c r="A397" s="22" t="s">
        <v>2723</v>
      </c>
      <c r="B397" s="22">
        <v>0</v>
      </c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</row>
    <row r="398" spans="1:36" x14ac:dyDescent="0.25">
      <c r="A398" s="22" t="s">
        <v>1968</v>
      </c>
      <c r="B398" s="22">
        <v>0</v>
      </c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</row>
    <row r="399" spans="1:36" x14ac:dyDescent="0.25">
      <c r="A399" s="22" t="s">
        <v>2724</v>
      </c>
      <c r="B399" s="22">
        <v>0</v>
      </c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</row>
    <row r="400" spans="1:36" x14ac:dyDescent="0.25">
      <c r="A400" s="22" t="s">
        <v>2725</v>
      </c>
      <c r="B400" s="22">
        <v>0</v>
      </c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</row>
    <row r="401" spans="1:36" x14ac:dyDescent="0.25">
      <c r="A401" s="22" t="s">
        <v>2726</v>
      </c>
      <c r="B401" s="22">
        <v>0</v>
      </c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</row>
    <row r="402" spans="1:36" x14ac:dyDescent="0.25">
      <c r="A402" s="22" t="s">
        <v>2727</v>
      </c>
      <c r="B402" s="22">
        <v>0</v>
      </c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</row>
    <row r="403" spans="1:36" x14ac:dyDescent="0.25">
      <c r="A403" s="22" t="s">
        <v>2728</v>
      </c>
      <c r="B403" s="22">
        <v>0</v>
      </c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</row>
    <row r="404" spans="1:36" x14ac:dyDescent="0.25">
      <c r="A404" s="22" t="s">
        <v>2729</v>
      </c>
      <c r="B404" s="22">
        <v>0</v>
      </c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</row>
    <row r="405" spans="1:36" x14ac:dyDescent="0.25">
      <c r="A405" s="22" t="s">
        <v>2730</v>
      </c>
      <c r="B405" s="22">
        <v>0</v>
      </c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</row>
    <row r="406" spans="1:36" x14ac:dyDescent="0.25">
      <c r="A406" s="22" t="s">
        <v>1969</v>
      </c>
      <c r="B406" s="22">
        <v>0</v>
      </c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</row>
    <row r="407" spans="1:36" x14ac:dyDescent="0.25">
      <c r="A407" s="22" t="s">
        <v>2731</v>
      </c>
      <c r="B407" s="22">
        <v>0</v>
      </c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</row>
    <row r="408" spans="1:36" x14ac:dyDescent="0.25">
      <c r="A408" s="22" t="s">
        <v>2732</v>
      </c>
      <c r="B408" s="22">
        <v>0</v>
      </c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</row>
    <row r="409" spans="1:36" x14ac:dyDescent="0.25">
      <c r="A409" s="22" t="s">
        <v>2733</v>
      </c>
      <c r="B409" s="22">
        <v>0</v>
      </c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</row>
    <row r="410" spans="1:36" x14ac:dyDescent="0.25">
      <c r="A410" s="22" t="s">
        <v>2734</v>
      </c>
      <c r="B410" s="22">
        <v>0</v>
      </c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</row>
    <row r="411" spans="1:36" x14ac:dyDescent="0.25">
      <c r="A411" s="22" t="s">
        <v>2735</v>
      </c>
      <c r="B411" s="22">
        <v>0</v>
      </c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</row>
    <row r="412" spans="1:36" x14ac:dyDescent="0.25">
      <c r="A412" s="22" t="s">
        <v>2736</v>
      </c>
      <c r="B412" s="22">
        <v>0</v>
      </c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</row>
    <row r="413" spans="1:36" x14ac:dyDescent="0.25">
      <c r="A413" s="22" t="s">
        <v>2737</v>
      </c>
      <c r="B413" s="22">
        <v>0</v>
      </c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</row>
    <row r="414" spans="1:36" x14ac:dyDescent="0.25">
      <c r="A414" s="22" t="s">
        <v>1970</v>
      </c>
      <c r="B414" s="22">
        <v>0</v>
      </c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</row>
    <row r="415" spans="1:36" x14ac:dyDescent="0.25">
      <c r="A415" s="22" t="s">
        <v>4559</v>
      </c>
      <c r="B415" s="22">
        <v>0</v>
      </c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</row>
    <row r="416" spans="1:36" x14ac:dyDescent="0.25">
      <c r="A416" s="22" t="s">
        <v>4560</v>
      </c>
      <c r="B416" s="22">
        <v>0</v>
      </c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</row>
    <row r="417" spans="1:36" x14ac:dyDescent="0.25">
      <c r="A417" s="22" t="s">
        <v>4561</v>
      </c>
      <c r="B417" s="22">
        <v>0</v>
      </c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</row>
    <row r="418" spans="1:36" x14ac:dyDescent="0.25">
      <c r="A418" s="22" t="s">
        <v>4562</v>
      </c>
      <c r="B418" s="22">
        <v>0</v>
      </c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</row>
    <row r="419" spans="1:36" x14ac:dyDescent="0.25">
      <c r="A419" s="22" t="s">
        <v>4563</v>
      </c>
      <c r="B419" s="22">
        <v>0</v>
      </c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</row>
    <row r="420" spans="1:36" x14ac:dyDescent="0.25">
      <c r="A420" s="22" t="s">
        <v>4564</v>
      </c>
      <c r="B420" s="22">
        <v>0</v>
      </c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</row>
    <row r="421" spans="1:36" x14ac:dyDescent="0.25">
      <c r="A421" s="22" t="s">
        <v>4565</v>
      </c>
      <c r="B421" s="22">
        <v>0</v>
      </c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</row>
    <row r="422" spans="1:36" x14ac:dyDescent="0.25">
      <c r="A422" s="22" t="s">
        <v>1971</v>
      </c>
      <c r="B422" s="22">
        <v>0</v>
      </c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</row>
    <row r="423" spans="1:36" x14ac:dyDescent="0.25">
      <c r="A423" s="22" t="s">
        <v>2738</v>
      </c>
      <c r="B423" s="22">
        <v>0</v>
      </c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</row>
    <row r="424" spans="1:36" x14ac:dyDescent="0.25">
      <c r="A424" s="22" t="s">
        <v>2739</v>
      </c>
      <c r="B424" s="22">
        <v>0</v>
      </c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</row>
    <row r="425" spans="1:36" x14ac:dyDescent="0.25">
      <c r="A425" s="22" t="s">
        <v>2740</v>
      </c>
      <c r="B425" s="22">
        <v>0</v>
      </c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</row>
    <row r="426" spans="1:36" x14ac:dyDescent="0.25">
      <c r="A426" s="22" t="s">
        <v>2741</v>
      </c>
      <c r="B426" s="22">
        <v>0</v>
      </c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</row>
    <row r="427" spans="1:36" x14ac:dyDescent="0.25">
      <c r="A427" s="22" t="s">
        <v>2742</v>
      </c>
      <c r="B427" s="22">
        <v>0</v>
      </c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</row>
    <row r="428" spans="1:36" x14ac:dyDescent="0.25">
      <c r="A428" s="22" t="s">
        <v>2743</v>
      </c>
      <c r="B428" s="22">
        <v>0</v>
      </c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</row>
    <row r="429" spans="1:36" x14ac:dyDescent="0.25">
      <c r="A429" s="22" t="s">
        <v>2744</v>
      </c>
      <c r="B429" s="22">
        <v>0</v>
      </c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</row>
    <row r="430" spans="1:36" x14ac:dyDescent="0.25">
      <c r="A430" s="22" t="s">
        <v>1972</v>
      </c>
      <c r="B430" s="22">
        <v>0</v>
      </c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</row>
    <row r="431" spans="1:36" x14ac:dyDescent="0.25">
      <c r="A431" s="22" t="s">
        <v>4566</v>
      </c>
      <c r="B431" s="22">
        <v>0</v>
      </c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</row>
    <row r="432" spans="1:36" x14ac:dyDescent="0.25">
      <c r="A432" s="22" t="s">
        <v>4567</v>
      </c>
      <c r="B432" s="22">
        <v>0</v>
      </c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</row>
    <row r="433" spans="1:36" x14ac:dyDescent="0.25">
      <c r="A433" s="22" t="s">
        <v>4568</v>
      </c>
      <c r="B433" s="22">
        <v>0</v>
      </c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</row>
    <row r="434" spans="1:36" x14ac:dyDescent="0.25">
      <c r="A434" s="22" t="s">
        <v>4569</v>
      </c>
      <c r="B434" s="22">
        <v>0</v>
      </c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</row>
    <row r="435" spans="1:36" x14ac:dyDescent="0.25">
      <c r="A435" s="22" t="s">
        <v>4570</v>
      </c>
      <c r="B435" s="22">
        <v>0</v>
      </c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</row>
    <row r="436" spans="1:36" x14ac:dyDescent="0.25">
      <c r="A436" s="22" t="s">
        <v>4571</v>
      </c>
      <c r="B436" s="22">
        <v>0</v>
      </c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</row>
    <row r="437" spans="1:36" x14ac:dyDescent="0.25">
      <c r="A437" s="22" t="s">
        <v>4572</v>
      </c>
      <c r="B437" s="22">
        <v>0</v>
      </c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</row>
    <row r="438" spans="1:36" x14ac:dyDescent="0.25">
      <c r="A438" s="22" t="s">
        <v>1973</v>
      </c>
      <c r="B438" s="22">
        <v>9</v>
      </c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</row>
    <row r="439" spans="1:36" x14ac:dyDescent="0.25">
      <c r="A439" s="22" t="s">
        <v>2745</v>
      </c>
      <c r="B439" s="22">
        <v>0</v>
      </c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</row>
    <row r="440" spans="1:36" x14ac:dyDescent="0.25">
      <c r="A440" s="22" t="s">
        <v>2746</v>
      </c>
      <c r="B440" s="22">
        <v>0</v>
      </c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</row>
    <row r="441" spans="1:36" x14ac:dyDescent="0.25">
      <c r="A441" s="22" t="s">
        <v>2747</v>
      </c>
      <c r="B441" s="22">
        <v>0</v>
      </c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</row>
    <row r="442" spans="1:36" x14ac:dyDescent="0.25">
      <c r="A442" s="22" t="s">
        <v>2748</v>
      </c>
      <c r="B442" s="22">
        <v>1</v>
      </c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</row>
    <row r="443" spans="1:36" x14ac:dyDescent="0.25">
      <c r="A443" s="22" t="s">
        <v>2749</v>
      </c>
      <c r="B443" s="22">
        <v>0</v>
      </c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</row>
    <row r="444" spans="1:36" x14ac:dyDescent="0.25">
      <c r="A444" s="22" t="s">
        <v>2750</v>
      </c>
      <c r="B444" s="22">
        <v>0</v>
      </c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</row>
    <row r="445" spans="1:36" x14ac:dyDescent="0.25">
      <c r="A445" s="22" t="s">
        <v>2751</v>
      </c>
      <c r="B445" s="22">
        <v>0</v>
      </c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</row>
    <row r="446" spans="1:36" x14ac:dyDescent="0.25">
      <c r="A446" s="22" t="s">
        <v>4573</v>
      </c>
      <c r="B446" s="22">
        <v>33</v>
      </c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</row>
    <row r="447" spans="1:36" x14ac:dyDescent="0.25">
      <c r="A447" s="22" t="s">
        <v>4574</v>
      </c>
      <c r="B447" s="22">
        <v>0</v>
      </c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</row>
    <row r="448" spans="1:36" x14ac:dyDescent="0.25">
      <c r="A448" s="22" t="s">
        <v>4575</v>
      </c>
      <c r="B448" s="22">
        <v>0</v>
      </c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</row>
    <row r="449" spans="1:36" x14ac:dyDescent="0.25">
      <c r="A449" s="22" t="s">
        <v>4576</v>
      </c>
      <c r="B449" s="22">
        <v>0</v>
      </c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</row>
    <row r="450" spans="1:36" x14ac:dyDescent="0.25">
      <c r="A450" s="22" t="s">
        <v>4577</v>
      </c>
      <c r="B450" s="22">
        <v>0</v>
      </c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</row>
    <row r="451" spans="1:36" x14ac:dyDescent="0.25">
      <c r="A451" s="22" t="s">
        <v>4578</v>
      </c>
      <c r="B451" s="22">
        <v>0</v>
      </c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</row>
    <row r="452" spans="1:36" x14ac:dyDescent="0.25">
      <c r="A452" s="22" t="s">
        <v>4579</v>
      </c>
      <c r="B452" s="22">
        <v>0</v>
      </c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</row>
    <row r="453" spans="1:36" x14ac:dyDescent="0.25">
      <c r="A453" s="22" t="s">
        <v>4580</v>
      </c>
      <c r="B453" s="22">
        <v>0</v>
      </c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</row>
    <row r="454" spans="1:36" x14ac:dyDescent="0.25">
      <c r="A454" s="22" t="s">
        <v>4581</v>
      </c>
      <c r="B454" s="22">
        <v>37</v>
      </c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</row>
    <row r="455" spans="1:36" x14ac:dyDescent="0.25">
      <c r="A455" s="22" t="s">
        <v>4582</v>
      </c>
      <c r="B455" s="22">
        <v>0</v>
      </c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</row>
    <row r="456" spans="1:36" x14ac:dyDescent="0.25">
      <c r="A456" s="22" t="s">
        <v>4583</v>
      </c>
      <c r="B456" s="22">
        <v>0</v>
      </c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</row>
    <row r="457" spans="1:36" x14ac:dyDescent="0.25">
      <c r="A457" s="22" t="s">
        <v>4584</v>
      </c>
      <c r="B457" s="22">
        <v>0</v>
      </c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</row>
    <row r="458" spans="1:36" x14ac:dyDescent="0.25">
      <c r="A458" s="22" t="s">
        <v>4585</v>
      </c>
      <c r="B458" s="22">
        <v>0</v>
      </c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</row>
    <row r="459" spans="1:36" x14ac:dyDescent="0.25">
      <c r="A459" s="22" t="s">
        <v>4586</v>
      </c>
      <c r="B459" s="22">
        <v>0</v>
      </c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</row>
    <row r="460" spans="1:36" x14ac:dyDescent="0.25">
      <c r="A460" s="22" t="s">
        <v>4587</v>
      </c>
      <c r="B460" s="22">
        <v>0</v>
      </c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</row>
    <row r="461" spans="1:36" x14ac:dyDescent="0.25">
      <c r="A461" s="22" t="s">
        <v>4588</v>
      </c>
      <c r="B461" s="22">
        <v>0</v>
      </c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</row>
    <row r="462" spans="1:36" x14ac:dyDescent="0.25">
      <c r="A462" s="22" t="s">
        <v>4589</v>
      </c>
      <c r="B462" s="22">
        <v>0</v>
      </c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</row>
    <row r="463" spans="1:36" x14ac:dyDescent="0.25">
      <c r="A463" s="22" t="s">
        <v>4590</v>
      </c>
      <c r="B463" s="22">
        <v>0</v>
      </c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</row>
    <row r="464" spans="1:36" x14ac:dyDescent="0.25">
      <c r="A464" s="22" t="s">
        <v>4591</v>
      </c>
      <c r="B464" s="22">
        <v>0</v>
      </c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</row>
    <row r="465" spans="1:36" x14ac:dyDescent="0.25">
      <c r="A465" s="22" t="s">
        <v>4592</v>
      </c>
      <c r="B465" s="22">
        <v>0</v>
      </c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</row>
    <row r="466" spans="1:36" x14ac:dyDescent="0.25">
      <c r="A466" s="22" t="s">
        <v>4593</v>
      </c>
      <c r="B466" s="22">
        <v>0</v>
      </c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</row>
    <row r="467" spans="1:36" x14ac:dyDescent="0.25">
      <c r="A467" s="22" t="s">
        <v>4594</v>
      </c>
      <c r="B467" s="22">
        <v>0</v>
      </c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</row>
    <row r="468" spans="1:36" x14ac:dyDescent="0.25">
      <c r="A468" s="22" t="s">
        <v>4595</v>
      </c>
      <c r="B468" s="22">
        <v>0</v>
      </c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</row>
    <row r="469" spans="1:36" x14ac:dyDescent="0.25">
      <c r="A469" s="22" t="s">
        <v>4596</v>
      </c>
      <c r="B469" s="22">
        <v>0</v>
      </c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</row>
    <row r="470" spans="1:36" x14ac:dyDescent="0.25">
      <c r="A470" s="22" t="s">
        <v>4597</v>
      </c>
      <c r="B470" s="22">
        <v>225</v>
      </c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</row>
    <row r="471" spans="1:36" x14ac:dyDescent="0.25">
      <c r="A471" s="22" t="s">
        <v>4598</v>
      </c>
      <c r="B471" s="22">
        <v>2</v>
      </c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</row>
    <row r="472" spans="1:36" x14ac:dyDescent="0.25">
      <c r="A472" s="22" t="s">
        <v>4599</v>
      </c>
      <c r="B472" s="22">
        <v>0</v>
      </c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</row>
    <row r="473" spans="1:36" x14ac:dyDescent="0.25">
      <c r="A473" s="22" t="s">
        <v>4600</v>
      </c>
      <c r="B473" s="22">
        <v>0</v>
      </c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</row>
    <row r="474" spans="1:36" x14ac:dyDescent="0.25">
      <c r="A474" s="22" t="s">
        <v>4601</v>
      </c>
      <c r="B474" s="22">
        <v>3</v>
      </c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</row>
    <row r="475" spans="1:36" x14ac:dyDescent="0.25">
      <c r="A475" s="22" t="s">
        <v>4602</v>
      </c>
      <c r="B475" s="22">
        <v>0</v>
      </c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</row>
    <row r="476" spans="1:36" x14ac:dyDescent="0.25">
      <c r="A476" s="22" t="s">
        <v>4603</v>
      </c>
      <c r="B476" s="22">
        <v>0</v>
      </c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</row>
    <row r="477" spans="1:36" x14ac:dyDescent="0.25">
      <c r="A477" s="22" t="s">
        <v>4604</v>
      </c>
      <c r="B477" s="22">
        <v>0</v>
      </c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</row>
    <row r="478" spans="1:36" x14ac:dyDescent="0.25">
      <c r="A478" s="22" t="s">
        <v>1974</v>
      </c>
      <c r="B478" s="22">
        <v>49</v>
      </c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</row>
    <row r="479" spans="1:36" x14ac:dyDescent="0.25">
      <c r="A479" s="22" t="s">
        <v>2752</v>
      </c>
      <c r="B479" s="22">
        <v>0</v>
      </c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</row>
    <row r="480" spans="1:36" x14ac:dyDescent="0.25">
      <c r="A480" s="22" t="s">
        <v>2753</v>
      </c>
      <c r="B480" s="22">
        <v>0</v>
      </c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</row>
    <row r="481" spans="1:36" x14ac:dyDescent="0.25">
      <c r="A481" s="22" t="s">
        <v>2754</v>
      </c>
      <c r="B481" s="22">
        <v>0</v>
      </c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</row>
    <row r="482" spans="1:36" x14ac:dyDescent="0.25">
      <c r="A482" s="22" t="s">
        <v>2755</v>
      </c>
      <c r="B482" s="22">
        <v>0</v>
      </c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</row>
    <row r="483" spans="1:36" x14ac:dyDescent="0.25">
      <c r="A483" s="22" t="s">
        <v>2756</v>
      </c>
      <c r="B483" s="22">
        <v>0</v>
      </c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</row>
    <row r="484" spans="1:36" x14ac:dyDescent="0.25">
      <c r="A484" s="22" t="s">
        <v>2757</v>
      </c>
      <c r="B484" s="22">
        <v>0</v>
      </c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</row>
    <row r="485" spans="1:36" x14ac:dyDescent="0.25">
      <c r="A485" s="22" t="s">
        <v>2758</v>
      </c>
      <c r="B485" s="22">
        <v>0</v>
      </c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</row>
    <row r="486" spans="1:36" x14ac:dyDescent="0.25">
      <c r="A486" s="22" t="s">
        <v>1976</v>
      </c>
      <c r="B486" s="22">
        <v>0</v>
      </c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</row>
    <row r="487" spans="1:36" x14ac:dyDescent="0.25">
      <c r="A487" s="22" t="s">
        <v>2759</v>
      </c>
      <c r="B487" s="22">
        <v>0</v>
      </c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</row>
    <row r="488" spans="1:36" x14ac:dyDescent="0.25">
      <c r="A488" s="22" t="s">
        <v>2760</v>
      </c>
      <c r="B488" s="22">
        <v>0</v>
      </c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</row>
    <row r="489" spans="1:36" x14ac:dyDescent="0.25">
      <c r="A489" s="22" t="s">
        <v>2761</v>
      </c>
      <c r="B489" s="22">
        <v>0</v>
      </c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</row>
    <row r="490" spans="1:36" x14ac:dyDescent="0.25">
      <c r="A490" s="22" t="s">
        <v>2762</v>
      </c>
      <c r="B490" s="22">
        <v>0</v>
      </c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</row>
    <row r="491" spans="1:36" x14ac:dyDescent="0.25">
      <c r="A491" s="22" t="s">
        <v>2763</v>
      </c>
      <c r="B491" s="22">
        <v>0</v>
      </c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</row>
    <row r="492" spans="1:36" x14ac:dyDescent="0.25">
      <c r="A492" s="22" t="s">
        <v>2764</v>
      </c>
      <c r="B492" s="22">
        <v>0</v>
      </c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</row>
    <row r="493" spans="1:36" x14ac:dyDescent="0.25">
      <c r="A493" s="22" t="s">
        <v>2765</v>
      </c>
      <c r="B493" s="22">
        <v>0</v>
      </c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</row>
    <row r="494" spans="1:36" x14ac:dyDescent="0.25">
      <c r="A494" s="22" t="s">
        <v>1977</v>
      </c>
      <c r="B494" s="22">
        <v>0</v>
      </c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</row>
    <row r="495" spans="1:36" x14ac:dyDescent="0.25">
      <c r="A495" s="22" t="s">
        <v>2766</v>
      </c>
      <c r="B495" s="22">
        <v>0</v>
      </c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</row>
    <row r="496" spans="1:36" x14ac:dyDescent="0.25">
      <c r="A496" s="22" t="s">
        <v>2767</v>
      </c>
      <c r="B496" s="22">
        <v>0</v>
      </c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</row>
    <row r="497" spans="1:36" x14ac:dyDescent="0.25">
      <c r="A497" s="22" t="s">
        <v>2768</v>
      </c>
      <c r="B497" s="22">
        <v>0</v>
      </c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</row>
    <row r="498" spans="1:36" x14ac:dyDescent="0.25">
      <c r="A498" s="22" t="s">
        <v>2769</v>
      </c>
      <c r="B498" s="22">
        <v>0</v>
      </c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</row>
    <row r="499" spans="1:36" x14ac:dyDescent="0.25">
      <c r="A499" s="22" t="s">
        <v>2770</v>
      </c>
      <c r="B499" s="22">
        <v>0</v>
      </c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</row>
    <row r="500" spans="1:36" x14ac:dyDescent="0.25">
      <c r="A500" s="22" t="s">
        <v>2771</v>
      </c>
      <c r="B500" s="22">
        <v>0</v>
      </c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</row>
    <row r="501" spans="1:36" x14ac:dyDescent="0.25">
      <c r="A501" s="22" t="s">
        <v>2772</v>
      </c>
      <c r="B501" s="22">
        <v>0</v>
      </c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</row>
    <row r="502" spans="1:36" x14ac:dyDescent="0.25">
      <c r="A502" s="22" t="s">
        <v>1978</v>
      </c>
      <c r="B502" s="22">
        <v>144</v>
      </c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</row>
    <row r="503" spans="1:36" x14ac:dyDescent="0.25">
      <c r="A503" s="22" t="s">
        <v>2773</v>
      </c>
      <c r="B503" s="22">
        <v>0</v>
      </c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</row>
    <row r="504" spans="1:36" x14ac:dyDescent="0.25">
      <c r="A504" s="22" t="s">
        <v>2774</v>
      </c>
      <c r="B504" s="22">
        <v>0</v>
      </c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</row>
    <row r="505" spans="1:36" x14ac:dyDescent="0.25">
      <c r="A505" s="22" t="s">
        <v>2775</v>
      </c>
      <c r="B505" s="22">
        <v>0</v>
      </c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</row>
    <row r="506" spans="1:36" x14ac:dyDescent="0.25">
      <c r="A506" s="22" t="s">
        <v>2776</v>
      </c>
      <c r="B506" s="22">
        <v>1</v>
      </c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</row>
    <row r="507" spans="1:36" x14ac:dyDescent="0.25">
      <c r="A507" s="22" t="s">
        <v>2777</v>
      </c>
      <c r="B507" s="22">
        <v>0</v>
      </c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</row>
    <row r="508" spans="1:36" x14ac:dyDescent="0.25">
      <c r="A508" s="22" t="s">
        <v>2778</v>
      </c>
      <c r="B508" s="22">
        <v>0</v>
      </c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</row>
    <row r="509" spans="1:36" x14ac:dyDescent="0.25">
      <c r="A509" s="22" t="s">
        <v>2779</v>
      </c>
      <c r="B509" s="22">
        <v>0</v>
      </c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</row>
    <row r="510" spans="1:36" x14ac:dyDescent="0.25">
      <c r="A510" s="22" t="s">
        <v>1979</v>
      </c>
      <c r="B510" s="22">
        <v>197</v>
      </c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</row>
    <row r="511" spans="1:36" x14ac:dyDescent="0.25">
      <c r="A511" s="22" t="s">
        <v>2780</v>
      </c>
      <c r="B511" s="22">
        <v>0</v>
      </c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</row>
    <row r="512" spans="1:36" x14ac:dyDescent="0.25">
      <c r="A512" s="22" t="s">
        <v>2781</v>
      </c>
      <c r="B512" s="22">
        <v>0</v>
      </c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</row>
    <row r="513" spans="1:36" x14ac:dyDescent="0.25">
      <c r="A513" s="22" t="s">
        <v>2782</v>
      </c>
      <c r="B513" s="22">
        <v>0</v>
      </c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</row>
    <row r="514" spans="1:36" x14ac:dyDescent="0.25">
      <c r="A514" s="22" t="s">
        <v>2783</v>
      </c>
      <c r="B514" s="22">
        <v>1</v>
      </c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</row>
    <row r="515" spans="1:36" x14ac:dyDescent="0.25">
      <c r="A515" s="22" t="s">
        <v>2784</v>
      </c>
      <c r="B515" s="22">
        <v>0</v>
      </c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</row>
    <row r="516" spans="1:36" x14ac:dyDescent="0.25">
      <c r="A516" s="22" t="s">
        <v>2785</v>
      </c>
      <c r="B516" s="22">
        <v>0</v>
      </c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</row>
    <row r="517" spans="1:36" x14ac:dyDescent="0.25">
      <c r="A517" s="22" t="s">
        <v>2786</v>
      </c>
      <c r="B517" s="22">
        <v>0</v>
      </c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</row>
    <row r="518" spans="1:36" x14ac:dyDescent="0.25">
      <c r="A518" s="22" t="s">
        <v>1980</v>
      </c>
      <c r="B518" s="22">
        <v>0</v>
      </c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</row>
    <row r="519" spans="1:36" x14ac:dyDescent="0.25">
      <c r="A519" s="22" t="s">
        <v>4605</v>
      </c>
      <c r="B519" s="22">
        <v>0</v>
      </c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</row>
    <row r="520" spans="1:36" x14ac:dyDescent="0.25">
      <c r="A520" s="22" t="s">
        <v>4606</v>
      </c>
      <c r="B520" s="22">
        <v>0</v>
      </c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</row>
    <row r="521" spans="1:36" x14ac:dyDescent="0.25">
      <c r="A521" s="22" t="s">
        <v>4607</v>
      </c>
      <c r="B521" s="22">
        <v>0</v>
      </c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</row>
    <row r="522" spans="1:36" x14ac:dyDescent="0.25">
      <c r="A522" s="22" t="s">
        <v>4608</v>
      </c>
      <c r="B522" s="22">
        <v>0</v>
      </c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</row>
    <row r="523" spans="1:36" x14ac:dyDescent="0.25">
      <c r="A523" s="22" t="s">
        <v>4609</v>
      </c>
      <c r="B523" s="22">
        <v>0</v>
      </c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</row>
    <row r="524" spans="1:36" x14ac:dyDescent="0.25">
      <c r="A524" s="22" t="s">
        <v>4610</v>
      </c>
      <c r="B524" s="22">
        <v>0</v>
      </c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</row>
    <row r="525" spans="1:36" x14ac:dyDescent="0.25">
      <c r="A525" s="22" t="s">
        <v>4611</v>
      </c>
      <c r="B525" s="22">
        <v>0</v>
      </c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</row>
    <row r="526" spans="1:36" x14ac:dyDescent="0.25">
      <c r="A526" s="22" t="s">
        <v>1981</v>
      </c>
      <c r="B526" s="22">
        <v>0</v>
      </c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</row>
    <row r="527" spans="1:36" x14ac:dyDescent="0.25">
      <c r="A527" s="22" t="s">
        <v>2787</v>
      </c>
      <c r="B527" s="22">
        <v>0</v>
      </c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</row>
    <row r="528" spans="1:36" x14ac:dyDescent="0.25">
      <c r="A528" s="22" t="s">
        <v>2788</v>
      </c>
      <c r="B528" s="22">
        <v>0</v>
      </c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</row>
    <row r="529" spans="1:36" x14ac:dyDescent="0.25">
      <c r="A529" s="22" t="s">
        <v>2789</v>
      </c>
      <c r="B529" s="22">
        <v>0</v>
      </c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</row>
    <row r="530" spans="1:36" x14ac:dyDescent="0.25">
      <c r="A530" s="22" t="s">
        <v>2790</v>
      </c>
      <c r="B530" s="22">
        <v>0</v>
      </c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</row>
    <row r="531" spans="1:36" x14ac:dyDescent="0.25">
      <c r="A531" s="22" t="s">
        <v>2791</v>
      </c>
      <c r="B531" s="22">
        <v>0</v>
      </c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</row>
    <row r="532" spans="1:36" x14ac:dyDescent="0.25">
      <c r="A532" s="22" t="s">
        <v>2792</v>
      </c>
      <c r="B532" s="22">
        <v>0</v>
      </c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</row>
    <row r="533" spans="1:36" x14ac:dyDescent="0.25">
      <c r="A533" s="22" t="s">
        <v>2793</v>
      </c>
      <c r="B533" s="22">
        <v>0</v>
      </c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</row>
    <row r="534" spans="1:36" x14ac:dyDescent="0.25">
      <c r="A534" s="22" t="s">
        <v>1983</v>
      </c>
      <c r="B534" s="22">
        <v>0</v>
      </c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</row>
    <row r="535" spans="1:36" x14ac:dyDescent="0.25">
      <c r="A535" s="22" t="s">
        <v>4612</v>
      </c>
      <c r="B535" s="22">
        <v>0</v>
      </c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</row>
    <row r="536" spans="1:36" x14ac:dyDescent="0.25">
      <c r="A536" s="22" t="s">
        <v>4613</v>
      </c>
      <c r="B536" s="22">
        <v>0</v>
      </c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</row>
    <row r="537" spans="1:36" x14ac:dyDescent="0.25">
      <c r="A537" s="22" t="s">
        <v>4614</v>
      </c>
      <c r="B537" s="22">
        <v>0</v>
      </c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</row>
    <row r="538" spans="1:36" x14ac:dyDescent="0.25">
      <c r="A538" s="22" t="s">
        <v>4615</v>
      </c>
      <c r="B538" s="22">
        <v>0</v>
      </c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</row>
    <row r="539" spans="1:36" x14ac:dyDescent="0.25">
      <c r="A539" s="22" t="s">
        <v>4616</v>
      </c>
      <c r="B539" s="22">
        <v>0</v>
      </c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</row>
    <row r="540" spans="1:36" x14ac:dyDescent="0.25">
      <c r="A540" s="22" t="s">
        <v>4617</v>
      </c>
      <c r="B540" s="22">
        <v>0</v>
      </c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</row>
    <row r="541" spans="1:36" x14ac:dyDescent="0.25">
      <c r="A541" s="22" t="s">
        <v>4618</v>
      </c>
      <c r="B541" s="22">
        <v>0</v>
      </c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</row>
    <row r="542" spans="1:36" x14ac:dyDescent="0.25">
      <c r="A542" s="22" t="s">
        <v>1985</v>
      </c>
      <c r="B542" s="22">
        <v>0</v>
      </c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</row>
    <row r="543" spans="1:36" x14ac:dyDescent="0.25">
      <c r="A543" s="22" t="s">
        <v>2794</v>
      </c>
      <c r="B543" s="22">
        <v>0</v>
      </c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</row>
    <row r="544" spans="1:36" x14ac:dyDescent="0.25">
      <c r="A544" s="22" t="s">
        <v>2795</v>
      </c>
      <c r="B544" s="22">
        <v>0</v>
      </c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</row>
    <row r="545" spans="1:36" x14ac:dyDescent="0.25">
      <c r="A545" s="22" t="s">
        <v>2796</v>
      </c>
      <c r="B545" s="22">
        <v>0</v>
      </c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</row>
    <row r="546" spans="1:36" x14ac:dyDescent="0.25">
      <c r="A546" s="22" t="s">
        <v>2797</v>
      </c>
      <c r="B546" s="22">
        <v>0</v>
      </c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</row>
    <row r="547" spans="1:36" x14ac:dyDescent="0.25">
      <c r="A547" s="22" t="s">
        <v>2798</v>
      </c>
      <c r="B547" s="22">
        <v>0</v>
      </c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</row>
    <row r="548" spans="1:36" x14ac:dyDescent="0.25">
      <c r="A548" s="22" t="s">
        <v>2799</v>
      </c>
      <c r="B548" s="22">
        <v>0</v>
      </c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</row>
    <row r="549" spans="1:36" x14ac:dyDescent="0.25">
      <c r="A549" s="22" t="s">
        <v>2800</v>
      </c>
      <c r="B549" s="22">
        <v>0</v>
      </c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</row>
    <row r="550" spans="1:36" x14ac:dyDescent="0.25">
      <c r="A550" s="22" t="s">
        <v>1986</v>
      </c>
      <c r="B550" s="22">
        <v>0</v>
      </c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</row>
    <row r="551" spans="1:36" x14ac:dyDescent="0.25">
      <c r="A551" s="22" t="s">
        <v>2801</v>
      </c>
      <c r="B551" s="22">
        <v>0</v>
      </c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</row>
    <row r="552" spans="1:36" x14ac:dyDescent="0.25">
      <c r="A552" s="22" t="s">
        <v>2802</v>
      </c>
      <c r="B552" s="22">
        <v>0</v>
      </c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</row>
    <row r="553" spans="1:36" x14ac:dyDescent="0.25">
      <c r="A553" s="22" t="s">
        <v>2803</v>
      </c>
      <c r="B553" s="22">
        <v>0</v>
      </c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</row>
    <row r="554" spans="1:36" x14ac:dyDescent="0.25">
      <c r="A554" s="22" t="s">
        <v>2804</v>
      </c>
      <c r="B554" s="22">
        <v>0</v>
      </c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</row>
    <row r="555" spans="1:36" x14ac:dyDescent="0.25">
      <c r="A555" s="22" t="s">
        <v>2805</v>
      </c>
      <c r="B555" s="22">
        <v>0</v>
      </c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</row>
    <row r="556" spans="1:36" x14ac:dyDescent="0.25">
      <c r="A556" s="22" t="s">
        <v>2806</v>
      </c>
      <c r="B556" s="22">
        <v>0</v>
      </c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</row>
    <row r="557" spans="1:36" x14ac:dyDescent="0.25">
      <c r="A557" s="22" t="s">
        <v>2807</v>
      </c>
      <c r="B557" s="22">
        <v>0</v>
      </c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</row>
    <row r="558" spans="1:36" x14ac:dyDescent="0.25">
      <c r="A558" s="22" t="s">
        <v>1987</v>
      </c>
      <c r="B558" s="22">
        <v>252</v>
      </c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</row>
    <row r="559" spans="1:36" x14ac:dyDescent="0.25">
      <c r="A559" s="22" t="s">
        <v>2808</v>
      </c>
      <c r="B559" s="22">
        <v>1</v>
      </c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</row>
    <row r="560" spans="1:36" x14ac:dyDescent="0.25">
      <c r="A560" s="22" t="s">
        <v>2809</v>
      </c>
      <c r="B560" s="22">
        <v>0</v>
      </c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</row>
    <row r="561" spans="1:36" x14ac:dyDescent="0.25">
      <c r="A561" s="22" t="s">
        <v>2810</v>
      </c>
      <c r="B561" s="22">
        <v>0</v>
      </c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</row>
    <row r="562" spans="1:36" x14ac:dyDescent="0.25">
      <c r="A562" s="22" t="s">
        <v>2811</v>
      </c>
      <c r="B562" s="22">
        <v>1</v>
      </c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</row>
    <row r="563" spans="1:36" x14ac:dyDescent="0.25">
      <c r="A563" s="22" t="s">
        <v>2812</v>
      </c>
      <c r="B563" s="22">
        <v>0</v>
      </c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</row>
    <row r="564" spans="1:36" x14ac:dyDescent="0.25">
      <c r="A564" s="22" t="s">
        <v>2813</v>
      </c>
      <c r="B564" s="22">
        <v>0</v>
      </c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</row>
    <row r="565" spans="1:36" x14ac:dyDescent="0.25">
      <c r="A565" s="22" t="s">
        <v>2814</v>
      </c>
      <c r="B565" s="22">
        <v>0</v>
      </c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</row>
    <row r="566" spans="1:36" x14ac:dyDescent="0.25">
      <c r="A566" s="22" t="s">
        <v>4619</v>
      </c>
      <c r="B566" s="22">
        <v>294</v>
      </c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</row>
    <row r="567" spans="1:36" x14ac:dyDescent="0.25">
      <c r="A567" s="22" t="s">
        <v>4620</v>
      </c>
      <c r="B567" s="22">
        <v>0</v>
      </c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</row>
    <row r="568" spans="1:36" x14ac:dyDescent="0.25">
      <c r="A568" s="22" t="s">
        <v>4621</v>
      </c>
      <c r="B568" s="22">
        <v>0</v>
      </c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</row>
    <row r="569" spans="1:36" x14ac:dyDescent="0.25">
      <c r="A569" s="22" t="s">
        <v>4622</v>
      </c>
      <c r="B569" s="22">
        <v>0</v>
      </c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</row>
    <row r="570" spans="1:36" x14ac:dyDescent="0.25">
      <c r="A570" s="22" t="s">
        <v>4623</v>
      </c>
      <c r="B570" s="22">
        <v>4</v>
      </c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</row>
    <row r="571" spans="1:36" x14ac:dyDescent="0.25">
      <c r="A571" s="22" t="s">
        <v>4624</v>
      </c>
      <c r="B571" s="22">
        <v>0</v>
      </c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</row>
    <row r="572" spans="1:36" x14ac:dyDescent="0.25">
      <c r="A572" s="22" t="s">
        <v>4625</v>
      </c>
      <c r="B572" s="22">
        <v>0</v>
      </c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</row>
    <row r="573" spans="1:36" x14ac:dyDescent="0.25">
      <c r="A573" s="22" t="s">
        <v>4626</v>
      </c>
      <c r="B573" s="22">
        <v>0</v>
      </c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</row>
    <row r="574" spans="1:36" x14ac:dyDescent="0.25">
      <c r="A574" s="22" t="s">
        <v>4627</v>
      </c>
      <c r="B574" s="22">
        <v>0</v>
      </c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</row>
    <row r="575" spans="1:36" x14ac:dyDescent="0.25">
      <c r="A575" s="22" t="s">
        <v>4628</v>
      </c>
      <c r="B575" s="22">
        <v>0</v>
      </c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</row>
    <row r="576" spans="1:36" x14ac:dyDescent="0.25">
      <c r="A576" s="22" t="s">
        <v>4629</v>
      </c>
      <c r="B576" s="22">
        <v>0</v>
      </c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</row>
    <row r="577" spans="1:36" x14ac:dyDescent="0.25">
      <c r="A577" s="22" t="s">
        <v>4630</v>
      </c>
      <c r="B577" s="22">
        <v>0</v>
      </c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</row>
    <row r="578" spans="1:36" x14ac:dyDescent="0.25">
      <c r="A578" s="22" t="s">
        <v>4631</v>
      </c>
      <c r="B578" s="22">
        <v>0</v>
      </c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</row>
    <row r="579" spans="1:36" x14ac:dyDescent="0.25">
      <c r="A579" s="22" t="s">
        <v>4632</v>
      </c>
      <c r="B579" s="22">
        <v>0</v>
      </c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</row>
    <row r="580" spans="1:36" x14ac:dyDescent="0.25">
      <c r="A580" s="22" t="s">
        <v>4633</v>
      </c>
      <c r="B580" s="22">
        <v>0</v>
      </c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</row>
    <row r="581" spans="1:36" x14ac:dyDescent="0.25">
      <c r="A581" s="22" t="s">
        <v>4634</v>
      </c>
      <c r="B581" s="22">
        <v>0</v>
      </c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</row>
    <row r="582" spans="1:36" x14ac:dyDescent="0.25">
      <c r="A582" s="22" t="s">
        <v>4635</v>
      </c>
      <c r="B582" s="22">
        <v>589</v>
      </c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</row>
    <row r="583" spans="1:36" x14ac:dyDescent="0.25">
      <c r="A583" s="22" t="s">
        <v>4636</v>
      </c>
      <c r="B583" s="22">
        <v>11</v>
      </c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</row>
    <row r="584" spans="1:36" x14ac:dyDescent="0.25">
      <c r="A584" s="22" t="s">
        <v>4637</v>
      </c>
      <c r="B584" s="22">
        <v>9</v>
      </c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</row>
    <row r="585" spans="1:36" x14ac:dyDescent="0.25">
      <c r="A585" s="22" t="s">
        <v>4638</v>
      </c>
      <c r="B585" s="22">
        <v>0</v>
      </c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</row>
    <row r="586" spans="1:36" x14ac:dyDescent="0.25">
      <c r="A586" s="22" t="s">
        <v>4639</v>
      </c>
      <c r="B586" s="22">
        <v>2</v>
      </c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</row>
    <row r="587" spans="1:36" x14ac:dyDescent="0.25">
      <c r="A587" s="22" t="s">
        <v>4640</v>
      </c>
      <c r="B587" s="22">
        <v>0</v>
      </c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</row>
    <row r="588" spans="1:36" x14ac:dyDescent="0.25">
      <c r="A588" s="22" t="s">
        <v>4641</v>
      </c>
      <c r="B588" s="22">
        <v>0</v>
      </c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</row>
    <row r="589" spans="1:36" x14ac:dyDescent="0.25">
      <c r="A589" s="22" t="s">
        <v>4642</v>
      </c>
      <c r="B589" s="22">
        <v>0</v>
      </c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</row>
    <row r="590" spans="1:36" x14ac:dyDescent="0.25">
      <c r="A590" s="22" t="s">
        <v>4643</v>
      </c>
      <c r="B590" s="22">
        <v>199</v>
      </c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</row>
    <row r="591" spans="1:36" x14ac:dyDescent="0.25">
      <c r="A591" s="22" t="s">
        <v>4644</v>
      </c>
      <c r="B591" s="22">
        <v>5</v>
      </c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</row>
    <row r="592" spans="1:36" x14ac:dyDescent="0.25">
      <c r="A592" s="22" t="s">
        <v>4645</v>
      </c>
      <c r="B592" s="22">
        <v>0</v>
      </c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</row>
    <row r="593" spans="1:36" x14ac:dyDescent="0.25">
      <c r="A593" s="22" t="s">
        <v>4646</v>
      </c>
      <c r="B593" s="22">
        <v>0</v>
      </c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</row>
    <row r="594" spans="1:36" x14ac:dyDescent="0.25">
      <c r="A594" s="22" t="s">
        <v>4647</v>
      </c>
      <c r="B594" s="22">
        <v>2</v>
      </c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</row>
    <row r="595" spans="1:36" x14ac:dyDescent="0.25">
      <c r="A595" s="22" t="s">
        <v>4648</v>
      </c>
      <c r="B595" s="22">
        <v>0</v>
      </c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</row>
    <row r="596" spans="1:36" x14ac:dyDescent="0.25">
      <c r="A596" s="22" t="s">
        <v>4649</v>
      </c>
      <c r="B596" s="22">
        <v>0</v>
      </c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</row>
    <row r="597" spans="1:36" x14ac:dyDescent="0.25">
      <c r="A597" s="22" t="s">
        <v>4650</v>
      </c>
      <c r="B597" s="22">
        <v>0</v>
      </c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</row>
    <row r="598" spans="1:36" x14ac:dyDescent="0.25">
      <c r="A598" s="22" t="s">
        <v>4651</v>
      </c>
      <c r="B598" s="22">
        <v>0</v>
      </c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</row>
    <row r="599" spans="1:36" x14ac:dyDescent="0.25">
      <c r="A599" s="22" t="s">
        <v>4652</v>
      </c>
      <c r="B599" s="22">
        <v>0</v>
      </c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</row>
    <row r="600" spans="1:36" x14ac:dyDescent="0.25">
      <c r="A600" s="22" t="s">
        <v>4653</v>
      </c>
      <c r="B600" s="22">
        <v>0</v>
      </c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</row>
    <row r="601" spans="1:36" x14ac:dyDescent="0.25">
      <c r="A601" s="22" t="s">
        <v>4654</v>
      </c>
      <c r="B601" s="22">
        <v>0</v>
      </c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</row>
    <row r="602" spans="1:36" x14ac:dyDescent="0.25">
      <c r="A602" s="22" t="s">
        <v>4655</v>
      </c>
      <c r="B602" s="22">
        <v>0</v>
      </c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</row>
    <row r="603" spans="1:36" x14ac:dyDescent="0.25">
      <c r="A603" s="22" t="s">
        <v>4656</v>
      </c>
      <c r="B603" s="22">
        <v>0</v>
      </c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</row>
    <row r="604" spans="1:36" x14ac:dyDescent="0.25">
      <c r="A604" s="22" t="s">
        <v>4657</v>
      </c>
      <c r="B604" s="22">
        <v>0</v>
      </c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</row>
    <row r="605" spans="1:36" x14ac:dyDescent="0.25">
      <c r="A605" s="22" t="s">
        <v>4658</v>
      </c>
      <c r="B605" s="22">
        <v>0</v>
      </c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</row>
    <row r="606" spans="1:36" x14ac:dyDescent="0.25">
      <c r="A606" s="22" t="s">
        <v>4659</v>
      </c>
      <c r="B606" s="22">
        <v>92</v>
      </c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</row>
    <row r="607" spans="1:36" x14ac:dyDescent="0.25">
      <c r="A607" s="22" t="s">
        <v>4660</v>
      </c>
      <c r="B607" s="22">
        <v>0</v>
      </c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</row>
    <row r="608" spans="1:36" x14ac:dyDescent="0.25">
      <c r="A608" s="22" t="s">
        <v>4661</v>
      </c>
      <c r="B608" s="22">
        <v>0</v>
      </c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</row>
    <row r="609" spans="1:36" x14ac:dyDescent="0.25">
      <c r="A609" s="22" t="s">
        <v>4662</v>
      </c>
      <c r="B609" s="22">
        <v>0</v>
      </c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</row>
    <row r="610" spans="1:36" x14ac:dyDescent="0.25">
      <c r="A610" s="22" t="s">
        <v>4663</v>
      </c>
      <c r="B610" s="22">
        <v>0</v>
      </c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</row>
    <row r="611" spans="1:36" x14ac:dyDescent="0.25">
      <c r="A611" s="22" t="s">
        <v>4664</v>
      </c>
      <c r="B611" s="22">
        <v>0</v>
      </c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</row>
    <row r="612" spans="1:36" x14ac:dyDescent="0.25">
      <c r="A612" s="22" t="s">
        <v>4665</v>
      </c>
      <c r="B612" s="22">
        <v>0</v>
      </c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</row>
    <row r="613" spans="1:36" x14ac:dyDescent="0.25">
      <c r="A613" s="22" t="s">
        <v>4666</v>
      </c>
      <c r="B613" s="22">
        <v>0</v>
      </c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</row>
    <row r="614" spans="1:36" x14ac:dyDescent="0.25">
      <c r="A614" s="22" t="s">
        <v>1988</v>
      </c>
      <c r="B614" s="22">
        <v>142</v>
      </c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</row>
    <row r="615" spans="1:36" x14ac:dyDescent="0.25">
      <c r="A615" s="22" t="s">
        <v>2815</v>
      </c>
      <c r="B615" s="22">
        <v>0</v>
      </c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</row>
    <row r="616" spans="1:36" x14ac:dyDescent="0.25">
      <c r="A616" s="22" t="s">
        <v>2816</v>
      </c>
      <c r="B616" s="22">
        <v>0</v>
      </c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</row>
    <row r="617" spans="1:36" x14ac:dyDescent="0.25">
      <c r="A617" s="22" t="s">
        <v>2817</v>
      </c>
      <c r="B617" s="22">
        <v>0</v>
      </c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</row>
    <row r="618" spans="1:36" x14ac:dyDescent="0.25">
      <c r="A618" s="22" t="s">
        <v>2818</v>
      </c>
      <c r="B618" s="22">
        <v>2</v>
      </c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</row>
    <row r="619" spans="1:36" x14ac:dyDescent="0.25">
      <c r="A619" s="22" t="s">
        <v>2819</v>
      </c>
      <c r="B619" s="22">
        <v>0</v>
      </c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</row>
    <row r="620" spans="1:36" x14ac:dyDescent="0.25">
      <c r="A620" s="22" t="s">
        <v>2820</v>
      </c>
      <c r="B620" s="22">
        <v>0</v>
      </c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</row>
    <row r="621" spans="1:36" x14ac:dyDescent="0.25">
      <c r="A621" s="22" t="s">
        <v>2821</v>
      </c>
      <c r="B621" s="22">
        <v>0</v>
      </c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</row>
    <row r="622" spans="1:36" x14ac:dyDescent="0.25">
      <c r="A622" s="22" t="s">
        <v>1989</v>
      </c>
      <c r="B622" s="22">
        <v>0</v>
      </c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</row>
    <row r="623" spans="1:36" x14ac:dyDescent="0.25">
      <c r="A623" s="22" t="s">
        <v>2822</v>
      </c>
      <c r="B623" s="22">
        <v>0</v>
      </c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</row>
    <row r="624" spans="1:36" x14ac:dyDescent="0.25">
      <c r="A624" s="22" t="s">
        <v>2823</v>
      </c>
      <c r="B624" s="22">
        <v>0</v>
      </c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</row>
    <row r="625" spans="1:36" x14ac:dyDescent="0.25">
      <c r="A625" s="22" t="s">
        <v>2824</v>
      </c>
      <c r="B625" s="22">
        <v>0</v>
      </c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</row>
    <row r="626" spans="1:36" x14ac:dyDescent="0.25">
      <c r="A626" s="22" t="s">
        <v>2825</v>
      </c>
      <c r="B626" s="22">
        <v>0</v>
      </c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</row>
    <row r="627" spans="1:36" x14ac:dyDescent="0.25">
      <c r="A627" s="22" t="s">
        <v>2826</v>
      </c>
      <c r="B627" s="22">
        <v>0</v>
      </c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</row>
    <row r="628" spans="1:36" x14ac:dyDescent="0.25">
      <c r="A628" s="22" t="s">
        <v>2827</v>
      </c>
      <c r="B628" s="22">
        <v>0</v>
      </c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</row>
    <row r="629" spans="1:36" x14ac:dyDescent="0.25">
      <c r="A629" s="22" t="s">
        <v>2828</v>
      </c>
      <c r="B629" s="22">
        <v>0</v>
      </c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</row>
    <row r="630" spans="1:36" x14ac:dyDescent="0.25">
      <c r="A630" s="22" t="s">
        <v>1990</v>
      </c>
      <c r="B630" s="22">
        <v>15</v>
      </c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</row>
    <row r="631" spans="1:36" x14ac:dyDescent="0.25">
      <c r="A631" s="22" t="s">
        <v>2829</v>
      </c>
      <c r="B631" s="22">
        <v>0</v>
      </c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</row>
    <row r="632" spans="1:36" x14ac:dyDescent="0.25">
      <c r="A632" s="22" t="s">
        <v>2830</v>
      </c>
      <c r="B632" s="22">
        <v>0</v>
      </c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</row>
    <row r="633" spans="1:36" x14ac:dyDescent="0.25">
      <c r="A633" s="22" t="s">
        <v>2831</v>
      </c>
      <c r="B633" s="22">
        <v>0</v>
      </c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</row>
    <row r="634" spans="1:36" x14ac:dyDescent="0.25">
      <c r="A634" s="22" t="s">
        <v>2832</v>
      </c>
      <c r="B634" s="22">
        <v>1</v>
      </c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</row>
    <row r="635" spans="1:36" x14ac:dyDescent="0.25">
      <c r="A635" s="22" t="s">
        <v>2833</v>
      </c>
      <c r="B635" s="22">
        <v>0</v>
      </c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</row>
    <row r="636" spans="1:36" x14ac:dyDescent="0.25">
      <c r="A636" s="22" t="s">
        <v>2834</v>
      </c>
      <c r="B636" s="22">
        <v>0</v>
      </c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</row>
    <row r="637" spans="1:36" x14ac:dyDescent="0.25">
      <c r="A637" s="22" t="s">
        <v>2835</v>
      </c>
      <c r="B637" s="22">
        <v>0</v>
      </c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</row>
    <row r="638" spans="1:36" x14ac:dyDescent="0.25">
      <c r="A638" s="22" t="s">
        <v>1991</v>
      </c>
      <c r="B638" s="22">
        <v>0</v>
      </c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</row>
    <row r="639" spans="1:36" x14ac:dyDescent="0.25">
      <c r="A639" s="22" t="s">
        <v>2836</v>
      </c>
      <c r="B639" s="22">
        <v>0</v>
      </c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</row>
    <row r="640" spans="1:36" x14ac:dyDescent="0.25">
      <c r="A640" s="22" t="s">
        <v>2837</v>
      </c>
      <c r="B640" s="22">
        <v>0</v>
      </c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</row>
    <row r="641" spans="1:36" x14ac:dyDescent="0.25">
      <c r="A641" s="22" t="s">
        <v>2838</v>
      </c>
      <c r="B641" s="22">
        <v>0</v>
      </c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</row>
    <row r="642" spans="1:36" x14ac:dyDescent="0.25">
      <c r="A642" s="22" t="s">
        <v>2839</v>
      </c>
      <c r="B642" s="22">
        <v>0</v>
      </c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</row>
    <row r="643" spans="1:36" x14ac:dyDescent="0.25">
      <c r="A643" s="22" t="s">
        <v>2840</v>
      </c>
      <c r="B643" s="22">
        <v>0</v>
      </c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</row>
    <row r="644" spans="1:36" x14ac:dyDescent="0.25">
      <c r="A644" s="22" t="s">
        <v>2841</v>
      </c>
      <c r="B644" s="22">
        <v>0</v>
      </c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</row>
    <row r="645" spans="1:36" x14ac:dyDescent="0.25">
      <c r="A645" s="22" t="s">
        <v>2842</v>
      </c>
      <c r="B645" s="22">
        <v>0</v>
      </c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</row>
    <row r="646" spans="1:36" x14ac:dyDescent="0.25">
      <c r="A646" s="22" t="s">
        <v>1992</v>
      </c>
      <c r="B646" s="22">
        <v>91</v>
      </c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</row>
    <row r="647" spans="1:36" x14ac:dyDescent="0.25">
      <c r="A647" s="22" t="s">
        <v>2843</v>
      </c>
      <c r="B647" s="22">
        <v>0</v>
      </c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</row>
    <row r="648" spans="1:36" x14ac:dyDescent="0.25">
      <c r="A648" s="22" t="s">
        <v>2844</v>
      </c>
      <c r="B648" s="22">
        <v>0</v>
      </c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</row>
    <row r="649" spans="1:36" x14ac:dyDescent="0.25">
      <c r="A649" s="22" t="s">
        <v>2845</v>
      </c>
      <c r="B649" s="22">
        <v>0</v>
      </c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</row>
    <row r="650" spans="1:36" x14ac:dyDescent="0.25">
      <c r="A650" s="22" t="s">
        <v>2846</v>
      </c>
      <c r="B650" s="22">
        <v>1</v>
      </c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</row>
    <row r="651" spans="1:36" x14ac:dyDescent="0.25">
      <c r="A651" s="22" t="s">
        <v>2847</v>
      </c>
      <c r="B651" s="22">
        <v>0</v>
      </c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</row>
    <row r="652" spans="1:36" x14ac:dyDescent="0.25">
      <c r="A652" s="22" t="s">
        <v>2848</v>
      </c>
      <c r="B652" s="22">
        <v>0</v>
      </c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</row>
    <row r="653" spans="1:36" x14ac:dyDescent="0.25">
      <c r="A653" s="22" t="s">
        <v>2849</v>
      </c>
      <c r="B653" s="22">
        <v>0</v>
      </c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</row>
    <row r="654" spans="1:36" x14ac:dyDescent="0.25">
      <c r="A654" s="22" t="s">
        <v>1993</v>
      </c>
      <c r="B654" s="22">
        <v>33</v>
      </c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</row>
    <row r="655" spans="1:36" x14ac:dyDescent="0.25">
      <c r="A655" s="22" t="s">
        <v>2850</v>
      </c>
      <c r="B655" s="22">
        <v>0</v>
      </c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</row>
    <row r="656" spans="1:36" x14ac:dyDescent="0.25">
      <c r="A656" s="22" t="s">
        <v>2851</v>
      </c>
      <c r="B656" s="22">
        <v>0</v>
      </c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</row>
    <row r="657" spans="1:36" x14ac:dyDescent="0.25">
      <c r="A657" s="22" t="s">
        <v>2852</v>
      </c>
      <c r="B657" s="22">
        <v>0</v>
      </c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</row>
    <row r="658" spans="1:36" x14ac:dyDescent="0.25">
      <c r="A658" s="22" t="s">
        <v>2853</v>
      </c>
      <c r="B658" s="22">
        <v>0</v>
      </c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</row>
    <row r="659" spans="1:36" x14ac:dyDescent="0.25">
      <c r="A659" s="22" t="s">
        <v>2854</v>
      </c>
      <c r="B659" s="22">
        <v>0</v>
      </c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</row>
    <row r="660" spans="1:36" x14ac:dyDescent="0.25">
      <c r="A660" s="22" t="s">
        <v>2855</v>
      </c>
      <c r="B660" s="22">
        <v>0</v>
      </c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</row>
    <row r="661" spans="1:36" x14ac:dyDescent="0.25">
      <c r="A661" s="22" t="s">
        <v>2856</v>
      </c>
      <c r="B661" s="22">
        <v>0</v>
      </c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</row>
    <row r="662" spans="1:36" x14ac:dyDescent="0.25">
      <c r="A662" s="22" t="s">
        <v>1994</v>
      </c>
      <c r="B662" s="22">
        <v>20</v>
      </c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</row>
    <row r="663" spans="1:36" x14ac:dyDescent="0.25">
      <c r="A663" s="22" t="s">
        <v>2857</v>
      </c>
      <c r="B663" s="22">
        <v>0</v>
      </c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</row>
    <row r="664" spans="1:36" x14ac:dyDescent="0.25">
      <c r="A664" s="22" t="s">
        <v>2858</v>
      </c>
      <c r="B664" s="22">
        <v>0</v>
      </c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</row>
    <row r="665" spans="1:36" x14ac:dyDescent="0.25">
      <c r="A665" s="22" t="s">
        <v>2859</v>
      </c>
      <c r="B665" s="22">
        <v>0</v>
      </c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</row>
    <row r="666" spans="1:36" x14ac:dyDescent="0.25">
      <c r="A666" s="22" t="s">
        <v>2860</v>
      </c>
      <c r="B666" s="22">
        <v>0</v>
      </c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</row>
    <row r="667" spans="1:36" x14ac:dyDescent="0.25">
      <c r="A667" s="22" t="s">
        <v>2861</v>
      </c>
      <c r="B667" s="22">
        <v>0</v>
      </c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</row>
    <row r="668" spans="1:36" x14ac:dyDescent="0.25">
      <c r="A668" s="22" t="s">
        <v>2862</v>
      </c>
      <c r="B668" s="22">
        <v>0</v>
      </c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</row>
    <row r="669" spans="1:36" x14ac:dyDescent="0.25">
      <c r="A669" s="22" t="s">
        <v>2863</v>
      </c>
      <c r="B669" s="22">
        <v>0</v>
      </c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</row>
    <row r="670" spans="1:36" x14ac:dyDescent="0.25">
      <c r="A670" s="22" t="s">
        <v>1995</v>
      </c>
      <c r="B670" s="22">
        <v>0</v>
      </c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</row>
    <row r="671" spans="1:36" x14ac:dyDescent="0.25">
      <c r="A671" s="22" t="s">
        <v>2864</v>
      </c>
      <c r="B671" s="22">
        <v>0</v>
      </c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</row>
    <row r="672" spans="1:36" x14ac:dyDescent="0.25">
      <c r="A672" s="22" t="s">
        <v>2865</v>
      </c>
      <c r="B672" s="22">
        <v>0</v>
      </c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</row>
    <row r="673" spans="1:36" x14ac:dyDescent="0.25">
      <c r="A673" s="22" t="s">
        <v>2866</v>
      </c>
      <c r="B673" s="22">
        <v>0</v>
      </c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</row>
    <row r="674" spans="1:36" x14ac:dyDescent="0.25">
      <c r="A674" s="22" t="s">
        <v>2867</v>
      </c>
      <c r="B674" s="22">
        <v>0</v>
      </c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</row>
    <row r="675" spans="1:36" x14ac:dyDescent="0.25">
      <c r="A675" s="22" t="s">
        <v>2868</v>
      </c>
      <c r="B675" s="22">
        <v>0</v>
      </c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</row>
    <row r="676" spans="1:36" x14ac:dyDescent="0.25">
      <c r="A676" s="22" t="s">
        <v>2869</v>
      </c>
      <c r="B676" s="22">
        <v>0</v>
      </c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</row>
    <row r="677" spans="1:36" x14ac:dyDescent="0.25">
      <c r="A677" s="22" t="s">
        <v>2870</v>
      </c>
      <c r="B677" s="22">
        <v>0</v>
      </c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</row>
    <row r="678" spans="1:36" x14ac:dyDescent="0.25">
      <c r="A678" s="22" t="s">
        <v>1996</v>
      </c>
      <c r="B678" s="22">
        <v>209</v>
      </c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</row>
    <row r="679" spans="1:36" x14ac:dyDescent="0.25">
      <c r="A679" s="22" t="s">
        <v>2871</v>
      </c>
      <c r="B679" s="22">
        <v>0</v>
      </c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</row>
    <row r="680" spans="1:36" x14ac:dyDescent="0.25">
      <c r="A680" s="22" t="s">
        <v>2872</v>
      </c>
      <c r="B680" s="22">
        <v>0</v>
      </c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</row>
    <row r="681" spans="1:36" x14ac:dyDescent="0.25">
      <c r="A681" s="22" t="s">
        <v>2873</v>
      </c>
      <c r="B681" s="22">
        <v>0</v>
      </c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</row>
    <row r="682" spans="1:36" x14ac:dyDescent="0.25">
      <c r="A682" s="22" t="s">
        <v>2874</v>
      </c>
      <c r="B682" s="22">
        <v>0</v>
      </c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</row>
    <row r="683" spans="1:36" x14ac:dyDescent="0.25">
      <c r="A683" s="22" t="s">
        <v>2875</v>
      </c>
      <c r="B683" s="22">
        <v>0</v>
      </c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</row>
    <row r="684" spans="1:36" x14ac:dyDescent="0.25">
      <c r="A684" s="22" t="s">
        <v>2876</v>
      </c>
      <c r="B684" s="22">
        <v>0</v>
      </c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</row>
    <row r="685" spans="1:36" x14ac:dyDescent="0.25">
      <c r="A685" s="22" t="s">
        <v>2877</v>
      </c>
      <c r="B685" s="22">
        <v>0</v>
      </c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</row>
    <row r="686" spans="1:36" x14ac:dyDescent="0.25">
      <c r="A686" s="22" t="s">
        <v>1997</v>
      </c>
      <c r="B686" s="22">
        <v>148</v>
      </c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</row>
    <row r="687" spans="1:36" x14ac:dyDescent="0.25">
      <c r="A687" s="22" t="s">
        <v>2878</v>
      </c>
      <c r="B687" s="22">
        <v>6</v>
      </c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</row>
    <row r="688" spans="1:36" x14ac:dyDescent="0.25">
      <c r="A688" s="22" t="s">
        <v>2879</v>
      </c>
      <c r="B688" s="22">
        <v>0</v>
      </c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</row>
    <row r="689" spans="1:36" x14ac:dyDescent="0.25">
      <c r="A689" s="22" t="s">
        <v>2880</v>
      </c>
      <c r="B689" s="22">
        <v>0</v>
      </c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</row>
    <row r="690" spans="1:36" x14ac:dyDescent="0.25">
      <c r="A690" s="22" t="s">
        <v>2881</v>
      </c>
      <c r="B690" s="22">
        <v>0</v>
      </c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</row>
    <row r="691" spans="1:36" x14ac:dyDescent="0.25">
      <c r="A691" s="22" t="s">
        <v>2882</v>
      </c>
      <c r="B691" s="22">
        <v>0</v>
      </c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</row>
    <row r="692" spans="1:36" x14ac:dyDescent="0.25">
      <c r="A692" s="22" t="s">
        <v>2883</v>
      </c>
      <c r="B692" s="22">
        <v>0</v>
      </c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</row>
    <row r="693" spans="1:36" x14ac:dyDescent="0.25">
      <c r="A693" s="22" t="s">
        <v>2884</v>
      </c>
      <c r="B693" s="22">
        <v>0</v>
      </c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</row>
    <row r="694" spans="1:36" x14ac:dyDescent="0.25">
      <c r="A694" s="22" t="s">
        <v>4667</v>
      </c>
      <c r="B694" s="22">
        <v>70</v>
      </c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</row>
    <row r="695" spans="1:36" x14ac:dyDescent="0.25">
      <c r="A695" s="22" t="s">
        <v>4668</v>
      </c>
      <c r="B695" s="22">
        <v>0</v>
      </c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</row>
    <row r="696" spans="1:36" x14ac:dyDescent="0.25">
      <c r="A696" s="22" t="s">
        <v>4669</v>
      </c>
      <c r="B696" s="22">
        <v>0</v>
      </c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</row>
    <row r="697" spans="1:36" x14ac:dyDescent="0.25">
      <c r="A697" s="22" t="s">
        <v>4670</v>
      </c>
      <c r="B697" s="22">
        <v>0</v>
      </c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</row>
    <row r="698" spans="1:36" x14ac:dyDescent="0.25">
      <c r="A698" s="22" t="s">
        <v>4671</v>
      </c>
      <c r="B698" s="22">
        <v>0</v>
      </c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</row>
    <row r="699" spans="1:36" x14ac:dyDescent="0.25">
      <c r="A699" s="22" t="s">
        <v>4672</v>
      </c>
      <c r="B699" s="22">
        <v>0</v>
      </c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</row>
    <row r="700" spans="1:36" x14ac:dyDescent="0.25">
      <c r="A700" s="22" t="s">
        <v>4673</v>
      </c>
      <c r="B700" s="22">
        <v>0</v>
      </c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</row>
    <row r="701" spans="1:36" x14ac:dyDescent="0.25">
      <c r="A701" s="22" t="s">
        <v>4674</v>
      </c>
      <c r="B701" s="22">
        <v>0</v>
      </c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</row>
    <row r="702" spans="1:36" x14ac:dyDescent="0.25">
      <c r="A702" s="22" t="s">
        <v>4675</v>
      </c>
      <c r="B702" s="22">
        <v>280</v>
      </c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</row>
    <row r="703" spans="1:36" x14ac:dyDescent="0.25">
      <c r="A703" s="22" t="s">
        <v>4676</v>
      </c>
      <c r="B703" s="22">
        <v>14</v>
      </c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</row>
    <row r="704" spans="1:36" x14ac:dyDescent="0.25">
      <c r="A704" s="22" t="s">
        <v>4677</v>
      </c>
      <c r="B704" s="22">
        <v>0</v>
      </c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</row>
    <row r="705" spans="1:36" x14ac:dyDescent="0.25">
      <c r="A705" s="22" t="s">
        <v>4678</v>
      </c>
      <c r="B705" s="22">
        <v>0</v>
      </c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</row>
    <row r="706" spans="1:36" x14ac:dyDescent="0.25">
      <c r="A706" s="22" t="s">
        <v>4679</v>
      </c>
      <c r="B706" s="22">
        <v>2</v>
      </c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</row>
    <row r="707" spans="1:36" x14ac:dyDescent="0.25">
      <c r="A707" s="22" t="s">
        <v>4680</v>
      </c>
      <c r="B707" s="22">
        <v>0</v>
      </c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</row>
    <row r="708" spans="1:36" x14ac:dyDescent="0.25">
      <c r="A708" s="22" t="s">
        <v>4681</v>
      </c>
      <c r="B708" s="22">
        <v>0</v>
      </c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</row>
    <row r="709" spans="1:36" x14ac:dyDescent="0.25">
      <c r="A709" s="22" t="s">
        <v>4682</v>
      </c>
      <c r="B709" s="22">
        <v>0</v>
      </c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</row>
    <row r="710" spans="1:36" x14ac:dyDescent="0.25">
      <c r="A710" s="22" t="s">
        <v>4683</v>
      </c>
      <c r="B710" s="22">
        <v>302</v>
      </c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</row>
    <row r="711" spans="1:36" x14ac:dyDescent="0.25">
      <c r="A711" s="22" t="s">
        <v>4684</v>
      </c>
      <c r="B711" s="22">
        <v>0</v>
      </c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</row>
    <row r="712" spans="1:36" x14ac:dyDescent="0.25">
      <c r="A712" s="22" t="s">
        <v>4685</v>
      </c>
      <c r="B712" s="22">
        <v>0</v>
      </c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</row>
    <row r="713" spans="1:36" x14ac:dyDescent="0.25">
      <c r="A713" s="22" t="s">
        <v>4686</v>
      </c>
      <c r="B713" s="22">
        <v>0</v>
      </c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</row>
    <row r="714" spans="1:36" x14ac:dyDescent="0.25">
      <c r="A714" s="22" t="s">
        <v>4687</v>
      </c>
      <c r="B714" s="22">
        <v>3</v>
      </c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</row>
    <row r="715" spans="1:36" x14ac:dyDescent="0.25">
      <c r="A715" s="22" t="s">
        <v>4688</v>
      </c>
      <c r="B715" s="22">
        <v>0</v>
      </c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</row>
    <row r="716" spans="1:36" x14ac:dyDescent="0.25">
      <c r="A716" s="22" t="s">
        <v>4689</v>
      </c>
      <c r="B716" s="22">
        <v>0</v>
      </c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</row>
    <row r="717" spans="1:36" x14ac:dyDescent="0.25">
      <c r="A717" s="22" t="s">
        <v>4690</v>
      </c>
      <c r="B717" s="22">
        <v>0</v>
      </c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</row>
    <row r="718" spans="1:36" x14ac:dyDescent="0.25">
      <c r="A718" s="22" t="s">
        <v>4691</v>
      </c>
      <c r="B718" s="22">
        <v>233</v>
      </c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</row>
    <row r="719" spans="1:36" x14ac:dyDescent="0.25">
      <c r="A719" s="22" t="s">
        <v>4692</v>
      </c>
      <c r="B719" s="22">
        <v>0</v>
      </c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</row>
    <row r="720" spans="1:36" x14ac:dyDescent="0.25">
      <c r="A720" s="22" t="s">
        <v>4693</v>
      </c>
      <c r="B720" s="22">
        <v>0</v>
      </c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</row>
    <row r="721" spans="1:36" x14ac:dyDescent="0.25">
      <c r="A721" s="22" t="s">
        <v>4694</v>
      </c>
      <c r="B721" s="22">
        <v>0</v>
      </c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</row>
    <row r="722" spans="1:36" x14ac:dyDescent="0.25">
      <c r="A722" s="22" t="s">
        <v>4695</v>
      </c>
      <c r="B722" s="22">
        <v>3</v>
      </c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</row>
    <row r="723" spans="1:36" x14ac:dyDescent="0.25">
      <c r="A723" s="22" t="s">
        <v>4696</v>
      </c>
      <c r="B723" s="22">
        <v>0</v>
      </c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</row>
    <row r="724" spans="1:36" x14ac:dyDescent="0.25">
      <c r="A724" s="22" t="s">
        <v>4697</v>
      </c>
      <c r="B724" s="22">
        <v>0</v>
      </c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</row>
    <row r="725" spans="1:36" x14ac:dyDescent="0.25">
      <c r="A725" s="22" t="s">
        <v>4698</v>
      </c>
      <c r="B725" s="22">
        <v>0</v>
      </c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</row>
    <row r="726" spans="1:36" x14ac:dyDescent="0.25">
      <c r="A726" s="22" t="s">
        <v>4699</v>
      </c>
      <c r="B726" s="22">
        <v>275</v>
      </c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</row>
    <row r="727" spans="1:36" x14ac:dyDescent="0.25">
      <c r="A727" s="22" t="s">
        <v>4700</v>
      </c>
      <c r="B727" s="22">
        <v>53</v>
      </c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</row>
    <row r="728" spans="1:36" x14ac:dyDescent="0.25">
      <c r="A728" s="22" t="s">
        <v>4701</v>
      </c>
      <c r="B728" s="22">
        <v>0</v>
      </c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</row>
    <row r="729" spans="1:36" x14ac:dyDescent="0.25">
      <c r="A729" s="22" t="s">
        <v>4702</v>
      </c>
      <c r="B729" s="22">
        <v>0</v>
      </c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</row>
    <row r="730" spans="1:36" x14ac:dyDescent="0.25">
      <c r="A730" s="22" t="s">
        <v>4703</v>
      </c>
      <c r="B730" s="22">
        <v>0</v>
      </c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</row>
    <row r="731" spans="1:36" x14ac:dyDescent="0.25">
      <c r="A731" s="22" t="s">
        <v>4704</v>
      </c>
      <c r="B731" s="22">
        <v>0</v>
      </c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</row>
    <row r="732" spans="1:36" x14ac:dyDescent="0.25">
      <c r="A732" s="22" t="s">
        <v>4705</v>
      </c>
      <c r="B732" s="22">
        <v>0</v>
      </c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</row>
    <row r="733" spans="1:36" x14ac:dyDescent="0.25">
      <c r="A733" s="22" t="s">
        <v>4706</v>
      </c>
      <c r="B733" s="22">
        <v>0</v>
      </c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</row>
    <row r="734" spans="1:36" x14ac:dyDescent="0.25">
      <c r="A734" s="22" t="s">
        <v>4707</v>
      </c>
      <c r="B734" s="22">
        <v>121</v>
      </c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</row>
    <row r="735" spans="1:36" x14ac:dyDescent="0.25">
      <c r="A735" s="22" t="s">
        <v>4708</v>
      </c>
      <c r="B735" s="22">
        <v>20</v>
      </c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</row>
    <row r="736" spans="1:36" x14ac:dyDescent="0.25">
      <c r="A736" s="22" t="s">
        <v>4709</v>
      </c>
      <c r="B736" s="22">
        <v>0</v>
      </c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</row>
    <row r="737" spans="1:36" x14ac:dyDescent="0.25">
      <c r="A737" s="22" t="s">
        <v>4710</v>
      </c>
      <c r="B737" s="22">
        <v>0</v>
      </c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</row>
    <row r="738" spans="1:36" x14ac:dyDescent="0.25">
      <c r="A738" s="22" t="s">
        <v>4711</v>
      </c>
      <c r="B738" s="22">
        <v>0</v>
      </c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</row>
    <row r="739" spans="1:36" x14ac:dyDescent="0.25">
      <c r="A739" s="22" t="s">
        <v>4712</v>
      </c>
      <c r="B739" s="22">
        <v>0</v>
      </c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</row>
    <row r="740" spans="1:36" x14ac:dyDescent="0.25">
      <c r="A740" s="22" t="s">
        <v>4713</v>
      </c>
      <c r="B740" s="22">
        <v>0</v>
      </c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</row>
    <row r="741" spans="1:36" x14ac:dyDescent="0.25">
      <c r="A741" s="22" t="s">
        <v>4714</v>
      </c>
      <c r="B741" s="22">
        <v>0</v>
      </c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</row>
    <row r="742" spans="1:36" x14ac:dyDescent="0.25">
      <c r="A742" s="22" t="s">
        <v>4715</v>
      </c>
      <c r="B742" s="22">
        <v>0</v>
      </c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</row>
    <row r="743" spans="1:36" x14ac:dyDescent="0.25">
      <c r="A743" s="22" t="s">
        <v>4716</v>
      </c>
      <c r="B743" s="22">
        <v>0</v>
      </c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</row>
    <row r="744" spans="1:36" x14ac:dyDescent="0.25">
      <c r="A744" s="22" t="s">
        <v>4717</v>
      </c>
      <c r="B744" s="22">
        <v>0</v>
      </c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</row>
    <row r="745" spans="1:36" x14ac:dyDescent="0.25">
      <c r="A745" s="22" t="s">
        <v>4718</v>
      </c>
      <c r="B745" s="22">
        <v>0</v>
      </c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</row>
    <row r="746" spans="1:36" x14ac:dyDescent="0.25">
      <c r="A746" s="22" t="s">
        <v>4719</v>
      </c>
      <c r="B746" s="22">
        <v>0</v>
      </c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</row>
    <row r="747" spans="1:36" x14ac:dyDescent="0.25">
      <c r="A747" s="22" t="s">
        <v>4720</v>
      </c>
      <c r="B747" s="22">
        <v>0</v>
      </c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</row>
    <row r="748" spans="1:36" x14ac:dyDescent="0.25">
      <c r="A748" s="22" t="s">
        <v>4721</v>
      </c>
      <c r="B748" s="22">
        <v>0</v>
      </c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</row>
    <row r="749" spans="1:36" x14ac:dyDescent="0.25">
      <c r="A749" s="22" t="s">
        <v>4722</v>
      </c>
      <c r="B749" s="22">
        <v>0</v>
      </c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</row>
    <row r="750" spans="1:36" x14ac:dyDescent="0.25">
      <c r="A750" s="22" t="s">
        <v>4723</v>
      </c>
      <c r="B750" s="22">
        <v>132</v>
      </c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</row>
    <row r="751" spans="1:36" x14ac:dyDescent="0.25">
      <c r="A751" s="22" t="s">
        <v>4724</v>
      </c>
      <c r="B751" s="22">
        <v>0</v>
      </c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</row>
    <row r="752" spans="1:36" x14ac:dyDescent="0.25">
      <c r="A752" s="22" t="s">
        <v>4725</v>
      </c>
      <c r="B752" s="22">
        <v>0</v>
      </c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</row>
    <row r="753" spans="1:36" x14ac:dyDescent="0.25">
      <c r="A753" s="22" t="s">
        <v>4726</v>
      </c>
      <c r="B753" s="22">
        <v>0</v>
      </c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</row>
    <row r="754" spans="1:36" x14ac:dyDescent="0.25">
      <c r="A754" s="22" t="s">
        <v>4727</v>
      </c>
      <c r="B754" s="22">
        <v>2</v>
      </c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</row>
    <row r="755" spans="1:36" x14ac:dyDescent="0.25">
      <c r="A755" s="22" t="s">
        <v>4728</v>
      </c>
      <c r="B755" s="22">
        <v>0</v>
      </c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</row>
    <row r="756" spans="1:36" x14ac:dyDescent="0.25">
      <c r="A756" s="22" t="s">
        <v>4729</v>
      </c>
      <c r="B756" s="22">
        <v>0</v>
      </c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</row>
    <row r="757" spans="1:36" x14ac:dyDescent="0.25">
      <c r="A757" s="22" t="s">
        <v>4730</v>
      </c>
      <c r="B757" s="22">
        <v>0</v>
      </c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</row>
    <row r="758" spans="1:36" x14ac:dyDescent="0.25">
      <c r="A758" s="22" t="s">
        <v>4731</v>
      </c>
      <c r="B758" s="22">
        <v>474</v>
      </c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</row>
    <row r="759" spans="1:36" x14ac:dyDescent="0.25">
      <c r="A759" s="22" t="s">
        <v>4732</v>
      </c>
      <c r="B759" s="22">
        <v>121</v>
      </c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</row>
    <row r="760" spans="1:36" x14ac:dyDescent="0.25">
      <c r="A760" s="22" t="s">
        <v>4733</v>
      </c>
      <c r="B760" s="22">
        <v>0</v>
      </c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</row>
    <row r="761" spans="1:36" x14ac:dyDescent="0.25">
      <c r="A761" s="22" t="s">
        <v>4734</v>
      </c>
      <c r="B761" s="22">
        <v>0</v>
      </c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</row>
    <row r="762" spans="1:36" x14ac:dyDescent="0.25">
      <c r="A762" s="22" t="s">
        <v>4735</v>
      </c>
      <c r="B762" s="22">
        <v>5</v>
      </c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</row>
    <row r="763" spans="1:36" x14ac:dyDescent="0.25">
      <c r="A763" s="22" t="s">
        <v>4736</v>
      </c>
      <c r="B763" s="22">
        <v>0</v>
      </c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</row>
    <row r="764" spans="1:36" x14ac:dyDescent="0.25">
      <c r="A764" s="22" t="s">
        <v>4737</v>
      </c>
      <c r="B764" s="22">
        <v>0</v>
      </c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</row>
    <row r="765" spans="1:36" x14ac:dyDescent="0.25">
      <c r="A765" s="22" t="s">
        <v>4738</v>
      </c>
      <c r="B765" s="22">
        <v>0</v>
      </c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</row>
    <row r="766" spans="1:36" x14ac:dyDescent="0.25">
      <c r="A766" s="22" t="s">
        <v>4739</v>
      </c>
      <c r="B766" s="22">
        <v>59</v>
      </c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</row>
    <row r="767" spans="1:36" x14ac:dyDescent="0.25">
      <c r="A767" s="22" t="s">
        <v>4740</v>
      </c>
      <c r="B767" s="22">
        <v>0</v>
      </c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</row>
    <row r="768" spans="1:36" x14ac:dyDescent="0.25">
      <c r="A768" s="22" t="s">
        <v>4741</v>
      </c>
      <c r="B768" s="22">
        <v>0</v>
      </c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</row>
    <row r="769" spans="1:36" x14ac:dyDescent="0.25">
      <c r="A769" s="22" t="s">
        <v>4742</v>
      </c>
      <c r="B769" s="22">
        <v>0</v>
      </c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</row>
    <row r="770" spans="1:36" x14ac:dyDescent="0.25">
      <c r="A770" s="22" t="s">
        <v>4743</v>
      </c>
      <c r="B770" s="22">
        <v>0</v>
      </c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</row>
    <row r="771" spans="1:36" x14ac:dyDescent="0.25">
      <c r="A771" s="22" t="s">
        <v>4744</v>
      </c>
      <c r="B771" s="22">
        <v>0</v>
      </c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</row>
    <row r="772" spans="1:36" x14ac:dyDescent="0.25">
      <c r="A772" s="22" t="s">
        <v>4745</v>
      </c>
      <c r="B772" s="22">
        <v>0</v>
      </c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</row>
    <row r="773" spans="1:36" x14ac:dyDescent="0.25">
      <c r="A773" s="22" t="s">
        <v>4746</v>
      </c>
      <c r="B773" s="22">
        <v>0</v>
      </c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</row>
    <row r="774" spans="1:36" x14ac:dyDescent="0.25">
      <c r="A774" s="22" t="s">
        <v>368</v>
      </c>
      <c r="B774" s="22">
        <v>380</v>
      </c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</row>
    <row r="775" spans="1:36" x14ac:dyDescent="0.25">
      <c r="A775" s="22" t="s">
        <v>3845</v>
      </c>
      <c r="B775" s="22">
        <v>809</v>
      </c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</row>
    <row r="776" spans="1:36" x14ac:dyDescent="0.25">
      <c r="A776" s="22" t="s">
        <v>3846</v>
      </c>
      <c r="B776" s="22">
        <v>0</v>
      </c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</row>
    <row r="777" spans="1:36" x14ac:dyDescent="0.25">
      <c r="A777" s="22" t="s">
        <v>3847</v>
      </c>
      <c r="B777" s="22">
        <v>0</v>
      </c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</row>
    <row r="778" spans="1:36" x14ac:dyDescent="0.25">
      <c r="A778" s="22" t="s">
        <v>3848</v>
      </c>
      <c r="B778" s="22">
        <v>1</v>
      </c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</row>
    <row r="779" spans="1:36" x14ac:dyDescent="0.25">
      <c r="A779" s="22" t="s">
        <v>3849</v>
      </c>
      <c r="B779" s="22">
        <v>0</v>
      </c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</row>
    <row r="780" spans="1:36" x14ac:dyDescent="0.25">
      <c r="A780" s="22" t="s">
        <v>3850</v>
      </c>
      <c r="B780" s="22">
        <v>0</v>
      </c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</row>
    <row r="781" spans="1:36" x14ac:dyDescent="0.25">
      <c r="A781" s="22" t="s">
        <v>3851</v>
      </c>
      <c r="B781" s="22">
        <v>0</v>
      </c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</row>
    <row r="782" spans="1:36" x14ac:dyDescent="0.25">
      <c r="A782" s="22" t="s">
        <v>369</v>
      </c>
      <c r="B782" s="22">
        <v>340</v>
      </c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</row>
    <row r="783" spans="1:36" x14ac:dyDescent="0.25">
      <c r="A783" s="22" t="s">
        <v>2885</v>
      </c>
      <c r="B783" s="22">
        <v>42</v>
      </c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</row>
    <row r="784" spans="1:36" x14ac:dyDescent="0.25">
      <c r="A784" s="22" t="s">
        <v>2886</v>
      </c>
      <c r="B784" s="22">
        <v>0</v>
      </c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</row>
    <row r="785" spans="1:36" x14ac:dyDescent="0.25">
      <c r="A785" s="22" t="s">
        <v>2887</v>
      </c>
      <c r="B785" s="22">
        <v>0</v>
      </c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</row>
    <row r="786" spans="1:36" x14ac:dyDescent="0.25">
      <c r="A786" s="22" t="s">
        <v>2888</v>
      </c>
      <c r="B786" s="22">
        <v>0</v>
      </c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</row>
    <row r="787" spans="1:36" x14ac:dyDescent="0.25">
      <c r="A787" s="22" t="s">
        <v>2889</v>
      </c>
      <c r="B787" s="22">
        <v>0</v>
      </c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</row>
    <row r="788" spans="1:36" x14ac:dyDescent="0.25">
      <c r="A788" s="22" t="s">
        <v>2890</v>
      </c>
      <c r="B788" s="22">
        <v>0</v>
      </c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</row>
    <row r="789" spans="1:36" x14ac:dyDescent="0.25">
      <c r="A789" s="22" t="s">
        <v>2891</v>
      </c>
      <c r="B789" s="22">
        <v>0</v>
      </c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  <c r="AD789" s="22"/>
      <c r="AE789" s="22"/>
      <c r="AF789" s="22"/>
      <c r="AG789" s="22"/>
      <c r="AH789" s="22"/>
      <c r="AI789" s="22"/>
      <c r="AJ789" s="22"/>
    </row>
    <row r="790" spans="1:36" x14ac:dyDescent="0.25">
      <c r="A790" s="22" t="s">
        <v>370</v>
      </c>
      <c r="B790" s="22">
        <v>0</v>
      </c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</row>
    <row r="791" spans="1:36" x14ac:dyDescent="0.25">
      <c r="A791" s="22" t="s">
        <v>2892</v>
      </c>
      <c r="B791" s="22">
        <v>0</v>
      </c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</row>
    <row r="792" spans="1:36" x14ac:dyDescent="0.25">
      <c r="A792" s="22" t="s">
        <v>2893</v>
      </c>
      <c r="B792" s="22">
        <v>0</v>
      </c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</row>
    <row r="793" spans="1:36" x14ac:dyDescent="0.25">
      <c r="A793" s="22" t="s">
        <v>2894</v>
      </c>
      <c r="B793" s="22">
        <v>0</v>
      </c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  <c r="AD793" s="22"/>
      <c r="AE793" s="22"/>
      <c r="AF793" s="22"/>
      <c r="AG793" s="22"/>
      <c r="AH793" s="22"/>
      <c r="AI793" s="22"/>
      <c r="AJ793" s="22"/>
    </row>
    <row r="794" spans="1:36" x14ac:dyDescent="0.25">
      <c r="A794" s="22" t="s">
        <v>2895</v>
      </c>
      <c r="B794" s="22">
        <v>0</v>
      </c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  <c r="AD794" s="22"/>
      <c r="AE794" s="22"/>
      <c r="AF794" s="22"/>
      <c r="AG794" s="22"/>
      <c r="AH794" s="22"/>
      <c r="AI794" s="22"/>
      <c r="AJ794" s="22"/>
    </row>
    <row r="795" spans="1:36" x14ac:dyDescent="0.25">
      <c r="A795" s="22" t="s">
        <v>2896</v>
      </c>
      <c r="B795" s="22">
        <v>0</v>
      </c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  <c r="AD795" s="22"/>
      <c r="AE795" s="22"/>
      <c r="AF795" s="22"/>
      <c r="AG795" s="22"/>
      <c r="AH795" s="22"/>
      <c r="AI795" s="22"/>
      <c r="AJ795" s="22"/>
    </row>
    <row r="796" spans="1:36" x14ac:dyDescent="0.25">
      <c r="A796" s="22" t="s">
        <v>2897</v>
      </c>
      <c r="B796" s="22">
        <v>0</v>
      </c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  <c r="AD796" s="22"/>
      <c r="AE796" s="22"/>
      <c r="AF796" s="22"/>
      <c r="AG796" s="22"/>
      <c r="AH796" s="22"/>
      <c r="AI796" s="22"/>
      <c r="AJ796" s="22"/>
    </row>
    <row r="797" spans="1:36" x14ac:dyDescent="0.25">
      <c r="A797" s="22" t="s">
        <v>2898</v>
      </c>
      <c r="B797" s="22">
        <v>0</v>
      </c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</row>
    <row r="798" spans="1:36" x14ac:dyDescent="0.25">
      <c r="A798" s="22" t="s">
        <v>371</v>
      </c>
      <c r="B798" s="22">
        <v>293</v>
      </c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  <c r="AD798" s="22"/>
      <c r="AE798" s="22"/>
      <c r="AF798" s="22"/>
      <c r="AG798" s="22"/>
      <c r="AH798" s="22"/>
      <c r="AI798" s="22"/>
      <c r="AJ798" s="22"/>
    </row>
    <row r="799" spans="1:36" x14ac:dyDescent="0.25">
      <c r="A799" s="22" t="s">
        <v>3852</v>
      </c>
      <c r="B799" s="22">
        <v>127</v>
      </c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</row>
    <row r="800" spans="1:36" x14ac:dyDescent="0.25">
      <c r="A800" s="22" t="s">
        <v>3853</v>
      </c>
      <c r="B800" s="22">
        <v>0</v>
      </c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  <c r="AD800" s="22"/>
      <c r="AE800" s="22"/>
      <c r="AF800" s="22"/>
      <c r="AG800" s="22"/>
      <c r="AH800" s="22"/>
      <c r="AI800" s="22"/>
      <c r="AJ800" s="22"/>
    </row>
    <row r="801" spans="1:36" x14ac:dyDescent="0.25">
      <c r="A801" s="22" t="s">
        <v>3854</v>
      </c>
      <c r="B801" s="22">
        <v>0</v>
      </c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  <c r="AD801" s="22"/>
      <c r="AE801" s="22"/>
      <c r="AF801" s="22"/>
      <c r="AG801" s="22"/>
      <c r="AH801" s="22"/>
      <c r="AI801" s="22"/>
      <c r="AJ801" s="22"/>
    </row>
    <row r="802" spans="1:36" x14ac:dyDescent="0.25">
      <c r="A802" s="22" t="s">
        <v>3855</v>
      </c>
      <c r="B802" s="22">
        <v>4</v>
      </c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  <c r="AD802" s="22"/>
      <c r="AE802" s="22"/>
      <c r="AF802" s="22"/>
      <c r="AG802" s="22"/>
      <c r="AH802" s="22"/>
      <c r="AI802" s="22"/>
      <c r="AJ802" s="22"/>
    </row>
    <row r="803" spans="1:36" x14ac:dyDescent="0.25">
      <c r="A803" s="22" t="s">
        <v>3856</v>
      </c>
      <c r="B803" s="22">
        <v>0</v>
      </c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</row>
    <row r="804" spans="1:36" x14ac:dyDescent="0.25">
      <c r="A804" s="22" t="s">
        <v>3857</v>
      </c>
      <c r="B804" s="22">
        <v>0</v>
      </c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</row>
    <row r="805" spans="1:36" x14ac:dyDescent="0.25">
      <c r="A805" s="22" t="s">
        <v>3858</v>
      </c>
      <c r="B805" s="22">
        <v>0</v>
      </c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  <c r="AD805" s="22"/>
      <c r="AE805" s="22"/>
      <c r="AF805" s="22"/>
      <c r="AG805" s="22"/>
      <c r="AH805" s="22"/>
      <c r="AI805" s="22"/>
      <c r="AJ805" s="22"/>
    </row>
    <row r="806" spans="1:36" x14ac:dyDescent="0.25">
      <c r="A806" s="22" t="s">
        <v>372</v>
      </c>
      <c r="B806" s="22">
        <v>16</v>
      </c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</row>
    <row r="807" spans="1:36" x14ac:dyDescent="0.25">
      <c r="A807" s="22" t="s">
        <v>2899</v>
      </c>
      <c r="B807" s="22">
        <v>0</v>
      </c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</row>
    <row r="808" spans="1:36" x14ac:dyDescent="0.25">
      <c r="A808" s="22" t="s">
        <v>2900</v>
      </c>
      <c r="B808" s="22">
        <v>0</v>
      </c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</row>
    <row r="809" spans="1:36" x14ac:dyDescent="0.25">
      <c r="A809" s="22" t="s">
        <v>2901</v>
      </c>
      <c r="B809" s="22">
        <v>0</v>
      </c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</row>
    <row r="810" spans="1:36" x14ac:dyDescent="0.25">
      <c r="A810" s="22" t="s">
        <v>2902</v>
      </c>
      <c r="B810" s="22">
        <v>0</v>
      </c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  <c r="AD810" s="22"/>
      <c r="AE810" s="22"/>
      <c r="AF810" s="22"/>
      <c r="AG810" s="22"/>
      <c r="AH810" s="22"/>
      <c r="AI810" s="22"/>
      <c r="AJ810" s="22"/>
    </row>
    <row r="811" spans="1:36" x14ac:dyDescent="0.25">
      <c r="A811" s="22" t="s">
        <v>2903</v>
      </c>
      <c r="B811" s="22">
        <v>0</v>
      </c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</row>
    <row r="812" spans="1:36" x14ac:dyDescent="0.25">
      <c r="A812" s="22" t="s">
        <v>2904</v>
      </c>
      <c r="B812" s="22">
        <v>0</v>
      </c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</row>
    <row r="813" spans="1:36" x14ac:dyDescent="0.25">
      <c r="A813" s="22" t="s">
        <v>2905</v>
      </c>
      <c r="B813" s="22">
        <v>0</v>
      </c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  <c r="AD813" s="22"/>
      <c r="AE813" s="22"/>
      <c r="AF813" s="22"/>
      <c r="AG813" s="22"/>
      <c r="AH813" s="22"/>
      <c r="AI813" s="22"/>
      <c r="AJ813" s="22"/>
    </row>
    <row r="814" spans="1:36" x14ac:dyDescent="0.25">
      <c r="A814" s="22" t="s">
        <v>373</v>
      </c>
      <c r="B814" s="22">
        <v>0</v>
      </c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  <c r="AD814" s="22"/>
      <c r="AE814" s="22"/>
      <c r="AF814" s="22"/>
      <c r="AG814" s="22"/>
      <c r="AH814" s="22"/>
      <c r="AI814" s="22"/>
      <c r="AJ814" s="22"/>
    </row>
    <row r="815" spans="1:36" x14ac:dyDescent="0.25">
      <c r="A815" s="22" t="s">
        <v>2906</v>
      </c>
      <c r="B815" s="22">
        <v>0</v>
      </c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  <c r="AD815" s="22"/>
      <c r="AE815" s="22"/>
      <c r="AF815" s="22"/>
      <c r="AG815" s="22"/>
      <c r="AH815" s="22"/>
      <c r="AI815" s="22"/>
      <c r="AJ815" s="22"/>
    </row>
    <row r="816" spans="1:36" x14ac:dyDescent="0.25">
      <c r="A816" s="22" t="s">
        <v>2907</v>
      </c>
      <c r="B816" s="22">
        <v>0</v>
      </c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  <c r="AD816" s="22"/>
      <c r="AE816" s="22"/>
      <c r="AF816" s="22"/>
      <c r="AG816" s="22"/>
      <c r="AH816" s="22"/>
      <c r="AI816" s="22"/>
      <c r="AJ816" s="22"/>
    </row>
    <row r="817" spans="1:36" x14ac:dyDescent="0.25">
      <c r="A817" s="22" t="s">
        <v>2908</v>
      </c>
      <c r="B817" s="22">
        <v>0</v>
      </c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  <c r="AD817" s="22"/>
      <c r="AE817" s="22"/>
      <c r="AF817" s="22"/>
      <c r="AG817" s="22"/>
      <c r="AH817" s="22"/>
      <c r="AI817" s="22"/>
      <c r="AJ817" s="22"/>
    </row>
    <row r="818" spans="1:36" x14ac:dyDescent="0.25">
      <c r="A818" s="22" t="s">
        <v>2909</v>
      </c>
      <c r="B818" s="22">
        <v>0</v>
      </c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</row>
    <row r="819" spans="1:36" x14ac:dyDescent="0.25">
      <c r="A819" s="22" t="s">
        <v>2910</v>
      </c>
      <c r="B819" s="22">
        <v>0</v>
      </c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  <c r="AD819" s="22"/>
      <c r="AE819" s="22"/>
      <c r="AF819" s="22"/>
      <c r="AG819" s="22"/>
      <c r="AH819" s="22"/>
      <c r="AI819" s="22"/>
      <c r="AJ819" s="22"/>
    </row>
    <row r="820" spans="1:36" x14ac:dyDescent="0.25">
      <c r="A820" s="22" t="s">
        <v>2911</v>
      </c>
      <c r="B820" s="22">
        <v>0</v>
      </c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  <c r="AD820" s="22"/>
      <c r="AE820" s="22"/>
      <c r="AF820" s="22"/>
      <c r="AG820" s="22"/>
      <c r="AH820" s="22"/>
      <c r="AI820" s="22"/>
      <c r="AJ820" s="22"/>
    </row>
    <row r="821" spans="1:36" x14ac:dyDescent="0.25">
      <c r="A821" s="22" t="s">
        <v>2912</v>
      </c>
      <c r="B821" s="22">
        <v>0</v>
      </c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</row>
    <row r="822" spans="1:36" x14ac:dyDescent="0.25">
      <c r="A822" s="22" t="s">
        <v>374</v>
      </c>
      <c r="B822" s="22">
        <v>0</v>
      </c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  <c r="AD822" s="22"/>
      <c r="AE822" s="22"/>
      <c r="AF822" s="22"/>
      <c r="AG822" s="22"/>
      <c r="AH822" s="22"/>
      <c r="AI822" s="22"/>
      <c r="AJ822" s="22"/>
    </row>
    <row r="823" spans="1:36" x14ac:dyDescent="0.25">
      <c r="A823" s="22" t="s">
        <v>2913</v>
      </c>
      <c r="B823" s="22">
        <v>0</v>
      </c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  <c r="AD823" s="22"/>
      <c r="AE823" s="22"/>
      <c r="AF823" s="22"/>
      <c r="AG823" s="22"/>
      <c r="AH823" s="22"/>
      <c r="AI823" s="22"/>
      <c r="AJ823" s="22"/>
    </row>
    <row r="824" spans="1:36" x14ac:dyDescent="0.25">
      <c r="A824" s="22" t="s">
        <v>2914</v>
      </c>
      <c r="B824" s="22">
        <v>0</v>
      </c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</row>
    <row r="825" spans="1:36" x14ac:dyDescent="0.25">
      <c r="A825" s="22" t="s">
        <v>2915</v>
      </c>
      <c r="B825" s="22">
        <v>0</v>
      </c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</row>
    <row r="826" spans="1:36" x14ac:dyDescent="0.25">
      <c r="A826" s="22" t="s">
        <v>2916</v>
      </c>
      <c r="B826" s="22">
        <v>0</v>
      </c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  <c r="AD826" s="22"/>
      <c r="AE826" s="22"/>
      <c r="AF826" s="22"/>
      <c r="AG826" s="22"/>
      <c r="AH826" s="22"/>
      <c r="AI826" s="22"/>
      <c r="AJ826" s="22"/>
    </row>
    <row r="827" spans="1:36" x14ac:dyDescent="0.25">
      <c r="A827" s="22" t="s">
        <v>2917</v>
      </c>
      <c r="B827" s="22">
        <v>0</v>
      </c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  <c r="AD827" s="22"/>
      <c r="AE827" s="22"/>
      <c r="AF827" s="22"/>
      <c r="AG827" s="22"/>
      <c r="AH827" s="22"/>
      <c r="AI827" s="22"/>
      <c r="AJ827" s="22"/>
    </row>
    <row r="828" spans="1:36" x14ac:dyDescent="0.25">
      <c r="A828" s="22" t="s">
        <v>2918</v>
      </c>
      <c r="B828" s="22">
        <v>0</v>
      </c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  <c r="AD828" s="22"/>
      <c r="AE828" s="22"/>
      <c r="AF828" s="22"/>
      <c r="AG828" s="22"/>
      <c r="AH828" s="22"/>
      <c r="AI828" s="22"/>
      <c r="AJ828" s="22"/>
    </row>
    <row r="829" spans="1:36" x14ac:dyDescent="0.25">
      <c r="A829" s="22" t="s">
        <v>2919</v>
      </c>
      <c r="B829" s="22">
        <v>0</v>
      </c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</row>
    <row r="830" spans="1:36" x14ac:dyDescent="0.25">
      <c r="A830" s="22" t="s">
        <v>914</v>
      </c>
      <c r="B830" s="22">
        <v>0</v>
      </c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  <c r="AD830" s="22"/>
      <c r="AE830" s="22"/>
      <c r="AF830" s="22"/>
      <c r="AG830" s="22"/>
      <c r="AH830" s="22"/>
      <c r="AI830" s="22"/>
      <c r="AJ830" s="22"/>
    </row>
    <row r="831" spans="1:36" x14ac:dyDescent="0.25">
      <c r="A831" s="22" t="s">
        <v>2920</v>
      </c>
      <c r="B831" s="22">
        <v>0</v>
      </c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  <c r="AD831" s="22"/>
      <c r="AE831" s="22"/>
      <c r="AF831" s="22"/>
      <c r="AG831" s="22"/>
      <c r="AH831" s="22"/>
      <c r="AI831" s="22"/>
      <c r="AJ831" s="22"/>
    </row>
    <row r="832" spans="1:36" x14ac:dyDescent="0.25">
      <c r="A832" s="22" t="s">
        <v>2921</v>
      </c>
      <c r="B832" s="22">
        <v>0</v>
      </c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</row>
    <row r="833" spans="1:36" x14ac:dyDescent="0.25">
      <c r="A833" s="22" t="s">
        <v>2922</v>
      </c>
      <c r="B833" s="22">
        <v>0</v>
      </c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</row>
    <row r="834" spans="1:36" x14ac:dyDescent="0.25">
      <c r="A834" s="22" t="s">
        <v>2923</v>
      </c>
      <c r="B834" s="22">
        <v>0</v>
      </c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  <c r="AD834" s="22"/>
      <c r="AE834" s="22"/>
      <c r="AF834" s="22"/>
      <c r="AG834" s="22"/>
      <c r="AH834" s="22"/>
      <c r="AI834" s="22"/>
      <c r="AJ834" s="22"/>
    </row>
    <row r="835" spans="1:36" x14ac:dyDescent="0.25">
      <c r="A835" s="22" t="s">
        <v>2924</v>
      </c>
      <c r="B835" s="22">
        <v>0</v>
      </c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</row>
    <row r="836" spans="1:36" x14ac:dyDescent="0.25">
      <c r="A836" s="22" t="s">
        <v>2925</v>
      </c>
      <c r="B836" s="22">
        <v>0</v>
      </c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</row>
    <row r="837" spans="1:36" x14ac:dyDescent="0.25">
      <c r="A837" s="22" t="s">
        <v>2926</v>
      </c>
      <c r="B837" s="22">
        <v>0</v>
      </c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  <c r="AD837" s="22"/>
      <c r="AE837" s="22"/>
      <c r="AF837" s="22"/>
      <c r="AG837" s="22"/>
      <c r="AH837" s="22"/>
      <c r="AI837" s="22"/>
      <c r="AJ837" s="22"/>
    </row>
    <row r="838" spans="1:36" x14ac:dyDescent="0.25">
      <c r="A838" s="22" t="s">
        <v>375</v>
      </c>
      <c r="B838" s="22">
        <v>0</v>
      </c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</row>
    <row r="839" spans="1:36" x14ac:dyDescent="0.25">
      <c r="A839" s="22" t="s">
        <v>2927</v>
      </c>
      <c r="B839" s="22">
        <v>0</v>
      </c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</row>
    <row r="840" spans="1:36" x14ac:dyDescent="0.25">
      <c r="A840" s="22" t="s">
        <v>2928</v>
      </c>
      <c r="B840" s="22">
        <v>0</v>
      </c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</row>
    <row r="841" spans="1:36" x14ac:dyDescent="0.25">
      <c r="A841" s="22" t="s">
        <v>2929</v>
      </c>
      <c r="B841" s="22">
        <v>0</v>
      </c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</row>
    <row r="842" spans="1:36" x14ac:dyDescent="0.25">
      <c r="A842" s="22" t="s">
        <v>2930</v>
      </c>
      <c r="B842" s="22">
        <v>0</v>
      </c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  <c r="AD842" s="22"/>
      <c r="AE842" s="22"/>
      <c r="AF842" s="22"/>
      <c r="AG842" s="22"/>
      <c r="AH842" s="22"/>
      <c r="AI842" s="22"/>
      <c r="AJ842" s="22"/>
    </row>
    <row r="843" spans="1:36" x14ac:dyDescent="0.25">
      <c r="A843" s="22" t="s">
        <v>2931</v>
      </c>
      <c r="B843" s="22">
        <v>0</v>
      </c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  <c r="AD843" s="22"/>
      <c r="AE843" s="22"/>
      <c r="AF843" s="22"/>
      <c r="AG843" s="22"/>
      <c r="AH843" s="22"/>
      <c r="AI843" s="22"/>
      <c r="AJ843" s="22"/>
    </row>
    <row r="844" spans="1:36" x14ac:dyDescent="0.25">
      <c r="A844" s="22" t="s">
        <v>2932</v>
      </c>
      <c r="B844" s="22">
        <v>0</v>
      </c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  <c r="AD844" s="22"/>
      <c r="AE844" s="22"/>
      <c r="AF844" s="22"/>
      <c r="AG844" s="22"/>
      <c r="AH844" s="22"/>
      <c r="AI844" s="22"/>
      <c r="AJ844" s="22"/>
    </row>
    <row r="845" spans="1:36" x14ac:dyDescent="0.25">
      <c r="A845" s="22" t="s">
        <v>2933</v>
      </c>
      <c r="B845" s="22">
        <v>0</v>
      </c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</row>
    <row r="846" spans="1:36" x14ac:dyDescent="0.25">
      <c r="A846" s="22" t="s">
        <v>376</v>
      </c>
      <c r="B846" s="22">
        <v>19</v>
      </c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  <c r="AD846" s="22"/>
      <c r="AE846" s="22"/>
      <c r="AF846" s="22"/>
      <c r="AG846" s="22"/>
      <c r="AH846" s="22"/>
      <c r="AI846" s="22"/>
      <c r="AJ846" s="22"/>
    </row>
    <row r="847" spans="1:36" x14ac:dyDescent="0.25">
      <c r="A847" s="22" t="s">
        <v>3859</v>
      </c>
      <c r="B847" s="22">
        <v>0</v>
      </c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</row>
    <row r="848" spans="1:36" x14ac:dyDescent="0.25">
      <c r="A848" s="22" t="s">
        <v>3860</v>
      </c>
      <c r="B848" s="22">
        <v>0</v>
      </c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</row>
    <row r="849" spans="1:36" x14ac:dyDescent="0.25">
      <c r="A849" s="22" t="s">
        <v>3861</v>
      </c>
      <c r="B849" s="22">
        <v>0</v>
      </c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</row>
    <row r="850" spans="1:36" x14ac:dyDescent="0.25">
      <c r="A850" s="22" t="s">
        <v>3862</v>
      </c>
      <c r="B850" s="22">
        <v>0</v>
      </c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  <c r="AD850" s="22"/>
      <c r="AE850" s="22"/>
      <c r="AF850" s="22"/>
      <c r="AG850" s="22"/>
      <c r="AH850" s="22"/>
      <c r="AI850" s="22"/>
      <c r="AJ850" s="22"/>
    </row>
    <row r="851" spans="1:36" x14ac:dyDescent="0.25">
      <c r="A851" s="22" t="s">
        <v>3863</v>
      </c>
      <c r="B851" s="22">
        <v>0</v>
      </c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  <c r="AF851" s="22"/>
      <c r="AG851" s="22"/>
      <c r="AH851" s="22"/>
      <c r="AI851" s="22"/>
      <c r="AJ851" s="22"/>
    </row>
    <row r="852" spans="1:36" x14ac:dyDescent="0.25">
      <c r="A852" s="22" t="s">
        <v>3864</v>
      </c>
      <c r="B852" s="22">
        <v>0</v>
      </c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</row>
    <row r="853" spans="1:36" x14ac:dyDescent="0.25">
      <c r="A853" s="22" t="s">
        <v>3865</v>
      </c>
      <c r="B853" s="22">
        <v>0</v>
      </c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  <c r="AF853" s="22"/>
      <c r="AG853" s="22"/>
      <c r="AH853" s="22"/>
      <c r="AI853" s="22"/>
      <c r="AJ853" s="22"/>
    </row>
    <row r="854" spans="1:36" x14ac:dyDescent="0.25">
      <c r="A854" s="22" t="s">
        <v>377</v>
      </c>
      <c r="B854" s="22">
        <v>45</v>
      </c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  <c r="AD854" s="22"/>
      <c r="AE854" s="22"/>
      <c r="AF854" s="22"/>
      <c r="AG854" s="22"/>
      <c r="AH854" s="22"/>
      <c r="AI854" s="22"/>
      <c r="AJ854" s="22"/>
    </row>
    <row r="855" spans="1:36" x14ac:dyDescent="0.25">
      <c r="A855" s="22" t="s">
        <v>2934</v>
      </c>
      <c r="B855" s="22">
        <v>0</v>
      </c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  <c r="AD855" s="22"/>
      <c r="AE855" s="22"/>
      <c r="AF855" s="22"/>
      <c r="AG855" s="22"/>
      <c r="AH855" s="22"/>
      <c r="AI855" s="22"/>
      <c r="AJ855" s="22"/>
    </row>
    <row r="856" spans="1:36" x14ac:dyDescent="0.25">
      <c r="A856" s="22" t="s">
        <v>2935</v>
      </c>
      <c r="B856" s="22">
        <v>0</v>
      </c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  <c r="AD856" s="22"/>
      <c r="AE856" s="22"/>
      <c r="AF856" s="22"/>
      <c r="AG856" s="22"/>
      <c r="AH856" s="22"/>
      <c r="AI856" s="22"/>
      <c r="AJ856" s="22"/>
    </row>
    <row r="857" spans="1:36" x14ac:dyDescent="0.25">
      <c r="A857" s="22" t="s">
        <v>2936</v>
      </c>
      <c r="B857" s="22">
        <v>0</v>
      </c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  <c r="AD857" s="22"/>
      <c r="AE857" s="22"/>
      <c r="AF857" s="22"/>
      <c r="AG857" s="22"/>
      <c r="AH857" s="22"/>
      <c r="AI857" s="22"/>
      <c r="AJ857" s="22"/>
    </row>
    <row r="858" spans="1:36" x14ac:dyDescent="0.25">
      <c r="A858" s="22" t="s">
        <v>2937</v>
      </c>
      <c r="B858" s="22">
        <v>0</v>
      </c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  <c r="AD858" s="22"/>
      <c r="AE858" s="22"/>
      <c r="AF858" s="22"/>
      <c r="AG858" s="22"/>
      <c r="AH858" s="22"/>
      <c r="AI858" s="22"/>
      <c r="AJ858" s="22"/>
    </row>
    <row r="859" spans="1:36" x14ac:dyDescent="0.25">
      <c r="A859" s="22" t="s">
        <v>2938</v>
      </c>
      <c r="B859" s="22">
        <v>0</v>
      </c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  <c r="AD859" s="22"/>
      <c r="AE859" s="22"/>
      <c r="AF859" s="22"/>
      <c r="AG859" s="22"/>
      <c r="AH859" s="22"/>
      <c r="AI859" s="22"/>
      <c r="AJ859" s="22"/>
    </row>
    <row r="860" spans="1:36" x14ac:dyDescent="0.25">
      <c r="A860" s="22" t="s">
        <v>2939</v>
      </c>
      <c r="B860" s="22">
        <v>0</v>
      </c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</row>
    <row r="861" spans="1:36" x14ac:dyDescent="0.25">
      <c r="A861" s="22" t="s">
        <v>2940</v>
      </c>
      <c r="B861" s="22">
        <v>0</v>
      </c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  <c r="AD861" s="22"/>
      <c r="AE861" s="22"/>
      <c r="AF861" s="22"/>
      <c r="AG861" s="22"/>
      <c r="AH861" s="22"/>
      <c r="AI861" s="22"/>
      <c r="AJ861" s="22"/>
    </row>
    <row r="862" spans="1:36" x14ac:dyDescent="0.25">
      <c r="A862" s="22" t="s">
        <v>378</v>
      </c>
      <c r="B862" s="22">
        <v>0</v>
      </c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</row>
    <row r="863" spans="1:36" x14ac:dyDescent="0.25">
      <c r="A863" s="22" t="s">
        <v>2941</v>
      </c>
      <c r="B863" s="22">
        <v>0</v>
      </c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  <c r="AD863" s="22"/>
      <c r="AE863" s="22"/>
      <c r="AF863" s="22"/>
      <c r="AG863" s="22"/>
      <c r="AH863" s="22"/>
      <c r="AI863" s="22"/>
      <c r="AJ863" s="22"/>
    </row>
    <row r="864" spans="1:36" x14ac:dyDescent="0.25">
      <c r="A864" s="22" t="s">
        <v>2942</v>
      </c>
      <c r="B864" s="22">
        <v>0</v>
      </c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</row>
    <row r="865" spans="1:36" x14ac:dyDescent="0.25">
      <c r="A865" s="22" t="s">
        <v>2943</v>
      </c>
      <c r="B865" s="22">
        <v>0</v>
      </c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</row>
    <row r="866" spans="1:36" x14ac:dyDescent="0.25">
      <c r="A866" s="22" t="s">
        <v>2944</v>
      </c>
      <c r="B866" s="22">
        <v>0</v>
      </c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</row>
    <row r="867" spans="1:36" x14ac:dyDescent="0.25">
      <c r="A867" s="22" t="s">
        <v>2945</v>
      </c>
      <c r="B867" s="22">
        <v>0</v>
      </c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  <c r="AD867" s="22"/>
      <c r="AE867" s="22"/>
      <c r="AF867" s="22"/>
      <c r="AG867" s="22"/>
      <c r="AH867" s="22"/>
      <c r="AI867" s="22"/>
      <c r="AJ867" s="22"/>
    </row>
    <row r="868" spans="1:36" x14ac:dyDescent="0.25">
      <c r="A868" s="22" t="s">
        <v>2946</v>
      </c>
      <c r="B868" s="22">
        <v>0</v>
      </c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  <c r="AD868" s="22"/>
      <c r="AE868" s="22"/>
      <c r="AF868" s="22"/>
      <c r="AG868" s="22"/>
      <c r="AH868" s="22"/>
      <c r="AI868" s="22"/>
      <c r="AJ868" s="22"/>
    </row>
    <row r="869" spans="1:36" x14ac:dyDescent="0.25">
      <c r="A869" s="22" t="s">
        <v>2947</v>
      </c>
      <c r="B869" s="22">
        <v>0</v>
      </c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</row>
    <row r="870" spans="1:36" x14ac:dyDescent="0.25">
      <c r="A870" s="22" t="s">
        <v>379</v>
      </c>
      <c r="B870" s="22">
        <v>0</v>
      </c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</row>
    <row r="871" spans="1:36" x14ac:dyDescent="0.25">
      <c r="A871" s="22" t="s">
        <v>2948</v>
      </c>
      <c r="B871" s="22">
        <v>0</v>
      </c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</row>
    <row r="872" spans="1:36" x14ac:dyDescent="0.25">
      <c r="A872" s="22" t="s">
        <v>2949</v>
      </c>
      <c r="B872" s="22">
        <v>0</v>
      </c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</row>
    <row r="873" spans="1:36" x14ac:dyDescent="0.25">
      <c r="A873" s="22" t="s">
        <v>2950</v>
      </c>
      <c r="B873" s="22">
        <v>0</v>
      </c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</row>
    <row r="874" spans="1:36" x14ac:dyDescent="0.25">
      <c r="A874" s="22" t="s">
        <v>2951</v>
      </c>
      <c r="B874" s="22">
        <v>0</v>
      </c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  <c r="AD874" s="22"/>
      <c r="AE874" s="22"/>
      <c r="AF874" s="22"/>
      <c r="AG874" s="22"/>
      <c r="AH874" s="22"/>
      <c r="AI874" s="22"/>
      <c r="AJ874" s="22"/>
    </row>
    <row r="875" spans="1:36" x14ac:dyDescent="0.25">
      <c r="A875" s="22" t="s">
        <v>2952</v>
      </c>
      <c r="B875" s="22">
        <v>0</v>
      </c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  <c r="AD875" s="22"/>
      <c r="AE875" s="22"/>
      <c r="AF875" s="22"/>
      <c r="AG875" s="22"/>
      <c r="AH875" s="22"/>
      <c r="AI875" s="22"/>
      <c r="AJ875" s="22"/>
    </row>
    <row r="876" spans="1:36" x14ac:dyDescent="0.25">
      <c r="A876" s="22" t="s">
        <v>2953</v>
      </c>
      <c r="B876" s="22">
        <v>0</v>
      </c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  <c r="AD876" s="22"/>
      <c r="AE876" s="22"/>
      <c r="AF876" s="22"/>
      <c r="AG876" s="22"/>
      <c r="AH876" s="22"/>
      <c r="AI876" s="22"/>
      <c r="AJ876" s="22"/>
    </row>
    <row r="877" spans="1:36" x14ac:dyDescent="0.25">
      <c r="A877" s="22" t="s">
        <v>2954</v>
      </c>
      <c r="B877" s="22">
        <v>0</v>
      </c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  <c r="AD877" s="22"/>
      <c r="AE877" s="22"/>
      <c r="AF877" s="22"/>
      <c r="AG877" s="22"/>
      <c r="AH877" s="22"/>
      <c r="AI877" s="22"/>
      <c r="AJ877" s="22"/>
    </row>
    <row r="878" spans="1:36" x14ac:dyDescent="0.25">
      <c r="A878" s="22" t="s">
        <v>380</v>
      </c>
      <c r="B878" s="22">
        <v>182</v>
      </c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  <c r="AD878" s="22"/>
      <c r="AE878" s="22"/>
      <c r="AF878" s="22"/>
      <c r="AG878" s="22"/>
      <c r="AH878" s="22"/>
      <c r="AI878" s="22"/>
      <c r="AJ878" s="22"/>
    </row>
    <row r="879" spans="1:36" x14ac:dyDescent="0.25">
      <c r="A879" s="22" t="s">
        <v>2955</v>
      </c>
      <c r="B879" s="22">
        <v>0</v>
      </c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</row>
    <row r="880" spans="1:36" x14ac:dyDescent="0.25">
      <c r="A880" s="22" t="s">
        <v>2956</v>
      </c>
      <c r="B880" s="22">
        <v>0</v>
      </c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</row>
    <row r="881" spans="1:36" x14ac:dyDescent="0.25">
      <c r="A881" s="22" t="s">
        <v>2957</v>
      </c>
      <c r="B881" s="22">
        <v>0</v>
      </c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</row>
    <row r="882" spans="1:36" x14ac:dyDescent="0.25">
      <c r="A882" s="22" t="s">
        <v>2958</v>
      </c>
      <c r="B882" s="22">
        <v>1</v>
      </c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  <c r="AD882" s="22"/>
      <c r="AE882" s="22"/>
      <c r="AF882" s="22"/>
      <c r="AG882" s="22"/>
      <c r="AH882" s="22"/>
      <c r="AI882" s="22"/>
      <c r="AJ882" s="22"/>
    </row>
    <row r="883" spans="1:36" x14ac:dyDescent="0.25">
      <c r="A883" s="22" t="s">
        <v>2959</v>
      </c>
      <c r="B883" s="22">
        <v>0</v>
      </c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</row>
    <row r="884" spans="1:36" x14ac:dyDescent="0.25">
      <c r="A884" s="22" t="s">
        <v>2960</v>
      </c>
      <c r="B884" s="22">
        <v>0</v>
      </c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</row>
    <row r="885" spans="1:36" x14ac:dyDescent="0.25">
      <c r="A885" s="22" t="s">
        <v>2961</v>
      </c>
      <c r="B885" s="22">
        <v>0</v>
      </c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  <c r="AF885" s="22"/>
      <c r="AG885" s="22"/>
      <c r="AH885" s="22"/>
      <c r="AI885" s="22"/>
      <c r="AJ885" s="22"/>
    </row>
    <row r="886" spans="1:36" x14ac:dyDescent="0.25">
      <c r="A886" s="22" t="s">
        <v>381</v>
      </c>
      <c r="B886" s="22">
        <v>0</v>
      </c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</row>
    <row r="887" spans="1:36" x14ac:dyDescent="0.25">
      <c r="A887" s="22" t="s">
        <v>2962</v>
      </c>
      <c r="B887" s="22">
        <v>0</v>
      </c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  <c r="AF887" s="22"/>
      <c r="AG887" s="22"/>
      <c r="AH887" s="22"/>
      <c r="AI887" s="22"/>
      <c r="AJ887" s="22"/>
    </row>
    <row r="888" spans="1:36" x14ac:dyDescent="0.25">
      <c r="A888" s="22" t="s">
        <v>2963</v>
      </c>
      <c r="B888" s="22">
        <v>0</v>
      </c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  <c r="AD888" s="22"/>
      <c r="AE888" s="22"/>
      <c r="AF888" s="22"/>
      <c r="AG888" s="22"/>
      <c r="AH888" s="22"/>
      <c r="AI888" s="22"/>
      <c r="AJ888" s="22"/>
    </row>
    <row r="889" spans="1:36" x14ac:dyDescent="0.25">
      <c r="A889" s="22" t="s">
        <v>2964</v>
      </c>
      <c r="B889" s="22">
        <v>0</v>
      </c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  <c r="AD889" s="22"/>
      <c r="AE889" s="22"/>
      <c r="AF889" s="22"/>
      <c r="AG889" s="22"/>
      <c r="AH889" s="22"/>
      <c r="AI889" s="22"/>
      <c r="AJ889" s="22"/>
    </row>
    <row r="890" spans="1:36" x14ac:dyDescent="0.25">
      <c r="A890" s="22" t="s">
        <v>2965</v>
      </c>
      <c r="B890" s="22">
        <v>0</v>
      </c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</row>
    <row r="891" spans="1:36" x14ac:dyDescent="0.25">
      <c r="A891" s="22" t="s">
        <v>2966</v>
      </c>
      <c r="B891" s="22">
        <v>0</v>
      </c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  <c r="AD891" s="22"/>
      <c r="AE891" s="22"/>
      <c r="AF891" s="22"/>
      <c r="AG891" s="22"/>
      <c r="AH891" s="22"/>
      <c r="AI891" s="22"/>
      <c r="AJ891" s="22"/>
    </row>
    <row r="892" spans="1:36" x14ac:dyDescent="0.25">
      <c r="A892" s="22" t="s">
        <v>2967</v>
      </c>
      <c r="B892" s="22">
        <v>0</v>
      </c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  <c r="AD892" s="22"/>
      <c r="AE892" s="22"/>
      <c r="AF892" s="22"/>
      <c r="AG892" s="22"/>
      <c r="AH892" s="22"/>
      <c r="AI892" s="22"/>
      <c r="AJ892" s="22"/>
    </row>
    <row r="893" spans="1:36" x14ac:dyDescent="0.25">
      <c r="A893" s="22" t="s">
        <v>2968</v>
      </c>
      <c r="B893" s="22">
        <v>0</v>
      </c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  <c r="AD893" s="22"/>
      <c r="AE893" s="22"/>
      <c r="AF893" s="22"/>
      <c r="AG893" s="22"/>
      <c r="AH893" s="22"/>
      <c r="AI893" s="22"/>
      <c r="AJ893" s="22"/>
    </row>
    <row r="894" spans="1:36" x14ac:dyDescent="0.25">
      <c r="A894" s="22" t="s">
        <v>382</v>
      </c>
      <c r="B894" s="22">
        <v>0</v>
      </c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  <c r="AF894" s="22"/>
      <c r="AG894" s="22"/>
      <c r="AH894" s="22"/>
      <c r="AI894" s="22"/>
      <c r="AJ894" s="22"/>
    </row>
    <row r="895" spans="1:36" x14ac:dyDescent="0.25">
      <c r="A895" s="22" t="s">
        <v>2969</v>
      </c>
      <c r="B895" s="22">
        <v>0</v>
      </c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</row>
    <row r="896" spans="1:36" x14ac:dyDescent="0.25">
      <c r="A896" s="22" t="s">
        <v>2970</v>
      </c>
      <c r="B896" s="22">
        <v>0</v>
      </c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</row>
    <row r="897" spans="1:36" x14ac:dyDescent="0.25">
      <c r="A897" s="22" t="s">
        <v>2971</v>
      </c>
      <c r="B897" s="22">
        <v>0</v>
      </c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  <c r="AD897" s="22"/>
      <c r="AE897" s="22"/>
      <c r="AF897" s="22"/>
      <c r="AG897" s="22"/>
      <c r="AH897" s="22"/>
      <c r="AI897" s="22"/>
      <c r="AJ897" s="22"/>
    </row>
    <row r="898" spans="1:36" x14ac:dyDescent="0.25">
      <c r="A898" s="22" t="s">
        <v>2972</v>
      </c>
      <c r="B898" s="22">
        <v>0</v>
      </c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  <c r="AD898" s="22"/>
      <c r="AE898" s="22"/>
      <c r="AF898" s="22"/>
      <c r="AG898" s="22"/>
      <c r="AH898" s="22"/>
      <c r="AI898" s="22"/>
      <c r="AJ898" s="22"/>
    </row>
    <row r="899" spans="1:36" x14ac:dyDescent="0.25">
      <c r="A899" s="22" t="s">
        <v>2973</v>
      </c>
      <c r="B899" s="22">
        <v>0</v>
      </c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  <c r="AD899" s="22"/>
      <c r="AE899" s="22"/>
      <c r="AF899" s="22"/>
      <c r="AG899" s="22"/>
      <c r="AH899" s="22"/>
      <c r="AI899" s="22"/>
      <c r="AJ899" s="22"/>
    </row>
    <row r="900" spans="1:36" x14ac:dyDescent="0.25">
      <c r="A900" s="22" t="s">
        <v>2974</v>
      </c>
      <c r="B900" s="22">
        <v>0</v>
      </c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</row>
    <row r="901" spans="1:36" x14ac:dyDescent="0.25">
      <c r="A901" s="22" t="s">
        <v>2975</v>
      </c>
      <c r="B901" s="22">
        <v>0</v>
      </c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</row>
    <row r="902" spans="1:36" x14ac:dyDescent="0.25">
      <c r="A902" s="22" t="s">
        <v>383</v>
      </c>
      <c r="B902" s="22">
        <v>0</v>
      </c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  <c r="AD902" s="22"/>
      <c r="AE902" s="22"/>
      <c r="AF902" s="22"/>
      <c r="AG902" s="22"/>
      <c r="AH902" s="22"/>
      <c r="AI902" s="22"/>
      <c r="AJ902" s="22"/>
    </row>
    <row r="903" spans="1:36" x14ac:dyDescent="0.25">
      <c r="A903" s="22" t="s">
        <v>2976</v>
      </c>
      <c r="B903" s="22">
        <v>0</v>
      </c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  <c r="AF903" s="22"/>
      <c r="AG903" s="22"/>
      <c r="AH903" s="22"/>
      <c r="AI903" s="22"/>
      <c r="AJ903" s="22"/>
    </row>
    <row r="904" spans="1:36" x14ac:dyDescent="0.25">
      <c r="A904" s="22" t="s">
        <v>2977</v>
      </c>
      <c r="B904" s="22">
        <v>0</v>
      </c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  <c r="AF904" s="22"/>
      <c r="AG904" s="22"/>
      <c r="AH904" s="22"/>
      <c r="AI904" s="22"/>
      <c r="AJ904" s="22"/>
    </row>
    <row r="905" spans="1:36" x14ac:dyDescent="0.25">
      <c r="A905" s="22" t="s">
        <v>2978</v>
      </c>
      <c r="B905" s="22">
        <v>0</v>
      </c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  <c r="AF905" s="22"/>
      <c r="AG905" s="22"/>
      <c r="AH905" s="22"/>
      <c r="AI905" s="22"/>
      <c r="AJ905" s="22"/>
    </row>
    <row r="906" spans="1:36" x14ac:dyDescent="0.25">
      <c r="A906" s="22" t="s">
        <v>2979</v>
      </c>
      <c r="B906" s="22">
        <v>0</v>
      </c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  <c r="AD906" s="22"/>
      <c r="AE906" s="22"/>
      <c r="AF906" s="22"/>
      <c r="AG906" s="22"/>
      <c r="AH906" s="22"/>
      <c r="AI906" s="22"/>
      <c r="AJ906" s="22"/>
    </row>
    <row r="907" spans="1:36" x14ac:dyDescent="0.25">
      <c r="A907" s="22" t="s">
        <v>2980</v>
      </c>
      <c r="B907" s="22">
        <v>0</v>
      </c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  <c r="AD907" s="22"/>
      <c r="AE907" s="22"/>
      <c r="AF907" s="22"/>
      <c r="AG907" s="22"/>
      <c r="AH907" s="22"/>
      <c r="AI907" s="22"/>
      <c r="AJ907" s="22"/>
    </row>
    <row r="908" spans="1:36" x14ac:dyDescent="0.25">
      <c r="A908" s="22" t="s">
        <v>2981</v>
      </c>
      <c r="B908" s="22">
        <v>0</v>
      </c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  <c r="AD908" s="22"/>
      <c r="AE908" s="22"/>
      <c r="AF908" s="22"/>
      <c r="AG908" s="22"/>
      <c r="AH908" s="22"/>
      <c r="AI908" s="22"/>
      <c r="AJ908" s="22"/>
    </row>
    <row r="909" spans="1:36" x14ac:dyDescent="0.25">
      <c r="A909" s="22" t="s">
        <v>2982</v>
      </c>
      <c r="B909" s="22">
        <v>0</v>
      </c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  <c r="AD909" s="22"/>
      <c r="AE909" s="22"/>
      <c r="AF909" s="22"/>
      <c r="AG909" s="22"/>
      <c r="AH909" s="22"/>
      <c r="AI909" s="22"/>
      <c r="AJ909" s="22"/>
    </row>
    <row r="910" spans="1:36" x14ac:dyDescent="0.25">
      <c r="A910" s="22" t="s">
        <v>384</v>
      </c>
      <c r="B910" s="22">
        <v>12</v>
      </c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  <c r="AD910" s="22"/>
      <c r="AE910" s="22"/>
      <c r="AF910" s="22"/>
      <c r="AG910" s="22"/>
      <c r="AH910" s="22"/>
      <c r="AI910" s="22"/>
      <c r="AJ910" s="22"/>
    </row>
    <row r="911" spans="1:36" x14ac:dyDescent="0.25">
      <c r="A911" s="22" t="s">
        <v>2983</v>
      </c>
      <c r="B911" s="22">
        <v>0</v>
      </c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</row>
    <row r="912" spans="1:36" x14ac:dyDescent="0.25">
      <c r="A912" s="22" t="s">
        <v>2984</v>
      </c>
      <c r="B912" s="22">
        <v>0</v>
      </c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</row>
    <row r="913" spans="1:36" x14ac:dyDescent="0.25">
      <c r="A913" s="22" t="s">
        <v>2985</v>
      </c>
      <c r="B913" s="22">
        <v>0</v>
      </c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</row>
    <row r="914" spans="1:36" x14ac:dyDescent="0.25">
      <c r="A914" s="22" t="s">
        <v>2986</v>
      </c>
      <c r="B914" s="22">
        <v>0</v>
      </c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</row>
    <row r="915" spans="1:36" x14ac:dyDescent="0.25">
      <c r="A915" s="22" t="s">
        <v>2987</v>
      </c>
      <c r="B915" s="22">
        <v>0</v>
      </c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</row>
    <row r="916" spans="1:36" x14ac:dyDescent="0.25">
      <c r="A916" s="22" t="s">
        <v>2988</v>
      </c>
      <c r="B916" s="22">
        <v>0</v>
      </c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</row>
    <row r="917" spans="1:36" x14ac:dyDescent="0.25">
      <c r="A917" s="22" t="s">
        <v>2989</v>
      </c>
      <c r="B917" s="22">
        <v>0</v>
      </c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</row>
    <row r="918" spans="1:36" x14ac:dyDescent="0.25">
      <c r="A918" s="22" t="s">
        <v>385</v>
      </c>
      <c r="B918" s="22">
        <v>0</v>
      </c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</row>
    <row r="919" spans="1:36" x14ac:dyDescent="0.25">
      <c r="A919" s="22" t="s">
        <v>2990</v>
      </c>
      <c r="B919" s="22">
        <v>0</v>
      </c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</row>
    <row r="920" spans="1:36" x14ac:dyDescent="0.25">
      <c r="A920" s="22" t="s">
        <v>2991</v>
      </c>
      <c r="B920" s="22">
        <v>0</v>
      </c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</row>
    <row r="921" spans="1:36" x14ac:dyDescent="0.25">
      <c r="A921" s="22" t="s">
        <v>2992</v>
      </c>
      <c r="B921" s="22">
        <v>0</v>
      </c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</row>
    <row r="922" spans="1:36" x14ac:dyDescent="0.25">
      <c r="A922" s="22" t="s">
        <v>2993</v>
      </c>
      <c r="B922" s="22">
        <v>0</v>
      </c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</row>
    <row r="923" spans="1:36" x14ac:dyDescent="0.25">
      <c r="A923" s="22" t="s">
        <v>2994</v>
      </c>
      <c r="B923" s="22">
        <v>0</v>
      </c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</row>
    <row r="924" spans="1:36" x14ac:dyDescent="0.25">
      <c r="A924" s="22" t="s">
        <v>2995</v>
      </c>
      <c r="B924" s="22">
        <v>0</v>
      </c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</row>
    <row r="925" spans="1:36" x14ac:dyDescent="0.25">
      <c r="A925" s="22" t="s">
        <v>2996</v>
      </c>
      <c r="B925" s="22">
        <v>0</v>
      </c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</row>
    <row r="926" spans="1:36" x14ac:dyDescent="0.25">
      <c r="A926" s="22" t="s">
        <v>386</v>
      </c>
      <c r="B926" s="22">
        <v>0</v>
      </c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</row>
    <row r="927" spans="1:36" x14ac:dyDescent="0.25">
      <c r="A927" s="22" t="s">
        <v>2997</v>
      </c>
      <c r="B927" s="22">
        <v>0</v>
      </c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</row>
    <row r="928" spans="1:36" x14ac:dyDescent="0.25">
      <c r="A928" s="22" t="s">
        <v>2998</v>
      </c>
      <c r="B928" s="22">
        <v>0</v>
      </c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</row>
    <row r="929" spans="1:36" x14ac:dyDescent="0.25">
      <c r="A929" s="22" t="s">
        <v>2999</v>
      </c>
      <c r="B929" s="22">
        <v>0</v>
      </c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</row>
    <row r="930" spans="1:36" x14ac:dyDescent="0.25">
      <c r="A930" s="22" t="s">
        <v>3000</v>
      </c>
      <c r="B930" s="22">
        <v>0</v>
      </c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</row>
    <row r="931" spans="1:36" x14ac:dyDescent="0.25">
      <c r="A931" s="22" t="s">
        <v>3001</v>
      </c>
      <c r="B931" s="22">
        <v>0</v>
      </c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</row>
    <row r="932" spans="1:36" x14ac:dyDescent="0.25">
      <c r="A932" s="22" t="s">
        <v>3002</v>
      </c>
      <c r="B932" s="22">
        <v>0</v>
      </c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</row>
    <row r="933" spans="1:36" x14ac:dyDescent="0.25">
      <c r="A933" s="22" t="s">
        <v>3003</v>
      </c>
      <c r="B933" s="22">
        <v>0</v>
      </c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</row>
    <row r="934" spans="1:36" x14ac:dyDescent="0.25">
      <c r="A934" s="22" t="s">
        <v>387</v>
      </c>
      <c r="B934" s="22">
        <v>0</v>
      </c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</row>
    <row r="935" spans="1:36" x14ac:dyDescent="0.25">
      <c r="A935" s="22" t="s">
        <v>3004</v>
      </c>
      <c r="B935" s="22">
        <v>0</v>
      </c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</row>
    <row r="936" spans="1:36" x14ac:dyDescent="0.25">
      <c r="A936" s="22" t="s">
        <v>3005</v>
      </c>
      <c r="B936" s="22">
        <v>0</v>
      </c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</row>
    <row r="937" spans="1:36" x14ac:dyDescent="0.25">
      <c r="A937" s="22" t="s">
        <v>3006</v>
      </c>
      <c r="B937" s="22">
        <v>0</v>
      </c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</row>
    <row r="938" spans="1:36" x14ac:dyDescent="0.25">
      <c r="A938" s="22" t="s">
        <v>3007</v>
      </c>
      <c r="B938" s="22">
        <v>0</v>
      </c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</row>
    <row r="939" spans="1:36" x14ac:dyDescent="0.25">
      <c r="A939" s="22" t="s">
        <v>3008</v>
      </c>
      <c r="B939" s="22">
        <v>0</v>
      </c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</row>
    <row r="940" spans="1:36" x14ac:dyDescent="0.25">
      <c r="A940" s="22" t="s">
        <v>3009</v>
      </c>
      <c r="B940" s="22">
        <v>0</v>
      </c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</row>
    <row r="941" spans="1:36" x14ac:dyDescent="0.25">
      <c r="A941" s="22" t="s">
        <v>3010</v>
      </c>
      <c r="B941" s="22">
        <v>0</v>
      </c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</row>
    <row r="942" spans="1:36" x14ac:dyDescent="0.25">
      <c r="A942" s="22" t="s">
        <v>389</v>
      </c>
      <c r="B942" s="22">
        <v>0</v>
      </c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</row>
    <row r="943" spans="1:36" x14ac:dyDescent="0.25">
      <c r="A943" s="22" t="s">
        <v>3011</v>
      </c>
      <c r="B943" s="22">
        <v>0</v>
      </c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</row>
    <row r="944" spans="1:36" x14ac:dyDescent="0.25">
      <c r="A944" s="22" t="s">
        <v>3012</v>
      </c>
      <c r="B944" s="22">
        <v>0</v>
      </c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</row>
    <row r="945" spans="1:36" x14ac:dyDescent="0.25">
      <c r="A945" s="22" t="s">
        <v>3013</v>
      </c>
      <c r="B945" s="22">
        <v>0</v>
      </c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</row>
    <row r="946" spans="1:36" x14ac:dyDescent="0.25">
      <c r="A946" s="22" t="s">
        <v>3014</v>
      </c>
      <c r="B946" s="22">
        <v>0</v>
      </c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</row>
    <row r="947" spans="1:36" x14ac:dyDescent="0.25">
      <c r="A947" s="22" t="s">
        <v>3015</v>
      </c>
      <c r="B947" s="22">
        <v>0</v>
      </c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</row>
    <row r="948" spans="1:36" x14ac:dyDescent="0.25">
      <c r="A948" s="22" t="s">
        <v>3016</v>
      </c>
      <c r="B948" s="22">
        <v>0</v>
      </c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</row>
    <row r="949" spans="1:36" x14ac:dyDescent="0.25">
      <c r="A949" s="22" t="s">
        <v>3017</v>
      </c>
      <c r="B949" s="22">
        <v>0</v>
      </c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</row>
    <row r="950" spans="1:36" x14ac:dyDescent="0.25">
      <c r="A950" s="22" t="s">
        <v>390</v>
      </c>
      <c r="B950" s="22">
        <v>46</v>
      </c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</row>
    <row r="951" spans="1:36" x14ac:dyDescent="0.25">
      <c r="A951" s="22" t="s">
        <v>3018</v>
      </c>
      <c r="B951" s="22">
        <v>0</v>
      </c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</row>
    <row r="952" spans="1:36" x14ac:dyDescent="0.25">
      <c r="A952" s="22" t="s">
        <v>3019</v>
      </c>
      <c r="B952" s="22">
        <v>0</v>
      </c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</row>
    <row r="953" spans="1:36" x14ac:dyDescent="0.25">
      <c r="A953" s="22" t="s">
        <v>3020</v>
      </c>
      <c r="B953" s="22">
        <v>0</v>
      </c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</row>
    <row r="954" spans="1:36" x14ac:dyDescent="0.25">
      <c r="A954" s="22" t="s">
        <v>3021</v>
      </c>
      <c r="B954" s="22">
        <v>0</v>
      </c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</row>
    <row r="955" spans="1:36" x14ac:dyDescent="0.25">
      <c r="A955" s="22" t="s">
        <v>3022</v>
      </c>
      <c r="B955" s="22">
        <v>0</v>
      </c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</row>
    <row r="956" spans="1:36" x14ac:dyDescent="0.25">
      <c r="A956" s="22" t="s">
        <v>3023</v>
      </c>
      <c r="B956" s="22">
        <v>0</v>
      </c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</row>
    <row r="957" spans="1:36" x14ac:dyDescent="0.25">
      <c r="A957" s="22" t="s">
        <v>3024</v>
      </c>
      <c r="B957" s="22">
        <v>0</v>
      </c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</row>
    <row r="958" spans="1:36" x14ac:dyDescent="0.25">
      <c r="A958" s="22" t="s">
        <v>391</v>
      </c>
      <c r="B958" s="22">
        <v>124</v>
      </c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</row>
    <row r="959" spans="1:36" x14ac:dyDescent="0.25">
      <c r="A959" s="22" t="s">
        <v>3025</v>
      </c>
      <c r="B959" s="22">
        <v>0</v>
      </c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</row>
    <row r="960" spans="1:36" x14ac:dyDescent="0.25">
      <c r="A960" s="22" t="s">
        <v>3026</v>
      </c>
      <c r="B960" s="22">
        <v>0</v>
      </c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</row>
    <row r="961" spans="1:36" x14ac:dyDescent="0.25">
      <c r="A961" s="22" t="s">
        <v>3027</v>
      </c>
      <c r="B961" s="22">
        <v>0</v>
      </c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</row>
    <row r="962" spans="1:36" x14ac:dyDescent="0.25">
      <c r="A962" s="22" t="s">
        <v>3028</v>
      </c>
      <c r="B962" s="22">
        <v>0</v>
      </c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</row>
    <row r="963" spans="1:36" x14ac:dyDescent="0.25">
      <c r="A963" s="22" t="s">
        <v>3029</v>
      </c>
      <c r="B963" s="22">
        <v>0</v>
      </c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</row>
    <row r="964" spans="1:36" x14ac:dyDescent="0.25">
      <c r="A964" s="22" t="s">
        <v>3030</v>
      </c>
      <c r="B964" s="22">
        <v>0</v>
      </c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</row>
    <row r="965" spans="1:36" x14ac:dyDescent="0.25">
      <c r="A965" s="22" t="s">
        <v>3031</v>
      </c>
      <c r="B965" s="22">
        <v>0</v>
      </c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</row>
    <row r="966" spans="1:36" x14ac:dyDescent="0.25">
      <c r="A966" s="22" t="s">
        <v>392</v>
      </c>
      <c r="B966" s="22">
        <v>0</v>
      </c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</row>
    <row r="967" spans="1:36" x14ac:dyDescent="0.25">
      <c r="A967" s="22" t="s">
        <v>3866</v>
      </c>
      <c r="B967" s="22">
        <v>0</v>
      </c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</row>
    <row r="968" spans="1:36" x14ac:dyDescent="0.25">
      <c r="A968" s="22" t="s">
        <v>3867</v>
      </c>
      <c r="B968" s="22">
        <v>0</v>
      </c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</row>
    <row r="969" spans="1:36" x14ac:dyDescent="0.25">
      <c r="A969" s="22" t="s">
        <v>3868</v>
      </c>
      <c r="B969" s="22">
        <v>0</v>
      </c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</row>
    <row r="970" spans="1:36" x14ac:dyDescent="0.25">
      <c r="A970" s="22" t="s">
        <v>3869</v>
      </c>
      <c r="B970" s="22">
        <v>0</v>
      </c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</row>
    <row r="971" spans="1:36" x14ac:dyDescent="0.25">
      <c r="A971" s="22" t="s">
        <v>3870</v>
      </c>
      <c r="B971" s="22">
        <v>0</v>
      </c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</row>
    <row r="972" spans="1:36" x14ac:dyDescent="0.25">
      <c r="A972" s="22" t="s">
        <v>3871</v>
      </c>
      <c r="B972" s="22">
        <v>0</v>
      </c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</row>
    <row r="973" spans="1:36" x14ac:dyDescent="0.25">
      <c r="A973" s="22" t="s">
        <v>3872</v>
      </c>
      <c r="B973" s="22">
        <v>0</v>
      </c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</row>
    <row r="974" spans="1:36" x14ac:dyDescent="0.25">
      <c r="A974" s="22" t="s">
        <v>393</v>
      </c>
      <c r="B974" s="22">
        <v>232</v>
      </c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</row>
    <row r="975" spans="1:36" x14ac:dyDescent="0.25">
      <c r="A975" s="22" t="s">
        <v>3873</v>
      </c>
      <c r="B975" s="22">
        <v>0</v>
      </c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</row>
    <row r="976" spans="1:36" x14ac:dyDescent="0.25">
      <c r="A976" s="22" t="s">
        <v>3874</v>
      </c>
      <c r="B976" s="22">
        <v>0</v>
      </c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</row>
    <row r="977" spans="1:36" x14ac:dyDescent="0.25">
      <c r="A977" s="22" t="s">
        <v>3875</v>
      </c>
      <c r="B977" s="22">
        <v>0</v>
      </c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</row>
    <row r="978" spans="1:36" x14ac:dyDescent="0.25">
      <c r="A978" s="22" t="s">
        <v>3876</v>
      </c>
      <c r="B978" s="22">
        <v>1</v>
      </c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</row>
    <row r="979" spans="1:36" x14ac:dyDescent="0.25">
      <c r="A979" s="22" t="s">
        <v>3877</v>
      </c>
      <c r="B979" s="22">
        <v>0</v>
      </c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</row>
    <row r="980" spans="1:36" x14ac:dyDescent="0.25">
      <c r="A980" s="22" t="s">
        <v>3878</v>
      </c>
      <c r="B980" s="22">
        <v>0</v>
      </c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</row>
    <row r="981" spans="1:36" x14ac:dyDescent="0.25">
      <c r="A981" s="22" t="s">
        <v>3879</v>
      </c>
      <c r="B981" s="22">
        <v>0</v>
      </c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</row>
    <row r="982" spans="1:36" x14ac:dyDescent="0.25">
      <c r="A982" s="22" t="s">
        <v>394</v>
      </c>
      <c r="B982" s="22">
        <v>0</v>
      </c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</row>
    <row r="983" spans="1:36" x14ac:dyDescent="0.25">
      <c r="A983" s="22" t="s">
        <v>3032</v>
      </c>
      <c r="B983" s="22">
        <v>0</v>
      </c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</row>
    <row r="984" spans="1:36" x14ac:dyDescent="0.25">
      <c r="A984" s="22" t="s">
        <v>3033</v>
      </c>
      <c r="B984" s="22">
        <v>0</v>
      </c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</row>
    <row r="985" spans="1:36" x14ac:dyDescent="0.25">
      <c r="A985" s="22" t="s">
        <v>3034</v>
      </c>
      <c r="B985" s="22">
        <v>0</v>
      </c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</row>
    <row r="986" spans="1:36" x14ac:dyDescent="0.25">
      <c r="A986" s="22" t="s">
        <v>3035</v>
      </c>
      <c r="B986" s="22">
        <v>0</v>
      </c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</row>
    <row r="987" spans="1:36" x14ac:dyDescent="0.25">
      <c r="A987" s="22" t="s">
        <v>3036</v>
      </c>
      <c r="B987" s="22">
        <v>0</v>
      </c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</row>
    <row r="988" spans="1:36" x14ac:dyDescent="0.25">
      <c r="A988" s="22" t="s">
        <v>3037</v>
      </c>
      <c r="B988" s="22">
        <v>0</v>
      </c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</row>
    <row r="989" spans="1:36" x14ac:dyDescent="0.25">
      <c r="A989" s="22" t="s">
        <v>3038</v>
      </c>
      <c r="B989" s="22">
        <v>0</v>
      </c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</row>
    <row r="990" spans="1:36" x14ac:dyDescent="0.25">
      <c r="A990" s="22" t="s">
        <v>395</v>
      </c>
      <c r="B990" s="22">
        <v>2</v>
      </c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</row>
    <row r="991" spans="1:36" x14ac:dyDescent="0.25">
      <c r="A991" s="22" t="s">
        <v>3039</v>
      </c>
      <c r="B991" s="22">
        <v>0</v>
      </c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</row>
    <row r="992" spans="1:36" x14ac:dyDescent="0.25">
      <c r="A992" s="22" t="s">
        <v>3040</v>
      </c>
      <c r="B992" s="22">
        <v>0</v>
      </c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  <c r="AD992" s="22"/>
      <c r="AE992" s="22"/>
      <c r="AF992" s="22"/>
      <c r="AG992" s="22"/>
      <c r="AH992" s="22"/>
      <c r="AI992" s="22"/>
      <c r="AJ992" s="22"/>
    </row>
    <row r="993" spans="1:36" x14ac:dyDescent="0.25">
      <c r="A993" s="22" t="s">
        <v>3041</v>
      </c>
      <c r="B993" s="22">
        <v>0</v>
      </c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  <c r="AD993" s="22"/>
      <c r="AE993" s="22"/>
      <c r="AF993" s="22"/>
      <c r="AG993" s="22"/>
      <c r="AH993" s="22"/>
      <c r="AI993" s="22"/>
      <c r="AJ993" s="22"/>
    </row>
    <row r="994" spans="1:36" x14ac:dyDescent="0.25">
      <c r="A994" s="22" t="s">
        <v>3042</v>
      </c>
      <c r="B994" s="22">
        <v>0</v>
      </c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  <c r="AD994" s="22"/>
      <c r="AE994" s="22"/>
      <c r="AF994" s="22"/>
      <c r="AG994" s="22"/>
      <c r="AH994" s="22"/>
      <c r="AI994" s="22"/>
      <c r="AJ994" s="22"/>
    </row>
    <row r="995" spans="1:36" x14ac:dyDescent="0.25">
      <c r="A995" s="22" t="s">
        <v>3043</v>
      </c>
      <c r="B995" s="22">
        <v>0</v>
      </c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</row>
    <row r="996" spans="1:36" x14ac:dyDescent="0.25">
      <c r="A996" s="22" t="s">
        <v>3044</v>
      </c>
      <c r="B996" s="22">
        <v>0</v>
      </c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</row>
    <row r="997" spans="1:36" x14ac:dyDescent="0.25">
      <c r="A997" s="22" t="s">
        <v>3045</v>
      </c>
      <c r="B997" s="22">
        <v>0</v>
      </c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</row>
    <row r="998" spans="1:36" x14ac:dyDescent="0.25">
      <c r="A998" s="22" t="s">
        <v>396</v>
      </c>
      <c r="B998" s="22">
        <v>30</v>
      </c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</row>
    <row r="999" spans="1:36" x14ac:dyDescent="0.25">
      <c r="A999" s="22" t="s">
        <v>3880</v>
      </c>
      <c r="B999" s="22">
        <v>0</v>
      </c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</row>
    <row r="1000" spans="1:36" x14ac:dyDescent="0.25">
      <c r="A1000" s="22" t="s">
        <v>3881</v>
      </c>
      <c r="B1000" s="22">
        <v>0</v>
      </c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</row>
    <row r="1001" spans="1:36" x14ac:dyDescent="0.25">
      <c r="A1001" s="22" t="s">
        <v>3882</v>
      </c>
      <c r="B1001" s="22">
        <v>0</v>
      </c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  <c r="AD1001" s="22"/>
      <c r="AE1001" s="22"/>
      <c r="AF1001" s="22"/>
      <c r="AG1001" s="22"/>
      <c r="AH1001" s="22"/>
      <c r="AI1001" s="22"/>
      <c r="AJ1001" s="22"/>
    </row>
    <row r="1002" spans="1:36" x14ac:dyDescent="0.25">
      <c r="A1002" s="22" t="s">
        <v>3883</v>
      </c>
      <c r="B1002" s="22">
        <v>0</v>
      </c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  <c r="X1002" s="22"/>
      <c r="Y1002" s="22"/>
      <c r="Z1002" s="22"/>
      <c r="AA1002" s="22"/>
      <c r="AB1002" s="22"/>
      <c r="AC1002" s="22"/>
      <c r="AD1002" s="22"/>
      <c r="AE1002" s="22"/>
      <c r="AF1002" s="22"/>
      <c r="AG1002" s="22"/>
      <c r="AH1002" s="22"/>
      <c r="AI1002" s="22"/>
      <c r="AJ1002" s="22"/>
    </row>
    <row r="1003" spans="1:36" x14ac:dyDescent="0.25">
      <c r="A1003" s="22" t="s">
        <v>3884</v>
      </c>
      <c r="B1003" s="22">
        <v>0</v>
      </c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2"/>
      <c r="T1003" s="22"/>
      <c r="U1003" s="22"/>
      <c r="V1003" s="22"/>
      <c r="W1003" s="22"/>
      <c r="X1003" s="22"/>
      <c r="Y1003" s="22"/>
      <c r="Z1003" s="22"/>
      <c r="AA1003" s="22"/>
      <c r="AB1003" s="22"/>
      <c r="AC1003" s="22"/>
      <c r="AD1003" s="22"/>
      <c r="AE1003" s="22"/>
      <c r="AF1003" s="22"/>
      <c r="AG1003" s="22"/>
      <c r="AH1003" s="22"/>
      <c r="AI1003" s="22"/>
      <c r="AJ1003" s="22"/>
    </row>
    <row r="1004" spans="1:36" x14ac:dyDescent="0.25">
      <c r="A1004" s="22" t="s">
        <v>3885</v>
      </c>
      <c r="B1004" s="22">
        <v>0</v>
      </c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  <c r="X1004" s="22"/>
      <c r="Y1004" s="22"/>
      <c r="Z1004" s="22"/>
      <c r="AA1004" s="22"/>
      <c r="AB1004" s="22"/>
      <c r="AC1004" s="22"/>
      <c r="AD1004" s="22"/>
      <c r="AE1004" s="22"/>
      <c r="AF1004" s="22"/>
      <c r="AG1004" s="22"/>
      <c r="AH1004" s="22"/>
      <c r="AI1004" s="22"/>
      <c r="AJ1004" s="22"/>
    </row>
    <row r="1005" spans="1:36" x14ac:dyDescent="0.25">
      <c r="A1005" s="22" t="s">
        <v>3886</v>
      </c>
      <c r="B1005" s="22">
        <v>0</v>
      </c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2"/>
      <c r="T1005" s="22"/>
      <c r="U1005" s="22"/>
      <c r="V1005" s="22"/>
      <c r="W1005" s="22"/>
      <c r="X1005" s="22"/>
      <c r="Y1005" s="22"/>
      <c r="Z1005" s="22"/>
      <c r="AA1005" s="22"/>
      <c r="AB1005" s="22"/>
      <c r="AC1005" s="22"/>
      <c r="AD1005" s="22"/>
      <c r="AE1005" s="22"/>
      <c r="AF1005" s="22"/>
      <c r="AG1005" s="22"/>
      <c r="AH1005" s="22"/>
      <c r="AI1005" s="22"/>
      <c r="AJ1005" s="22"/>
    </row>
    <row r="1006" spans="1:36" x14ac:dyDescent="0.25">
      <c r="A1006" s="22" t="s">
        <v>397</v>
      </c>
      <c r="B1006" s="22">
        <v>0</v>
      </c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  <c r="X1006" s="22"/>
      <c r="Y1006" s="22"/>
      <c r="Z1006" s="22"/>
      <c r="AA1006" s="22"/>
      <c r="AB1006" s="22"/>
      <c r="AC1006" s="22"/>
      <c r="AD1006" s="22"/>
      <c r="AE1006" s="22"/>
      <c r="AF1006" s="22"/>
      <c r="AG1006" s="22"/>
      <c r="AH1006" s="22"/>
      <c r="AI1006" s="22"/>
      <c r="AJ1006" s="22"/>
    </row>
    <row r="1007" spans="1:36" x14ac:dyDescent="0.25">
      <c r="A1007" s="22" t="s">
        <v>3887</v>
      </c>
      <c r="B1007" s="22">
        <v>0</v>
      </c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2"/>
      <c r="T1007" s="22"/>
      <c r="U1007" s="22"/>
      <c r="V1007" s="22"/>
      <c r="W1007" s="22"/>
      <c r="X1007" s="22"/>
      <c r="Y1007" s="22"/>
      <c r="Z1007" s="22"/>
      <c r="AA1007" s="22"/>
      <c r="AB1007" s="22"/>
      <c r="AC1007" s="22"/>
      <c r="AD1007" s="22"/>
      <c r="AE1007" s="22"/>
      <c r="AF1007" s="22"/>
      <c r="AG1007" s="22"/>
      <c r="AH1007" s="22"/>
      <c r="AI1007" s="22"/>
      <c r="AJ1007" s="22"/>
    </row>
    <row r="1008" spans="1:36" x14ac:dyDescent="0.25">
      <c r="A1008" s="22" t="s">
        <v>3888</v>
      </c>
      <c r="B1008" s="22">
        <v>0</v>
      </c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  <c r="X1008" s="22"/>
      <c r="Y1008" s="22"/>
      <c r="Z1008" s="22"/>
      <c r="AA1008" s="22"/>
      <c r="AB1008" s="22"/>
      <c r="AC1008" s="22"/>
      <c r="AD1008" s="22"/>
      <c r="AE1008" s="22"/>
      <c r="AF1008" s="22"/>
      <c r="AG1008" s="22"/>
      <c r="AH1008" s="22"/>
      <c r="AI1008" s="22"/>
      <c r="AJ1008" s="22"/>
    </row>
    <row r="1009" spans="1:36" x14ac:dyDescent="0.25">
      <c r="A1009" s="22" t="s">
        <v>3889</v>
      </c>
      <c r="B1009" s="22">
        <v>0</v>
      </c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2"/>
      <c r="T1009" s="22"/>
      <c r="U1009" s="22"/>
      <c r="V1009" s="22"/>
      <c r="W1009" s="22"/>
      <c r="X1009" s="22"/>
      <c r="Y1009" s="22"/>
      <c r="Z1009" s="22"/>
      <c r="AA1009" s="22"/>
      <c r="AB1009" s="22"/>
      <c r="AC1009" s="22"/>
      <c r="AD1009" s="22"/>
      <c r="AE1009" s="22"/>
      <c r="AF1009" s="22"/>
      <c r="AG1009" s="22"/>
      <c r="AH1009" s="22"/>
      <c r="AI1009" s="22"/>
      <c r="AJ1009" s="22"/>
    </row>
    <row r="1010" spans="1:36" x14ac:dyDescent="0.25">
      <c r="A1010" s="22" t="s">
        <v>3890</v>
      </c>
      <c r="B1010" s="22">
        <v>0</v>
      </c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  <c r="X1010" s="22"/>
      <c r="Y1010" s="22"/>
      <c r="Z1010" s="22"/>
      <c r="AA1010" s="22"/>
      <c r="AB1010" s="22"/>
      <c r="AC1010" s="22"/>
      <c r="AD1010" s="22"/>
      <c r="AE1010" s="22"/>
      <c r="AF1010" s="22"/>
      <c r="AG1010" s="22"/>
      <c r="AH1010" s="22"/>
      <c r="AI1010" s="22"/>
      <c r="AJ1010" s="22"/>
    </row>
    <row r="1011" spans="1:36" x14ac:dyDescent="0.25">
      <c r="A1011" s="22" t="s">
        <v>3891</v>
      </c>
      <c r="B1011" s="22">
        <v>0</v>
      </c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</row>
    <row r="1012" spans="1:36" x14ac:dyDescent="0.25">
      <c r="A1012" s="22" t="s">
        <v>3892</v>
      </c>
      <c r="B1012" s="22">
        <v>0</v>
      </c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  <c r="X1012" s="22"/>
      <c r="Y1012" s="22"/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</row>
    <row r="1013" spans="1:36" x14ac:dyDescent="0.25">
      <c r="A1013" s="22" t="s">
        <v>3893</v>
      </c>
      <c r="B1013" s="22">
        <v>0</v>
      </c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</row>
    <row r="1014" spans="1:36" x14ac:dyDescent="0.25">
      <c r="A1014" s="22" t="s">
        <v>398</v>
      </c>
      <c r="B1014" s="22">
        <v>0</v>
      </c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  <c r="X1014" s="22"/>
      <c r="Y1014" s="22"/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</row>
    <row r="1015" spans="1:36" x14ac:dyDescent="0.25">
      <c r="A1015" s="22" t="s">
        <v>3894</v>
      </c>
      <c r="B1015" s="22">
        <v>0</v>
      </c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</row>
    <row r="1016" spans="1:36" x14ac:dyDescent="0.25">
      <c r="A1016" s="22" t="s">
        <v>3895</v>
      </c>
      <c r="B1016" s="22">
        <v>0</v>
      </c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  <c r="Y1016" s="22"/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</row>
    <row r="1017" spans="1:36" x14ac:dyDescent="0.25">
      <c r="A1017" s="22" t="s">
        <v>3896</v>
      </c>
      <c r="B1017" s="22">
        <v>0</v>
      </c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</row>
    <row r="1018" spans="1:36" x14ac:dyDescent="0.25">
      <c r="A1018" s="22" t="s">
        <v>3897</v>
      </c>
      <c r="B1018" s="22">
        <v>0</v>
      </c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  <c r="X1018" s="22"/>
      <c r="Y1018" s="22"/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</row>
    <row r="1019" spans="1:36" x14ac:dyDescent="0.25">
      <c r="A1019" s="22" t="s">
        <v>3898</v>
      </c>
      <c r="B1019" s="22">
        <v>0</v>
      </c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</row>
    <row r="1020" spans="1:36" x14ac:dyDescent="0.25">
      <c r="A1020" s="22" t="s">
        <v>3899</v>
      </c>
      <c r="B1020" s="22">
        <v>0</v>
      </c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  <c r="X1020" s="22"/>
      <c r="Y1020" s="22"/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</row>
    <row r="1021" spans="1:36" x14ac:dyDescent="0.25">
      <c r="A1021" s="22" t="s">
        <v>3900</v>
      </c>
      <c r="B1021" s="22">
        <v>0</v>
      </c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</row>
    <row r="1022" spans="1:36" x14ac:dyDescent="0.25">
      <c r="A1022" s="22" t="s">
        <v>399</v>
      </c>
      <c r="B1022" s="22">
        <v>0</v>
      </c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  <c r="X1022" s="22"/>
      <c r="Y1022" s="22"/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</row>
    <row r="1023" spans="1:36" x14ac:dyDescent="0.25">
      <c r="A1023" s="22" t="s">
        <v>3046</v>
      </c>
      <c r="B1023" s="22">
        <v>0</v>
      </c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</row>
    <row r="1024" spans="1:36" x14ac:dyDescent="0.25">
      <c r="A1024" s="22" t="s">
        <v>3047</v>
      </c>
      <c r="B1024" s="22">
        <v>0</v>
      </c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  <c r="X1024" s="22"/>
      <c r="Y1024" s="22"/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</row>
    <row r="1025" spans="1:36" x14ac:dyDescent="0.25">
      <c r="A1025" s="22" t="s">
        <v>3048</v>
      </c>
      <c r="B1025" s="22">
        <v>0</v>
      </c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</row>
    <row r="1026" spans="1:36" x14ac:dyDescent="0.25">
      <c r="A1026" s="22" t="s">
        <v>3049</v>
      </c>
      <c r="B1026" s="22">
        <v>0</v>
      </c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  <c r="X1026" s="22"/>
      <c r="Y1026" s="22"/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</row>
    <row r="1027" spans="1:36" x14ac:dyDescent="0.25">
      <c r="A1027" s="22" t="s">
        <v>3050</v>
      </c>
      <c r="B1027" s="22">
        <v>0</v>
      </c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</row>
    <row r="1028" spans="1:36" x14ac:dyDescent="0.25">
      <c r="A1028" s="22" t="s">
        <v>3051</v>
      </c>
      <c r="B1028" s="22">
        <v>0</v>
      </c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  <c r="X1028" s="22"/>
      <c r="Y1028" s="22"/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</row>
    <row r="1029" spans="1:36" x14ac:dyDescent="0.25">
      <c r="A1029" s="22" t="s">
        <v>3052</v>
      </c>
      <c r="B1029" s="22">
        <v>0</v>
      </c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</row>
    <row r="1030" spans="1:36" x14ac:dyDescent="0.25">
      <c r="A1030" s="22" t="s">
        <v>3901</v>
      </c>
      <c r="B1030" s="22">
        <v>0</v>
      </c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  <c r="X1030" s="22"/>
      <c r="Y1030" s="22"/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</row>
    <row r="1031" spans="1:36" x14ac:dyDescent="0.25">
      <c r="A1031" s="22" t="s">
        <v>3902</v>
      </c>
      <c r="B1031" s="22">
        <v>0</v>
      </c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</row>
    <row r="1032" spans="1:36" x14ac:dyDescent="0.25">
      <c r="A1032" s="22" t="s">
        <v>3903</v>
      </c>
      <c r="B1032" s="22">
        <v>0</v>
      </c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  <c r="X1032" s="22"/>
      <c r="Y1032" s="22"/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</row>
    <row r="1033" spans="1:36" x14ac:dyDescent="0.25">
      <c r="A1033" s="22" t="s">
        <v>3904</v>
      </c>
      <c r="B1033" s="22">
        <v>0</v>
      </c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</row>
    <row r="1034" spans="1:36" x14ac:dyDescent="0.25">
      <c r="A1034" s="22" t="s">
        <v>3905</v>
      </c>
      <c r="B1034" s="22">
        <v>0</v>
      </c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  <c r="X1034" s="22"/>
      <c r="Y1034" s="22"/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</row>
    <row r="1035" spans="1:36" x14ac:dyDescent="0.25">
      <c r="A1035" s="22" t="s">
        <v>3906</v>
      </c>
      <c r="B1035" s="22">
        <v>0</v>
      </c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</row>
    <row r="1036" spans="1:36" x14ac:dyDescent="0.25">
      <c r="A1036" s="22" t="s">
        <v>3907</v>
      </c>
      <c r="B1036" s="22">
        <v>0</v>
      </c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  <c r="X1036" s="22"/>
      <c r="Y1036" s="22"/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</row>
    <row r="1037" spans="1:36" x14ac:dyDescent="0.25">
      <c r="A1037" s="22" t="s">
        <v>3908</v>
      </c>
      <c r="B1037" s="22">
        <v>0</v>
      </c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</row>
    <row r="1038" spans="1:36" x14ac:dyDescent="0.25">
      <c r="A1038" s="22" t="s">
        <v>3909</v>
      </c>
      <c r="B1038" s="22">
        <v>199</v>
      </c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  <c r="X1038" s="22"/>
      <c r="Y1038" s="22"/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</row>
    <row r="1039" spans="1:36" x14ac:dyDescent="0.25">
      <c r="A1039" s="22" t="s">
        <v>3910</v>
      </c>
      <c r="B1039" s="22">
        <v>0</v>
      </c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</row>
    <row r="1040" spans="1:36" x14ac:dyDescent="0.25">
      <c r="A1040" s="22" t="s">
        <v>3911</v>
      </c>
      <c r="B1040" s="22">
        <v>0</v>
      </c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  <c r="X1040" s="22"/>
      <c r="Y1040" s="22"/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</row>
    <row r="1041" spans="1:36" x14ac:dyDescent="0.25">
      <c r="A1041" s="22" t="s">
        <v>3912</v>
      </c>
      <c r="B1041" s="22">
        <v>0</v>
      </c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</row>
    <row r="1042" spans="1:36" x14ac:dyDescent="0.25">
      <c r="A1042" s="22" t="s">
        <v>3913</v>
      </c>
      <c r="B1042" s="22">
        <v>0</v>
      </c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  <c r="X1042" s="22"/>
      <c r="Y1042" s="22"/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</row>
    <row r="1043" spans="1:36" x14ac:dyDescent="0.25">
      <c r="A1043" s="22" t="s">
        <v>3914</v>
      </c>
      <c r="B1043" s="22">
        <v>0</v>
      </c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</row>
    <row r="1044" spans="1:36" x14ac:dyDescent="0.25">
      <c r="A1044" s="22" t="s">
        <v>3915</v>
      </c>
      <c r="B1044" s="22">
        <v>0</v>
      </c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  <c r="X1044" s="22"/>
      <c r="Y1044" s="22"/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</row>
    <row r="1045" spans="1:36" x14ac:dyDescent="0.25">
      <c r="A1045" s="22" t="s">
        <v>3916</v>
      </c>
      <c r="B1045" s="22">
        <v>0</v>
      </c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</row>
    <row r="1046" spans="1:36" x14ac:dyDescent="0.25">
      <c r="A1046" s="22" t="s">
        <v>5761</v>
      </c>
      <c r="B1046" s="22">
        <v>0</v>
      </c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  <c r="X1046" s="22"/>
      <c r="Y1046" s="22"/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</row>
    <row r="1047" spans="1:36" x14ac:dyDescent="0.25">
      <c r="A1047" s="22" t="s">
        <v>5762</v>
      </c>
      <c r="B1047" s="22">
        <v>0</v>
      </c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</row>
    <row r="1048" spans="1:36" x14ac:dyDescent="0.25">
      <c r="A1048" s="22" t="s">
        <v>5763</v>
      </c>
      <c r="B1048" s="22">
        <v>0</v>
      </c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  <c r="X1048" s="22"/>
      <c r="Y1048" s="22"/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</row>
    <row r="1049" spans="1:36" x14ac:dyDescent="0.25">
      <c r="A1049" s="22" t="s">
        <v>5764</v>
      </c>
      <c r="B1049" s="22">
        <v>0</v>
      </c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</row>
    <row r="1050" spans="1:36" x14ac:dyDescent="0.25">
      <c r="A1050" s="22" t="s">
        <v>5765</v>
      </c>
      <c r="B1050" s="22">
        <v>0</v>
      </c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  <c r="X1050" s="22"/>
      <c r="Y1050" s="22"/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</row>
    <row r="1051" spans="1:36" x14ac:dyDescent="0.25">
      <c r="A1051" s="22" t="s">
        <v>5766</v>
      </c>
      <c r="B1051" s="22">
        <v>0</v>
      </c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</row>
    <row r="1052" spans="1:36" x14ac:dyDescent="0.25">
      <c r="A1052" s="22" t="s">
        <v>5767</v>
      </c>
      <c r="B1052" s="22">
        <v>0</v>
      </c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  <c r="X1052" s="22"/>
      <c r="Y1052" s="22"/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</row>
    <row r="1053" spans="1:36" x14ac:dyDescent="0.25">
      <c r="A1053" s="22" t="s">
        <v>5768</v>
      </c>
      <c r="B1053" s="22">
        <v>0</v>
      </c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</row>
    <row r="1054" spans="1:36" x14ac:dyDescent="0.25">
      <c r="A1054" s="22" t="s">
        <v>4747</v>
      </c>
      <c r="B1054" s="22">
        <v>0</v>
      </c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  <c r="X1054" s="22"/>
      <c r="Y1054" s="22"/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</row>
    <row r="1055" spans="1:36" x14ac:dyDescent="0.25">
      <c r="A1055" s="22" t="s">
        <v>4748</v>
      </c>
      <c r="B1055" s="22">
        <v>0</v>
      </c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</row>
    <row r="1056" spans="1:36" x14ac:dyDescent="0.25">
      <c r="A1056" s="22" t="s">
        <v>4749</v>
      </c>
      <c r="B1056" s="22">
        <v>0</v>
      </c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  <c r="X1056" s="22"/>
      <c r="Y1056" s="22"/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</row>
    <row r="1057" spans="1:36" x14ac:dyDescent="0.25">
      <c r="A1057" s="22" t="s">
        <v>4750</v>
      </c>
      <c r="B1057" s="22">
        <v>0</v>
      </c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</row>
    <row r="1058" spans="1:36" x14ac:dyDescent="0.25">
      <c r="A1058" s="22" t="s">
        <v>4751</v>
      </c>
      <c r="B1058" s="22">
        <v>0</v>
      </c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  <c r="X1058" s="22"/>
      <c r="Y1058" s="22"/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</row>
    <row r="1059" spans="1:36" x14ac:dyDescent="0.25">
      <c r="A1059" s="22" t="s">
        <v>4752</v>
      </c>
      <c r="B1059" s="22">
        <v>0</v>
      </c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</row>
    <row r="1060" spans="1:36" x14ac:dyDescent="0.25">
      <c r="A1060" s="22" t="s">
        <v>4753</v>
      </c>
      <c r="B1060" s="22">
        <v>0</v>
      </c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  <c r="X1060" s="22"/>
      <c r="Y1060" s="22"/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</row>
    <row r="1061" spans="1:36" x14ac:dyDescent="0.25">
      <c r="A1061" s="22" t="s">
        <v>4754</v>
      </c>
      <c r="B1061" s="22">
        <v>0</v>
      </c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</row>
    <row r="1062" spans="1:36" x14ac:dyDescent="0.25">
      <c r="A1062" s="22" t="s">
        <v>4755</v>
      </c>
      <c r="B1062" s="22">
        <v>73</v>
      </c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  <c r="X1062" s="22"/>
      <c r="Y1062" s="22"/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</row>
    <row r="1063" spans="1:36" x14ac:dyDescent="0.25">
      <c r="A1063" s="22" t="s">
        <v>4756</v>
      </c>
      <c r="B1063" s="22">
        <v>0</v>
      </c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</row>
    <row r="1064" spans="1:36" x14ac:dyDescent="0.25">
      <c r="A1064" s="22" t="s">
        <v>4757</v>
      </c>
      <c r="B1064" s="22">
        <v>0</v>
      </c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  <c r="X1064" s="22"/>
      <c r="Y1064" s="22"/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</row>
    <row r="1065" spans="1:36" x14ac:dyDescent="0.25">
      <c r="A1065" s="22" t="s">
        <v>4758</v>
      </c>
      <c r="B1065" s="22">
        <v>0</v>
      </c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</row>
    <row r="1066" spans="1:36" x14ac:dyDescent="0.25">
      <c r="A1066" s="22" t="s">
        <v>4759</v>
      </c>
      <c r="B1066" s="22">
        <v>0</v>
      </c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  <c r="X1066" s="22"/>
      <c r="Y1066" s="22"/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</row>
    <row r="1067" spans="1:36" x14ac:dyDescent="0.25">
      <c r="A1067" s="22" t="s">
        <v>4760</v>
      </c>
      <c r="B1067" s="22">
        <v>0</v>
      </c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</row>
    <row r="1068" spans="1:36" x14ac:dyDescent="0.25">
      <c r="A1068" s="22" t="s">
        <v>4761</v>
      </c>
      <c r="B1068" s="22">
        <v>0</v>
      </c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  <c r="X1068" s="22"/>
      <c r="Y1068" s="22"/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</row>
    <row r="1069" spans="1:36" x14ac:dyDescent="0.25">
      <c r="A1069" s="22" t="s">
        <v>4762</v>
      </c>
      <c r="B1069" s="22">
        <v>0</v>
      </c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</row>
    <row r="1070" spans="1:36" x14ac:dyDescent="0.25">
      <c r="A1070" s="22" t="s">
        <v>4763</v>
      </c>
      <c r="B1070" s="22">
        <v>0</v>
      </c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  <c r="X1070" s="22"/>
      <c r="Y1070" s="22"/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</row>
    <row r="1071" spans="1:36" x14ac:dyDescent="0.25">
      <c r="A1071" s="22" t="s">
        <v>4764</v>
      </c>
      <c r="B1071" s="22">
        <v>0</v>
      </c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</row>
    <row r="1072" spans="1:36" x14ac:dyDescent="0.25">
      <c r="A1072" s="22" t="s">
        <v>4765</v>
      </c>
      <c r="B1072" s="22">
        <v>0</v>
      </c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  <c r="X1072" s="22"/>
      <c r="Y1072" s="22"/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</row>
    <row r="1073" spans="1:36" x14ac:dyDescent="0.25">
      <c r="A1073" s="22" t="s">
        <v>4766</v>
      </c>
      <c r="B1073" s="22">
        <v>0</v>
      </c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</row>
    <row r="1074" spans="1:36" x14ac:dyDescent="0.25">
      <c r="A1074" s="22" t="s">
        <v>4767</v>
      </c>
      <c r="B1074" s="22">
        <v>0</v>
      </c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  <c r="X1074" s="22"/>
      <c r="Y1074" s="22"/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</row>
    <row r="1075" spans="1:36" x14ac:dyDescent="0.25">
      <c r="A1075" s="22" t="s">
        <v>4768</v>
      </c>
      <c r="B1075" s="22">
        <v>0</v>
      </c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</row>
    <row r="1076" spans="1:36" x14ac:dyDescent="0.25">
      <c r="A1076" s="22" t="s">
        <v>4769</v>
      </c>
      <c r="B1076" s="22">
        <v>0</v>
      </c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  <c r="X1076" s="22"/>
      <c r="Y1076" s="22"/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</row>
    <row r="1077" spans="1:36" x14ac:dyDescent="0.25">
      <c r="A1077" s="22" t="s">
        <v>4770</v>
      </c>
      <c r="B1077" s="22">
        <v>0</v>
      </c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</row>
    <row r="1078" spans="1:36" x14ac:dyDescent="0.25">
      <c r="A1078" s="22" t="s">
        <v>1998</v>
      </c>
      <c r="B1078" s="22">
        <v>0</v>
      </c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  <c r="X1078" s="22"/>
      <c r="Y1078" s="22"/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</row>
    <row r="1079" spans="1:36" x14ac:dyDescent="0.25">
      <c r="A1079" s="22" t="s">
        <v>3053</v>
      </c>
      <c r="B1079" s="22">
        <v>0</v>
      </c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</row>
    <row r="1080" spans="1:36" x14ac:dyDescent="0.25">
      <c r="A1080" s="22" t="s">
        <v>3054</v>
      </c>
      <c r="B1080" s="22">
        <v>0</v>
      </c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  <c r="X1080" s="22"/>
      <c r="Y1080" s="22"/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</row>
    <row r="1081" spans="1:36" x14ac:dyDescent="0.25">
      <c r="A1081" s="22" t="s">
        <v>3055</v>
      </c>
      <c r="B1081" s="22">
        <v>0</v>
      </c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</row>
    <row r="1082" spans="1:36" x14ac:dyDescent="0.25">
      <c r="A1082" s="22" t="s">
        <v>3056</v>
      </c>
      <c r="B1082" s="22">
        <v>0</v>
      </c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  <c r="X1082" s="22"/>
      <c r="Y1082" s="22"/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</row>
    <row r="1083" spans="1:36" x14ac:dyDescent="0.25">
      <c r="A1083" s="22" t="s">
        <v>3057</v>
      </c>
      <c r="B1083" s="22">
        <v>0</v>
      </c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</row>
    <row r="1084" spans="1:36" x14ac:dyDescent="0.25">
      <c r="A1084" s="22" t="s">
        <v>3058</v>
      </c>
      <c r="B1084" s="22">
        <v>0</v>
      </c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  <c r="X1084" s="22"/>
      <c r="Y1084" s="22"/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</row>
    <row r="1085" spans="1:36" x14ac:dyDescent="0.25">
      <c r="A1085" s="22" t="s">
        <v>3059</v>
      </c>
      <c r="B1085" s="22">
        <v>0</v>
      </c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</row>
    <row r="1086" spans="1:36" x14ac:dyDescent="0.25">
      <c r="A1086" s="22" t="s">
        <v>1999</v>
      </c>
      <c r="B1086" s="22">
        <v>0</v>
      </c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  <c r="X1086" s="22"/>
      <c r="Y1086" s="22"/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</row>
    <row r="1087" spans="1:36" x14ac:dyDescent="0.25">
      <c r="A1087" s="22" t="s">
        <v>3060</v>
      </c>
      <c r="B1087" s="22">
        <v>0</v>
      </c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</row>
    <row r="1088" spans="1:36" x14ac:dyDescent="0.25">
      <c r="A1088" s="22" t="s">
        <v>3061</v>
      </c>
      <c r="B1088" s="22">
        <v>0</v>
      </c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  <c r="X1088" s="22"/>
      <c r="Y1088" s="22"/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</row>
    <row r="1089" spans="1:36" x14ac:dyDescent="0.25">
      <c r="A1089" s="22" t="s">
        <v>3062</v>
      </c>
      <c r="B1089" s="22">
        <v>0</v>
      </c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2"/>
      <c r="T1089" s="22"/>
      <c r="U1089" s="22"/>
      <c r="V1089" s="22"/>
      <c r="W1089" s="22"/>
      <c r="X1089" s="22"/>
      <c r="Y1089" s="22"/>
      <c r="Z1089" s="22"/>
      <c r="AA1089" s="22"/>
      <c r="AB1089" s="22"/>
      <c r="AC1089" s="22"/>
      <c r="AD1089" s="22"/>
      <c r="AE1089" s="22"/>
      <c r="AF1089" s="22"/>
      <c r="AG1089" s="22"/>
      <c r="AH1089" s="22"/>
      <c r="AI1089" s="22"/>
      <c r="AJ1089" s="22"/>
    </row>
    <row r="1090" spans="1:36" x14ac:dyDescent="0.25">
      <c r="A1090" s="22" t="s">
        <v>3063</v>
      </c>
      <c r="B1090" s="22">
        <v>0</v>
      </c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  <c r="X1090" s="22"/>
      <c r="Y1090" s="22"/>
      <c r="Z1090" s="22"/>
      <c r="AA1090" s="22"/>
      <c r="AB1090" s="22"/>
      <c r="AC1090" s="22"/>
      <c r="AD1090" s="22"/>
      <c r="AE1090" s="22"/>
      <c r="AF1090" s="22"/>
      <c r="AG1090" s="22"/>
      <c r="AH1090" s="22"/>
      <c r="AI1090" s="22"/>
      <c r="AJ1090" s="22"/>
    </row>
    <row r="1091" spans="1:36" x14ac:dyDescent="0.25">
      <c r="A1091" s="22" t="s">
        <v>3064</v>
      </c>
      <c r="B1091" s="22">
        <v>0</v>
      </c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2"/>
      <c r="T1091" s="22"/>
      <c r="U1091" s="22"/>
      <c r="V1091" s="22"/>
      <c r="W1091" s="22"/>
      <c r="X1091" s="22"/>
      <c r="Y1091" s="22"/>
      <c r="Z1091" s="22"/>
      <c r="AA1091" s="22"/>
      <c r="AB1091" s="22"/>
      <c r="AC1091" s="22"/>
      <c r="AD1091" s="22"/>
      <c r="AE1091" s="22"/>
      <c r="AF1091" s="22"/>
      <c r="AG1091" s="22"/>
      <c r="AH1091" s="22"/>
      <c r="AI1091" s="22"/>
      <c r="AJ1091" s="22"/>
    </row>
    <row r="1092" spans="1:36" x14ac:dyDescent="0.25">
      <c r="A1092" s="22" t="s">
        <v>3065</v>
      </c>
      <c r="B1092" s="22">
        <v>0</v>
      </c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  <c r="X1092" s="22"/>
      <c r="Y1092" s="22"/>
      <c r="Z1092" s="22"/>
      <c r="AA1092" s="22"/>
      <c r="AB1092" s="22"/>
      <c r="AC1092" s="22"/>
      <c r="AD1092" s="22"/>
      <c r="AE1092" s="22"/>
      <c r="AF1092" s="22"/>
      <c r="AG1092" s="22"/>
      <c r="AH1092" s="22"/>
      <c r="AI1092" s="22"/>
      <c r="AJ1092" s="22"/>
    </row>
    <row r="1093" spans="1:36" x14ac:dyDescent="0.25">
      <c r="A1093" s="22" t="s">
        <v>3066</v>
      </c>
      <c r="B1093" s="22">
        <v>0</v>
      </c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2"/>
      <c r="T1093" s="22"/>
      <c r="U1093" s="22"/>
      <c r="V1093" s="22"/>
      <c r="W1093" s="22"/>
      <c r="X1093" s="22"/>
      <c r="Y1093" s="22"/>
      <c r="Z1093" s="22"/>
      <c r="AA1093" s="22"/>
      <c r="AB1093" s="22"/>
      <c r="AC1093" s="22"/>
      <c r="AD1093" s="22"/>
      <c r="AE1093" s="22"/>
      <c r="AF1093" s="22"/>
      <c r="AG1093" s="22"/>
      <c r="AH1093" s="22"/>
      <c r="AI1093" s="22"/>
      <c r="AJ1093" s="22"/>
    </row>
    <row r="1094" spans="1:36" x14ac:dyDescent="0.25">
      <c r="A1094" s="22" t="s">
        <v>2000</v>
      </c>
      <c r="B1094" s="22">
        <v>0</v>
      </c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  <c r="X1094" s="22"/>
      <c r="Y1094" s="22"/>
      <c r="Z1094" s="22"/>
      <c r="AA1094" s="22"/>
      <c r="AB1094" s="22"/>
      <c r="AC1094" s="22"/>
      <c r="AD1094" s="22"/>
      <c r="AE1094" s="22"/>
      <c r="AF1094" s="22"/>
      <c r="AG1094" s="22"/>
      <c r="AH1094" s="22"/>
      <c r="AI1094" s="22"/>
      <c r="AJ1094" s="22"/>
    </row>
    <row r="1095" spans="1:36" x14ac:dyDescent="0.25">
      <c r="A1095" s="22" t="s">
        <v>4771</v>
      </c>
      <c r="B1095" s="22">
        <v>0</v>
      </c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2"/>
      <c r="T1095" s="22"/>
      <c r="U1095" s="22"/>
      <c r="V1095" s="22"/>
      <c r="W1095" s="22"/>
      <c r="X1095" s="22"/>
      <c r="Y1095" s="22"/>
      <c r="Z1095" s="22"/>
      <c r="AA1095" s="22"/>
      <c r="AB1095" s="22"/>
      <c r="AC1095" s="22"/>
      <c r="AD1095" s="22"/>
      <c r="AE1095" s="22"/>
      <c r="AF1095" s="22"/>
      <c r="AG1095" s="22"/>
      <c r="AH1095" s="22"/>
      <c r="AI1095" s="22"/>
      <c r="AJ1095" s="22"/>
    </row>
    <row r="1096" spans="1:36" x14ac:dyDescent="0.25">
      <c r="A1096" s="22" t="s">
        <v>4772</v>
      </c>
      <c r="B1096" s="22">
        <v>0</v>
      </c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  <c r="X1096" s="22"/>
      <c r="Y1096" s="22"/>
      <c r="Z1096" s="22"/>
      <c r="AA1096" s="22"/>
      <c r="AB1096" s="22"/>
      <c r="AC1096" s="22"/>
      <c r="AD1096" s="22"/>
      <c r="AE1096" s="22"/>
      <c r="AF1096" s="22"/>
      <c r="AG1096" s="22"/>
      <c r="AH1096" s="22"/>
      <c r="AI1096" s="22"/>
      <c r="AJ1096" s="22"/>
    </row>
    <row r="1097" spans="1:36" x14ac:dyDescent="0.25">
      <c r="A1097" s="22" t="s">
        <v>4773</v>
      </c>
      <c r="B1097" s="22">
        <v>0</v>
      </c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2"/>
      <c r="T1097" s="22"/>
      <c r="U1097" s="22"/>
      <c r="V1097" s="22"/>
      <c r="W1097" s="22"/>
      <c r="X1097" s="22"/>
      <c r="Y1097" s="22"/>
      <c r="Z1097" s="22"/>
      <c r="AA1097" s="22"/>
      <c r="AB1097" s="22"/>
      <c r="AC1097" s="22"/>
      <c r="AD1097" s="22"/>
      <c r="AE1097" s="22"/>
      <c r="AF1097" s="22"/>
      <c r="AG1097" s="22"/>
      <c r="AH1097" s="22"/>
      <c r="AI1097" s="22"/>
      <c r="AJ1097" s="22"/>
    </row>
    <row r="1098" spans="1:36" x14ac:dyDescent="0.25">
      <c r="A1098" s="22" t="s">
        <v>4774</v>
      </c>
      <c r="B1098" s="22">
        <v>0</v>
      </c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  <c r="X1098" s="22"/>
      <c r="Y1098" s="22"/>
      <c r="Z1098" s="22"/>
      <c r="AA1098" s="22"/>
      <c r="AB1098" s="22"/>
      <c r="AC1098" s="22"/>
      <c r="AD1098" s="22"/>
      <c r="AE1098" s="22"/>
      <c r="AF1098" s="22"/>
      <c r="AG1098" s="22"/>
      <c r="AH1098" s="22"/>
      <c r="AI1098" s="22"/>
      <c r="AJ1098" s="22"/>
    </row>
    <row r="1099" spans="1:36" x14ac:dyDescent="0.25">
      <c r="A1099" s="22" t="s">
        <v>4775</v>
      </c>
      <c r="B1099" s="22">
        <v>0</v>
      </c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2"/>
      <c r="T1099" s="22"/>
      <c r="U1099" s="22"/>
      <c r="V1099" s="22"/>
      <c r="W1099" s="22"/>
      <c r="X1099" s="22"/>
      <c r="Y1099" s="22"/>
      <c r="Z1099" s="22"/>
      <c r="AA1099" s="22"/>
      <c r="AB1099" s="22"/>
      <c r="AC1099" s="22"/>
      <c r="AD1099" s="22"/>
      <c r="AE1099" s="22"/>
      <c r="AF1099" s="22"/>
      <c r="AG1099" s="22"/>
      <c r="AH1099" s="22"/>
      <c r="AI1099" s="22"/>
      <c r="AJ1099" s="22"/>
    </row>
    <row r="1100" spans="1:36" x14ac:dyDescent="0.25">
      <c r="A1100" s="22" t="s">
        <v>4776</v>
      </c>
      <c r="B1100" s="22">
        <v>0</v>
      </c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  <c r="X1100" s="22"/>
      <c r="Y1100" s="22"/>
      <c r="Z1100" s="22"/>
      <c r="AA1100" s="22"/>
      <c r="AB1100" s="22"/>
      <c r="AC1100" s="22"/>
      <c r="AD1100" s="22"/>
      <c r="AE1100" s="22"/>
      <c r="AF1100" s="22"/>
      <c r="AG1100" s="22"/>
      <c r="AH1100" s="22"/>
      <c r="AI1100" s="22"/>
      <c r="AJ1100" s="22"/>
    </row>
    <row r="1101" spans="1:36" x14ac:dyDescent="0.25">
      <c r="A1101" s="22" t="s">
        <v>4777</v>
      </c>
      <c r="B1101" s="22">
        <v>0</v>
      </c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2"/>
      <c r="T1101" s="22"/>
      <c r="U1101" s="22"/>
      <c r="V1101" s="22"/>
      <c r="W1101" s="22"/>
      <c r="X1101" s="22"/>
      <c r="Y1101" s="22"/>
      <c r="Z1101" s="22"/>
      <c r="AA1101" s="22"/>
      <c r="AB1101" s="22"/>
      <c r="AC1101" s="22"/>
      <c r="AD1101" s="22"/>
      <c r="AE1101" s="22"/>
      <c r="AF1101" s="22"/>
      <c r="AG1101" s="22"/>
      <c r="AH1101" s="22"/>
      <c r="AI1101" s="22"/>
      <c r="AJ1101" s="22"/>
    </row>
    <row r="1102" spans="1:36" x14ac:dyDescent="0.25">
      <c r="A1102" s="22" t="s">
        <v>2001</v>
      </c>
      <c r="B1102" s="22">
        <v>0</v>
      </c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  <c r="X1102" s="22"/>
      <c r="Y1102" s="22"/>
      <c r="Z1102" s="22"/>
      <c r="AA1102" s="22"/>
      <c r="AB1102" s="22"/>
      <c r="AC1102" s="22"/>
      <c r="AD1102" s="22"/>
      <c r="AE1102" s="22"/>
      <c r="AF1102" s="22"/>
      <c r="AG1102" s="22"/>
      <c r="AH1102" s="22"/>
      <c r="AI1102" s="22"/>
      <c r="AJ1102" s="22"/>
    </row>
    <row r="1103" spans="1:36" x14ac:dyDescent="0.25">
      <c r="A1103" s="22" t="s">
        <v>3067</v>
      </c>
      <c r="B1103" s="22">
        <v>0</v>
      </c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2"/>
      <c r="T1103" s="22"/>
      <c r="U1103" s="22"/>
      <c r="V1103" s="22"/>
      <c r="W1103" s="22"/>
      <c r="X1103" s="22"/>
      <c r="Y1103" s="22"/>
      <c r="Z1103" s="22"/>
      <c r="AA1103" s="22"/>
      <c r="AB1103" s="22"/>
      <c r="AC1103" s="22"/>
      <c r="AD1103" s="22"/>
      <c r="AE1103" s="22"/>
      <c r="AF1103" s="22"/>
      <c r="AG1103" s="22"/>
      <c r="AH1103" s="22"/>
      <c r="AI1103" s="22"/>
      <c r="AJ1103" s="22"/>
    </row>
    <row r="1104" spans="1:36" x14ac:dyDescent="0.25">
      <c r="A1104" s="22" t="s">
        <v>3068</v>
      </c>
      <c r="B1104" s="22">
        <v>0</v>
      </c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  <c r="X1104" s="22"/>
      <c r="Y1104" s="22"/>
      <c r="Z1104" s="22"/>
      <c r="AA1104" s="22"/>
      <c r="AB1104" s="22"/>
      <c r="AC1104" s="22"/>
      <c r="AD1104" s="22"/>
      <c r="AE1104" s="22"/>
      <c r="AF1104" s="22"/>
      <c r="AG1104" s="22"/>
      <c r="AH1104" s="22"/>
      <c r="AI1104" s="22"/>
      <c r="AJ1104" s="22"/>
    </row>
    <row r="1105" spans="1:36" x14ac:dyDescent="0.25">
      <c r="A1105" s="22" t="s">
        <v>3069</v>
      </c>
      <c r="B1105" s="22">
        <v>0</v>
      </c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2"/>
      <c r="T1105" s="22"/>
      <c r="U1105" s="22"/>
      <c r="V1105" s="22"/>
      <c r="W1105" s="22"/>
      <c r="X1105" s="22"/>
      <c r="Y1105" s="22"/>
      <c r="Z1105" s="22"/>
      <c r="AA1105" s="22"/>
      <c r="AB1105" s="22"/>
      <c r="AC1105" s="22"/>
      <c r="AD1105" s="22"/>
      <c r="AE1105" s="22"/>
      <c r="AF1105" s="22"/>
      <c r="AG1105" s="22"/>
      <c r="AH1105" s="22"/>
      <c r="AI1105" s="22"/>
      <c r="AJ1105" s="22"/>
    </row>
    <row r="1106" spans="1:36" x14ac:dyDescent="0.25">
      <c r="A1106" s="22" t="s">
        <v>3070</v>
      </c>
      <c r="B1106" s="22">
        <v>0</v>
      </c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  <c r="X1106" s="22"/>
      <c r="Y1106" s="22"/>
      <c r="Z1106" s="22"/>
      <c r="AA1106" s="22"/>
      <c r="AB1106" s="22"/>
      <c r="AC1106" s="22"/>
      <c r="AD1106" s="22"/>
      <c r="AE1106" s="22"/>
      <c r="AF1106" s="22"/>
      <c r="AG1106" s="22"/>
      <c r="AH1106" s="22"/>
      <c r="AI1106" s="22"/>
      <c r="AJ1106" s="22"/>
    </row>
    <row r="1107" spans="1:36" x14ac:dyDescent="0.25">
      <c r="A1107" s="22" t="s">
        <v>3071</v>
      </c>
      <c r="B1107" s="22">
        <v>0</v>
      </c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  <c r="AB1107" s="22"/>
      <c r="AC1107" s="22"/>
      <c r="AD1107" s="22"/>
      <c r="AE1107" s="22"/>
      <c r="AF1107" s="22"/>
      <c r="AG1107" s="22"/>
      <c r="AH1107" s="22"/>
      <c r="AI1107" s="22"/>
      <c r="AJ1107" s="22"/>
    </row>
    <row r="1108" spans="1:36" x14ac:dyDescent="0.25">
      <c r="A1108" s="22" t="s">
        <v>3072</v>
      </c>
      <c r="B1108" s="22">
        <v>0</v>
      </c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  <c r="X1108" s="22"/>
      <c r="Y1108" s="22"/>
      <c r="Z1108" s="22"/>
      <c r="AA1108" s="22"/>
      <c r="AB1108" s="22"/>
      <c r="AC1108" s="22"/>
      <c r="AD1108" s="22"/>
      <c r="AE1108" s="22"/>
      <c r="AF1108" s="22"/>
      <c r="AG1108" s="22"/>
      <c r="AH1108" s="22"/>
      <c r="AI1108" s="22"/>
      <c r="AJ1108" s="22"/>
    </row>
    <row r="1109" spans="1:36" x14ac:dyDescent="0.25">
      <c r="A1109" s="22" t="s">
        <v>3073</v>
      </c>
      <c r="B1109" s="22">
        <v>0</v>
      </c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2"/>
      <c r="T1109" s="22"/>
      <c r="U1109" s="22"/>
      <c r="V1109" s="22"/>
      <c r="W1109" s="22"/>
      <c r="X1109" s="22"/>
      <c r="Y1109" s="22"/>
      <c r="Z1109" s="22"/>
      <c r="AA1109" s="22"/>
      <c r="AB1109" s="22"/>
      <c r="AC1109" s="22"/>
      <c r="AD1109" s="22"/>
      <c r="AE1109" s="22"/>
      <c r="AF1109" s="22"/>
      <c r="AG1109" s="22"/>
      <c r="AH1109" s="22"/>
      <c r="AI1109" s="22"/>
      <c r="AJ1109" s="22"/>
    </row>
    <row r="1110" spans="1:36" x14ac:dyDescent="0.25">
      <c r="A1110" s="22" t="s">
        <v>2002</v>
      </c>
      <c r="B1110" s="22">
        <v>130</v>
      </c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  <c r="X1110" s="22"/>
      <c r="Y1110" s="22"/>
      <c r="Z1110" s="22"/>
      <c r="AA1110" s="22"/>
      <c r="AB1110" s="22"/>
      <c r="AC1110" s="22"/>
      <c r="AD1110" s="22"/>
      <c r="AE1110" s="22"/>
      <c r="AF1110" s="22"/>
      <c r="AG1110" s="22"/>
      <c r="AH1110" s="22"/>
      <c r="AI1110" s="22"/>
      <c r="AJ1110" s="22"/>
    </row>
    <row r="1111" spans="1:36" x14ac:dyDescent="0.25">
      <c r="A1111" s="22" t="s">
        <v>3074</v>
      </c>
      <c r="B1111" s="22">
        <v>0</v>
      </c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22"/>
      <c r="Z1111" s="22"/>
      <c r="AA1111" s="22"/>
      <c r="AB1111" s="22"/>
      <c r="AC1111" s="22"/>
      <c r="AD1111" s="22"/>
      <c r="AE1111" s="22"/>
      <c r="AF1111" s="22"/>
      <c r="AG1111" s="22"/>
      <c r="AH1111" s="22"/>
      <c r="AI1111" s="22"/>
      <c r="AJ1111" s="22"/>
    </row>
    <row r="1112" spans="1:36" x14ac:dyDescent="0.25">
      <c r="A1112" s="22" t="s">
        <v>3075</v>
      </c>
      <c r="B1112" s="22">
        <v>0</v>
      </c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  <c r="X1112" s="22"/>
      <c r="Y1112" s="22"/>
      <c r="Z1112" s="22"/>
      <c r="AA1112" s="22"/>
      <c r="AB1112" s="22"/>
      <c r="AC1112" s="22"/>
      <c r="AD1112" s="22"/>
      <c r="AE1112" s="22"/>
      <c r="AF1112" s="22"/>
      <c r="AG1112" s="22"/>
      <c r="AH1112" s="22"/>
      <c r="AI1112" s="22"/>
      <c r="AJ1112" s="22"/>
    </row>
    <row r="1113" spans="1:36" x14ac:dyDescent="0.25">
      <c r="A1113" s="22" t="s">
        <v>3076</v>
      </c>
      <c r="B1113" s="22">
        <v>0</v>
      </c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22"/>
      <c r="Z1113" s="22"/>
      <c r="AA1113" s="22"/>
      <c r="AB1113" s="22"/>
      <c r="AC1113" s="22"/>
      <c r="AD1113" s="22"/>
      <c r="AE1113" s="22"/>
      <c r="AF1113" s="22"/>
      <c r="AG1113" s="22"/>
      <c r="AH1113" s="22"/>
      <c r="AI1113" s="22"/>
      <c r="AJ1113" s="22"/>
    </row>
    <row r="1114" spans="1:36" x14ac:dyDescent="0.25">
      <c r="A1114" s="22" t="s">
        <v>3077</v>
      </c>
      <c r="B1114" s="22">
        <v>1</v>
      </c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  <c r="X1114" s="22"/>
      <c r="Y1114" s="22"/>
      <c r="Z1114" s="22"/>
      <c r="AA1114" s="22"/>
      <c r="AB1114" s="22"/>
      <c r="AC1114" s="22"/>
      <c r="AD1114" s="22"/>
      <c r="AE1114" s="22"/>
      <c r="AF1114" s="22"/>
      <c r="AG1114" s="22"/>
      <c r="AH1114" s="22"/>
      <c r="AI1114" s="22"/>
      <c r="AJ1114" s="22"/>
    </row>
    <row r="1115" spans="1:36" x14ac:dyDescent="0.25">
      <c r="A1115" s="22" t="s">
        <v>3078</v>
      </c>
      <c r="B1115" s="22">
        <v>0</v>
      </c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22"/>
      <c r="Z1115" s="22"/>
      <c r="AA1115" s="22"/>
      <c r="AB1115" s="22"/>
      <c r="AC1115" s="22"/>
      <c r="AD1115" s="22"/>
      <c r="AE1115" s="22"/>
      <c r="AF1115" s="22"/>
      <c r="AG1115" s="22"/>
      <c r="AH1115" s="22"/>
      <c r="AI1115" s="22"/>
      <c r="AJ1115" s="22"/>
    </row>
    <row r="1116" spans="1:36" x14ac:dyDescent="0.25">
      <c r="A1116" s="22" t="s">
        <v>3079</v>
      </c>
      <c r="B1116" s="22">
        <v>0</v>
      </c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  <c r="X1116" s="22"/>
      <c r="Y1116" s="22"/>
      <c r="Z1116" s="22"/>
      <c r="AA1116" s="22"/>
      <c r="AB1116" s="22"/>
      <c r="AC1116" s="22"/>
      <c r="AD1116" s="22"/>
      <c r="AE1116" s="22"/>
      <c r="AF1116" s="22"/>
      <c r="AG1116" s="22"/>
      <c r="AH1116" s="22"/>
      <c r="AI1116" s="22"/>
      <c r="AJ1116" s="22"/>
    </row>
    <row r="1117" spans="1:36" x14ac:dyDescent="0.25">
      <c r="A1117" s="22" t="s">
        <v>3080</v>
      </c>
      <c r="B1117" s="22">
        <v>0</v>
      </c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22"/>
      <c r="Z1117" s="22"/>
      <c r="AA1117" s="22"/>
      <c r="AB1117" s="22"/>
      <c r="AC1117" s="22"/>
      <c r="AD1117" s="22"/>
      <c r="AE1117" s="22"/>
      <c r="AF1117" s="22"/>
      <c r="AG1117" s="22"/>
      <c r="AH1117" s="22"/>
      <c r="AI1117" s="22"/>
      <c r="AJ1117" s="22"/>
    </row>
    <row r="1118" spans="1:36" x14ac:dyDescent="0.25">
      <c r="A1118" s="22" t="s">
        <v>2003</v>
      </c>
      <c r="B1118" s="22">
        <v>0</v>
      </c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  <c r="X1118" s="22"/>
      <c r="Y1118" s="22"/>
      <c r="Z1118" s="22"/>
      <c r="AA1118" s="22"/>
      <c r="AB1118" s="22"/>
      <c r="AC1118" s="22"/>
      <c r="AD1118" s="22"/>
      <c r="AE1118" s="22"/>
      <c r="AF1118" s="22"/>
      <c r="AG1118" s="22"/>
      <c r="AH1118" s="22"/>
      <c r="AI1118" s="22"/>
      <c r="AJ1118" s="22"/>
    </row>
    <row r="1119" spans="1:36" x14ac:dyDescent="0.25">
      <c r="A1119" s="22" t="s">
        <v>3081</v>
      </c>
      <c r="B1119" s="22">
        <v>0</v>
      </c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22"/>
      <c r="Z1119" s="22"/>
      <c r="AA1119" s="22"/>
      <c r="AB1119" s="22"/>
      <c r="AC1119" s="22"/>
      <c r="AD1119" s="22"/>
      <c r="AE1119" s="22"/>
      <c r="AF1119" s="22"/>
      <c r="AG1119" s="22"/>
      <c r="AH1119" s="22"/>
      <c r="AI1119" s="22"/>
      <c r="AJ1119" s="22"/>
    </row>
    <row r="1120" spans="1:36" x14ac:dyDescent="0.25">
      <c r="A1120" s="22" t="s">
        <v>3082</v>
      </c>
      <c r="B1120" s="22">
        <v>0</v>
      </c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  <c r="X1120" s="22"/>
      <c r="Y1120" s="22"/>
      <c r="Z1120" s="22"/>
      <c r="AA1120" s="22"/>
      <c r="AB1120" s="22"/>
      <c r="AC1120" s="22"/>
      <c r="AD1120" s="22"/>
      <c r="AE1120" s="22"/>
      <c r="AF1120" s="22"/>
      <c r="AG1120" s="22"/>
      <c r="AH1120" s="22"/>
      <c r="AI1120" s="22"/>
      <c r="AJ1120" s="22"/>
    </row>
    <row r="1121" spans="1:36" x14ac:dyDescent="0.25">
      <c r="A1121" s="22" t="s">
        <v>3083</v>
      </c>
      <c r="B1121" s="22">
        <v>0</v>
      </c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22"/>
      <c r="Z1121" s="22"/>
      <c r="AA1121" s="22"/>
      <c r="AB1121" s="22"/>
      <c r="AC1121" s="22"/>
      <c r="AD1121" s="22"/>
      <c r="AE1121" s="22"/>
      <c r="AF1121" s="22"/>
      <c r="AG1121" s="22"/>
      <c r="AH1121" s="22"/>
      <c r="AI1121" s="22"/>
      <c r="AJ1121" s="22"/>
    </row>
    <row r="1122" spans="1:36" x14ac:dyDescent="0.25">
      <c r="A1122" s="22" t="s">
        <v>3084</v>
      </c>
      <c r="B1122" s="22">
        <v>0</v>
      </c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  <c r="X1122" s="22"/>
      <c r="Y1122" s="22"/>
      <c r="Z1122" s="22"/>
      <c r="AA1122" s="22"/>
      <c r="AB1122" s="22"/>
      <c r="AC1122" s="22"/>
      <c r="AD1122" s="22"/>
      <c r="AE1122" s="22"/>
      <c r="AF1122" s="22"/>
      <c r="AG1122" s="22"/>
      <c r="AH1122" s="22"/>
      <c r="AI1122" s="22"/>
      <c r="AJ1122" s="22"/>
    </row>
    <row r="1123" spans="1:36" x14ac:dyDescent="0.25">
      <c r="A1123" s="22" t="s">
        <v>3085</v>
      </c>
      <c r="B1123" s="22">
        <v>0</v>
      </c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22"/>
      <c r="Z1123" s="22"/>
      <c r="AA1123" s="22"/>
      <c r="AB1123" s="22"/>
      <c r="AC1123" s="22"/>
      <c r="AD1123" s="22"/>
      <c r="AE1123" s="22"/>
      <c r="AF1123" s="22"/>
      <c r="AG1123" s="22"/>
      <c r="AH1123" s="22"/>
      <c r="AI1123" s="22"/>
      <c r="AJ1123" s="22"/>
    </row>
    <row r="1124" spans="1:36" x14ac:dyDescent="0.25">
      <c r="A1124" s="22" t="s">
        <v>3086</v>
      </c>
      <c r="B1124" s="22">
        <v>0</v>
      </c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  <c r="X1124" s="22"/>
      <c r="Y1124" s="22"/>
      <c r="Z1124" s="22"/>
      <c r="AA1124" s="22"/>
      <c r="AB1124" s="22"/>
      <c r="AC1124" s="22"/>
      <c r="AD1124" s="22"/>
      <c r="AE1124" s="22"/>
      <c r="AF1124" s="22"/>
      <c r="AG1124" s="22"/>
      <c r="AH1124" s="22"/>
      <c r="AI1124" s="22"/>
      <c r="AJ1124" s="22"/>
    </row>
    <row r="1125" spans="1:36" x14ac:dyDescent="0.25">
      <c r="A1125" s="22" t="s">
        <v>3087</v>
      </c>
      <c r="B1125" s="22">
        <v>0</v>
      </c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22"/>
      <c r="Z1125" s="22"/>
      <c r="AA1125" s="22"/>
      <c r="AB1125" s="22"/>
      <c r="AC1125" s="22"/>
      <c r="AD1125" s="22"/>
      <c r="AE1125" s="22"/>
      <c r="AF1125" s="22"/>
      <c r="AG1125" s="22"/>
      <c r="AH1125" s="22"/>
      <c r="AI1125" s="22"/>
      <c r="AJ1125" s="22"/>
    </row>
    <row r="1126" spans="1:36" x14ac:dyDescent="0.25">
      <c r="A1126" s="22" t="s">
        <v>2004</v>
      </c>
      <c r="B1126" s="22">
        <v>0</v>
      </c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  <c r="X1126" s="22"/>
      <c r="Y1126" s="22"/>
      <c r="Z1126" s="22"/>
      <c r="AA1126" s="22"/>
      <c r="AB1126" s="22"/>
      <c r="AC1126" s="22"/>
      <c r="AD1126" s="22"/>
      <c r="AE1126" s="22"/>
      <c r="AF1126" s="22"/>
      <c r="AG1126" s="22"/>
      <c r="AH1126" s="22"/>
      <c r="AI1126" s="22"/>
      <c r="AJ1126" s="22"/>
    </row>
    <row r="1127" spans="1:36" x14ac:dyDescent="0.25">
      <c r="A1127" s="22" t="s">
        <v>3088</v>
      </c>
      <c r="B1127" s="22">
        <v>0</v>
      </c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22"/>
      <c r="Z1127" s="22"/>
      <c r="AA1127" s="22"/>
      <c r="AB1127" s="22"/>
      <c r="AC1127" s="22"/>
      <c r="AD1127" s="22"/>
      <c r="AE1127" s="22"/>
      <c r="AF1127" s="22"/>
      <c r="AG1127" s="22"/>
      <c r="AH1127" s="22"/>
      <c r="AI1127" s="22"/>
      <c r="AJ1127" s="22"/>
    </row>
    <row r="1128" spans="1:36" x14ac:dyDescent="0.25">
      <c r="A1128" s="22" t="s">
        <v>3089</v>
      </c>
      <c r="B1128" s="22">
        <v>0</v>
      </c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  <c r="X1128" s="22"/>
      <c r="Y1128" s="22"/>
      <c r="Z1128" s="22"/>
      <c r="AA1128" s="22"/>
      <c r="AB1128" s="22"/>
      <c r="AC1128" s="22"/>
      <c r="AD1128" s="22"/>
      <c r="AE1128" s="22"/>
      <c r="AF1128" s="22"/>
      <c r="AG1128" s="22"/>
      <c r="AH1128" s="22"/>
      <c r="AI1128" s="22"/>
      <c r="AJ1128" s="22"/>
    </row>
    <row r="1129" spans="1:36" x14ac:dyDescent="0.25">
      <c r="A1129" s="22" t="s">
        <v>3090</v>
      </c>
      <c r="B1129" s="22">
        <v>0</v>
      </c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22"/>
      <c r="Z1129" s="22"/>
      <c r="AA1129" s="22"/>
      <c r="AB1129" s="22"/>
      <c r="AC1129" s="22"/>
      <c r="AD1129" s="22"/>
      <c r="AE1129" s="22"/>
      <c r="AF1129" s="22"/>
      <c r="AG1129" s="22"/>
      <c r="AH1129" s="22"/>
      <c r="AI1129" s="22"/>
      <c r="AJ1129" s="22"/>
    </row>
    <row r="1130" spans="1:36" x14ac:dyDescent="0.25">
      <c r="A1130" s="22" t="s">
        <v>3091</v>
      </c>
      <c r="B1130" s="22">
        <v>0</v>
      </c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  <c r="X1130" s="22"/>
      <c r="Y1130" s="22"/>
      <c r="Z1130" s="22"/>
      <c r="AA1130" s="22"/>
      <c r="AB1130" s="22"/>
      <c r="AC1130" s="22"/>
      <c r="AD1130" s="22"/>
      <c r="AE1130" s="22"/>
      <c r="AF1130" s="22"/>
      <c r="AG1130" s="22"/>
      <c r="AH1130" s="22"/>
      <c r="AI1130" s="22"/>
      <c r="AJ1130" s="22"/>
    </row>
    <row r="1131" spans="1:36" x14ac:dyDescent="0.25">
      <c r="A1131" s="22" t="s">
        <v>3092</v>
      </c>
      <c r="B1131" s="22">
        <v>0</v>
      </c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22"/>
      <c r="Z1131" s="22"/>
      <c r="AA1131" s="22"/>
      <c r="AB1131" s="22"/>
      <c r="AC1131" s="22"/>
      <c r="AD1131" s="22"/>
      <c r="AE1131" s="22"/>
      <c r="AF1131" s="22"/>
      <c r="AG1131" s="22"/>
      <c r="AH1131" s="22"/>
      <c r="AI1131" s="22"/>
      <c r="AJ1131" s="22"/>
    </row>
    <row r="1132" spans="1:36" x14ac:dyDescent="0.25">
      <c r="A1132" s="22" t="s">
        <v>3093</v>
      </c>
      <c r="B1132" s="22">
        <v>0</v>
      </c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  <c r="X1132" s="22"/>
      <c r="Y1132" s="22"/>
      <c r="Z1132" s="22"/>
      <c r="AA1132" s="22"/>
      <c r="AB1132" s="22"/>
      <c r="AC1132" s="22"/>
      <c r="AD1132" s="22"/>
      <c r="AE1132" s="22"/>
      <c r="AF1132" s="22"/>
      <c r="AG1132" s="22"/>
      <c r="AH1132" s="22"/>
      <c r="AI1132" s="22"/>
      <c r="AJ1132" s="22"/>
    </row>
    <row r="1133" spans="1:36" x14ac:dyDescent="0.25">
      <c r="A1133" s="22" t="s">
        <v>3094</v>
      </c>
      <c r="B1133" s="22">
        <v>0</v>
      </c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22"/>
      <c r="Z1133" s="22"/>
      <c r="AA1133" s="22"/>
      <c r="AB1133" s="22"/>
      <c r="AC1133" s="22"/>
      <c r="AD1133" s="22"/>
      <c r="AE1133" s="22"/>
      <c r="AF1133" s="22"/>
      <c r="AG1133" s="22"/>
      <c r="AH1133" s="22"/>
      <c r="AI1133" s="22"/>
      <c r="AJ1133" s="22"/>
    </row>
    <row r="1134" spans="1:36" x14ac:dyDescent="0.25">
      <c r="A1134" s="22" t="s">
        <v>2005</v>
      </c>
      <c r="B1134" s="22">
        <v>0</v>
      </c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  <c r="X1134" s="22"/>
      <c r="Y1134" s="22"/>
      <c r="Z1134" s="22"/>
      <c r="AA1134" s="22"/>
      <c r="AB1134" s="22"/>
      <c r="AC1134" s="22"/>
      <c r="AD1134" s="22"/>
      <c r="AE1134" s="22"/>
      <c r="AF1134" s="22"/>
      <c r="AG1134" s="22"/>
      <c r="AH1134" s="22"/>
      <c r="AI1134" s="22"/>
      <c r="AJ1134" s="22"/>
    </row>
    <row r="1135" spans="1:36" x14ac:dyDescent="0.25">
      <c r="A1135" s="22" t="s">
        <v>4778</v>
      </c>
      <c r="B1135" s="22">
        <v>0</v>
      </c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22"/>
      <c r="Z1135" s="22"/>
      <c r="AA1135" s="22"/>
      <c r="AB1135" s="22"/>
      <c r="AC1135" s="22"/>
      <c r="AD1135" s="22"/>
      <c r="AE1135" s="22"/>
      <c r="AF1135" s="22"/>
      <c r="AG1135" s="22"/>
      <c r="AH1135" s="22"/>
      <c r="AI1135" s="22"/>
      <c r="AJ1135" s="22"/>
    </row>
    <row r="1136" spans="1:36" x14ac:dyDescent="0.25">
      <c r="A1136" s="22" t="s">
        <v>4779</v>
      </c>
      <c r="B1136" s="22">
        <v>0</v>
      </c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  <c r="X1136" s="22"/>
      <c r="Y1136" s="22"/>
      <c r="Z1136" s="22"/>
      <c r="AA1136" s="22"/>
      <c r="AB1136" s="22"/>
      <c r="AC1136" s="22"/>
      <c r="AD1136" s="22"/>
      <c r="AE1136" s="22"/>
      <c r="AF1136" s="22"/>
      <c r="AG1136" s="22"/>
      <c r="AH1136" s="22"/>
      <c r="AI1136" s="22"/>
      <c r="AJ1136" s="22"/>
    </row>
    <row r="1137" spans="1:36" x14ac:dyDescent="0.25">
      <c r="A1137" s="22" t="s">
        <v>4780</v>
      </c>
      <c r="B1137" s="22">
        <v>0</v>
      </c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22"/>
      <c r="Z1137" s="22"/>
      <c r="AA1137" s="22"/>
      <c r="AB1137" s="22"/>
      <c r="AC1137" s="22"/>
      <c r="AD1137" s="22"/>
      <c r="AE1137" s="22"/>
      <c r="AF1137" s="22"/>
      <c r="AG1137" s="22"/>
      <c r="AH1137" s="22"/>
      <c r="AI1137" s="22"/>
      <c r="AJ1137" s="22"/>
    </row>
    <row r="1138" spans="1:36" x14ac:dyDescent="0.25">
      <c r="A1138" s="22" t="s">
        <v>4781</v>
      </c>
      <c r="B1138" s="22">
        <v>0</v>
      </c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  <c r="X1138" s="22"/>
      <c r="Y1138" s="22"/>
      <c r="Z1138" s="22"/>
      <c r="AA1138" s="22"/>
      <c r="AB1138" s="22"/>
      <c r="AC1138" s="22"/>
      <c r="AD1138" s="22"/>
      <c r="AE1138" s="22"/>
      <c r="AF1138" s="22"/>
      <c r="AG1138" s="22"/>
      <c r="AH1138" s="22"/>
      <c r="AI1138" s="22"/>
      <c r="AJ1138" s="22"/>
    </row>
    <row r="1139" spans="1:36" x14ac:dyDescent="0.25">
      <c r="A1139" s="22" t="s">
        <v>4782</v>
      </c>
      <c r="B1139" s="22">
        <v>0</v>
      </c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22"/>
      <c r="Z1139" s="22"/>
      <c r="AA1139" s="22"/>
      <c r="AB1139" s="22"/>
      <c r="AC1139" s="22"/>
      <c r="AD1139" s="22"/>
      <c r="AE1139" s="22"/>
      <c r="AF1139" s="22"/>
      <c r="AG1139" s="22"/>
      <c r="AH1139" s="22"/>
      <c r="AI1139" s="22"/>
      <c r="AJ1139" s="22"/>
    </row>
    <row r="1140" spans="1:36" x14ac:dyDescent="0.25">
      <c r="A1140" s="22" t="s">
        <v>4783</v>
      </c>
      <c r="B1140" s="22">
        <v>0</v>
      </c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  <c r="X1140" s="22"/>
      <c r="Y1140" s="22"/>
      <c r="Z1140" s="22"/>
      <c r="AA1140" s="22"/>
      <c r="AB1140" s="22"/>
      <c r="AC1140" s="22"/>
      <c r="AD1140" s="22"/>
      <c r="AE1140" s="22"/>
      <c r="AF1140" s="22"/>
      <c r="AG1140" s="22"/>
      <c r="AH1140" s="22"/>
      <c r="AI1140" s="22"/>
      <c r="AJ1140" s="22"/>
    </row>
    <row r="1141" spans="1:36" x14ac:dyDescent="0.25">
      <c r="A1141" s="22" t="s">
        <v>4784</v>
      </c>
      <c r="B1141" s="22">
        <v>0</v>
      </c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22"/>
      <c r="Z1141" s="22"/>
      <c r="AA1141" s="22"/>
      <c r="AB1141" s="22"/>
      <c r="AC1141" s="22"/>
      <c r="AD1141" s="22"/>
      <c r="AE1141" s="22"/>
      <c r="AF1141" s="22"/>
      <c r="AG1141" s="22"/>
      <c r="AH1141" s="22"/>
      <c r="AI1141" s="22"/>
      <c r="AJ1141" s="22"/>
    </row>
    <row r="1142" spans="1:36" x14ac:dyDescent="0.25">
      <c r="A1142" s="22" t="s">
        <v>2006</v>
      </c>
      <c r="B1142" s="22">
        <v>0</v>
      </c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  <c r="X1142" s="22"/>
      <c r="Y1142" s="22"/>
      <c r="Z1142" s="22"/>
      <c r="AA1142" s="22"/>
      <c r="AB1142" s="22"/>
      <c r="AC1142" s="22"/>
      <c r="AD1142" s="22"/>
      <c r="AE1142" s="22"/>
      <c r="AF1142" s="22"/>
      <c r="AG1142" s="22"/>
      <c r="AH1142" s="22"/>
      <c r="AI1142" s="22"/>
      <c r="AJ1142" s="22"/>
    </row>
    <row r="1143" spans="1:36" x14ac:dyDescent="0.25">
      <c r="A1143" s="22" t="s">
        <v>3095</v>
      </c>
      <c r="B1143" s="22">
        <v>0</v>
      </c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22"/>
      <c r="Z1143" s="22"/>
      <c r="AA1143" s="22"/>
      <c r="AB1143" s="22"/>
      <c r="AC1143" s="22"/>
      <c r="AD1143" s="22"/>
      <c r="AE1143" s="22"/>
      <c r="AF1143" s="22"/>
      <c r="AG1143" s="22"/>
      <c r="AH1143" s="22"/>
      <c r="AI1143" s="22"/>
      <c r="AJ1143" s="22"/>
    </row>
    <row r="1144" spans="1:36" x14ac:dyDescent="0.25">
      <c r="A1144" s="22" t="s">
        <v>3096</v>
      </c>
      <c r="B1144" s="22">
        <v>0</v>
      </c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2"/>
      <c r="T1144" s="22"/>
      <c r="U1144" s="22"/>
      <c r="V1144" s="22"/>
      <c r="W1144" s="22"/>
      <c r="X1144" s="22"/>
      <c r="Y1144" s="22"/>
      <c r="Z1144" s="22"/>
      <c r="AA1144" s="22"/>
      <c r="AB1144" s="22"/>
      <c r="AC1144" s="22"/>
      <c r="AD1144" s="22"/>
      <c r="AE1144" s="22"/>
      <c r="AF1144" s="22"/>
      <c r="AG1144" s="22"/>
      <c r="AH1144" s="22"/>
      <c r="AI1144" s="22"/>
      <c r="AJ1144" s="22"/>
    </row>
    <row r="1145" spans="1:36" x14ac:dyDescent="0.25">
      <c r="A1145" s="22" t="s">
        <v>3097</v>
      </c>
      <c r="B1145" s="22">
        <v>0</v>
      </c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22"/>
      <c r="Z1145" s="22"/>
      <c r="AA1145" s="22"/>
      <c r="AB1145" s="22"/>
      <c r="AC1145" s="22"/>
      <c r="AD1145" s="22"/>
      <c r="AE1145" s="22"/>
      <c r="AF1145" s="22"/>
      <c r="AG1145" s="22"/>
      <c r="AH1145" s="22"/>
      <c r="AI1145" s="22"/>
      <c r="AJ1145" s="22"/>
    </row>
    <row r="1146" spans="1:36" x14ac:dyDescent="0.25">
      <c r="A1146" s="22" t="s">
        <v>3098</v>
      </c>
      <c r="B1146" s="22">
        <v>0</v>
      </c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2"/>
      <c r="T1146" s="22"/>
      <c r="U1146" s="22"/>
      <c r="V1146" s="22"/>
      <c r="W1146" s="22"/>
      <c r="X1146" s="22"/>
      <c r="Y1146" s="22"/>
      <c r="Z1146" s="22"/>
      <c r="AA1146" s="22"/>
      <c r="AB1146" s="22"/>
      <c r="AC1146" s="22"/>
      <c r="AD1146" s="22"/>
      <c r="AE1146" s="22"/>
      <c r="AF1146" s="22"/>
      <c r="AG1146" s="22"/>
      <c r="AH1146" s="22"/>
      <c r="AI1146" s="22"/>
      <c r="AJ1146" s="22"/>
    </row>
    <row r="1147" spans="1:36" x14ac:dyDescent="0.25">
      <c r="A1147" s="22" t="s">
        <v>3099</v>
      </c>
      <c r="B1147" s="22">
        <v>0</v>
      </c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22"/>
      <c r="Z1147" s="22"/>
      <c r="AA1147" s="22"/>
      <c r="AB1147" s="22"/>
      <c r="AC1147" s="22"/>
      <c r="AD1147" s="22"/>
      <c r="AE1147" s="22"/>
      <c r="AF1147" s="22"/>
      <c r="AG1147" s="22"/>
      <c r="AH1147" s="22"/>
      <c r="AI1147" s="22"/>
      <c r="AJ1147" s="22"/>
    </row>
    <row r="1148" spans="1:36" x14ac:dyDescent="0.25">
      <c r="A1148" s="22" t="s">
        <v>3100</v>
      </c>
      <c r="B1148" s="22">
        <v>0</v>
      </c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2"/>
      <c r="T1148" s="22"/>
      <c r="U1148" s="22"/>
      <c r="V1148" s="22"/>
      <c r="W1148" s="22"/>
      <c r="X1148" s="22"/>
      <c r="Y1148" s="22"/>
      <c r="Z1148" s="22"/>
      <c r="AA1148" s="22"/>
      <c r="AB1148" s="22"/>
      <c r="AC1148" s="22"/>
      <c r="AD1148" s="22"/>
      <c r="AE1148" s="22"/>
      <c r="AF1148" s="22"/>
      <c r="AG1148" s="22"/>
      <c r="AH1148" s="22"/>
      <c r="AI1148" s="22"/>
      <c r="AJ1148" s="22"/>
    </row>
    <row r="1149" spans="1:36" x14ac:dyDescent="0.25">
      <c r="A1149" s="22" t="s">
        <v>3101</v>
      </c>
      <c r="B1149" s="22">
        <v>0</v>
      </c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22"/>
      <c r="Z1149" s="22"/>
      <c r="AA1149" s="22"/>
      <c r="AB1149" s="22"/>
      <c r="AC1149" s="22"/>
      <c r="AD1149" s="22"/>
      <c r="AE1149" s="22"/>
      <c r="AF1149" s="22"/>
      <c r="AG1149" s="22"/>
      <c r="AH1149" s="22"/>
      <c r="AI1149" s="22"/>
      <c r="AJ1149" s="22"/>
    </row>
    <row r="1150" spans="1:36" x14ac:dyDescent="0.25">
      <c r="A1150" s="22" t="s">
        <v>2007</v>
      </c>
      <c r="B1150" s="22">
        <v>0</v>
      </c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2"/>
      <c r="T1150" s="22"/>
      <c r="U1150" s="22"/>
      <c r="V1150" s="22"/>
      <c r="W1150" s="22"/>
      <c r="X1150" s="22"/>
      <c r="Y1150" s="22"/>
      <c r="Z1150" s="22"/>
      <c r="AA1150" s="22"/>
      <c r="AB1150" s="22"/>
      <c r="AC1150" s="22"/>
      <c r="AD1150" s="22"/>
      <c r="AE1150" s="22"/>
      <c r="AF1150" s="22"/>
      <c r="AG1150" s="22"/>
      <c r="AH1150" s="22"/>
      <c r="AI1150" s="22"/>
      <c r="AJ1150" s="22"/>
    </row>
    <row r="1151" spans="1:36" x14ac:dyDescent="0.25">
      <c r="A1151" s="22" t="s">
        <v>3102</v>
      </c>
      <c r="B1151" s="22">
        <v>0</v>
      </c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22"/>
      <c r="Z1151" s="22"/>
      <c r="AA1151" s="22"/>
      <c r="AB1151" s="22"/>
      <c r="AC1151" s="22"/>
      <c r="AD1151" s="22"/>
      <c r="AE1151" s="22"/>
      <c r="AF1151" s="22"/>
      <c r="AG1151" s="22"/>
      <c r="AH1151" s="22"/>
      <c r="AI1151" s="22"/>
      <c r="AJ1151" s="22"/>
    </row>
    <row r="1152" spans="1:36" x14ac:dyDescent="0.25">
      <c r="A1152" s="22" t="s">
        <v>3103</v>
      </c>
      <c r="B1152" s="22">
        <v>0</v>
      </c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2"/>
      <c r="T1152" s="22"/>
      <c r="U1152" s="22"/>
      <c r="V1152" s="22"/>
      <c r="W1152" s="22"/>
      <c r="X1152" s="22"/>
      <c r="Y1152" s="22"/>
      <c r="Z1152" s="22"/>
      <c r="AA1152" s="22"/>
      <c r="AB1152" s="22"/>
      <c r="AC1152" s="22"/>
      <c r="AD1152" s="22"/>
      <c r="AE1152" s="22"/>
      <c r="AF1152" s="22"/>
      <c r="AG1152" s="22"/>
      <c r="AH1152" s="22"/>
      <c r="AI1152" s="22"/>
      <c r="AJ1152" s="22"/>
    </row>
    <row r="1153" spans="1:36" x14ac:dyDescent="0.25">
      <c r="A1153" s="22" t="s">
        <v>3104</v>
      </c>
      <c r="B1153" s="22">
        <v>0</v>
      </c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22"/>
      <c r="Z1153" s="22"/>
      <c r="AA1153" s="22"/>
      <c r="AB1153" s="22"/>
      <c r="AC1153" s="22"/>
      <c r="AD1153" s="22"/>
      <c r="AE1153" s="22"/>
      <c r="AF1153" s="22"/>
      <c r="AG1153" s="22"/>
      <c r="AH1153" s="22"/>
      <c r="AI1153" s="22"/>
      <c r="AJ1153" s="22"/>
    </row>
    <row r="1154" spans="1:36" x14ac:dyDescent="0.25">
      <c r="A1154" s="22" t="s">
        <v>3105</v>
      </c>
      <c r="B1154" s="22">
        <v>0</v>
      </c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2"/>
      <c r="T1154" s="22"/>
      <c r="U1154" s="22"/>
      <c r="V1154" s="22"/>
      <c r="W1154" s="22"/>
      <c r="X1154" s="22"/>
      <c r="Y1154" s="22"/>
      <c r="Z1154" s="22"/>
      <c r="AA1154" s="22"/>
      <c r="AB1154" s="22"/>
      <c r="AC1154" s="22"/>
      <c r="AD1154" s="22"/>
      <c r="AE1154" s="22"/>
      <c r="AF1154" s="22"/>
      <c r="AG1154" s="22"/>
      <c r="AH1154" s="22"/>
      <c r="AI1154" s="22"/>
      <c r="AJ1154" s="22"/>
    </row>
    <row r="1155" spans="1:36" x14ac:dyDescent="0.25">
      <c r="A1155" s="22" t="s">
        <v>3106</v>
      </c>
      <c r="B1155" s="22">
        <v>0</v>
      </c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  <c r="AI1155" s="22"/>
      <c r="AJ1155" s="22"/>
    </row>
    <row r="1156" spans="1:36" x14ac:dyDescent="0.25">
      <c r="A1156" s="22" t="s">
        <v>3107</v>
      </c>
      <c r="B1156" s="22">
        <v>0</v>
      </c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2"/>
      <c r="T1156" s="22"/>
      <c r="U1156" s="22"/>
      <c r="V1156" s="22"/>
      <c r="W1156" s="22"/>
      <c r="X1156" s="22"/>
      <c r="Y1156" s="22"/>
      <c r="Z1156" s="22"/>
      <c r="AA1156" s="22"/>
      <c r="AB1156" s="22"/>
      <c r="AC1156" s="22"/>
      <c r="AD1156" s="22"/>
      <c r="AE1156" s="22"/>
      <c r="AF1156" s="22"/>
      <c r="AG1156" s="22"/>
      <c r="AH1156" s="22"/>
      <c r="AI1156" s="22"/>
      <c r="AJ1156" s="22"/>
    </row>
    <row r="1157" spans="1:36" x14ac:dyDescent="0.25">
      <c r="A1157" s="22" t="s">
        <v>3108</v>
      </c>
      <c r="B1157" s="22">
        <v>0</v>
      </c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22"/>
      <c r="Z1157" s="22"/>
      <c r="AA1157" s="22"/>
      <c r="AB1157" s="22"/>
      <c r="AC1157" s="22"/>
      <c r="AD1157" s="22"/>
      <c r="AE1157" s="22"/>
      <c r="AF1157" s="22"/>
      <c r="AG1157" s="22"/>
      <c r="AH1157" s="22"/>
      <c r="AI1157" s="22"/>
      <c r="AJ1157" s="22"/>
    </row>
    <row r="1158" spans="1:36" x14ac:dyDescent="0.25">
      <c r="A1158" s="22" t="s">
        <v>2008</v>
      </c>
      <c r="B1158" s="22">
        <v>0</v>
      </c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2"/>
      <c r="T1158" s="22"/>
      <c r="U1158" s="22"/>
      <c r="V1158" s="22"/>
      <c r="W1158" s="22"/>
      <c r="X1158" s="22"/>
      <c r="Y1158" s="22"/>
      <c r="Z1158" s="22"/>
      <c r="AA1158" s="22"/>
      <c r="AB1158" s="22"/>
      <c r="AC1158" s="22"/>
      <c r="AD1158" s="22"/>
      <c r="AE1158" s="22"/>
      <c r="AF1158" s="22"/>
      <c r="AG1158" s="22"/>
      <c r="AH1158" s="22"/>
      <c r="AI1158" s="22"/>
      <c r="AJ1158" s="22"/>
    </row>
    <row r="1159" spans="1:36" x14ac:dyDescent="0.25">
      <c r="A1159" s="22" t="s">
        <v>3109</v>
      </c>
      <c r="B1159" s="22">
        <v>0</v>
      </c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22"/>
      <c r="Z1159" s="22"/>
      <c r="AA1159" s="22"/>
      <c r="AB1159" s="22"/>
      <c r="AC1159" s="22"/>
      <c r="AD1159" s="22"/>
      <c r="AE1159" s="22"/>
      <c r="AF1159" s="22"/>
      <c r="AG1159" s="22"/>
      <c r="AH1159" s="22"/>
      <c r="AI1159" s="22"/>
      <c r="AJ1159" s="22"/>
    </row>
    <row r="1160" spans="1:36" x14ac:dyDescent="0.25">
      <c r="A1160" s="22" t="s">
        <v>3110</v>
      </c>
      <c r="B1160" s="22">
        <v>0</v>
      </c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2"/>
      <c r="T1160" s="22"/>
      <c r="U1160" s="22"/>
      <c r="V1160" s="22"/>
      <c r="W1160" s="22"/>
      <c r="X1160" s="22"/>
      <c r="Y1160" s="22"/>
      <c r="Z1160" s="22"/>
      <c r="AA1160" s="22"/>
      <c r="AB1160" s="22"/>
      <c r="AC1160" s="22"/>
      <c r="AD1160" s="22"/>
      <c r="AE1160" s="22"/>
      <c r="AF1160" s="22"/>
      <c r="AG1160" s="22"/>
      <c r="AH1160" s="22"/>
      <c r="AI1160" s="22"/>
      <c r="AJ1160" s="22"/>
    </row>
    <row r="1161" spans="1:36" x14ac:dyDescent="0.25">
      <c r="A1161" s="22" t="s">
        <v>3111</v>
      </c>
      <c r="B1161" s="22">
        <v>0</v>
      </c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22"/>
      <c r="Z1161" s="22"/>
      <c r="AA1161" s="22"/>
      <c r="AB1161" s="22"/>
      <c r="AC1161" s="22"/>
      <c r="AD1161" s="22"/>
      <c r="AE1161" s="22"/>
      <c r="AF1161" s="22"/>
      <c r="AG1161" s="22"/>
      <c r="AH1161" s="22"/>
      <c r="AI1161" s="22"/>
      <c r="AJ1161" s="22"/>
    </row>
    <row r="1162" spans="1:36" x14ac:dyDescent="0.25">
      <c r="A1162" s="22" t="s">
        <v>3112</v>
      </c>
      <c r="B1162" s="22">
        <v>0</v>
      </c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2"/>
      <c r="T1162" s="22"/>
      <c r="U1162" s="22"/>
      <c r="V1162" s="22"/>
      <c r="W1162" s="22"/>
      <c r="X1162" s="22"/>
      <c r="Y1162" s="22"/>
      <c r="Z1162" s="22"/>
      <c r="AA1162" s="22"/>
      <c r="AB1162" s="22"/>
      <c r="AC1162" s="22"/>
      <c r="AD1162" s="22"/>
      <c r="AE1162" s="22"/>
      <c r="AF1162" s="22"/>
      <c r="AG1162" s="22"/>
      <c r="AH1162" s="22"/>
      <c r="AI1162" s="22"/>
      <c r="AJ1162" s="22"/>
    </row>
    <row r="1163" spans="1:36" x14ac:dyDescent="0.25">
      <c r="A1163" s="22" t="s">
        <v>3113</v>
      </c>
      <c r="B1163" s="22">
        <v>0</v>
      </c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22"/>
      <c r="Z1163" s="22"/>
      <c r="AA1163" s="22"/>
      <c r="AB1163" s="22"/>
      <c r="AC1163" s="22"/>
      <c r="AD1163" s="22"/>
      <c r="AE1163" s="22"/>
      <c r="AF1163" s="22"/>
      <c r="AG1163" s="22"/>
      <c r="AH1163" s="22"/>
      <c r="AI1163" s="22"/>
      <c r="AJ1163" s="22"/>
    </row>
    <row r="1164" spans="1:36" x14ac:dyDescent="0.25">
      <c r="A1164" s="22" t="s">
        <v>3114</v>
      </c>
      <c r="B1164" s="22">
        <v>0</v>
      </c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Y1164" s="22"/>
      <c r="Z1164" s="22"/>
      <c r="AA1164" s="22"/>
      <c r="AB1164" s="22"/>
      <c r="AC1164" s="22"/>
      <c r="AD1164" s="22"/>
      <c r="AE1164" s="22"/>
      <c r="AF1164" s="22"/>
      <c r="AG1164" s="22"/>
      <c r="AH1164" s="22"/>
      <c r="AI1164" s="22"/>
      <c r="AJ1164" s="22"/>
    </row>
    <row r="1165" spans="1:36" x14ac:dyDescent="0.25">
      <c r="A1165" s="22" t="s">
        <v>3115</v>
      </c>
      <c r="B1165" s="22">
        <v>0</v>
      </c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22"/>
      <c r="Z1165" s="22"/>
      <c r="AA1165" s="22"/>
      <c r="AB1165" s="22"/>
      <c r="AC1165" s="22"/>
      <c r="AD1165" s="22"/>
      <c r="AE1165" s="22"/>
      <c r="AF1165" s="22"/>
      <c r="AG1165" s="22"/>
      <c r="AH1165" s="22"/>
      <c r="AI1165" s="22"/>
      <c r="AJ1165" s="22"/>
    </row>
    <row r="1166" spans="1:36" x14ac:dyDescent="0.25">
      <c r="A1166" s="22" t="s">
        <v>2009</v>
      </c>
      <c r="B1166" s="22">
        <v>0</v>
      </c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2"/>
      <c r="T1166" s="22"/>
      <c r="U1166" s="22"/>
      <c r="V1166" s="22"/>
      <c r="W1166" s="22"/>
      <c r="X1166" s="22"/>
      <c r="Y1166" s="22"/>
      <c r="Z1166" s="22"/>
      <c r="AA1166" s="22"/>
      <c r="AB1166" s="22"/>
      <c r="AC1166" s="22"/>
      <c r="AD1166" s="22"/>
      <c r="AE1166" s="22"/>
      <c r="AF1166" s="22"/>
      <c r="AG1166" s="22"/>
      <c r="AH1166" s="22"/>
      <c r="AI1166" s="22"/>
      <c r="AJ1166" s="22"/>
    </row>
    <row r="1167" spans="1:36" x14ac:dyDescent="0.25">
      <c r="A1167" s="22" t="s">
        <v>3116</v>
      </c>
      <c r="B1167" s="22">
        <v>0</v>
      </c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22"/>
      <c r="Z1167" s="22"/>
      <c r="AA1167" s="22"/>
      <c r="AB1167" s="22"/>
      <c r="AC1167" s="22"/>
      <c r="AD1167" s="22"/>
      <c r="AE1167" s="22"/>
      <c r="AF1167" s="22"/>
      <c r="AG1167" s="22"/>
      <c r="AH1167" s="22"/>
      <c r="AI1167" s="22"/>
      <c r="AJ1167" s="22"/>
    </row>
    <row r="1168" spans="1:36" x14ac:dyDescent="0.25">
      <c r="A1168" s="22" t="s">
        <v>3117</v>
      </c>
      <c r="B1168" s="22">
        <v>0</v>
      </c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2"/>
      <c r="T1168" s="22"/>
      <c r="U1168" s="22"/>
      <c r="V1168" s="22"/>
      <c r="W1168" s="22"/>
      <c r="X1168" s="22"/>
      <c r="Y1168" s="22"/>
      <c r="Z1168" s="22"/>
      <c r="AA1168" s="22"/>
      <c r="AB1168" s="22"/>
      <c r="AC1168" s="22"/>
      <c r="AD1168" s="22"/>
      <c r="AE1168" s="22"/>
      <c r="AF1168" s="22"/>
      <c r="AG1168" s="22"/>
      <c r="AH1168" s="22"/>
      <c r="AI1168" s="22"/>
      <c r="AJ1168" s="22"/>
    </row>
    <row r="1169" spans="1:36" x14ac:dyDescent="0.25">
      <c r="A1169" s="22" t="s">
        <v>3118</v>
      </c>
      <c r="B1169" s="22">
        <v>0</v>
      </c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22"/>
      <c r="Z1169" s="22"/>
      <c r="AA1169" s="22"/>
      <c r="AB1169" s="22"/>
      <c r="AC1169" s="22"/>
      <c r="AD1169" s="22"/>
      <c r="AE1169" s="22"/>
      <c r="AF1169" s="22"/>
      <c r="AG1169" s="22"/>
      <c r="AH1169" s="22"/>
      <c r="AI1169" s="22"/>
      <c r="AJ1169" s="22"/>
    </row>
    <row r="1170" spans="1:36" x14ac:dyDescent="0.25">
      <c r="A1170" s="22" t="s">
        <v>3119</v>
      </c>
      <c r="B1170" s="22">
        <v>0</v>
      </c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2"/>
      <c r="T1170" s="22"/>
      <c r="U1170" s="22"/>
      <c r="V1170" s="22"/>
      <c r="W1170" s="22"/>
      <c r="X1170" s="22"/>
      <c r="Y1170" s="22"/>
      <c r="Z1170" s="22"/>
      <c r="AA1170" s="22"/>
      <c r="AB1170" s="22"/>
      <c r="AC1170" s="22"/>
      <c r="AD1170" s="22"/>
      <c r="AE1170" s="22"/>
      <c r="AF1170" s="22"/>
      <c r="AG1170" s="22"/>
      <c r="AH1170" s="22"/>
      <c r="AI1170" s="22"/>
      <c r="AJ1170" s="22"/>
    </row>
    <row r="1171" spans="1:36" x14ac:dyDescent="0.25">
      <c r="A1171" s="22" t="s">
        <v>3120</v>
      </c>
      <c r="B1171" s="22">
        <v>0</v>
      </c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22"/>
      <c r="Z1171" s="22"/>
      <c r="AA1171" s="22"/>
      <c r="AB1171" s="22"/>
      <c r="AC1171" s="22"/>
      <c r="AD1171" s="22"/>
      <c r="AE1171" s="22"/>
      <c r="AF1171" s="22"/>
      <c r="AG1171" s="22"/>
      <c r="AH1171" s="22"/>
      <c r="AI1171" s="22"/>
      <c r="AJ1171" s="22"/>
    </row>
    <row r="1172" spans="1:36" x14ac:dyDescent="0.25">
      <c r="A1172" s="22" t="s">
        <v>3121</v>
      </c>
      <c r="B1172" s="22">
        <v>0</v>
      </c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  <c r="AD1172" s="22"/>
      <c r="AE1172" s="22"/>
      <c r="AF1172" s="22"/>
      <c r="AG1172" s="22"/>
      <c r="AH1172" s="22"/>
      <c r="AI1172" s="22"/>
      <c r="AJ1172" s="22"/>
    </row>
    <row r="1173" spans="1:36" x14ac:dyDescent="0.25">
      <c r="A1173" s="22" t="s">
        <v>3122</v>
      </c>
      <c r="B1173" s="22">
        <v>0</v>
      </c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22"/>
      <c r="Z1173" s="22"/>
      <c r="AA1173" s="22"/>
      <c r="AB1173" s="22"/>
      <c r="AC1173" s="22"/>
      <c r="AD1173" s="22"/>
      <c r="AE1173" s="22"/>
      <c r="AF1173" s="22"/>
      <c r="AG1173" s="22"/>
      <c r="AH1173" s="22"/>
      <c r="AI1173" s="22"/>
      <c r="AJ1173" s="22"/>
    </row>
    <row r="1174" spans="1:36" x14ac:dyDescent="0.25">
      <c r="A1174" s="22" t="s">
        <v>2010</v>
      </c>
      <c r="B1174" s="22">
        <v>0</v>
      </c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2"/>
      <c r="T1174" s="22"/>
      <c r="U1174" s="22"/>
      <c r="V1174" s="22"/>
      <c r="W1174" s="22"/>
      <c r="X1174" s="22"/>
      <c r="Y1174" s="22"/>
      <c r="Z1174" s="22"/>
      <c r="AA1174" s="22"/>
      <c r="AB1174" s="22"/>
      <c r="AC1174" s="22"/>
      <c r="AD1174" s="22"/>
      <c r="AE1174" s="22"/>
      <c r="AF1174" s="22"/>
      <c r="AG1174" s="22"/>
      <c r="AH1174" s="22"/>
      <c r="AI1174" s="22"/>
      <c r="AJ1174" s="22"/>
    </row>
    <row r="1175" spans="1:36" x14ac:dyDescent="0.25">
      <c r="A1175" s="22" t="s">
        <v>3123</v>
      </c>
      <c r="B1175" s="22">
        <v>0</v>
      </c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22"/>
      <c r="Z1175" s="22"/>
      <c r="AA1175" s="22"/>
      <c r="AB1175" s="22"/>
      <c r="AC1175" s="22"/>
      <c r="AD1175" s="22"/>
      <c r="AE1175" s="22"/>
      <c r="AF1175" s="22"/>
      <c r="AG1175" s="22"/>
      <c r="AH1175" s="22"/>
      <c r="AI1175" s="22"/>
      <c r="AJ1175" s="22"/>
    </row>
    <row r="1176" spans="1:36" x14ac:dyDescent="0.25">
      <c r="A1176" s="22" t="s">
        <v>3124</v>
      </c>
      <c r="B1176" s="22">
        <v>0</v>
      </c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2"/>
      <c r="T1176" s="22"/>
      <c r="U1176" s="22"/>
      <c r="V1176" s="22"/>
      <c r="W1176" s="22"/>
      <c r="X1176" s="22"/>
      <c r="Y1176" s="22"/>
      <c r="Z1176" s="22"/>
      <c r="AA1176" s="22"/>
      <c r="AB1176" s="22"/>
      <c r="AC1176" s="22"/>
      <c r="AD1176" s="22"/>
      <c r="AE1176" s="22"/>
      <c r="AF1176" s="22"/>
      <c r="AG1176" s="22"/>
      <c r="AH1176" s="22"/>
      <c r="AI1176" s="22"/>
      <c r="AJ1176" s="22"/>
    </row>
    <row r="1177" spans="1:36" x14ac:dyDescent="0.25">
      <c r="A1177" s="22" t="s">
        <v>3125</v>
      </c>
      <c r="B1177" s="22">
        <v>0</v>
      </c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22"/>
      <c r="Z1177" s="22"/>
      <c r="AA1177" s="22"/>
      <c r="AB1177" s="22"/>
      <c r="AC1177" s="22"/>
      <c r="AD1177" s="22"/>
      <c r="AE1177" s="22"/>
      <c r="AF1177" s="22"/>
      <c r="AG1177" s="22"/>
      <c r="AH1177" s="22"/>
      <c r="AI1177" s="22"/>
      <c r="AJ1177" s="22"/>
    </row>
    <row r="1178" spans="1:36" x14ac:dyDescent="0.25">
      <c r="A1178" s="22" t="s">
        <v>3126</v>
      </c>
      <c r="B1178" s="22">
        <v>0</v>
      </c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2"/>
      <c r="T1178" s="22"/>
      <c r="U1178" s="22"/>
      <c r="V1178" s="22"/>
      <c r="W1178" s="22"/>
      <c r="X1178" s="22"/>
      <c r="Y1178" s="22"/>
      <c r="Z1178" s="22"/>
      <c r="AA1178" s="22"/>
      <c r="AB1178" s="22"/>
      <c r="AC1178" s="22"/>
      <c r="AD1178" s="22"/>
      <c r="AE1178" s="22"/>
      <c r="AF1178" s="22"/>
      <c r="AG1178" s="22"/>
      <c r="AH1178" s="22"/>
      <c r="AI1178" s="22"/>
      <c r="AJ1178" s="22"/>
    </row>
    <row r="1179" spans="1:36" x14ac:dyDescent="0.25">
      <c r="A1179" s="22" t="s">
        <v>3127</v>
      </c>
      <c r="B1179" s="22">
        <v>0</v>
      </c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22"/>
      <c r="Z1179" s="22"/>
      <c r="AA1179" s="22"/>
      <c r="AB1179" s="22"/>
      <c r="AC1179" s="22"/>
      <c r="AD1179" s="22"/>
      <c r="AE1179" s="22"/>
      <c r="AF1179" s="22"/>
      <c r="AG1179" s="22"/>
      <c r="AH1179" s="22"/>
      <c r="AI1179" s="22"/>
      <c r="AJ1179" s="22"/>
    </row>
    <row r="1180" spans="1:36" x14ac:dyDescent="0.25">
      <c r="A1180" s="22" t="s">
        <v>3128</v>
      </c>
      <c r="B1180" s="22">
        <v>0</v>
      </c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2"/>
      <c r="T1180" s="22"/>
      <c r="U1180" s="22"/>
      <c r="V1180" s="22"/>
      <c r="W1180" s="22"/>
      <c r="X1180" s="22"/>
      <c r="Y1180" s="22"/>
      <c r="Z1180" s="22"/>
      <c r="AA1180" s="22"/>
      <c r="AB1180" s="22"/>
      <c r="AC1180" s="22"/>
      <c r="AD1180" s="22"/>
      <c r="AE1180" s="22"/>
      <c r="AF1180" s="22"/>
      <c r="AG1180" s="22"/>
      <c r="AH1180" s="22"/>
      <c r="AI1180" s="22"/>
      <c r="AJ1180" s="22"/>
    </row>
    <row r="1181" spans="1:36" x14ac:dyDescent="0.25">
      <c r="A1181" s="22" t="s">
        <v>3129</v>
      </c>
      <c r="B1181" s="22">
        <v>0</v>
      </c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22"/>
      <c r="Z1181" s="22"/>
      <c r="AA1181" s="22"/>
      <c r="AB1181" s="22"/>
      <c r="AC1181" s="22"/>
      <c r="AD1181" s="22"/>
      <c r="AE1181" s="22"/>
      <c r="AF1181" s="22"/>
      <c r="AG1181" s="22"/>
      <c r="AH1181" s="22"/>
      <c r="AI1181" s="22"/>
      <c r="AJ1181" s="22"/>
    </row>
    <row r="1182" spans="1:36" x14ac:dyDescent="0.25">
      <c r="A1182" s="22" t="s">
        <v>2011</v>
      </c>
      <c r="B1182" s="22">
        <v>0</v>
      </c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2"/>
      <c r="T1182" s="22"/>
      <c r="U1182" s="22"/>
      <c r="V1182" s="22"/>
      <c r="W1182" s="22"/>
      <c r="X1182" s="22"/>
      <c r="Y1182" s="22"/>
      <c r="Z1182" s="22"/>
      <c r="AA1182" s="22"/>
      <c r="AB1182" s="22"/>
      <c r="AC1182" s="22"/>
      <c r="AD1182" s="22"/>
      <c r="AE1182" s="22"/>
      <c r="AF1182" s="22"/>
      <c r="AG1182" s="22"/>
      <c r="AH1182" s="22"/>
      <c r="AI1182" s="22"/>
      <c r="AJ1182" s="22"/>
    </row>
    <row r="1183" spans="1:36" x14ac:dyDescent="0.25">
      <c r="A1183" s="22" t="s">
        <v>3130</v>
      </c>
      <c r="B1183" s="22">
        <v>0</v>
      </c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22"/>
      <c r="Z1183" s="22"/>
      <c r="AA1183" s="22"/>
      <c r="AB1183" s="22"/>
      <c r="AC1183" s="22"/>
      <c r="AD1183" s="22"/>
      <c r="AE1183" s="22"/>
      <c r="AF1183" s="22"/>
      <c r="AG1183" s="22"/>
      <c r="AH1183" s="22"/>
      <c r="AI1183" s="22"/>
      <c r="AJ1183" s="22"/>
    </row>
    <row r="1184" spans="1:36" x14ac:dyDescent="0.25">
      <c r="A1184" s="22" t="s">
        <v>3131</v>
      </c>
      <c r="B1184" s="22">
        <v>0</v>
      </c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Y1184" s="22"/>
      <c r="Z1184" s="22"/>
      <c r="AA1184" s="22"/>
      <c r="AB1184" s="22"/>
      <c r="AC1184" s="22"/>
      <c r="AD1184" s="22"/>
      <c r="AE1184" s="22"/>
      <c r="AF1184" s="22"/>
      <c r="AG1184" s="22"/>
      <c r="AH1184" s="22"/>
      <c r="AI1184" s="22"/>
      <c r="AJ1184" s="22"/>
    </row>
    <row r="1185" spans="1:36" x14ac:dyDescent="0.25">
      <c r="A1185" s="22" t="s">
        <v>3132</v>
      </c>
      <c r="B1185" s="22">
        <v>0</v>
      </c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22"/>
      <c r="Z1185" s="22"/>
      <c r="AA1185" s="22"/>
      <c r="AB1185" s="22"/>
      <c r="AC1185" s="22"/>
      <c r="AD1185" s="22"/>
      <c r="AE1185" s="22"/>
      <c r="AF1185" s="22"/>
      <c r="AG1185" s="22"/>
      <c r="AH1185" s="22"/>
      <c r="AI1185" s="22"/>
      <c r="AJ1185" s="22"/>
    </row>
    <row r="1186" spans="1:36" x14ac:dyDescent="0.25">
      <c r="A1186" s="22" t="s">
        <v>3133</v>
      </c>
      <c r="B1186" s="22">
        <v>0</v>
      </c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2"/>
      <c r="T1186" s="22"/>
      <c r="U1186" s="22"/>
      <c r="V1186" s="22"/>
      <c r="W1186" s="22"/>
      <c r="X1186" s="22"/>
      <c r="Y1186" s="22"/>
      <c r="Z1186" s="22"/>
      <c r="AA1186" s="22"/>
      <c r="AB1186" s="22"/>
      <c r="AC1186" s="22"/>
      <c r="AD1186" s="22"/>
      <c r="AE1186" s="22"/>
      <c r="AF1186" s="22"/>
      <c r="AG1186" s="22"/>
      <c r="AH1186" s="22"/>
      <c r="AI1186" s="22"/>
      <c r="AJ1186" s="22"/>
    </row>
    <row r="1187" spans="1:36" x14ac:dyDescent="0.25">
      <c r="A1187" s="22" t="s">
        <v>3134</v>
      </c>
      <c r="B1187" s="22">
        <v>0</v>
      </c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22"/>
      <c r="Z1187" s="22"/>
      <c r="AA1187" s="22"/>
      <c r="AB1187" s="22"/>
      <c r="AC1187" s="22"/>
      <c r="AD1187" s="22"/>
      <c r="AE1187" s="22"/>
      <c r="AF1187" s="22"/>
      <c r="AG1187" s="22"/>
      <c r="AH1187" s="22"/>
      <c r="AI1187" s="22"/>
      <c r="AJ1187" s="22"/>
    </row>
    <row r="1188" spans="1:36" x14ac:dyDescent="0.25">
      <c r="A1188" s="22" t="s">
        <v>3135</v>
      </c>
      <c r="B1188" s="22">
        <v>0</v>
      </c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2"/>
      <c r="T1188" s="22"/>
      <c r="U1188" s="22"/>
      <c r="V1188" s="22"/>
      <c r="W1188" s="22"/>
      <c r="X1188" s="22"/>
      <c r="Y1188" s="22"/>
      <c r="Z1188" s="22"/>
      <c r="AA1188" s="22"/>
      <c r="AB1188" s="22"/>
      <c r="AC1188" s="22"/>
      <c r="AD1188" s="22"/>
      <c r="AE1188" s="22"/>
      <c r="AF1188" s="22"/>
      <c r="AG1188" s="22"/>
      <c r="AH1188" s="22"/>
      <c r="AI1188" s="22"/>
      <c r="AJ1188" s="22"/>
    </row>
    <row r="1189" spans="1:36" x14ac:dyDescent="0.25">
      <c r="A1189" s="22" t="s">
        <v>3136</v>
      </c>
      <c r="B1189" s="22">
        <v>0</v>
      </c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D1189" s="22"/>
      <c r="AE1189" s="22"/>
      <c r="AF1189" s="22"/>
      <c r="AG1189" s="22"/>
      <c r="AH1189" s="22"/>
      <c r="AI1189" s="22"/>
      <c r="AJ1189" s="22"/>
    </row>
    <row r="1190" spans="1:36" x14ac:dyDescent="0.25">
      <c r="A1190" s="22" t="s">
        <v>2012</v>
      </c>
      <c r="B1190" s="22">
        <v>0</v>
      </c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2"/>
      <c r="T1190" s="22"/>
      <c r="U1190" s="22"/>
      <c r="V1190" s="22"/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  <c r="AJ1190" s="22"/>
    </row>
    <row r="1191" spans="1:36" x14ac:dyDescent="0.25">
      <c r="A1191" s="22" t="s">
        <v>3137</v>
      </c>
      <c r="B1191" s="22">
        <v>0</v>
      </c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22"/>
      <c r="Z1191" s="22"/>
      <c r="AA1191" s="22"/>
      <c r="AB1191" s="22"/>
      <c r="AC1191" s="22"/>
      <c r="AD1191" s="22"/>
      <c r="AE1191" s="22"/>
      <c r="AF1191" s="22"/>
      <c r="AG1191" s="22"/>
      <c r="AH1191" s="22"/>
      <c r="AI1191" s="22"/>
      <c r="AJ1191" s="22"/>
    </row>
    <row r="1192" spans="1:36" x14ac:dyDescent="0.25">
      <c r="A1192" s="22" t="s">
        <v>3138</v>
      </c>
      <c r="B1192" s="22">
        <v>0</v>
      </c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2"/>
      <c r="T1192" s="22"/>
      <c r="U1192" s="22"/>
      <c r="V1192" s="22"/>
      <c r="W1192" s="22"/>
      <c r="X1192" s="22"/>
      <c r="Y1192" s="22"/>
      <c r="Z1192" s="22"/>
      <c r="AA1192" s="22"/>
      <c r="AB1192" s="22"/>
      <c r="AC1192" s="22"/>
      <c r="AD1192" s="22"/>
      <c r="AE1192" s="22"/>
      <c r="AF1192" s="22"/>
      <c r="AG1192" s="22"/>
      <c r="AH1192" s="22"/>
      <c r="AI1192" s="22"/>
      <c r="AJ1192" s="22"/>
    </row>
    <row r="1193" spans="1:36" x14ac:dyDescent="0.25">
      <c r="A1193" s="22" t="s">
        <v>3139</v>
      </c>
      <c r="B1193" s="22">
        <v>0</v>
      </c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2"/>
      <c r="T1193" s="22"/>
      <c r="U1193" s="22"/>
      <c r="V1193" s="22"/>
      <c r="W1193" s="22"/>
      <c r="X1193" s="22"/>
      <c r="Y1193" s="22"/>
      <c r="Z1193" s="22"/>
      <c r="AA1193" s="22"/>
      <c r="AB1193" s="22"/>
      <c r="AC1193" s="22"/>
      <c r="AD1193" s="22"/>
      <c r="AE1193" s="22"/>
      <c r="AF1193" s="22"/>
      <c r="AG1193" s="22"/>
      <c r="AH1193" s="22"/>
      <c r="AI1193" s="22"/>
      <c r="AJ1193" s="22"/>
    </row>
    <row r="1194" spans="1:36" x14ac:dyDescent="0.25">
      <c r="A1194" s="22" t="s">
        <v>3140</v>
      </c>
      <c r="B1194" s="22">
        <v>0</v>
      </c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2"/>
      <c r="T1194" s="22"/>
      <c r="U1194" s="22"/>
      <c r="V1194" s="22"/>
      <c r="W1194" s="22"/>
      <c r="X1194" s="22"/>
      <c r="Y1194" s="22"/>
      <c r="Z1194" s="22"/>
      <c r="AA1194" s="22"/>
      <c r="AB1194" s="22"/>
      <c r="AC1194" s="22"/>
      <c r="AD1194" s="22"/>
      <c r="AE1194" s="22"/>
      <c r="AF1194" s="22"/>
      <c r="AG1194" s="22"/>
      <c r="AH1194" s="22"/>
      <c r="AI1194" s="22"/>
      <c r="AJ1194" s="22"/>
    </row>
    <row r="1195" spans="1:36" x14ac:dyDescent="0.25">
      <c r="A1195" s="22" t="s">
        <v>3141</v>
      </c>
      <c r="B1195" s="22">
        <v>0</v>
      </c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2"/>
      <c r="T1195" s="22"/>
      <c r="U1195" s="22"/>
      <c r="V1195" s="22"/>
      <c r="W1195" s="22"/>
      <c r="X1195" s="22"/>
      <c r="Y1195" s="22"/>
      <c r="Z1195" s="22"/>
      <c r="AA1195" s="22"/>
      <c r="AB1195" s="22"/>
      <c r="AC1195" s="22"/>
      <c r="AD1195" s="22"/>
      <c r="AE1195" s="22"/>
      <c r="AF1195" s="22"/>
      <c r="AG1195" s="22"/>
      <c r="AH1195" s="22"/>
      <c r="AI1195" s="22"/>
      <c r="AJ1195" s="22"/>
    </row>
    <row r="1196" spans="1:36" x14ac:dyDescent="0.25">
      <c r="A1196" s="22" t="s">
        <v>3142</v>
      </c>
      <c r="B1196" s="22">
        <v>0</v>
      </c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2"/>
      <c r="T1196" s="22"/>
      <c r="U1196" s="22"/>
      <c r="V1196" s="22"/>
      <c r="W1196" s="22"/>
      <c r="X1196" s="22"/>
      <c r="Y1196" s="22"/>
      <c r="Z1196" s="22"/>
      <c r="AA1196" s="22"/>
      <c r="AB1196" s="22"/>
      <c r="AC1196" s="22"/>
      <c r="AD1196" s="22"/>
      <c r="AE1196" s="22"/>
      <c r="AF1196" s="22"/>
      <c r="AG1196" s="22"/>
      <c r="AH1196" s="22"/>
      <c r="AI1196" s="22"/>
      <c r="AJ1196" s="22"/>
    </row>
    <row r="1197" spans="1:36" x14ac:dyDescent="0.25">
      <c r="A1197" s="22" t="s">
        <v>3143</v>
      </c>
      <c r="B1197" s="22">
        <v>0</v>
      </c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2"/>
      <c r="T1197" s="22"/>
      <c r="U1197" s="22"/>
      <c r="V1197" s="22"/>
      <c r="W1197" s="22"/>
      <c r="X1197" s="22"/>
      <c r="Y1197" s="22"/>
      <c r="Z1197" s="22"/>
      <c r="AA1197" s="22"/>
      <c r="AB1197" s="22"/>
      <c r="AC1197" s="22"/>
      <c r="AD1197" s="22"/>
      <c r="AE1197" s="22"/>
      <c r="AF1197" s="22"/>
      <c r="AG1197" s="22"/>
      <c r="AH1197" s="22"/>
      <c r="AI1197" s="22"/>
      <c r="AJ1197" s="22"/>
    </row>
    <row r="1198" spans="1:36" x14ac:dyDescent="0.25">
      <c r="A1198" s="22" t="s">
        <v>2013</v>
      </c>
      <c r="B1198" s="22">
        <v>0</v>
      </c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2"/>
      <c r="T1198" s="22"/>
      <c r="U1198" s="22"/>
      <c r="V1198" s="22"/>
      <c r="W1198" s="22"/>
      <c r="X1198" s="22"/>
      <c r="Y1198" s="22"/>
      <c r="Z1198" s="22"/>
      <c r="AA1198" s="22"/>
      <c r="AB1198" s="22"/>
      <c r="AC1198" s="22"/>
      <c r="AD1198" s="22"/>
      <c r="AE1198" s="22"/>
      <c r="AF1198" s="22"/>
      <c r="AG1198" s="22"/>
      <c r="AH1198" s="22"/>
      <c r="AI1198" s="22"/>
      <c r="AJ1198" s="22"/>
    </row>
    <row r="1199" spans="1:36" x14ac:dyDescent="0.25">
      <c r="A1199" s="22" t="s">
        <v>3144</v>
      </c>
      <c r="B1199" s="22">
        <v>0</v>
      </c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2"/>
      <c r="T1199" s="22"/>
      <c r="U1199" s="22"/>
      <c r="V1199" s="22"/>
      <c r="W1199" s="22"/>
      <c r="X1199" s="22"/>
      <c r="Y1199" s="22"/>
      <c r="Z1199" s="22"/>
      <c r="AA1199" s="22"/>
      <c r="AB1199" s="22"/>
      <c r="AC1199" s="22"/>
      <c r="AD1199" s="22"/>
      <c r="AE1199" s="22"/>
      <c r="AF1199" s="22"/>
      <c r="AG1199" s="22"/>
      <c r="AH1199" s="22"/>
      <c r="AI1199" s="22"/>
      <c r="AJ1199" s="22"/>
    </row>
    <row r="1200" spans="1:36" x14ac:dyDescent="0.25">
      <c r="A1200" s="22" t="s">
        <v>3145</v>
      </c>
      <c r="B1200" s="22">
        <v>0</v>
      </c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2"/>
      <c r="T1200" s="22"/>
      <c r="U1200" s="22"/>
      <c r="V1200" s="22"/>
      <c r="W1200" s="22"/>
      <c r="X1200" s="22"/>
      <c r="Y1200" s="22"/>
      <c r="Z1200" s="22"/>
      <c r="AA1200" s="22"/>
      <c r="AB1200" s="22"/>
      <c r="AC1200" s="22"/>
      <c r="AD1200" s="22"/>
      <c r="AE1200" s="22"/>
      <c r="AF1200" s="22"/>
      <c r="AG1200" s="22"/>
      <c r="AH1200" s="22"/>
      <c r="AI1200" s="22"/>
      <c r="AJ1200" s="22"/>
    </row>
    <row r="1201" spans="1:36" x14ac:dyDescent="0.25">
      <c r="A1201" s="22" t="s">
        <v>3146</v>
      </c>
      <c r="B1201" s="22">
        <v>0</v>
      </c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2"/>
      <c r="T1201" s="22"/>
      <c r="U1201" s="22"/>
      <c r="V1201" s="22"/>
      <c r="W1201" s="22"/>
      <c r="X1201" s="22"/>
      <c r="Y1201" s="22"/>
      <c r="Z1201" s="22"/>
      <c r="AA1201" s="22"/>
      <c r="AB1201" s="22"/>
      <c r="AC1201" s="22"/>
      <c r="AD1201" s="22"/>
      <c r="AE1201" s="22"/>
      <c r="AF1201" s="22"/>
      <c r="AG1201" s="22"/>
      <c r="AH1201" s="22"/>
      <c r="AI1201" s="22"/>
      <c r="AJ1201" s="22"/>
    </row>
    <row r="1202" spans="1:36" x14ac:dyDescent="0.25">
      <c r="A1202" s="22" t="s">
        <v>3147</v>
      </c>
      <c r="B1202" s="22">
        <v>0</v>
      </c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2"/>
      <c r="T1202" s="22"/>
      <c r="U1202" s="22"/>
      <c r="V1202" s="22"/>
      <c r="W1202" s="22"/>
      <c r="X1202" s="22"/>
      <c r="Y1202" s="22"/>
      <c r="Z1202" s="22"/>
      <c r="AA1202" s="22"/>
      <c r="AB1202" s="22"/>
      <c r="AC1202" s="22"/>
      <c r="AD1202" s="22"/>
      <c r="AE1202" s="22"/>
      <c r="AF1202" s="22"/>
      <c r="AG1202" s="22"/>
      <c r="AH1202" s="22"/>
      <c r="AI1202" s="22"/>
      <c r="AJ1202" s="22"/>
    </row>
    <row r="1203" spans="1:36" x14ac:dyDescent="0.25">
      <c r="A1203" s="22" t="s">
        <v>3148</v>
      </c>
      <c r="B1203" s="22">
        <v>0</v>
      </c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2"/>
      <c r="T1203" s="22"/>
      <c r="U1203" s="22"/>
      <c r="V1203" s="22"/>
      <c r="W1203" s="22"/>
      <c r="X1203" s="22"/>
      <c r="Y1203" s="22"/>
      <c r="Z1203" s="22"/>
      <c r="AA1203" s="22"/>
      <c r="AB1203" s="22"/>
      <c r="AC1203" s="22"/>
      <c r="AD1203" s="22"/>
      <c r="AE1203" s="22"/>
      <c r="AF1203" s="22"/>
      <c r="AG1203" s="22"/>
      <c r="AH1203" s="22"/>
      <c r="AI1203" s="22"/>
      <c r="AJ1203" s="22"/>
    </row>
    <row r="1204" spans="1:36" x14ac:dyDescent="0.25">
      <c r="A1204" s="22" t="s">
        <v>3149</v>
      </c>
      <c r="B1204" s="22">
        <v>0</v>
      </c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2"/>
      <c r="T1204" s="22"/>
      <c r="U1204" s="22"/>
      <c r="V1204" s="22"/>
      <c r="W1204" s="22"/>
      <c r="X1204" s="22"/>
      <c r="Y1204" s="22"/>
      <c r="Z1204" s="22"/>
      <c r="AA1204" s="22"/>
      <c r="AB1204" s="22"/>
      <c r="AC1204" s="22"/>
      <c r="AD1204" s="22"/>
      <c r="AE1204" s="22"/>
      <c r="AF1204" s="22"/>
      <c r="AG1204" s="22"/>
      <c r="AH1204" s="22"/>
      <c r="AI1204" s="22"/>
      <c r="AJ1204" s="22"/>
    </row>
    <row r="1205" spans="1:36" x14ac:dyDescent="0.25">
      <c r="A1205" s="22" t="s">
        <v>3150</v>
      </c>
      <c r="B1205" s="22">
        <v>0</v>
      </c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2"/>
      <c r="T1205" s="22"/>
      <c r="U1205" s="22"/>
      <c r="V1205" s="22"/>
      <c r="W1205" s="22"/>
      <c r="X1205" s="22"/>
      <c r="Y1205" s="22"/>
      <c r="Z1205" s="22"/>
      <c r="AA1205" s="22"/>
      <c r="AB1205" s="22"/>
      <c r="AC1205" s="22"/>
      <c r="AD1205" s="22"/>
      <c r="AE1205" s="22"/>
      <c r="AF1205" s="22"/>
      <c r="AG1205" s="22"/>
      <c r="AH1205" s="22"/>
      <c r="AI1205" s="22"/>
      <c r="AJ1205" s="22"/>
    </row>
    <row r="1206" spans="1:36" x14ac:dyDescent="0.25">
      <c r="A1206" s="22" t="s">
        <v>2014</v>
      </c>
      <c r="B1206" s="22">
        <v>39</v>
      </c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2"/>
      <c r="T1206" s="22"/>
      <c r="U1206" s="22"/>
      <c r="V1206" s="22"/>
      <c r="W1206" s="22"/>
      <c r="X1206" s="22"/>
      <c r="Y1206" s="22"/>
      <c r="Z1206" s="22"/>
      <c r="AA1206" s="22"/>
      <c r="AB1206" s="22"/>
      <c r="AC1206" s="22"/>
      <c r="AD1206" s="22"/>
      <c r="AE1206" s="22"/>
      <c r="AF1206" s="22"/>
      <c r="AG1206" s="22"/>
      <c r="AH1206" s="22"/>
      <c r="AI1206" s="22"/>
      <c r="AJ1206" s="22"/>
    </row>
    <row r="1207" spans="1:36" x14ac:dyDescent="0.25">
      <c r="A1207" s="22" t="s">
        <v>3151</v>
      </c>
      <c r="B1207" s="22">
        <v>0</v>
      </c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2"/>
      <c r="T1207" s="22"/>
      <c r="U1207" s="22"/>
      <c r="V1207" s="22"/>
      <c r="W1207" s="22"/>
      <c r="X1207" s="22"/>
      <c r="Y1207" s="22"/>
      <c r="Z1207" s="22"/>
      <c r="AA1207" s="22"/>
      <c r="AB1207" s="22"/>
      <c r="AC1207" s="22"/>
      <c r="AD1207" s="22"/>
      <c r="AE1207" s="22"/>
      <c r="AF1207" s="22"/>
      <c r="AG1207" s="22"/>
      <c r="AH1207" s="22"/>
      <c r="AI1207" s="22"/>
      <c r="AJ1207" s="22"/>
    </row>
    <row r="1208" spans="1:36" x14ac:dyDescent="0.25">
      <c r="A1208" s="22" t="s">
        <v>3152</v>
      </c>
      <c r="B1208" s="22">
        <v>0</v>
      </c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2"/>
      <c r="T1208" s="22"/>
      <c r="U1208" s="22"/>
      <c r="V1208" s="22"/>
      <c r="W1208" s="22"/>
      <c r="X1208" s="22"/>
      <c r="Y1208" s="22"/>
      <c r="Z1208" s="22"/>
      <c r="AA1208" s="22"/>
      <c r="AB1208" s="22"/>
      <c r="AC1208" s="22"/>
      <c r="AD1208" s="22"/>
      <c r="AE1208" s="22"/>
      <c r="AF1208" s="22"/>
      <c r="AG1208" s="22"/>
      <c r="AH1208" s="22"/>
      <c r="AI1208" s="22"/>
      <c r="AJ1208" s="22"/>
    </row>
    <row r="1209" spans="1:36" x14ac:dyDescent="0.25">
      <c r="A1209" s="22" t="s">
        <v>3153</v>
      </c>
      <c r="B1209" s="22">
        <v>0</v>
      </c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2"/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  <c r="AD1209" s="22"/>
      <c r="AE1209" s="22"/>
      <c r="AF1209" s="22"/>
      <c r="AG1209" s="22"/>
      <c r="AH1209" s="22"/>
      <c r="AI1209" s="22"/>
      <c r="AJ1209" s="22"/>
    </row>
    <row r="1210" spans="1:36" x14ac:dyDescent="0.25">
      <c r="A1210" s="22" t="s">
        <v>3154</v>
      </c>
      <c r="B1210" s="22">
        <v>0</v>
      </c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2"/>
      <c r="T1210" s="22"/>
      <c r="U1210" s="22"/>
      <c r="V1210" s="22"/>
      <c r="W1210" s="22"/>
      <c r="X1210" s="22"/>
      <c r="Y1210" s="22"/>
      <c r="Z1210" s="22"/>
      <c r="AA1210" s="22"/>
      <c r="AB1210" s="22"/>
      <c r="AC1210" s="22"/>
      <c r="AD1210" s="22"/>
      <c r="AE1210" s="22"/>
      <c r="AF1210" s="22"/>
      <c r="AG1210" s="22"/>
      <c r="AH1210" s="22"/>
      <c r="AI1210" s="22"/>
      <c r="AJ1210" s="22"/>
    </row>
    <row r="1211" spans="1:36" x14ac:dyDescent="0.25">
      <c r="A1211" s="22" t="s">
        <v>3155</v>
      </c>
      <c r="B1211" s="22">
        <v>0</v>
      </c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</row>
    <row r="1212" spans="1:36" x14ac:dyDescent="0.25">
      <c r="A1212" s="22" t="s">
        <v>3156</v>
      </c>
      <c r="B1212" s="22">
        <v>0</v>
      </c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</row>
    <row r="1213" spans="1:36" x14ac:dyDescent="0.25">
      <c r="A1213" s="22" t="s">
        <v>3157</v>
      </c>
      <c r="B1213" s="22">
        <v>0</v>
      </c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</row>
    <row r="1214" spans="1:36" x14ac:dyDescent="0.25">
      <c r="A1214" s="22" t="s">
        <v>2015</v>
      </c>
      <c r="B1214" s="22">
        <v>50</v>
      </c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  <c r="X1214" s="22"/>
      <c r="Y1214" s="22"/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</row>
    <row r="1215" spans="1:36" x14ac:dyDescent="0.25">
      <c r="A1215" s="22" t="s">
        <v>3158</v>
      </c>
      <c r="B1215" s="22">
        <v>0</v>
      </c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</row>
    <row r="1216" spans="1:36" x14ac:dyDescent="0.25">
      <c r="A1216" s="22" t="s">
        <v>3159</v>
      </c>
      <c r="B1216" s="22">
        <v>0</v>
      </c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  <c r="X1216" s="22"/>
      <c r="Y1216" s="22"/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</row>
    <row r="1217" spans="1:36" x14ac:dyDescent="0.25">
      <c r="A1217" s="22" t="s">
        <v>3160</v>
      </c>
      <c r="B1217" s="22">
        <v>0</v>
      </c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</row>
    <row r="1218" spans="1:36" x14ac:dyDescent="0.25">
      <c r="A1218" s="22" t="s">
        <v>3161</v>
      </c>
      <c r="B1218" s="22">
        <v>0</v>
      </c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  <c r="X1218" s="22"/>
      <c r="Y1218" s="22"/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</row>
    <row r="1219" spans="1:36" x14ac:dyDescent="0.25">
      <c r="A1219" s="22" t="s">
        <v>3162</v>
      </c>
      <c r="B1219" s="22">
        <v>0</v>
      </c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</row>
    <row r="1220" spans="1:36" x14ac:dyDescent="0.25">
      <c r="A1220" s="22" t="s">
        <v>3163</v>
      </c>
      <c r="B1220" s="22">
        <v>0</v>
      </c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  <c r="X1220" s="22"/>
      <c r="Y1220" s="22"/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</row>
    <row r="1221" spans="1:36" x14ac:dyDescent="0.25">
      <c r="A1221" s="22" t="s">
        <v>3164</v>
      </c>
      <c r="B1221" s="22">
        <v>0</v>
      </c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</row>
    <row r="1222" spans="1:36" x14ac:dyDescent="0.25">
      <c r="A1222" s="22" t="s">
        <v>400</v>
      </c>
      <c r="B1222" s="22">
        <v>1</v>
      </c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  <c r="X1222" s="22"/>
      <c r="Y1222" s="22"/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</row>
    <row r="1223" spans="1:36" x14ac:dyDescent="0.25">
      <c r="A1223" s="22" t="s">
        <v>3165</v>
      </c>
      <c r="B1223" s="22">
        <v>0</v>
      </c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</row>
    <row r="1224" spans="1:36" x14ac:dyDescent="0.25">
      <c r="A1224" s="22" t="s">
        <v>3166</v>
      </c>
      <c r="B1224" s="22">
        <v>0</v>
      </c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  <c r="X1224" s="22"/>
      <c r="Y1224" s="22"/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</row>
    <row r="1225" spans="1:36" x14ac:dyDescent="0.25">
      <c r="A1225" s="22" t="s">
        <v>3167</v>
      </c>
      <c r="B1225" s="22">
        <v>0</v>
      </c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</row>
    <row r="1226" spans="1:36" x14ac:dyDescent="0.25">
      <c r="A1226" s="22" t="s">
        <v>3168</v>
      </c>
      <c r="B1226" s="22">
        <v>0</v>
      </c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  <c r="X1226" s="22"/>
      <c r="Y1226" s="22"/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</row>
    <row r="1227" spans="1:36" x14ac:dyDescent="0.25">
      <c r="A1227" s="22" t="s">
        <v>3169</v>
      </c>
      <c r="B1227" s="22">
        <v>0</v>
      </c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</row>
    <row r="1228" spans="1:36" x14ac:dyDescent="0.25">
      <c r="A1228" s="22" t="s">
        <v>3170</v>
      </c>
      <c r="B1228" s="22">
        <v>0</v>
      </c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  <c r="X1228" s="22"/>
      <c r="Y1228" s="22"/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</row>
    <row r="1229" spans="1:36" x14ac:dyDescent="0.25">
      <c r="A1229" s="22" t="s">
        <v>3171</v>
      </c>
      <c r="B1229" s="22">
        <v>0</v>
      </c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</row>
    <row r="1230" spans="1:36" x14ac:dyDescent="0.25">
      <c r="A1230" s="22" t="s">
        <v>401</v>
      </c>
      <c r="B1230" s="22">
        <v>1</v>
      </c>
      <c r="C1230" s="22"/>
      <c r="D1230" s="22"/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  <c r="X1230" s="22"/>
      <c r="Y1230" s="22"/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</row>
    <row r="1231" spans="1:36" x14ac:dyDescent="0.25">
      <c r="A1231" s="22" t="s">
        <v>3172</v>
      </c>
      <c r="B1231" s="22">
        <v>0</v>
      </c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</row>
    <row r="1232" spans="1:36" x14ac:dyDescent="0.25">
      <c r="A1232" s="22" t="s">
        <v>3173</v>
      </c>
      <c r="B1232" s="22">
        <v>0</v>
      </c>
      <c r="C1232" s="22"/>
      <c r="D1232" s="22"/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  <c r="X1232" s="22"/>
      <c r="Y1232" s="22"/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</row>
    <row r="1233" spans="1:36" x14ac:dyDescent="0.25">
      <c r="A1233" s="22" t="s">
        <v>3174</v>
      </c>
      <c r="B1233" s="22">
        <v>0</v>
      </c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</row>
    <row r="1234" spans="1:36" x14ac:dyDescent="0.25">
      <c r="A1234" s="22" t="s">
        <v>3175</v>
      </c>
      <c r="B1234" s="22">
        <v>0</v>
      </c>
      <c r="C1234" s="22"/>
      <c r="D1234" s="22"/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  <c r="X1234" s="22"/>
      <c r="Y1234" s="22"/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</row>
    <row r="1235" spans="1:36" x14ac:dyDescent="0.25">
      <c r="A1235" s="22" t="s">
        <v>3176</v>
      </c>
      <c r="B1235" s="22">
        <v>0</v>
      </c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</row>
    <row r="1236" spans="1:36" x14ac:dyDescent="0.25">
      <c r="A1236" s="22" t="s">
        <v>3177</v>
      </c>
      <c r="B1236" s="22">
        <v>0</v>
      </c>
      <c r="C1236" s="22"/>
      <c r="D1236" s="22"/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</row>
    <row r="1237" spans="1:36" x14ac:dyDescent="0.25">
      <c r="A1237" s="22" t="s">
        <v>3178</v>
      </c>
      <c r="B1237" s="22">
        <v>0</v>
      </c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</row>
    <row r="1238" spans="1:36" x14ac:dyDescent="0.25">
      <c r="A1238" s="22" t="s">
        <v>402</v>
      </c>
      <c r="B1238" s="22">
        <v>0</v>
      </c>
      <c r="C1238" s="22"/>
      <c r="D1238" s="22"/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  <c r="X1238" s="22"/>
      <c r="Y1238" s="22"/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</row>
    <row r="1239" spans="1:36" x14ac:dyDescent="0.25">
      <c r="A1239" s="22" t="s">
        <v>3179</v>
      </c>
      <c r="B1239" s="22">
        <v>0</v>
      </c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</row>
    <row r="1240" spans="1:36" x14ac:dyDescent="0.25">
      <c r="A1240" s="22" t="s">
        <v>3180</v>
      </c>
      <c r="B1240" s="22">
        <v>0</v>
      </c>
      <c r="C1240" s="22"/>
      <c r="D1240" s="22"/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</row>
    <row r="1241" spans="1:36" x14ac:dyDescent="0.25">
      <c r="A1241" s="22" t="s">
        <v>3181</v>
      </c>
      <c r="B1241" s="22">
        <v>0</v>
      </c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</row>
    <row r="1242" spans="1:36" x14ac:dyDescent="0.25">
      <c r="A1242" s="22" t="s">
        <v>3182</v>
      </c>
      <c r="B1242" s="22">
        <v>0</v>
      </c>
      <c r="C1242" s="22"/>
      <c r="D1242" s="22"/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  <c r="X1242" s="22"/>
      <c r="Y1242" s="22"/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</row>
    <row r="1243" spans="1:36" x14ac:dyDescent="0.25">
      <c r="A1243" s="22" t="s">
        <v>3183</v>
      </c>
      <c r="B1243" s="22">
        <v>0</v>
      </c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</row>
    <row r="1244" spans="1:36" x14ac:dyDescent="0.25">
      <c r="A1244" s="22" t="s">
        <v>3184</v>
      </c>
      <c r="B1244" s="22">
        <v>0</v>
      </c>
      <c r="C1244" s="22"/>
      <c r="D1244" s="22"/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</row>
    <row r="1245" spans="1:36" x14ac:dyDescent="0.25">
      <c r="A1245" s="22" t="s">
        <v>3185</v>
      </c>
      <c r="B1245" s="22">
        <v>0</v>
      </c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</row>
    <row r="1246" spans="1:36" x14ac:dyDescent="0.25">
      <c r="A1246" s="22" t="s">
        <v>403</v>
      </c>
      <c r="B1246" s="22">
        <v>0</v>
      </c>
      <c r="C1246" s="22"/>
      <c r="D1246" s="22"/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</row>
    <row r="1247" spans="1:36" x14ac:dyDescent="0.25">
      <c r="A1247" s="22" t="s">
        <v>3186</v>
      </c>
      <c r="B1247" s="22">
        <v>0</v>
      </c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</row>
    <row r="1248" spans="1:36" x14ac:dyDescent="0.25">
      <c r="A1248" s="22" t="s">
        <v>3187</v>
      </c>
      <c r="B1248" s="22">
        <v>0</v>
      </c>
      <c r="C1248" s="22"/>
      <c r="D1248" s="22"/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  <c r="X1248" s="22"/>
      <c r="Y1248" s="22"/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</row>
    <row r="1249" spans="1:36" x14ac:dyDescent="0.25">
      <c r="A1249" s="22" t="s">
        <v>3188</v>
      </c>
      <c r="B1249" s="22">
        <v>0</v>
      </c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</row>
    <row r="1250" spans="1:36" x14ac:dyDescent="0.25">
      <c r="A1250" s="22" t="s">
        <v>3189</v>
      </c>
      <c r="B1250" s="22">
        <v>0</v>
      </c>
      <c r="C1250" s="22"/>
      <c r="D1250" s="22"/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  <c r="X1250" s="22"/>
      <c r="Y1250" s="22"/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</row>
    <row r="1251" spans="1:36" x14ac:dyDescent="0.25">
      <c r="A1251" s="22" t="s">
        <v>3190</v>
      </c>
      <c r="B1251" s="22">
        <v>0</v>
      </c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</row>
    <row r="1252" spans="1:36" x14ac:dyDescent="0.25">
      <c r="A1252" s="22" t="s">
        <v>3191</v>
      </c>
      <c r="B1252" s="22">
        <v>0</v>
      </c>
      <c r="C1252" s="22"/>
      <c r="D1252" s="22"/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</row>
    <row r="1253" spans="1:36" x14ac:dyDescent="0.25">
      <c r="A1253" s="22" t="s">
        <v>3192</v>
      </c>
      <c r="B1253" s="22">
        <v>0</v>
      </c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</row>
    <row r="1254" spans="1:36" x14ac:dyDescent="0.25">
      <c r="A1254" s="22" t="s">
        <v>405</v>
      </c>
      <c r="B1254" s="22">
        <v>10</v>
      </c>
      <c r="C1254" s="22"/>
      <c r="D1254" s="22"/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  <c r="X1254" s="22"/>
      <c r="Y1254" s="22"/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</row>
    <row r="1255" spans="1:36" x14ac:dyDescent="0.25">
      <c r="A1255" s="22" t="s">
        <v>3193</v>
      </c>
      <c r="B1255" s="22">
        <v>0</v>
      </c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</row>
    <row r="1256" spans="1:36" x14ac:dyDescent="0.25">
      <c r="A1256" s="22" t="s">
        <v>3194</v>
      </c>
      <c r="B1256" s="22">
        <v>0</v>
      </c>
      <c r="C1256" s="22"/>
      <c r="D1256" s="22"/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  <c r="X1256" s="22"/>
      <c r="Y1256" s="22"/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</row>
    <row r="1257" spans="1:36" x14ac:dyDescent="0.25">
      <c r="A1257" s="22" t="s">
        <v>3195</v>
      </c>
      <c r="B1257" s="22">
        <v>0</v>
      </c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</row>
    <row r="1258" spans="1:36" x14ac:dyDescent="0.25">
      <c r="A1258" s="22" t="s">
        <v>3196</v>
      </c>
      <c r="B1258" s="22">
        <v>0</v>
      </c>
      <c r="C1258" s="22"/>
      <c r="D1258" s="22"/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  <c r="X1258" s="22"/>
      <c r="Y1258" s="22"/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</row>
    <row r="1259" spans="1:36" x14ac:dyDescent="0.25">
      <c r="A1259" s="22" t="s">
        <v>3197</v>
      </c>
      <c r="B1259" s="22">
        <v>0</v>
      </c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</row>
    <row r="1260" spans="1:36" x14ac:dyDescent="0.25">
      <c r="A1260" s="22" t="s">
        <v>3198</v>
      </c>
      <c r="B1260" s="22">
        <v>0</v>
      </c>
      <c r="C1260" s="22"/>
      <c r="D1260" s="22"/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</row>
    <row r="1261" spans="1:36" x14ac:dyDescent="0.25">
      <c r="A1261" s="22" t="s">
        <v>3199</v>
      </c>
      <c r="B1261" s="22">
        <v>0</v>
      </c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</row>
    <row r="1262" spans="1:36" x14ac:dyDescent="0.25">
      <c r="A1262" s="22" t="s">
        <v>406</v>
      </c>
      <c r="B1262" s="22">
        <v>0</v>
      </c>
      <c r="C1262" s="22"/>
      <c r="D1262" s="22"/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  <c r="X1262" s="22"/>
      <c r="Y1262" s="22"/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</row>
    <row r="1263" spans="1:36" x14ac:dyDescent="0.25">
      <c r="A1263" s="22" t="s">
        <v>3200</v>
      </c>
      <c r="B1263" s="22">
        <v>0</v>
      </c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</row>
    <row r="1264" spans="1:36" x14ac:dyDescent="0.25">
      <c r="A1264" s="22" t="s">
        <v>3201</v>
      </c>
      <c r="B1264" s="22">
        <v>0</v>
      </c>
      <c r="C1264" s="22"/>
      <c r="D1264" s="22"/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  <c r="X1264" s="22"/>
      <c r="Y1264" s="22"/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</row>
    <row r="1265" spans="1:36" x14ac:dyDescent="0.25">
      <c r="A1265" s="22" t="s">
        <v>3202</v>
      </c>
      <c r="B1265" s="22">
        <v>0</v>
      </c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</row>
    <row r="1266" spans="1:36" x14ac:dyDescent="0.25">
      <c r="A1266" s="22" t="s">
        <v>3203</v>
      </c>
      <c r="B1266" s="22">
        <v>0</v>
      </c>
      <c r="C1266" s="22"/>
      <c r="D1266" s="22"/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  <c r="X1266" s="22"/>
      <c r="Y1266" s="22"/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</row>
    <row r="1267" spans="1:36" x14ac:dyDescent="0.25">
      <c r="A1267" s="22" t="s">
        <v>3204</v>
      </c>
      <c r="B1267" s="22">
        <v>0</v>
      </c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</row>
    <row r="1268" spans="1:36" x14ac:dyDescent="0.25">
      <c r="A1268" s="22" t="s">
        <v>3205</v>
      </c>
      <c r="B1268" s="22">
        <v>0</v>
      </c>
      <c r="C1268" s="22"/>
      <c r="D1268" s="22"/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  <c r="X1268" s="22"/>
      <c r="Y1268" s="22"/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</row>
    <row r="1269" spans="1:36" x14ac:dyDescent="0.25">
      <c r="A1269" s="22" t="s">
        <v>3206</v>
      </c>
      <c r="B1269" s="22">
        <v>0</v>
      </c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</row>
    <row r="1270" spans="1:36" x14ac:dyDescent="0.25">
      <c r="A1270" s="22" t="s">
        <v>408</v>
      </c>
      <c r="B1270" s="22">
        <v>30</v>
      </c>
      <c r="C1270" s="22"/>
      <c r="D1270" s="22"/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  <c r="X1270" s="22"/>
      <c r="Y1270" s="22"/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</row>
    <row r="1271" spans="1:36" x14ac:dyDescent="0.25">
      <c r="A1271" s="22" t="s">
        <v>3207</v>
      </c>
      <c r="B1271" s="22">
        <v>0</v>
      </c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</row>
    <row r="1272" spans="1:36" x14ac:dyDescent="0.25">
      <c r="A1272" s="22" t="s">
        <v>3208</v>
      </c>
      <c r="B1272" s="22">
        <v>0</v>
      </c>
      <c r="C1272" s="22"/>
      <c r="D1272" s="22"/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  <c r="X1272" s="22"/>
      <c r="Y1272" s="22"/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</row>
    <row r="1273" spans="1:36" x14ac:dyDescent="0.25">
      <c r="A1273" s="22" t="s">
        <v>3209</v>
      </c>
      <c r="B1273" s="22">
        <v>0</v>
      </c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</row>
    <row r="1274" spans="1:36" x14ac:dyDescent="0.25">
      <c r="A1274" s="22" t="s">
        <v>3210</v>
      </c>
      <c r="B1274" s="22">
        <v>0</v>
      </c>
      <c r="C1274" s="22"/>
      <c r="D1274" s="22"/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  <c r="X1274" s="22"/>
      <c r="Y1274" s="22"/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</row>
    <row r="1275" spans="1:36" x14ac:dyDescent="0.25">
      <c r="A1275" s="22" t="s">
        <v>3211</v>
      </c>
      <c r="B1275" s="22">
        <v>0</v>
      </c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</row>
    <row r="1276" spans="1:36" x14ac:dyDescent="0.25">
      <c r="A1276" s="22" t="s">
        <v>3212</v>
      </c>
      <c r="B1276" s="22">
        <v>0</v>
      </c>
      <c r="C1276" s="22"/>
      <c r="D1276" s="22"/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  <c r="X1276" s="22"/>
      <c r="Y1276" s="22"/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</row>
    <row r="1277" spans="1:36" x14ac:dyDescent="0.25">
      <c r="A1277" s="22" t="s">
        <v>3213</v>
      </c>
      <c r="B1277" s="22">
        <v>0</v>
      </c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  <c r="X1277" s="22"/>
      <c r="Y1277" s="22"/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</row>
    <row r="1278" spans="1:36" x14ac:dyDescent="0.25">
      <c r="A1278" s="22" t="s">
        <v>410</v>
      </c>
      <c r="B1278" s="22">
        <v>0</v>
      </c>
      <c r="C1278" s="22"/>
      <c r="D1278" s="22"/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  <c r="X1278" s="22"/>
      <c r="Y1278" s="22"/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</row>
    <row r="1279" spans="1:36" x14ac:dyDescent="0.25">
      <c r="A1279" s="22" t="s">
        <v>3917</v>
      </c>
      <c r="B1279" s="22">
        <v>0</v>
      </c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  <c r="X1279" s="22"/>
      <c r="Y1279" s="22"/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</row>
    <row r="1280" spans="1:36" x14ac:dyDescent="0.25">
      <c r="A1280" s="22" t="s">
        <v>3918</v>
      </c>
      <c r="B1280" s="22">
        <v>0</v>
      </c>
      <c r="C1280" s="22"/>
      <c r="D1280" s="22"/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</row>
    <row r="1281" spans="1:36" x14ac:dyDescent="0.25">
      <c r="A1281" s="22" t="s">
        <v>3919</v>
      </c>
      <c r="B1281" s="22">
        <v>0</v>
      </c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  <c r="X1281" s="22"/>
      <c r="Y1281" s="22"/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</row>
    <row r="1282" spans="1:36" x14ac:dyDescent="0.25">
      <c r="A1282" s="22" t="s">
        <v>3920</v>
      </c>
      <c r="B1282" s="22">
        <v>0</v>
      </c>
      <c r="C1282" s="22"/>
      <c r="D1282" s="22"/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  <c r="X1282" s="22"/>
      <c r="Y1282" s="22"/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</row>
    <row r="1283" spans="1:36" x14ac:dyDescent="0.25">
      <c r="A1283" s="22" t="s">
        <v>3921</v>
      </c>
      <c r="B1283" s="22">
        <v>0</v>
      </c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  <c r="X1283" s="22"/>
      <c r="Y1283" s="22"/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</row>
    <row r="1284" spans="1:36" x14ac:dyDescent="0.25">
      <c r="A1284" s="22" t="s">
        <v>3922</v>
      </c>
      <c r="B1284" s="22">
        <v>0</v>
      </c>
      <c r="C1284" s="22"/>
      <c r="D1284" s="22"/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  <c r="X1284" s="22"/>
      <c r="Y1284" s="22"/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</row>
    <row r="1285" spans="1:36" x14ac:dyDescent="0.25">
      <c r="A1285" s="22" t="s">
        <v>3923</v>
      </c>
      <c r="B1285" s="22">
        <v>0</v>
      </c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  <c r="X1285" s="22"/>
      <c r="Y1285" s="22"/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</row>
    <row r="1286" spans="1:36" x14ac:dyDescent="0.25">
      <c r="A1286" s="22" t="s">
        <v>411</v>
      </c>
      <c r="B1286" s="22">
        <v>0</v>
      </c>
      <c r="C1286" s="22"/>
      <c r="D1286" s="22"/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  <c r="X1286" s="22"/>
      <c r="Y1286" s="22"/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</row>
    <row r="1287" spans="1:36" x14ac:dyDescent="0.25">
      <c r="A1287" s="22" t="s">
        <v>3214</v>
      </c>
      <c r="B1287" s="22">
        <v>0</v>
      </c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  <c r="X1287" s="22"/>
      <c r="Y1287" s="22"/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</row>
    <row r="1288" spans="1:36" x14ac:dyDescent="0.25">
      <c r="A1288" s="22" t="s">
        <v>3215</v>
      </c>
      <c r="B1288" s="22">
        <v>0</v>
      </c>
      <c r="C1288" s="22"/>
      <c r="D1288" s="22"/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  <c r="X1288" s="22"/>
      <c r="Y1288" s="22"/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</row>
    <row r="1289" spans="1:36" x14ac:dyDescent="0.25">
      <c r="A1289" s="22" t="s">
        <v>3216</v>
      </c>
      <c r="B1289" s="22">
        <v>0</v>
      </c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  <c r="AF1289" s="22"/>
      <c r="AG1289" s="22"/>
      <c r="AH1289" s="22"/>
      <c r="AI1289" s="22"/>
      <c r="AJ1289" s="22"/>
    </row>
    <row r="1290" spans="1:36" x14ac:dyDescent="0.25">
      <c r="A1290" s="22" t="s">
        <v>3217</v>
      </c>
      <c r="B1290" s="22">
        <v>0</v>
      </c>
      <c r="C1290" s="22"/>
      <c r="D1290" s="22"/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  <c r="AA1290" s="22"/>
      <c r="AB1290" s="22"/>
      <c r="AC1290" s="22"/>
      <c r="AD1290" s="22"/>
      <c r="AE1290" s="22"/>
      <c r="AF1290" s="22"/>
      <c r="AG1290" s="22"/>
      <c r="AH1290" s="22"/>
      <c r="AI1290" s="22"/>
      <c r="AJ1290" s="22"/>
    </row>
    <row r="1291" spans="1:36" x14ac:dyDescent="0.25">
      <c r="A1291" s="22" t="s">
        <v>3218</v>
      </c>
      <c r="B1291" s="22">
        <v>0</v>
      </c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  <c r="AA1291" s="22"/>
      <c r="AB1291" s="22"/>
      <c r="AC1291" s="22"/>
      <c r="AD1291" s="22"/>
      <c r="AE1291" s="22"/>
      <c r="AF1291" s="22"/>
      <c r="AG1291" s="22"/>
      <c r="AH1291" s="22"/>
      <c r="AI1291" s="22"/>
      <c r="AJ1291" s="22"/>
    </row>
    <row r="1292" spans="1:36" x14ac:dyDescent="0.25">
      <c r="A1292" s="22" t="s">
        <v>3219</v>
      </c>
      <c r="B1292" s="22">
        <v>0</v>
      </c>
      <c r="C1292" s="22"/>
      <c r="D1292" s="22"/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  <c r="AA1292" s="22"/>
      <c r="AB1292" s="22"/>
      <c r="AC1292" s="22"/>
      <c r="AD1292" s="22"/>
      <c r="AE1292" s="22"/>
      <c r="AF1292" s="22"/>
      <c r="AG1292" s="22"/>
      <c r="AH1292" s="22"/>
      <c r="AI1292" s="22"/>
      <c r="AJ1292" s="22"/>
    </row>
    <row r="1293" spans="1:36" x14ac:dyDescent="0.25">
      <c r="A1293" s="22" t="s">
        <v>3220</v>
      </c>
      <c r="B1293" s="22">
        <v>0</v>
      </c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2"/>
      <c r="S1293" s="22"/>
      <c r="T1293" s="22"/>
      <c r="U1293" s="22"/>
      <c r="V1293" s="22"/>
      <c r="W1293" s="22"/>
      <c r="X1293" s="22"/>
      <c r="Y1293" s="22"/>
      <c r="Z1293" s="22"/>
      <c r="AA1293" s="22"/>
      <c r="AB1293" s="22"/>
      <c r="AC1293" s="22"/>
      <c r="AD1293" s="22"/>
      <c r="AE1293" s="22"/>
      <c r="AF1293" s="22"/>
      <c r="AG1293" s="22"/>
      <c r="AH1293" s="22"/>
      <c r="AI1293" s="22"/>
      <c r="AJ1293" s="22"/>
    </row>
    <row r="1294" spans="1:36" x14ac:dyDescent="0.25">
      <c r="A1294" s="22" t="s">
        <v>412</v>
      </c>
      <c r="B1294" s="22">
        <v>65</v>
      </c>
      <c r="C1294" s="22"/>
      <c r="D1294" s="22"/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2"/>
      <c r="T1294" s="22"/>
      <c r="U1294" s="22"/>
      <c r="V1294" s="22"/>
      <c r="W1294" s="22"/>
      <c r="X1294" s="22"/>
      <c r="Y1294" s="22"/>
      <c r="Z1294" s="22"/>
      <c r="AA1294" s="22"/>
      <c r="AB1294" s="22"/>
      <c r="AC1294" s="22"/>
      <c r="AD1294" s="22"/>
      <c r="AE1294" s="22"/>
      <c r="AF1294" s="22"/>
      <c r="AG1294" s="22"/>
      <c r="AH1294" s="22"/>
      <c r="AI1294" s="22"/>
      <c r="AJ1294" s="22"/>
    </row>
    <row r="1295" spans="1:36" x14ac:dyDescent="0.25">
      <c r="A1295" s="22" t="s">
        <v>3221</v>
      </c>
      <c r="B1295" s="22">
        <v>0</v>
      </c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2"/>
      <c r="S1295" s="22"/>
      <c r="T1295" s="22"/>
      <c r="U1295" s="22"/>
      <c r="V1295" s="22"/>
      <c r="W1295" s="22"/>
      <c r="X1295" s="22"/>
      <c r="Y1295" s="22"/>
      <c r="Z1295" s="22"/>
      <c r="AA1295" s="22"/>
      <c r="AB1295" s="22"/>
      <c r="AC1295" s="22"/>
      <c r="AD1295" s="22"/>
      <c r="AE1295" s="22"/>
      <c r="AF1295" s="22"/>
      <c r="AG1295" s="22"/>
      <c r="AH1295" s="22"/>
      <c r="AI1295" s="22"/>
      <c r="AJ1295" s="22"/>
    </row>
    <row r="1296" spans="1:36" x14ac:dyDescent="0.25">
      <c r="A1296" s="22" t="s">
        <v>3222</v>
      </c>
      <c r="B1296" s="22">
        <v>0</v>
      </c>
      <c r="C1296" s="22"/>
      <c r="D1296" s="22"/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2"/>
      <c r="T1296" s="22"/>
      <c r="U1296" s="22"/>
      <c r="V1296" s="22"/>
      <c r="W1296" s="22"/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AI1296" s="22"/>
      <c r="AJ1296" s="22"/>
    </row>
    <row r="1297" spans="1:36" x14ac:dyDescent="0.25">
      <c r="A1297" s="22" t="s">
        <v>3223</v>
      </c>
      <c r="B1297" s="22">
        <v>0</v>
      </c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2"/>
      <c r="S1297" s="22"/>
      <c r="T1297" s="22"/>
      <c r="U1297" s="22"/>
      <c r="V1297" s="22"/>
      <c r="W1297" s="22"/>
      <c r="X1297" s="22"/>
      <c r="Y1297" s="22"/>
      <c r="Z1297" s="22"/>
      <c r="AA1297" s="22"/>
      <c r="AB1297" s="22"/>
      <c r="AC1297" s="22"/>
      <c r="AD1297" s="22"/>
      <c r="AE1297" s="22"/>
      <c r="AF1297" s="22"/>
      <c r="AG1297" s="22"/>
      <c r="AH1297" s="22"/>
      <c r="AI1297" s="22"/>
      <c r="AJ1297" s="22"/>
    </row>
    <row r="1298" spans="1:36" x14ac:dyDescent="0.25">
      <c r="A1298" s="22" t="s">
        <v>3224</v>
      </c>
      <c r="B1298" s="22">
        <v>0</v>
      </c>
      <c r="C1298" s="22"/>
      <c r="D1298" s="22"/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2"/>
      <c r="T1298" s="22"/>
      <c r="U1298" s="22"/>
      <c r="V1298" s="22"/>
      <c r="W1298" s="22"/>
      <c r="X1298" s="22"/>
      <c r="Y1298" s="22"/>
      <c r="Z1298" s="22"/>
      <c r="AA1298" s="22"/>
      <c r="AB1298" s="22"/>
      <c r="AC1298" s="22"/>
      <c r="AD1298" s="22"/>
      <c r="AE1298" s="22"/>
      <c r="AF1298" s="22"/>
      <c r="AG1298" s="22"/>
      <c r="AH1298" s="22"/>
      <c r="AI1298" s="22"/>
      <c r="AJ1298" s="22"/>
    </row>
    <row r="1299" spans="1:36" x14ac:dyDescent="0.25">
      <c r="A1299" s="22" t="s">
        <v>3225</v>
      </c>
      <c r="B1299" s="22">
        <v>0</v>
      </c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2"/>
      <c r="S1299" s="22"/>
      <c r="T1299" s="22"/>
      <c r="U1299" s="22"/>
      <c r="V1299" s="22"/>
      <c r="W1299" s="22"/>
      <c r="X1299" s="22"/>
      <c r="Y1299" s="22"/>
      <c r="Z1299" s="22"/>
      <c r="AA1299" s="22"/>
      <c r="AB1299" s="22"/>
      <c r="AC1299" s="22"/>
      <c r="AD1299" s="22"/>
      <c r="AE1299" s="22"/>
      <c r="AF1299" s="22"/>
      <c r="AG1299" s="22"/>
      <c r="AH1299" s="22"/>
      <c r="AI1299" s="22"/>
      <c r="AJ1299" s="22"/>
    </row>
    <row r="1300" spans="1:36" x14ac:dyDescent="0.25">
      <c r="A1300" s="22" t="s">
        <v>3226</v>
      </c>
      <c r="B1300" s="22">
        <v>0</v>
      </c>
      <c r="C1300" s="22"/>
      <c r="D1300" s="22"/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X1300" s="22"/>
      <c r="Y1300" s="22"/>
      <c r="Z1300" s="22"/>
      <c r="AA1300" s="22"/>
      <c r="AB1300" s="22"/>
      <c r="AC1300" s="22"/>
      <c r="AD1300" s="22"/>
      <c r="AE1300" s="22"/>
      <c r="AF1300" s="22"/>
      <c r="AG1300" s="22"/>
      <c r="AH1300" s="22"/>
      <c r="AI1300" s="22"/>
      <c r="AJ1300" s="22"/>
    </row>
    <row r="1301" spans="1:36" x14ac:dyDescent="0.25">
      <c r="A1301" s="22" t="s">
        <v>3227</v>
      </c>
      <c r="B1301" s="22">
        <v>0</v>
      </c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2"/>
      <c r="S1301" s="22"/>
      <c r="T1301" s="22"/>
      <c r="U1301" s="22"/>
      <c r="V1301" s="22"/>
      <c r="W1301" s="22"/>
      <c r="X1301" s="22"/>
      <c r="Y1301" s="22"/>
      <c r="Z1301" s="22"/>
      <c r="AA1301" s="22"/>
      <c r="AB1301" s="22"/>
      <c r="AC1301" s="22"/>
      <c r="AD1301" s="22"/>
      <c r="AE1301" s="22"/>
      <c r="AF1301" s="22"/>
      <c r="AG1301" s="22"/>
      <c r="AH1301" s="22"/>
      <c r="AI1301" s="22"/>
      <c r="AJ1301" s="22"/>
    </row>
    <row r="1302" spans="1:36" x14ac:dyDescent="0.25">
      <c r="A1302" s="22" t="s">
        <v>413</v>
      </c>
      <c r="B1302" s="22">
        <v>40</v>
      </c>
      <c r="C1302" s="22"/>
      <c r="D1302" s="22"/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2"/>
      <c r="T1302" s="22"/>
      <c r="U1302" s="22"/>
      <c r="V1302" s="22"/>
      <c r="W1302" s="22"/>
      <c r="X1302" s="22"/>
      <c r="Y1302" s="22"/>
      <c r="Z1302" s="22"/>
      <c r="AA1302" s="22"/>
      <c r="AB1302" s="22"/>
      <c r="AC1302" s="22"/>
      <c r="AD1302" s="22"/>
      <c r="AE1302" s="22"/>
      <c r="AF1302" s="22"/>
      <c r="AG1302" s="22"/>
      <c r="AH1302" s="22"/>
      <c r="AI1302" s="22"/>
      <c r="AJ1302" s="22"/>
    </row>
    <row r="1303" spans="1:36" x14ac:dyDescent="0.25">
      <c r="A1303" s="22" t="s">
        <v>3228</v>
      </c>
      <c r="B1303" s="22">
        <v>0</v>
      </c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2"/>
      <c r="S1303" s="22"/>
      <c r="T1303" s="22"/>
      <c r="U1303" s="22"/>
      <c r="V1303" s="22"/>
      <c r="W1303" s="22"/>
      <c r="X1303" s="22"/>
      <c r="Y1303" s="22"/>
      <c r="Z1303" s="22"/>
      <c r="AA1303" s="22"/>
      <c r="AB1303" s="22"/>
      <c r="AC1303" s="22"/>
      <c r="AD1303" s="22"/>
      <c r="AE1303" s="22"/>
      <c r="AF1303" s="22"/>
      <c r="AG1303" s="22"/>
      <c r="AH1303" s="22"/>
      <c r="AI1303" s="22"/>
      <c r="AJ1303" s="22"/>
    </row>
    <row r="1304" spans="1:36" x14ac:dyDescent="0.25">
      <c r="A1304" s="22" t="s">
        <v>3229</v>
      </c>
      <c r="B1304" s="22">
        <v>0</v>
      </c>
      <c r="C1304" s="22"/>
      <c r="D1304" s="22"/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2"/>
      <c r="T1304" s="22"/>
      <c r="U1304" s="22"/>
      <c r="V1304" s="22"/>
      <c r="W1304" s="22"/>
      <c r="X1304" s="22"/>
      <c r="Y1304" s="22"/>
      <c r="Z1304" s="22"/>
      <c r="AA1304" s="22"/>
      <c r="AB1304" s="22"/>
      <c r="AC1304" s="22"/>
      <c r="AD1304" s="22"/>
      <c r="AE1304" s="22"/>
      <c r="AF1304" s="22"/>
      <c r="AG1304" s="22"/>
      <c r="AH1304" s="22"/>
      <c r="AI1304" s="22"/>
      <c r="AJ1304" s="22"/>
    </row>
    <row r="1305" spans="1:36" x14ac:dyDescent="0.25">
      <c r="A1305" s="22" t="s">
        <v>3230</v>
      </c>
      <c r="B1305" s="22">
        <v>0</v>
      </c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2"/>
      <c r="S1305" s="22"/>
      <c r="T1305" s="22"/>
      <c r="U1305" s="22"/>
      <c r="V1305" s="22"/>
      <c r="W1305" s="22"/>
      <c r="X1305" s="22"/>
      <c r="Y1305" s="22"/>
      <c r="Z1305" s="22"/>
      <c r="AA1305" s="22"/>
      <c r="AB1305" s="22"/>
      <c r="AC1305" s="22"/>
      <c r="AD1305" s="22"/>
      <c r="AE1305" s="22"/>
      <c r="AF1305" s="22"/>
      <c r="AG1305" s="22"/>
      <c r="AH1305" s="22"/>
      <c r="AI1305" s="22"/>
      <c r="AJ1305" s="22"/>
    </row>
    <row r="1306" spans="1:36" x14ac:dyDescent="0.25">
      <c r="A1306" s="22" t="s">
        <v>3231</v>
      </c>
      <c r="B1306" s="22">
        <v>0</v>
      </c>
      <c r="C1306" s="22"/>
      <c r="D1306" s="22"/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2"/>
      <c r="T1306" s="22"/>
      <c r="U1306" s="22"/>
      <c r="V1306" s="22"/>
      <c r="W1306" s="22"/>
      <c r="X1306" s="22"/>
      <c r="Y1306" s="22"/>
      <c r="Z1306" s="22"/>
      <c r="AA1306" s="22"/>
      <c r="AB1306" s="22"/>
      <c r="AC1306" s="22"/>
      <c r="AD1306" s="22"/>
      <c r="AE1306" s="22"/>
      <c r="AF1306" s="22"/>
      <c r="AG1306" s="22"/>
      <c r="AH1306" s="22"/>
      <c r="AI1306" s="22"/>
      <c r="AJ1306" s="22"/>
    </row>
    <row r="1307" spans="1:36" x14ac:dyDescent="0.25">
      <c r="A1307" s="22" t="s">
        <v>3232</v>
      </c>
      <c r="B1307" s="22">
        <v>0</v>
      </c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2"/>
      <c r="S1307" s="22"/>
      <c r="T1307" s="22"/>
      <c r="U1307" s="22"/>
      <c r="V1307" s="22"/>
      <c r="W1307" s="22"/>
      <c r="X1307" s="22"/>
      <c r="Y1307" s="22"/>
      <c r="Z1307" s="22"/>
      <c r="AA1307" s="22"/>
      <c r="AB1307" s="22"/>
      <c r="AC1307" s="22"/>
      <c r="AD1307" s="22"/>
      <c r="AE1307" s="22"/>
      <c r="AF1307" s="22"/>
      <c r="AG1307" s="22"/>
      <c r="AH1307" s="22"/>
      <c r="AI1307" s="22"/>
      <c r="AJ1307" s="22"/>
    </row>
    <row r="1308" spans="1:36" x14ac:dyDescent="0.25">
      <c r="A1308" s="22" t="s">
        <v>3233</v>
      </c>
      <c r="B1308" s="22">
        <v>0</v>
      </c>
      <c r="C1308" s="22"/>
      <c r="D1308" s="22"/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2"/>
      <c r="T1308" s="22"/>
      <c r="U1308" s="22"/>
      <c r="V1308" s="22"/>
      <c r="W1308" s="22"/>
      <c r="X1308" s="22"/>
      <c r="Y1308" s="22"/>
      <c r="Z1308" s="22"/>
      <c r="AA1308" s="22"/>
      <c r="AB1308" s="22"/>
      <c r="AC1308" s="22"/>
      <c r="AD1308" s="22"/>
      <c r="AE1308" s="22"/>
      <c r="AF1308" s="22"/>
      <c r="AG1308" s="22"/>
      <c r="AH1308" s="22"/>
      <c r="AI1308" s="22"/>
      <c r="AJ1308" s="22"/>
    </row>
    <row r="1309" spans="1:36" x14ac:dyDescent="0.25">
      <c r="A1309" s="22" t="s">
        <v>3234</v>
      </c>
      <c r="B1309" s="22">
        <v>0</v>
      </c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2"/>
      <c r="S1309" s="22"/>
      <c r="T1309" s="22"/>
      <c r="U1309" s="22"/>
      <c r="V1309" s="22"/>
      <c r="W1309" s="22"/>
      <c r="X1309" s="22"/>
      <c r="Y1309" s="22"/>
      <c r="Z1309" s="22"/>
      <c r="AA1309" s="22"/>
      <c r="AB1309" s="22"/>
      <c r="AC1309" s="22"/>
      <c r="AD1309" s="22"/>
      <c r="AE1309" s="22"/>
      <c r="AF1309" s="22"/>
      <c r="AG1309" s="22"/>
      <c r="AH1309" s="22"/>
      <c r="AI1309" s="22"/>
      <c r="AJ1309" s="22"/>
    </row>
    <row r="1310" spans="1:36" x14ac:dyDescent="0.25">
      <c r="A1310" s="22" t="s">
        <v>414</v>
      </c>
      <c r="B1310" s="22">
        <v>29</v>
      </c>
      <c r="C1310" s="22"/>
      <c r="D1310" s="22"/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2"/>
      <c r="T1310" s="22"/>
      <c r="U1310" s="22"/>
      <c r="V1310" s="22"/>
      <c r="W1310" s="22"/>
      <c r="X1310" s="22"/>
      <c r="Y1310" s="22"/>
      <c r="Z1310" s="22"/>
      <c r="AA1310" s="22"/>
      <c r="AB1310" s="22"/>
      <c r="AC1310" s="22"/>
      <c r="AD1310" s="22"/>
      <c r="AE1310" s="22"/>
      <c r="AF1310" s="22"/>
      <c r="AG1310" s="22"/>
      <c r="AH1310" s="22"/>
      <c r="AI1310" s="22"/>
      <c r="AJ1310" s="22"/>
    </row>
    <row r="1311" spans="1:36" x14ac:dyDescent="0.25">
      <c r="A1311" s="22" t="s">
        <v>3235</v>
      </c>
      <c r="B1311" s="22">
        <v>0</v>
      </c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2"/>
      <c r="S1311" s="22"/>
      <c r="T1311" s="22"/>
      <c r="U1311" s="22"/>
      <c r="V1311" s="22"/>
      <c r="W1311" s="22"/>
      <c r="X1311" s="22"/>
      <c r="Y1311" s="22"/>
      <c r="Z1311" s="22"/>
      <c r="AA1311" s="22"/>
      <c r="AB1311" s="22"/>
      <c r="AC1311" s="22"/>
      <c r="AD1311" s="22"/>
      <c r="AE1311" s="22"/>
      <c r="AF1311" s="22"/>
      <c r="AG1311" s="22"/>
      <c r="AH1311" s="22"/>
      <c r="AI1311" s="22"/>
      <c r="AJ1311" s="22"/>
    </row>
    <row r="1312" spans="1:36" x14ac:dyDescent="0.25">
      <c r="A1312" s="22" t="s">
        <v>3236</v>
      </c>
      <c r="B1312" s="22">
        <v>0</v>
      </c>
      <c r="C1312" s="22"/>
      <c r="D1312" s="22"/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2"/>
      <c r="T1312" s="22"/>
      <c r="U1312" s="22"/>
      <c r="V1312" s="22"/>
      <c r="W1312" s="22"/>
      <c r="X1312" s="22"/>
      <c r="Y1312" s="22"/>
      <c r="Z1312" s="22"/>
      <c r="AA1312" s="22"/>
      <c r="AB1312" s="22"/>
      <c r="AC1312" s="22"/>
      <c r="AD1312" s="22"/>
      <c r="AE1312" s="22"/>
      <c r="AF1312" s="22"/>
      <c r="AG1312" s="22"/>
      <c r="AH1312" s="22"/>
      <c r="AI1312" s="22"/>
      <c r="AJ1312" s="22"/>
    </row>
    <row r="1313" spans="1:36" x14ac:dyDescent="0.25">
      <c r="A1313" s="22" t="s">
        <v>3237</v>
      </c>
      <c r="B1313" s="22">
        <v>0</v>
      </c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2"/>
      <c r="S1313" s="22"/>
      <c r="T1313" s="22"/>
      <c r="U1313" s="22"/>
      <c r="V1313" s="22"/>
      <c r="W1313" s="22"/>
      <c r="X1313" s="22"/>
      <c r="Y1313" s="22"/>
      <c r="Z1313" s="22"/>
      <c r="AA1313" s="22"/>
      <c r="AB1313" s="22"/>
      <c r="AC1313" s="22"/>
      <c r="AD1313" s="22"/>
      <c r="AE1313" s="22"/>
      <c r="AF1313" s="22"/>
      <c r="AG1313" s="22"/>
      <c r="AH1313" s="22"/>
      <c r="AI1313" s="22"/>
      <c r="AJ1313" s="22"/>
    </row>
    <row r="1314" spans="1:36" x14ac:dyDescent="0.25">
      <c r="A1314" s="22" t="s">
        <v>3238</v>
      </c>
      <c r="B1314" s="22">
        <v>0</v>
      </c>
      <c r="C1314" s="22"/>
      <c r="D1314" s="22"/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2"/>
      <c r="T1314" s="22"/>
      <c r="U1314" s="22"/>
      <c r="V1314" s="22"/>
      <c r="W1314" s="22"/>
      <c r="X1314" s="22"/>
      <c r="Y1314" s="22"/>
      <c r="Z1314" s="22"/>
      <c r="AA1314" s="22"/>
      <c r="AB1314" s="22"/>
      <c r="AC1314" s="22"/>
      <c r="AD1314" s="22"/>
      <c r="AE1314" s="22"/>
      <c r="AF1314" s="22"/>
      <c r="AG1314" s="22"/>
      <c r="AH1314" s="22"/>
      <c r="AI1314" s="22"/>
      <c r="AJ1314" s="22"/>
    </row>
    <row r="1315" spans="1:36" x14ac:dyDescent="0.25">
      <c r="A1315" s="22" t="s">
        <v>3239</v>
      </c>
      <c r="B1315" s="22">
        <v>0</v>
      </c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2"/>
      <c r="S1315" s="22"/>
      <c r="T1315" s="22"/>
      <c r="U1315" s="22"/>
      <c r="V1315" s="22"/>
      <c r="W1315" s="22"/>
      <c r="X1315" s="22"/>
      <c r="Y1315" s="22"/>
      <c r="Z1315" s="22"/>
      <c r="AA1315" s="22"/>
      <c r="AB1315" s="22"/>
      <c r="AC1315" s="22"/>
      <c r="AD1315" s="22"/>
      <c r="AE1315" s="22"/>
      <c r="AF1315" s="22"/>
      <c r="AG1315" s="22"/>
      <c r="AH1315" s="22"/>
      <c r="AI1315" s="22"/>
      <c r="AJ1315" s="22"/>
    </row>
    <row r="1316" spans="1:36" x14ac:dyDescent="0.25">
      <c r="A1316" s="22" t="s">
        <v>3240</v>
      </c>
      <c r="B1316" s="22">
        <v>0</v>
      </c>
      <c r="C1316" s="22"/>
      <c r="D1316" s="22"/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2"/>
      <c r="T1316" s="22"/>
      <c r="U1316" s="22"/>
      <c r="V1316" s="22"/>
      <c r="W1316" s="22"/>
      <c r="X1316" s="22"/>
      <c r="Y1316" s="22"/>
      <c r="Z1316" s="22"/>
      <c r="AA1316" s="22"/>
      <c r="AB1316" s="22"/>
      <c r="AC1316" s="22"/>
      <c r="AD1316" s="22"/>
      <c r="AE1316" s="22"/>
      <c r="AF1316" s="22"/>
      <c r="AG1316" s="22"/>
      <c r="AH1316" s="22"/>
      <c r="AI1316" s="22"/>
      <c r="AJ1316" s="22"/>
    </row>
    <row r="1317" spans="1:36" x14ac:dyDescent="0.25">
      <c r="A1317" s="22" t="s">
        <v>3241</v>
      </c>
      <c r="B1317" s="22">
        <v>0</v>
      </c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2"/>
      <c r="S1317" s="22"/>
      <c r="T1317" s="22"/>
      <c r="U1317" s="22"/>
      <c r="V1317" s="22"/>
      <c r="W1317" s="22"/>
      <c r="X1317" s="22"/>
      <c r="Y1317" s="22"/>
      <c r="Z1317" s="22"/>
      <c r="AA1317" s="22"/>
      <c r="AB1317" s="22"/>
      <c r="AC1317" s="22"/>
      <c r="AD1317" s="22"/>
      <c r="AE1317" s="22"/>
      <c r="AF1317" s="22"/>
      <c r="AG1317" s="22"/>
      <c r="AH1317" s="22"/>
      <c r="AI1317" s="22"/>
      <c r="AJ1317" s="22"/>
    </row>
    <row r="1318" spans="1:36" x14ac:dyDescent="0.25">
      <c r="A1318" s="22" t="s">
        <v>415</v>
      </c>
      <c r="B1318" s="22">
        <v>74</v>
      </c>
      <c r="C1318" s="22"/>
      <c r="D1318" s="22"/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2"/>
      <c r="T1318" s="22"/>
      <c r="U1318" s="22"/>
      <c r="V1318" s="22"/>
      <c r="W1318" s="22"/>
      <c r="X1318" s="22"/>
      <c r="Y1318" s="22"/>
      <c r="Z1318" s="22"/>
      <c r="AA1318" s="22"/>
      <c r="AB1318" s="22"/>
      <c r="AC1318" s="22"/>
      <c r="AD1318" s="22"/>
      <c r="AE1318" s="22"/>
      <c r="AF1318" s="22"/>
      <c r="AG1318" s="22"/>
      <c r="AH1318" s="22"/>
      <c r="AI1318" s="22"/>
      <c r="AJ1318" s="22"/>
    </row>
    <row r="1319" spans="1:36" x14ac:dyDescent="0.25">
      <c r="A1319" s="22" t="s">
        <v>3242</v>
      </c>
      <c r="B1319" s="22">
        <v>0</v>
      </c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2"/>
      <c r="S1319" s="22"/>
      <c r="T1319" s="22"/>
      <c r="U1319" s="22"/>
      <c r="V1319" s="22"/>
      <c r="W1319" s="22"/>
      <c r="X1319" s="22"/>
      <c r="Y1319" s="22"/>
      <c r="Z1319" s="22"/>
      <c r="AA1319" s="22"/>
      <c r="AB1319" s="22"/>
      <c r="AC1319" s="22"/>
      <c r="AD1319" s="22"/>
      <c r="AE1319" s="22"/>
      <c r="AF1319" s="22"/>
      <c r="AG1319" s="22"/>
      <c r="AH1319" s="22"/>
      <c r="AI1319" s="22"/>
      <c r="AJ1319" s="22"/>
    </row>
    <row r="1320" spans="1:36" x14ac:dyDescent="0.25">
      <c r="A1320" s="22" t="s">
        <v>3243</v>
      </c>
      <c r="B1320" s="22">
        <v>0</v>
      </c>
      <c r="C1320" s="22"/>
      <c r="D1320" s="22"/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2"/>
      <c r="T1320" s="22"/>
      <c r="U1320" s="22"/>
      <c r="V1320" s="22"/>
      <c r="W1320" s="22"/>
      <c r="X1320" s="22"/>
      <c r="Y1320" s="22"/>
      <c r="Z1320" s="22"/>
      <c r="AA1320" s="22"/>
      <c r="AB1320" s="22"/>
      <c r="AC1320" s="22"/>
      <c r="AD1320" s="22"/>
      <c r="AE1320" s="22"/>
      <c r="AF1320" s="22"/>
      <c r="AG1320" s="22"/>
      <c r="AH1320" s="22"/>
      <c r="AI1320" s="22"/>
      <c r="AJ1320" s="22"/>
    </row>
    <row r="1321" spans="1:36" x14ac:dyDescent="0.25">
      <c r="A1321" s="22" t="s">
        <v>3244</v>
      </c>
      <c r="B1321" s="22">
        <v>0</v>
      </c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2"/>
      <c r="S1321" s="22"/>
      <c r="T1321" s="22"/>
      <c r="U1321" s="22"/>
      <c r="V1321" s="22"/>
      <c r="W1321" s="22"/>
      <c r="X1321" s="22"/>
      <c r="Y1321" s="22"/>
      <c r="Z1321" s="22"/>
      <c r="AA1321" s="22"/>
      <c r="AB1321" s="22"/>
      <c r="AC1321" s="22"/>
      <c r="AD1321" s="22"/>
      <c r="AE1321" s="22"/>
      <c r="AF1321" s="22"/>
      <c r="AG1321" s="22"/>
      <c r="AH1321" s="22"/>
      <c r="AI1321" s="22"/>
      <c r="AJ1321" s="22"/>
    </row>
    <row r="1322" spans="1:36" x14ac:dyDescent="0.25">
      <c r="A1322" s="22" t="s">
        <v>3245</v>
      </c>
      <c r="B1322" s="22">
        <v>4</v>
      </c>
      <c r="C1322" s="22"/>
      <c r="D1322" s="22"/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2"/>
      <c r="T1322" s="22"/>
      <c r="U1322" s="22"/>
      <c r="V1322" s="22"/>
      <c r="W1322" s="22"/>
      <c r="X1322" s="22"/>
      <c r="Y1322" s="22"/>
      <c r="Z1322" s="22"/>
      <c r="AA1322" s="22"/>
      <c r="AB1322" s="22"/>
      <c r="AC1322" s="22"/>
      <c r="AD1322" s="22"/>
      <c r="AE1322" s="22"/>
      <c r="AF1322" s="22"/>
      <c r="AG1322" s="22"/>
      <c r="AH1322" s="22"/>
      <c r="AI1322" s="22"/>
      <c r="AJ1322" s="22"/>
    </row>
    <row r="1323" spans="1:36" x14ac:dyDescent="0.25">
      <c r="A1323" s="22" t="s">
        <v>3246</v>
      </c>
      <c r="B1323" s="22">
        <v>0</v>
      </c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2"/>
      <c r="S1323" s="22"/>
      <c r="T1323" s="22"/>
      <c r="U1323" s="22"/>
      <c r="V1323" s="22"/>
      <c r="W1323" s="22"/>
      <c r="X1323" s="22"/>
      <c r="Y1323" s="22"/>
      <c r="Z1323" s="22"/>
      <c r="AA1323" s="22"/>
      <c r="AB1323" s="22"/>
      <c r="AC1323" s="22"/>
      <c r="AD1323" s="22"/>
      <c r="AE1323" s="22"/>
      <c r="AF1323" s="22"/>
      <c r="AG1323" s="22"/>
      <c r="AH1323" s="22"/>
      <c r="AI1323" s="22"/>
      <c r="AJ1323" s="22"/>
    </row>
    <row r="1324" spans="1:36" x14ac:dyDescent="0.25">
      <c r="A1324" s="22" t="s">
        <v>3247</v>
      </c>
      <c r="B1324" s="22">
        <v>0</v>
      </c>
      <c r="C1324" s="22"/>
      <c r="D1324" s="22"/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2"/>
      <c r="T1324" s="22"/>
      <c r="U1324" s="22"/>
      <c r="V1324" s="22"/>
      <c r="W1324" s="22"/>
      <c r="X1324" s="22"/>
      <c r="Y1324" s="22"/>
      <c r="Z1324" s="22"/>
      <c r="AA1324" s="22"/>
      <c r="AB1324" s="22"/>
      <c r="AC1324" s="22"/>
      <c r="AD1324" s="22"/>
      <c r="AE1324" s="22"/>
      <c r="AF1324" s="22"/>
      <c r="AG1324" s="22"/>
      <c r="AH1324" s="22"/>
      <c r="AI1324" s="22"/>
      <c r="AJ1324" s="22"/>
    </row>
    <row r="1325" spans="1:36" x14ac:dyDescent="0.25">
      <c r="A1325" s="22" t="s">
        <v>3248</v>
      </c>
      <c r="B1325" s="22">
        <v>0</v>
      </c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2"/>
      <c r="S1325" s="22"/>
      <c r="T1325" s="22"/>
      <c r="U1325" s="22"/>
      <c r="V1325" s="22"/>
      <c r="W1325" s="22"/>
      <c r="X1325" s="22"/>
      <c r="Y1325" s="22"/>
      <c r="Z1325" s="22"/>
      <c r="AA1325" s="22"/>
      <c r="AB1325" s="22"/>
      <c r="AC1325" s="22"/>
      <c r="AD1325" s="22"/>
      <c r="AE1325" s="22"/>
      <c r="AF1325" s="22"/>
      <c r="AG1325" s="22"/>
      <c r="AH1325" s="22"/>
      <c r="AI1325" s="22"/>
      <c r="AJ1325" s="22"/>
    </row>
    <row r="1326" spans="1:36" x14ac:dyDescent="0.25">
      <c r="A1326" s="22" t="s">
        <v>950</v>
      </c>
      <c r="B1326" s="22">
        <v>1</v>
      </c>
      <c r="C1326" s="22"/>
      <c r="D1326" s="22"/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2"/>
      <c r="T1326" s="22"/>
      <c r="U1326" s="22"/>
      <c r="V1326" s="22"/>
      <c r="W1326" s="22"/>
      <c r="X1326" s="22"/>
      <c r="Y1326" s="22"/>
      <c r="Z1326" s="22"/>
      <c r="AA1326" s="22"/>
      <c r="AB1326" s="22"/>
      <c r="AC1326" s="22"/>
      <c r="AD1326" s="22"/>
      <c r="AE1326" s="22"/>
      <c r="AF1326" s="22"/>
      <c r="AG1326" s="22"/>
      <c r="AH1326" s="22"/>
      <c r="AI1326" s="22"/>
      <c r="AJ1326" s="22"/>
    </row>
    <row r="1327" spans="1:36" x14ac:dyDescent="0.25">
      <c r="A1327" s="22" t="s">
        <v>3249</v>
      </c>
      <c r="B1327" s="22">
        <v>0</v>
      </c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2"/>
      <c r="S1327" s="22"/>
      <c r="T1327" s="22"/>
      <c r="U1327" s="22"/>
      <c r="V1327" s="22"/>
      <c r="W1327" s="22"/>
      <c r="X1327" s="22"/>
      <c r="Y1327" s="22"/>
      <c r="Z1327" s="22"/>
      <c r="AA1327" s="22"/>
      <c r="AB1327" s="22"/>
      <c r="AC1327" s="22"/>
      <c r="AD1327" s="22"/>
      <c r="AE1327" s="22"/>
      <c r="AF1327" s="22"/>
      <c r="AG1327" s="22"/>
      <c r="AH1327" s="22"/>
      <c r="AI1327" s="22"/>
      <c r="AJ1327" s="22"/>
    </row>
    <row r="1328" spans="1:36" x14ac:dyDescent="0.25">
      <c r="A1328" s="22" t="s">
        <v>3250</v>
      </c>
      <c r="B1328" s="22">
        <v>0</v>
      </c>
      <c r="C1328" s="22"/>
      <c r="D1328" s="22"/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2"/>
      <c r="T1328" s="22"/>
      <c r="U1328" s="22"/>
      <c r="V1328" s="22"/>
      <c r="W1328" s="22"/>
      <c r="X1328" s="22"/>
      <c r="Y1328" s="22"/>
      <c r="Z1328" s="22"/>
      <c r="AA1328" s="22"/>
      <c r="AB1328" s="22"/>
      <c r="AC1328" s="22"/>
      <c r="AD1328" s="22"/>
      <c r="AE1328" s="22"/>
      <c r="AF1328" s="22"/>
      <c r="AG1328" s="22"/>
      <c r="AH1328" s="22"/>
      <c r="AI1328" s="22"/>
      <c r="AJ1328" s="22"/>
    </row>
    <row r="1329" spans="1:36" x14ac:dyDescent="0.25">
      <c r="A1329" s="22" t="s">
        <v>3251</v>
      </c>
      <c r="B1329" s="22">
        <v>0</v>
      </c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2"/>
      <c r="S1329" s="22"/>
      <c r="T1329" s="22"/>
      <c r="U1329" s="22"/>
      <c r="V1329" s="22"/>
      <c r="W1329" s="22"/>
      <c r="X1329" s="22"/>
      <c r="Y1329" s="22"/>
      <c r="Z1329" s="22"/>
      <c r="AA1329" s="22"/>
      <c r="AB1329" s="22"/>
      <c r="AC1329" s="22"/>
      <c r="AD1329" s="22"/>
      <c r="AE1329" s="22"/>
      <c r="AF1329" s="22"/>
      <c r="AG1329" s="22"/>
      <c r="AH1329" s="22"/>
      <c r="AI1329" s="22"/>
      <c r="AJ1329" s="22"/>
    </row>
    <row r="1330" spans="1:36" x14ac:dyDescent="0.25">
      <c r="A1330" s="22" t="s">
        <v>3252</v>
      </c>
      <c r="B1330" s="22">
        <v>0</v>
      </c>
      <c r="C1330" s="22"/>
      <c r="D1330" s="22"/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</row>
    <row r="1331" spans="1:36" x14ac:dyDescent="0.25">
      <c r="A1331" s="22" t="s">
        <v>3253</v>
      </c>
      <c r="B1331" s="22">
        <v>0</v>
      </c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</row>
    <row r="1332" spans="1:36" x14ac:dyDescent="0.25">
      <c r="A1332" s="22" t="s">
        <v>3254</v>
      </c>
      <c r="B1332" s="22">
        <v>0</v>
      </c>
      <c r="C1332" s="22"/>
      <c r="D1332" s="22"/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</row>
    <row r="1333" spans="1:36" x14ac:dyDescent="0.25">
      <c r="A1333" s="22" t="s">
        <v>3255</v>
      </c>
      <c r="B1333" s="22">
        <v>0</v>
      </c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</row>
    <row r="1334" spans="1:36" x14ac:dyDescent="0.25">
      <c r="A1334" s="22" t="s">
        <v>416</v>
      </c>
      <c r="B1334" s="22">
        <v>241</v>
      </c>
      <c r="C1334" s="22"/>
      <c r="D1334" s="22"/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</row>
    <row r="1335" spans="1:36" x14ac:dyDescent="0.25">
      <c r="A1335" s="22" t="s">
        <v>3256</v>
      </c>
      <c r="B1335" s="22">
        <v>0</v>
      </c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  <c r="AF1335" s="22"/>
      <c r="AG1335" s="22"/>
      <c r="AH1335" s="22"/>
      <c r="AI1335" s="22"/>
      <c r="AJ1335" s="22"/>
    </row>
    <row r="1336" spans="1:36" x14ac:dyDescent="0.25">
      <c r="A1336" s="22" t="s">
        <v>3257</v>
      </c>
      <c r="B1336" s="22">
        <v>20</v>
      </c>
      <c r="C1336" s="22"/>
      <c r="D1336" s="22"/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  <c r="AF1336" s="22"/>
      <c r="AG1336" s="22"/>
      <c r="AH1336" s="22"/>
      <c r="AI1336" s="22"/>
      <c r="AJ1336" s="22"/>
    </row>
    <row r="1337" spans="1:36" x14ac:dyDescent="0.25">
      <c r="A1337" s="22" t="s">
        <v>3258</v>
      </c>
      <c r="B1337" s="22">
        <v>0</v>
      </c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2"/>
      <c r="S1337" s="22"/>
      <c r="T1337" s="22"/>
      <c r="U1337" s="22"/>
      <c r="V1337" s="22"/>
      <c r="W1337" s="22"/>
      <c r="X1337" s="22"/>
      <c r="Y1337" s="22"/>
      <c r="Z1337" s="22"/>
      <c r="AA1337" s="22"/>
      <c r="AB1337" s="22"/>
      <c r="AC1337" s="22"/>
      <c r="AD1337" s="22"/>
      <c r="AE1337" s="22"/>
      <c r="AF1337" s="22"/>
      <c r="AG1337" s="22"/>
      <c r="AH1337" s="22"/>
      <c r="AI1337" s="22"/>
      <c r="AJ1337" s="22"/>
    </row>
    <row r="1338" spans="1:36" x14ac:dyDescent="0.25">
      <c r="A1338" s="22" t="s">
        <v>3259</v>
      </c>
      <c r="B1338" s="22">
        <v>2</v>
      </c>
      <c r="C1338" s="22"/>
      <c r="D1338" s="22"/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2"/>
      <c r="T1338" s="22"/>
      <c r="U1338" s="22"/>
      <c r="V1338" s="22"/>
      <c r="W1338" s="22"/>
      <c r="X1338" s="22"/>
      <c r="Y1338" s="22"/>
      <c r="Z1338" s="22"/>
      <c r="AA1338" s="22"/>
      <c r="AB1338" s="22"/>
      <c r="AC1338" s="22"/>
      <c r="AD1338" s="22"/>
      <c r="AE1338" s="22"/>
      <c r="AF1338" s="22"/>
      <c r="AG1338" s="22"/>
      <c r="AH1338" s="22"/>
      <c r="AI1338" s="22"/>
      <c r="AJ1338" s="22"/>
    </row>
    <row r="1339" spans="1:36" x14ac:dyDescent="0.25">
      <c r="A1339" s="22" t="s">
        <v>3260</v>
      </c>
      <c r="B1339" s="22">
        <v>0</v>
      </c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2"/>
      <c r="S1339" s="22"/>
      <c r="T1339" s="22"/>
      <c r="U1339" s="22"/>
      <c r="V1339" s="22"/>
      <c r="W1339" s="22"/>
      <c r="X1339" s="22"/>
      <c r="Y1339" s="22"/>
      <c r="Z1339" s="22"/>
      <c r="AA1339" s="22"/>
      <c r="AB1339" s="22"/>
      <c r="AC1339" s="22"/>
      <c r="AD1339" s="22"/>
      <c r="AE1339" s="22"/>
      <c r="AF1339" s="22"/>
      <c r="AG1339" s="22"/>
      <c r="AH1339" s="22"/>
      <c r="AI1339" s="22"/>
      <c r="AJ1339" s="22"/>
    </row>
    <row r="1340" spans="1:36" x14ac:dyDescent="0.25">
      <c r="A1340" s="22" t="s">
        <v>3261</v>
      </c>
      <c r="B1340" s="22">
        <v>0</v>
      </c>
      <c r="C1340" s="22"/>
      <c r="D1340" s="22"/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2"/>
      <c r="T1340" s="22"/>
      <c r="U1340" s="22"/>
      <c r="V1340" s="22"/>
      <c r="W1340" s="22"/>
      <c r="X1340" s="22"/>
      <c r="Y1340" s="22"/>
      <c r="Z1340" s="22"/>
      <c r="AA1340" s="22"/>
      <c r="AB1340" s="22"/>
      <c r="AC1340" s="22"/>
      <c r="AD1340" s="22"/>
      <c r="AE1340" s="22"/>
      <c r="AF1340" s="22"/>
      <c r="AG1340" s="22"/>
      <c r="AH1340" s="22"/>
      <c r="AI1340" s="22"/>
      <c r="AJ1340" s="22"/>
    </row>
    <row r="1341" spans="1:36" x14ac:dyDescent="0.25">
      <c r="A1341" s="22" t="s">
        <v>3262</v>
      </c>
      <c r="B1341" s="22">
        <v>0</v>
      </c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2"/>
      <c r="S1341" s="22"/>
      <c r="T1341" s="22"/>
      <c r="U1341" s="22"/>
      <c r="V1341" s="22"/>
      <c r="W1341" s="22"/>
      <c r="X1341" s="22"/>
      <c r="Y1341" s="22"/>
      <c r="Z1341" s="22"/>
      <c r="AA1341" s="22"/>
      <c r="AB1341" s="22"/>
      <c r="AC1341" s="22"/>
      <c r="AD1341" s="22"/>
      <c r="AE1341" s="22"/>
      <c r="AF1341" s="22"/>
      <c r="AG1341" s="22"/>
      <c r="AH1341" s="22"/>
      <c r="AI1341" s="22"/>
      <c r="AJ1341" s="22"/>
    </row>
    <row r="1342" spans="1:36" x14ac:dyDescent="0.25">
      <c r="A1342" s="22" t="s">
        <v>911</v>
      </c>
      <c r="B1342" s="22">
        <v>37</v>
      </c>
      <c r="C1342" s="22"/>
      <c r="D1342" s="22"/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2"/>
      <c r="T1342" s="22"/>
      <c r="U1342" s="22"/>
      <c r="V1342" s="22"/>
      <c r="W1342" s="22"/>
      <c r="X1342" s="22"/>
      <c r="Y1342" s="22"/>
      <c r="Z1342" s="22"/>
      <c r="AA1342" s="22"/>
      <c r="AB1342" s="22"/>
      <c r="AC1342" s="22"/>
      <c r="AD1342" s="22"/>
      <c r="AE1342" s="22"/>
      <c r="AF1342" s="22"/>
      <c r="AG1342" s="22"/>
      <c r="AH1342" s="22"/>
      <c r="AI1342" s="22"/>
      <c r="AJ1342" s="22"/>
    </row>
    <row r="1343" spans="1:36" x14ac:dyDescent="0.25">
      <c r="A1343" s="22" t="s">
        <v>3263</v>
      </c>
      <c r="B1343" s="22">
        <v>0</v>
      </c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2"/>
      <c r="S1343" s="22"/>
      <c r="T1343" s="22"/>
      <c r="U1343" s="22"/>
      <c r="V1343" s="22"/>
      <c r="W1343" s="22"/>
      <c r="X1343" s="22"/>
      <c r="Y1343" s="22"/>
      <c r="Z1343" s="22"/>
      <c r="AA1343" s="22"/>
      <c r="AB1343" s="22"/>
      <c r="AC1343" s="22"/>
      <c r="AD1343" s="22"/>
      <c r="AE1343" s="22"/>
      <c r="AF1343" s="22"/>
      <c r="AG1343" s="22"/>
      <c r="AH1343" s="22"/>
      <c r="AI1343" s="22"/>
      <c r="AJ1343" s="22"/>
    </row>
    <row r="1344" spans="1:36" x14ac:dyDescent="0.25">
      <c r="A1344" s="22" t="s">
        <v>3264</v>
      </c>
      <c r="B1344" s="22">
        <v>0</v>
      </c>
      <c r="C1344" s="22"/>
      <c r="D1344" s="22"/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2"/>
      <c r="T1344" s="22"/>
      <c r="U1344" s="22"/>
      <c r="V1344" s="22"/>
      <c r="W1344" s="22"/>
      <c r="X1344" s="22"/>
      <c r="Y1344" s="22"/>
      <c r="Z1344" s="22"/>
      <c r="AA1344" s="22"/>
      <c r="AB1344" s="22"/>
      <c r="AC1344" s="22"/>
      <c r="AD1344" s="22"/>
      <c r="AE1344" s="22"/>
      <c r="AF1344" s="22"/>
      <c r="AG1344" s="22"/>
      <c r="AH1344" s="22"/>
      <c r="AI1344" s="22"/>
      <c r="AJ1344" s="22"/>
    </row>
    <row r="1345" spans="1:36" x14ac:dyDescent="0.25">
      <c r="A1345" s="22" t="s">
        <v>3265</v>
      </c>
      <c r="B1345" s="22">
        <v>0</v>
      </c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2"/>
      <c r="S1345" s="22"/>
      <c r="T1345" s="22"/>
      <c r="U1345" s="22"/>
      <c r="V1345" s="22"/>
      <c r="W1345" s="22"/>
      <c r="X1345" s="22"/>
      <c r="Y1345" s="22"/>
      <c r="Z1345" s="22"/>
      <c r="AA1345" s="22"/>
      <c r="AB1345" s="22"/>
      <c r="AC1345" s="22"/>
      <c r="AD1345" s="22"/>
      <c r="AE1345" s="22"/>
      <c r="AF1345" s="22"/>
      <c r="AG1345" s="22"/>
      <c r="AH1345" s="22"/>
      <c r="AI1345" s="22"/>
      <c r="AJ1345" s="22"/>
    </row>
    <row r="1346" spans="1:36" x14ac:dyDescent="0.25">
      <c r="A1346" s="22" t="s">
        <v>3266</v>
      </c>
      <c r="B1346" s="22">
        <v>0</v>
      </c>
      <c r="C1346" s="22"/>
      <c r="D1346" s="22"/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2"/>
      <c r="T1346" s="22"/>
      <c r="U1346" s="22"/>
      <c r="V1346" s="22"/>
      <c r="W1346" s="22"/>
      <c r="X1346" s="22"/>
      <c r="Y1346" s="22"/>
      <c r="Z1346" s="22"/>
      <c r="AA1346" s="22"/>
      <c r="AB1346" s="22"/>
      <c r="AC1346" s="22"/>
      <c r="AD1346" s="22"/>
      <c r="AE1346" s="22"/>
      <c r="AF1346" s="22"/>
      <c r="AG1346" s="22"/>
      <c r="AH1346" s="22"/>
      <c r="AI1346" s="22"/>
      <c r="AJ1346" s="22"/>
    </row>
    <row r="1347" spans="1:36" x14ac:dyDescent="0.25">
      <c r="A1347" s="22" t="s">
        <v>3267</v>
      </c>
      <c r="B1347" s="22">
        <v>0</v>
      </c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2"/>
      <c r="S1347" s="22"/>
      <c r="T1347" s="22"/>
      <c r="U1347" s="22"/>
      <c r="V1347" s="22"/>
      <c r="W1347" s="22"/>
      <c r="X1347" s="22"/>
      <c r="Y1347" s="22"/>
      <c r="Z1347" s="22"/>
      <c r="AA1347" s="22"/>
      <c r="AB1347" s="22"/>
      <c r="AC1347" s="22"/>
      <c r="AD1347" s="22"/>
      <c r="AE1347" s="22"/>
      <c r="AF1347" s="22"/>
      <c r="AG1347" s="22"/>
      <c r="AH1347" s="22"/>
      <c r="AI1347" s="22"/>
      <c r="AJ1347" s="22"/>
    </row>
    <row r="1348" spans="1:36" x14ac:dyDescent="0.25">
      <c r="A1348" s="22" t="s">
        <v>3268</v>
      </c>
      <c r="B1348" s="22">
        <v>0</v>
      </c>
      <c r="C1348" s="22"/>
      <c r="D1348" s="22"/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2"/>
      <c r="T1348" s="22"/>
      <c r="U1348" s="22"/>
      <c r="V1348" s="22"/>
      <c r="W1348" s="22"/>
      <c r="X1348" s="22"/>
      <c r="Y1348" s="22"/>
      <c r="Z1348" s="22"/>
      <c r="AA1348" s="22"/>
      <c r="AB1348" s="22"/>
      <c r="AC1348" s="22"/>
      <c r="AD1348" s="22"/>
      <c r="AE1348" s="22"/>
      <c r="AF1348" s="22"/>
      <c r="AG1348" s="22"/>
      <c r="AH1348" s="22"/>
      <c r="AI1348" s="22"/>
      <c r="AJ1348" s="22"/>
    </row>
    <row r="1349" spans="1:36" x14ac:dyDescent="0.25">
      <c r="A1349" s="22" t="s">
        <v>3269</v>
      </c>
      <c r="B1349" s="22">
        <v>0</v>
      </c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2"/>
      <c r="S1349" s="22"/>
      <c r="T1349" s="22"/>
      <c r="U1349" s="22"/>
      <c r="V1349" s="22"/>
      <c r="W1349" s="22"/>
      <c r="X1349" s="22"/>
      <c r="Y1349" s="22"/>
      <c r="Z1349" s="22"/>
      <c r="AA1349" s="22"/>
      <c r="AB1349" s="22"/>
      <c r="AC1349" s="22"/>
      <c r="AD1349" s="22"/>
      <c r="AE1349" s="22"/>
      <c r="AF1349" s="22"/>
      <c r="AG1349" s="22"/>
      <c r="AH1349" s="22"/>
      <c r="AI1349" s="22"/>
      <c r="AJ1349" s="22"/>
    </row>
    <row r="1350" spans="1:36" x14ac:dyDescent="0.25">
      <c r="A1350" s="22" t="s">
        <v>417</v>
      </c>
      <c r="B1350" s="22">
        <v>361</v>
      </c>
      <c r="C1350" s="22"/>
      <c r="D1350" s="22"/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2"/>
      <c r="T1350" s="22"/>
      <c r="U1350" s="22"/>
      <c r="V1350" s="22"/>
      <c r="W1350" s="22"/>
      <c r="X1350" s="22"/>
      <c r="Y1350" s="22"/>
      <c r="Z1350" s="22"/>
      <c r="AA1350" s="22"/>
      <c r="AB1350" s="22"/>
      <c r="AC1350" s="22"/>
      <c r="AD1350" s="22"/>
      <c r="AE1350" s="22"/>
      <c r="AF1350" s="22"/>
      <c r="AG1350" s="22"/>
      <c r="AH1350" s="22"/>
      <c r="AI1350" s="22"/>
      <c r="AJ1350" s="22"/>
    </row>
    <row r="1351" spans="1:36" x14ac:dyDescent="0.25">
      <c r="A1351" s="22" t="s">
        <v>3270</v>
      </c>
      <c r="B1351" s="22">
        <v>0</v>
      </c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2"/>
      <c r="S1351" s="22"/>
      <c r="T1351" s="22"/>
      <c r="U1351" s="22"/>
      <c r="V1351" s="22"/>
      <c r="W1351" s="22"/>
      <c r="X1351" s="22"/>
      <c r="Y1351" s="22"/>
      <c r="Z1351" s="22"/>
      <c r="AA1351" s="22"/>
      <c r="AB1351" s="22"/>
      <c r="AC1351" s="22"/>
      <c r="AD1351" s="22"/>
      <c r="AE1351" s="22"/>
      <c r="AF1351" s="22"/>
      <c r="AG1351" s="22"/>
      <c r="AH1351" s="22"/>
      <c r="AI1351" s="22"/>
      <c r="AJ1351" s="22"/>
    </row>
    <row r="1352" spans="1:36" x14ac:dyDescent="0.25">
      <c r="A1352" s="22" t="s">
        <v>3271</v>
      </c>
      <c r="B1352" s="22">
        <v>0</v>
      </c>
      <c r="C1352" s="22"/>
      <c r="D1352" s="22"/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2"/>
      <c r="T1352" s="22"/>
      <c r="U1352" s="22"/>
      <c r="V1352" s="22"/>
      <c r="W1352" s="22"/>
      <c r="X1352" s="22"/>
      <c r="Y1352" s="22"/>
      <c r="Z1352" s="22"/>
      <c r="AA1352" s="22"/>
      <c r="AB1352" s="22"/>
      <c r="AC1352" s="22"/>
      <c r="AD1352" s="22"/>
      <c r="AE1352" s="22"/>
      <c r="AF1352" s="22"/>
      <c r="AG1352" s="22"/>
      <c r="AH1352" s="22"/>
      <c r="AI1352" s="22"/>
      <c r="AJ1352" s="22"/>
    </row>
    <row r="1353" spans="1:36" x14ac:dyDescent="0.25">
      <c r="A1353" s="22" t="s">
        <v>3272</v>
      </c>
      <c r="B1353" s="22">
        <v>0</v>
      </c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2"/>
      <c r="S1353" s="22"/>
      <c r="T1353" s="22"/>
      <c r="U1353" s="22"/>
      <c r="V1353" s="22"/>
      <c r="W1353" s="22"/>
      <c r="X1353" s="22"/>
      <c r="Y1353" s="22"/>
      <c r="Z1353" s="22"/>
      <c r="AA1353" s="22"/>
      <c r="AB1353" s="22"/>
      <c r="AC1353" s="22"/>
      <c r="AD1353" s="22"/>
      <c r="AE1353" s="22"/>
      <c r="AF1353" s="22"/>
      <c r="AG1353" s="22"/>
      <c r="AH1353" s="22"/>
      <c r="AI1353" s="22"/>
      <c r="AJ1353" s="22"/>
    </row>
    <row r="1354" spans="1:36" x14ac:dyDescent="0.25">
      <c r="A1354" s="22" t="s">
        <v>3273</v>
      </c>
      <c r="B1354" s="22">
        <v>12</v>
      </c>
      <c r="C1354" s="22"/>
      <c r="D1354" s="22"/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2"/>
      <c r="T1354" s="22"/>
      <c r="U1354" s="22"/>
      <c r="V1354" s="22"/>
      <c r="W1354" s="22"/>
      <c r="X1354" s="22"/>
      <c r="Y1354" s="22"/>
      <c r="Z1354" s="22"/>
      <c r="AA1354" s="22"/>
      <c r="AB1354" s="22"/>
      <c r="AC1354" s="22"/>
      <c r="AD1354" s="22"/>
      <c r="AE1354" s="22"/>
      <c r="AF1354" s="22"/>
      <c r="AG1354" s="22"/>
      <c r="AH1354" s="22"/>
      <c r="AI1354" s="22"/>
      <c r="AJ1354" s="22"/>
    </row>
    <row r="1355" spans="1:36" x14ac:dyDescent="0.25">
      <c r="A1355" s="22" t="s">
        <v>3274</v>
      </c>
      <c r="B1355" s="22">
        <v>0</v>
      </c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  <c r="X1355" s="22"/>
      <c r="Y1355" s="22"/>
      <c r="Z1355" s="22"/>
      <c r="AA1355" s="22"/>
      <c r="AB1355" s="22"/>
      <c r="AC1355" s="22"/>
      <c r="AD1355" s="22"/>
      <c r="AE1355" s="22"/>
      <c r="AF1355" s="22"/>
      <c r="AG1355" s="22"/>
      <c r="AH1355" s="22"/>
      <c r="AI1355" s="22"/>
      <c r="AJ1355" s="22"/>
    </row>
    <row r="1356" spans="1:36" x14ac:dyDescent="0.25">
      <c r="A1356" s="22" t="s">
        <v>3275</v>
      </c>
      <c r="B1356" s="22">
        <v>0</v>
      </c>
      <c r="C1356" s="22"/>
      <c r="D1356" s="22"/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2"/>
      <c r="T1356" s="22"/>
      <c r="U1356" s="22"/>
      <c r="V1356" s="22"/>
      <c r="W1356" s="22"/>
      <c r="X1356" s="22"/>
      <c r="Y1356" s="22"/>
      <c r="Z1356" s="22"/>
      <c r="AA1356" s="22"/>
      <c r="AB1356" s="22"/>
      <c r="AC1356" s="22"/>
      <c r="AD1356" s="22"/>
      <c r="AE1356" s="22"/>
      <c r="AF1356" s="22"/>
      <c r="AG1356" s="22"/>
      <c r="AH1356" s="22"/>
      <c r="AI1356" s="22"/>
      <c r="AJ1356" s="22"/>
    </row>
    <row r="1357" spans="1:36" x14ac:dyDescent="0.25">
      <c r="A1357" s="22" t="s">
        <v>3276</v>
      </c>
      <c r="B1357" s="22">
        <v>0</v>
      </c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2"/>
      <c r="S1357" s="22"/>
      <c r="T1357" s="22"/>
      <c r="U1357" s="22"/>
      <c r="V1357" s="22"/>
      <c r="W1357" s="22"/>
      <c r="X1357" s="22"/>
      <c r="Y1357" s="22"/>
      <c r="Z1357" s="22"/>
      <c r="AA1357" s="22"/>
      <c r="AB1357" s="22"/>
      <c r="AC1357" s="22"/>
      <c r="AD1357" s="22"/>
      <c r="AE1357" s="22"/>
      <c r="AF1357" s="22"/>
      <c r="AG1357" s="22"/>
      <c r="AH1357" s="22"/>
      <c r="AI1357" s="22"/>
      <c r="AJ1357" s="22"/>
    </row>
    <row r="1358" spans="1:36" x14ac:dyDescent="0.25">
      <c r="A1358" s="22" t="s">
        <v>418</v>
      </c>
      <c r="B1358" s="22">
        <v>65</v>
      </c>
      <c r="C1358" s="22"/>
      <c r="D1358" s="22"/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2"/>
      <c r="T1358" s="22"/>
      <c r="U1358" s="22"/>
      <c r="V1358" s="22"/>
      <c r="W1358" s="22"/>
      <c r="X1358" s="22"/>
      <c r="Y1358" s="22"/>
      <c r="Z1358" s="22"/>
      <c r="AA1358" s="22"/>
      <c r="AB1358" s="22"/>
      <c r="AC1358" s="22"/>
      <c r="AD1358" s="22"/>
      <c r="AE1358" s="22"/>
      <c r="AF1358" s="22"/>
      <c r="AG1358" s="22"/>
      <c r="AH1358" s="22"/>
      <c r="AI1358" s="22"/>
      <c r="AJ1358" s="22"/>
    </row>
    <row r="1359" spans="1:36" x14ac:dyDescent="0.25">
      <c r="A1359" s="22" t="s">
        <v>3277</v>
      </c>
      <c r="B1359" s="22">
        <v>0</v>
      </c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2"/>
      <c r="S1359" s="22"/>
      <c r="T1359" s="22"/>
      <c r="U1359" s="22"/>
      <c r="V1359" s="22"/>
      <c r="W1359" s="22"/>
      <c r="X1359" s="22"/>
      <c r="Y1359" s="22"/>
      <c r="Z1359" s="22"/>
      <c r="AA1359" s="22"/>
      <c r="AB1359" s="22"/>
      <c r="AC1359" s="22"/>
      <c r="AD1359" s="22"/>
      <c r="AE1359" s="22"/>
      <c r="AF1359" s="22"/>
      <c r="AG1359" s="22"/>
      <c r="AH1359" s="22"/>
      <c r="AI1359" s="22"/>
      <c r="AJ1359" s="22"/>
    </row>
    <row r="1360" spans="1:36" x14ac:dyDescent="0.25">
      <c r="A1360" s="22" t="s">
        <v>3278</v>
      </c>
      <c r="B1360" s="22">
        <v>0</v>
      </c>
      <c r="C1360" s="22"/>
      <c r="D1360" s="22"/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2"/>
      <c r="T1360" s="22"/>
      <c r="U1360" s="22"/>
      <c r="V1360" s="22"/>
      <c r="W1360" s="22"/>
      <c r="X1360" s="22"/>
      <c r="Y1360" s="22"/>
      <c r="Z1360" s="22"/>
      <c r="AA1360" s="22"/>
      <c r="AB1360" s="22"/>
      <c r="AC1360" s="22"/>
      <c r="AD1360" s="22"/>
      <c r="AE1360" s="22"/>
      <c r="AF1360" s="22"/>
      <c r="AG1360" s="22"/>
      <c r="AH1360" s="22"/>
      <c r="AI1360" s="22"/>
      <c r="AJ1360" s="22"/>
    </row>
    <row r="1361" spans="1:36" x14ac:dyDescent="0.25">
      <c r="A1361" s="22" t="s">
        <v>3279</v>
      </c>
      <c r="B1361" s="22">
        <v>0</v>
      </c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2"/>
      <c r="S1361" s="22"/>
      <c r="T1361" s="22"/>
      <c r="U1361" s="22"/>
      <c r="V1361" s="22"/>
      <c r="W1361" s="22"/>
      <c r="X1361" s="22"/>
      <c r="Y1361" s="22"/>
      <c r="Z1361" s="22"/>
      <c r="AA1361" s="22"/>
      <c r="AB1361" s="22"/>
      <c r="AC1361" s="22"/>
      <c r="AD1361" s="22"/>
      <c r="AE1361" s="22"/>
      <c r="AF1361" s="22"/>
      <c r="AG1361" s="22"/>
      <c r="AH1361" s="22"/>
      <c r="AI1361" s="22"/>
      <c r="AJ1361" s="22"/>
    </row>
    <row r="1362" spans="1:36" x14ac:dyDescent="0.25">
      <c r="A1362" s="22" t="s">
        <v>3280</v>
      </c>
      <c r="B1362" s="22">
        <v>2</v>
      </c>
      <c r="C1362" s="22"/>
      <c r="D1362" s="22"/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2"/>
      <c r="T1362" s="22"/>
      <c r="U1362" s="22"/>
      <c r="V1362" s="22"/>
      <c r="W1362" s="22"/>
      <c r="X1362" s="22"/>
      <c r="Y1362" s="22"/>
      <c r="Z1362" s="22"/>
      <c r="AA1362" s="22"/>
      <c r="AB1362" s="22"/>
      <c r="AC1362" s="22"/>
      <c r="AD1362" s="22"/>
      <c r="AE1362" s="22"/>
      <c r="AF1362" s="22"/>
      <c r="AG1362" s="22"/>
      <c r="AH1362" s="22"/>
      <c r="AI1362" s="22"/>
      <c r="AJ1362" s="22"/>
    </row>
    <row r="1363" spans="1:36" x14ac:dyDescent="0.25">
      <c r="A1363" s="22" t="s">
        <v>3281</v>
      </c>
      <c r="B1363" s="22">
        <v>0</v>
      </c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2"/>
      <c r="S1363" s="22"/>
      <c r="T1363" s="22"/>
      <c r="U1363" s="22"/>
      <c r="V1363" s="22"/>
      <c r="W1363" s="22"/>
      <c r="X1363" s="22"/>
      <c r="Y1363" s="22"/>
      <c r="Z1363" s="22"/>
      <c r="AA1363" s="22"/>
      <c r="AB1363" s="22"/>
      <c r="AC1363" s="22"/>
      <c r="AD1363" s="22"/>
      <c r="AE1363" s="22"/>
      <c r="AF1363" s="22"/>
      <c r="AG1363" s="22"/>
      <c r="AH1363" s="22"/>
      <c r="AI1363" s="22"/>
      <c r="AJ1363" s="22"/>
    </row>
    <row r="1364" spans="1:36" x14ac:dyDescent="0.25">
      <c r="A1364" s="22" t="s">
        <v>3282</v>
      </c>
      <c r="B1364" s="22">
        <v>0</v>
      </c>
      <c r="C1364" s="22"/>
      <c r="D1364" s="22"/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2"/>
      <c r="T1364" s="22"/>
      <c r="U1364" s="22"/>
      <c r="V1364" s="22"/>
      <c r="W1364" s="22"/>
      <c r="X1364" s="22"/>
      <c r="Y1364" s="22"/>
      <c r="Z1364" s="22"/>
      <c r="AA1364" s="22"/>
      <c r="AB1364" s="22"/>
      <c r="AC1364" s="22"/>
      <c r="AD1364" s="22"/>
      <c r="AE1364" s="22"/>
      <c r="AF1364" s="22"/>
      <c r="AG1364" s="22"/>
      <c r="AH1364" s="22"/>
      <c r="AI1364" s="22"/>
      <c r="AJ1364" s="22"/>
    </row>
    <row r="1365" spans="1:36" x14ac:dyDescent="0.25">
      <c r="A1365" s="22" t="s">
        <v>3283</v>
      </c>
      <c r="B1365" s="22">
        <v>0</v>
      </c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2"/>
      <c r="S1365" s="22"/>
      <c r="T1365" s="22"/>
      <c r="U1365" s="22"/>
      <c r="V1365" s="22"/>
      <c r="W1365" s="22"/>
      <c r="X1365" s="22"/>
      <c r="Y1365" s="22"/>
      <c r="Z1365" s="22"/>
      <c r="AA1365" s="22"/>
      <c r="AB1365" s="22"/>
      <c r="AC1365" s="22"/>
      <c r="AD1365" s="22"/>
      <c r="AE1365" s="22"/>
      <c r="AF1365" s="22"/>
      <c r="AG1365" s="22"/>
      <c r="AH1365" s="22"/>
      <c r="AI1365" s="22"/>
      <c r="AJ1365" s="22"/>
    </row>
    <row r="1366" spans="1:36" x14ac:dyDescent="0.25">
      <c r="A1366" s="22" t="s">
        <v>419</v>
      </c>
      <c r="B1366" s="22">
        <v>357</v>
      </c>
      <c r="C1366" s="22"/>
      <c r="D1366" s="22"/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2"/>
      <c r="T1366" s="22"/>
      <c r="U1366" s="22"/>
      <c r="V1366" s="22"/>
      <c r="W1366" s="22"/>
      <c r="X1366" s="22"/>
      <c r="Y1366" s="22"/>
      <c r="Z1366" s="22"/>
      <c r="AA1366" s="22"/>
      <c r="AB1366" s="22"/>
      <c r="AC1366" s="22"/>
      <c r="AD1366" s="22"/>
      <c r="AE1366" s="22"/>
      <c r="AF1366" s="22"/>
      <c r="AG1366" s="22"/>
      <c r="AH1366" s="22"/>
      <c r="AI1366" s="22"/>
      <c r="AJ1366" s="22"/>
    </row>
    <row r="1367" spans="1:36" x14ac:dyDescent="0.25">
      <c r="A1367" s="22" t="s">
        <v>3284</v>
      </c>
      <c r="B1367" s="22">
        <v>0</v>
      </c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2"/>
      <c r="S1367" s="22"/>
      <c r="T1367" s="22"/>
      <c r="U1367" s="22"/>
      <c r="V1367" s="22"/>
      <c r="W1367" s="22"/>
      <c r="X1367" s="22"/>
      <c r="Y1367" s="22"/>
      <c r="Z1367" s="22"/>
      <c r="AA1367" s="22"/>
      <c r="AB1367" s="22"/>
      <c r="AC1367" s="22"/>
      <c r="AD1367" s="22"/>
      <c r="AE1367" s="22"/>
      <c r="AF1367" s="22"/>
      <c r="AG1367" s="22"/>
      <c r="AH1367" s="22"/>
      <c r="AI1367" s="22"/>
      <c r="AJ1367" s="22"/>
    </row>
    <row r="1368" spans="1:36" x14ac:dyDescent="0.25">
      <c r="A1368" s="22" t="s">
        <v>3285</v>
      </c>
      <c r="B1368" s="22">
        <v>12</v>
      </c>
      <c r="C1368" s="22"/>
      <c r="D1368" s="22"/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  <c r="AF1368" s="22"/>
      <c r="AG1368" s="22"/>
      <c r="AH1368" s="22"/>
      <c r="AI1368" s="22"/>
      <c r="AJ1368" s="22"/>
    </row>
    <row r="1369" spans="1:36" x14ac:dyDescent="0.25">
      <c r="A1369" s="22" t="s">
        <v>3286</v>
      </c>
      <c r="B1369" s="22">
        <v>0</v>
      </c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  <c r="AA1369" s="22"/>
      <c r="AB1369" s="22"/>
      <c r="AC1369" s="22"/>
      <c r="AD1369" s="22"/>
      <c r="AE1369" s="22"/>
      <c r="AF1369" s="22"/>
      <c r="AG1369" s="22"/>
      <c r="AH1369" s="22"/>
      <c r="AI1369" s="22"/>
      <c r="AJ1369" s="22"/>
    </row>
    <row r="1370" spans="1:36" x14ac:dyDescent="0.25">
      <c r="A1370" s="22" t="s">
        <v>3287</v>
      </c>
      <c r="B1370" s="22">
        <v>2</v>
      </c>
      <c r="C1370" s="22"/>
      <c r="D1370" s="22"/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</row>
    <row r="1371" spans="1:36" x14ac:dyDescent="0.25">
      <c r="A1371" s="22" t="s">
        <v>3288</v>
      </c>
      <c r="B1371" s="22">
        <v>0</v>
      </c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2"/>
      <c r="S1371" s="22"/>
      <c r="T1371" s="22"/>
      <c r="U1371" s="22"/>
      <c r="V1371" s="22"/>
      <c r="W1371" s="22"/>
      <c r="X1371" s="22"/>
      <c r="Y1371" s="22"/>
      <c r="Z1371" s="22"/>
      <c r="AA1371" s="22"/>
      <c r="AB1371" s="22"/>
      <c r="AC1371" s="22"/>
      <c r="AD1371" s="22"/>
      <c r="AE1371" s="22"/>
      <c r="AF1371" s="22"/>
      <c r="AG1371" s="22"/>
      <c r="AH1371" s="22"/>
      <c r="AI1371" s="22"/>
      <c r="AJ1371" s="22"/>
    </row>
    <row r="1372" spans="1:36" x14ac:dyDescent="0.25">
      <c r="A1372" s="22" t="s">
        <v>3289</v>
      </c>
      <c r="B1372" s="22">
        <v>0</v>
      </c>
      <c r="C1372" s="22"/>
      <c r="D1372" s="22"/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</row>
    <row r="1373" spans="1:36" x14ac:dyDescent="0.25">
      <c r="A1373" s="22" t="s">
        <v>3290</v>
      </c>
      <c r="B1373" s="22">
        <v>0</v>
      </c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2"/>
      <c r="S1373" s="22"/>
      <c r="T1373" s="22"/>
      <c r="U1373" s="22"/>
      <c r="V1373" s="22"/>
      <c r="W1373" s="22"/>
      <c r="X1373" s="22"/>
      <c r="Y1373" s="22"/>
      <c r="Z1373" s="22"/>
      <c r="AA1373" s="22"/>
      <c r="AB1373" s="22"/>
      <c r="AC1373" s="22"/>
      <c r="AD1373" s="22"/>
      <c r="AE1373" s="22"/>
      <c r="AF1373" s="22"/>
      <c r="AG1373" s="22"/>
      <c r="AH1373" s="22"/>
      <c r="AI1373" s="22"/>
      <c r="AJ1373" s="22"/>
    </row>
    <row r="1374" spans="1:36" x14ac:dyDescent="0.25">
      <c r="A1374" s="22" t="s">
        <v>420</v>
      </c>
      <c r="B1374" s="22">
        <v>0</v>
      </c>
      <c r="C1374" s="22"/>
      <c r="D1374" s="22"/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2"/>
      <c r="T1374" s="22"/>
      <c r="U1374" s="22"/>
      <c r="V1374" s="22"/>
      <c r="W1374" s="22"/>
      <c r="X1374" s="22"/>
      <c r="Y1374" s="22"/>
      <c r="Z1374" s="22"/>
      <c r="AA1374" s="22"/>
      <c r="AB1374" s="22"/>
      <c r="AC1374" s="22"/>
      <c r="AD1374" s="22"/>
      <c r="AE1374" s="22"/>
      <c r="AF1374" s="22"/>
      <c r="AG1374" s="22"/>
      <c r="AH1374" s="22"/>
      <c r="AI1374" s="22"/>
      <c r="AJ1374" s="22"/>
    </row>
    <row r="1375" spans="1:36" x14ac:dyDescent="0.25">
      <c r="A1375" s="22" t="s">
        <v>3291</v>
      </c>
      <c r="B1375" s="22">
        <v>0</v>
      </c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2"/>
      <c r="S1375" s="22"/>
      <c r="T1375" s="22"/>
      <c r="U1375" s="22"/>
      <c r="V1375" s="22"/>
      <c r="W1375" s="22"/>
      <c r="X1375" s="22"/>
      <c r="Y1375" s="22"/>
      <c r="Z1375" s="22"/>
      <c r="AA1375" s="22"/>
      <c r="AB1375" s="22"/>
      <c r="AC1375" s="22"/>
      <c r="AD1375" s="22"/>
      <c r="AE1375" s="22"/>
      <c r="AF1375" s="22"/>
      <c r="AG1375" s="22"/>
      <c r="AH1375" s="22"/>
      <c r="AI1375" s="22"/>
      <c r="AJ1375" s="22"/>
    </row>
    <row r="1376" spans="1:36" x14ac:dyDescent="0.25">
      <c r="A1376" s="22" t="s">
        <v>3292</v>
      </c>
      <c r="B1376" s="22">
        <v>0</v>
      </c>
      <c r="C1376" s="22"/>
      <c r="D1376" s="22"/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2"/>
      <c r="T1376" s="22"/>
      <c r="U1376" s="22"/>
      <c r="V1376" s="22"/>
      <c r="W1376" s="22"/>
      <c r="X1376" s="22"/>
      <c r="Y1376" s="22"/>
      <c r="Z1376" s="22"/>
      <c r="AA1376" s="22"/>
      <c r="AB1376" s="22"/>
      <c r="AC1376" s="22"/>
      <c r="AD1376" s="22"/>
      <c r="AE1376" s="22"/>
      <c r="AF1376" s="22"/>
      <c r="AG1376" s="22"/>
      <c r="AH1376" s="22"/>
      <c r="AI1376" s="22"/>
      <c r="AJ1376" s="22"/>
    </row>
    <row r="1377" spans="1:36" x14ac:dyDescent="0.25">
      <c r="A1377" s="22" t="s">
        <v>3293</v>
      </c>
      <c r="B1377" s="22">
        <v>0</v>
      </c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  <c r="AA1377" s="22"/>
      <c r="AB1377" s="22"/>
      <c r="AC1377" s="22"/>
      <c r="AD1377" s="22"/>
      <c r="AE1377" s="22"/>
      <c r="AF1377" s="22"/>
      <c r="AG1377" s="22"/>
      <c r="AH1377" s="22"/>
      <c r="AI1377" s="22"/>
      <c r="AJ1377" s="22"/>
    </row>
    <row r="1378" spans="1:36" x14ac:dyDescent="0.25">
      <c r="A1378" s="22" t="s">
        <v>3294</v>
      </c>
      <c r="B1378" s="22">
        <v>0</v>
      </c>
      <c r="C1378" s="22"/>
      <c r="D1378" s="22"/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  <c r="AA1378" s="22"/>
      <c r="AB1378" s="22"/>
      <c r="AC1378" s="22"/>
      <c r="AD1378" s="22"/>
      <c r="AE1378" s="22"/>
      <c r="AF1378" s="22"/>
      <c r="AG1378" s="22"/>
      <c r="AH1378" s="22"/>
      <c r="AI1378" s="22"/>
      <c r="AJ1378" s="22"/>
    </row>
    <row r="1379" spans="1:36" x14ac:dyDescent="0.25">
      <c r="A1379" s="22" t="s">
        <v>3295</v>
      </c>
      <c r="B1379" s="22">
        <v>0</v>
      </c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  <c r="AA1379" s="22"/>
      <c r="AB1379" s="22"/>
      <c r="AC1379" s="22"/>
      <c r="AD1379" s="22"/>
      <c r="AE1379" s="22"/>
      <c r="AF1379" s="22"/>
      <c r="AG1379" s="22"/>
      <c r="AH1379" s="22"/>
      <c r="AI1379" s="22"/>
      <c r="AJ1379" s="22"/>
    </row>
    <row r="1380" spans="1:36" x14ac:dyDescent="0.25">
      <c r="A1380" s="22" t="s">
        <v>3296</v>
      </c>
      <c r="B1380" s="22">
        <v>0</v>
      </c>
      <c r="C1380" s="22"/>
      <c r="D1380" s="22"/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2"/>
      <c r="T1380" s="22"/>
      <c r="U1380" s="22"/>
      <c r="V1380" s="22"/>
      <c r="W1380" s="22"/>
      <c r="X1380" s="22"/>
      <c r="Y1380" s="22"/>
      <c r="Z1380" s="22"/>
      <c r="AA1380" s="22"/>
      <c r="AB1380" s="22"/>
      <c r="AC1380" s="22"/>
      <c r="AD1380" s="22"/>
      <c r="AE1380" s="22"/>
      <c r="AF1380" s="22"/>
      <c r="AG1380" s="22"/>
      <c r="AH1380" s="22"/>
      <c r="AI1380" s="22"/>
      <c r="AJ1380" s="22"/>
    </row>
    <row r="1381" spans="1:36" x14ac:dyDescent="0.25">
      <c r="A1381" s="22" t="s">
        <v>3297</v>
      </c>
      <c r="B1381" s="22">
        <v>0</v>
      </c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2"/>
      <c r="S1381" s="22"/>
      <c r="T1381" s="22"/>
      <c r="U1381" s="22"/>
      <c r="V1381" s="22"/>
      <c r="W1381" s="22"/>
      <c r="X1381" s="22"/>
      <c r="Y1381" s="22"/>
      <c r="Z1381" s="22"/>
      <c r="AA1381" s="22"/>
      <c r="AB1381" s="22"/>
      <c r="AC1381" s="22"/>
      <c r="AD1381" s="22"/>
      <c r="AE1381" s="22"/>
      <c r="AF1381" s="22"/>
      <c r="AG1381" s="22"/>
      <c r="AH1381" s="22"/>
      <c r="AI1381" s="22"/>
      <c r="AJ1381" s="22"/>
    </row>
    <row r="1382" spans="1:36" x14ac:dyDescent="0.25">
      <c r="A1382" s="22" t="s">
        <v>3924</v>
      </c>
      <c r="B1382" s="22">
        <v>27</v>
      </c>
      <c r="C1382" s="22"/>
      <c r="D1382" s="22"/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2"/>
      <c r="T1382" s="22"/>
      <c r="U1382" s="22"/>
      <c r="V1382" s="22"/>
      <c r="W1382" s="22"/>
      <c r="X1382" s="22"/>
      <c r="Y1382" s="22"/>
      <c r="Z1382" s="22"/>
      <c r="AA1382" s="22"/>
      <c r="AB1382" s="22"/>
      <c r="AC1382" s="22"/>
      <c r="AD1382" s="22"/>
      <c r="AE1382" s="22"/>
      <c r="AF1382" s="22"/>
      <c r="AG1382" s="22"/>
      <c r="AH1382" s="22"/>
      <c r="AI1382" s="22"/>
      <c r="AJ1382" s="22"/>
    </row>
    <row r="1383" spans="1:36" x14ac:dyDescent="0.25">
      <c r="A1383" s="22" t="s">
        <v>3925</v>
      </c>
      <c r="B1383" s="22">
        <v>0</v>
      </c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2"/>
      <c r="S1383" s="22"/>
      <c r="T1383" s="22"/>
      <c r="U1383" s="22"/>
      <c r="V1383" s="22"/>
      <c r="W1383" s="22"/>
      <c r="X1383" s="22"/>
      <c r="Y1383" s="22"/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</row>
    <row r="1384" spans="1:36" x14ac:dyDescent="0.25">
      <c r="A1384" s="22" t="s">
        <v>3926</v>
      </c>
      <c r="B1384" s="22">
        <v>0</v>
      </c>
      <c r="C1384" s="22"/>
      <c r="D1384" s="22"/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2"/>
      <c r="T1384" s="22"/>
      <c r="U1384" s="22"/>
      <c r="V1384" s="22"/>
      <c r="W1384" s="22"/>
      <c r="X1384" s="22"/>
      <c r="Y1384" s="22"/>
      <c r="Z1384" s="22"/>
      <c r="AA1384" s="22"/>
      <c r="AB1384" s="22"/>
      <c r="AC1384" s="22"/>
      <c r="AD1384" s="22"/>
      <c r="AE1384" s="22"/>
      <c r="AF1384" s="22"/>
      <c r="AG1384" s="22"/>
      <c r="AH1384" s="22"/>
      <c r="AI1384" s="22"/>
      <c r="AJ1384" s="22"/>
    </row>
    <row r="1385" spans="1:36" x14ac:dyDescent="0.25">
      <c r="A1385" s="22" t="s">
        <v>3927</v>
      </c>
      <c r="B1385" s="22">
        <v>0</v>
      </c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2"/>
      <c r="S1385" s="22"/>
      <c r="T1385" s="22"/>
      <c r="U1385" s="22"/>
      <c r="V1385" s="22"/>
      <c r="W1385" s="22"/>
      <c r="X1385" s="22"/>
      <c r="Y1385" s="22"/>
      <c r="Z1385" s="22"/>
      <c r="AA1385" s="22"/>
      <c r="AB1385" s="22"/>
      <c r="AC1385" s="22"/>
      <c r="AD1385" s="22"/>
      <c r="AE1385" s="22"/>
      <c r="AF1385" s="22"/>
      <c r="AG1385" s="22"/>
      <c r="AH1385" s="22"/>
      <c r="AI1385" s="22"/>
      <c r="AJ1385" s="22"/>
    </row>
    <row r="1386" spans="1:36" x14ac:dyDescent="0.25">
      <c r="A1386" s="22" t="s">
        <v>3928</v>
      </c>
      <c r="B1386" s="22">
        <v>0</v>
      </c>
      <c r="C1386" s="22"/>
      <c r="D1386" s="22"/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  <c r="AA1386" s="22"/>
      <c r="AB1386" s="22"/>
      <c r="AC1386" s="22"/>
      <c r="AD1386" s="22"/>
      <c r="AE1386" s="22"/>
      <c r="AF1386" s="22"/>
      <c r="AG1386" s="22"/>
      <c r="AH1386" s="22"/>
      <c r="AI1386" s="22"/>
      <c r="AJ1386" s="22"/>
    </row>
    <row r="1387" spans="1:36" x14ac:dyDescent="0.25">
      <c r="A1387" s="22" t="s">
        <v>3929</v>
      </c>
      <c r="B1387" s="22">
        <v>0</v>
      </c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  <c r="AF1387" s="22"/>
      <c r="AG1387" s="22"/>
      <c r="AH1387" s="22"/>
      <c r="AI1387" s="22"/>
      <c r="AJ1387" s="22"/>
    </row>
    <row r="1388" spans="1:36" x14ac:dyDescent="0.25">
      <c r="A1388" s="22" t="s">
        <v>3930</v>
      </c>
      <c r="B1388" s="22">
        <v>0</v>
      </c>
      <c r="C1388" s="22"/>
      <c r="D1388" s="22"/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  <c r="AF1388" s="22"/>
      <c r="AG1388" s="22"/>
      <c r="AH1388" s="22"/>
      <c r="AI1388" s="22"/>
      <c r="AJ1388" s="22"/>
    </row>
    <row r="1389" spans="1:36" x14ac:dyDescent="0.25">
      <c r="A1389" s="22" t="s">
        <v>3931</v>
      </c>
      <c r="B1389" s="22">
        <v>0</v>
      </c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2"/>
      <c r="S1389" s="22"/>
      <c r="T1389" s="22"/>
      <c r="U1389" s="22"/>
      <c r="V1389" s="22"/>
      <c r="W1389" s="22"/>
      <c r="X1389" s="22"/>
      <c r="Y1389" s="22"/>
      <c r="Z1389" s="22"/>
      <c r="AA1389" s="22"/>
      <c r="AB1389" s="22"/>
      <c r="AC1389" s="22"/>
      <c r="AD1389" s="22"/>
      <c r="AE1389" s="22"/>
      <c r="AF1389" s="22"/>
      <c r="AG1389" s="22"/>
      <c r="AH1389" s="22"/>
      <c r="AI1389" s="22"/>
      <c r="AJ1389" s="22"/>
    </row>
    <row r="1390" spans="1:36" x14ac:dyDescent="0.25">
      <c r="A1390" s="22" t="s">
        <v>3932</v>
      </c>
      <c r="B1390" s="22">
        <v>18</v>
      </c>
      <c r="C1390" s="22"/>
      <c r="D1390" s="22"/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2"/>
      <c r="T1390" s="22"/>
      <c r="U1390" s="22"/>
      <c r="V1390" s="22"/>
      <c r="W1390" s="22"/>
      <c r="X1390" s="22"/>
      <c r="Y1390" s="22"/>
      <c r="Z1390" s="22"/>
      <c r="AA1390" s="22"/>
      <c r="AB1390" s="22"/>
      <c r="AC1390" s="22"/>
      <c r="AD1390" s="22"/>
      <c r="AE1390" s="22"/>
      <c r="AF1390" s="22"/>
      <c r="AG1390" s="22"/>
      <c r="AH1390" s="22"/>
      <c r="AI1390" s="22"/>
      <c r="AJ1390" s="22"/>
    </row>
    <row r="1391" spans="1:36" x14ac:dyDescent="0.25">
      <c r="A1391" s="22" t="s">
        <v>3933</v>
      </c>
      <c r="B1391" s="22">
        <v>0</v>
      </c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2"/>
      <c r="S1391" s="22"/>
      <c r="T1391" s="22"/>
      <c r="U1391" s="22"/>
      <c r="V1391" s="22"/>
      <c r="W1391" s="22"/>
      <c r="X1391" s="22"/>
      <c r="Y1391" s="22"/>
      <c r="Z1391" s="22"/>
      <c r="AA1391" s="22"/>
      <c r="AB1391" s="22"/>
      <c r="AC1391" s="22"/>
      <c r="AD1391" s="22"/>
      <c r="AE1391" s="22"/>
      <c r="AF1391" s="22"/>
      <c r="AG1391" s="22"/>
      <c r="AH1391" s="22"/>
      <c r="AI1391" s="22"/>
      <c r="AJ1391" s="22"/>
    </row>
    <row r="1392" spans="1:36" x14ac:dyDescent="0.25">
      <c r="A1392" s="22" t="s">
        <v>3934</v>
      </c>
      <c r="B1392" s="22">
        <v>0</v>
      </c>
      <c r="C1392" s="22"/>
      <c r="D1392" s="22"/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2"/>
      <c r="T1392" s="22"/>
      <c r="U1392" s="22"/>
      <c r="V1392" s="22"/>
      <c r="W1392" s="22"/>
      <c r="X1392" s="22"/>
      <c r="Y1392" s="22"/>
      <c r="Z1392" s="22"/>
      <c r="AA1392" s="22"/>
      <c r="AB1392" s="22"/>
      <c r="AC1392" s="22"/>
      <c r="AD1392" s="22"/>
      <c r="AE1392" s="22"/>
      <c r="AF1392" s="22"/>
      <c r="AG1392" s="22"/>
      <c r="AH1392" s="22"/>
      <c r="AI1392" s="22"/>
      <c r="AJ1392" s="22"/>
    </row>
    <row r="1393" spans="1:36" x14ac:dyDescent="0.25">
      <c r="A1393" s="22" t="s">
        <v>3935</v>
      </c>
      <c r="B1393" s="22">
        <v>0</v>
      </c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2"/>
      <c r="S1393" s="22"/>
      <c r="T1393" s="22"/>
      <c r="U1393" s="22"/>
      <c r="V1393" s="22"/>
      <c r="W1393" s="22"/>
      <c r="X1393" s="22"/>
      <c r="Y1393" s="22"/>
      <c r="Z1393" s="22"/>
      <c r="AA1393" s="22"/>
      <c r="AB1393" s="22"/>
      <c r="AC1393" s="22"/>
      <c r="AD1393" s="22"/>
      <c r="AE1393" s="22"/>
      <c r="AF1393" s="22"/>
      <c r="AG1393" s="22"/>
      <c r="AH1393" s="22"/>
      <c r="AI1393" s="22"/>
      <c r="AJ1393" s="22"/>
    </row>
    <row r="1394" spans="1:36" x14ac:dyDescent="0.25">
      <c r="A1394" s="22" t="s">
        <v>3936</v>
      </c>
      <c r="B1394" s="22">
        <v>0</v>
      </c>
      <c r="C1394" s="22"/>
      <c r="D1394" s="22"/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2"/>
      <c r="T1394" s="22"/>
      <c r="U1394" s="22"/>
      <c r="V1394" s="22"/>
      <c r="W1394" s="22"/>
      <c r="X1394" s="22"/>
      <c r="Y1394" s="22"/>
      <c r="Z1394" s="22"/>
      <c r="AA1394" s="22"/>
      <c r="AB1394" s="22"/>
      <c r="AC1394" s="22"/>
      <c r="AD1394" s="22"/>
      <c r="AE1394" s="22"/>
      <c r="AF1394" s="22"/>
      <c r="AG1394" s="22"/>
      <c r="AH1394" s="22"/>
      <c r="AI1394" s="22"/>
      <c r="AJ1394" s="22"/>
    </row>
    <row r="1395" spans="1:36" x14ac:dyDescent="0.25">
      <c r="A1395" s="22" t="s">
        <v>3937</v>
      </c>
      <c r="B1395" s="22">
        <v>0</v>
      </c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2"/>
      <c r="S1395" s="22"/>
      <c r="T1395" s="22"/>
      <c r="U1395" s="22"/>
      <c r="V1395" s="22"/>
      <c r="W1395" s="22"/>
      <c r="X1395" s="22"/>
      <c r="Y1395" s="22"/>
      <c r="Z1395" s="22"/>
      <c r="AA1395" s="22"/>
      <c r="AB1395" s="22"/>
      <c r="AC1395" s="22"/>
      <c r="AD1395" s="22"/>
      <c r="AE1395" s="22"/>
      <c r="AF1395" s="22"/>
      <c r="AG1395" s="22"/>
      <c r="AH1395" s="22"/>
      <c r="AI1395" s="22"/>
      <c r="AJ1395" s="22"/>
    </row>
    <row r="1396" spans="1:36" x14ac:dyDescent="0.25">
      <c r="A1396" s="22" t="s">
        <v>3938</v>
      </c>
      <c r="B1396" s="22">
        <v>0</v>
      </c>
      <c r="C1396" s="22"/>
      <c r="D1396" s="22"/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2"/>
      <c r="T1396" s="22"/>
      <c r="U1396" s="22"/>
      <c r="V1396" s="22"/>
      <c r="W1396" s="22"/>
      <c r="X1396" s="22"/>
      <c r="Y1396" s="22"/>
      <c r="Z1396" s="22"/>
      <c r="AA1396" s="22"/>
      <c r="AB1396" s="22"/>
      <c r="AC1396" s="22"/>
      <c r="AD1396" s="22"/>
      <c r="AE1396" s="22"/>
      <c r="AF1396" s="22"/>
      <c r="AG1396" s="22"/>
      <c r="AH1396" s="22"/>
      <c r="AI1396" s="22"/>
      <c r="AJ1396" s="22"/>
    </row>
    <row r="1397" spans="1:36" x14ac:dyDescent="0.25">
      <c r="A1397" s="22" t="s">
        <v>3939</v>
      </c>
      <c r="B1397" s="22">
        <v>0</v>
      </c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2"/>
      <c r="S1397" s="22"/>
      <c r="T1397" s="22"/>
      <c r="U1397" s="22"/>
      <c r="V1397" s="22"/>
      <c r="W1397" s="22"/>
      <c r="X1397" s="22"/>
      <c r="Y1397" s="22"/>
      <c r="Z1397" s="22"/>
      <c r="AA1397" s="22"/>
      <c r="AB1397" s="22"/>
      <c r="AC1397" s="22"/>
      <c r="AD1397" s="22"/>
      <c r="AE1397" s="22"/>
      <c r="AF1397" s="22"/>
      <c r="AG1397" s="22"/>
      <c r="AH1397" s="22"/>
      <c r="AI1397" s="22"/>
      <c r="AJ1397" s="22"/>
    </row>
    <row r="1398" spans="1:36" x14ac:dyDescent="0.25">
      <c r="A1398" s="22" t="s">
        <v>3940</v>
      </c>
      <c r="B1398" s="22">
        <v>159</v>
      </c>
      <c r="C1398" s="22"/>
      <c r="D1398" s="22"/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2"/>
      <c r="T1398" s="22"/>
      <c r="U1398" s="22"/>
      <c r="V1398" s="22"/>
      <c r="W1398" s="22"/>
      <c r="X1398" s="22"/>
      <c r="Y1398" s="22"/>
      <c r="Z1398" s="22"/>
      <c r="AA1398" s="22"/>
      <c r="AB1398" s="22"/>
      <c r="AC1398" s="22"/>
      <c r="AD1398" s="22"/>
      <c r="AE1398" s="22"/>
      <c r="AF1398" s="22"/>
      <c r="AG1398" s="22"/>
      <c r="AH1398" s="22"/>
      <c r="AI1398" s="22"/>
      <c r="AJ1398" s="22"/>
    </row>
    <row r="1399" spans="1:36" x14ac:dyDescent="0.25">
      <c r="A1399" s="22" t="s">
        <v>3941</v>
      </c>
      <c r="B1399" s="22">
        <v>0</v>
      </c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2"/>
      <c r="S1399" s="22"/>
      <c r="T1399" s="22"/>
      <c r="U1399" s="22"/>
      <c r="V1399" s="22"/>
      <c r="W1399" s="22"/>
      <c r="X1399" s="22"/>
      <c r="Y1399" s="22"/>
      <c r="Z1399" s="22"/>
      <c r="AA1399" s="22"/>
      <c r="AB1399" s="22"/>
      <c r="AC1399" s="22"/>
      <c r="AD1399" s="22"/>
      <c r="AE1399" s="22"/>
      <c r="AF1399" s="22"/>
      <c r="AG1399" s="22"/>
      <c r="AH1399" s="22"/>
      <c r="AI1399" s="22"/>
      <c r="AJ1399" s="22"/>
    </row>
    <row r="1400" spans="1:36" x14ac:dyDescent="0.25">
      <c r="A1400" s="22" t="s">
        <v>3942</v>
      </c>
      <c r="B1400" s="22">
        <v>0</v>
      </c>
      <c r="C1400" s="22"/>
      <c r="D1400" s="22"/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2"/>
      <c r="T1400" s="22"/>
      <c r="U1400" s="22"/>
      <c r="V1400" s="22"/>
      <c r="W1400" s="22"/>
      <c r="X1400" s="22"/>
      <c r="Y1400" s="22"/>
      <c r="Z1400" s="22"/>
      <c r="AA1400" s="22"/>
      <c r="AB1400" s="22"/>
      <c r="AC1400" s="22"/>
      <c r="AD1400" s="22"/>
      <c r="AE1400" s="22"/>
      <c r="AF1400" s="22"/>
      <c r="AG1400" s="22"/>
      <c r="AH1400" s="22"/>
      <c r="AI1400" s="22"/>
      <c r="AJ1400" s="22"/>
    </row>
    <row r="1401" spans="1:36" x14ac:dyDescent="0.25">
      <c r="A1401" s="22" t="s">
        <v>3943</v>
      </c>
      <c r="B1401" s="22">
        <v>0</v>
      </c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2"/>
      <c r="S1401" s="22"/>
      <c r="T1401" s="22"/>
      <c r="U1401" s="22"/>
      <c r="V1401" s="22"/>
      <c r="W1401" s="22"/>
      <c r="X1401" s="22"/>
      <c r="Y1401" s="22"/>
      <c r="Z1401" s="22"/>
      <c r="AA1401" s="22"/>
      <c r="AB1401" s="22"/>
      <c r="AC1401" s="22"/>
      <c r="AD1401" s="22"/>
      <c r="AE1401" s="22"/>
      <c r="AF1401" s="22"/>
      <c r="AG1401" s="22"/>
      <c r="AH1401" s="22"/>
      <c r="AI1401" s="22"/>
      <c r="AJ1401" s="22"/>
    </row>
    <row r="1402" spans="1:36" x14ac:dyDescent="0.25">
      <c r="A1402" s="22" t="s">
        <v>3944</v>
      </c>
      <c r="B1402" s="22">
        <v>1</v>
      </c>
      <c r="C1402" s="22"/>
      <c r="D1402" s="22"/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2"/>
      <c r="T1402" s="22"/>
      <c r="U1402" s="22"/>
      <c r="V1402" s="22"/>
      <c r="W1402" s="22"/>
      <c r="X1402" s="22"/>
      <c r="Y1402" s="22"/>
      <c r="Z1402" s="22"/>
      <c r="AA1402" s="22"/>
      <c r="AB1402" s="22"/>
      <c r="AC1402" s="22"/>
      <c r="AD1402" s="22"/>
      <c r="AE1402" s="22"/>
      <c r="AF1402" s="22"/>
      <c r="AG1402" s="22"/>
      <c r="AH1402" s="22"/>
      <c r="AI1402" s="22"/>
      <c r="AJ1402" s="22"/>
    </row>
    <row r="1403" spans="1:36" x14ac:dyDescent="0.25">
      <c r="A1403" s="22" t="s">
        <v>3945</v>
      </c>
      <c r="B1403" s="22">
        <v>0</v>
      </c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2"/>
      <c r="S1403" s="22"/>
      <c r="T1403" s="22"/>
      <c r="U1403" s="22"/>
      <c r="V1403" s="22"/>
      <c r="W1403" s="22"/>
      <c r="X1403" s="22"/>
      <c r="Y1403" s="22"/>
      <c r="Z1403" s="22"/>
      <c r="AA1403" s="22"/>
      <c r="AB1403" s="22"/>
      <c r="AC1403" s="22"/>
      <c r="AD1403" s="22"/>
      <c r="AE1403" s="22"/>
      <c r="AF1403" s="22"/>
      <c r="AG1403" s="22"/>
      <c r="AH1403" s="22"/>
      <c r="AI1403" s="22"/>
      <c r="AJ1403" s="22"/>
    </row>
    <row r="1404" spans="1:36" x14ac:dyDescent="0.25">
      <c r="A1404" s="22" t="s">
        <v>3946</v>
      </c>
      <c r="B1404" s="22">
        <v>0</v>
      </c>
      <c r="C1404" s="22"/>
      <c r="D1404" s="22"/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2"/>
      <c r="T1404" s="22"/>
      <c r="U1404" s="22"/>
      <c r="V1404" s="22"/>
      <c r="W1404" s="22"/>
      <c r="X1404" s="22"/>
      <c r="Y1404" s="22"/>
      <c r="Z1404" s="22"/>
      <c r="AA1404" s="22"/>
      <c r="AB1404" s="22"/>
      <c r="AC1404" s="22"/>
      <c r="AD1404" s="22"/>
      <c r="AE1404" s="22"/>
      <c r="AF1404" s="22"/>
      <c r="AG1404" s="22"/>
      <c r="AH1404" s="22"/>
      <c r="AI1404" s="22"/>
      <c r="AJ1404" s="22"/>
    </row>
    <row r="1405" spans="1:36" x14ac:dyDescent="0.25">
      <c r="A1405" s="22" t="s">
        <v>3947</v>
      </c>
      <c r="B1405" s="22">
        <v>0</v>
      </c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2"/>
      <c r="S1405" s="22"/>
      <c r="T1405" s="22"/>
      <c r="U1405" s="22"/>
      <c r="V1405" s="22"/>
      <c r="W1405" s="22"/>
      <c r="X1405" s="22"/>
      <c r="Y1405" s="22"/>
      <c r="Z1405" s="22"/>
      <c r="AA1405" s="22"/>
      <c r="AB1405" s="22"/>
      <c r="AC1405" s="22"/>
      <c r="AD1405" s="22"/>
      <c r="AE1405" s="22"/>
      <c r="AF1405" s="22"/>
      <c r="AG1405" s="22"/>
      <c r="AH1405" s="22"/>
      <c r="AI1405" s="22"/>
      <c r="AJ1405" s="22"/>
    </row>
    <row r="1406" spans="1:36" x14ac:dyDescent="0.25">
      <c r="A1406" s="22" t="s">
        <v>3948</v>
      </c>
      <c r="B1406" s="22">
        <v>0</v>
      </c>
      <c r="C1406" s="22"/>
      <c r="D1406" s="22"/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2"/>
      <c r="T1406" s="22"/>
      <c r="U1406" s="22"/>
      <c r="V1406" s="22"/>
      <c r="W1406" s="22"/>
      <c r="X1406" s="22"/>
      <c r="Y1406" s="22"/>
      <c r="Z1406" s="22"/>
      <c r="AA1406" s="22"/>
      <c r="AB1406" s="22"/>
      <c r="AC1406" s="22"/>
      <c r="AD1406" s="22"/>
      <c r="AE1406" s="22"/>
      <c r="AF1406" s="22"/>
      <c r="AG1406" s="22"/>
      <c r="AH1406" s="22"/>
      <c r="AI1406" s="22"/>
      <c r="AJ1406" s="22"/>
    </row>
    <row r="1407" spans="1:36" x14ac:dyDescent="0.25">
      <c r="A1407" s="22" t="s">
        <v>3949</v>
      </c>
      <c r="B1407" s="22">
        <v>0</v>
      </c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2"/>
      <c r="S1407" s="22"/>
      <c r="T1407" s="22"/>
      <c r="U1407" s="22"/>
      <c r="V1407" s="22"/>
      <c r="W1407" s="22"/>
      <c r="X1407" s="22"/>
      <c r="Y1407" s="22"/>
      <c r="Z1407" s="22"/>
      <c r="AA1407" s="22"/>
      <c r="AB1407" s="22"/>
      <c r="AC1407" s="22"/>
      <c r="AD1407" s="22"/>
      <c r="AE1407" s="22"/>
      <c r="AF1407" s="22"/>
      <c r="AG1407" s="22"/>
      <c r="AH1407" s="22"/>
      <c r="AI1407" s="22"/>
      <c r="AJ1407" s="22"/>
    </row>
    <row r="1408" spans="1:36" x14ac:dyDescent="0.25">
      <c r="A1408" s="22" t="s">
        <v>3950</v>
      </c>
      <c r="B1408" s="22">
        <v>0</v>
      </c>
      <c r="C1408" s="22"/>
      <c r="D1408" s="22"/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2"/>
      <c r="T1408" s="22"/>
      <c r="U1408" s="22"/>
      <c r="V1408" s="22"/>
      <c r="W1408" s="22"/>
      <c r="X1408" s="22"/>
      <c r="Y1408" s="22"/>
      <c r="Z1408" s="22"/>
      <c r="AA1408" s="22"/>
      <c r="AB1408" s="22"/>
      <c r="AC1408" s="22"/>
      <c r="AD1408" s="22"/>
      <c r="AE1408" s="22"/>
      <c r="AF1408" s="22"/>
      <c r="AG1408" s="22"/>
      <c r="AH1408" s="22"/>
      <c r="AI1408" s="22"/>
      <c r="AJ1408" s="22"/>
    </row>
    <row r="1409" spans="1:36" x14ac:dyDescent="0.25">
      <c r="A1409" s="22" t="s">
        <v>3951</v>
      </c>
      <c r="B1409" s="22">
        <v>0</v>
      </c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2"/>
      <c r="S1409" s="22"/>
      <c r="T1409" s="22"/>
      <c r="U1409" s="22"/>
      <c r="V1409" s="22"/>
      <c r="W1409" s="22"/>
      <c r="X1409" s="22"/>
      <c r="Y1409" s="22"/>
      <c r="Z1409" s="22"/>
      <c r="AA1409" s="22"/>
      <c r="AB1409" s="22"/>
      <c r="AC1409" s="22"/>
      <c r="AD1409" s="22"/>
      <c r="AE1409" s="22"/>
      <c r="AF1409" s="22"/>
      <c r="AG1409" s="22"/>
      <c r="AH1409" s="22"/>
      <c r="AI1409" s="22"/>
      <c r="AJ1409" s="22"/>
    </row>
    <row r="1410" spans="1:36" x14ac:dyDescent="0.25">
      <c r="A1410" s="22" t="s">
        <v>3952</v>
      </c>
      <c r="B1410" s="22">
        <v>0</v>
      </c>
      <c r="C1410" s="22"/>
      <c r="D1410" s="22"/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2"/>
      <c r="T1410" s="22"/>
      <c r="U1410" s="22"/>
      <c r="V1410" s="22"/>
      <c r="W1410" s="22"/>
      <c r="X1410" s="22"/>
      <c r="Y1410" s="22"/>
      <c r="Z1410" s="22"/>
      <c r="AA1410" s="22"/>
      <c r="AB1410" s="22"/>
      <c r="AC1410" s="22"/>
      <c r="AD1410" s="22"/>
      <c r="AE1410" s="22"/>
      <c r="AF1410" s="22"/>
      <c r="AG1410" s="22"/>
      <c r="AH1410" s="22"/>
      <c r="AI1410" s="22"/>
      <c r="AJ1410" s="22"/>
    </row>
    <row r="1411" spans="1:36" x14ac:dyDescent="0.25">
      <c r="A1411" s="22" t="s">
        <v>3953</v>
      </c>
      <c r="B1411" s="22">
        <v>0</v>
      </c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2"/>
      <c r="S1411" s="22"/>
      <c r="T1411" s="22"/>
      <c r="U1411" s="22"/>
      <c r="V1411" s="22"/>
      <c r="W1411" s="22"/>
      <c r="X1411" s="22"/>
      <c r="Y1411" s="22"/>
      <c r="Z1411" s="22"/>
      <c r="AA1411" s="22"/>
      <c r="AB1411" s="22"/>
      <c r="AC1411" s="22"/>
      <c r="AD1411" s="22"/>
      <c r="AE1411" s="22"/>
      <c r="AF1411" s="22"/>
      <c r="AG1411" s="22"/>
      <c r="AH1411" s="22"/>
      <c r="AI1411" s="22"/>
      <c r="AJ1411" s="22"/>
    </row>
    <row r="1412" spans="1:36" x14ac:dyDescent="0.25">
      <c r="A1412" s="22" t="s">
        <v>3954</v>
      </c>
      <c r="B1412" s="22">
        <v>0</v>
      </c>
      <c r="C1412" s="22"/>
      <c r="D1412" s="22"/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2"/>
      <c r="T1412" s="22"/>
      <c r="U1412" s="22"/>
      <c r="V1412" s="22"/>
      <c r="W1412" s="22"/>
      <c r="X1412" s="22"/>
      <c r="Y1412" s="22"/>
      <c r="Z1412" s="22"/>
      <c r="AA1412" s="22"/>
      <c r="AB1412" s="22"/>
      <c r="AC1412" s="22"/>
      <c r="AD1412" s="22"/>
      <c r="AE1412" s="22"/>
      <c r="AF1412" s="22"/>
      <c r="AG1412" s="22"/>
      <c r="AH1412" s="22"/>
      <c r="AI1412" s="22"/>
      <c r="AJ1412" s="22"/>
    </row>
    <row r="1413" spans="1:36" x14ac:dyDescent="0.25">
      <c r="A1413" s="22" t="s">
        <v>3955</v>
      </c>
      <c r="B1413" s="22">
        <v>0</v>
      </c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2"/>
      <c r="S1413" s="22"/>
      <c r="T1413" s="22"/>
      <c r="U1413" s="22"/>
      <c r="V1413" s="22"/>
      <c r="W1413" s="22"/>
      <c r="X1413" s="22"/>
      <c r="Y1413" s="22"/>
      <c r="Z1413" s="22"/>
      <c r="AA1413" s="22"/>
      <c r="AB1413" s="22"/>
      <c r="AC1413" s="22"/>
      <c r="AD1413" s="22"/>
      <c r="AE1413" s="22"/>
      <c r="AF1413" s="22"/>
      <c r="AG1413" s="22"/>
      <c r="AH1413" s="22"/>
      <c r="AI1413" s="22"/>
      <c r="AJ1413" s="22"/>
    </row>
    <row r="1414" spans="1:36" x14ac:dyDescent="0.25">
      <c r="A1414" s="22" t="s">
        <v>3956</v>
      </c>
      <c r="B1414" s="22">
        <v>32</v>
      </c>
      <c r="C1414" s="22"/>
      <c r="D1414" s="22"/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2"/>
      <c r="T1414" s="22"/>
      <c r="U1414" s="22"/>
      <c r="V1414" s="22"/>
      <c r="W1414" s="22"/>
      <c r="X1414" s="22"/>
      <c r="Y1414" s="22"/>
      <c r="Z1414" s="22"/>
      <c r="AA1414" s="22"/>
      <c r="AB1414" s="22"/>
      <c r="AC1414" s="22"/>
      <c r="AD1414" s="22"/>
      <c r="AE1414" s="22"/>
      <c r="AF1414" s="22"/>
      <c r="AG1414" s="22"/>
      <c r="AH1414" s="22"/>
      <c r="AI1414" s="22"/>
      <c r="AJ1414" s="22"/>
    </row>
    <row r="1415" spans="1:36" x14ac:dyDescent="0.25">
      <c r="A1415" s="22" t="s">
        <v>3957</v>
      </c>
      <c r="B1415" s="22">
        <v>0</v>
      </c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2"/>
      <c r="S1415" s="22"/>
      <c r="T1415" s="22"/>
      <c r="U1415" s="22"/>
      <c r="V1415" s="22"/>
      <c r="W1415" s="22"/>
      <c r="X1415" s="22"/>
      <c r="Y1415" s="22"/>
      <c r="Z1415" s="22"/>
      <c r="AA1415" s="22"/>
      <c r="AB1415" s="22"/>
      <c r="AC1415" s="22"/>
      <c r="AD1415" s="22"/>
      <c r="AE1415" s="22"/>
      <c r="AF1415" s="22"/>
      <c r="AG1415" s="22"/>
      <c r="AH1415" s="22"/>
      <c r="AI1415" s="22"/>
      <c r="AJ1415" s="22"/>
    </row>
    <row r="1416" spans="1:36" x14ac:dyDescent="0.25">
      <c r="A1416" s="22" t="s">
        <v>3958</v>
      </c>
      <c r="B1416" s="22">
        <v>0</v>
      </c>
      <c r="C1416" s="22"/>
      <c r="D1416" s="22"/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2"/>
      <c r="T1416" s="22"/>
      <c r="U1416" s="22"/>
      <c r="V1416" s="22"/>
      <c r="W1416" s="22"/>
      <c r="X1416" s="22"/>
      <c r="Y1416" s="22"/>
      <c r="Z1416" s="22"/>
      <c r="AA1416" s="22"/>
      <c r="AB1416" s="22"/>
      <c r="AC1416" s="22"/>
      <c r="AD1416" s="22"/>
      <c r="AE1416" s="22"/>
      <c r="AF1416" s="22"/>
      <c r="AG1416" s="22"/>
      <c r="AH1416" s="22"/>
      <c r="AI1416" s="22"/>
      <c r="AJ1416" s="22"/>
    </row>
    <row r="1417" spans="1:36" x14ac:dyDescent="0.25">
      <c r="A1417" s="22" t="s">
        <v>3959</v>
      </c>
      <c r="B1417" s="22">
        <v>0</v>
      </c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2"/>
      <c r="S1417" s="22"/>
      <c r="T1417" s="22"/>
      <c r="U1417" s="22"/>
      <c r="V1417" s="22"/>
      <c r="W1417" s="22"/>
      <c r="X1417" s="22"/>
      <c r="Y1417" s="22"/>
      <c r="Z1417" s="22"/>
      <c r="AA1417" s="22"/>
      <c r="AB1417" s="22"/>
      <c r="AC1417" s="22"/>
      <c r="AD1417" s="22"/>
      <c r="AE1417" s="22"/>
      <c r="AF1417" s="22"/>
      <c r="AG1417" s="22"/>
      <c r="AH1417" s="22"/>
      <c r="AI1417" s="22"/>
      <c r="AJ1417" s="22"/>
    </row>
    <row r="1418" spans="1:36" x14ac:dyDescent="0.25">
      <c r="A1418" s="22" t="s">
        <v>3960</v>
      </c>
      <c r="B1418" s="22">
        <v>0</v>
      </c>
      <c r="C1418" s="22"/>
      <c r="D1418" s="22"/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2"/>
      <c r="T1418" s="22"/>
      <c r="U1418" s="22"/>
      <c r="V1418" s="22"/>
      <c r="W1418" s="22"/>
      <c r="X1418" s="22"/>
      <c r="Y1418" s="22"/>
      <c r="Z1418" s="22"/>
      <c r="AA1418" s="22"/>
      <c r="AB1418" s="22"/>
      <c r="AC1418" s="22"/>
      <c r="AD1418" s="22"/>
      <c r="AE1418" s="22"/>
      <c r="AF1418" s="22"/>
      <c r="AG1418" s="22"/>
      <c r="AH1418" s="22"/>
      <c r="AI1418" s="22"/>
      <c r="AJ1418" s="22"/>
    </row>
    <row r="1419" spans="1:36" x14ac:dyDescent="0.25">
      <c r="A1419" s="22" t="s">
        <v>3961</v>
      </c>
      <c r="B1419" s="22">
        <v>0</v>
      </c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2"/>
      <c r="S1419" s="22"/>
      <c r="T1419" s="22"/>
      <c r="U1419" s="22"/>
      <c r="V1419" s="22"/>
      <c r="W1419" s="22"/>
      <c r="X1419" s="22"/>
      <c r="Y1419" s="22"/>
      <c r="Z1419" s="22"/>
      <c r="AA1419" s="22"/>
      <c r="AB1419" s="22"/>
      <c r="AC1419" s="22"/>
      <c r="AD1419" s="22"/>
      <c r="AE1419" s="22"/>
      <c r="AF1419" s="22"/>
      <c r="AG1419" s="22"/>
      <c r="AH1419" s="22"/>
      <c r="AI1419" s="22"/>
      <c r="AJ1419" s="22"/>
    </row>
    <row r="1420" spans="1:36" x14ac:dyDescent="0.25">
      <c r="A1420" s="22" t="s">
        <v>3962</v>
      </c>
      <c r="B1420" s="22">
        <v>0</v>
      </c>
      <c r="C1420" s="22"/>
      <c r="D1420" s="22"/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2"/>
      <c r="T1420" s="22"/>
      <c r="U1420" s="22"/>
      <c r="V1420" s="22"/>
      <c r="W1420" s="22"/>
      <c r="X1420" s="22"/>
      <c r="Y1420" s="22"/>
      <c r="Z1420" s="22"/>
      <c r="AA1420" s="22"/>
      <c r="AB1420" s="22"/>
      <c r="AC1420" s="22"/>
      <c r="AD1420" s="22"/>
      <c r="AE1420" s="22"/>
      <c r="AF1420" s="22"/>
      <c r="AG1420" s="22"/>
      <c r="AH1420" s="22"/>
      <c r="AI1420" s="22"/>
      <c r="AJ1420" s="22"/>
    </row>
    <row r="1421" spans="1:36" x14ac:dyDescent="0.25">
      <c r="A1421" s="22" t="s">
        <v>3963</v>
      </c>
      <c r="B1421" s="22">
        <v>0</v>
      </c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2"/>
      <c r="S1421" s="22"/>
      <c r="T1421" s="22"/>
      <c r="U1421" s="22"/>
      <c r="V1421" s="22"/>
      <c r="W1421" s="22"/>
      <c r="X1421" s="22"/>
      <c r="Y1421" s="22"/>
      <c r="Z1421" s="22"/>
      <c r="AA1421" s="22"/>
      <c r="AB1421" s="22"/>
      <c r="AC1421" s="22"/>
      <c r="AD1421" s="22"/>
      <c r="AE1421" s="22"/>
      <c r="AF1421" s="22"/>
      <c r="AG1421" s="22"/>
      <c r="AH1421" s="22"/>
      <c r="AI1421" s="22"/>
      <c r="AJ1421" s="22"/>
    </row>
    <row r="1422" spans="1:36" x14ac:dyDescent="0.25">
      <c r="A1422" s="22" t="s">
        <v>3964</v>
      </c>
      <c r="B1422" s="22">
        <v>0</v>
      </c>
      <c r="C1422" s="22"/>
      <c r="D1422" s="22"/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2"/>
      <c r="T1422" s="22"/>
      <c r="U1422" s="22"/>
      <c r="V1422" s="22"/>
      <c r="W1422" s="22"/>
      <c r="X1422" s="22"/>
      <c r="Y1422" s="22"/>
      <c r="Z1422" s="22"/>
      <c r="AA1422" s="22"/>
      <c r="AB1422" s="22"/>
      <c r="AC1422" s="22"/>
      <c r="AD1422" s="22"/>
      <c r="AE1422" s="22"/>
      <c r="AF1422" s="22"/>
      <c r="AG1422" s="22"/>
      <c r="AH1422" s="22"/>
      <c r="AI1422" s="22"/>
      <c r="AJ1422" s="22"/>
    </row>
    <row r="1423" spans="1:36" x14ac:dyDescent="0.25">
      <c r="A1423" s="22" t="s">
        <v>3965</v>
      </c>
      <c r="B1423" s="22">
        <v>0</v>
      </c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2"/>
      <c r="S1423" s="22"/>
      <c r="T1423" s="22"/>
      <c r="U1423" s="22"/>
      <c r="V1423" s="22"/>
      <c r="W1423" s="22"/>
      <c r="X1423" s="22"/>
      <c r="Y1423" s="22"/>
      <c r="Z1423" s="22"/>
      <c r="AA1423" s="22"/>
      <c r="AB1423" s="22"/>
      <c r="AC1423" s="22"/>
      <c r="AD1423" s="22"/>
      <c r="AE1423" s="22"/>
      <c r="AF1423" s="22"/>
      <c r="AG1423" s="22"/>
      <c r="AH1423" s="22"/>
      <c r="AI1423" s="22"/>
      <c r="AJ1423" s="22"/>
    </row>
    <row r="1424" spans="1:36" x14ac:dyDescent="0.25">
      <c r="A1424" s="22" t="s">
        <v>3966</v>
      </c>
      <c r="B1424" s="22">
        <v>0</v>
      </c>
      <c r="C1424" s="22"/>
      <c r="D1424" s="22"/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2"/>
      <c r="T1424" s="22"/>
      <c r="U1424" s="22"/>
      <c r="V1424" s="22"/>
      <c r="W1424" s="22"/>
      <c r="X1424" s="22"/>
      <c r="Y1424" s="22"/>
      <c r="Z1424" s="22"/>
      <c r="AA1424" s="22"/>
      <c r="AB1424" s="22"/>
      <c r="AC1424" s="22"/>
      <c r="AD1424" s="22"/>
      <c r="AE1424" s="22"/>
      <c r="AF1424" s="22"/>
      <c r="AG1424" s="22"/>
      <c r="AH1424" s="22"/>
      <c r="AI1424" s="22"/>
      <c r="AJ1424" s="22"/>
    </row>
    <row r="1425" spans="1:36" x14ac:dyDescent="0.25">
      <c r="A1425" s="22" t="s">
        <v>3967</v>
      </c>
      <c r="B1425" s="22">
        <v>0</v>
      </c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2"/>
      <c r="S1425" s="22"/>
      <c r="T1425" s="22"/>
      <c r="U1425" s="22"/>
      <c r="V1425" s="22"/>
      <c r="W1425" s="22"/>
      <c r="X1425" s="22"/>
      <c r="Y1425" s="22"/>
      <c r="Z1425" s="22"/>
      <c r="AA1425" s="22"/>
      <c r="AB1425" s="22"/>
      <c r="AC1425" s="22"/>
      <c r="AD1425" s="22"/>
      <c r="AE1425" s="22"/>
      <c r="AF1425" s="22"/>
      <c r="AG1425" s="22"/>
      <c r="AH1425" s="22"/>
      <c r="AI1425" s="22"/>
      <c r="AJ1425" s="22"/>
    </row>
    <row r="1426" spans="1:36" x14ac:dyDescent="0.25">
      <c r="A1426" s="22" t="s">
        <v>3968</v>
      </c>
      <c r="B1426" s="22">
        <v>0</v>
      </c>
      <c r="C1426" s="22"/>
      <c r="D1426" s="22"/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2"/>
      <c r="T1426" s="22"/>
      <c r="U1426" s="22"/>
      <c r="V1426" s="22"/>
      <c r="W1426" s="22"/>
      <c r="X1426" s="22"/>
      <c r="Y1426" s="22"/>
      <c r="Z1426" s="22"/>
      <c r="AA1426" s="22"/>
      <c r="AB1426" s="22"/>
      <c r="AC1426" s="22"/>
      <c r="AD1426" s="22"/>
      <c r="AE1426" s="22"/>
      <c r="AF1426" s="22"/>
      <c r="AG1426" s="22"/>
      <c r="AH1426" s="22"/>
      <c r="AI1426" s="22"/>
      <c r="AJ1426" s="22"/>
    </row>
    <row r="1427" spans="1:36" x14ac:dyDescent="0.25">
      <c r="A1427" s="22" t="s">
        <v>3969</v>
      </c>
      <c r="B1427" s="22">
        <v>0</v>
      </c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2"/>
      <c r="S1427" s="22"/>
      <c r="T1427" s="22"/>
      <c r="U1427" s="22"/>
      <c r="V1427" s="22"/>
      <c r="W1427" s="22"/>
      <c r="X1427" s="22"/>
      <c r="Y1427" s="22"/>
      <c r="Z1427" s="22"/>
      <c r="AA1427" s="22"/>
      <c r="AB1427" s="22"/>
      <c r="AC1427" s="22"/>
      <c r="AD1427" s="22"/>
      <c r="AE1427" s="22"/>
      <c r="AF1427" s="22"/>
      <c r="AG1427" s="22"/>
      <c r="AH1427" s="22"/>
      <c r="AI1427" s="22"/>
      <c r="AJ1427" s="22"/>
    </row>
    <row r="1428" spans="1:36" x14ac:dyDescent="0.25">
      <c r="A1428" s="22" t="s">
        <v>3970</v>
      </c>
      <c r="B1428" s="22">
        <v>0</v>
      </c>
      <c r="C1428" s="22"/>
      <c r="D1428" s="22"/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2"/>
      <c r="T1428" s="22"/>
      <c r="U1428" s="22"/>
      <c r="V1428" s="22"/>
      <c r="W1428" s="22"/>
      <c r="X1428" s="22"/>
      <c r="Y1428" s="22"/>
      <c r="Z1428" s="22"/>
      <c r="AA1428" s="22"/>
      <c r="AB1428" s="22"/>
      <c r="AC1428" s="22"/>
      <c r="AD1428" s="22"/>
      <c r="AE1428" s="22"/>
      <c r="AF1428" s="22"/>
      <c r="AG1428" s="22"/>
      <c r="AH1428" s="22"/>
      <c r="AI1428" s="22"/>
      <c r="AJ1428" s="22"/>
    </row>
    <row r="1429" spans="1:36" x14ac:dyDescent="0.25">
      <c r="A1429" s="22" t="s">
        <v>3971</v>
      </c>
      <c r="B1429" s="22">
        <v>0</v>
      </c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2"/>
      <c r="S1429" s="22"/>
      <c r="T1429" s="22"/>
      <c r="U1429" s="22"/>
      <c r="V1429" s="22"/>
      <c r="W1429" s="22"/>
      <c r="X1429" s="22"/>
      <c r="Y1429" s="22"/>
      <c r="Z1429" s="22"/>
      <c r="AA1429" s="22"/>
      <c r="AB1429" s="22"/>
      <c r="AC1429" s="22"/>
      <c r="AD1429" s="22"/>
      <c r="AE1429" s="22"/>
      <c r="AF1429" s="22"/>
      <c r="AG1429" s="22"/>
      <c r="AH1429" s="22"/>
      <c r="AI1429" s="22"/>
      <c r="AJ1429" s="22"/>
    </row>
    <row r="1430" spans="1:36" x14ac:dyDescent="0.25">
      <c r="A1430" s="22" t="s">
        <v>3972</v>
      </c>
      <c r="B1430" s="22">
        <v>9</v>
      </c>
      <c r="C1430" s="22"/>
      <c r="D1430" s="22"/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2"/>
      <c r="T1430" s="22"/>
      <c r="U1430" s="22"/>
      <c r="V1430" s="22"/>
      <c r="W1430" s="22"/>
      <c r="X1430" s="22"/>
      <c r="Y1430" s="22"/>
      <c r="Z1430" s="22"/>
      <c r="AA1430" s="22"/>
      <c r="AB1430" s="22"/>
      <c r="AC1430" s="22"/>
      <c r="AD1430" s="22"/>
      <c r="AE1430" s="22"/>
      <c r="AF1430" s="22"/>
      <c r="AG1430" s="22"/>
      <c r="AH1430" s="22"/>
      <c r="AI1430" s="22"/>
      <c r="AJ1430" s="22"/>
    </row>
    <row r="1431" spans="1:36" x14ac:dyDescent="0.25">
      <c r="A1431" s="22" t="s">
        <v>3973</v>
      </c>
      <c r="B1431" s="22">
        <v>0</v>
      </c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2"/>
      <c r="S1431" s="22"/>
      <c r="T1431" s="22"/>
      <c r="U1431" s="22"/>
      <c r="V1431" s="22"/>
      <c r="W1431" s="22"/>
      <c r="X1431" s="22"/>
      <c r="Y1431" s="22"/>
      <c r="Z1431" s="22"/>
      <c r="AA1431" s="22"/>
      <c r="AB1431" s="22"/>
      <c r="AC1431" s="22"/>
      <c r="AD1431" s="22"/>
      <c r="AE1431" s="22"/>
      <c r="AF1431" s="22"/>
      <c r="AG1431" s="22"/>
      <c r="AH1431" s="22"/>
      <c r="AI1431" s="22"/>
      <c r="AJ1431" s="22"/>
    </row>
    <row r="1432" spans="1:36" x14ac:dyDescent="0.25">
      <c r="A1432" s="22" t="s">
        <v>3974</v>
      </c>
      <c r="B1432" s="22">
        <v>0</v>
      </c>
      <c r="C1432" s="22"/>
      <c r="D1432" s="22"/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2"/>
      <c r="T1432" s="22"/>
      <c r="U1432" s="22"/>
      <c r="V1432" s="22"/>
      <c r="W1432" s="22"/>
      <c r="X1432" s="22"/>
      <c r="Y1432" s="22"/>
      <c r="Z1432" s="22"/>
      <c r="AA1432" s="22"/>
      <c r="AB1432" s="22"/>
      <c r="AC1432" s="22"/>
      <c r="AD1432" s="22"/>
      <c r="AE1432" s="22"/>
      <c r="AF1432" s="22"/>
      <c r="AG1432" s="22"/>
      <c r="AH1432" s="22"/>
      <c r="AI1432" s="22"/>
      <c r="AJ1432" s="22"/>
    </row>
    <row r="1433" spans="1:36" x14ac:dyDescent="0.25">
      <c r="A1433" s="22" t="s">
        <v>3975</v>
      </c>
      <c r="B1433" s="22">
        <v>0</v>
      </c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2"/>
      <c r="S1433" s="22"/>
      <c r="T1433" s="22"/>
      <c r="U1433" s="22"/>
      <c r="V1433" s="22"/>
      <c r="W1433" s="22"/>
      <c r="X1433" s="22"/>
      <c r="Y1433" s="22"/>
      <c r="Z1433" s="22"/>
      <c r="AA1433" s="22"/>
      <c r="AB1433" s="22"/>
      <c r="AC1433" s="22"/>
      <c r="AD1433" s="22"/>
      <c r="AE1433" s="22"/>
      <c r="AF1433" s="22"/>
      <c r="AG1433" s="22"/>
      <c r="AH1433" s="22"/>
      <c r="AI1433" s="22"/>
      <c r="AJ1433" s="22"/>
    </row>
    <row r="1434" spans="1:36" x14ac:dyDescent="0.25">
      <c r="A1434" s="22" t="s">
        <v>3976</v>
      </c>
      <c r="B1434" s="22">
        <v>0</v>
      </c>
      <c r="C1434" s="22"/>
      <c r="D1434" s="22"/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2"/>
      <c r="T1434" s="22"/>
      <c r="U1434" s="22"/>
      <c r="V1434" s="22"/>
      <c r="W1434" s="22"/>
      <c r="X1434" s="22"/>
      <c r="Y1434" s="22"/>
      <c r="Z1434" s="22"/>
      <c r="AA1434" s="22"/>
      <c r="AB1434" s="22"/>
      <c r="AC1434" s="22"/>
      <c r="AD1434" s="22"/>
      <c r="AE1434" s="22"/>
      <c r="AF1434" s="22"/>
      <c r="AG1434" s="22"/>
      <c r="AH1434" s="22"/>
      <c r="AI1434" s="22"/>
      <c r="AJ1434" s="22"/>
    </row>
    <row r="1435" spans="1:36" x14ac:dyDescent="0.25">
      <c r="A1435" s="22" t="s">
        <v>3977</v>
      </c>
      <c r="B1435" s="22">
        <v>0</v>
      </c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2"/>
      <c r="S1435" s="22"/>
      <c r="T1435" s="22"/>
      <c r="U1435" s="22"/>
      <c r="V1435" s="22"/>
      <c r="W1435" s="22"/>
      <c r="X1435" s="22"/>
      <c r="Y1435" s="22"/>
      <c r="Z1435" s="22"/>
      <c r="AA1435" s="22"/>
      <c r="AB1435" s="22"/>
      <c r="AC1435" s="22"/>
      <c r="AD1435" s="22"/>
      <c r="AE1435" s="22"/>
      <c r="AF1435" s="22"/>
      <c r="AG1435" s="22"/>
      <c r="AH1435" s="22"/>
      <c r="AI1435" s="22"/>
      <c r="AJ1435" s="22"/>
    </row>
    <row r="1436" spans="1:36" x14ac:dyDescent="0.25">
      <c r="A1436" s="22" t="s">
        <v>3978</v>
      </c>
      <c r="B1436" s="22">
        <v>0</v>
      </c>
      <c r="C1436" s="22"/>
      <c r="D1436" s="22"/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2"/>
      <c r="T1436" s="22"/>
      <c r="U1436" s="22"/>
      <c r="V1436" s="22"/>
      <c r="W1436" s="22"/>
      <c r="X1436" s="22"/>
      <c r="Y1436" s="22"/>
      <c r="Z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</row>
    <row r="1437" spans="1:36" x14ac:dyDescent="0.25">
      <c r="A1437" s="22" t="s">
        <v>3979</v>
      </c>
      <c r="B1437" s="22">
        <v>0</v>
      </c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2"/>
      <c r="S1437" s="22"/>
      <c r="T1437" s="22"/>
      <c r="U1437" s="22"/>
      <c r="V1437" s="22"/>
      <c r="W1437" s="22"/>
      <c r="X1437" s="22"/>
      <c r="Y1437" s="22"/>
      <c r="Z1437" s="22"/>
      <c r="AA1437" s="22"/>
      <c r="AB1437" s="22"/>
      <c r="AC1437" s="22"/>
      <c r="AD1437" s="22"/>
      <c r="AE1437" s="22"/>
      <c r="AF1437" s="22"/>
      <c r="AG1437" s="22"/>
      <c r="AH1437" s="22"/>
      <c r="AI1437" s="22"/>
      <c r="AJ1437" s="22"/>
    </row>
    <row r="1438" spans="1:36" x14ac:dyDescent="0.25">
      <c r="A1438" s="22" t="s">
        <v>4785</v>
      </c>
      <c r="B1438" s="22">
        <v>0</v>
      </c>
      <c r="C1438" s="22"/>
      <c r="D1438" s="22"/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2"/>
      <c r="T1438" s="22"/>
      <c r="U1438" s="22"/>
      <c r="V1438" s="22"/>
      <c r="W1438" s="22"/>
      <c r="X1438" s="22"/>
      <c r="Y1438" s="22"/>
      <c r="Z1438" s="22"/>
      <c r="AA1438" s="22"/>
      <c r="AB1438" s="22"/>
      <c r="AC1438" s="22"/>
      <c r="AD1438" s="22"/>
      <c r="AE1438" s="22"/>
      <c r="AF1438" s="22"/>
      <c r="AG1438" s="22"/>
      <c r="AH1438" s="22"/>
      <c r="AI1438" s="22"/>
      <c r="AJ1438" s="22"/>
    </row>
    <row r="1439" spans="1:36" x14ac:dyDescent="0.25">
      <c r="A1439" s="22" t="s">
        <v>4786</v>
      </c>
      <c r="B1439" s="22">
        <v>0</v>
      </c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2"/>
      <c r="S1439" s="22"/>
      <c r="T1439" s="22"/>
      <c r="U1439" s="22"/>
      <c r="V1439" s="22"/>
      <c r="W1439" s="22"/>
      <c r="X1439" s="22"/>
      <c r="Y1439" s="22"/>
      <c r="Z1439" s="22"/>
      <c r="AA1439" s="22"/>
      <c r="AB1439" s="22"/>
      <c r="AC1439" s="22"/>
      <c r="AD1439" s="22"/>
      <c r="AE1439" s="22"/>
      <c r="AF1439" s="22"/>
      <c r="AG1439" s="22"/>
      <c r="AH1439" s="22"/>
      <c r="AI1439" s="22"/>
      <c r="AJ1439" s="22"/>
    </row>
    <row r="1440" spans="1:36" x14ac:dyDescent="0.25">
      <c r="A1440" s="22" t="s">
        <v>4787</v>
      </c>
      <c r="B1440" s="22">
        <v>0</v>
      </c>
      <c r="C1440" s="22"/>
      <c r="D1440" s="22"/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2"/>
      <c r="T1440" s="22"/>
      <c r="U1440" s="22"/>
      <c r="V1440" s="22"/>
      <c r="W1440" s="22"/>
      <c r="X1440" s="22"/>
      <c r="Y1440" s="22"/>
      <c r="Z1440" s="22"/>
      <c r="AA1440" s="22"/>
      <c r="AB1440" s="22"/>
      <c r="AC1440" s="22"/>
      <c r="AD1440" s="22"/>
      <c r="AE1440" s="22"/>
      <c r="AF1440" s="22"/>
      <c r="AG1440" s="22"/>
      <c r="AH1440" s="22"/>
      <c r="AI1440" s="22"/>
      <c r="AJ1440" s="22"/>
    </row>
    <row r="1441" spans="1:36" x14ac:dyDescent="0.25">
      <c r="A1441" s="22" t="s">
        <v>4788</v>
      </c>
      <c r="B1441" s="22">
        <v>0</v>
      </c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2"/>
      <c r="S1441" s="22"/>
      <c r="T1441" s="22"/>
      <c r="U1441" s="22"/>
      <c r="V1441" s="22"/>
      <c r="W1441" s="22"/>
      <c r="X1441" s="22"/>
      <c r="Y1441" s="22"/>
      <c r="Z1441" s="22"/>
      <c r="AA1441" s="22"/>
      <c r="AB1441" s="22"/>
      <c r="AC1441" s="22"/>
      <c r="AD1441" s="22"/>
      <c r="AE1441" s="22"/>
      <c r="AF1441" s="22"/>
      <c r="AG1441" s="22"/>
      <c r="AH1441" s="22"/>
      <c r="AI1441" s="22"/>
      <c r="AJ1441" s="22"/>
    </row>
    <row r="1442" spans="1:36" x14ac:dyDescent="0.25">
      <c r="A1442" s="22" t="s">
        <v>4789</v>
      </c>
      <c r="B1442" s="22">
        <v>0</v>
      </c>
      <c r="C1442" s="22"/>
      <c r="D1442" s="22"/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2"/>
      <c r="T1442" s="22"/>
      <c r="U1442" s="22"/>
      <c r="V1442" s="22"/>
      <c r="W1442" s="22"/>
      <c r="X1442" s="22"/>
      <c r="Y1442" s="22"/>
      <c r="Z1442" s="22"/>
      <c r="AA1442" s="22"/>
      <c r="AB1442" s="22"/>
      <c r="AC1442" s="22"/>
      <c r="AD1442" s="22"/>
      <c r="AE1442" s="22"/>
      <c r="AF1442" s="22"/>
      <c r="AG1442" s="22"/>
      <c r="AH1442" s="22"/>
      <c r="AI1442" s="22"/>
      <c r="AJ1442" s="22"/>
    </row>
    <row r="1443" spans="1:36" x14ac:dyDescent="0.25">
      <c r="A1443" s="22" t="s">
        <v>4790</v>
      </c>
      <c r="B1443" s="22">
        <v>0</v>
      </c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2"/>
      <c r="S1443" s="22"/>
      <c r="T1443" s="22"/>
      <c r="U1443" s="22"/>
      <c r="V1443" s="22"/>
      <c r="W1443" s="22"/>
      <c r="X1443" s="22"/>
      <c r="Y1443" s="22"/>
      <c r="Z1443" s="22"/>
      <c r="AA1443" s="22"/>
      <c r="AB1443" s="22"/>
      <c r="AC1443" s="22"/>
      <c r="AD1443" s="22"/>
      <c r="AE1443" s="22"/>
      <c r="AF1443" s="22"/>
      <c r="AG1443" s="22"/>
      <c r="AH1443" s="22"/>
      <c r="AI1443" s="22"/>
      <c r="AJ1443" s="22"/>
    </row>
    <row r="1444" spans="1:36" x14ac:dyDescent="0.25">
      <c r="A1444" s="22" t="s">
        <v>4791</v>
      </c>
      <c r="B1444" s="22">
        <v>0</v>
      </c>
      <c r="C1444" s="22"/>
      <c r="D1444" s="22"/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2"/>
      <c r="T1444" s="22"/>
      <c r="U1444" s="22"/>
      <c r="V1444" s="22"/>
      <c r="W1444" s="22"/>
      <c r="X1444" s="22"/>
      <c r="Y1444" s="22"/>
      <c r="Z1444" s="22"/>
      <c r="AA1444" s="22"/>
      <c r="AB1444" s="22"/>
      <c r="AC1444" s="22"/>
      <c r="AD1444" s="22"/>
      <c r="AE1444" s="22"/>
      <c r="AF1444" s="22"/>
      <c r="AG1444" s="22"/>
      <c r="AH1444" s="22"/>
      <c r="AI1444" s="22"/>
      <c r="AJ1444" s="22"/>
    </row>
    <row r="1445" spans="1:36" x14ac:dyDescent="0.25">
      <c r="A1445" s="22" t="s">
        <v>4792</v>
      </c>
      <c r="B1445" s="22">
        <v>0</v>
      </c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2"/>
      <c r="S1445" s="22"/>
      <c r="T1445" s="22"/>
      <c r="U1445" s="22"/>
      <c r="V1445" s="22"/>
      <c r="W1445" s="22"/>
      <c r="X1445" s="22"/>
      <c r="Y1445" s="22"/>
      <c r="Z1445" s="22"/>
      <c r="AA1445" s="22"/>
      <c r="AB1445" s="22"/>
      <c r="AC1445" s="22"/>
      <c r="AD1445" s="22"/>
      <c r="AE1445" s="22"/>
      <c r="AF1445" s="22"/>
      <c r="AG1445" s="22"/>
      <c r="AH1445" s="22"/>
      <c r="AI1445" s="22"/>
      <c r="AJ1445" s="22"/>
    </row>
    <row r="1446" spans="1:36" x14ac:dyDescent="0.25">
      <c r="A1446" s="22" t="s">
        <v>3980</v>
      </c>
      <c r="B1446" s="22">
        <v>1069</v>
      </c>
      <c r="C1446" s="22"/>
      <c r="D1446" s="22"/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2"/>
      <c r="T1446" s="22"/>
      <c r="U1446" s="22"/>
      <c r="V1446" s="22"/>
      <c r="W1446" s="22"/>
      <c r="X1446" s="22"/>
      <c r="Y1446" s="22"/>
      <c r="Z1446" s="22"/>
      <c r="AA1446" s="22"/>
      <c r="AB1446" s="22"/>
      <c r="AC1446" s="22"/>
      <c r="AD1446" s="22"/>
      <c r="AE1446" s="22"/>
      <c r="AF1446" s="22"/>
      <c r="AG1446" s="22"/>
      <c r="AH1446" s="22"/>
      <c r="AI1446" s="22"/>
      <c r="AJ1446" s="22"/>
    </row>
    <row r="1447" spans="1:36" x14ac:dyDescent="0.25">
      <c r="A1447" s="22" t="s">
        <v>3981</v>
      </c>
      <c r="B1447" s="22">
        <v>897</v>
      </c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2"/>
      <c r="S1447" s="22"/>
      <c r="T1447" s="22"/>
      <c r="U1447" s="22"/>
      <c r="V1447" s="22"/>
      <c r="W1447" s="22"/>
      <c r="X1447" s="22"/>
      <c r="Y1447" s="22"/>
      <c r="Z1447" s="22"/>
      <c r="AA1447" s="22"/>
      <c r="AB1447" s="22"/>
      <c r="AC1447" s="22"/>
      <c r="AD1447" s="22"/>
      <c r="AE1447" s="22"/>
      <c r="AF1447" s="22"/>
      <c r="AG1447" s="22"/>
      <c r="AH1447" s="22"/>
      <c r="AI1447" s="22"/>
      <c r="AJ1447" s="22"/>
    </row>
    <row r="1448" spans="1:36" x14ac:dyDescent="0.25">
      <c r="A1448" s="22" t="s">
        <v>3982</v>
      </c>
      <c r="B1448" s="22">
        <v>718</v>
      </c>
      <c r="C1448" s="22"/>
      <c r="D1448" s="22"/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2"/>
      <c r="T1448" s="22"/>
      <c r="U1448" s="22"/>
      <c r="V1448" s="22"/>
      <c r="W1448" s="22"/>
      <c r="X1448" s="22"/>
      <c r="Y1448" s="22"/>
      <c r="Z1448" s="22"/>
      <c r="AA1448" s="22"/>
      <c r="AB1448" s="22"/>
      <c r="AC1448" s="22"/>
      <c r="AD1448" s="22"/>
      <c r="AE1448" s="22"/>
      <c r="AF1448" s="22"/>
      <c r="AG1448" s="22"/>
      <c r="AH1448" s="22"/>
      <c r="AI1448" s="22"/>
      <c r="AJ1448" s="22"/>
    </row>
    <row r="1449" spans="1:36" x14ac:dyDescent="0.25">
      <c r="A1449" s="22" t="s">
        <v>3983</v>
      </c>
      <c r="B1449" s="22">
        <v>0</v>
      </c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2"/>
      <c r="S1449" s="22"/>
      <c r="T1449" s="22"/>
      <c r="U1449" s="22"/>
      <c r="V1449" s="22"/>
      <c r="W1449" s="22"/>
      <c r="X1449" s="22"/>
      <c r="Y1449" s="22"/>
      <c r="Z1449" s="22"/>
      <c r="AA1449" s="22"/>
      <c r="AB1449" s="22"/>
      <c r="AC1449" s="22"/>
      <c r="AD1449" s="22"/>
      <c r="AE1449" s="22"/>
      <c r="AF1449" s="22"/>
      <c r="AG1449" s="22"/>
      <c r="AH1449" s="22"/>
      <c r="AI1449" s="22"/>
      <c r="AJ1449" s="22"/>
    </row>
    <row r="1450" spans="1:36" x14ac:dyDescent="0.25">
      <c r="A1450" s="22" t="s">
        <v>3984</v>
      </c>
      <c r="B1450" s="22">
        <v>12</v>
      </c>
      <c r="C1450" s="22"/>
      <c r="D1450" s="22"/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2"/>
      <c r="T1450" s="22"/>
      <c r="U1450" s="22"/>
      <c r="V1450" s="22"/>
      <c r="W1450" s="22"/>
      <c r="X1450" s="22"/>
      <c r="Y1450" s="22"/>
      <c r="Z1450" s="22"/>
      <c r="AA1450" s="22"/>
      <c r="AB1450" s="22"/>
      <c r="AC1450" s="22"/>
      <c r="AD1450" s="22"/>
      <c r="AE1450" s="22"/>
      <c r="AF1450" s="22"/>
      <c r="AG1450" s="22"/>
      <c r="AH1450" s="22"/>
      <c r="AI1450" s="22"/>
      <c r="AJ1450" s="22"/>
    </row>
    <row r="1451" spans="1:36" x14ac:dyDescent="0.25">
      <c r="A1451" s="22" t="s">
        <v>3985</v>
      </c>
      <c r="B1451" s="22">
        <v>0</v>
      </c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  <c r="AA1451" s="22"/>
      <c r="AB1451" s="22"/>
      <c r="AC1451" s="22"/>
      <c r="AD1451" s="22"/>
      <c r="AE1451" s="22"/>
      <c r="AF1451" s="22"/>
      <c r="AG1451" s="22"/>
      <c r="AH1451" s="22"/>
      <c r="AI1451" s="22"/>
      <c r="AJ1451" s="22"/>
    </row>
    <row r="1452" spans="1:36" x14ac:dyDescent="0.25">
      <c r="A1452" s="22" t="s">
        <v>3986</v>
      </c>
      <c r="B1452" s="22">
        <v>0</v>
      </c>
      <c r="C1452" s="22"/>
      <c r="D1452" s="22"/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  <c r="AF1452" s="22"/>
      <c r="AG1452" s="22"/>
      <c r="AH1452" s="22"/>
      <c r="AI1452" s="22"/>
      <c r="AJ1452" s="22"/>
    </row>
    <row r="1453" spans="1:36" x14ac:dyDescent="0.25">
      <c r="A1453" s="22" t="s">
        <v>3987</v>
      </c>
      <c r="B1453" s="22">
        <v>0</v>
      </c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  <c r="AF1453" s="22"/>
      <c r="AG1453" s="22"/>
      <c r="AH1453" s="22"/>
      <c r="AI1453" s="22"/>
      <c r="AJ1453" s="22"/>
    </row>
    <row r="1454" spans="1:36" x14ac:dyDescent="0.25">
      <c r="A1454" s="22" t="s">
        <v>3988</v>
      </c>
      <c r="B1454" s="22">
        <v>537</v>
      </c>
      <c r="C1454" s="22"/>
      <c r="D1454" s="22"/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2"/>
      <c r="T1454" s="22"/>
      <c r="U1454" s="22"/>
      <c r="V1454" s="22"/>
      <c r="W1454" s="22"/>
      <c r="X1454" s="22"/>
      <c r="Y1454" s="22"/>
      <c r="Z1454" s="22"/>
      <c r="AA1454" s="22"/>
      <c r="AB1454" s="22"/>
      <c r="AC1454" s="22"/>
      <c r="AD1454" s="22"/>
      <c r="AE1454" s="22"/>
      <c r="AF1454" s="22"/>
      <c r="AG1454" s="22"/>
      <c r="AH1454" s="22"/>
      <c r="AI1454" s="22"/>
      <c r="AJ1454" s="22"/>
    </row>
    <row r="1455" spans="1:36" x14ac:dyDescent="0.25">
      <c r="A1455" s="22" t="s">
        <v>3989</v>
      </c>
      <c r="B1455" s="22">
        <v>18</v>
      </c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2"/>
      <c r="S1455" s="22"/>
      <c r="T1455" s="22"/>
      <c r="U1455" s="22"/>
      <c r="V1455" s="22"/>
      <c r="W1455" s="22"/>
      <c r="X1455" s="22"/>
      <c r="Y1455" s="22"/>
      <c r="Z1455" s="22"/>
      <c r="AA1455" s="22"/>
      <c r="AB1455" s="22"/>
      <c r="AC1455" s="22"/>
      <c r="AD1455" s="22"/>
      <c r="AE1455" s="22"/>
      <c r="AF1455" s="22"/>
      <c r="AG1455" s="22"/>
      <c r="AH1455" s="22"/>
      <c r="AI1455" s="22"/>
      <c r="AJ1455" s="22"/>
    </row>
    <row r="1456" spans="1:36" x14ac:dyDescent="0.25">
      <c r="A1456" s="22" t="s">
        <v>3990</v>
      </c>
      <c r="B1456" s="22">
        <v>0</v>
      </c>
      <c r="C1456" s="22"/>
      <c r="D1456" s="22"/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2"/>
      <c r="T1456" s="22"/>
      <c r="U1456" s="22"/>
      <c r="V1456" s="22"/>
      <c r="W1456" s="22"/>
      <c r="X1456" s="22"/>
      <c r="Y1456" s="22"/>
      <c r="Z1456" s="22"/>
      <c r="AA1456" s="22"/>
      <c r="AB1456" s="22"/>
      <c r="AC1456" s="22"/>
      <c r="AD1456" s="22"/>
      <c r="AE1456" s="22"/>
      <c r="AF1456" s="22"/>
      <c r="AG1456" s="22"/>
      <c r="AH1456" s="22"/>
      <c r="AI1456" s="22"/>
      <c r="AJ1456" s="22"/>
    </row>
    <row r="1457" spans="1:36" x14ac:dyDescent="0.25">
      <c r="A1457" s="22" t="s">
        <v>3991</v>
      </c>
      <c r="B1457" s="22">
        <v>0</v>
      </c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2"/>
      <c r="S1457" s="22"/>
      <c r="T1457" s="22"/>
      <c r="U1457" s="22"/>
      <c r="V1457" s="22"/>
      <c r="W1457" s="22"/>
      <c r="X1457" s="22"/>
      <c r="Y1457" s="22"/>
      <c r="Z1457" s="22"/>
      <c r="AA1457" s="22"/>
      <c r="AB1457" s="22"/>
      <c r="AC1457" s="22"/>
      <c r="AD1457" s="22"/>
      <c r="AE1457" s="22"/>
      <c r="AF1457" s="22"/>
      <c r="AG1457" s="22"/>
      <c r="AH1457" s="22"/>
      <c r="AI1457" s="22"/>
      <c r="AJ1457" s="22"/>
    </row>
    <row r="1458" spans="1:36" x14ac:dyDescent="0.25">
      <c r="A1458" s="22" t="s">
        <v>3992</v>
      </c>
      <c r="B1458" s="22">
        <v>4</v>
      </c>
      <c r="C1458" s="22"/>
      <c r="D1458" s="22"/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2"/>
      <c r="T1458" s="22"/>
      <c r="U1458" s="22"/>
      <c r="V1458" s="22"/>
      <c r="W1458" s="22"/>
      <c r="X1458" s="22"/>
      <c r="Y1458" s="22"/>
      <c r="Z1458" s="22"/>
      <c r="AA1458" s="22"/>
      <c r="AB1458" s="22"/>
      <c r="AC1458" s="22"/>
      <c r="AD1458" s="22"/>
      <c r="AE1458" s="22"/>
      <c r="AF1458" s="22"/>
      <c r="AG1458" s="22"/>
      <c r="AH1458" s="22"/>
      <c r="AI1458" s="22"/>
      <c r="AJ1458" s="22"/>
    </row>
    <row r="1459" spans="1:36" x14ac:dyDescent="0.25">
      <c r="A1459" s="22" t="s">
        <v>3993</v>
      </c>
      <c r="B1459" s="22">
        <v>0</v>
      </c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2"/>
      <c r="S1459" s="22"/>
      <c r="T1459" s="22"/>
      <c r="U1459" s="22"/>
      <c r="V1459" s="22"/>
      <c r="W1459" s="22"/>
      <c r="X1459" s="22"/>
      <c r="Y1459" s="22"/>
      <c r="Z1459" s="22"/>
      <c r="AA1459" s="22"/>
      <c r="AB1459" s="22"/>
      <c r="AC1459" s="22"/>
      <c r="AD1459" s="22"/>
      <c r="AE1459" s="22"/>
      <c r="AF1459" s="22"/>
      <c r="AG1459" s="22"/>
      <c r="AH1459" s="22"/>
      <c r="AI1459" s="22"/>
      <c r="AJ1459" s="22"/>
    </row>
    <row r="1460" spans="1:36" x14ac:dyDescent="0.25">
      <c r="A1460" s="22" t="s">
        <v>3994</v>
      </c>
      <c r="B1460" s="22">
        <v>0</v>
      </c>
      <c r="C1460" s="22"/>
      <c r="D1460" s="22"/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2"/>
      <c r="T1460" s="22"/>
      <c r="U1460" s="22"/>
      <c r="V1460" s="22"/>
      <c r="W1460" s="22"/>
      <c r="X1460" s="22"/>
      <c r="Y1460" s="22"/>
      <c r="Z1460" s="22"/>
      <c r="AA1460" s="22"/>
      <c r="AB1460" s="22"/>
      <c r="AC1460" s="22"/>
      <c r="AD1460" s="22"/>
      <c r="AE1460" s="22"/>
      <c r="AF1460" s="22"/>
      <c r="AG1460" s="22"/>
      <c r="AH1460" s="22"/>
      <c r="AI1460" s="22"/>
      <c r="AJ1460" s="22"/>
    </row>
    <row r="1461" spans="1:36" x14ac:dyDescent="0.25">
      <c r="A1461" s="22" t="s">
        <v>3995</v>
      </c>
      <c r="B1461" s="22">
        <v>0</v>
      </c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2"/>
      <c r="S1461" s="22"/>
      <c r="T1461" s="22"/>
      <c r="U1461" s="22"/>
      <c r="V1461" s="22"/>
      <c r="W1461" s="22"/>
      <c r="X1461" s="22"/>
      <c r="Y1461" s="22"/>
      <c r="Z1461" s="22"/>
      <c r="AA1461" s="22"/>
      <c r="AB1461" s="22"/>
      <c r="AC1461" s="22"/>
      <c r="AD1461" s="22"/>
      <c r="AE1461" s="22"/>
      <c r="AF1461" s="22"/>
      <c r="AG1461" s="22"/>
      <c r="AH1461" s="22"/>
      <c r="AI1461" s="22"/>
      <c r="AJ1461" s="22"/>
    </row>
    <row r="1462" spans="1:36" x14ac:dyDescent="0.25">
      <c r="A1462" s="22" t="s">
        <v>3996</v>
      </c>
      <c r="B1462" s="22">
        <v>119</v>
      </c>
      <c r="C1462" s="22"/>
      <c r="D1462" s="22"/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2"/>
      <c r="T1462" s="22"/>
      <c r="U1462" s="22"/>
      <c r="V1462" s="22"/>
      <c r="W1462" s="22"/>
      <c r="X1462" s="22"/>
      <c r="Y1462" s="22"/>
      <c r="Z1462" s="22"/>
      <c r="AA1462" s="22"/>
      <c r="AB1462" s="22"/>
      <c r="AC1462" s="22"/>
      <c r="AD1462" s="22"/>
      <c r="AE1462" s="22"/>
      <c r="AF1462" s="22"/>
      <c r="AG1462" s="22"/>
      <c r="AH1462" s="22"/>
      <c r="AI1462" s="22"/>
      <c r="AJ1462" s="22"/>
    </row>
    <row r="1463" spans="1:36" x14ac:dyDescent="0.25">
      <c r="A1463" s="22" t="s">
        <v>3997</v>
      </c>
      <c r="B1463" s="22">
        <v>0</v>
      </c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2"/>
      <c r="S1463" s="22"/>
      <c r="T1463" s="22"/>
      <c r="U1463" s="22"/>
      <c r="V1463" s="22"/>
      <c r="W1463" s="22"/>
      <c r="X1463" s="22"/>
      <c r="Y1463" s="22"/>
      <c r="Z1463" s="22"/>
      <c r="AA1463" s="22"/>
      <c r="AB1463" s="22"/>
      <c r="AC1463" s="22"/>
      <c r="AD1463" s="22"/>
      <c r="AE1463" s="22"/>
      <c r="AF1463" s="22"/>
      <c r="AG1463" s="22"/>
      <c r="AH1463" s="22"/>
      <c r="AI1463" s="22"/>
      <c r="AJ1463" s="22"/>
    </row>
    <row r="1464" spans="1:36" x14ac:dyDescent="0.25">
      <c r="A1464" s="22" t="s">
        <v>3998</v>
      </c>
      <c r="B1464" s="22">
        <v>0</v>
      </c>
      <c r="C1464" s="22"/>
      <c r="D1464" s="22"/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2"/>
      <c r="T1464" s="22"/>
      <c r="U1464" s="22"/>
      <c r="V1464" s="22"/>
      <c r="W1464" s="22"/>
      <c r="X1464" s="22"/>
      <c r="Y1464" s="22"/>
      <c r="Z1464" s="22"/>
      <c r="AA1464" s="22"/>
      <c r="AB1464" s="22"/>
      <c r="AC1464" s="22"/>
      <c r="AD1464" s="22"/>
      <c r="AE1464" s="22"/>
      <c r="AF1464" s="22"/>
      <c r="AG1464" s="22"/>
      <c r="AH1464" s="22"/>
      <c r="AI1464" s="22"/>
      <c r="AJ1464" s="22"/>
    </row>
    <row r="1465" spans="1:36" x14ac:dyDescent="0.25">
      <c r="A1465" s="22" t="s">
        <v>3999</v>
      </c>
      <c r="B1465" s="22">
        <v>0</v>
      </c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2"/>
      <c r="S1465" s="22"/>
      <c r="T1465" s="22"/>
      <c r="U1465" s="22"/>
      <c r="V1465" s="22"/>
      <c r="W1465" s="22"/>
      <c r="X1465" s="22"/>
      <c r="Y1465" s="22"/>
      <c r="Z1465" s="22"/>
      <c r="AA1465" s="22"/>
      <c r="AB1465" s="22"/>
      <c r="AC1465" s="22"/>
      <c r="AD1465" s="22"/>
      <c r="AE1465" s="22"/>
      <c r="AF1465" s="22"/>
      <c r="AG1465" s="22"/>
      <c r="AH1465" s="22"/>
      <c r="AI1465" s="22"/>
      <c r="AJ1465" s="22"/>
    </row>
    <row r="1466" spans="1:36" x14ac:dyDescent="0.25">
      <c r="A1466" s="22" t="s">
        <v>4000</v>
      </c>
      <c r="B1466" s="22">
        <v>2</v>
      </c>
      <c r="C1466" s="22"/>
      <c r="D1466" s="22"/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2"/>
      <c r="T1466" s="22"/>
      <c r="U1466" s="22"/>
      <c r="V1466" s="22"/>
      <c r="W1466" s="22"/>
      <c r="X1466" s="22"/>
      <c r="Y1466" s="22"/>
      <c r="Z1466" s="22"/>
      <c r="AA1466" s="22"/>
      <c r="AB1466" s="22"/>
      <c r="AC1466" s="22"/>
      <c r="AD1466" s="22"/>
      <c r="AE1466" s="22"/>
      <c r="AF1466" s="22"/>
      <c r="AG1466" s="22"/>
      <c r="AH1466" s="22"/>
      <c r="AI1466" s="22"/>
      <c r="AJ1466" s="22"/>
    </row>
    <row r="1467" spans="1:36" x14ac:dyDescent="0.25">
      <c r="A1467" s="22" t="s">
        <v>4001</v>
      </c>
      <c r="B1467" s="22">
        <v>0</v>
      </c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2"/>
      <c r="S1467" s="22"/>
      <c r="T1467" s="22"/>
      <c r="U1467" s="22"/>
      <c r="V1467" s="22"/>
      <c r="W1467" s="22"/>
      <c r="X1467" s="22"/>
      <c r="Y1467" s="22"/>
      <c r="Z1467" s="22"/>
      <c r="AA1467" s="22"/>
      <c r="AB1467" s="22"/>
      <c r="AC1467" s="22"/>
      <c r="AD1467" s="22"/>
      <c r="AE1467" s="22"/>
      <c r="AF1467" s="22"/>
      <c r="AG1467" s="22"/>
      <c r="AH1467" s="22"/>
      <c r="AI1467" s="22"/>
      <c r="AJ1467" s="22"/>
    </row>
    <row r="1468" spans="1:36" x14ac:dyDescent="0.25">
      <c r="A1468" s="22" t="s">
        <v>4002</v>
      </c>
      <c r="B1468" s="22">
        <v>0</v>
      </c>
      <c r="C1468" s="22"/>
      <c r="D1468" s="22"/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2"/>
      <c r="T1468" s="22"/>
      <c r="U1468" s="22"/>
      <c r="V1468" s="22"/>
      <c r="W1468" s="22"/>
      <c r="X1468" s="22"/>
      <c r="Y1468" s="22"/>
      <c r="Z1468" s="22"/>
      <c r="AA1468" s="22"/>
      <c r="AB1468" s="22"/>
      <c r="AC1468" s="22"/>
      <c r="AD1468" s="22"/>
      <c r="AE1468" s="22"/>
      <c r="AF1468" s="22"/>
      <c r="AG1468" s="22"/>
      <c r="AH1468" s="22"/>
      <c r="AI1468" s="22"/>
      <c r="AJ1468" s="22"/>
    </row>
    <row r="1469" spans="1:36" x14ac:dyDescent="0.25">
      <c r="A1469" s="22" t="s">
        <v>4003</v>
      </c>
      <c r="B1469" s="22">
        <v>0</v>
      </c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2"/>
      <c r="S1469" s="22"/>
      <c r="T1469" s="22"/>
      <c r="U1469" s="22"/>
      <c r="V1469" s="22"/>
      <c r="W1469" s="22"/>
      <c r="X1469" s="22"/>
      <c r="Y1469" s="22"/>
      <c r="Z1469" s="22"/>
      <c r="AA1469" s="22"/>
      <c r="AB1469" s="22"/>
      <c r="AC1469" s="22"/>
      <c r="AD1469" s="22"/>
      <c r="AE1469" s="22"/>
      <c r="AF1469" s="22"/>
      <c r="AG1469" s="22"/>
      <c r="AH1469" s="22"/>
      <c r="AI1469" s="22"/>
      <c r="AJ1469" s="22"/>
    </row>
    <row r="1470" spans="1:36" x14ac:dyDescent="0.25">
      <c r="A1470" s="22" t="s">
        <v>4004</v>
      </c>
      <c r="B1470" s="22">
        <v>437</v>
      </c>
      <c r="C1470" s="22"/>
      <c r="D1470" s="22"/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2"/>
      <c r="T1470" s="22"/>
      <c r="U1470" s="22"/>
      <c r="V1470" s="22"/>
      <c r="W1470" s="22"/>
      <c r="X1470" s="22"/>
      <c r="Y1470" s="22"/>
      <c r="Z1470" s="22"/>
      <c r="AA1470" s="22"/>
      <c r="AB1470" s="22"/>
      <c r="AC1470" s="22"/>
      <c r="AD1470" s="22"/>
      <c r="AE1470" s="22"/>
      <c r="AF1470" s="22"/>
      <c r="AG1470" s="22"/>
      <c r="AH1470" s="22"/>
      <c r="AI1470" s="22"/>
      <c r="AJ1470" s="22"/>
    </row>
    <row r="1471" spans="1:36" x14ac:dyDescent="0.25">
      <c r="A1471" s="22" t="s">
        <v>4005</v>
      </c>
      <c r="B1471" s="22">
        <v>365</v>
      </c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2"/>
      <c r="S1471" s="22"/>
      <c r="T1471" s="22"/>
      <c r="U1471" s="22"/>
      <c r="V1471" s="22"/>
      <c r="W1471" s="22"/>
      <c r="X1471" s="22"/>
      <c r="Y1471" s="22"/>
      <c r="Z1471" s="22"/>
      <c r="AA1471" s="22"/>
      <c r="AB1471" s="22"/>
      <c r="AC1471" s="22"/>
      <c r="AD1471" s="22"/>
      <c r="AE1471" s="22"/>
      <c r="AF1471" s="22"/>
      <c r="AG1471" s="22"/>
      <c r="AH1471" s="22"/>
      <c r="AI1471" s="22"/>
      <c r="AJ1471" s="22"/>
    </row>
    <row r="1472" spans="1:36" x14ac:dyDescent="0.25">
      <c r="A1472" s="22" t="s">
        <v>4006</v>
      </c>
      <c r="B1472" s="22">
        <v>9</v>
      </c>
      <c r="C1472" s="22"/>
      <c r="D1472" s="22"/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2"/>
      <c r="T1472" s="22"/>
      <c r="U1472" s="22"/>
      <c r="V1472" s="22"/>
      <c r="W1472" s="22"/>
      <c r="X1472" s="22"/>
      <c r="Y1472" s="22"/>
      <c r="Z1472" s="22"/>
      <c r="AA1472" s="22"/>
      <c r="AB1472" s="22"/>
      <c r="AC1472" s="22"/>
      <c r="AD1472" s="22"/>
      <c r="AE1472" s="22"/>
      <c r="AF1472" s="22"/>
      <c r="AG1472" s="22"/>
      <c r="AH1472" s="22"/>
      <c r="AI1472" s="22"/>
      <c r="AJ1472" s="22"/>
    </row>
    <row r="1473" spans="1:36" x14ac:dyDescent="0.25">
      <c r="A1473" s="22" t="s">
        <v>4007</v>
      </c>
      <c r="B1473" s="22">
        <v>0</v>
      </c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2"/>
      <c r="S1473" s="22"/>
      <c r="T1473" s="22"/>
      <c r="U1473" s="22"/>
      <c r="V1473" s="22"/>
      <c r="W1473" s="22"/>
      <c r="X1473" s="22"/>
      <c r="Y1473" s="22"/>
      <c r="Z1473" s="22"/>
      <c r="AA1473" s="22"/>
      <c r="AB1473" s="22"/>
      <c r="AC1473" s="22"/>
      <c r="AD1473" s="22"/>
      <c r="AE1473" s="22"/>
      <c r="AF1473" s="22"/>
      <c r="AG1473" s="22"/>
      <c r="AH1473" s="22"/>
      <c r="AI1473" s="22"/>
      <c r="AJ1473" s="22"/>
    </row>
    <row r="1474" spans="1:36" x14ac:dyDescent="0.25">
      <c r="A1474" s="22" t="s">
        <v>4008</v>
      </c>
      <c r="B1474" s="22">
        <v>3</v>
      </c>
      <c r="C1474" s="22"/>
      <c r="D1474" s="22"/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2"/>
      <c r="T1474" s="22"/>
      <c r="U1474" s="22"/>
      <c r="V1474" s="22"/>
      <c r="W1474" s="22"/>
      <c r="X1474" s="22"/>
      <c r="Y1474" s="22"/>
      <c r="Z1474" s="22"/>
      <c r="AA1474" s="22"/>
      <c r="AB1474" s="22"/>
      <c r="AC1474" s="22"/>
      <c r="AD1474" s="22"/>
      <c r="AE1474" s="22"/>
      <c r="AF1474" s="22"/>
      <c r="AG1474" s="22"/>
      <c r="AH1474" s="22"/>
      <c r="AI1474" s="22"/>
      <c r="AJ1474" s="22"/>
    </row>
    <row r="1475" spans="1:36" x14ac:dyDescent="0.25">
      <c r="A1475" s="22" t="s">
        <v>4009</v>
      </c>
      <c r="B1475" s="22">
        <v>0</v>
      </c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  <c r="AF1475" s="22"/>
      <c r="AG1475" s="22"/>
      <c r="AH1475" s="22"/>
      <c r="AI1475" s="22"/>
      <c r="AJ1475" s="22"/>
    </row>
    <row r="1476" spans="1:36" x14ac:dyDescent="0.25">
      <c r="A1476" s="22" t="s">
        <v>4010</v>
      </c>
      <c r="B1476" s="22">
        <v>0</v>
      </c>
      <c r="C1476" s="22"/>
      <c r="D1476" s="22"/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D1476" s="22"/>
      <c r="AE1476" s="22"/>
      <c r="AF1476" s="22"/>
      <c r="AG1476" s="22"/>
      <c r="AH1476" s="22"/>
      <c r="AI1476" s="22"/>
      <c r="AJ1476" s="22"/>
    </row>
    <row r="1477" spans="1:36" x14ac:dyDescent="0.25">
      <c r="A1477" s="22" t="s">
        <v>4011</v>
      </c>
      <c r="B1477" s="22">
        <v>0</v>
      </c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  <c r="AA1477" s="22"/>
      <c r="AB1477" s="22"/>
      <c r="AC1477" s="22"/>
      <c r="AD1477" s="22"/>
      <c r="AE1477" s="22"/>
      <c r="AF1477" s="22"/>
      <c r="AG1477" s="22"/>
      <c r="AH1477" s="22"/>
      <c r="AI1477" s="22"/>
      <c r="AJ1477" s="22"/>
    </row>
    <row r="1478" spans="1:36" x14ac:dyDescent="0.25">
      <c r="A1478" s="22" t="s">
        <v>4012</v>
      </c>
      <c r="B1478" s="22">
        <v>0</v>
      </c>
      <c r="C1478" s="22"/>
      <c r="D1478" s="22"/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2"/>
      <c r="T1478" s="22"/>
      <c r="U1478" s="22"/>
      <c r="V1478" s="22"/>
      <c r="W1478" s="22"/>
      <c r="X1478" s="22"/>
      <c r="Y1478" s="22"/>
      <c r="Z1478" s="22"/>
      <c r="AA1478" s="22"/>
      <c r="AB1478" s="22"/>
      <c r="AC1478" s="22"/>
      <c r="AD1478" s="22"/>
      <c r="AE1478" s="22"/>
      <c r="AF1478" s="22"/>
      <c r="AG1478" s="22"/>
      <c r="AH1478" s="22"/>
      <c r="AI1478" s="22"/>
      <c r="AJ1478" s="22"/>
    </row>
    <row r="1479" spans="1:36" x14ac:dyDescent="0.25">
      <c r="A1479" s="22" t="s">
        <v>4013</v>
      </c>
      <c r="B1479" s="22">
        <v>0</v>
      </c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2"/>
      <c r="S1479" s="22"/>
      <c r="T1479" s="22"/>
      <c r="U1479" s="22"/>
      <c r="V1479" s="22"/>
      <c r="W1479" s="22"/>
      <c r="X1479" s="22"/>
      <c r="Y1479" s="22"/>
      <c r="Z1479" s="22"/>
      <c r="AA1479" s="22"/>
      <c r="AB1479" s="22"/>
      <c r="AC1479" s="22"/>
      <c r="AD1479" s="22"/>
      <c r="AE1479" s="22"/>
      <c r="AF1479" s="22"/>
      <c r="AG1479" s="22"/>
      <c r="AH1479" s="22"/>
      <c r="AI1479" s="22"/>
      <c r="AJ1479" s="22"/>
    </row>
    <row r="1480" spans="1:36" x14ac:dyDescent="0.25">
      <c r="A1480" s="22" t="s">
        <v>4014</v>
      </c>
      <c r="B1480" s="22">
        <v>0</v>
      </c>
      <c r="C1480" s="22"/>
      <c r="D1480" s="22"/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2"/>
      <c r="T1480" s="22"/>
      <c r="U1480" s="22"/>
      <c r="V1480" s="22"/>
      <c r="W1480" s="22"/>
      <c r="X1480" s="22"/>
      <c r="Y1480" s="22"/>
      <c r="Z1480" s="22"/>
      <c r="AA1480" s="22"/>
      <c r="AB1480" s="22"/>
      <c r="AC1480" s="22"/>
      <c r="AD1480" s="22"/>
      <c r="AE1480" s="22"/>
      <c r="AF1480" s="22"/>
      <c r="AG1480" s="22"/>
      <c r="AH1480" s="22"/>
      <c r="AI1480" s="22"/>
      <c r="AJ1480" s="22"/>
    </row>
    <row r="1481" spans="1:36" x14ac:dyDescent="0.25">
      <c r="A1481" s="22" t="s">
        <v>4015</v>
      </c>
      <c r="B1481" s="22">
        <v>0</v>
      </c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2"/>
      <c r="S1481" s="22"/>
      <c r="T1481" s="22"/>
      <c r="U1481" s="22"/>
      <c r="V1481" s="22"/>
      <c r="W1481" s="22"/>
      <c r="X1481" s="22"/>
      <c r="Y1481" s="22"/>
      <c r="Z1481" s="22"/>
      <c r="AA1481" s="22"/>
      <c r="AB1481" s="22"/>
      <c r="AC1481" s="22"/>
      <c r="AD1481" s="22"/>
      <c r="AE1481" s="22"/>
      <c r="AF1481" s="22"/>
      <c r="AG1481" s="22"/>
      <c r="AH1481" s="22"/>
      <c r="AI1481" s="22"/>
      <c r="AJ1481" s="22"/>
    </row>
    <row r="1482" spans="1:36" x14ac:dyDescent="0.25">
      <c r="A1482" s="22" t="s">
        <v>4016</v>
      </c>
      <c r="B1482" s="22">
        <v>0</v>
      </c>
      <c r="C1482" s="22"/>
      <c r="D1482" s="22"/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2"/>
      <c r="T1482" s="22"/>
      <c r="U1482" s="22"/>
      <c r="V1482" s="22"/>
      <c r="W1482" s="22"/>
      <c r="X1482" s="22"/>
      <c r="Y1482" s="22"/>
      <c r="Z1482" s="22"/>
      <c r="AA1482" s="22"/>
      <c r="AB1482" s="22"/>
      <c r="AC1482" s="22"/>
      <c r="AD1482" s="22"/>
      <c r="AE1482" s="22"/>
      <c r="AF1482" s="22"/>
      <c r="AG1482" s="22"/>
      <c r="AH1482" s="22"/>
      <c r="AI1482" s="22"/>
      <c r="AJ1482" s="22"/>
    </row>
    <row r="1483" spans="1:36" x14ac:dyDescent="0.25">
      <c r="A1483" s="22" t="s">
        <v>4017</v>
      </c>
      <c r="B1483" s="22">
        <v>0</v>
      </c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2"/>
      <c r="S1483" s="22"/>
      <c r="T1483" s="22"/>
      <c r="U1483" s="22"/>
      <c r="V1483" s="22"/>
      <c r="W1483" s="22"/>
      <c r="X1483" s="22"/>
      <c r="Y1483" s="22"/>
      <c r="Z1483" s="22"/>
      <c r="AA1483" s="22"/>
      <c r="AB1483" s="22"/>
      <c r="AC1483" s="22"/>
      <c r="AD1483" s="22"/>
      <c r="AE1483" s="22"/>
      <c r="AF1483" s="22"/>
      <c r="AG1483" s="22"/>
      <c r="AH1483" s="22"/>
      <c r="AI1483" s="22"/>
      <c r="AJ1483" s="22"/>
    </row>
    <row r="1484" spans="1:36" x14ac:dyDescent="0.25">
      <c r="A1484" s="22" t="s">
        <v>4018</v>
      </c>
      <c r="B1484" s="22">
        <v>0</v>
      </c>
      <c r="C1484" s="22"/>
      <c r="D1484" s="22"/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  <c r="AF1484" s="22"/>
      <c r="AG1484" s="22"/>
      <c r="AH1484" s="22"/>
      <c r="AI1484" s="22"/>
      <c r="AJ1484" s="22"/>
    </row>
    <row r="1485" spans="1:36" x14ac:dyDescent="0.25">
      <c r="A1485" s="22" t="s">
        <v>4019</v>
      </c>
      <c r="B1485" s="22">
        <v>0</v>
      </c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  <c r="AA1485" s="22"/>
      <c r="AB1485" s="22"/>
      <c r="AC1485" s="22"/>
      <c r="AD1485" s="22"/>
      <c r="AE1485" s="22"/>
      <c r="AF1485" s="22"/>
      <c r="AG1485" s="22"/>
      <c r="AH1485" s="22"/>
      <c r="AI1485" s="22"/>
      <c r="AJ1485" s="22"/>
    </row>
    <row r="1486" spans="1:36" x14ac:dyDescent="0.25">
      <c r="A1486" s="22" t="s">
        <v>4793</v>
      </c>
      <c r="B1486" s="22">
        <v>0</v>
      </c>
      <c r="C1486" s="22"/>
      <c r="D1486" s="22"/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  <c r="AF1486" s="22"/>
      <c r="AG1486" s="22"/>
      <c r="AH1486" s="22"/>
      <c r="AI1486" s="22"/>
      <c r="AJ1486" s="22"/>
    </row>
    <row r="1487" spans="1:36" x14ac:dyDescent="0.25">
      <c r="A1487" s="22" t="s">
        <v>4794</v>
      </c>
      <c r="B1487" s="22">
        <v>0</v>
      </c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  <c r="AA1487" s="22"/>
      <c r="AB1487" s="22"/>
      <c r="AC1487" s="22"/>
      <c r="AD1487" s="22"/>
      <c r="AE1487" s="22"/>
      <c r="AF1487" s="22"/>
      <c r="AG1487" s="22"/>
      <c r="AH1487" s="22"/>
      <c r="AI1487" s="22"/>
      <c r="AJ1487" s="22"/>
    </row>
    <row r="1488" spans="1:36" x14ac:dyDescent="0.25">
      <c r="A1488" s="22" t="s">
        <v>4795</v>
      </c>
      <c r="B1488" s="22">
        <v>0</v>
      </c>
      <c r="C1488" s="22"/>
      <c r="D1488" s="22"/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2"/>
      <c r="T1488" s="22"/>
      <c r="U1488" s="22"/>
      <c r="V1488" s="22"/>
      <c r="W1488" s="22"/>
      <c r="X1488" s="22"/>
      <c r="Y1488" s="22"/>
      <c r="Z1488" s="22"/>
      <c r="AA1488" s="22"/>
      <c r="AB1488" s="22"/>
      <c r="AC1488" s="22"/>
      <c r="AD1488" s="22"/>
      <c r="AE1488" s="22"/>
      <c r="AF1488" s="22"/>
      <c r="AG1488" s="22"/>
      <c r="AH1488" s="22"/>
      <c r="AI1488" s="22"/>
      <c r="AJ1488" s="22"/>
    </row>
    <row r="1489" spans="1:36" x14ac:dyDescent="0.25">
      <c r="A1489" s="22" t="s">
        <v>4796</v>
      </c>
      <c r="B1489" s="22">
        <v>0</v>
      </c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2"/>
      <c r="S1489" s="22"/>
      <c r="T1489" s="22"/>
      <c r="U1489" s="22"/>
      <c r="V1489" s="22"/>
      <c r="W1489" s="22"/>
      <c r="X1489" s="22"/>
      <c r="Y1489" s="22"/>
      <c r="Z1489" s="22"/>
      <c r="AA1489" s="22"/>
      <c r="AB1489" s="22"/>
      <c r="AC1489" s="22"/>
      <c r="AD1489" s="22"/>
      <c r="AE1489" s="22"/>
      <c r="AF1489" s="22"/>
      <c r="AG1489" s="22"/>
      <c r="AH1489" s="22"/>
      <c r="AI1489" s="22"/>
      <c r="AJ1489" s="22"/>
    </row>
    <row r="1490" spans="1:36" x14ac:dyDescent="0.25">
      <c r="A1490" s="22" t="s">
        <v>4797</v>
      </c>
      <c r="B1490" s="22">
        <v>0</v>
      </c>
      <c r="C1490" s="22"/>
      <c r="D1490" s="22"/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2"/>
      <c r="T1490" s="22"/>
      <c r="U1490" s="22"/>
      <c r="V1490" s="22"/>
      <c r="W1490" s="22"/>
      <c r="X1490" s="22"/>
      <c r="Y1490" s="22"/>
      <c r="Z1490" s="22"/>
      <c r="AA1490" s="22"/>
      <c r="AB1490" s="22"/>
      <c r="AC1490" s="22"/>
      <c r="AD1490" s="22"/>
      <c r="AE1490" s="22"/>
      <c r="AF1490" s="22"/>
      <c r="AG1490" s="22"/>
      <c r="AH1490" s="22"/>
      <c r="AI1490" s="22"/>
      <c r="AJ1490" s="22"/>
    </row>
    <row r="1491" spans="1:36" x14ac:dyDescent="0.25">
      <c r="A1491" s="22" t="s">
        <v>4798</v>
      </c>
      <c r="B1491" s="22">
        <v>0</v>
      </c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2"/>
      <c r="S1491" s="22"/>
      <c r="T1491" s="22"/>
      <c r="U1491" s="22"/>
      <c r="V1491" s="22"/>
      <c r="W1491" s="22"/>
      <c r="X1491" s="22"/>
      <c r="Y1491" s="22"/>
      <c r="Z1491" s="22"/>
      <c r="AA1491" s="22"/>
      <c r="AB1491" s="22"/>
      <c r="AC1491" s="22"/>
      <c r="AD1491" s="22"/>
      <c r="AE1491" s="22"/>
      <c r="AF1491" s="22"/>
      <c r="AG1491" s="22"/>
      <c r="AH1491" s="22"/>
      <c r="AI1491" s="22"/>
      <c r="AJ1491" s="22"/>
    </row>
    <row r="1492" spans="1:36" x14ac:dyDescent="0.25">
      <c r="A1492" s="22" t="s">
        <v>4799</v>
      </c>
      <c r="B1492" s="22">
        <v>0</v>
      </c>
      <c r="C1492" s="22"/>
      <c r="D1492" s="22"/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2"/>
      <c r="T1492" s="22"/>
      <c r="U1492" s="22"/>
      <c r="V1492" s="22"/>
      <c r="W1492" s="22"/>
      <c r="X1492" s="22"/>
      <c r="Y1492" s="22"/>
      <c r="Z1492" s="22"/>
      <c r="AA1492" s="22"/>
      <c r="AB1492" s="22"/>
      <c r="AC1492" s="22"/>
      <c r="AD1492" s="22"/>
      <c r="AE1492" s="22"/>
      <c r="AF1492" s="22"/>
      <c r="AG1492" s="22"/>
      <c r="AH1492" s="22"/>
      <c r="AI1492" s="22"/>
      <c r="AJ1492" s="22"/>
    </row>
    <row r="1493" spans="1:36" x14ac:dyDescent="0.25">
      <c r="A1493" s="22" t="s">
        <v>4800</v>
      </c>
      <c r="B1493" s="22">
        <v>0</v>
      </c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2"/>
      <c r="S1493" s="22"/>
      <c r="T1493" s="22"/>
      <c r="U1493" s="22"/>
      <c r="V1493" s="22"/>
      <c r="W1493" s="22"/>
      <c r="X1493" s="22"/>
      <c r="Y1493" s="22"/>
      <c r="Z1493" s="22"/>
      <c r="AA1493" s="22"/>
      <c r="AB1493" s="22"/>
      <c r="AC1493" s="22"/>
      <c r="AD1493" s="22"/>
      <c r="AE1493" s="22"/>
      <c r="AF1493" s="22"/>
      <c r="AG1493" s="22"/>
      <c r="AH1493" s="22"/>
      <c r="AI1493" s="22"/>
      <c r="AJ1493" s="22"/>
    </row>
    <row r="1494" spans="1:36" x14ac:dyDescent="0.25">
      <c r="A1494" s="22" t="s">
        <v>4801</v>
      </c>
      <c r="B1494" s="22">
        <v>290</v>
      </c>
      <c r="C1494" s="22"/>
      <c r="D1494" s="22"/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2"/>
      <c r="T1494" s="22"/>
      <c r="U1494" s="22"/>
      <c r="V1494" s="22"/>
      <c r="W1494" s="22"/>
      <c r="X1494" s="22"/>
      <c r="Y1494" s="22"/>
      <c r="Z1494" s="22"/>
      <c r="AA1494" s="22"/>
      <c r="AB1494" s="22"/>
      <c r="AC1494" s="22"/>
      <c r="AD1494" s="22"/>
      <c r="AE1494" s="22"/>
      <c r="AF1494" s="22"/>
      <c r="AG1494" s="22"/>
      <c r="AH1494" s="22"/>
      <c r="AI1494" s="22"/>
      <c r="AJ1494" s="22"/>
    </row>
    <row r="1495" spans="1:36" x14ac:dyDescent="0.25">
      <c r="A1495" s="22" t="s">
        <v>4802</v>
      </c>
      <c r="B1495" s="22">
        <v>0</v>
      </c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2"/>
      <c r="S1495" s="22"/>
      <c r="T1495" s="22"/>
      <c r="U1495" s="22"/>
      <c r="V1495" s="22"/>
      <c r="W1495" s="22"/>
      <c r="X1495" s="22"/>
      <c r="Y1495" s="22"/>
      <c r="Z1495" s="22"/>
      <c r="AA1495" s="22"/>
      <c r="AB1495" s="22"/>
      <c r="AC1495" s="22"/>
      <c r="AD1495" s="22"/>
      <c r="AE1495" s="22"/>
      <c r="AF1495" s="22"/>
      <c r="AG1495" s="22"/>
      <c r="AH1495" s="22"/>
      <c r="AI1495" s="22"/>
      <c r="AJ1495" s="22"/>
    </row>
    <row r="1496" spans="1:36" x14ac:dyDescent="0.25">
      <c r="A1496" s="22" t="s">
        <v>4803</v>
      </c>
      <c r="B1496" s="22">
        <v>0</v>
      </c>
      <c r="C1496" s="22"/>
      <c r="D1496" s="22"/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T1496" s="22"/>
      <c r="U1496" s="22"/>
      <c r="V1496" s="22"/>
      <c r="W1496" s="22"/>
      <c r="X1496" s="22"/>
      <c r="Y1496" s="22"/>
      <c r="Z1496" s="22"/>
      <c r="AA1496" s="22"/>
      <c r="AB1496" s="22"/>
      <c r="AC1496" s="22"/>
      <c r="AD1496" s="22"/>
      <c r="AE1496" s="22"/>
      <c r="AF1496" s="22"/>
      <c r="AG1496" s="22"/>
      <c r="AH1496" s="22"/>
      <c r="AI1496" s="22"/>
      <c r="AJ1496" s="22"/>
    </row>
    <row r="1497" spans="1:36" x14ac:dyDescent="0.25">
      <c r="A1497" s="22" t="s">
        <v>4804</v>
      </c>
      <c r="B1497" s="22">
        <v>0</v>
      </c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2"/>
      <c r="S1497" s="22"/>
      <c r="T1497" s="22"/>
      <c r="U1497" s="22"/>
      <c r="V1497" s="22"/>
      <c r="W1497" s="22"/>
      <c r="X1497" s="22"/>
      <c r="Y1497" s="22"/>
      <c r="Z1497" s="22"/>
      <c r="AA1497" s="22"/>
      <c r="AB1497" s="22"/>
      <c r="AC1497" s="22"/>
      <c r="AD1497" s="22"/>
      <c r="AE1497" s="22"/>
      <c r="AF1497" s="22"/>
      <c r="AG1497" s="22"/>
      <c r="AH1497" s="22"/>
      <c r="AI1497" s="22"/>
      <c r="AJ1497" s="22"/>
    </row>
    <row r="1498" spans="1:36" x14ac:dyDescent="0.25">
      <c r="A1498" s="22" t="s">
        <v>4805</v>
      </c>
      <c r="B1498" s="22">
        <v>1099</v>
      </c>
      <c r="C1498" s="22"/>
      <c r="D1498" s="22"/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2"/>
      <c r="T1498" s="22"/>
      <c r="U1498" s="22"/>
      <c r="V1498" s="22"/>
      <c r="W1498" s="22"/>
      <c r="X1498" s="22"/>
      <c r="Y1498" s="22"/>
      <c r="Z1498" s="22"/>
      <c r="AA1498" s="22"/>
      <c r="AB1498" s="22"/>
      <c r="AC1498" s="22"/>
      <c r="AD1498" s="22"/>
      <c r="AE1498" s="22"/>
      <c r="AF1498" s="22"/>
      <c r="AG1498" s="22"/>
      <c r="AH1498" s="22"/>
      <c r="AI1498" s="22"/>
      <c r="AJ1498" s="22"/>
    </row>
    <row r="1499" spans="1:36" x14ac:dyDescent="0.25">
      <c r="A1499" s="22" t="s">
        <v>4806</v>
      </c>
      <c r="B1499" s="22">
        <v>0</v>
      </c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2"/>
      <c r="S1499" s="22"/>
      <c r="T1499" s="22"/>
      <c r="U1499" s="22"/>
      <c r="V1499" s="22"/>
      <c r="W1499" s="22"/>
      <c r="X1499" s="22"/>
      <c r="Y1499" s="22"/>
      <c r="Z1499" s="22"/>
      <c r="AA1499" s="22"/>
      <c r="AB1499" s="22"/>
      <c r="AC1499" s="22"/>
      <c r="AD1499" s="22"/>
      <c r="AE1499" s="22"/>
      <c r="AF1499" s="22"/>
      <c r="AG1499" s="22"/>
      <c r="AH1499" s="22"/>
      <c r="AI1499" s="22"/>
      <c r="AJ1499" s="22"/>
    </row>
    <row r="1500" spans="1:36" x14ac:dyDescent="0.25">
      <c r="A1500" s="22" t="s">
        <v>4807</v>
      </c>
      <c r="B1500" s="22">
        <v>0</v>
      </c>
      <c r="C1500" s="22"/>
      <c r="D1500" s="22"/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2"/>
      <c r="T1500" s="22"/>
      <c r="U1500" s="22"/>
      <c r="V1500" s="22"/>
      <c r="W1500" s="22"/>
      <c r="X1500" s="22"/>
      <c r="Y1500" s="22"/>
      <c r="Z1500" s="22"/>
      <c r="AA1500" s="22"/>
      <c r="AB1500" s="22"/>
      <c r="AC1500" s="22"/>
      <c r="AD1500" s="22"/>
      <c r="AE1500" s="22"/>
      <c r="AF1500" s="22"/>
      <c r="AG1500" s="22"/>
      <c r="AH1500" s="22"/>
      <c r="AI1500" s="22"/>
      <c r="AJ1500" s="22"/>
    </row>
    <row r="1501" spans="1:36" x14ac:dyDescent="0.25">
      <c r="A1501" s="22" t="s">
        <v>4808</v>
      </c>
      <c r="B1501" s="22">
        <v>0</v>
      </c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2"/>
      <c r="S1501" s="22"/>
      <c r="T1501" s="22"/>
      <c r="U1501" s="22"/>
      <c r="V1501" s="22"/>
      <c r="W1501" s="22"/>
      <c r="X1501" s="22"/>
      <c r="Y1501" s="22"/>
      <c r="Z1501" s="22"/>
      <c r="AA1501" s="22"/>
      <c r="AB1501" s="22"/>
      <c r="AC1501" s="22"/>
      <c r="AD1501" s="22"/>
      <c r="AE1501" s="22"/>
      <c r="AF1501" s="22"/>
      <c r="AG1501" s="22"/>
      <c r="AH1501" s="22"/>
      <c r="AI1501" s="22"/>
      <c r="AJ1501" s="22"/>
    </row>
    <row r="1502" spans="1:36" x14ac:dyDescent="0.25">
      <c r="A1502" s="22" t="s">
        <v>4809</v>
      </c>
      <c r="B1502" s="22">
        <v>20</v>
      </c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2"/>
      <c r="T1502" s="22"/>
      <c r="U1502" s="22"/>
      <c r="V1502" s="22"/>
      <c r="W1502" s="22"/>
      <c r="X1502" s="22"/>
      <c r="Y1502" s="22"/>
      <c r="Z1502" s="22"/>
      <c r="AA1502" s="22"/>
      <c r="AB1502" s="22"/>
      <c r="AC1502" s="22"/>
      <c r="AD1502" s="22"/>
      <c r="AE1502" s="22"/>
      <c r="AF1502" s="22"/>
      <c r="AG1502" s="22"/>
      <c r="AH1502" s="22"/>
      <c r="AI1502" s="22"/>
      <c r="AJ1502" s="22"/>
    </row>
    <row r="1503" spans="1:36" x14ac:dyDescent="0.25">
      <c r="A1503" s="22" t="s">
        <v>4810</v>
      </c>
      <c r="B1503" s="22">
        <v>0</v>
      </c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2"/>
      <c r="S1503" s="22"/>
      <c r="T1503" s="22"/>
      <c r="U1503" s="22"/>
      <c r="V1503" s="22"/>
      <c r="W1503" s="22"/>
      <c r="X1503" s="22"/>
      <c r="Y1503" s="22"/>
      <c r="Z1503" s="22"/>
      <c r="AA1503" s="22"/>
      <c r="AB1503" s="22"/>
      <c r="AC1503" s="22"/>
      <c r="AD1503" s="22"/>
      <c r="AE1503" s="22"/>
      <c r="AF1503" s="22"/>
      <c r="AG1503" s="22"/>
      <c r="AH1503" s="22"/>
      <c r="AI1503" s="22"/>
      <c r="AJ1503" s="22"/>
    </row>
    <row r="1504" spans="1:36" x14ac:dyDescent="0.25">
      <c r="A1504" s="22" t="s">
        <v>4811</v>
      </c>
      <c r="B1504" s="22">
        <v>0</v>
      </c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2"/>
      <c r="T1504" s="22"/>
      <c r="U1504" s="22"/>
      <c r="V1504" s="22"/>
      <c r="W1504" s="22"/>
      <c r="X1504" s="22"/>
      <c r="Y1504" s="22"/>
      <c r="Z1504" s="22"/>
      <c r="AA1504" s="22"/>
      <c r="AB1504" s="22"/>
      <c r="AC1504" s="22"/>
      <c r="AD1504" s="22"/>
      <c r="AE1504" s="22"/>
      <c r="AF1504" s="22"/>
      <c r="AG1504" s="22"/>
      <c r="AH1504" s="22"/>
      <c r="AI1504" s="22"/>
      <c r="AJ1504" s="22"/>
    </row>
    <row r="1505" spans="1:36" x14ac:dyDescent="0.25">
      <c r="A1505" s="22" t="s">
        <v>4812</v>
      </c>
      <c r="B1505" s="22">
        <v>0</v>
      </c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2"/>
      <c r="S1505" s="22"/>
      <c r="T1505" s="22"/>
      <c r="U1505" s="22"/>
      <c r="V1505" s="22"/>
      <c r="W1505" s="22"/>
      <c r="X1505" s="22"/>
      <c r="Y1505" s="22"/>
      <c r="Z1505" s="22"/>
      <c r="AA1505" s="22"/>
      <c r="AB1505" s="22"/>
      <c r="AC1505" s="22"/>
      <c r="AD1505" s="22"/>
      <c r="AE1505" s="22"/>
      <c r="AF1505" s="22"/>
      <c r="AG1505" s="22"/>
      <c r="AH1505" s="22"/>
      <c r="AI1505" s="22"/>
      <c r="AJ1505" s="22"/>
    </row>
    <row r="1506" spans="1:36" x14ac:dyDescent="0.25">
      <c r="A1506" s="22" t="s">
        <v>4813</v>
      </c>
      <c r="B1506" s="22">
        <v>246</v>
      </c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2"/>
      <c r="T1506" s="22"/>
      <c r="U1506" s="22"/>
      <c r="V1506" s="22"/>
      <c r="W1506" s="22"/>
      <c r="X1506" s="22"/>
      <c r="Y1506" s="22"/>
      <c r="Z1506" s="22"/>
      <c r="AA1506" s="22"/>
      <c r="AB1506" s="22"/>
      <c r="AC1506" s="22"/>
      <c r="AD1506" s="22"/>
      <c r="AE1506" s="22"/>
      <c r="AF1506" s="22"/>
      <c r="AG1506" s="22"/>
      <c r="AH1506" s="22"/>
      <c r="AI1506" s="22"/>
      <c r="AJ1506" s="22"/>
    </row>
    <row r="1507" spans="1:36" x14ac:dyDescent="0.25">
      <c r="A1507" s="22" t="s">
        <v>4814</v>
      </c>
      <c r="B1507" s="22">
        <v>0</v>
      </c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  <c r="AG1507" s="22"/>
      <c r="AH1507" s="22"/>
      <c r="AI1507" s="22"/>
      <c r="AJ1507" s="22"/>
    </row>
    <row r="1508" spans="1:36" x14ac:dyDescent="0.25">
      <c r="A1508" s="22" t="s">
        <v>4815</v>
      </c>
      <c r="B1508" s="22">
        <v>0</v>
      </c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2"/>
      <c r="T1508" s="22"/>
      <c r="U1508" s="22"/>
      <c r="V1508" s="22"/>
      <c r="W1508" s="22"/>
      <c r="X1508" s="22"/>
      <c r="Y1508" s="22"/>
      <c r="Z1508" s="22"/>
      <c r="AA1508" s="22"/>
      <c r="AB1508" s="22"/>
      <c r="AC1508" s="22"/>
      <c r="AD1508" s="22"/>
      <c r="AE1508" s="22"/>
      <c r="AF1508" s="22"/>
      <c r="AG1508" s="22"/>
      <c r="AH1508" s="22"/>
      <c r="AI1508" s="22"/>
      <c r="AJ1508" s="22"/>
    </row>
    <row r="1509" spans="1:36" x14ac:dyDescent="0.25">
      <c r="A1509" s="22" t="s">
        <v>4816</v>
      </c>
      <c r="B1509" s="22">
        <v>0</v>
      </c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2"/>
      <c r="S1509" s="22"/>
      <c r="T1509" s="22"/>
      <c r="U1509" s="22"/>
      <c r="V1509" s="22"/>
      <c r="W1509" s="22"/>
      <c r="X1509" s="22"/>
      <c r="Y1509" s="22"/>
      <c r="Z1509" s="22"/>
      <c r="AA1509" s="22"/>
      <c r="AB1509" s="22"/>
      <c r="AC1509" s="22"/>
      <c r="AD1509" s="22"/>
      <c r="AE1509" s="22"/>
      <c r="AF1509" s="22"/>
      <c r="AG1509" s="22"/>
      <c r="AH1509" s="22"/>
      <c r="AI1509" s="22"/>
      <c r="AJ1509" s="22"/>
    </row>
    <row r="1510" spans="1:36" x14ac:dyDescent="0.25">
      <c r="A1510" s="22" t="s">
        <v>4020</v>
      </c>
      <c r="B1510" s="22">
        <v>24</v>
      </c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2"/>
      <c r="T1510" s="22"/>
      <c r="U1510" s="22"/>
      <c r="V1510" s="22"/>
      <c r="W1510" s="22"/>
      <c r="X1510" s="22"/>
      <c r="Y1510" s="22"/>
      <c r="Z1510" s="22"/>
      <c r="AA1510" s="22"/>
      <c r="AB1510" s="22"/>
      <c r="AC1510" s="22"/>
      <c r="AD1510" s="22"/>
      <c r="AE1510" s="22"/>
      <c r="AF1510" s="22"/>
      <c r="AG1510" s="22"/>
      <c r="AH1510" s="22"/>
      <c r="AI1510" s="22"/>
      <c r="AJ1510" s="22"/>
    </row>
    <row r="1511" spans="1:36" x14ac:dyDescent="0.25">
      <c r="A1511" s="22" t="s">
        <v>4021</v>
      </c>
      <c r="B1511" s="22">
        <v>0</v>
      </c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2"/>
      <c r="S1511" s="22"/>
      <c r="T1511" s="22"/>
      <c r="U1511" s="22"/>
      <c r="V1511" s="22"/>
      <c r="W1511" s="22"/>
      <c r="X1511" s="22"/>
      <c r="Y1511" s="22"/>
      <c r="Z1511" s="22"/>
      <c r="AA1511" s="22"/>
      <c r="AB1511" s="22"/>
      <c r="AC1511" s="22"/>
      <c r="AD1511" s="22"/>
      <c r="AE1511" s="22"/>
      <c r="AF1511" s="22"/>
      <c r="AG1511" s="22"/>
      <c r="AH1511" s="22"/>
      <c r="AI1511" s="22"/>
      <c r="AJ1511" s="22"/>
    </row>
    <row r="1512" spans="1:36" x14ac:dyDescent="0.25">
      <c r="A1512" s="22" t="s">
        <v>4022</v>
      </c>
      <c r="B1512" s="22">
        <v>0</v>
      </c>
      <c r="C1512" s="22"/>
      <c r="D1512" s="22"/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2"/>
      <c r="T1512" s="22"/>
      <c r="U1512" s="22"/>
      <c r="V1512" s="22"/>
      <c r="W1512" s="22"/>
      <c r="X1512" s="22"/>
      <c r="Y1512" s="22"/>
      <c r="Z1512" s="22"/>
      <c r="AA1512" s="22"/>
      <c r="AB1512" s="22"/>
      <c r="AC1512" s="22"/>
      <c r="AD1512" s="22"/>
      <c r="AE1512" s="22"/>
      <c r="AF1512" s="22"/>
      <c r="AG1512" s="22"/>
      <c r="AH1512" s="22"/>
      <c r="AI1512" s="22"/>
      <c r="AJ1512" s="22"/>
    </row>
    <row r="1513" spans="1:36" x14ac:dyDescent="0.25">
      <c r="A1513" s="22" t="s">
        <v>4023</v>
      </c>
      <c r="B1513" s="22">
        <v>0</v>
      </c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2"/>
      <c r="S1513" s="22"/>
      <c r="T1513" s="22"/>
      <c r="U1513" s="22"/>
      <c r="V1513" s="22"/>
      <c r="W1513" s="22"/>
      <c r="X1513" s="22"/>
      <c r="Y1513" s="22"/>
      <c r="Z1513" s="22"/>
      <c r="AA1513" s="22"/>
      <c r="AB1513" s="22"/>
      <c r="AC1513" s="22"/>
      <c r="AD1513" s="22"/>
      <c r="AE1513" s="22"/>
      <c r="AF1513" s="22"/>
      <c r="AG1513" s="22"/>
      <c r="AH1513" s="22"/>
      <c r="AI1513" s="22"/>
      <c r="AJ1513" s="22"/>
    </row>
    <row r="1514" spans="1:36" x14ac:dyDescent="0.25">
      <c r="A1514" s="22" t="s">
        <v>4024</v>
      </c>
      <c r="B1514" s="22">
        <v>0</v>
      </c>
      <c r="C1514" s="22"/>
      <c r="D1514" s="22"/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2"/>
      <c r="T1514" s="22"/>
      <c r="U1514" s="22"/>
      <c r="V1514" s="22"/>
      <c r="W1514" s="22"/>
      <c r="X1514" s="22"/>
      <c r="Y1514" s="22"/>
      <c r="Z1514" s="22"/>
      <c r="AA1514" s="22"/>
      <c r="AB1514" s="22"/>
      <c r="AC1514" s="22"/>
      <c r="AD1514" s="22"/>
      <c r="AE1514" s="22"/>
      <c r="AF1514" s="22"/>
      <c r="AG1514" s="22"/>
      <c r="AH1514" s="22"/>
      <c r="AI1514" s="22"/>
      <c r="AJ1514" s="22"/>
    </row>
    <row r="1515" spans="1:36" x14ac:dyDescent="0.25">
      <c r="A1515" s="22" t="s">
        <v>4025</v>
      </c>
      <c r="B1515" s="22">
        <v>0</v>
      </c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2"/>
      <c r="S1515" s="22"/>
      <c r="T1515" s="22"/>
      <c r="U1515" s="22"/>
      <c r="V1515" s="22"/>
      <c r="W1515" s="22"/>
      <c r="X1515" s="22"/>
      <c r="Y1515" s="22"/>
      <c r="Z1515" s="22"/>
      <c r="AA1515" s="22"/>
      <c r="AB1515" s="22"/>
      <c r="AC1515" s="22"/>
      <c r="AD1515" s="22"/>
      <c r="AE1515" s="22"/>
      <c r="AF1515" s="22"/>
      <c r="AG1515" s="22"/>
      <c r="AH1515" s="22"/>
      <c r="AI1515" s="22"/>
      <c r="AJ1515" s="22"/>
    </row>
    <row r="1516" spans="1:36" x14ac:dyDescent="0.25">
      <c r="A1516" s="22" t="s">
        <v>4026</v>
      </c>
      <c r="B1516" s="22">
        <v>0</v>
      </c>
      <c r="C1516" s="22"/>
      <c r="D1516" s="22"/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2"/>
      <c r="T1516" s="22"/>
      <c r="U1516" s="22"/>
      <c r="V1516" s="22"/>
      <c r="W1516" s="22"/>
      <c r="X1516" s="22"/>
      <c r="Y1516" s="22"/>
      <c r="Z1516" s="22"/>
      <c r="AA1516" s="22"/>
      <c r="AB1516" s="22"/>
      <c r="AC1516" s="22"/>
      <c r="AD1516" s="22"/>
      <c r="AE1516" s="22"/>
      <c r="AF1516" s="22"/>
      <c r="AG1516" s="22"/>
      <c r="AH1516" s="22"/>
      <c r="AI1516" s="22"/>
      <c r="AJ1516" s="22"/>
    </row>
    <row r="1517" spans="1:36" x14ac:dyDescent="0.25">
      <c r="A1517" s="22" t="s">
        <v>4027</v>
      </c>
      <c r="B1517" s="22">
        <v>0</v>
      </c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2"/>
      <c r="S1517" s="22"/>
      <c r="T1517" s="22"/>
      <c r="U1517" s="22"/>
      <c r="V1517" s="22"/>
      <c r="W1517" s="22"/>
      <c r="X1517" s="22"/>
      <c r="Y1517" s="22"/>
      <c r="Z1517" s="22"/>
      <c r="AA1517" s="22"/>
      <c r="AB1517" s="22"/>
      <c r="AC1517" s="22"/>
      <c r="AD1517" s="22"/>
      <c r="AE1517" s="22"/>
      <c r="AF1517" s="22"/>
      <c r="AG1517" s="22"/>
      <c r="AH1517" s="22"/>
      <c r="AI1517" s="22"/>
      <c r="AJ1517" s="22"/>
    </row>
    <row r="1518" spans="1:36" x14ac:dyDescent="0.25">
      <c r="A1518" s="22" t="s">
        <v>4817</v>
      </c>
      <c r="B1518" s="22">
        <v>79</v>
      </c>
      <c r="C1518" s="22"/>
      <c r="D1518" s="22"/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2"/>
      <c r="T1518" s="22"/>
      <c r="U1518" s="22"/>
      <c r="V1518" s="22"/>
      <c r="W1518" s="22"/>
      <c r="X1518" s="22"/>
      <c r="Y1518" s="22"/>
      <c r="Z1518" s="22"/>
      <c r="AA1518" s="22"/>
      <c r="AB1518" s="22"/>
      <c r="AC1518" s="22"/>
      <c r="AD1518" s="22"/>
      <c r="AE1518" s="22"/>
      <c r="AF1518" s="22"/>
      <c r="AG1518" s="22"/>
      <c r="AH1518" s="22"/>
      <c r="AI1518" s="22"/>
      <c r="AJ1518" s="22"/>
    </row>
    <row r="1519" spans="1:36" x14ac:dyDescent="0.25">
      <c r="A1519" s="22" t="s">
        <v>4818</v>
      </c>
      <c r="B1519" s="22">
        <v>0</v>
      </c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2"/>
      <c r="S1519" s="22"/>
      <c r="T1519" s="22"/>
      <c r="U1519" s="22"/>
      <c r="V1519" s="22"/>
      <c r="W1519" s="22"/>
      <c r="X1519" s="22"/>
      <c r="Y1519" s="22"/>
      <c r="Z1519" s="22"/>
      <c r="AA1519" s="22"/>
      <c r="AB1519" s="22"/>
      <c r="AC1519" s="22"/>
      <c r="AD1519" s="22"/>
      <c r="AE1519" s="22"/>
      <c r="AF1519" s="22"/>
      <c r="AG1519" s="22"/>
      <c r="AH1519" s="22"/>
      <c r="AI1519" s="22"/>
      <c r="AJ1519" s="22"/>
    </row>
    <row r="1520" spans="1:36" x14ac:dyDescent="0.25">
      <c r="A1520" s="22" t="s">
        <v>4819</v>
      </c>
      <c r="B1520" s="22">
        <v>0</v>
      </c>
      <c r="C1520" s="22"/>
      <c r="D1520" s="22"/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2"/>
      <c r="T1520" s="22"/>
      <c r="U1520" s="22"/>
      <c r="V1520" s="22"/>
      <c r="W1520" s="22"/>
      <c r="X1520" s="22"/>
      <c r="Y1520" s="22"/>
      <c r="Z1520" s="22"/>
      <c r="AA1520" s="22"/>
      <c r="AB1520" s="22"/>
      <c r="AC1520" s="22"/>
      <c r="AD1520" s="22"/>
      <c r="AE1520" s="22"/>
      <c r="AF1520" s="22"/>
      <c r="AG1520" s="22"/>
      <c r="AH1520" s="22"/>
      <c r="AI1520" s="22"/>
      <c r="AJ1520" s="22"/>
    </row>
    <row r="1521" spans="1:36" x14ac:dyDescent="0.25">
      <c r="A1521" s="22" t="s">
        <v>4820</v>
      </c>
      <c r="B1521" s="22">
        <v>0</v>
      </c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2"/>
      <c r="S1521" s="22"/>
      <c r="T1521" s="22"/>
      <c r="U1521" s="22"/>
      <c r="V1521" s="22"/>
      <c r="W1521" s="22"/>
      <c r="X1521" s="22"/>
      <c r="Y1521" s="22"/>
      <c r="Z1521" s="22"/>
      <c r="AA1521" s="22"/>
      <c r="AB1521" s="22"/>
      <c r="AC1521" s="22"/>
      <c r="AD1521" s="22"/>
      <c r="AE1521" s="22"/>
      <c r="AF1521" s="22"/>
      <c r="AG1521" s="22"/>
      <c r="AH1521" s="22"/>
      <c r="AI1521" s="22"/>
      <c r="AJ1521" s="22"/>
    </row>
    <row r="1522" spans="1:36" x14ac:dyDescent="0.25">
      <c r="A1522" s="22" t="s">
        <v>4821</v>
      </c>
      <c r="B1522" s="22">
        <v>3</v>
      </c>
      <c r="C1522" s="22"/>
      <c r="D1522" s="22"/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2"/>
      <c r="T1522" s="22"/>
      <c r="U1522" s="22"/>
      <c r="V1522" s="22"/>
      <c r="W1522" s="22"/>
      <c r="X1522" s="22"/>
      <c r="Y1522" s="22"/>
      <c r="Z1522" s="22"/>
      <c r="AA1522" s="22"/>
      <c r="AB1522" s="22"/>
      <c r="AC1522" s="22"/>
      <c r="AD1522" s="22"/>
      <c r="AE1522" s="22"/>
      <c r="AF1522" s="22"/>
      <c r="AG1522" s="22"/>
      <c r="AH1522" s="22"/>
      <c r="AI1522" s="22"/>
      <c r="AJ1522" s="22"/>
    </row>
    <row r="1523" spans="1:36" x14ac:dyDescent="0.25">
      <c r="A1523" s="22" t="s">
        <v>4822</v>
      </c>
      <c r="B1523" s="22">
        <v>0</v>
      </c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2"/>
      <c r="S1523" s="22"/>
      <c r="T1523" s="22"/>
      <c r="U1523" s="22"/>
      <c r="V1523" s="22"/>
      <c r="W1523" s="22"/>
      <c r="X1523" s="22"/>
      <c r="Y1523" s="22"/>
      <c r="Z1523" s="22"/>
      <c r="AA1523" s="22"/>
      <c r="AB1523" s="22"/>
      <c r="AC1523" s="22"/>
      <c r="AD1523" s="22"/>
      <c r="AE1523" s="22"/>
      <c r="AF1523" s="22"/>
      <c r="AG1523" s="22"/>
      <c r="AH1523" s="22"/>
      <c r="AI1523" s="22"/>
      <c r="AJ1523" s="22"/>
    </row>
    <row r="1524" spans="1:36" x14ac:dyDescent="0.25">
      <c r="A1524" s="22" t="s">
        <v>4823</v>
      </c>
      <c r="B1524" s="22">
        <v>0</v>
      </c>
      <c r="C1524" s="22"/>
      <c r="D1524" s="22"/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2"/>
      <c r="T1524" s="22"/>
      <c r="U1524" s="22"/>
      <c r="V1524" s="22"/>
      <c r="W1524" s="22"/>
      <c r="X1524" s="22"/>
      <c r="Y1524" s="22"/>
      <c r="Z1524" s="22"/>
      <c r="AA1524" s="22"/>
      <c r="AB1524" s="22"/>
      <c r="AC1524" s="22"/>
      <c r="AD1524" s="22"/>
      <c r="AE1524" s="22"/>
      <c r="AF1524" s="22"/>
      <c r="AG1524" s="22"/>
      <c r="AH1524" s="22"/>
      <c r="AI1524" s="22"/>
      <c r="AJ1524" s="22"/>
    </row>
    <row r="1525" spans="1:36" x14ac:dyDescent="0.25">
      <c r="A1525" s="22" t="s">
        <v>4824</v>
      </c>
      <c r="B1525" s="22">
        <v>0</v>
      </c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2"/>
      <c r="S1525" s="22"/>
      <c r="T1525" s="22"/>
      <c r="U1525" s="22"/>
      <c r="V1525" s="22"/>
      <c r="W1525" s="22"/>
      <c r="X1525" s="22"/>
      <c r="Y1525" s="22"/>
      <c r="Z1525" s="22"/>
      <c r="AA1525" s="22"/>
      <c r="AB1525" s="22"/>
      <c r="AC1525" s="22"/>
      <c r="AD1525" s="22"/>
      <c r="AE1525" s="22"/>
      <c r="AF1525" s="22"/>
      <c r="AG1525" s="22"/>
      <c r="AH1525" s="22"/>
      <c r="AI1525" s="22"/>
      <c r="AJ1525" s="22"/>
    </row>
    <row r="1526" spans="1:36" x14ac:dyDescent="0.25">
      <c r="A1526" s="22" t="s">
        <v>4825</v>
      </c>
      <c r="B1526" s="22">
        <v>0</v>
      </c>
      <c r="C1526" s="22"/>
      <c r="D1526" s="22"/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2"/>
      <c r="T1526" s="22"/>
      <c r="U1526" s="22"/>
      <c r="V1526" s="22"/>
      <c r="W1526" s="22"/>
      <c r="X1526" s="22"/>
      <c r="Y1526" s="22"/>
      <c r="Z1526" s="22"/>
      <c r="AA1526" s="22"/>
      <c r="AB1526" s="22"/>
      <c r="AC1526" s="22"/>
      <c r="AD1526" s="22"/>
      <c r="AE1526" s="22"/>
      <c r="AF1526" s="22"/>
      <c r="AG1526" s="22"/>
      <c r="AH1526" s="22"/>
      <c r="AI1526" s="22"/>
      <c r="AJ1526" s="22"/>
    </row>
    <row r="1527" spans="1:36" x14ac:dyDescent="0.25">
      <c r="A1527" s="22" t="s">
        <v>4826</v>
      </c>
      <c r="B1527" s="22">
        <v>0</v>
      </c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2"/>
      <c r="S1527" s="22"/>
      <c r="T1527" s="22"/>
      <c r="U1527" s="22"/>
      <c r="V1527" s="22"/>
      <c r="W1527" s="22"/>
      <c r="X1527" s="22"/>
      <c r="Y1527" s="22"/>
      <c r="Z1527" s="22"/>
      <c r="AA1527" s="22"/>
      <c r="AB1527" s="22"/>
      <c r="AC1527" s="22"/>
      <c r="AD1527" s="22"/>
      <c r="AE1527" s="22"/>
      <c r="AF1527" s="22"/>
      <c r="AG1527" s="22"/>
      <c r="AH1527" s="22"/>
      <c r="AI1527" s="22"/>
      <c r="AJ1527" s="22"/>
    </row>
    <row r="1528" spans="1:36" x14ac:dyDescent="0.25">
      <c r="A1528" s="22" t="s">
        <v>4827</v>
      </c>
      <c r="B1528" s="22">
        <v>0</v>
      </c>
      <c r="C1528" s="22"/>
      <c r="D1528" s="22"/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2"/>
      <c r="T1528" s="22"/>
      <c r="U1528" s="22"/>
      <c r="V1528" s="22"/>
      <c r="W1528" s="22"/>
      <c r="X1528" s="22"/>
      <c r="Y1528" s="22"/>
      <c r="Z1528" s="22"/>
      <c r="AA1528" s="22"/>
      <c r="AB1528" s="22"/>
      <c r="AC1528" s="22"/>
      <c r="AD1528" s="22"/>
      <c r="AE1528" s="22"/>
      <c r="AF1528" s="22"/>
      <c r="AG1528" s="22"/>
      <c r="AH1528" s="22"/>
      <c r="AI1528" s="22"/>
      <c r="AJ1528" s="22"/>
    </row>
    <row r="1529" spans="1:36" x14ac:dyDescent="0.25">
      <c r="A1529" s="22" t="s">
        <v>4828</v>
      </c>
      <c r="B1529" s="22">
        <v>0</v>
      </c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  <c r="AF1529" s="22"/>
      <c r="AG1529" s="22"/>
      <c r="AH1529" s="22"/>
      <c r="AI1529" s="22"/>
      <c r="AJ1529" s="22"/>
    </row>
    <row r="1530" spans="1:36" x14ac:dyDescent="0.25">
      <c r="A1530" s="22" t="s">
        <v>4829</v>
      </c>
      <c r="B1530" s="22">
        <v>0</v>
      </c>
      <c r="C1530" s="22"/>
      <c r="D1530" s="22"/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  <c r="AA1530" s="22"/>
      <c r="AB1530" s="22"/>
      <c r="AC1530" s="22"/>
      <c r="AD1530" s="22"/>
      <c r="AE1530" s="22"/>
      <c r="AF1530" s="22"/>
      <c r="AG1530" s="22"/>
      <c r="AH1530" s="22"/>
      <c r="AI1530" s="22"/>
      <c r="AJ1530" s="22"/>
    </row>
    <row r="1531" spans="1:36" x14ac:dyDescent="0.25">
      <c r="A1531" s="22" t="s">
        <v>4830</v>
      </c>
      <c r="B1531" s="22">
        <v>0</v>
      </c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  <c r="AF1531" s="22"/>
      <c r="AG1531" s="22"/>
      <c r="AH1531" s="22"/>
      <c r="AI1531" s="22"/>
      <c r="AJ1531" s="22"/>
    </row>
    <row r="1532" spans="1:36" x14ac:dyDescent="0.25">
      <c r="A1532" s="22" t="s">
        <v>4831</v>
      </c>
      <c r="B1532" s="22">
        <v>0</v>
      </c>
      <c r="C1532" s="22"/>
      <c r="D1532" s="22"/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  <c r="AF1532" s="22"/>
      <c r="AG1532" s="22"/>
      <c r="AH1532" s="22"/>
      <c r="AI1532" s="22"/>
      <c r="AJ1532" s="22"/>
    </row>
    <row r="1533" spans="1:36" x14ac:dyDescent="0.25">
      <c r="A1533" s="22" t="s">
        <v>4832</v>
      </c>
      <c r="B1533" s="22">
        <v>0</v>
      </c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2"/>
      <c r="S1533" s="22"/>
      <c r="T1533" s="22"/>
      <c r="U1533" s="22"/>
      <c r="V1533" s="22"/>
      <c r="W1533" s="22"/>
      <c r="X1533" s="22"/>
      <c r="Y1533" s="22"/>
      <c r="Z1533" s="22"/>
      <c r="AA1533" s="22"/>
      <c r="AB1533" s="22"/>
      <c r="AC1533" s="22"/>
      <c r="AD1533" s="22"/>
      <c r="AE1533" s="22"/>
      <c r="AF1533" s="22"/>
      <c r="AG1533" s="22"/>
      <c r="AH1533" s="22"/>
      <c r="AI1533" s="22"/>
      <c r="AJ1533" s="22"/>
    </row>
    <row r="1534" spans="1:36" x14ac:dyDescent="0.25">
      <c r="A1534" s="22" t="s">
        <v>5769</v>
      </c>
      <c r="B1534" s="22">
        <v>38</v>
      </c>
      <c r="C1534" s="22"/>
      <c r="D1534" s="22"/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2"/>
      <c r="T1534" s="22"/>
      <c r="U1534" s="22"/>
      <c r="V1534" s="22"/>
      <c r="W1534" s="22"/>
      <c r="X1534" s="22"/>
      <c r="Y1534" s="22"/>
      <c r="Z1534" s="22"/>
      <c r="AA1534" s="22"/>
      <c r="AB1534" s="22"/>
      <c r="AC1534" s="22"/>
      <c r="AD1534" s="22"/>
      <c r="AE1534" s="22"/>
      <c r="AF1534" s="22"/>
      <c r="AG1534" s="22"/>
      <c r="AH1534" s="22"/>
      <c r="AI1534" s="22"/>
      <c r="AJ1534" s="22"/>
    </row>
    <row r="1535" spans="1:36" x14ac:dyDescent="0.25">
      <c r="A1535" s="22" t="s">
        <v>5770</v>
      </c>
      <c r="B1535" s="22">
        <v>0</v>
      </c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2"/>
      <c r="S1535" s="22"/>
      <c r="T1535" s="22"/>
      <c r="U1535" s="22"/>
      <c r="V1535" s="22"/>
      <c r="W1535" s="22"/>
      <c r="X1535" s="22"/>
      <c r="Y1535" s="22"/>
      <c r="Z1535" s="22"/>
      <c r="AA1535" s="22"/>
      <c r="AB1535" s="22"/>
      <c r="AC1535" s="22"/>
      <c r="AD1535" s="22"/>
      <c r="AE1535" s="22"/>
      <c r="AF1535" s="22"/>
      <c r="AG1535" s="22"/>
      <c r="AH1535" s="22"/>
      <c r="AI1535" s="22"/>
      <c r="AJ1535" s="22"/>
    </row>
    <row r="1536" spans="1:36" x14ac:dyDescent="0.25">
      <c r="A1536" s="22" t="s">
        <v>5771</v>
      </c>
      <c r="B1536" s="22">
        <v>0</v>
      </c>
      <c r="C1536" s="22"/>
      <c r="D1536" s="22"/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2"/>
      <c r="T1536" s="22"/>
      <c r="U1536" s="22"/>
      <c r="V1536" s="22"/>
      <c r="W1536" s="22"/>
      <c r="X1536" s="22"/>
      <c r="Y1536" s="22"/>
      <c r="Z1536" s="22"/>
      <c r="AA1536" s="22"/>
      <c r="AB1536" s="22"/>
      <c r="AC1536" s="22"/>
      <c r="AD1536" s="22"/>
      <c r="AE1536" s="22"/>
      <c r="AF1536" s="22"/>
      <c r="AG1536" s="22"/>
      <c r="AH1536" s="22"/>
      <c r="AI1536" s="22"/>
      <c r="AJ1536" s="22"/>
    </row>
    <row r="1537" spans="1:36" x14ac:dyDescent="0.25">
      <c r="A1537" s="22" t="s">
        <v>5772</v>
      </c>
      <c r="B1537" s="22">
        <v>0</v>
      </c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2"/>
      <c r="S1537" s="22"/>
      <c r="T1537" s="22"/>
      <c r="U1537" s="22"/>
      <c r="V1537" s="22"/>
      <c r="W1537" s="22"/>
      <c r="X1537" s="22"/>
      <c r="Y1537" s="22"/>
      <c r="Z1537" s="22"/>
      <c r="AA1537" s="22"/>
      <c r="AB1537" s="22"/>
      <c r="AC1537" s="22"/>
      <c r="AD1537" s="22"/>
      <c r="AE1537" s="22"/>
      <c r="AF1537" s="22"/>
      <c r="AG1537" s="22"/>
      <c r="AH1537" s="22"/>
      <c r="AI1537" s="22"/>
      <c r="AJ1537" s="22"/>
    </row>
    <row r="1538" spans="1:36" x14ac:dyDescent="0.25">
      <c r="A1538" s="22" t="s">
        <v>5773</v>
      </c>
      <c r="B1538" s="22">
        <v>0</v>
      </c>
      <c r="C1538" s="22"/>
      <c r="D1538" s="22"/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2"/>
      <c r="T1538" s="22"/>
      <c r="U1538" s="22"/>
      <c r="V1538" s="22"/>
      <c r="W1538" s="22"/>
      <c r="X1538" s="22"/>
      <c r="Y1538" s="22"/>
      <c r="Z1538" s="22"/>
      <c r="AA1538" s="22"/>
      <c r="AB1538" s="22"/>
      <c r="AC1538" s="22"/>
      <c r="AD1538" s="22"/>
      <c r="AE1538" s="22"/>
      <c r="AF1538" s="22"/>
      <c r="AG1538" s="22"/>
      <c r="AH1538" s="22"/>
      <c r="AI1538" s="22"/>
      <c r="AJ1538" s="22"/>
    </row>
    <row r="1539" spans="1:36" x14ac:dyDescent="0.25">
      <c r="A1539" s="22" t="s">
        <v>5774</v>
      </c>
      <c r="B1539" s="22">
        <v>0</v>
      </c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2"/>
      <c r="S1539" s="22"/>
      <c r="T1539" s="22"/>
      <c r="U1539" s="22"/>
      <c r="V1539" s="22"/>
      <c r="W1539" s="22"/>
      <c r="X1539" s="22"/>
      <c r="Y1539" s="22"/>
      <c r="Z1539" s="22"/>
      <c r="AA1539" s="22"/>
      <c r="AB1539" s="22"/>
      <c r="AC1539" s="22"/>
      <c r="AD1539" s="22"/>
      <c r="AE1539" s="22"/>
      <c r="AF1539" s="22"/>
      <c r="AG1539" s="22"/>
      <c r="AH1539" s="22"/>
      <c r="AI1539" s="22"/>
      <c r="AJ1539" s="22"/>
    </row>
    <row r="1540" spans="1:36" x14ac:dyDescent="0.25">
      <c r="A1540" s="22" t="s">
        <v>5775</v>
      </c>
      <c r="B1540" s="22">
        <v>0</v>
      </c>
      <c r="C1540" s="22"/>
      <c r="D1540" s="22"/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2"/>
      <c r="T1540" s="22"/>
      <c r="U1540" s="22"/>
      <c r="V1540" s="22"/>
      <c r="W1540" s="22"/>
      <c r="X1540" s="22"/>
      <c r="Y1540" s="22"/>
      <c r="Z1540" s="22"/>
      <c r="AA1540" s="22"/>
      <c r="AB1540" s="22"/>
      <c r="AC1540" s="22"/>
      <c r="AD1540" s="22"/>
      <c r="AE1540" s="22"/>
      <c r="AF1540" s="22"/>
      <c r="AG1540" s="22"/>
      <c r="AH1540" s="22"/>
      <c r="AI1540" s="22"/>
      <c r="AJ1540" s="22"/>
    </row>
    <row r="1541" spans="1:36" x14ac:dyDescent="0.25">
      <c r="A1541" s="22" t="s">
        <v>5776</v>
      </c>
      <c r="B1541" s="22">
        <v>0</v>
      </c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2"/>
      <c r="S1541" s="22"/>
      <c r="T1541" s="22"/>
      <c r="U1541" s="22"/>
      <c r="V1541" s="22"/>
      <c r="W1541" s="22"/>
      <c r="X1541" s="22"/>
      <c r="Y1541" s="22"/>
      <c r="Z1541" s="22"/>
      <c r="AA1541" s="22"/>
      <c r="AB1541" s="22"/>
      <c r="AC1541" s="22"/>
      <c r="AD1541" s="22"/>
      <c r="AE1541" s="22"/>
      <c r="AF1541" s="22"/>
      <c r="AG1541" s="22"/>
      <c r="AH1541" s="22"/>
      <c r="AI1541" s="22"/>
      <c r="AJ1541" s="22"/>
    </row>
    <row r="1542" spans="1:36" x14ac:dyDescent="0.25">
      <c r="A1542" s="22" t="s">
        <v>5777</v>
      </c>
      <c r="B1542" s="22">
        <v>37</v>
      </c>
      <c r="C1542" s="22"/>
      <c r="D1542" s="22"/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2"/>
      <c r="T1542" s="22"/>
      <c r="U1542" s="22"/>
      <c r="V1542" s="22"/>
      <c r="W1542" s="22"/>
      <c r="X1542" s="22"/>
      <c r="Y1542" s="22"/>
      <c r="Z1542" s="22"/>
      <c r="AA1542" s="22"/>
      <c r="AB1542" s="22"/>
      <c r="AC1542" s="22"/>
      <c r="AD1542" s="22"/>
      <c r="AE1542" s="22"/>
      <c r="AF1542" s="22"/>
      <c r="AG1542" s="22"/>
      <c r="AH1542" s="22"/>
      <c r="AI1542" s="22"/>
      <c r="AJ1542" s="22"/>
    </row>
    <row r="1543" spans="1:36" x14ac:dyDescent="0.25">
      <c r="A1543" s="22" t="s">
        <v>5778</v>
      </c>
      <c r="B1543" s="22">
        <v>0</v>
      </c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2"/>
      <c r="S1543" s="22"/>
      <c r="T1543" s="22"/>
      <c r="U1543" s="22"/>
      <c r="V1543" s="22"/>
      <c r="W1543" s="22"/>
      <c r="X1543" s="22"/>
      <c r="Y1543" s="22"/>
      <c r="Z1543" s="22"/>
      <c r="AA1543" s="22"/>
      <c r="AB1543" s="22"/>
      <c r="AC1543" s="22"/>
      <c r="AD1543" s="22"/>
      <c r="AE1543" s="22"/>
      <c r="AF1543" s="22"/>
      <c r="AG1543" s="22"/>
      <c r="AH1543" s="22"/>
      <c r="AI1543" s="22"/>
      <c r="AJ1543" s="22"/>
    </row>
    <row r="1544" spans="1:36" x14ac:dyDescent="0.25">
      <c r="A1544" s="22" t="s">
        <v>5779</v>
      </c>
      <c r="B1544" s="22">
        <v>0</v>
      </c>
      <c r="C1544" s="22"/>
      <c r="D1544" s="22"/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2"/>
      <c r="T1544" s="22"/>
      <c r="U1544" s="22"/>
      <c r="V1544" s="22"/>
      <c r="W1544" s="22"/>
      <c r="X1544" s="22"/>
      <c r="Y1544" s="22"/>
      <c r="Z1544" s="22"/>
      <c r="AA1544" s="22"/>
      <c r="AB1544" s="22"/>
      <c r="AC1544" s="22"/>
      <c r="AD1544" s="22"/>
      <c r="AE1544" s="22"/>
      <c r="AF1544" s="22"/>
      <c r="AG1544" s="22"/>
      <c r="AH1544" s="22"/>
      <c r="AI1544" s="22"/>
      <c r="AJ1544" s="22"/>
    </row>
    <row r="1545" spans="1:36" x14ac:dyDescent="0.25">
      <c r="A1545" s="22" t="s">
        <v>5780</v>
      </c>
      <c r="B1545" s="22">
        <v>0</v>
      </c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2"/>
      <c r="S1545" s="22"/>
      <c r="T1545" s="22"/>
      <c r="U1545" s="22"/>
      <c r="V1545" s="22"/>
      <c r="W1545" s="22"/>
      <c r="X1545" s="22"/>
      <c r="Y1545" s="22"/>
      <c r="Z1545" s="22"/>
      <c r="AA1545" s="22"/>
      <c r="AB1545" s="22"/>
      <c r="AC1545" s="22"/>
      <c r="AD1545" s="22"/>
      <c r="AE1545" s="22"/>
      <c r="AF1545" s="22"/>
      <c r="AG1545" s="22"/>
      <c r="AH1545" s="22"/>
      <c r="AI1545" s="22"/>
      <c r="AJ1545" s="22"/>
    </row>
    <row r="1546" spans="1:36" x14ac:dyDescent="0.25">
      <c r="A1546" s="22" t="s">
        <v>5781</v>
      </c>
      <c r="B1546" s="22">
        <v>2</v>
      </c>
      <c r="C1546" s="22"/>
      <c r="D1546" s="22"/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2"/>
      <c r="T1546" s="22"/>
      <c r="U1546" s="22"/>
      <c r="V1546" s="22"/>
      <c r="W1546" s="22"/>
      <c r="X1546" s="22"/>
      <c r="Y1546" s="22"/>
      <c r="Z1546" s="22"/>
      <c r="AA1546" s="22"/>
      <c r="AB1546" s="22"/>
      <c r="AC1546" s="22"/>
      <c r="AD1546" s="22"/>
      <c r="AE1546" s="22"/>
      <c r="AF1546" s="22"/>
      <c r="AG1546" s="22"/>
      <c r="AH1546" s="22"/>
      <c r="AI1546" s="22"/>
      <c r="AJ1546" s="22"/>
    </row>
    <row r="1547" spans="1:36" x14ac:dyDescent="0.25">
      <c r="A1547" s="22" t="s">
        <v>5782</v>
      </c>
      <c r="B1547" s="22">
        <v>0</v>
      </c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2"/>
      <c r="S1547" s="22"/>
      <c r="T1547" s="22"/>
      <c r="U1547" s="22"/>
      <c r="V1547" s="22"/>
      <c r="W1547" s="22"/>
      <c r="X1547" s="22"/>
      <c r="Y1547" s="22"/>
      <c r="Z1547" s="22"/>
      <c r="AA1547" s="22"/>
      <c r="AB1547" s="22"/>
      <c r="AC1547" s="22"/>
      <c r="AD1547" s="22"/>
      <c r="AE1547" s="22"/>
      <c r="AF1547" s="22"/>
      <c r="AG1547" s="22"/>
      <c r="AH1547" s="22"/>
      <c r="AI1547" s="22"/>
      <c r="AJ1547" s="22"/>
    </row>
    <row r="1548" spans="1:36" x14ac:dyDescent="0.25">
      <c r="A1548" s="22" t="s">
        <v>5783</v>
      </c>
      <c r="B1548" s="22">
        <v>0</v>
      </c>
      <c r="C1548" s="22"/>
      <c r="D1548" s="22"/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2"/>
      <c r="T1548" s="22"/>
      <c r="U1548" s="22"/>
      <c r="V1548" s="22"/>
      <c r="W1548" s="22"/>
      <c r="X1548" s="22"/>
      <c r="Y1548" s="22"/>
      <c r="Z1548" s="22"/>
      <c r="AA1548" s="22"/>
      <c r="AB1548" s="22"/>
      <c r="AC1548" s="22"/>
      <c r="AD1548" s="22"/>
      <c r="AE1548" s="22"/>
      <c r="AF1548" s="22"/>
      <c r="AG1548" s="22"/>
      <c r="AH1548" s="22"/>
      <c r="AI1548" s="22"/>
      <c r="AJ1548" s="22"/>
    </row>
    <row r="1549" spans="1:36" x14ac:dyDescent="0.25">
      <c r="A1549" s="22" t="s">
        <v>5784</v>
      </c>
      <c r="B1549" s="22">
        <v>0</v>
      </c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2"/>
      <c r="S1549" s="22"/>
      <c r="T1549" s="22"/>
      <c r="U1549" s="22"/>
      <c r="V1549" s="22"/>
      <c r="W1549" s="22"/>
      <c r="X1549" s="22"/>
      <c r="Y1549" s="22"/>
      <c r="Z1549" s="22"/>
      <c r="AA1549" s="22"/>
      <c r="AB1549" s="22"/>
      <c r="AC1549" s="22"/>
      <c r="AD1549" s="22"/>
      <c r="AE1549" s="22"/>
      <c r="AF1549" s="22"/>
      <c r="AG1549" s="22"/>
      <c r="AH1549" s="22"/>
      <c r="AI1549" s="22"/>
      <c r="AJ1549" s="22"/>
    </row>
    <row r="1550" spans="1:36" x14ac:dyDescent="0.25">
      <c r="A1550" s="22" t="s">
        <v>5785</v>
      </c>
      <c r="B1550" s="22">
        <v>0</v>
      </c>
      <c r="C1550" s="22"/>
      <c r="D1550" s="22"/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2"/>
      <c r="T1550" s="22"/>
      <c r="U1550" s="22"/>
      <c r="V1550" s="22"/>
      <c r="W1550" s="22"/>
      <c r="X1550" s="22"/>
      <c r="Y1550" s="22"/>
      <c r="Z1550" s="22"/>
      <c r="AA1550" s="22"/>
      <c r="AB1550" s="22"/>
      <c r="AC1550" s="22"/>
      <c r="AD1550" s="22"/>
      <c r="AE1550" s="22"/>
      <c r="AF1550" s="22"/>
      <c r="AG1550" s="22"/>
      <c r="AH1550" s="22"/>
      <c r="AI1550" s="22"/>
      <c r="AJ1550" s="22"/>
    </row>
    <row r="1551" spans="1:36" x14ac:dyDescent="0.25">
      <c r="A1551" s="22" t="s">
        <v>5786</v>
      </c>
      <c r="B1551" s="22">
        <v>0</v>
      </c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2"/>
      <c r="S1551" s="22"/>
      <c r="T1551" s="22"/>
      <c r="U1551" s="22"/>
      <c r="V1551" s="22"/>
      <c r="W1551" s="22"/>
      <c r="X1551" s="22"/>
      <c r="Y1551" s="22"/>
      <c r="Z1551" s="22"/>
      <c r="AA1551" s="22"/>
      <c r="AB1551" s="22"/>
      <c r="AC1551" s="22"/>
      <c r="AD1551" s="22"/>
      <c r="AE1551" s="22"/>
      <c r="AF1551" s="22"/>
      <c r="AG1551" s="22"/>
      <c r="AH1551" s="22"/>
      <c r="AI1551" s="22"/>
      <c r="AJ1551" s="22"/>
    </row>
    <row r="1552" spans="1:36" x14ac:dyDescent="0.25">
      <c r="A1552" s="22" t="s">
        <v>5787</v>
      </c>
      <c r="B1552" s="22">
        <v>0</v>
      </c>
      <c r="C1552" s="22"/>
      <c r="D1552" s="22"/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2"/>
      <c r="T1552" s="22"/>
      <c r="U1552" s="22"/>
      <c r="V1552" s="22"/>
      <c r="W1552" s="22"/>
      <c r="X1552" s="22"/>
      <c r="Y1552" s="22"/>
      <c r="Z1552" s="22"/>
      <c r="AA1552" s="22"/>
      <c r="AB1552" s="22"/>
      <c r="AC1552" s="22"/>
      <c r="AD1552" s="22"/>
      <c r="AE1552" s="22"/>
      <c r="AF1552" s="22"/>
      <c r="AG1552" s="22"/>
      <c r="AH1552" s="22"/>
      <c r="AI1552" s="22"/>
      <c r="AJ1552" s="22"/>
    </row>
    <row r="1553" spans="1:36" x14ac:dyDescent="0.25">
      <c r="A1553" s="22" t="s">
        <v>5788</v>
      </c>
      <c r="B1553" s="22">
        <v>0</v>
      </c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2"/>
      <c r="S1553" s="22"/>
      <c r="T1553" s="22"/>
      <c r="U1553" s="22"/>
      <c r="V1553" s="22"/>
      <c r="W1553" s="22"/>
      <c r="X1553" s="22"/>
      <c r="Y1553" s="22"/>
      <c r="Z1553" s="22"/>
      <c r="AA1553" s="22"/>
      <c r="AB1553" s="22"/>
      <c r="AC1553" s="22"/>
      <c r="AD1553" s="22"/>
      <c r="AE1553" s="22"/>
      <c r="AF1553" s="22"/>
      <c r="AG1553" s="22"/>
      <c r="AH1553" s="22"/>
      <c r="AI1553" s="22"/>
      <c r="AJ1553" s="22"/>
    </row>
    <row r="1554" spans="1:36" x14ac:dyDescent="0.25">
      <c r="A1554" s="22" t="s">
        <v>5789</v>
      </c>
      <c r="B1554" s="22">
        <v>0</v>
      </c>
      <c r="C1554" s="22"/>
      <c r="D1554" s="22"/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2"/>
      <c r="T1554" s="22"/>
      <c r="U1554" s="22"/>
      <c r="V1554" s="22"/>
      <c r="W1554" s="22"/>
      <c r="X1554" s="22"/>
      <c r="Y1554" s="22"/>
      <c r="Z1554" s="22"/>
      <c r="AA1554" s="22"/>
      <c r="AB1554" s="22"/>
      <c r="AC1554" s="22"/>
      <c r="AD1554" s="22"/>
      <c r="AE1554" s="22"/>
      <c r="AF1554" s="22"/>
      <c r="AG1554" s="22"/>
      <c r="AH1554" s="22"/>
      <c r="AI1554" s="22"/>
      <c r="AJ1554" s="22"/>
    </row>
    <row r="1555" spans="1:36" x14ac:dyDescent="0.25">
      <c r="A1555" s="22" t="s">
        <v>5790</v>
      </c>
      <c r="B1555" s="22">
        <v>0</v>
      </c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2"/>
      <c r="S1555" s="22"/>
      <c r="T1555" s="22"/>
      <c r="U1555" s="22"/>
      <c r="V1555" s="22"/>
      <c r="W1555" s="22"/>
      <c r="X1555" s="22"/>
      <c r="Y1555" s="22"/>
      <c r="Z1555" s="22"/>
      <c r="AA1555" s="22"/>
      <c r="AB1555" s="22"/>
      <c r="AC1555" s="22"/>
      <c r="AD1555" s="22"/>
      <c r="AE1555" s="22"/>
      <c r="AF1555" s="22"/>
      <c r="AG1555" s="22"/>
      <c r="AH1555" s="22"/>
      <c r="AI1555" s="22"/>
      <c r="AJ1555" s="22"/>
    </row>
    <row r="1556" spans="1:36" x14ac:dyDescent="0.25">
      <c r="A1556" s="22" t="s">
        <v>5791</v>
      </c>
      <c r="B1556" s="22">
        <v>0</v>
      </c>
      <c r="C1556" s="22"/>
      <c r="D1556" s="22"/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2"/>
      <c r="T1556" s="22"/>
      <c r="U1556" s="22"/>
      <c r="V1556" s="22"/>
      <c r="W1556" s="22"/>
      <c r="X1556" s="22"/>
      <c r="Y1556" s="22"/>
      <c r="Z1556" s="22"/>
      <c r="AA1556" s="22"/>
      <c r="AB1556" s="22"/>
      <c r="AC1556" s="22"/>
      <c r="AD1556" s="22"/>
      <c r="AE1556" s="22"/>
      <c r="AF1556" s="22"/>
      <c r="AG1556" s="22"/>
      <c r="AH1556" s="22"/>
      <c r="AI1556" s="22"/>
      <c r="AJ1556" s="22"/>
    </row>
    <row r="1557" spans="1:36" x14ac:dyDescent="0.25">
      <c r="A1557" s="22" t="s">
        <v>5792</v>
      </c>
      <c r="B1557" s="22">
        <v>0</v>
      </c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2"/>
      <c r="S1557" s="22"/>
      <c r="T1557" s="22"/>
      <c r="U1557" s="22"/>
      <c r="V1557" s="22"/>
      <c r="W1557" s="22"/>
      <c r="X1557" s="22"/>
      <c r="Y1557" s="22"/>
      <c r="Z1557" s="22"/>
      <c r="AA1557" s="22"/>
      <c r="AB1557" s="22"/>
      <c r="AC1557" s="22"/>
      <c r="AD1557" s="22"/>
      <c r="AE1557" s="22"/>
      <c r="AF1557" s="22"/>
      <c r="AG1557" s="22"/>
      <c r="AH1557" s="22"/>
      <c r="AI1557" s="22"/>
      <c r="AJ1557" s="22"/>
    </row>
    <row r="1558" spans="1:36" x14ac:dyDescent="0.25">
      <c r="A1558" s="22" t="s">
        <v>5793</v>
      </c>
      <c r="B1558" s="22">
        <v>43</v>
      </c>
      <c r="C1558" s="22"/>
      <c r="D1558" s="22"/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2"/>
      <c r="T1558" s="22"/>
      <c r="U1558" s="22"/>
      <c r="V1558" s="22"/>
      <c r="W1558" s="22"/>
      <c r="X1558" s="22"/>
      <c r="Y1558" s="22"/>
      <c r="Z1558" s="22"/>
      <c r="AA1558" s="22"/>
      <c r="AB1558" s="22"/>
      <c r="AC1558" s="22"/>
      <c r="AD1558" s="22"/>
      <c r="AE1558" s="22"/>
      <c r="AF1558" s="22"/>
      <c r="AG1558" s="22"/>
      <c r="AH1558" s="22"/>
      <c r="AI1558" s="22"/>
      <c r="AJ1558" s="22"/>
    </row>
    <row r="1559" spans="1:36" x14ac:dyDescent="0.25">
      <c r="A1559" s="22" t="s">
        <v>5794</v>
      </c>
      <c r="B1559" s="22">
        <v>0</v>
      </c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2"/>
      <c r="S1559" s="22"/>
      <c r="T1559" s="22"/>
      <c r="U1559" s="22"/>
      <c r="V1559" s="22"/>
      <c r="W1559" s="22"/>
      <c r="X1559" s="22"/>
      <c r="Y1559" s="22"/>
      <c r="Z1559" s="22"/>
      <c r="AA1559" s="22"/>
      <c r="AB1559" s="22"/>
      <c r="AC1559" s="22"/>
      <c r="AD1559" s="22"/>
      <c r="AE1559" s="22"/>
      <c r="AF1559" s="22"/>
      <c r="AG1559" s="22"/>
      <c r="AH1559" s="22"/>
      <c r="AI1559" s="22"/>
      <c r="AJ1559" s="22"/>
    </row>
    <row r="1560" spans="1:36" x14ac:dyDescent="0.25">
      <c r="A1560" s="22" t="s">
        <v>5795</v>
      </c>
      <c r="B1560" s="22">
        <v>0</v>
      </c>
      <c r="C1560" s="22"/>
      <c r="D1560" s="22"/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2"/>
      <c r="T1560" s="22"/>
      <c r="U1560" s="22"/>
      <c r="V1560" s="22"/>
      <c r="W1560" s="22"/>
      <c r="X1560" s="22"/>
      <c r="Y1560" s="22"/>
      <c r="Z1560" s="22"/>
      <c r="AA1560" s="22"/>
      <c r="AB1560" s="22"/>
      <c r="AC1560" s="22"/>
      <c r="AD1560" s="22"/>
      <c r="AE1560" s="22"/>
      <c r="AF1560" s="22"/>
      <c r="AG1560" s="22"/>
      <c r="AH1560" s="22"/>
      <c r="AI1560" s="22"/>
      <c r="AJ1560" s="22"/>
    </row>
    <row r="1561" spans="1:36" x14ac:dyDescent="0.25">
      <c r="A1561" s="22" t="s">
        <v>5796</v>
      </c>
      <c r="B1561" s="22">
        <v>0</v>
      </c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2"/>
      <c r="S1561" s="22"/>
      <c r="T1561" s="22"/>
      <c r="U1561" s="22"/>
      <c r="V1561" s="22"/>
      <c r="W1561" s="22"/>
      <c r="X1561" s="22"/>
      <c r="Y1561" s="22"/>
      <c r="Z1561" s="22"/>
      <c r="AA1561" s="22"/>
      <c r="AB1561" s="22"/>
      <c r="AC1561" s="22"/>
      <c r="AD1561" s="22"/>
      <c r="AE1561" s="22"/>
      <c r="AF1561" s="22"/>
      <c r="AG1561" s="22"/>
      <c r="AH1561" s="22"/>
      <c r="AI1561" s="22"/>
      <c r="AJ1561" s="22"/>
    </row>
    <row r="1562" spans="1:36" x14ac:dyDescent="0.25">
      <c r="A1562" s="22" t="s">
        <v>5797</v>
      </c>
      <c r="B1562" s="22">
        <v>0</v>
      </c>
      <c r="C1562" s="22"/>
      <c r="D1562" s="22"/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2"/>
      <c r="T1562" s="22"/>
      <c r="U1562" s="22"/>
      <c r="V1562" s="22"/>
      <c r="W1562" s="22"/>
      <c r="X1562" s="22"/>
      <c r="Y1562" s="22"/>
      <c r="Z1562" s="22"/>
      <c r="AA1562" s="22"/>
      <c r="AB1562" s="22"/>
      <c r="AC1562" s="22"/>
      <c r="AD1562" s="22"/>
      <c r="AE1562" s="22"/>
      <c r="AF1562" s="22"/>
      <c r="AG1562" s="22"/>
      <c r="AH1562" s="22"/>
      <c r="AI1562" s="22"/>
      <c r="AJ1562" s="22"/>
    </row>
    <row r="1563" spans="1:36" x14ac:dyDescent="0.25">
      <c r="A1563" s="22" t="s">
        <v>5798</v>
      </c>
      <c r="B1563" s="22">
        <v>0</v>
      </c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2"/>
      <c r="S1563" s="22"/>
      <c r="T1563" s="22"/>
      <c r="U1563" s="22"/>
      <c r="V1563" s="22"/>
      <c r="W1563" s="22"/>
      <c r="X1563" s="22"/>
      <c r="Y1563" s="22"/>
      <c r="Z1563" s="22"/>
      <c r="AA1563" s="22"/>
      <c r="AB1563" s="22"/>
      <c r="AC1563" s="22"/>
      <c r="AD1563" s="22"/>
      <c r="AE1563" s="22"/>
      <c r="AF1563" s="22"/>
      <c r="AG1563" s="22"/>
      <c r="AH1563" s="22"/>
      <c r="AI1563" s="22"/>
      <c r="AJ1563" s="22"/>
    </row>
    <row r="1564" spans="1:36" x14ac:dyDescent="0.25">
      <c r="A1564" s="22" t="s">
        <v>5799</v>
      </c>
      <c r="B1564" s="22">
        <v>0</v>
      </c>
      <c r="C1564" s="22"/>
      <c r="D1564" s="22"/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2"/>
      <c r="T1564" s="22"/>
      <c r="U1564" s="22"/>
      <c r="V1564" s="22"/>
      <c r="W1564" s="22"/>
      <c r="X1564" s="22"/>
      <c r="Y1564" s="22"/>
      <c r="Z1564" s="22"/>
      <c r="AA1564" s="22"/>
      <c r="AB1564" s="22"/>
      <c r="AC1564" s="22"/>
      <c r="AD1564" s="22"/>
      <c r="AE1564" s="22"/>
      <c r="AF1564" s="22"/>
      <c r="AG1564" s="22"/>
      <c r="AH1564" s="22"/>
      <c r="AI1564" s="22"/>
      <c r="AJ1564" s="22"/>
    </row>
    <row r="1565" spans="1:36" x14ac:dyDescent="0.25">
      <c r="A1565" s="22" t="s">
        <v>5800</v>
      </c>
      <c r="B1565" s="22">
        <v>0</v>
      </c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2"/>
      <c r="S1565" s="22"/>
      <c r="T1565" s="22"/>
      <c r="U1565" s="22"/>
      <c r="V1565" s="22"/>
      <c r="W1565" s="22"/>
      <c r="X1565" s="22"/>
      <c r="Y1565" s="22"/>
      <c r="Z1565" s="22"/>
      <c r="AA1565" s="22"/>
      <c r="AB1565" s="22"/>
      <c r="AC1565" s="22"/>
      <c r="AD1565" s="22"/>
      <c r="AE1565" s="22"/>
      <c r="AF1565" s="22"/>
      <c r="AG1565" s="22"/>
      <c r="AH1565" s="22"/>
      <c r="AI1565" s="22"/>
      <c r="AJ1565" s="22"/>
    </row>
    <row r="1566" spans="1:36" x14ac:dyDescent="0.25">
      <c r="A1566" s="22" t="s">
        <v>4833</v>
      </c>
      <c r="B1566" s="22">
        <v>0</v>
      </c>
      <c r="C1566" s="22"/>
      <c r="D1566" s="22"/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2"/>
      <c r="T1566" s="22"/>
      <c r="U1566" s="22"/>
      <c r="V1566" s="22"/>
      <c r="W1566" s="22"/>
      <c r="X1566" s="22"/>
      <c r="Y1566" s="22"/>
      <c r="Z1566" s="22"/>
      <c r="AA1566" s="22"/>
      <c r="AB1566" s="22"/>
      <c r="AC1566" s="22"/>
      <c r="AD1566" s="22"/>
      <c r="AE1566" s="22"/>
      <c r="AF1566" s="22"/>
      <c r="AG1566" s="22"/>
      <c r="AH1566" s="22"/>
      <c r="AI1566" s="22"/>
      <c r="AJ1566" s="22"/>
    </row>
    <row r="1567" spans="1:36" x14ac:dyDescent="0.25">
      <c r="A1567" s="22" t="s">
        <v>4834</v>
      </c>
      <c r="B1567" s="22">
        <v>0</v>
      </c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2"/>
      <c r="S1567" s="22"/>
      <c r="T1567" s="22"/>
      <c r="U1567" s="22"/>
      <c r="V1567" s="22"/>
      <c r="W1567" s="22"/>
      <c r="X1567" s="22"/>
      <c r="Y1567" s="22"/>
      <c r="Z1567" s="22"/>
      <c r="AA1567" s="22"/>
      <c r="AB1567" s="22"/>
      <c r="AC1567" s="22"/>
      <c r="AD1567" s="22"/>
      <c r="AE1567" s="22"/>
      <c r="AF1567" s="22"/>
      <c r="AG1567" s="22"/>
      <c r="AH1567" s="22"/>
      <c r="AI1567" s="22"/>
      <c r="AJ1567" s="22"/>
    </row>
    <row r="1568" spans="1:36" x14ac:dyDescent="0.25">
      <c r="A1568" s="22" t="s">
        <v>4835</v>
      </c>
      <c r="B1568" s="22">
        <v>0</v>
      </c>
      <c r="C1568" s="22"/>
      <c r="D1568" s="22"/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2"/>
      <c r="T1568" s="22"/>
      <c r="U1568" s="22"/>
      <c r="V1568" s="22"/>
      <c r="W1568" s="22"/>
      <c r="X1568" s="22"/>
      <c r="Y1568" s="22"/>
      <c r="Z1568" s="22"/>
      <c r="AA1568" s="22"/>
      <c r="AB1568" s="22"/>
      <c r="AC1568" s="22"/>
      <c r="AD1568" s="22"/>
      <c r="AE1568" s="22"/>
      <c r="AF1568" s="22"/>
      <c r="AG1568" s="22"/>
      <c r="AH1568" s="22"/>
      <c r="AI1568" s="22"/>
      <c r="AJ1568" s="22"/>
    </row>
    <row r="1569" spans="1:36" x14ac:dyDescent="0.25">
      <c r="A1569" s="22" t="s">
        <v>4836</v>
      </c>
      <c r="B1569" s="22">
        <v>0</v>
      </c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2"/>
      <c r="S1569" s="22"/>
      <c r="T1569" s="22"/>
      <c r="U1569" s="22"/>
      <c r="V1569" s="22"/>
      <c r="W1569" s="22"/>
      <c r="X1569" s="22"/>
      <c r="Y1569" s="22"/>
      <c r="Z1569" s="22"/>
      <c r="AA1569" s="22"/>
      <c r="AB1569" s="22"/>
      <c r="AC1569" s="22"/>
      <c r="AD1569" s="22"/>
      <c r="AE1569" s="22"/>
      <c r="AF1569" s="22"/>
      <c r="AG1569" s="22"/>
      <c r="AH1569" s="22"/>
      <c r="AI1569" s="22"/>
      <c r="AJ1569" s="22"/>
    </row>
    <row r="1570" spans="1:36" x14ac:dyDescent="0.25">
      <c r="A1570" s="22" t="s">
        <v>4837</v>
      </c>
      <c r="B1570" s="22">
        <v>0</v>
      </c>
      <c r="C1570" s="22"/>
      <c r="D1570" s="22"/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2"/>
      <c r="T1570" s="22"/>
      <c r="U1570" s="22"/>
      <c r="V1570" s="22"/>
      <c r="W1570" s="22"/>
      <c r="X1570" s="22"/>
      <c r="Y1570" s="22"/>
      <c r="Z1570" s="22"/>
      <c r="AA1570" s="22"/>
      <c r="AB1570" s="22"/>
      <c r="AC1570" s="22"/>
      <c r="AD1570" s="22"/>
      <c r="AE1570" s="22"/>
      <c r="AF1570" s="22"/>
      <c r="AG1570" s="22"/>
      <c r="AH1570" s="22"/>
      <c r="AI1570" s="22"/>
      <c r="AJ1570" s="22"/>
    </row>
    <row r="1571" spans="1:36" x14ac:dyDescent="0.25">
      <c r="A1571" s="22" t="s">
        <v>4838</v>
      </c>
      <c r="B1571" s="22">
        <v>0</v>
      </c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2"/>
      <c r="S1571" s="22"/>
      <c r="T1571" s="22"/>
      <c r="U1571" s="22"/>
      <c r="V1571" s="22"/>
      <c r="W1571" s="22"/>
      <c r="X1571" s="22"/>
      <c r="Y1571" s="22"/>
      <c r="Z1571" s="22"/>
      <c r="AA1571" s="22"/>
      <c r="AB1571" s="22"/>
      <c r="AC1571" s="22"/>
      <c r="AD1571" s="22"/>
      <c r="AE1571" s="22"/>
      <c r="AF1571" s="22"/>
      <c r="AG1571" s="22"/>
      <c r="AH1571" s="22"/>
      <c r="AI1571" s="22"/>
      <c r="AJ1571" s="22"/>
    </row>
    <row r="1572" spans="1:36" x14ac:dyDescent="0.25">
      <c r="A1572" s="22" t="s">
        <v>4839</v>
      </c>
      <c r="B1572" s="22">
        <v>0</v>
      </c>
      <c r="C1572" s="22"/>
      <c r="D1572" s="22"/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2"/>
      <c r="T1572" s="22"/>
      <c r="U1572" s="22"/>
      <c r="V1572" s="22"/>
      <c r="W1572" s="22"/>
      <c r="X1572" s="22"/>
      <c r="Y1572" s="22"/>
      <c r="Z1572" s="22"/>
      <c r="AA1572" s="22"/>
      <c r="AB1572" s="22"/>
      <c r="AC1572" s="22"/>
      <c r="AD1572" s="22"/>
      <c r="AE1572" s="22"/>
      <c r="AF1572" s="22"/>
      <c r="AG1572" s="22"/>
      <c r="AH1572" s="22"/>
      <c r="AI1572" s="22"/>
      <c r="AJ1572" s="22"/>
    </row>
    <row r="1573" spans="1:36" x14ac:dyDescent="0.25">
      <c r="A1573" s="22" t="s">
        <v>4840</v>
      </c>
      <c r="B1573" s="22">
        <v>0</v>
      </c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2"/>
      <c r="S1573" s="22"/>
      <c r="T1573" s="22"/>
      <c r="U1573" s="22"/>
      <c r="V1573" s="22"/>
      <c r="W1573" s="22"/>
      <c r="X1573" s="22"/>
      <c r="Y1573" s="22"/>
      <c r="Z1573" s="22"/>
      <c r="AA1573" s="22"/>
      <c r="AB1573" s="22"/>
      <c r="AC1573" s="22"/>
      <c r="AD1573" s="22"/>
      <c r="AE1573" s="22"/>
      <c r="AF1573" s="22"/>
      <c r="AG1573" s="22"/>
      <c r="AH1573" s="22"/>
      <c r="AI1573" s="22"/>
      <c r="AJ1573" s="22"/>
    </row>
    <row r="1574" spans="1:36" x14ac:dyDescent="0.25">
      <c r="A1574" s="22" t="s">
        <v>5801</v>
      </c>
      <c r="B1574" s="22">
        <v>22</v>
      </c>
      <c r="C1574" s="22"/>
      <c r="D1574" s="22"/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  <c r="AF1574" s="22"/>
      <c r="AG1574" s="22"/>
      <c r="AH1574" s="22"/>
      <c r="AI1574" s="22"/>
      <c r="AJ1574" s="22"/>
    </row>
    <row r="1575" spans="1:36" x14ac:dyDescent="0.25">
      <c r="A1575" s="22" t="s">
        <v>5802</v>
      </c>
      <c r="B1575" s="22">
        <v>0</v>
      </c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  <c r="AF1575" s="22"/>
      <c r="AG1575" s="22"/>
      <c r="AH1575" s="22"/>
      <c r="AI1575" s="22"/>
      <c r="AJ1575" s="22"/>
    </row>
    <row r="1576" spans="1:36" x14ac:dyDescent="0.25">
      <c r="A1576" s="22" t="s">
        <v>5803</v>
      </c>
      <c r="B1576" s="22">
        <v>0</v>
      </c>
      <c r="C1576" s="22"/>
      <c r="D1576" s="22"/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  <c r="AF1576" s="22"/>
      <c r="AG1576" s="22"/>
      <c r="AH1576" s="22"/>
      <c r="AI1576" s="22"/>
      <c r="AJ1576" s="22"/>
    </row>
    <row r="1577" spans="1:36" x14ac:dyDescent="0.25">
      <c r="A1577" s="22" t="s">
        <v>5804</v>
      </c>
      <c r="B1577" s="22">
        <v>0</v>
      </c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2"/>
      <c r="S1577" s="22"/>
      <c r="T1577" s="22"/>
      <c r="U1577" s="22"/>
      <c r="V1577" s="22"/>
      <c r="W1577" s="22"/>
      <c r="X1577" s="22"/>
      <c r="Y1577" s="22"/>
      <c r="Z1577" s="22"/>
      <c r="AA1577" s="22"/>
      <c r="AB1577" s="22"/>
      <c r="AC1577" s="22"/>
      <c r="AD1577" s="22"/>
      <c r="AE1577" s="22"/>
      <c r="AF1577" s="22"/>
      <c r="AG1577" s="22"/>
      <c r="AH1577" s="22"/>
      <c r="AI1577" s="22"/>
      <c r="AJ1577" s="22"/>
    </row>
    <row r="1578" spans="1:36" x14ac:dyDescent="0.25">
      <c r="A1578" s="22" t="s">
        <v>5805</v>
      </c>
      <c r="B1578" s="22">
        <v>39</v>
      </c>
      <c r="C1578" s="22"/>
      <c r="D1578" s="22"/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2"/>
      <c r="T1578" s="22"/>
      <c r="U1578" s="22"/>
      <c r="V1578" s="22"/>
      <c r="W1578" s="22"/>
      <c r="X1578" s="22"/>
      <c r="Y1578" s="22"/>
      <c r="Z1578" s="22"/>
      <c r="AA1578" s="22"/>
      <c r="AB1578" s="22"/>
      <c r="AC1578" s="22"/>
      <c r="AD1578" s="22"/>
      <c r="AE1578" s="22"/>
      <c r="AF1578" s="22"/>
      <c r="AG1578" s="22"/>
      <c r="AH1578" s="22"/>
      <c r="AI1578" s="22"/>
      <c r="AJ1578" s="22"/>
    </row>
    <row r="1579" spans="1:36" x14ac:dyDescent="0.25">
      <c r="A1579" s="22" t="s">
        <v>5806</v>
      </c>
      <c r="B1579" s="22">
        <v>0</v>
      </c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2"/>
      <c r="S1579" s="22"/>
      <c r="T1579" s="22"/>
      <c r="U1579" s="22"/>
      <c r="V1579" s="22"/>
      <c r="W1579" s="22"/>
      <c r="X1579" s="22"/>
      <c r="Y1579" s="22"/>
      <c r="Z1579" s="22"/>
      <c r="AA1579" s="22"/>
      <c r="AB1579" s="22"/>
      <c r="AC1579" s="22"/>
      <c r="AD1579" s="22"/>
      <c r="AE1579" s="22"/>
      <c r="AF1579" s="22"/>
      <c r="AG1579" s="22"/>
      <c r="AH1579" s="22"/>
      <c r="AI1579" s="22"/>
      <c r="AJ1579" s="22"/>
    </row>
    <row r="1580" spans="1:36" x14ac:dyDescent="0.25">
      <c r="A1580" s="22" t="s">
        <v>5807</v>
      </c>
      <c r="B1580" s="22">
        <v>0</v>
      </c>
      <c r="C1580" s="22"/>
      <c r="D1580" s="22"/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2"/>
      <c r="T1580" s="22"/>
      <c r="U1580" s="22"/>
      <c r="V1580" s="22"/>
      <c r="W1580" s="22"/>
      <c r="X1580" s="22"/>
      <c r="Y1580" s="22"/>
      <c r="Z1580" s="22"/>
      <c r="AA1580" s="22"/>
      <c r="AB1580" s="22"/>
      <c r="AC1580" s="22"/>
      <c r="AD1580" s="22"/>
      <c r="AE1580" s="22"/>
      <c r="AF1580" s="22"/>
      <c r="AG1580" s="22"/>
      <c r="AH1580" s="22"/>
      <c r="AI1580" s="22"/>
      <c r="AJ1580" s="22"/>
    </row>
    <row r="1581" spans="1:36" x14ac:dyDescent="0.25">
      <c r="A1581" s="22" t="s">
        <v>5808</v>
      </c>
      <c r="B1581" s="22">
        <v>0</v>
      </c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2"/>
      <c r="S1581" s="22"/>
      <c r="T1581" s="22"/>
      <c r="U1581" s="22"/>
      <c r="V1581" s="22"/>
      <c r="W1581" s="22"/>
      <c r="X1581" s="22"/>
      <c r="Y1581" s="22"/>
      <c r="Z1581" s="22"/>
      <c r="AA1581" s="22"/>
      <c r="AB1581" s="22"/>
      <c r="AC1581" s="22"/>
      <c r="AD1581" s="22"/>
      <c r="AE1581" s="22"/>
      <c r="AF1581" s="22"/>
      <c r="AG1581" s="22"/>
      <c r="AH1581" s="22"/>
      <c r="AI1581" s="22"/>
      <c r="AJ1581" s="22"/>
    </row>
    <row r="1582" spans="1:36" x14ac:dyDescent="0.25">
      <c r="A1582" s="22" t="s">
        <v>421</v>
      </c>
      <c r="B1582" s="22">
        <v>0</v>
      </c>
      <c r="C1582" s="22"/>
      <c r="D1582" s="22"/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2"/>
      <c r="T1582" s="22"/>
      <c r="U1582" s="22"/>
      <c r="V1582" s="22"/>
      <c r="W1582" s="22"/>
      <c r="X1582" s="22"/>
      <c r="Y1582" s="22"/>
      <c r="Z1582" s="22"/>
      <c r="AA1582" s="22"/>
      <c r="AB1582" s="22"/>
      <c r="AC1582" s="22"/>
      <c r="AD1582" s="22"/>
      <c r="AE1582" s="22"/>
      <c r="AF1582" s="22"/>
      <c r="AG1582" s="22"/>
      <c r="AH1582" s="22"/>
      <c r="AI1582" s="22"/>
      <c r="AJ1582" s="22"/>
    </row>
    <row r="1583" spans="1:36" x14ac:dyDescent="0.25">
      <c r="A1583" s="22" t="s">
        <v>4028</v>
      </c>
      <c r="B1583" s="22">
        <v>0</v>
      </c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2"/>
      <c r="S1583" s="22"/>
      <c r="T1583" s="22"/>
      <c r="U1583" s="22"/>
      <c r="V1583" s="22"/>
      <c r="W1583" s="22"/>
      <c r="X1583" s="22"/>
      <c r="Y1583" s="22"/>
      <c r="Z1583" s="22"/>
      <c r="AA1583" s="22"/>
      <c r="AB1583" s="22"/>
      <c r="AC1583" s="22"/>
      <c r="AD1583" s="22"/>
      <c r="AE1583" s="22"/>
      <c r="AF1583" s="22"/>
      <c r="AG1583" s="22"/>
      <c r="AH1583" s="22"/>
      <c r="AI1583" s="22"/>
      <c r="AJ1583" s="22"/>
    </row>
    <row r="1584" spans="1:36" x14ac:dyDescent="0.25">
      <c r="A1584" s="22" t="s">
        <v>4029</v>
      </c>
      <c r="B1584" s="22">
        <v>0</v>
      </c>
      <c r="C1584" s="22"/>
      <c r="D1584" s="22"/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2"/>
      <c r="T1584" s="22"/>
      <c r="U1584" s="22"/>
      <c r="V1584" s="22"/>
      <c r="W1584" s="22"/>
      <c r="X1584" s="22"/>
      <c r="Y1584" s="22"/>
      <c r="Z1584" s="22"/>
      <c r="AA1584" s="22"/>
      <c r="AB1584" s="22"/>
      <c r="AC1584" s="22"/>
      <c r="AD1584" s="22"/>
      <c r="AE1584" s="22"/>
      <c r="AF1584" s="22"/>
      <c r="AG1584" s="22"/>
      <c r="AH1584" s="22"/>
      <c r="AI1584" s="22"/>
      <c r="AJ1584" s="22"/>
    </row>
    <row r="1585" spans="1:36" x14ac:dyDescent="0.25">
      <c r="A1585" s="22" t="s">
        <v>4030</v>
      </c>
      <c r="B1585" s="22">
        <v>0</v>
      </c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2"/>
      <c r="S1585" s="22"/>
      <c r="T1585" s="22"/>
      <c r="U1585" s="22"/>
      <c r="V1585" s="22"/>
      <c r="W1585" s="22"/>
      <c r="X1585" s="22"/>
      <c r="Y1585" s="22"/>
      <c r="Z1585" s="22"/>
      <c r="AA1585" s="22"/>
      <c r="AB1585" s="22"/>
      <c r="AC1585" s="22"/>
      <c r="AD1585" s="22"/>
      <c r="AE1585" s="22"/>
      <c r="AF1585" s="22"/>
      <c r="AG1585" s="22"/>
      <c r="AH1585" s="22"/>
      <c r="AI1585" s="22"/>
      <c r="AJ1585" s="22"/>
    </row>
    <row r="1586" spans="1:36" x14ac:dyDescent="0.25">
      <c r="A1586" s="22" t="s">
        <v>4031</v>
      </c>
      <c r="B1586" s="22">
        <v>0</v>
      </c>
      <c r="C1586" s="22"/>
      <c r="D1586" s="22"/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2"/>
      <c r="T1586" s="22"/>
      <c r="U1586" s="22"/>
      <c r="V1586" s="22"/>
      <c r="W1586" s="22"/>
      <c r="X1586" s="22"/>
      <c r="Y1586" s="22"/>
      <c r="Z1586" s="22"/>
      <c r="AA1586" s="22"/>
      <c r="AB1586" s="22"/>
      <c r="AC1586" s="22"/>
      <c r="AD1586" s="22"/>
      <c r="AE1586" s="22"/>
      <c r="AF1586" s="22"/>
      <c r="AG1586" s="22"/>
      <c r="AH1586" s="22"/>
      <c r="AI1586" s="22"/>
      <c r="AJ1586" s="22"/>
    </row>
    <row r="1587" spans="1:36" x14ac:dyDescent="0.25">
      <c r="A1587" s="22" t="s">
        <v>4032</v>
      </c>
      <c r="B1587" s="22">
        <v>0</v>
      </c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2"/>
      <c r="S1587" s="22"/>
      <c r="T1587" s="22"/>
      <c r="U1587" s="22"/>
      <c r="V1587" s="22"/>
      <c r="W1587" s="22"/>
      <c r="X1587" s="22"/>
      <c r="Y1587" s="22"/>
      <c r="Z1587" s="22"/>
      <c r="AA1587" s="22"/>
      <c r="AB1587" s="22"/>
      <c r="AC1587" s="22"/>
      <c r="AD1587" s="22"/>
      <c r="AE1587" s="22"/>
      <c r="AF1587" s="22"/>
      <c r="AG1587" s="22"/>
      <c r="AH1587" s="22"/>
      <c r="AI1587" s="22"/>
      <c r="AJ1587" s="22"/>
    </row>
    <row r="1588" spans="1:36" x14ac:dyDescent="0.25">
      <c r="A1588" s="22" t="s">
        <v>4033</v>
      </c>
      <c r="B1588" s="22">
        <v>0</v>
      </c>
      <c r="C1588" s="22"/>
      <c r="D1588" s="22"/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2"/>
      <c r="T1588" s="22"/>
      <c r="U1588" s="22"/>
      <c r="V1588" s="22"/>
      <c r="W1588" s="22"/>
      <c r="X1588" s="22"/>
      <c r="Y1588" s="22"/>
      <c r="Z1588" s="22"/>
      <c r="AA1588" s="22"/>
      <c r="AB1588" s="22"/>
      <c r="AC1588" s="22"/>
      <c r="AD1588" s="22"/>
      <c r="AE1588" s="22"/>
      <c r="AF1588" s="22"/>
      <c r="AG1588" s="22"/>
      <c r="AH1588" s="22"/>
      <c r="AI1588" s="22"/>
      <c r="AJ1588" s="22"/>
    </row>
    <row r="1589" spans="1:36" x14ac:dyDescent="0.25">
      <c r="A1589" s="22" t="s">
        <v>4034</v>
      </c>
      <c r="B1589" s="22">
        <v>0</v>
      </c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2"/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AG1589" s="22"/>
      <c r="AH1589" s="22"/>
      <c r="AI1589" s="22"/>
      <c r="AJ1589" s="22"/>
    </row>
    <row r="1590" spans="1:36" x14ac:dyDescent="0.25">
      <c r="A1590" s="22" t="s">
        <v>426</v>
      </c>
      <c r="B1590" s="22">
        <v>0</v>
      </c>
      <c r="C1590" s="22"/>
      <c r="D1590" s="22"/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2"/>
      <c r="T1590" s="22"/>
      <c r="U1590" s="22"/>
      <c r="V1590" s="22"/>
      <c r="W1590" s="22"/>
      <c r="X1590" s="22"/>
      <c r="Y1590" s="22"/>
      <c r="Z1590" s="22"/>
      <c r="AA1590" s="22"/>
      <c r="AB1590" s="22"/>
      <c r="AC1590" s="22"/>
      <c r="AD1590" s="22"/>
      <c r="AE1590" s="22"/>
      <c r="AF1590" s="22"/>
      <c r="AG1590" s="22"/>
      <c r="AH1590" s="22"/>
      <c r="AI1590" s="22"/>
      <c r="AJ1590" s="22"/>
    </row>
    <row r="1591" spans="1:36" x14ac:dyDescent="0.25">
      <c r="A1591" s="22" t="s">
        <v>4035</v>
      </c>
      <c r="B1591" s="22">
        <v>0</v>
      </c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2"/>
      <c r="S1591" s="22"/>
      <c r="T1591" s="22"/>
      <c r="U1591" s="22"/>
      <c r="V1591" s="22"/>
      <c r="W1591" s="22"/>
      <c r="X1591" s="22"/>
      <c r="Y1591" s="22"/>
      <c r="Z1591" s="22"/>
      <c r="AA1591" s="22"/>
      <c r="AB1591" s="22"/>
      <c r="AC1591" s="22"/>
      <c r="AD1591" s="22"/>
      <c r="AE1591" s="22"/>
      <c r="AF1591" s="22"/>
      <c r="AG1591" s="22"/>
      <c r="AH1591" s="22"/>
      <c r="AI1591" s="22"/>
      <c r="AJ1591" s="22"/>
    </row>
    <row r="1592" spans="1:36" x14ac:dyDescent="0.25">
      <c r="A1592" s="22" t="s">
        <v>4036</v>
      </c>
      <c r="B1592" s="22">
        <v>0</v>
      </c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2"/>
      <c r="T1592" s="22"/>
      <c r="U1592" s="22"/>
      <c r="V1592" s="22"/>
      <c r="W1592" s="22"/>
      <c r="X1592" s="22"/>
      <c r="Y1592" s="22"/>
      <c r="Z1592" s="22"/>
      <c r="AA1592" s="22"/>
      <c r="AB1592" s="22"/>
      <c r="AC1592" s="22"/>
      <c r="AD1592" s="22"/>
      <c r="AE1592" s="22"/>
      <c r="AF1592" s="22"/>
      <c r="AG1592" s="22"/>
      <c r="AH1592" s="22"/>
      <c r="AI1592" s="22"/>
      <c r="AJ1592" s="22"/>
    </row>
    <row r="1593" spans="1:36" x14ac:dyDescent="0.25">
      <c r="A1593" s="22" t="s">
        <v>4037</v>
      </c>
      <c r="B1593" s="22">
        <v>0</v>
      </c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2"/>
      <c r="S1593" s="22"/>
      <c r="T1593" s="22"/>
      <c r="U1593" s="22"/>
      <c r="V1593" s="22"/>
      <c r="W1593" s="22"/>
      <c r="X1593" s="22"/>
      <c r="Y1593" s="22"/>
      <c r="Z1593" s="22"/>
      <c r="AA1593" s="22"/>
      <c r="AB1593" s="22"/>
      <c r="AC1593" s="22"/>
      <c r="AD1593" s="22"/>
      <c r="AE1593" s="22"/>
      <c r="AF1593" s="22"/>
      <c r="AG1593" s="22"/>
      <c r="AH1593" s="22"/>
      <c r="AI1593" s="22"/>
      <c r="AJ1593" s="22"/>
    </row>
    <row r="1594" spans="1:36" x14ac:dyDescent="0.25">
      <c r="A1594" s="22" t="s">
        <v>4038</v>
      </c>
      <c r="B1594" s="22">
        <v>0</v>
      </c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2"/>
      <c r="T1594" s="22"/>
      <c r="U1594" s="22"/>
      <c r="V1594" s="22"/>
      <c r="W1594" s="22"/>
      <c r="X1594" s="22"/>
      <c r="Y1594" s="22"/>
      <c r="Z1594" s="22"/>
      <c r="AA1594" s="22"/>
      <c r="AB1594" s="22"/>
      <c r="AC1594" s="22"/>
      <c r="AD1594" s="22"/>
      <c r="AE1594" s="22"/>
      <c r="AF1594" s="22"/>
      <c r="AG1594" s="22"/>
      <c r="AH1594" s="22"/>
      <c r="AI1594" s="22"/>
      <c r="AJ1594" s="22"/>
    </row>
    <row r="1595" spans="1:36" x14ac:dyDescent="0.25">
      <c r="A1595" s="22" t="s">
        <v>4039</v>
      </c>
      <c r="B1595" s="22">
        <v>0</v>
      </c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2"/>
      <c r="S1595" s="22"/>
      <c r="T1595" s="22"/>
      <c r="U1595" s="22"/>
      <c r="V1595" s="22"/>
      <c r="W1595" s="22"/>
      <c r="X1595" s="22"/>
      <c r="Y1595" s="22"/>
      <c r="Z1595" s="22"/>
      <c r="AA1595" s="22"/>
      <c r="AB1595" s="22"/>
      <c r="AC1595" s="22"/>
      <c r="AD1595" s="22"/>
      <c r="AE1595" s="22"/>
      <c r="AF1595" s="22"/>
      <c r="AG1595" s="22"/>
      <c r="AH1595" s="22"/>
      <c r="AI1595" s="22"/>
      <c r="AJ1595" s="22"/>
    </row>
    <row r="1596" spans="1:36" x14ac:dyDescent="0.25">
      <c r="A1596" s="22" t="s">
        <v>4040</v>
      </c>
      <c r="B1596" s="22">
        <v>0</v>
      </c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2"/>
      <c r="T1596" s="22"/>
      <c r="U1596" s="22"/>
      <c r="V1596" s="22"/>
      <c r="W1596" s="22"/>
      <c r="X1596" s="22"/>
      <c r="Y1596" s="22"/>
      <c r="Z1596" s="22"/>
      <c r="AA1596" s="22"/>
      <c r="AB1596" s="22"/>
      <c r="AC1596" s="22"/>
      <c r="AD1596" s="22"/>
      <c r="AE1596" s="22"/>
      <c r="AF1596" s="22"/>
      <c r="AG1596" s="22"/>
      <c r="AH1596" s="22"/>
      <c r="AI1596" s="22"/>
      <c r="AJ1596" s="22"/>
    </row>
    <row r="1597" spans="1:36" x14ac:dyDescent="0.25">
      <c r="A1597" s="22" t="s">
        <v>4041</v>
      </c>
      <c r="B1597" s="22">
        <v>0</v>
      </c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2"/>
      <c r="S1597" s="22"/>
      <c r="T1597" s="22"/>
      <c r="U1597" s="22"/>
      <c r="V1597" s="22"/>
      <c r="W1597" s="22"/>
      <c r="X1597" s="22"/>
      <c r="Y1597" s="22"/>
      <c r="Z1597" s="22"/>
      <c r="AA1597" s="22"/>
      <c r="AB1597" s="22"/>
      <c r="AC1597" s="22"/>
      <c r="AD1597" s="22"/>
      <c r="AE1597" s="22"/>
      <c r="AF1597" s="22"/>
      <c r="AG1597" s="22"/>
      <c r="AH1597" s="22"/>
      <c r="AI1597" s="22"/>
      <c r="AJ1597" s="22"/>
    </row>
    <row r="1598" spans="1:36" x14ac:dyDescent="0.25">
      <c r="A1598" s="22" t="s">
        <v>428</v>
      </c>
      <c r="B1598" s="22">
        <v>302</v>
      </c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2"/>
      <c r="T1598" s="22"/>
      <c r="U1598" s="22"/>
      <c r="V1598" s="22"/>
      <c r="W1598" s="22"/>
      <c r="X1598" s="22"/>
      <c r="Y1598" s="22"/>
      <c r="Z1598" s="22"/>
      <c r="AA1598" s="22"/>
      <c r="AB1598" s="22"/>
      <c r="AC1598" s="22"/>
      <c r="AD1598" s="22"/>
      <c r="AE1598" s="22"/>
      <c r="AF1598" s="22"/>
      <c r="AG1598" s="22"/>
      <c r="AH1598" s="22"/>
      <c r="AI1598" s="22"/>
      <c r="AJ1598" s="22"/>
    </row>
    <row r="1599" spans="1:36" x14ac:dyDescent="0.25">
      <c r="A1599" s="22" t="s">
        <v>4042</v>
      </c>
      <c r="B1599" s="22">
        <v>402</v>
      </c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2"/>
      <c r="S1599" s="22"/>
      <c r="T1599" s="22"/>
      <c r="U1599" s="22"/>
      <c r="V1599" s="22"/>
      <c r="W1599" s="22"/>
      <c r="X1599" s="22"/>
      <c r="Y1599" s="22"/>
      <c r="Z1599" s="22"/>
      <c r="AA1599" s="22"/>
      <c r="AB1599" s="22"/>
      <c r="AC1599" s="22"/>
      <c r="AD1599" s="22"/>
      <c r="AE1599" s="22"/>
      <c r="AF1599" s="22"/>
      <c r="AG1599" s="22"/>
      <c r="AH1599" s="22"/>
      <c r="AI1599" s="22"/>
      <c r="AJ1599" s="22"/>
    </row>
    <row r="1600" spans="1:36" x14ac:dyDescent="0.25">
      <c r="A1600" s="22" t="s">
        <v>4043</v>
      </c>
      <c r="B1600" s="22">
        <v>0</v>
      </c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2"/>
      <c r="T1600" s="22"/>
      <c r="U1600" s="22"/>
      <c r="V1600" s="22"/>
      <c r="W1600" s="22"/>
      <c r="X1600" s="22"/>
      <c r="Y1600" s="22"/>
      <c r="Z1600" s="22"/>
      <c r="AA1600" s="22"/>
      <c r="AB1600" s="22"/>
      <c r="AC1600" s="22"/>
      <c r="AD1600" s="22"/>
      <c r="AE1600" s="22"/>
      <c r="AF1600" s="22"/>
      <c r="AG1600" s="22"/>
      <c r="AH1600" s="22"/>
      <c r="AI1600" s="22"/>
      <c r="AJ1600" s="22"/>
    </row>
    <row r="1601" spans="1:36" x14ac:dyDescent="0.25">
      <c r="A1601" s="22" t="s">
        <v>4044</v>
      </c>
      <c r="B1601" s="22">
        <v>0</v>
      </c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2"/>
      <c r="S1601" s="22"/>
      <c r="T1601" s="22"/>
      <c r="U1601" s="22"/>
      <c r="V1601" s="22"/>
      <c r="W1601" s="22"/>
      <c r="X1601" s="22"/>
      <c r="Y1601" s="22"/>
      <c r="Z1601" s="22"/>
      <c r="AA1601" s="22"/>
      <c r="AB1601" s="22"/>
      <c r="AC1601" s="22"/>
      <c r="AD1601" s="22"/>
      <c r="AE1601" s="22"/>
      <c r="AF1601" s="22"/>
      <c r="AG1601" s="22"/>
      <c r="AH1601" s="22"/>
      <c r="AI1601" s="22"/>
      <c r="AJ1601" s="22"/>
    </row>
    <row r="1602" spans="1:36" x14ac:dyDescent="0.25">
      <c r="A1602" s="22" t="s">
        <v>4045</v>
      </c>
      <c r="B1602" s="22">
        <v>2</v>
      </c>
      <c r="C1602" s="22"/>
      <c r="D1602" s="22"/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2"/>
      <c r="T1602" s="22"/>
      <c r="U1602" s="22"/>
      <c r="V1602" s="22"/>
      <c r="W1602" s="22"/>
      <c r="X1602" s="22"/>
      <c r="Y1602" s="22"/>
      <c r="Z1602" s="22"/>
      <c r="AA1602" s="22"/>
      <c r="AB1602" s="22"/>
      <c r="AC1602" s="22"/>
      <c r="AD1602" s="22"/>
      <c r="AE1602" s="22"/>
      <c r="AF1602" s="22"/>
      <c r="AG1602" s="22"/>
      <c r="AH1602" s="22"/>
      <c r="AI1602" s="22"/>
      <c r="AJ1602" s="22"/>
    </row>
    <row r="1603" spans="1:36" x14ac:dyDescent="0.25">
      <c r="A1603" s="22" t="s">
        <v>4046</v>
      </c>
      <c r="B1603" s="22">
        <v>0</v>
      </c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2"/>
      <c r="S1603" s="22"/>
      <c r="T1603" s="22"/>
      <c r="U1603" s="22"/>
      <c r="V1603" s="22"/>
      <c r="W1603" s="22"/>
      <c r="X1603" s="22"/>
      <c r="Y1603" s="22"/>
      <c r="Z1603" s="22"/>
      <c r="AA1603" s="22"/>
      <c r="AB1603" s="22"/>
      <c r="AC1603" s="22"/>
      <c r="AD1603" s="22"/>
      <c r="AE1603" s="22"/>
      <c r="AF1603" s="22"/>
      <c r="AG1603" s="22"/>
      <c r="AH1603" s="22"/>
      <c r="AI1603" s="22"/>
      <c r="AJ1603" s="22"/>
    </row>
    <row r="1604" spans="1:36" x14ac:dyDescent="0.25">
      <c r="A1604" s="22" t="s">
        <v>4047</v>
      </c>
      <c r="B1604" s="22">
        <v>0</v>
      </c>
      <c r="C1604" s="22"/>
      <c r="D1604" s="22"/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2"/>
      <c r="T1604" s="22"/>
      <c r="U1604" s="22"/>
      <c r="V1604" s="22"/>
      <c r="W1604" s="22"/>
      <c r="X1604" s="22"/>
      <c r="Y1604" s="22"/>
      <c r="Z1604" s="22"/>
      <c r="AA1604" s="22"/>
      <c r="AB1604" s="22"/>
      <c r="AC1604" s="22"/>
      <c r="AD1604" s="22"/>
      <c r="AE1604" s="22"/>
      <c r="AF1604" s="22"/>
      <c r="AG1604" s="22"/>
      <c r="AH1604" s="22"/>
      <c r="AI1604" s="22"/>
      <c r="AJ1604" s="22"/>
    </row>
    <row r="1605" spans="1:36" x14ac:dyDescent="0.25">
      <c r="A1605" s="22" t="s">
        <v>4048</v>
      </c>
      <c r="B1605" s="22">
        <v>0</v>
      </c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2"/>
      <c r="S1605" s="22"/>
      <c r="T1605" s="22"/>
      <c r="U1605" s="22"/>
      <c r="V1605" s="22"/>
      <c r="W1605" s="22"/>
      <c r="X1605" s="22"/>
      <c r="Y1605" s="22"/>
      <c r="Z1605" s="22"/>
      <c r="AA1605" s="22"/>
      <c r="AB1605" s="22"/>
      <c r="AC1605" s="22"/>
      <c r="AD1605" s="22"/>
      <c r="AE1605" s="22"/>
      <c r="AF1605" s="22"/>
      <c r="AG1605" s="22"/>
      <c r="AH1605" s="22"/>
      <c r="AI1605" s="22"/>
      <c r="AJ1605" s="22"/>
    </row>
    <row r="1606" spans="1:36" x14ac:dyDescent="0.25">
      <c r="A1606" s="22" t="s">
        <v>430</v>
      </c>
      <c r="B1606" s="22">
        <v>37</v>
      </c>
      <c r="C1606" s="22"/>
      <c r="D1606" s="22"/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2"/>
      <c r="T1606" s="22"/>
      <c r="U1606" s="22"/>
      <c r="V1606" s="22"/>
      <c r="W1606" s="22"/>
      <c r="X1606" s="22"/>
      <c r="Y1606" s="22"/>
      <c r="Z1606" s="22"/>
      <c r="AA1606" s="22"/>
      <c r="AB1606" s="22"/>
      <c r="AC1606" s="22"/>
      <c r="AD1606" s="22"/>
      <c r="AE1606" s="22"/>
      <c r="AF1606" s="22"/>
      <c r="AG1606" s="22"/>
      <c r="AH1606" s="22"/>
      <c r="AI1606" s="22"/>
      <c r="AJ1606" s="22"/>
    </row>
    <row r="1607" spans="1:36" x14ac:dyDescent="0.25">
      <c r="A1607" s="22" t="s">
        <v>4049</v>
      </c>
      <c r="B1607" s="22">
        <v>0</v>
      </c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2"/>
      <c r="S1607" s="22"/>
      <c r="T1607" s="22"/>
      <c r="U1607" s="22"/>
      <c r="V1607" s="22"/>
      <c r="W1607" s="22"/>
      <c r="X1607" s="22"/>
      <c r="Y1607" s="22"/>
      <c r="Z1607" s="22"/>
      <c r="AA1607" s="22"/>
      <c r="AB1607" s="22"/>
      <c r="AC1607" s="22"/>
      <c r="AD1607" s="22"/>
      <c r="AE1607" s="22"/>
      <c r="AF1607" s="22"/>
      <c r="AG1607" s="22"/>
      <c r="AH1607" s="22"/>
      <c r="AI1607" s="22"/>
      <c r="AJ1607" s="22"/>
    </row>
    <row r="1608" spans="1:36" x14ac:dyDescent="0.25">
      <c r="A1608" s="22" t="s">
        <v>4050</v>
      </c>
      <c r="B1608" s="22">
        <v>0</v>
      </c>
      <c r="C1608" s="22"/>
      <c r="D1608" s="22"/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  <c r="AA1608" s="22"/>
      <c r="AB1608" s="22"/>
      <c r="AC1608" s="22"/>
      <c r="AD1608" s="22"/>
      <c r="AE1608" s="22"/>
      <c r="AF1608" s="22"/>
      <c r="AG1608" s="22"/>
      <c r="AH1608" s="22"/>
      <c r="AI1608" s="22"/>
      <c r="AJ1608" s="22"/>
    </row>
    <row r="1609" spans="1:36" x14ac:dyDescent="0.25">
      <c r="A1609" s="22" t="s">
        <v>4051</v>
      </c>
      <c r="B1609" s="22">
        <v>0</v>
      </c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  <c r="AA1609" s="22"/>
      <c r="AB1609" s="22"/>
      <c r="AC1609" s="22"/>
      <c r="AD1609" s="22"/>
      <c r="AE1609" s="22"/>
      <c r="AF1609" s="22"/>
      <c r="AG1609" s="22"/>
      <c r="AH1609" s="22"/>
      <c r="AI1609" s="22"/>
      <c r="AJ1609" s="22"/>
    </row>
    <row r="1610" spans="1:36" x14ac:dyDescent="0.25">
      <c r="A1610" s="22" t="s">
        <v>4052</v>
      </c>
      <c r="B1610" s="22">
        <v>0</v>
      </c>
      <c r="C1610" s="22"/>
      <c r="D1610" s="22"/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</row>
    <row r="1611" spans="1:36" x14ac:dyDescent="0.25">
      <c r="A1611" s="22" t="s">
        <v>4053</v>
      </c>
      <c r="B1611" s="22">
        <v>0</v>
      </c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2"/>
      <c r="T1611" s="22"/>
      <c r="U1611" s="22"/>
      <c r="V1611" s="22"/>
      <c r="W1611" s="22"/>
      <c r="X1611" s="22"/>
      <c r="Y1611" s="22"/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</row>
    <row r="1612" spans="1:36" x14ac:dyDescent="0.25">
      <c r="A1612" s="22" t="s">
        <v>4054</v>
      </c>
      <c r="B1612" s="22">
        <v>0</v>
      </c>
      <c r="C1612" s="22"/>
      <c r="D1612" s="22"/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2"/>
      <c r="T1612" s="22"/>
      <c r="U1612" s="22"/>
      <c r="V1612" s="22"/>
      <c r="W1612" s="22"/>
      <c r="X1612" s="22"/>
      <c r="Y1612" s="22"/>
      <c r="Z1612" s="22"/>
      <c r="AA1612" s="22"/>
      <c r="AB1612" s="22"/>
      <c r="AC1612" s="22"/>
      <c r="AD1612" s="22"/>
      <c r="AE1612" s="22"/>
      <c r="AF1612" s="22"/>
      <c r="AG1612" s="22"/>
      <c r="AH1612" s="22"/>
      <c r="AI1612" s="22"/>
      <c r="AJ1612" s="22"/>
    </row>
    <row r="1613" spans="1:36" x14ac:dyDescent="0.25">
      <c r="A1613" s="22" t="s">
        <v>4055</v>
      </c>
      <c r="B1613" s="22">
        <v>0</v>
      </c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2"/>
      <c r="S1613" s="22"/>
      <c r="T1613" s="22"/>
      <c r="U1613" s="22"/>
      <c r="V1613" s="22"/>
      <c r="W1613" s="22"/>
      <c r="X1613" s="22"/>
      <c r="Y1613" s="22"/>
      <c r="Z1613" s="22"/>
      <c r="AA1613" s="22"/>
      <c r="AB1613" s="22"/>
      <c r="AC1613" s="22"/>
      <c r="AD1613" s="22"/>
      <c r="AE1613" s="22"/>
      <c r="AF1613" s="22"/>
      <c r="AG1613" s="22"/>
      <c r="AH1613" s="22"/>
      <c r="AI1613" s="22"/>
      <c r="AJ1613" s="22"/>
    </row>
    <row r="1614" spans="1:36" x14ac:dyDescent="0.25">
      <c r="A1614" s="22" t="s">
        <v>432</v>
      </c>
      <c r="B1614" s="22">
        <v>135</v>
      </c>
      <c r="C1614" s="22"/>
      <c r="D1614" s="22"/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2"/>
      <c r="T1614" s="22"/>
      <c r="U1614" s="22"/>
      <c r="V1614" s="22"/>
      <c r="W1614" s="22"/>
      <c r="X1614" s="22"/>
      <c r="Y1614" s="22"/>
      <c r="Z1614" s="22"/>
      <c r="AA1614" s="22"/>
      <c r="AB1614" s="22"/>
      <c r="AC1614" s="22"/>
      <c r="AD1614" s="22"/>
      <c r="AE1614" s="22"/>
      <c r="AF1614" s="22"/>
      <c r="AG1614" s="22"/>
      <c r="AH1614" s="22"/>
      <c r="AI1614" s="22"/>
      <c r="AJ1614" s="22"/>
    </row>
    <row r="1615" spans="1:36" x14ac:dyDescent="0.25">
      <c r="A1615" s="22" t="s">
        <v>4056</v>
      </c>
      <c r="B1615" s="22">
        <v>0</v>
      </c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2"/>
      <c r="S1615" s="22"/>
      <c r="T1615" s="22"/>
      <c r="U1615" s="22"/>
      <c r="V1615" s="22"/>
      <c r="W1615" s="22"/>
      <c r="X1615" s="22"/>
      <c r="Y1615" s="22"/>
      <c r="Z1615" s="22"/>
      <c r="AA1615" s="22"/>
      <c r="AB1615" s="22"/>
      <c r="AC1615" s="22"/>
      <c r="AD1615" s="22"/>
      <c r="AE1615" s="22"/>
      <c r="AF1615" s="22"/>
      <c r="AG1615" s="22"/>
      <c r="AH1615" s="22"/>
      <c r="AI1615" s="22"/>
      <c r="AJ1615" s="22"/>
    </row>
    <row r="1616" spans="1:36" x14ac:dyDescent="0.25">
      <c r="A1616" s="22" t="s">
        <v>4057</v>
      </c>
      <c r="B1616" s="22">
        <v>0</v>
      </c>
      <c r="C1616" s="22"/>
      <c r="D1616" s="22"/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2"/>
      <c r="T1616" s="22"/>
      <c r="U1616" s="22"/>
      <c r="V1616" s="22"/>
      <c r="W1616" s="22"/>
      <c r="X1616" s="22"/>
      <c r="Y1616" s="22"/>
      <c r="Z1616" s="22"/>
      <c r="AA1616" s="22"/>
      <c r="AB1616" s="22"/>
      <c r="AC1616" s="22"/>
      <c r="AD1616" s="22"/>
      <c r="AE1616" s="22"/>
      <c r="AF1616" s="22"/>
      <c r="AG1616" s="22"/>
      <c r="AH1616" s="22"/>
      <c r="AI1616" s="22"/>
      <c r="AJ1616" s="22"/>
    </row>
    <row r="1617" spans="1:36" x14ac:dyDescent="0.25">
      <c r="A1617" s="22" t="s">
        <v>4058</v>
      </c>
      <c r="B1617" s="22">
        <v>0</v>
      </c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  <c r="AF1617" s="22"/>
      <c r="AG1617" s="22"/>
      <c r="AH1617" s="22"/>
      <c r="AI1617" s="22"/>
      <c r="AJ1617" s="22"/>
    </row>
    <row r="1618" spans="1:36" x14ac:dyDescent="0.25">
      <c r="A1618" s="22" t="s">
        <v>4059</v>
      </c>
      <c r="B1618" s="22">
        <v>4</v>
      </c>
      <c r="C1618" s="22"/>
      <c r="D1618" s="22"/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  <c r="AA1618" s="22"/>
      <c r="AB1618" s="22"/>
      <c r="AC1618" s="22"/>
      <c r="AD1618" s="22"/>
      <c r="AE1618" s="22"/>
      <c r="AF1618" s="22"/>
      <c r="AG1618" s="22"/>
      <c r="AH1618" s="22"/>
      <c r="AI1618" s="22"/>
      <c r="AJ1618" s="22"/>
    </row>
    <row r="1619" spans="1:36" x14ac:dyDescent="0.25">
      <c r="A1619" s="22" t="s">
        <v>4060</v>
      </c>
      <c r="B1619" s="22">
        <v>0</v>
      </c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  <c r="AA1619" s="22"/>
      <c r="AB1619" s="22"/>
      <c r="AC1619" s="22"/>
      <c r="AD1619" s="22"/>
      <c r="AE1619" s="22"/>
      <c r="AF1619" s="22"/>
      <c r="AG1619" s="22"/>
      <c r="AH1619" s="22"/>
      <c r="AI1619" s="22"/>
      <c r="AJ1619" s="22"/>
    </row>
    <row r="1620" spans="1:36" x14ac:dyDescent="0.25">
      <c r="A1620" s="22" t="s">
        <v>4061</v>
      </c>
      <c r="B1620" s="22">
        <v>0</v>
      </c>
      <c r="C1620" s="22"/>
      <c r="D1620" s="22"/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2"/>
      <c r="T1620" s="22"/>
      <c r="U1620" s="22"/>
      <c r="V1620" s="22"/>
      <c r="W1620" s="22"/>
      <c r="X1620" s="22"/>
      <c r="Y1620" s="22"/>
      <c r="Z1620" s="22"/>
      <c r="AA1620" s="22"/>
      <c r="AB1620" s="22"/>
      <c r="AC1620" s="22"/>
      <c r="AD1620" s="22"/>
      <c r="AE1620" s="22"/>
      <c r="AF1620" s="22"/>
      <c r="AG1620" s="22"/>
      <c r="AH1620" s="22"/>
      <c r="AI1620" s="22"/>
      <c r="AJ1620" s="22"/>
    </row>
    <row r="1621" spans="1:36" x14ac:dyDescent="0.25">
      <c r="A1621" s="22" t="s">
        <v>4062</v>
      </c>
      <c r="B1621" s="22">
        <v>0</v>
      </c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2"/>
      <c r="S1621" s="22"/>
      <c r="T1621" s="22"/>
      <c r="U1621" s="22"/>
      <c r="V1621" s="22"/>
      <c r="W1621" s="22"/>
      <c r="X1621" s="22"/>
      <c r="Y1621" s="22"/>
      <c r="Z1621" s="22"/>
      <c r="AA1621" s="22"/>
      <c r="AB1621" s="22"/>
      <c r="AC1621" s="22"/>
      <c r="AD1621" s="22"/>
      <c r="AE1621" s="22"/>
      <c r="AF1621" s="22"/>
      <c r="AG1621" s="22"/>
      <c r="AH1621" s="22"/>
      <c r="AI1621" s="22"/>
      <c r="AJ1621" s="22"/>
    </row>
    <row r="1622" spans="1:36" x14ac:dyDescent="0.25">
      <c r="A1622" s="22" t="s">
        <v>434</v>
      </c>
      <c r="B1622" s="22">
        <v>783</v>
      </c>
      <c r="C1622" s="22"/>
      <c r="D1622" s="22"/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2"/>
      <c r="T1622" s="22"/>
      <c r="U1622" s="22"/>
      <c r="V1622" s="22"/>
      <c r="W1622" s="22"/>
      <c r="X1622" s="22"/>
      <c r="Y1622" s="22"/>
      <c r="Z1622" s="22"/>
      <c r="AA1622" s="22"/>
      <c r="AB1622" s="22"/>
      <c r="AC1622" s="22"/>
      <c r="AD1622" s="22"/>
      <c r="AE1622" s="22"/>
      <c r="AF1622" s="22"/>
      <c r="AG1622" s="22"/>
      <c r="AH1622" s="22"/>
      <c r="AI1622" s="22"/>
      <c r="AJ1622" s="22"/>
    </row>
    <row r="1623" spans="1:36" x14ac:dyDescent="0.25">
      <c r="A1623" s="22" t="s">
        <v>4063</v>
      </c>
      <c r="B1623" s="22">
        <v>601</v>
      </c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2"/>
      <c r="T1623" s="22"/>
      <c r="U1623" s="22"/>
      <c r="V1623" s="22"/>
      <c r="W1623" s="22"/>
      <c r="X1623" s="22"/>
      <c r="Y1623" s="22"/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</row>
    <row r="1624" spans="1:36" x14ac:dyDescent="0.25">
      <c r="A1624" s="22" t="s">
        <v>4064</v>
      </c>
      <c r="B1624" s="22">
        <v>1057</v>
      </c>
      <c r="C1624" s="22"/>
      <c r="D1624" s="22"/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  <c r="X1624" s="22"/>
      <c r="Y1624" s="22"/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</row>
    <row r="1625" spans="1:36" x14ac:dyDescent="0.25">
      <c r="A1625" s="22" t="s">
        <v>4065</v>
      </c>
      <c r="B1625" s="22">
        <v>0</v>
      </c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2"/>
      <c r="T1625" s="22"/>
      <c r="U1625" s="22"/>
      <c r="V1625" s="22"/>
      <c r="W1625" s="22"/>
      <c r="X1625" s="22"/>
      <c r="Y1625" s="22"/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</row>
    <row r="1626" spans="1:36" x14ac:dyDescent="0.25">
      <c r="A1626" s="22" t="s">
        <v>4066</v>
      </c>
      <c r="B1626" s="22">
        <v>6</v>
      </c>
      <c r="C1626" s="22"/>
      <c r="D1626" s="22"/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  <c r="AF1626" s="22"/>
      <c r="AG1626" s="22"/>
      <c r="AH1626" s="22"/>
      <c r="AI1626" s="22"/>
      <c r="AJ1626" s="22"/>
    </row>
    <row r="1627" spans="1:36" x14ac:dyDescent="0.25">
      <c r="A1627" s="22" t="s">
        <v>4067</v>
      </c>
      <c r="B1627" s="22">
        <v>0</v>
      </c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  <c r="AF1627" s="22"/>
      <c r="AG1627" s="22"/>
      <c r="AH1627" s="22"/>
      <c r="AI1627" s="22"/>
      <c r="AJ1627" s="22"/>
    </row>
    <row r="1628" spans="1:36" x14ac:dyDescent="0.25">
      <c r="A1628" s="22" t="s">
        <v>4068</v>
      </c>
      <c r="B1628" s="22">
        <v>0</v>
      </c>
      <c r="C1628" s="22"/>
      <c r="D1628" s="22"/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  <c r="AF1628" s="22"/>
      <c r="AG1628" s="22"/>
      <c r="AH1628" s="22"/>
      <c r="AI1628" s="22"/>
      <c r="AJ1628" s="22"/>
    </row>
    <row r="1629" spans="1:36" x14ac:dyDescent="0.25">
      <c r="A1629" s="22" t="s">
        <v>4069</v>
      </c>
      <c r="B1629" s="22">
        <v>0</v>
      </c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2"/>
      <c r="S1629" s="22"/>
      <c r="T1629" s="22"/>
      <c r="U1629" s="22"/>
      <c r="V1629" s="22"/>
      <c r="W1629" s="22"/>
      <c r="X1629" s="22"/>
      <c r="Y1629" s="22"/>
      <c r="Z1629" s="22"/>
      <c r="AA1629" s="22"/>
      <c r="AB1629" s="22"/>
      <c r="AC1629" s="22"/>
      <c r="AD1629" s="22"/>
      <c r="AE1629" s="22"/>
      <c r="AF1629" s="22"/>
      <c r="AG1629" s="22"/>
      <c r="AH1629" s="22"/>
      <c r="AI1629" s="22"/>
      <c r="AJ1629" s="22"/>
    </row>
    <row r="1630" spans="1:36" x14ac:dyDescent="0.25">
      <c r="A1630" s="22" t="s">
        <v>435</v>
      </c>
      <c r="B1630" s="22">
        <v>0</v>
      </c>
      <c r="C1630" s="22"/>
      <c r="D1630" s="22"/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2"/>
      <c r="T1630" s="22"/>
      <c r="U1630" s="22"/>
      <c r="V1630" s="22"/>
      <c r="W1630" s="22"/>
      <c r="X1630" s="22"/>
      <c r="Y1630" s="22"/>
      <c r="Z1630" s="22"/>
      <c r="AA1630" s="22"/>
      <c r="AB1630" s="22"/>
      <c r="AC1630" s="22"/>
      <c r="AD1630" s="22"/>
      <c r="AE1630" s="22"/>
      <c r="AF1630" s="22"/>
      <c r="AG1630" s="22"/>
      <c r="AH1630" s="22"/>
      <c r="AI1630" s="22"/>
      <c r="AJ1630" s="22"/>
    </row>
    <row r="1631" spans="1:36" x14ac:dyDescent="0.25">
      <c r="A1631" s="22" t="s">
        <v>4070</v>
      </c>
      <c r="B1631" s="22">
        <v>0</v>
      </c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2"/>
      <c r="S1631" s="22"/>
      <c r="T1631" s="22"/>
      <c r="U1631" s="22"/>
      <c r="V1631" s="22"/>
      <c r="W1631" s="22"/>
      <c r="X1631" s="22"/>
      <c r="Y1631" s="22"/>
      <c r="Z1631" s="22"/>
      <c r="AA1631" s="22"/>
      <c r="AB1631" s="22"/>
      <c r="AC1631" s="22"/>
      <c r="AD1631" s="22"/>
      <c r="AE1631" s="22"/>
      <c r="AF1631" s="22"/>
      <c r="AG1631" s="22"/>
      <c r="AH1631" s="22"/>
      <c r="AI1631" s="22"/>
      <c r="AJ1631" s="22"/>
    </row>
    <row r="1632" spans="1:36" x14ac:dyDescent="0.25">
      <c r="A1632" s="22" t="s">
        <v>4071</v>
      </c>
      <c r="B1632" s="22">
        <v>0</v>
      </c>
      <c r="C1632" s="22"/>
      <c r="D1632" s="22"/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2"/>
      <c r="T1632" s="22"/>
      <c r="U1632" s="22"/>
      <c r="V1632" s="22"/>
      <c r="W1632" s="22"/>
      <c r="X1632" s="22"/>
      <c r="Y1632" s="22"/>
      <c r="Z1632" s="22"/>
      <c r="AA1632" s="22"/>
      <c r="AB1632" s="22"/>
      <c r="AC1632" s="22"/>
      <c r="AD1632" s="22"/>
      <c r="AE1632" s="22"/>
      <c r="AF1632" s="22"/>
      <c r="AG1632" s="22"/>
      <c r="AH1632" s="22"/>
      <c r="AI1632" s="22"/>
      <c r="AJ1632" s="22"/>
    </row>
    <row r="1633" spans="1:36" x14ac:dyDescent="0.25">
      <c r="A1633" s="22" t="s">
        <v>4072</v>
      </c>
      <c r="B1633" s="22">
        <v>0</v>
      </c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2"/>
      <c r="S1633" s="22"/>
      <c r="T1633" s="22"/>
      <c r="U1633" s="22"/>
      <c r="V1633" s="22"/>
      <c r="W1633" s="22"/>
      <c r="X1633" s="22"/>
      <c r="Y1633" s="22"/>
      <c r="Z1633" s="22"/>
      <c r="AA1633" s="22"/>
      <c r="AB1633" s="22"/>
      <c r="AC1633" s="22"/>
      <c r="AD1633" s="22"/>
      <c r="AE1633" s="22"/>
      <c r="AF1633" s="22"/>
      <c r="AG1633" s="22"/>
      <c r="AH1633" s="22"/>
      <c r="AI1633" s="22"/>
      <c r="AJ1633" s="22"/>
    </row>
    <row r="1634" spans="1:36" x14ac:dyDescent="0.25">
      <c r="A1634" s="22" t="s">
        <v>4073</v>
      </c>
      <c r="B1634" s="22">
        <v>0</v>
      </c>
      <c r="C1634" s="22"/>
      <c r="D1634" s="22"/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2"/>
      <c r="T1634" s="22"/>
      <c r="U1634" s="22"/>
      <c r="V1634" s="22"/>
      <c r="W1634" s="22"/>
      <c r="X1634" s="22"/>
      <c r="Y1634" s="22"/>
      <c r="Z1634" s="22"/>
      <c r="AA1634" s="22"/>
      <c r="AB1634" s="22"/>
      <c r="AC1634" s="22"/>
      <c r="AD1634" s="22"/>
      <c r="AE1634" s="22"/>
      <c r="AF1634" s="22"/>
      <c r="AG1634" s="22"/>
      <c r="AH1634" s="22"/>
      <c r="AI1634" s="22"/>
      <c r="AJ1634" s="22"/>
    </row>
    <row r="1635" spans="1:36" x14ac:dyDescent="0.25">
      <c r="A1635" s="22" t="s">
        <v>4074</v>
      </c>
      <c r="B1635" s="22">
        <v>0</v>
      </c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2"/>
      <c r="S1635" s="22"/>
      <c r="T1635" s="22"/>
      <c r="U1635" s="22"/>
      <c r="V1635" s="22"/>
      <c r="W1635" s="22"/>
      <c r="X1635" s="22"/>
      <c r="Y1635" s="22"/>
      <c r="Z1635" s="22"/>
      <c r="AA1635" s="22"/>
      <c r="AB1635" s="22"/>
      <c r="AC1635" s="22"/>
      <c r="AD1635" s="22"/>
      <c r="AE1635" s="22"/>
      <c r="AF1635" s="22"/>
      <c r="AG1635" s="22"/>
      <c r="AH1635" s="22"/>
      <c r="AI1635" s="22"/>
      <c r="AJ1635" s="22"/>
    </row>
    <row r="1636" spans="1:36" x14ac:dyDescent="0.25">
      <c r="A1636" s="22" t="s">
        <v>4075</v>
      </c>
      <c r="B1636" s="22">
        <v>0</v>
      </c>
      <c r="C1636" s="22"/>
      <c r="D1636" s="22"/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2"/>
      <c r="T1636" s="22"/>
      <c r="U1636" s="22"/>
      <c r="V1636" s="22"/>
      <c r="W1636" s="22"/>
      <c r="X1636" s="22"/>
      <c r="Y1636" s="22"/>
      <c r="Z1636" s="22"/>
      <c r="AA1636" s="22"/>
      <c r="AB1636" s="22"/>
      <c r="AC1636" s="22"/>
      <c r="AD1636" s="22"/>
      <c r="AE1636" s="22"/>
      <c r="AF1636" s="22"/>
      <c r="AG1636" s="22"/>
      <c r="AH1636" s="22"/>
      <c r="AI1636" s="22"/>
      <c r="AJ1636" s="22"/>
    </row>
    <row r="1637" spans="1:36" x14ac:dyDescent="0.25">
      <c r="A1637" s="22" t="s">
        <v>4076</v>
      </c>
      <c r="B1637" s="22">
        <v>0</v>
      </c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2"/>
      <c r="S1637" s="22"/>
      <c r="T1637" s="22"/>
      <c r="U1637" s="22"/>
      <c r="V1637" s="22"/>
      <c r="W1637" s="22"/>
      <c r="X1637" s="22"/>
      <c r="Y1637" s="22"/>
      <c r="Z1637" s="22"/>
      <c r="AA1637" s="22"/>
      <c r="AB1637" s="22"/>
      <c r="AC1637" s="22"/>
      <c r="AD1637" s="22"/>
      <c r="AE1637" s="22"/>
      <c r="AF1637" s="22"/>
      <c r="AG1637" s="22"/>
      <c r="AH1637" s="22"/>
      <c r="AI1637" s="22"/>
      <c r="AJ1637" s="22"/>
    </row>
    <row r="1638" spans="1:36" x14ac:dyDescent="0.25">
      <c r="A1638" s="22" t="s">
        <v>437</v>
      </c>
      <c r="B1638" s="22">
        <v>4</v>
      </c>
      <c r="C1638" s="22"/>
      <c r="D1638" s="22"/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2"/>
      <c r="T1638" s="22"/>
      <c r="U1638" s="22"/>
      <c r="V1638" s="22"/>
      <c r="W1638" s="22"/>
      <c r="X1638" s="22"/>
      <c r="Y1638" s="22"/>
      <c r="Z1638" s="22"/>
      <c r="AA1638" s="22"/>
      <c r="AB1638" s="22"/>
      <c r="AC1638" s="22"/>
      <c r="AD1638" s="22"/>
      <c r="AE1638" s="22"/>
      <c r="AF1638" s="22"/>
      <c r="AG1638" s="22"/>
      <c r="AH1638" s="22"/>
      <c r="AI1638" s="22"/>
      <c r="AJ1638" s="22"/>
    </row>
    <row r="1639" spans="1:36" x14ac:dyDescent="0.25">
      <c r="A1639" s="22" t="s">
        <v>4077</v>
      </c>
      <c r="B1639" s="22">
        <v>0</v>
      </c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2"/>
      <c r="S1639" s="22"/>
      <c r="T1639" s="22"/>
      <c r="U1639" s="22"/>
      <c r="V1639" s="22"/>
      <c r="W1639" s="22"/>
      <c r="X1639" s="22"/>
      <c r="Y1639" s="22"/>
      <c r="Z1639" s="22"/>
      <c r="AA1639" s="22"/>
      <c r="AB1639" s="22"/>
      <c r="AC1639" s="22"/>
      <c r="AD1639" s="22"/>
      <c r="AE1639" s="22"/>
      <c r="AF1639" s="22"/>
      <c r="AG1639" s="22"/>
      <c r="AH1639" s="22"/>
      <c r="AI1639" s="22"/>
      <c r="AJ1639" s="22"/>
    </row>
    <row r="1640" spans="1:36" x14ac:dyDescent="0.25">
      <c r="A1640" s="22" t="s">
        <v>4078</v>
      </c>
      <c r="B1640" s="22">
        <v>0</v>
      </c>
      <c r="C1640" s="22"/>
      <c r="D1640" s="22"/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2"/>
      <c r="T1640" s="22"/>
      <c r="U1640" s="22"/>
      <c r="V1640" s="22"/>
      <c r="W1640" s="22"/>
      <c r="X1640" s="22"/>
      <c r="Y1640" s="22"/>
      <c r="Z1640" s="22"/>
      <c r="AA1640" s="22"/>
      <c r="AB1640" s="22"/>
      <c r="AC1640" s="22"/>
      <c r="AD1640" s="22"/>
      <c r="AE1640" s="22"/>
      <c r="AF1640" s="22"/>
      <c r="AG1640" s="22"/>
      <c r="AH1640" s="22"/>
      <c r="AI1640" s="22"/>
      <c r="AJ1640" s="22"/>
    </row>
    <row r="1641" spans="1:36" x14ac:dyDescent="0.25">
      <c r="A1641" s="22" t="s">
        <v>4079</v>
      </c>
      <c r="B1641" s="22">
        <v>0</v>
      </c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2"/>
      <c r="S1641" s="22"/>
      <c r="T1641" s="22"/>
      <c r="U1641" s="22"/>
      <c r="V1641" s="22"/>
      <c r="W1641" s="22"/>
      <c r="X1641" s="22"/>
      <c r="Y1641" s="22"/>
      <c r="Z1641" s="22"/>
      <c r="AA1641" s="22"/>
      <c r="AB1641" s="22"/>
      <c r="AC1641" s="22"/>
      <c r="AD1641" s="22"/>
      <c r="AE1641" s="22"/>
      <c r="AF1641" s="22"/>
      <c r="AG1641" s="22"/>
      <c r="AH1641" s="22"/>
      <c r="AI1641" s="22"/>
      <c r="AJ1641" s="22"/>
    </row>
    <row r="1642" spans="1:36" x14ac:dyDescent="0.25">
      <c r="A1642" s="22" t="s">
        <v>4080</v>
      </c>
      <c r="B1642" s="22">
        <v>0</v>
      </c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2"/>
      <c r="T1642" s="22"/>
      <c r="U1642" s="22"/>
      <c r="V1642" s="22"/>
      <c r="W1642" s="22"/>
      <c r="X1642" s="22"/>
      <c r="Y1642" s="22"/>
      <c r="Z1642" s="22"/>
      <c r="AA1642" s="22"/>
      <c r="AB1642" s="22"/>
      <c r="AC1642" s="22"/>
      <c r="AD1642" s="22"/>
      <c r="AE1642" s="22"/>
      <c r="AF1642" s="22"/>
      <c r="AG1642" s="22"/>
      <c r="AH1642" s="22"/>
      <c r="AI1642" s="22"/>
      <c r="AJ1642" s="22"/>
    </row>
    <row r="1643" spans="1:36" x14ac:dyDescent="0.25">
      <c r="A1643" s="22" t="s">
        <v>4081</v>
      </c>
      <c r="B1643" s="22">
        <v>0</v>
      </c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2"/>
      <c r="S1643" s="22"/>
      <c r="T1643" s="22"/>
      <c r="U1643" s="22"/>
      <c r="V1643" s="22"/>
      <c r="W1643" s="22"/>
      <c r="X1643" s="22"/>
      <c r="Y1643" s="22"/>
      <c r="Z1643" s="22"/>
      <c r="AA1643" s="22"/>
      <c r="AB1643" s="22"/>
      <c r="AC1643" s="22"/>
      <c r="AD1643" s="22"/>
      <c r="AE1643" s="22"/>
      <c r="AF1643" s="22"/>
      <c r="AG1643" s="22"/>
      <c r="AH1643" s="22"/>
      <c r="AI1643" s="22"/>
      <c r="AJ1643" s="22"/>
    </row>
    <row r="1644" spans="1:36" x14ac:dyDescent="0.25">
      <c r="A1644" s="22" t="s">
        <v>4082</v>
      </c>
      <c r="B1644" s="22">
        <v>0</v>
      </c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2"/>
      <c r="T1644" s="22"/>
      <c r="U1644" s="22"/>
      <c r="V1644" s="22"/>
      <c r="W1644" s="22"/>
      <c r="X1644" s="22"/>
      <c r="Y1644" s="22"/>
      <c r="Z1644" s="22"/>
      <c r="AA1644" s="22"/>
      <c r="AB1644" s="22"/>
      <c r="AC1644" s="22"/>
      <c r="AD1644" s="22"/>
      <c r="AE1644" s="22"/>
      <c r="AF1644" s="22"/>
      <c r="AG1644" s="22"/>
      <c r="AH1644" s="22"/>
      <c r="AI1644" s="22"/>
      <c r="AJ1644" s="22"/>
    </row>
    <row r="1645" spans="1:36" x14ac:dyDescent="0.25">
      <c r="A1645" s="22" t="s">
        <v>4083</v>
      </c>
      <c r="B1645" s="22">
        <v>0</v>
      </c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2"/>
      <c r="S1645" s="22"/>
      <c r="T1645" s="22"/>
      <c r="U1645" s="22"/>
      <c r="V1645" s="22"/>
      <c r="W1645" s="22"/>
      <c r="X1645" s="22"/>
      <c r="Y1645" s="22"/>
      <c r="Z1645" s="22"/>
      <c r="AA1645" s="22"/>
      <c r="AB1645" s="22"/>
      <c r="AC1645" s="22"/>
      <c r="AD1645" s="22"/>
      <c r="AE1645" s="22"/>
      <c r="AF1645" s="22"/>
      <c r="AG1645" s="22"/>
      <c r="AH1645" s="22"/>
      <c r="AI1645" s="22"/>
      <c r="AJ1645" s="22"/>
    </row>
    <row r="1646" spans="1:36" x14ac:dyDescent="0.25">
      <c r="A1646" s="22" t="s">
        <v>448</v>
      </c>
      <c r="B1646" s="22">
        <v>0</v>
      </c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2"/>
      <c r="T1646" s="22"/>
      <c r="U1646" s="22"/>
      <c r="V1646" s="22"/>
      <c r="W1646" s="22"/>
      <c r="X1646" s="22"/>
      <c r="Y1646" s="22"/>
      <c r="Z1646" s="22"/>
      <c r="AA1646" s="22"/>
      <c r="AB1646" s="22"/>
      <c r="AC1646" s="22"/>
      <c r="AD1646" s="22"/>
      <c r="AE1646" s="22"/>
      <c r="AF1646" s="22"/>
      <c r="AG1646" s="22"/>
      <c r="AH1646" s="22"/>
      <c r="AI1646" s="22"/>
      <c r="AJ1646" s="22"/>
    </row>
    <row r="1647" spans="1:36" x14ac:dyDescent="0.25">
      <c r="A1647" s="22" t="s">
        <v>3298</v>
      </c>
      <c r="B1647" s="22">
        <v>0</v>
      </c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2"/>
      <c r="S1647" s="22"/>
      <c r="T1647" s="22"/>
      <c r="U1647" s="22"/>
      <c r="V1647" s="22"/>
      <c r="W1647" s="22"/>
      <c r="X1647" s="22"/>
      <c r="Y1647" s="22"/>
      <c r="Z1647" s="22"/>
      <c r="AA1647" s="22"/>
      <c r="AB1647" s="22"/>
      <c r="AC1647" s="22"/>
      <c r="AD1647" s="22"/>
      <c r="AE1647" s="22"/>
      <c r="AF1647" s="22"/>
      <c r="AG1647" s="22"/>
      <c r="AH1647" s="22"/>
      <c r="AI1647" s="22"/>
      <c r="AJ1647" s="22"/>
    </row>
    <row r="1648" spans="1:36" x14ac:dyDescent="0.25">
      <c r="A1648" s="22" t="s">
        <v>3299</v>
      </c>
      <c r="B1648" s="22">
        <v>0</v>
      </c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2"/>
      <c r="T1648" s="22"/>
      <c r="U1648" s="22"/>
      <c r="V1648" s="22"/>
      <c r="W1648" s="22"/>
      <c r="X1648" s="22"/>
      <c r="Y1648" s="22"/>
      <c r="Z1648" s="22"/>
      <c r="AA1648" s="22"/>
      <c r="AB1648" s="22"/>
      <c r="AC1648" s="22"/>
      <c r="AD1648" s="22"/>
      <c r="AE1648" s="22"/>
      <c r="AF1648" s="22"/>
      <c r="AG1648" s="22"/>
      <c r="AH1648" s="22"/>
      <c r="AI1648" s="22"/>
      <c r="AJ1648" s="22"/>
    </row>
    <row r="1649" spans="1:36" x14ac:dyDescent="0.25">
      <c r="A1649" s="22" t="s">
        <v>3300</v>
      </c>
      <c r="B1649" s="22">
        <v>0</v>
      </c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2"/>
      <c r="S1649" s="22"/>
      <c r="T1649" s="22"/>
      <c r="U1649" s="22"/>
      <c r="V1649" s="22"/>
      <c r="W1649" s="22"/>
      <c r="X1649" s="22"/>
      <c r="Y1649" s="22"/>
      <c r="Z1649" s="22"/>
      <c r="AA1649" s="22"/>
      <c r="AB1649" s="22"/>
      <c r="AC1649" s="22"/>
      <c r="AD1649" s="22"/>
      <c r="AE1649" s="22"/>
      <c r="AF1649" s="22"/>
      <c r="AG1649" s="22"/>
      <c r="AH1649" s="22"/>
      <c r="AI1649" s="22"/>
      <c r="AJ1649" s="22"/>
    </row>
    <row r="1650" spans="1:36" x14ac:dyDescent="0.25">
      <c r="A1650" s="22" t="s">
        <v>3301</v>
      </c>
      <c r="B1650" s="22">
        <v>0</v>
      </c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2"/>
      <c r="T1650" s="22"/>
      <c r="U1650" s="22"/>
      <c r="V1650" s="22"/>
      <c r="W1650" s="22"/>
      <c r="X1650" s="22"/>
      <c r="Y1650" s="22"/>
      <c r="Z1650" s="22"/>
      <c r="AA1650" s="22"/>
      <c r="AB1650" s="22"/>
      <c r="AC1650" s="22"/>
      <c r="AD1650" s="22"/>
      <c r="AE1650" s="22"/>
      <c r="AF1650" s="22"/>
      <c r="AG1650" s="22"/>
      <c r="AH1650" s="22"/>
      <c r="AI1650" s="22"/>
      <c r="AJ1650" s="22"/>
    </row>
    <row r="1651" spans="1:36" x14ac:dyDescent="0.25">
      <c r="A1651" s="22" t="s">
        <v>3302</v>
      </c>
      <c r="B1651" s="22">
        <v>0</v>
      </c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2"/>
      <c r="S1651" s="22"/>
      <c r="T1651" s="22"/>
      <c r="U1651" s="22"/>
      <c r="V1651" s="22"/>
      <c r="W1651" s="22"/>
      <c r="X1651" s="22"/>
      <c r="Y1651" s="22"/>
      <c r="Z1651" s="22"/>
      <c r="AA1651" s="22"/>
      <c r="AB1651" s="22"/>
      <c r="AC1651" s="22"/>
      <c r="AD1651" s="22"/>
      <c r="AE1651" s="22"/>
      <c r="AF1651" s="22"/>
      <c r="AG1651" s="22"/>
      <c r="AH1651" s="22"/>
      <c r="AI1651" s="22"/>
      <c r="AJ1651" s="22"/>
    </row>
    <row r="1652" spans="1:36" x14ac:dyDescent="0.25">
      <c r="A1652" s="22" t="s">
        <v>3303</v>
      </c>
      <c r="B1652" s="22">
        <v>0</v>
      </c>
      <c r="C1652" s="22"/>
      <c r="D1652" s="22"/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2"/>
      <c r="T1652" s="22"/>
      <c r="U1652" s="22"/>
      <c r="V1652" s="22"/>
      <c r="W1652" s="22"/>
      <c r="X1652" s="22"/>
      <c r="Y1652" s="22"/>
      <c r="Z1652" s="22"/>
      <c r="AA1652" s="22"/>
      <c r="AB1652" s="22"/>
      <c r="AC1652" s="22"/>
      <c r="AD1652" s="22"/>
      <c r="AE1652" s="22"/>
      <c r="AF1652" s="22"/>
      <c r="AG1652" s="22"/>
      <c r="AH1652" s="22"/>
      <c r="AI1652" s="22"/>
      <c r="AJ1652" s="22"/>
    </row>
    <row r="1653" spans="1:36" x14ac:dyDescent="0.25">
      <c r="A1653" s="22" t="s">
        <v>3304</v>
      </c>
      <c r="B1653" s="22">
        <v>0</v>
      </c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2"/>
      <c r="S1653" s="22"/>
      <c r="T1653" s="22"/>
      <c r="U1653" s="22"/>
      <c r="V1653" s="22"/>
      <c r="W1653" s="22"/>
      <c r="X1653" s="22"/>
      <c r="Y1653" s="22"/>
      <c r="Z1653" s="22"/>
      <c r="AA1653" s="22"/>
      <c r="AB1653" s="22"/>
      <c r="AC1653" s="22"/>
      <c r="AD1653" s="22"/>
      <c r="AE1653" s="22"/>
      <c r="AF1653" s="22"/>
      <c r="AG1653" s="22"/>
      <c r="AH1653" s="22"/>
      <c r="AI1653" s="22"/>
      <c r="AJ1653" s="22"/>
    </row>
    <row r="1654" spans="1:36" x14ac:dyDescent="0.25">
      <c r="A1654" s="22" t="s">
        <v>4084</v>
      </c>
      <c r="B1654" s="22">
        <v>6</v>
      </c>
      <c r="C1654" s="22"/>
      <c r="D1654" s="22"/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2"/>
      <c r="T1654" s="22"/>
      <c r="U1654" s="22"/>
      <c r="V1654" s="22"/>
      <c r="W1654" s="22"/>
      <c r="X1654" s="22"/>
      <c r="Y1654" s="22"/>
      <c r="Z1654" s="22"/>
      <c r="AA1654" s="22"/>
      <c r="AB1654" s="22"/>
      <c r="AC1654" s="22"/>
      <c r="AD1654" s="22"/>
      <c r="AE1654" s="22"/>
      <c r="AF1654" s="22"/>
      <c r="AG1654" s="22"/>
      <c r="AH1654" s="22"/>
      <c r="AI1654" s="22"/>
      <c r="AJ1654" s="22"/>
    </row>
    <row r="1655" spans="1:36" x14ac:dyDescent="0.25">
      <c r="A1655" s="22" t="s">
        <v>4085</v>
      </c>
      <c r="B1655" s="22">
        <v>0</v>
      </c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2"/>
      <c r="S1655" s="22"/>
      <c r="T1655" s="22"/>
      <c r="U1655" s="22"/>
      <c r="V1655" s="22"/>
      <c r="W1655" s="22"/>
      <c r="X1655" s="22"/>
      <c r="Y1655" s="22"/>
      <c r="Z1655" s="22"/>
      <c r="AA1655" s="22"/>
      <c r="AB1655" s="22"/>
      <c r="AC1655" s="22"/>
      <c r="AD1655" s="22"/>
      <c r="AE1655" s="22"/>
      <c r="AF1655" s="22"/>
      <c r="AG1655" s="22"/>
      <c r="AH1655" s="22"/>
      <c r="AI1655" s="22"/>
      <c r="AJ1655" s="22"/>
    </row>
    <row r="1656" spans="1:36" x14ac:dyDescent="0.25">
      <c r="A1656" s="22" t="s">
        <v>4086</v>
      </c>
      <c r="B1656" s="22">
        <v>0</v>
      </c>
      <c r="C1656" s="22"/>
      <c r="D1656" s="22"/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2"/>
      <c r="T1656" s="22"/>
      <c r="U1656" s="22"/>
      <c r="V1656" s="22"/>
      <c r="W1656" s="22"/>
      <c r="X1656" s="22"/>
      <c r="Y1656" s="22"/>
      <c r="Z1656" s="22"/>
      <c r="AA1656" s="22"/>
      <c r="AB1656" s="22"/>
      <c r="AC1656" s="22"/>
      <c r="AD1656" s="22"/>
      <c r="AE1656" s="22"/>
      <c r="AF1656" s="22"/>
      <c r="AG1656" s="22"/>
      <c r="AH1656" s="22"/>
      <c r="AI1656" s="22"/>
      <c r="AJ1656" s="22"/>
    </row>
    <row r="1657" spans="1:36" x14ac:dyDescent="0.25">
      <c r="A1657" s="22" t="s">
        <v>4087</v>
      </c>
      <c r="B1657" s="22">
        <v>0</v>
      </c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2"/>
      <c r="S1657" s="22"/>
      <c r="T1657" s="22"/>
      <c r="U1657" s="22"/>
      <c r="V1657" s="22"/>
      <c r="W1657" s="22"/>
      <c r="X1657" s="22"/>
      <c r="Y1657" s="22"/>
      <c r="Z1657" s="22"/>
      <c r="AA1657" s="22"/>
      <c r="AB1657" s="22"/>
      <c r="AC1657" s="22"/>
      <c r="AD1657" s="22"/>
      <c r="AE1657" s="22"/>
      <c r="AF1657" s="22"/>
      <c r="AG1657" s="22"/>
      <c r="AH1657" s="22"/>
      <c r="AI1657" s="22"/>
      <c r="AJ1657" s="22"/>
    </row>
    <row r="1658" spans="1:36" x14ac:dyDescent="0.25">
      <c r="A1658" s="22" t="s">
        <v>4088</v>
      </c>
      <c r="B1658" s="22">
        <v>0</v>
      </c>
      <c r="C1658" s="22"/>
      <c r="D1658" s="22"/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2"/>
      <c r="T1658" s="22"/>
      <c r="U1658" s="22"/>
      <c r="V1658" s="22"/>
      <c r="W1658" s="22"/>
      <c r="X1658" s="22"/>
      <c r="Y1658" s="22"/>
      <c r="Z1658" s="22"/>
      <c r="AA1658" s="22"/>
      <c r="AB1658" s="22"/>
      <c r="AC1658" s="22"/>
      <c r="AD1658" s="22"/>
      <c r="AE1658" s="22"/>
      <c r="AF1658" s="22"/>
      <c r="AG1658" s="22"/>
      <c r="AH1658" s="22"/>
      <c r="AI1658" s="22"/>
      <c r="AJ1658" s="22"/>
    </row>
    <row r="1659" spans="1:36" x14ac:dyDescent="0.25">
      <c r="A1659" s="22" t="s">
        <v>4089</v>
      </c>
      <c r="B1659" s="22">
        <v>0</v>
      </c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2"/>
      <c r="S1659" s="22"/>
      <c r="T1659" s="22"/>
      <c r="U1659" s="22"/>
      <c r="V1659" s="22"/>
      <c r="W1659" s="22"/>
      <c r="X1659" s="22"/>
      <c r="Y1659" s="22"/>
      <c r="Z1659" s="22"/>
      <c r="AA1659" s="22"/>
      <c r="AB1659" s="22"/>
      <c r="AC1659" s="22"/>
      <c r="AD1659" s="22"/>
      <c r="AE1659" s="22"/>
      <c r="AF1659" s="22"/>
      <c r="AG1659" s="22"/>
      <c r="AH1659" s="22"/>
      <c r="AI1659" s="22"/>
      <c r="AJ1659" s="22"/>
    </row>
    <row r="1660" spans="1:36" x14ac:dyDescent="0.25">
      <c r="A1660" s="22" t="s">
        <v>4090</v>
      </c>
      <c r="B1660" s="22">
        <v>0</v>
      </c>
      <c r="C1660" s="22"/>
      <c r="D1660" s="22"/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2"/>
      <c r="T1660" s="22"/>
      <c r="U1660" s="22"/>
      <c r="V1660" s="22"/>
      <c r="W1660" s="22"/>
      <c r="X1660" s="22"/>
      <c r="Y1660" s="22"/>
      <c r="Z1660" s="22"/>
      <c r="AA1660" s="22"/>
      <c r="AB1660" s="22"/>
      <c r="AC1660" s="22"/>
      <c r="AD1660" s="22"/>
      <c r="AE1660" s="22"/>
      <c r="AF1660" s="22"/>
      <c r="AG1660" s="22"/>
      <c r="AH1660" s="22"/>
      <c r="AI1660" s="22"/>
      <c r="AJ1660" s="22"/>
    </row>
    <row r="1661" spans="1:36" x14ac:dyDescent="0.25">
      <c r="A1661" s="22" t="s">
        <v>4091</v>
      </c>
      <c r="B1661" s="22">
        <v>0</v>
      </c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2"/>
      <c r="S1661" s="22"/>
      <c r="T1661" s="22"/>
      <c r="U1661" s="22"/>
      <c r="V1661" s="22"/>
      <c r="W1661" s="22"/>
      <c r="X1661" s="22"/>
      <c r="Y1661" s="22"/>
      <c r="Z1661" s="22"/>
      <c r="AA1661" s="22"/>
      <c r="AB1661" s="22"/>
      <c r="AC1661" s="22"/>
      <c r="AD1661" s="22"/>
      <c r="AE1661" s="22"/>
      <c r="AF1661" s="22"/>
      <c r="AG1661" s="22"/>
      <c r="AH1661" s="22"/>
      <c r="AI1661" s="22"/>
      <c r="AJ1661" s="22"/>
    </row>
    <row r="1662" spans="1:36" x14ac:dyDescent="0.25">
      <c r="A1662" s="22" t="s">
        <v>4092</v>
      </c>
      <c r="B1662" s="22">
        <v>0</v>
      </c>
      <c r="C1662" s="22"/>
      <c r="D1662" s="22"/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2"/>
      <c r="T1662" s="22"/>
      <c r="U1662" s="22"/>
      <c r="V1662" s="22"/>
      <c r="W1662" s="22"/>
      <c r="X1662" s="22"/>
      <c r="Y1662" s="22"/>
      <c r="Z1662" s="22"/>
      <c r="AA1662" s="22"/>
      <c r="AB1662" s="22"/>
      <c r="AC1662" s="22"/>
      <c r="AD1662" s="22"/>
      <c r="AE1662" s="22"/>
      <c r="AF1662" s="22"/>
      <c r="AG1662" s="22"/>
      <c r="AH1662" s="22"/>
      <c r="AI1662" s="22"/>
      <c r="AJ1662" s="22"/>
    </row>
    <row r="1663" spans="1:36" x14ac:dyDescent="0.25">
      <c r="A1663" s="22" t="s">
        <v>4093</v>
      </c>
      <c r="B1663" s="22">
        <v>0</v>
      </c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2"/>
      <c r="S1663" s="22"/>
      <c r="T1663" s="22"/>
      <c r="U1663" s="22"/>
      <c r="V1663" s="22"/>
      <c r="W1663" s="22"/>
      <c r="X1663" s="22"/>
      <c r="Y1663" s="22"/>
      <c r="Z1663" s="22"/>
      <c r="AA1663" s="22"/>
      <c r="AB1663" s="22"/>
      <c r="AC1663" s="22"/>
      <c r="AD1663" s="22"/>
      <c r="AE1663" s="22"/>
      <c r="AF1663" s="22"/>
      <c r="AG1663" s="22"/>
      <c r="AH1663" s="22"/>
      <c r="AI1663" s="22"/>
      <c r="AJ1663" s="22"/>
    </row>
    <row r="1664" spans="1:36" x14ac:dyDescent="0.25">
      <c r="A1664" s="22" t="s">
        <v>4094</v>
      </c>
      <c r="B1664" s="22">
        <v>0</v>
      </c>
      <c r="C1664" s="22"/>
      <c r="D1664" s="22"/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2"/>
      <c r="T1664" s="22"/>
      <c r="U1664" s="22"/>
      <c r="V1664" s="22"/>
      <c r="W1664" s="22"/>
      <c r="X1664" s="22"/>
      <c r="Y1664" s="22"/>
      <c r="Z1664" s="22"/>
      <c r="AA1664" s="22"/>
      <c r="AB1664" s="22"/>
      <c r="AC1664" s="22"/>
      <c r="AD1664" s="22"/>
      <c r="AE1664" s="22"/>
      <c r="AF1664" s="22"/>
      <c r="AG1664" s="22"/>
      <c r="AH1664" s="22"/>
      <c r="AI1664" s="22"/>
      <c r="AJ1664" s="22"/>
    </row>
    <row r="1665" spans="1:36" x14ac:dyDescent="0.25">
      <c r="A1665" s="22" t="s">
        <v>4095</v>
      </c>
      <c r="B1665" s="22">
        <v>0</v>
      </c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2"/>
      <c r="S1665" s="22"/>
      <c r="T1665" s="22"/>
      <c r="U1665" s="22"/>
      <c r="V1665" s="22"/>
      <c r="W1665" s="22"/>
      <c r="X1665" s="22"/>
      <c r="Y1665" s="22"/>
      <c r="Z1665" s="22"/>
      <c r="AA1665" s="22"/>
      <c r="AB1665" s="22"/>
      <c r="AC1665" s="22"/>
      <c r="AD1665" s="22"/>
      <c r="AE1665" s="22"/>
      <c r="AF1665" s="22"/>
      <c r="AG1665" s="22"/>
      <c r="AH1665" s="22"/>
      <c r="AI1665" s="22"/>
      <c r="AJ1665" s="22"/>
    </row>
    <row r="1666" spans="1:36" x14ac:dyDescent="0.25">
      <c r="A1666" s="22" t="s">
        <v>4096</v>
      </c>
      <c r="B1666" s="22">
        <v>0</v>
      </c>
      <c r="C1666" s="22"/>
      <c r="D1666" s="22"/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2"/>
      <c r="T1666" s="22"/>
      <c r="U1666" s="22"/>
      <c r="V1666" s="22"/>
      <c r="W1666" s="22"/>
      <c r="X1666" s="22"/>
      <c r="Y1666" s="22"/>
      <c r="Z1666" s="22"/>
      <c r="AA1666" s="22"/>
      <c r="AB1666" s="22"/>
      <c r="AC1666" s="22"/>
      <c r="AD1666" s="22"/>
      <c r="AE1666" s="22"/>
      <c r="AF1666" s="22"/>
      <c r="AG1666" s="22"/>
      <c r="AH1666" s="22"/>
      <c r="AI1666" s="22"/>
      <c r="AJ1666" s="22"/>
    </row>
    <row r="1667" spans="1:36" x14ac:dyDescent="0.25">
      <c r="A1667" s="22" t="s">
        <v>4097</v>
      </c>
      <c r="B1667" s="22">
        <v>0</v>
      </c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2"/>
      <c r="S1667" s="22"/>
      <c r="T1667" s="22"/>
      <c r="U1667" s="22"/>
      <c r="V1667" s="22"/>
      <c r="W1667" s="22"/>
      <c r="X1667" s="22"/>
      <c r="Y1667" s="22"/>
      <c r="Z1667" s="22"/>
      <c r="AA1667" s="22"/>
      <c r="AB1667" s="22"/>
      <c r="AC1667" s="22"/>
      <c r="AD1667" s="22"/>
      <c r="AE1667" s="22"/>
      <c r="AF1667" s="22"/>
      <c r="AG1667" s="22"/>
      <c r="AH1667" s="22"/>
      <c r="AI1667" s="22"/>
      <c r="AJ1667" s="22"/>
    </row>
    <row r="1668" spans="1:36" x14ac:dyDescent="0.25">
      <c r="A1668" s="22" t="s">
        <v>4098</v>
      </c>
      <c r="B1668" s="22">
        <v>0</v>
      </c>
      <c r="C1668" s="22"/>
      <c r="D1668" s="22"/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2"/>
      <c r="T1668" s="22"/>
      <c r="U1668" s="22"/>
      <c r="V1668" s="22"/>
      <c r="W1668" s="22"/>
      <c r="X1668" s="22"/>
      <c r="Y1668" s="22"/>
      <c r="Z1668" s="22"/>
      <c r="AA1668" s="22"/>
      <c r="AB1668" s="22"/>
      <c r="AC1668" s="22"/>
      <c r="AD1668" s="22"/>
      <c r="AE1668" s="22"/>
      <c r="AF1668" s="22"/>
      <c r="AG1668" s="22"/>
      <c r="AH1668" s="22"/>
      <c r="AI1668" s="22"/>
      <c r="AJ1668" s="22"/>
    </row>
    <row r="1669" spans="1:36" x14ac:dyDescent="0.25">
      <c r="A1669" s="22" t="s">
        <v>4099</v>
      </c>
      <c r="B1669" s="22">
        <v>0</v>
      </c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2"/>
      <c r="S1669" s="22"/>
      <c r="T1669" s="22"/>
      <c r="U1669" s="22"/>
      <c r="V1669" s="22"/>
      <c r="W1669" s="22"/>
      <c r="X1669" s="22"/>
      <c r="Y1669" s="22"/>
      <c r="Z1669" s="22"/>
      <c r="AA1669" s="22"/>
      <c r="AB1669" s="22"/>
      <c r="AC1669" s="22"/>
      <c r="AD1669" s="22"/>
      <c r="AE1669" s="22"/>
      <c r="AF1669" s="22"/>
      <c r="AG1669" s="22"/>
      <c r="AH1669" s="22"/>
      <c r="AI1669" s="22"/>
      <c r="AJ1669" s="22"/>
    </row>
    <row r="1670" spans="1:36" x14ac:dyDescent="0.25">
      <c r="A1670" s="22" t="s">
        <v>4100</v>
      </c>
      <c r="B1670" s="22">
        <v>0</v>
      </c>
      <c r="C1670" s="22"/>
      <c r="D1670" s="22"/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2"/>
      <c r="T1670" s="22"/>
      <c r="U1670" s="22"/>
      <c r="V1670" s="22"/>
      <c r="W1670" s="22"/>
      <c r="X1670" s="22"/>
      <c r="Y1670" s="22"/>
      <c r="Z1670" s="22"/>
      <c r="AA1670" s="22"/>
      <c r="AB1670" s="22"/>
      <c r="AC1670" s="22"/>
      <c r="AD1670" s="22"/>
      <c r="AE1670" s="22"/>
      <c r="AF1670" s="22"/>
      <c r="AG1670" s="22"/>
      <c r="AH1670" s="22"/>
      <c r="AI1670" s="22"/>
      <c r="AJ1670" s="22"/>
    </row>
    <row r="1671" spans="1:36" x14ac:dyDescent="0.25">
      <c r="A1671" s="22" t="s">
        <v>4101</v>
      </c>
      <c r="B1671" s="22">
        <v>0</v>
      </c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2"/>
      <c r="S1671" s="22"/>
      <c r="T1671" s="22"/>
      <c r="U1671" s="22"/>
      <c r="V1671" s="22"/>
      <c r="W1671" s="22"/>
      <c r="X1671" s="22"/>
      <c r="Y1671" s="22"/>
      <c r="Z1671" s="22"/>
      <c r="AA1671" s="22"/>
      <c r="AB1671" s="22"/>
      <c r="AC1671" s="22"/>
      <c r="AD1671" s="22"/>
      <c r="AE1671" s="22"/>
      <c r="AF1671" s="22"/>
      <c r="AG1671" s="22"/>
      <c r="AH1671" s="22"/>
      <c r="AI1671" s="22"/>
      <c r="AJ1671" s="22"/>
    </row>
    <row r="1672" spans="1:36" x14ac:dyDescent="0.25">
      <c r="A1672" s="22" t="s">
        <v>4102</v>
      </c>
      <c r="B1672" s="22">
        <v>0</v>
      </c>
      <c r="C1672" s="22"/>
      <c r="D1672" s="22"/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2"/>
      <c r="T1672" s="22"/>
      <c r="U1672" s="22"/>
      <c r="V1672" s="22"/>
      <c r="W1672" s="22"/>
      <c r="X1672" s="22"/>
      <c r="Y1672" s="22"/>
      <c r="Z1672" s="22"/>
      <c r="AA1672" s="22"/>
      <c r="AB1672" s="22"/>
      <c r="AC1672" s="22"/>
      <c r="AD1672" s="22"/>
      <c r="AE1672" s="22"/>
      <c r="AF1672" s="22"/>
      <c r="AG1672" s="22"/>
      <c r="AH1672" s="22"/>
      <c r="AI1672" s="22"/>
      <c r="AJ1672" s="22"/>
    </row>
    <row r="1673" spans="1:36" x14ac:dyDescent="0.25">
      <c r="A1673" s="22" t="s">
        <v>4103</v>
      </c>
      <c r="B1673" s="22">
        <v>0</v>
      </c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2"/>
      <c r="S1673" s="22"/>
      <c r="T1673" s="22"/>
      <c r="U1673" s="22"/>
      <c r="V1673" s="22"/>
      <c r="W1673" s="22"/>
      <c r="X1673" s="22"/>
      <c r="Y1673" s="22"/>
      <c r="Z1673" s="22"/>
      <c r="AA1673" s="22"/>
      <c r="AB1673" s="22"/>
      <c r="AC1673" s="22"/>
      <c r="AD1673" s="22"/>
      <c r="AE1673" s="22"/>
      <c r="AF1673" s="22"/>
      <c r="AG1673" s="22"/>
      <c r="AH1673" s="22"/>
      <c r="AI1673" s="22"/>
      <c r="AJ1673" s="22"/>
    </row>
    <row r="1674" spans="1:36" x14ac:dyDescent="0.25">
      <c r="A1674" s="22" t="s">
        <v>4104</v>
      </c>
      <c r="B1674" s="22">
        <v>0</v>
      </c>
      <c r="C1674" s="22"/>
      <c r="D1674" s="22"/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2"/>
      <c r="T1674" s="22"/>
      <c r="U1674" s="22"/>
      <c r="V1674" s="22"/>
      <c r="W1674" s="22"/>
      <c r="X1674" s="22"/>
      <c r="Y1674" s="22"/>
      <c r="Z1674" s="22"/>
      <c r="AA1674" s="22"/>
      <c r="AB1674" s="22"/>
      <c r="AC1674" s="22"/>
      <c r="AD1674" s="22"/>
      <c r="AE1674" s="22"/>
      <c r="AF1674" s="22"/>
      <c r="AG1674" s="22"/>
      <c r="AH1674" s="22"/>
      <c r="AI1674" s="22"/>
      <c r="AJ1674" s="22"/>
    </row>
    <row r="1675" spans="1:36" x14ac:dyDescent="0.25">
      <c r="A1675" s="22" t="s">
        <v>4105</v>
      </c>
      <c r="B1675" s="22">
        <v>0</v>
      </c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2"/>
      <c r="S1675" s="22"/>
      <c r="T1675" s="22"/>
      <c r="U1675" s="22"/>
      <c r="V1675" s="22"/>
      <c r="W1675" s="22"/>
      <c r="X1675" s="22"/>
      <c r="Y1675" s="22"/>
      <c r="Z1675" s="22"/>
      <c r="AA1675" s="22"/>
      <c r="AB1675" s="22"/>
      <c r="AC1675" s="22"/>
      <c r="AD1675" s="22"/>
      <c r="AE1675" s="22"/>
      <c r="AF1675" s="22"/>
      <c r="AG1675" s="22"/>
      <c r="AH1675" s="22"/>
      <c r="AI1675" s="22"/>
      <c r="AJ1675" s="22"/>
    </row>
    <row r="1676" spans="1:36" x14ac:dyDescent="0.25">
      <c r="A1676" s="22" t="s">
        <v>4106</v>
      </c>
      <c r="B1676" s="22">
        <v>0</v>
      </c>
      <c r="C1676" s="22"/>
      <c r="D1676" s="22"/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2"/>
      <c r="T1676" s="22"/>
      <c r="U1676" s="22"/>
      <c r="V1676" s="22"/>
      <c r="W1676" s="22"/>
      <c r="X1676" s="22"/>
      <c r="Y1676" s="22"/>
      <c r="Z1676" s="22"/>
      <c r="AA1676" s="22"/>
      <c r="AB1676" s="22"/>
      <c r="AC1676" s="22"/>
      <c r="AD1676" s="22"/>
      <c r="AE1676" s="22"/>
      <c r="AF1676" s="22"/>
      <c r="AG1676" s="22"/>
      <c r="AH1676" s="22"/>
      <c r="AI1676" s="22"/>
      <c r="AJ1676" s="22"/>
    </row>
    <row r="1677" spans="1:36" x14ac:dyDescent="0.25">
      <c r="A1677" s="22" t="s">
        <v>4107</v>
      </c>
      <c r="B1677" s="22">
        <v>0</v>
      </c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2"/>
      <c r="S1677" s="22"/>
      <c r="T1677" s="22"/>
      <c r="U1677" s="22"/>
      <c r="V1677" s="22"/>
      <c r="W1677" s="22"/>
      <c r="X1677" s="22"/>
      <c r="Y1677" s="22"/>
      <c r="Z1677" s="22"/>
      <c r="AA1677" s="22"/>
      <c r="AB1677" s="22"/>
      <c r="AC1677" s="22"/>
      <c r="AD1677" s="22"/>
      <c r="AE1677" s="22"/>
      <c r="AF1677" s="22"/>
      <c r="AG1677" s="22"/>
      <c r="AH1677" s="22"/>
      <c r="AI1677" s="22"/>
      <c r="AJ1677" s="22"/>
    </row>
    <row r="1678" spans="1:36" x14ac:dyDescent="0.25">
      <c r="A1678" s="22" t="s">
        <v>4108</v>
      </c>
      <c r="B1678" s="22">
        <v>0</v>
      </c>
      <c r="C1678" s="22"/>
      <c r="D1678" s="22"/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2"/>
      <c r="T1678" s="22"/>
      <c r="U1678" s="22"/>
      <c r="V1678" s="22"/>
      <c r="W1678" s="22"/>
      <c r="X1678" s="22"/>
      <c r="Y1678" s="22"/>
      <c r="Z1678" s="22"/>
      <c r="AA1678" s="22"/>
      <c r="AB1678" s="22"/>
      <c r="AC1678" s="22"/>
      <c r="AD1678" s="22"/>
      <c r="AE1678" s="22"/>
      <c r="AF1678" s="22"/>
      <c r="AG1678" s="22"/>
      <c r="AH1678" s="22"/>
      <c r="AI1678" s="22"/>
      <c r="AJ1678" s="22"/>
    </row>
    <row r="1679" spans="1:36" x14ac:dyDescent="0.25">
      <c r="A1679" s="22" t="s">
        <v>4109</v>
      </c>
      <c r="B1679" s="22">
        <v>0</v>
      </c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2"/>
      <c r="S1679" s="22"/>
      <c r="T1679" s="22"/>
      <c r="U1679" s="22"/>
      <c r="V1679" s="22"/>
      <c r="W1679" s="22"/>
      <c r="X1679" s="22"/>
      <c r="Y1679" s="22"/>
      <c r="Z1679" s="22"/>
      <c r="AA1679" s="22"/>
      <c r="AB1679" s="22"/>
      <c r="AC1679" s="22"/>
      <c r="AD1679" s="22"/>
      <c r="AE1679" s="22"/>
      <c r="AF1679" s="22"/>
      <c r="AG1679" s="22"/>
      <c r="AH1679" s="22"/>
      <c r="AI1679" s="22"/>
      <c r="AJ1679" s="22"/>
    </row>
    <row r="1680" spans="1:36" x14ac:dyDescent="0.25">
      <c r="A1680" s="22" t="s">
        <v>4110</v>
      </c>
      <c r="B1680" s="22">
        <v>0</v>
      </c>
      <c r="C1680" s="22"/>
      <c r="D1680" s="22"/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2"/>
      <c r="T1680" s="22"/>
      <c r="U1680" s="22"/>
      <c r="V1680" s="22"/>
      <c r="W1680" s="22"/>
      <c r="X1680" s="22"/>
      <c r="Y1680" s="22"/>
      <c r="Z1680" s="22"/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</row>
    <row r="1681" spans="1:36" x14ac:dyDescent="0.25">
      <c r="A1681" s="22" t="s">
        <v>4111</v>
      </c>
      <c r="B1681" s="22">
        <v>0</v>
      </c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2"/>
      <c r="S1681" s="22"/>
      <c r="T1681" s="22"/>
      <c r="U1681" s="22"/>
      <c r="V1681" s="22"/>
      <c r="W1681" s="22"/>
      <c r="X1681" s="22"/>
      <c r="Y1681" s="22"/>
      <c r="Z1681" s="22"/>
      <c r="AA1681" s="22"/>
      <c r="AB1681" s="22"/>
      <c r="AC1681" s="22"/>
      <c r="AD1681" s="22"/>
      <c r="AE1681" s="22"/>
      <c r="AF1681" s="22"/>
      <c r="AG1681" s="22"/>
      <c r="AH1681" s="22"/>
      <c r="AI1681" s="22"/>
      <c r="AJ1681" s="22"/>
    </row>
    <row r="1682" spans="1:36" x14ac:dyDescent="0.25">
      <c r="A1682" s="22" t="s">
        <v>4112</v>
      </c>
      <c r="B1682" s="22">
        <v>0</v>
      </c>
      <c r="C1682" s="22"/>
      <c r="D1682" s="22"/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2"/>
      <c r="T1682" s="22"/>
      <c r="U1682" s="22"/>
      <c r="V1682" s="22"/>
      <c r="W1682" s="22"/>
      <c r="X1682" s="22"/>
      <c r="Y1682" s="22"/>
      <c r="Z1682" s="22"/>
      <c r="AA1682" s="22"/>
      <c r="AB1682" s="22"/>
      <c r="AC1682" s="22"/>
      <c r="AD1682" s="22"/>
      <c r="AE1682" s="22"/>
      <c r="AF1682" s="22"/>
      <c r="AG1682" s="22"/>
      <c r="AH1682" s="22"/>
      <c r="AI1682" s="22"/>
      <c r="AJ1682" s="22"/>
    </row>
    <row r="1683" spans="1:36" x14ac:dyDescent="0.25">
      <c r="A1683" s="22" t="s">
        <v>4113</v>
      </c>
      <c r="B1683" s="22">
        <v>0</v>
      </c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2"/>
      <c r="S1683" s="22"/>
      <c r="T1683" s="22"/>
      <c r="U1683" s="22"/>
      <c r="V1683" s="22"/>
      <c r="W1683" s="22"/>
      <c r="X1683" s="22"/>
      <c r="Y1683" s="22"/>
      <c r="Z1683" s="22"/>
      <c r="AA1683" s="22"/>
      <c r="AB1683" s="22"/>
      <c r="AC1683" s="22"/>
      <c r="AD1683" s="22"/>
      <c r="AE1683" s="22"/>
      <c r="AF1683" s="22"/>
      <c r="AG1683" s="22"/>
      <c r="AH1683" s="22"/>
      <c r="AI1683" s="22"/>
      <c r="AJ1683" s="22"/>
    </row>
    <row r="1684" spans="1:36" x14ac:dyDescent="0.25">
      <c r="A1684" s="22" t="s">
        <v>4114</v>
      </c>
      <c r="B1684" s="22">
        <v>0</v>
      </c>
      <c r="C1684" s="22"/>
      <c r="D1684" s="22"/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2"/>
      <c r="T1684" s="22"/>
      <c r="U1684" s="22"/>
      <c r="V1684" s="22"/>
      <c r="W1684" s="22"/>
      <c r="X1684" s="22"/>
      <c r="Y1684" s="22"/>
      <c r="Z1684" s="22"/>
      <c r="AA1684" s="22"/>
      <c r="AB1684" s="22"/>
      <c r="AC1684" s="22"/>
      <c r="AD1684" s="22"/>
      <c r="AE1684" s="22"/>
      <c r="AF1684" s="22"/>
      <c r="AG1684" s="22"/>
      <c r="AH1684" s="22"/>
      <c r="AI1684" s="22"/>
      <c r="AJ1684" s="22"/>
    </row>
    <row r="1685" spans="1:36" x14ac:dyDescent="0.25">
      <c r="A1685" s="22" t="s">
        <v>4115</v>
      </c>
      <c r="B1685" s="22">
        <v>0</v>
      </c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2"/>
      <c r="S1685" s="22"/>
      <c r="T1685" s="22"/>
      <c r="U1685" s="22"/>
      <c r="V1685" s="22"/>
      <c r="W1685" s="22"/>
      <c r="X1685" s="22"/>
      <c r="Y1685" s="22"/>
      <c r="Z1685" s="22"/>
      <c r="AA1685" s="22"/>
      <c r="AB1685" s="22"/>
      <c r="AC1685" s="22"/>
      <c r="AD1685" s="22"/>
      <c r="AE1685" s="22"/>
      <c r="AF1685" s="22"/>
      <c r="AG1685" s="22"/>
      <c r="AH1685" s="22"/>
      <c r="AI1685" s="22"/>
      <c r="AJ1685" s="22"/>
    </row>
    <row r="1686" spans="1:36" x14ac:dyDescent="0.25">
      <c r="A1686" s="22" t="s">
        <v>4116</v>
      </c>
      <c r="B1686" s="22">
        <v>0</v>
      </c>
      <c r="C1686" s="22"/>
      <c r="D1686" s="22"/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2"/>
      <c r="T1686" s="22"/>
      <c r="U1686" s="22"/>
      <c r="V1686" s="22"/>
      <c r="W1686" s="22"/>
      <c r="X1686" s="22"/>
      <c r="Y1686" s="22"/>
      <c r="Z1686" s="22"/>
      <c r="AA1686" s="22"/>
      <c r="AB1686" s="22"/>
      <c r="AC1686" s="22"/>
      <c r="AD1686" s="22"/>
      <c r="AE1686" s="22"/>
      <c r="AF1686" s="22"/>
      <c r="AG1686" s="22"/>
      <c r="AH1686" s="22"/>
      <c r="AI1686" s="22"/>
      <c r="AJ1686" s="22"/>
    </row>
    <row r="1687" spans="1:36" x14ac:dyDescent="0.25">
      <c r="A1687" s="22" t="s">
        <v>4117</v>
      </c>
      <c r="B1687" s="22">
        <v>0</v>
      </c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2"/>
      <c r="S1687" s="22"/>
      <c r="T1687" s="22"/>
      <c r="U1687" s="22"/>
      <c r="V1687" s="22"/>
      <c r="W1687" s="22"/>
      <c r="X1687" s="22"/>
      <c r="Y1687" s="22"/>
      <c r="Z1687" s="22"/>
      <c r="AA1687" s="22"/>
      <c r="AB1687" s="22"/>
      <c r="AC1687" s="22"/>
      <c r="AD1687" s="22"/>
      <c r="AE1687" s="22"/>
      <c r="AF1687" s="22"/>
      <c r="AG1687" s="22"/>
      <c r="AH1687" s="22"/>
      <c r="AI1687" s="22"/>
      <c r="AJ1687" s="22"/>
    </row>
    <row r="1688" spans="1:36" x14ac:dyDescent="0.25">
      <c r="A1688" s="22" t="s">
        <v>4118</v>
      </c>
      <c r="B1688" s="22">
        <v>0</v>
      </c>
      <c r="C1688" s="22"/>
      <c r="D1688" s="22"/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2"/>
      <c r="T1688" s="22"/>
      <c r="U1688" s="22"/>
      <c r="V1688" s="22"/>
      <c r="W1688" s="22"/>
      <c r="X1688" s="22"/>
      <c r="Y1688" s="22"/>
      <c r="Z1688" s="22"/>
      <c r="AA1688" s="22"/>
      <c r="AB1688" s="22"/>
      <c r="AC1688" s="22"/>
      <c r="AD1688" s="22"/>
      <c r="AE1688" s="22"/>
      <c r="AF1688" s="22"/>
      <c r="AG1688" s="22"/>
      <c r="AH1688" s="22"/>
      <c r="AI1688" s="22"/>
      <c r="AJ1688" s="22"/>
    </row>
    <row r="1689" spans="1:36" x14ac:dyDescent="0.25">
      <c r="A1689" s="22" t="s">
        <v>4119</v>
      </c>
      <c r="B1689" s="22">
        <v>0</v>
      </c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2"/>
      <c r="S1689" s="22"/>
      <c r="T1689" s="22"/>
      <c r="U1689" s="22"/>
      <c r="V1689" s="22"/>
      <c r="W1689" s="22"/>
      <c r="X1689" s="22"/>
      <c r="Y1689" s="22"/>
      <c r="Z1689" s="22"/>
      <c r="AA1689" s="22"/>
      <c r="AB1689" s="22"/>
      <c r="AC1689" s="22"/>
      <c r="AD1689" s="22"/>
      <c r="AE1689" s="22"/>
      <c r="AF1689" s="22"/>
      <c r="AG1689" s="22"/>
      <c r="AH1689" s="22"/>
      <c r="AI1689" s="22"/>
      <c r="AJ1689" s="22"/>
    </row>
    <row r="1690" spans="1:36" x14ac:dyDescent="0.25">
      <c r="A1690" s="22" t="s">
        <v>4120</v>
      </c>
      <c r="B1690" s="22">
        <v>0</v>
      </c>
      <c r="C1690" s="22"/>
      <c r="D1690" s="22"/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2"/>
      <c r="T1690" s="22"/>
      <c r="U1690" s="22"/>
      <c r="V1690" s="22"/>
      <c r="W1690" s="22"/>
      <c r="X1690" s="22"/>
      <c r="Y1690" s="22"/>
      <c r="Z1690" s="22"/>
      <c r="AA1690" s="22"/>
      <c r="AB1690" s="22"/>
      <c r="AC1690" s="22"/>
      <c r="AD1690" s="22"/>
      <c r="AE1690" s="22"/>
      <c r="AF1690" s="22"/>
      <c r="AG1690" s="22"/>
      <c r="AH1690" s="22"/>
      <c r="AI1690" s="22"/>
      <c r="AJ1690" s="22"/>
    </row>
    <row r="1691" spans="1:36" x14ac:dyDescent="0.25">
      <c r="A1691" s="22" t="s">
        <v>4121</v>
      </c>
      <c r="B1691" s="22">
        <v>0</v>
      </c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2"/>
      <c r="S1691" s="22"/>
      <c r="T1691" s="22"/>
      <c r="U1691" s="22"/>
      <c r="V1691" s="22"/>
      <c r="W1691" s="22"/>
      <c r="X1691" s="22"/>
      <c r="Y1691" s="22"/>
      <c r="Z1691" s="22"/>
      <c r="AA1691" s="22"/>
      <c r="AB1691" s="22"/>
      <c r="AC1691" s="22"/>
      <c r="AD1691" s="22"/>
      <c r="AE1691" s="22"/>
      <c r="AF1691" s="22"/>
      <c r="AG1691" s="22"/>
      <c r="AH1691" s="22"/>
      <c r="AI1691" s="22"/>
      <c r="AJ1691" s="22"/>
    </row>
    <row r="1692" spans="1:36" x14ac:dyDescent="0.25">
      <c r="A1692" s="22" t="s">
        <v>4122</v>
      </c>
      <c r="B1692" s="22">
        <v>0</v>
      </c>
      <c r="C1692" s="22"/>
      <c r="D1692" s="22"/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2"/>
      <c r="T1692" s="22"/>
      <c r="U1692" s="22"/>
      <c r="V1692" s="22"/>
      <c r="W1692" s="22"/>
      <c r="X1692" s="22"/>
      <c r="Y1692" s="22"/>
      <c r="Z1692" s="22"/>
      <c r="AA1692" s="22"/>
      <c r="AB1692" s="22"/>
      <c r="AC1692" s="22"/>
      <c r="AD1692" s="22"/>
      <c r="AE1692" s="22"/>
      <c r="AF1692" s="22"/>
      <c r="AG1692" s="22"/>
      <c r="AH1692" s="22"/>
      <c r="AI1692" s="22"/>
      <c r="AJ1692" s="22"/>
    </row>
    <row r="1693" spans="1:36" x14ac:dyDescent="0.25">
      <c r="A1693" s="22" t="s">
        <v>4123</v>
      </c>
      <c r="B1693" s="22">
        <v>0</v>
      </c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2"/>
      <c r="S1693" s="22"/>
      <c r="T1693" s="22"/>
      <c r="U1693" s="22"/>
      <c r="V1693" s="22"/>
      <c r="W1693" s="22"/>
      <c r="X1693" s="22"/>
      <c r="Y1693" s="22"/>
      <c r="Z1693" s="22"/>
      <c r="AA1693" s="22"/>
      <c r="AB1693" s="22"/>
      <c r="AC1693" s="22"/>
      <c r="AD1693" s="22"/>
      <c r="AE1693" s="22"/>
      <c r="AF1693" s="22"/>
      <c r="AG1693" s="22"/>
      <c r="AH1693" s="22"/>
      <c r="AI1693" s="22"/>
      <c r="AJ1693" s="22"/>
    </row>
    <row r="1694" spans="1:36" x14ac:dyDescent="0.25">
      <c r="A1694" s="22" t="s">
        <v>4124</v>
      </c>
      <c r="B1694" s="22">
        <v>16</v>
      </c>
      <c r="C1694" s="22"/>
      <c r="D1694" s="22"/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2"/>
      <c r="T1694" s="22"/>
      <c r="U1694" s="22"/>
      <c r="V1694" s="22"/>
      <c r="W1694" s="22"/>
      <c r="X1694" s="22"/>
      <c r="Y1694" s="22"/>
      <c r="Z1694" s="22"/>
      <c r="AA1694" s="22"/>
      <c r="AB1694" s="22"/>
      <c r="AC1694" s="22"/>
      <c r="AD1694" s="22"/>
      <c r="AE1694" s="22"/>
      <c r="AF1694" s="22"/>
      <c r="AG1694" s="22"/>
      <c r="AH1694" s="22"/>
      <c r="AI1694" s="22"/>
      <c r="AJ1694" s="22"/>
    </row>
    <row r="1695" spans="1:36" x14ac:dyDescent="0.25">
      <c r="A1695" s="22" t="s">
        <v>4125</v>
      </c>
      <c r="B1695" s="22">
        <v>0</v>
      </c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2"/>
      <c r="S1695" s="22"/>
      <c r="T1695" s="22"/>
      <c r="U1695" s="22"/>
      <c r="V1695" s="22"/>
      <c r="W1695" s="22"/>
      <c r="X1695" s="22"/>
      <c r="Y1695" s="22"/>
      <c r="Z1695" s="22"/>
      <c r="AA1695" s="22"/>
      <c r="AB1695" s="22"/>
      <c r="AC1695" s="22"/>
      <c r="AD1695" s="22"/>
      <c r="AE1695" s="22"/>
      <c r="AF1695" s="22"/>
      <c r="AG1695" s="22"/>
      <c r="AH1695" s="22"/>
      <c r="AI1695" s="22"/>
      <c r="AJ1695" s="22"/>
    </row>
    <row r="1696" spans="1:36" x14ac:dyDescent="0.25">
      <c r="A1696" s="22" t="s">
        <v>4126</v>
      </c>
      <c r="B1696" s="22">
        <v>0</v>
      </c>
      <c r="C1696" s="22"/>
      <c r="D1696" s="22"/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2"/>
      <c r="T1696" s="22"/>
      <c r="U1696" s="22"/>
      <c r="V1696" s="22"/>
      <c r="W1696" s="22"/>
      <c r="X1696" s="22"/>
      <c r="Y1696" s="22"/>
      <c r="Z1696" s="22"/>
      <c r="AA1696" s="22"/>
      <c r="AB1696" s="22"/>
      <c r="AC1696" s="22"/>
      <c r="AD1696" s="22"/>
      <c r="AE1696" s="22"/>
      <c r="AF1696" s="22"/>
      <c r="AG1696" s="22"/>
      <c r="AH1696" s="22"/>
      <c r="AI1696" s="22"/>
      <c r="AJ1696" s="22"/>
    </row>
    <row r="1697" spans="1:36" x14ac:dyDescent="0.25">
      <c r="A1697" s="22" t="s">
        <v>4127</v>
      </c>
      <c r="B1697" s="22">
        <v>0</v>
      </c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2"/>
      <c r="S1697" s="22"/>
      <c r="T1697" s="22"/>
      <c r="U1697" s="22"/>
      <c r="V1697" s="22"/>
      <c r="W1697" s="22"/>
      <c r="X1697" s="22"/>
      <c r="Y1697" s="22"/>
      <c r="Z1697" s="22"/>
      <c r="AA1697" s="22"/>
      <c r="AB1697" s="22"/>
      <c r="AC1697" s="22"/>
      <c r="AD1697" s="22"/>
      <c r="AE1697" s="22"/>
      <c r="AF1697" s="22"/>
      <c r="AG1697" s="22"/>
      <c r="AH1697" s="22"/>
      <c r="AI1697" s="22"/>
      <c r="AJ1697" s="22"/>
    </row>
    <row r="1698" spans="1:36" x14ac:dyDescent="0.25">
      <c r="A1698" s="22" t="s">
        <v>4128</v>
      </c>
      <c r="B1698" s="22">
        <v>0</v>
      </c>
      <c r="C1698" s="22"/>
      <c r="D1698" s="22"/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2"/>
      <c r="T1698" s="22"/>
      <c r="U1698" s="22"/>
      <c r="V1698" s="22"/>
      <c r="W1698" s="22"/>
      <c r="X1698" s="22"/>
      <c r="Y1698" s="22"/>
      <c r="Z1698" s="22"/>
      <c r="AA1698" s="22"/>
      <c r="AB1698" s="22"/>
      <c r="AC1698" s="22"/>
      <c r="AD1698" s="22"/>
      <c r="AE1698" s="22"/>
      <c r="AF1698" s="22"/>
      <c r="AG1698" s="22"/>
      <c r="AH1698" s="22"/>
      <c r="AI1698" s="22"/>
      <c r="AJ1698" s="22"/>
    </row>
    <row r="1699" spans="1:36" x14ac:dyDescent="0.25">
      <c r="A1699" s="22" t="s">
        <v>4129</v>
      </c>
      <c r="B1699" s="22">
        <v>0</v>
      </c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2"/>
      <c r="S1699" s="22"/>
      <c r="T1699" s="22"/>
      <c r="U1699" s="22"/>
      <c r="V1699" s="22"/>
      <c r="W1699" s="22"/>
      <c r="X1699" s="22"/>
      <c r="Y1699" s="22"/>
      <c r="Z1699" s="22"/>
      <c r="AA1699" s="22"/>
      <c r="AB1699" s="22"/>
      <c r="AC1699" s="22"/>
      <c r="AD1699" s="22"/>
      <c r="AE1699" s="22"/>
      <c r="AF1699" s="22"/>
      <c r="AG1699" s="22"/>
      <c r="AH1699" s="22"/>
      <c r="AI1699" s="22"/>
      <c r="AJ1699" s="22"/>
    </row>
    <row r="1700" spans="1:36" x14ac:dyDescent="0.25">
      <c r="A1700" s="22" t="s">
        <v>4130</v>
      </c>
      <c r="B1700" s="22">
        <v>0</v>
      </c>
      <c r="C1700" s="22"/>
      <c r="D1700" s="22"/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2"/>
      <c r="T1700" s="22"/>
      <c r="U1700" s="22"/>
      <c r="V1700" s="22"/>
      <c r="W1700" s="22"/>
      <c r="X1700" s="22"/>
      <c r="Y1700" s="22"/>
      <c r="Z1700" s="22"/>
      <c r="AA1700" s="22"/>
      <c r="AB1700" s="22"/>
      <c r="AC1700" s="22"/>
      <c r="AD1700" s="22"/>
      <c r="AE1700" s="22"/>
      <c r="AF1700" s="22"/>
      <c r="AG1700" s="22"/>
      <c r="AH1700" s="22"/>
      <c r="AI1700" s="22"/>
      <c r="AJ1700" s="22"/>
    </row>
    <row r="1701" spans="1:36" x14ac:dyDescent="0.25">
      <c r="A1701" s="22" t="s">
        <v>4131</v>
      </c>
      <c r="B1701" s="22">
        <v>0</v>
      </c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2"/>
      <c r="S1701" s="22"/>
      <c r="T1701" s="22"/>
      <c r="U1701" s="22"/>
      <c r="V1701" s="22"/>
      <c r="W1701" s="22"/>
      <c r="X1701" s="22"/>
      <c r="Y1701" s="22"/>
      <c r="Z1701" s="22"/>
      <c r="AA1701" s="22"/>
      <c r="AB1701" s="22"/>
      <c r="AC1701" s="22"/>
      <c r="AD1701" s="22"/>
      <c r="AE1701" s="22"/>
      <c r="AF1701" s="22"/>
      <c r="AG1701" s="22"/>
      <c r="AH1701" s="22"/>
      <c r="AI1701" s="22"/>
      <c r="AJ1701" s="22"/>
    </row>
    <row r="1702" spans="1:36" x14ac:dyDescent="0.25">
      <c r="A1702" s="22" t="s">
        <v>4132</v>
      </c>
      <c r="B1702" s="22">
        <v>0</v>
      </c>
      <c r="C1702" s="22"/>
      <c r="D1702" s="22"/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2"/>
      <c r="T1702" s="22"/>
      <c r="U1702" s="22"/>
      <c r="V1702" s="22"/>
      <c r="W1702" s="22"/>
      <c r="X1702" s="22"/>
      <c r="Y1702" s="22"/>
      <c r="Z1702" s="22"/>
      <c r="AA1702" s="22"/>
      <c r="AB1702" s="22"/>
      <c r="AC1702" s="22"/>
      <c r="AD1702" s="22"/>
      <c r="AE1702" s="22"/>
      <c r="AF1702" s="22"/>
      <c r="AG1702" s="22"/>
      <c r="AH1702" s="22"/>
      <c r="AI1702" s="22"/>
      <c r="AJ1702" s="22"/>
    </row>
    <row r="1703" spans="1:36" x14ac:dyDescent="0.25">
      <c r="A1703" s="22" t="s">
        <v>4133</v>
      </c>
      <c r="B1703" s="22">
        <v>0</v>
      </c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2"/>
      <c r="S1703" s="22"/>
      <c r="T1703" s="22"/>
      <c r="U1703" s="22"/>
      <c r="V1703" s="22"/>
      <c r="W1703" s="22"/>
      <c r="X1703" s="22"/>
      <c r="Y1703" s="22"/>
      <c r="Z1703" s="22"/>
      <c r="AA1703" s="22"/>
      <c r="AB1703" s="22"/>
      <c r="AC1703" s="22"/>
      <c r="AD1703" s="22"/>
      <c r="AE1703" s="22"/>
      <c r="AF1703" s="22"/>
      <c r="AG1703" s="22"/>
      <c r="AH1703" s="22"/>
      <c r="AI1703" s="22"/>
      <c r="AJ1703" s="22"/>
    </row>
    <row r="1704" spans="1:36" x14ac:dyDescent="0.25">
      <c r="A1704" s="22" t="s">
        <v>4134</v>
      </c>
      <c r="B1704" s="22">
        <v>0</v>
      </c>
      <c r="C1704" s="22"/>
      <c r="D1704" s="22"/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2"/>
      <c r="T1704" s="22"/>
      <c r="U1704" s="22"/>
      <c r="V1704" s="22"/>
      <c r="W1704" s="22"/>
      <c r="X1704" s="22"/>
      <c r="Y1704" s="22"/>
      <c r="Z1704" s="22"/>
      <c r="AA1704" s="22"/>
      <c r="AB1704" s="22"/>
      <c r="AC1704" s="22"/>
      <c r="AD1704" s="22"/>
      <c r="AE1704" s="22"/>
      <c r="AF1704" s="22"/>
      <c r="AG1704" s="22"/>
      <c r="AH1704" s="22"/>
      <c r="AI1704" s="22"/>
      <c r="AJ1704" s="22"/>
    </row>
    <row r="1705" spans="1:36" x14ac:dyDescent="0.25">
      <c r="A1705" s="22" t="s">
        <v>4135</v>
      </c>
      <c r="B1705" s="22">
        <v>0</v>
      </c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2"/>
      <c r="S1705" s="22"/>
      <c r="T1705" s="22"/>
      <c r="U1705" s="22"/>
      <c r="V1705" s="22"/>
      <c r="W1705" s="22"/>
      <c r="X1705" s="22"/>
      <c r="Y1705" s="22"/>
      <c r="Z1705" s="22"/>
      <c r="AA1705" s="22"/>
      <c r="AB1705" s="22"/>
      <c r="AC1705" s="22"/>
      <c r="AD1705" s="22"/>
      <c r="AE1705" s="22"/>
      <c r="AF1705" s="22"/>
      <c r="AG1705" s="22"/>
      <c r="AH1705" s="22"/>
      <c r="AI1705" s="22"/>
      <c r="AJ1705" s="22"/>
    </row>
    <row r="1706" spans="1:36" x14ac:dyDescent="0.25">
      <c r="A1706" s="22" t="s">
        <v>4136</v>
      </c>
      <c r="B1706" s="22">
        <v>0</v>
      </c>
      <c r="C1706" s="22"/>
      <c r="D1706" s="22"/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2"/>
      <c r="T1706" s="22"/>
      <c r="U1706" s="22"/>
      <c r="V1706" s="22"/>
      <c r="W1706" s="22"/>
      <c r="X1706" s="22"/>
      <c r="Y1706" s="22"/>
      <c r="Z1706" s="22"/>
      <c r="AA1706" s="22"/>
      <c r="AB1706" s="22"/>
      <c r="AC1706" s="22"/>
      <c r="AD1706" s="22"/>
      <c r="AE1706" s="22"/>
      <c r="AF1706" s="22"/>
      <c r="AG1706" s="22"/>
      <c r="AH1706" s="22"/>
      <c r="AI1706" s="22"/>
      <c r="AJ1706" s="22"/>
    </row>
    <row r="1707" spans="1:36" x14ac:dyDescent="0.25">
      <c r="A1707" s="22" t="s">
        <v>4137</v>
      </c>
      <c r="B1707" s="22">
        <v>0</v>
      </c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2"/>
      <c r="S1707" s="22"/>
      <c r="T1707" s="22"/>
      <c r="U1707" s="22"/>
      <c r="V1707" s="22"/>
      <c r="W1707" s="22"/>
      <c r="X1707" s="22"/>
      <c r="Y1707" s="22"/>
      <c r="Z1707" s="22"/>
      <c r="AA1707" s="22"/>
      <c r="AB1707" s="22"/>
      <c r="AC1707" s="22"/>
      <c r="AD1707" s="22"/>
      <c r="AE1707" s="22"/>
      <c r="AF1707" s="22"/>
      <c r="AG1707" s="22"/>
      <c r="AH1707" s="22"/>
      <c r="AI1707" s="22"/>
      <c r="AJ1707" s="22"/>
    </row>
    <row r="1708" spans="1:36" x14ac:dyDescent="0.25">
      <c r="A1708" s="22" t="s">
        <v>4138</v>
      </c>
      <c r="B1708" s="22">
        <v>0</v>
      </c>
      <c r="C1708" s="22"/>
      <c r="D1708" s="22"/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2"/>
      <c r="T1708" s="22"/>
      <c r="U1708" s="22"/>
      <c r="V1708" s="22"/>
      <c r="W1708" s="22"/>
      <c r="X1708" s="22"/>
      <c r="Y1708" s="22"/>
      <c r="Z1708" s="22"/>
      <c r="AA1708" s="22"/>
      <c r="AB1708" s="22"/>
      <c r="AC1708" s="22"/>
      <c r="AD1708" s="22"/>
      <c r="AE1708" s="22"/>
      <c r="AF1708" s="22"/>
      <c r="AG1708" s="22"/>
      <c r="AH1708" s="22"/>
      <c r="AI1708" s="22"/>
      <c r="AJ1708" s="22"/>
    </row>
    <row r="1709" spans="1:36" x14ac:dyDescent="0.25">
      <c r="A1709" s="22" t="s">
        <v>4139</v>
      </c>
      <c r="B1709" s="22">
        <v>0</v>
      </c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2"/>
      <c r="S1709" s="22"/>
      <c r="T1709" s="22"/>
      <c r="U1709" s="22"/>
      <c r="V1709" s="22"/>
      <c r="W1709" s="22"/>
      <c r="X1709" s="22"/>
      <c r="Y1709" s="22"/>
      <c r="Z1709" s="22"/>
      <c r="AA1709" s="22"/>
      <c r="AB1709" s="22"/>
      <c r="AC1709" s="22"/>
      <c r="AD1709" s="22"/>
      <c r="AE1709" s="22"/>
      <c r="AF1709" s="22"/>
      <c r="AG1709" s="22"/>
      <c r="AH1709" s="22"/>
      <c r="AI1709" s="22"/>
      <c r="AJ1709" s="22"/>
    </row>
    <row r="1710" spans="1:36" x14ac:dyDescent="0.25">
      <c r="A1710" s="22" t="s">
        <v>4140</v>
      </c>
      <c r="B1710" s="22">
        <v>0</v>
      </c>
      <c r="C1710" s="22"/>
      <c r="D1710" s="22"/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2"/>
      <c r="T1710" s="22"/>
      <c r="U1710" s="22"/>
      <c r="V1710" s="22"/>
      <c r="W1710" s="22"/>
      <c r="X1710" s="22"/>
      <c r="Y1710" s="22"/>
      <c r="Z1710" s="22"/>
      <c r="AA1710" s="22"/>
      <c r="AB1710" s="22"/>
      <c r="AC1710" s="22"/>
      <c r="AD1710" s="22"/>
      <c r="AE1710" s="22"/>
      <c r="AF1710" s="22"/>
      <c r="AG1710" s="22"/>
      <c r="AH1710" s="22"/>
      <c r="AI1710" s="22"/>
      <c r="AJ1710" s="22"/>
    </row>
    <row r="1711" spans="1:36" x14ac:dyDescent="0.25">
      <c r="A1711" s="22" t="s">
        <v>4141</v>
      </c>
      <c r="B1711" s="22">
        <v>0</v>
      </c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2"/>
      <c r="S1711" s="22"/>
      <c r="T1711" s="22"/>
      <c r="U1711" s="22"/>
      <c r="V1711" s="22"/>
      <c r="W1711" s="22"/>
      <c r="X1711" s="22"/>
      <c r="Y1711" s="22"/>
      <c r="Z1711" s="22"/>
      <c r="AA1711" s="22"/>
      <c r="AB1711" s="22"/>
      <c r="AC1711" s="22"/>
      <c r="AD1711" s="22"/>
      <c r="AE1711" s="22"/>
      <c r="AF1711" s="22"/>
      <c r="AG1711" s="22"/>
      <c r="AH1711" s="22"/>
      <c r="AI1711" s="22"/>
      <c r="AJ1711" s="22"/>
    </row>
    <row r="1712" spans="1:36" x14ac:dyDescent="0.25">
      <c r="A1712" s="22" t="s">
        <v>4142</v>
      </c>
      <c r="B1712" s="22">
        <v>0</v>
      </c>
      <c r="C1712" s="22"/>
      <c r="D1712" s="22"/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2"/>
      <c r="T1712" s="22"/>
      <c r="U1712" s="22"/>
      <c r="V1712" s="22"/>
      <c r="W1712" s="22"/>
      <c r="X1712" s="22"/>
      <c r="Y1712" s="22"/>
      <c r="Z1712" s="22"/>
      <c r="AA1712" s="22"/>
      <c r="AB1712" s="22"/>
      <c r="AC1712" s="22"/>
      <c r="AD1712" s="22"/>
      <c r="AE1712" s="22"/>
      <c r="AF1712" s="22"/>
      <c r="AG1712" s="22"/>
      <c r="AH1712" s="22"/>
      <c r="AI1712" s="22"/>
      <c r="AJ1712" s="22"/>
    </row>
    <row r="1713" spans="1:36" x14ac:dyDescent="0.25">
      <c r="A1713" s="22" t="s">
        <v>4143</v>
      </c>
      <c r="B1713" s="22">
        <v>0</v>
      </c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2"/>
      <c r="S1713" s="22"/>
      <c r="T1713" s="22"/>
      <c r="U1713" s="22"/>
      <c r="V1713" s="22"/>
      <c r="W1713" s="22"/>
      <c r="X1713" s="22"/>
      <c r="Y1713" s="22"/>
      <c r="Z1713" s="22"/>
      <c r="AA1713" s="22"/>
      <c r="AB1713" s="22"/>
      <c r="AC1713" s="22"/>
      <c r="AD1713" s="22"/>
      <c r="AE1713" s="22"/>
      <c r="AF1713" s="22"/>
      <c r="AG1713" s="22"/>
      <c r="AH1713" s="22"/>
      <c r="AI1713" s="22"/>
      <c r="AJ1713" s="22"/>
    </row>
    <row r="1714" spans="1:36" x14ac:dyDescent="0.25">
      <c r="A1714" s="22" t="s">
        <v>4144</v>
      </c>
      <c r="B1714" s="22">
        <v>0</v>
      </c>
      <c r="C1714" s="22"/>
      <c r="D1714" s="22"/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2"/>
      <c r="T1714" s="22"/>
      <c r="U1714" s="22"/>
      <c r="V1714" s="22"/>
      <c r="W1714" s="22"/>
      <c r="X1714" s="22"/>
      <c r="Y1714" s="22"/>
      <c r="Z1714" s="22"/>
      <c r="AA1714" s="22"/>
      <c r="AB1714" s="22"/>
      <c r="AC1714" s="22"/>
      <c r="AD1714" s="22"/>
      <c r="AE1714" s="22"/>
      <c r="AF1714" s="22"/>
      <c r="AG1714" s="22"/>
      <c r="AH1714" s="22"/>
      <c r="AI1714" s="22"/>
      <c r="AJ1714" s="22"/>
    </row>
    <row r="1715" spans="1:36" x14ac:dyDescent="0.25">
      <c r="A1715" s="22" t="s">
        <v>4145</v>
      </c>
      <c r="B1715" s="22">
        <v>0</v>
      </c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2"/>
      <c r="S1715" s="22"/>
      <c r="T1715" s="22"/>
      <c r="U1715" s="22"/>
      <c r="V1715" s="22"/>
      <c r="W1715" s="22"/>
      <c r="X1715" s="22"/>
      <c r="Y1715" s="22"/>
      <c r="Z1715" s="22"/>
      <c r="AA1715" s="22"/>
      <c r="AB1715" s="22"/>
      <c r="AC1715" s="22"/>
      <c r="AD1715" s="22"/>
      <c r="AE1715" s="22"/>
      <c r="AF1715" s="22"/>
      <c r="AG1715" s="22"/>
      <c r="AH1715" s="22"/>
      <c r="AI1715" s="22"/>
      <c r="AJ1715" s="22"/>
    </row>
    <row r="1716" spans="1:36" x14ac:dyDescent="0.25">
      <c r="A1716" s="22" t="s">
        <v>4146</v>
      </c>
      <c r="B1716" s="22">
        <v>0</v>
      </c>
      <c r="C1716" s="22"/>
      <c r="D1716" s="22"/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2"/>
      <c r="T1716" s="22"/>
      <c r="U1716" s="22"/>
      <c r="V1716" s="22"/>
      <c r="W1716" s="22"/>
      <c r="X1716" s="22"/>
      <c r="Y1716" s="22"/>
      <c r="Z1716" s="22"/>
      <c r="AA1716" s="22"/>
      <c r="AB1716" s="22"/>
      <c r="AC1716" s="22"/>
      <c r="AD1716" s="22"/>
      <c r="AE1716" s="22"/>
      <c r="AF1716" s="22"/>
      <c r="AG1716" s="22"/>
      <c r="AH1716" s="22"/>
      <c r="AI1716" s="22"/>
      <c r="AJ1716" s="22"/>
    </row>
    <row r="1717" spans="1:36" x14ac:dyDescent="0.25">
      <c r="A1717" s="22" t="s">
        <v>4147</v>
      </c>
      <c r="B1717" s="22">
        <v>0</v>
      </c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2"/>
      <c r="S1717" s="22"/>
      <c r="T1717" s="22"/>
      <c r="U1717" s="22"/>
      <c r="V1717" s="22"/>
      <c r="W1717" s="22"/>
      <c r="X1717" s="22"/>
      <c r="Y1717" s="22"/>
      <c r="Z1717" s="22"/>
      <c r="AA1717" s="22"/>
      <c r="AB1717" s="22"/>
      <c r="AC1717" s="22"/>
      <c r="AD1717" s="22"/>
      <c r="AE1717" s="22"/>
      <c r="AF1717" s="22"/>
      <c r="AG1717" s="22"/>
      <c r="AH1717" s="22"/>
      <c r="AI1717" s="22"/>
      <c r="AJ1717" s="22"/>
    </row>
    <row r="1718" spans="1:36" x14ac:dyDescent="0.25">
      <c r="A1718" s="22" t="s">
        <v>4148</v>
      </c>
      <c r="B1718" s="22">
        <v>0</v>
      </c>
      <c r="C1718" s="22"/>
      <c r="D1718" s="22"/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2"/>
      <c r="T1718" s="22"/>
      <c r="U1718" s="22"/>
      <c r="V1718" s="22"/>
      <c r="W1718" s="22"/>
      <c r="X1718" s="22"/>
      <c r="Y1718" s="22"/>
      <c r="Z1718" s="22"/>
      <c r="AA1718" s="22"/>
      <c r="AB1718" s="22"/>
      <c r="AC1718" s="22"/>
      <c r="AD1718" s="22"/>
      <c r="AE1718" s="22"/>
      <c r="AF1718" s="22"/>
      <c r="AG1718" s="22"/>
      <c r="AH1718" s="22"/>
      <c r="AI1718" s="22"/>
      <c r="AJ1718" s="22"/>
    </row>
    <row r="1719" spans="1:36" x14ac:dyDescent="0.25">
      <c r="A1719" s="22" t="s">
        <v>4149</v>
      </c>
      <c r="B1719" s="22">
        <v>0</v>
      </c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2"/>
      <c r="S1719" s="22"/>
      <c r="T1719" s="22"/>
      <c r="U1719" s="22"/>
      <c r="V1719" s="22"/>
      <c r="W1719" s="22"/>
      <c r="X1719" s="22"/>
      <c r="Y1719" s="22"/>
      <c r="Z1719" s="22"/>
      <c r="AA1719" s="22"/>
      <c r="AB1719" s="22"/>
      <c r="AC1719" s="22"/>
      <c r="AD1719" s="22"/>
      <c r="AE1719" s="22"/>
      <c r="AF1719" s="22"/>
      <c r="AG1719" s="22"/>
      <c r="AH1719" s="22"/>
      <c r="AI1719" s="22"/>
      <c r="AJ1719" s="22"/>
    </row>
    <row r="1720" spans="1:36" x14ac:dyDescent="0.25">
      <c r="A1720" s="22" t="s">
        <v>4150</v>
      </c>
      <c r="B1720" s="22">
        <v>0</v>
      </c>
      <c r="C1720" s="22"/>
      <c r="D1720" s="22"/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2"/>
      <c r="T1720" s="22"/>
      <c r="U1720" s="22"/>
      <c r="V1720" s="22"/>
      <c r="W1720" s="22"/>
      <c r="X1720" s="22"/>
      <c r="Y1720" s="22"/>
      <c r="Z1720" s="22"/>
      <c r="AA1720" s="22"/>
      <c r="AB1720" s="22"/>
      <c r="AC1720" s="22"/>
      <c r="AD1720" s="22"/>
      <c r="AE1720" s="22"/>
      <c r="AF1720" s="22"/>
      <c r="AG1720" s="22"/>
      <c r="AH1720" s="22"/>
      <c r="AI1720" s="22"/>
      <c r="AJ1720" s="22"/>
    </row>
    <row r="1721" spans="1:36" x14ac:dyDescent="0.25">
      <c r="A1721" s="22" t="s">
        <v>4151</v>
      </c>
      <c r="B1721" s="22">
        <v>0</v>
      </c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2"/>
      <c r="S1721" s="22"/>
      <c r="T1721" s="22"/>
      <c r="U1721" s="22"/>
      <c r="V1721" s="22"/>
      <c r="W1721" s="22"/>
      <c r="X1721" s="22"/>
      <c r="Y1721" s="22"/>
      <c r="Z1721" s="22"/>
      <c r="AA1721" s="22"/>
      <c r="AB1721" s="22"/>
      <c r="AC1721" s="22"/>
      <c r="AD1721" s="22"/>
      <c r="AE1721" s="22"/>
      <c r="AF1721" s="22"/>
      <c r="AG1721" s="22"/>
      <c r="AH1721" s="22"/>
      <c r="AI1721" s="22"/>
      <c r="AJ1721" s="22"/>
    </row>
    <row r="1722" spans="1:36" x14ac:dyDescent="0.25">
      <c r="A1722" s="22" t="s">
        <v>4152</v>
      </c>
      <c r="B1722" s="22">
        <v>0</v>
      </c>
      <c r="C1722" s="22"/>
      <c r="D1722" s="22"/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2"/>
      <c r="T1722" s="22"/>
      <c r="U1722" s="22"/>
      <c r="V1722" s="22"/>
      <c r="W1722" s="22"/>
      <c r="X1722" s="22"/>
      <c r="Y1722" s="22"/>
      <c r="Z1722" s="22"/>
      <c r="AA1722" s="22"/>
      <c r="AB1722" s="22"/>
      <c r="AC1722" s="22"/>
      <c r="AD1722" s="22"/>
      <c r="AE1722" s="22"/>
      <c r="AF1722" s="22"/>
      <c r="AG1722" s="22"/>
      <c r="AH1722" s="22"/>
      <c r="AI1722" s="22"/>
      <c r="AJ1722" s="22"/>
    </row>
    <row r="1723" spans="1:36" x14ac:dyDescent="0.25">
      <c r="A1723" s="22" t="s">
        <v>4153</v>
      </c>
      <c r="B1723" s="22">
        <v>0</v>
      </c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2"/>
      <c r="S1723" s="22"/>
      <c r="T1723" s="22"/>
      <c r="U1723" s="22"/>
      <c r="V1723" s="22"/>
      <c r="W1723" s="22"/>
      <c r="X1723" s="22"/>
      <c r="Y1723" s="22"/>
      <c r="Z1723" s="22"/>
      <c r="AA1723" s="22"/>
      <c r="AB1723" s="22"/>
      <c r="AC1723" s="22"/>
      <c r="AD1723" s="22"/>
      <c r="AE1723" s="22"/>
      <c r="AF1723" s="22"/>
      <c r="AG1723" s="22"/>
      <c r="AH1723" s="22"/>
      <c r="AI1723" s="22"/>
      <c r="AJ1723" s="22"/>
    </row>
    <row r="1724" spans="1:36" x14ac:dyDescent="0.25">
      <c r="A1724" s="22" t="s">
        <v>4154</v>
      </c>
      <c r="B1724" s="22">
        <v>0</v>
      </c>
      <c r="C1724" s="22"/>
      <c r="D1724" s="22"/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2"/>
      <c r="T1724" s="22"/>
      <c r="U1724" s="22"/>
      <c r="V1724" s="22"/>
      <c r="W1724" s="22"/>
      <c r="X1724" s="22"/>
      <c r="Y1724" s="22"/>
      <c r="Z1724" s="22"/>
      <c r="AA1724" s="22"/>
      <c r="AB1724" s="22"/>
      <c r="AC1724" s="22"/>
      <c r="AD1724" s="22"/>
      <c r="AE1724" s="22"/>
      <c r="AF1724" s="22"/>
      <c r="AG1724" s="22"/>
      <c r="AH1724" s="22"/>
      <c r="AI1724" s="22"/>
      <c r="AJ1724" s="22"/>
    </row>
    <row r="1725" spans="1:36" x14ac:dyDescent="0.25">
      <c r="A1725" s="22" t="s">
        <v>4155</v>
      </c>
      <c r="B1725" s="22">
        <v>0</v>
      </c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2"/>
      <c r="S1725" s="22"/>
      <c r="T1725" s="22"/>
      <c r="U1725" s="22"/>
      <c r="V1725" s="22"/>
      <c r="W1725" s="22"/>
      <c r="X1725" s="22"/>
      <c r="Y1725" s="22"/>
      <c r="Z1725" s="22"/>
      <c r="AA1725" s="22"/>
      <c r="AB1725" s="22"/>
      <c r="AC1725" s="22"/>
      <c r="AD1725" s="22"/>
      <c r="AE1725" s="22"/>
      <c r="AF1725" s="22"/>
      <c r="AG1725" s="22"/>
      <c r="AH1725" s="22"/>
      <c r="AI1725" s="22"/>
      <c r="AJ1725" s="22"/>
    </row>
    <row r="1726" spans="1:36" x14ac:dyDescent="0.25">
      <c r="A1726" s="22" t="s">
        <v>449</v>
      </c>
      <c r="B1726" s="22">
        <v>0</v>
      </c>
      <c r="C1726" s="22"/>
      <c r="D1726" s="22"/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2"/>
      <c r="T1726" s="22"/>
      <c r="U1726" s="22"/>
      <c r="V1726" s="22"/>
      <c r="W1726" s="22"/>
      <c r="X1726" s="22"/>
      <c r="Y1726" s="22"/>
      <c r="Z1726" s="22"/>
      <c r="AA1726" s="22"/>
      <c r="AB1726" s="22"/>
      <c r="AC1726" s="22"/>
      <c r="AD1726" s="22"/>
      <c r="AE1726" s="22"/>
      <c r="AF1726" s="22"/>
      <c r="AG1726" s="22"/>
      <c r="AH1726" s="22"/>
      <c r="AI1726" s="22"/>
      <c r="AJ1726" s="22"/>
    </row>
    <row r="1727" spans="1:36" x14ac:dyDescent="0.25">
      <c r="A1727" s="22" t="s">
        <v>3305</v>
      </c>
      <c r="B1727" s="22">
        <v>0</v>
      </c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2"/>
      <c r="S1727" s="22"/>
      <c r="T1727" s="22"/>
      <c r="U1727" s="22"/>
      <c r="V1727" s="22"/>
      <c r="W1727" s="22"/>
      <c r="X1727" s="22"/>
      <c r="Y1727" s="22"/>
      <c r="Z1727" s="22"/>
      <c r="AA1727" s="22"/>
      <c r="AB1727" s="22"/>
      <c r="AC1727" s="22"/>
      <c r="AD1727" s="22"/>
      <c r="AE1727" s="22"/>
      <c r="AF1727" s="22"/>
      <c r="AG1727" s="22"/>
      <c r="AH1727" s="22"/>
      <c r="AI1727" s="22"/>
      <c r="AJ1727" s="22"/>
    </row>
    <row r="1728" spans="1:36" x14ac:dyDescent="0.25">
      <c r="A1728" s="22" t="s">
        <v>3306</v>
      </c>
      <c r="B1728" s="22">
        <v>0</v>
      </c>
      <c r="C1728" s="22"/>
      <c r="D1728" s="22"/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2"/>
      <c r="T1728" s="22"/>
      <c r="U1728" s="22"/>
      <c r="V1728" s="22"/>
      <c r="W1728" s="22"/>
      <c r="X1728" s="22"/>
      <c r="Y1728" s="22"/>
      <c r="Z1728" s="22"/>
      <c r="AA1728" s="22"/>
      <c r="AB1728" s="22"/>
      <c r="AC1728" s="22"/>
      <c r="AD1728" s="22"/>
      <c r="AE1728" s="22"/>
      <c r="AF1728" s="22"/>
      <c r="AG1728" s="22"/>
      <c r="AH1728" s="22"/>
      <c r="AI1728" s="22"/>
      <c r="AJ1728" s="22"/>
    </row>
    <row r="1729" spans="1:36" x14ac:dyDescent="0.25">
      <c r="A1729" s="22" t="s">
        <v>3307</v>
      </c>
      <c r="B1729" s="22">
        <v>0</v>
      </c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2"/>
      <c r="S1729" s="22"/>
      <c r="T1729" s="22"/>
      <c r="U1729" s="22"/>
      <c r="V1729" s="22"/>
      <c r="W1729" s="22"/>
      <c r="X1729" s="22"/>
      <c r="Y1729" s="22"/>
      <c r="Z1729" s="22"/>
      <c r="AA1729" s="22"/>
      <c r="AB1729" s="22"/>
      <c r="AC1729" s="22"/>
      <c r="AD1729" s="22"/>
      <c r="AE1729" s="22"/>
      <c r="AF1729" s="22"/>
      <c r="AG1729" s="22"/>
      <c r="AH1729" s="22"/>
      <c r="AI1729" s="22"/>
      <c r="AJ1729" s="22"/>
    </row>
    <row r="1730" spans="1:36" x14ac:dyDescent="0.25">
      <c r="A1730" s="22" t="s">
        <v>3308</v>
      </c>
      <c r="B1730" s="22">
        <v>0</v>
      </c>
      <c r="C1730" s="22"/>
      <c r="D1730" s="22"/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2"/>
      <c r="T1730" s="22"/>
      <c r="U1730" s="22"/>
      <c r="V1730" s="22"/>
      <c r="W1730" s="22"/>
      <c r="X1730" s="22"/>
      <c r="Y1730" s="22"/>
      <c r="Z1730" s="22"/>
      <c r="AA1730" s="22"/>
      <c r="AB1730" s="22"/>
      <c r="AC1730" s="22"/>
      <c r="AD1730" s="22"/>
      <c r="AE1730" s="22"/>
      <c r="AF1730" s="22"/>
      <c r="AG1730" s="22"/>
      <c r="AH1730" s="22"/>
      <c r="AI1730" s="22"/>
      <c r="AJ1730" s="22"/>
    </row>
    <row r="1731" spans="1:36" x14ac:dyDescent="0.25">
      <c r="A1731" s="22" t="s">
        <v>3309</v>
      </c>
      <c r="B1731" s="22">
        <v>0</v>
      </c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2"/>
      <c r="S1731" s="22"/>
      <c r="T1731" s="22"/>
      <c r="U1731" s="22"/>
      <c r="V1731" s="22"/>
      <c r="W1731" s="22"/>
      <c r="X1731" s="22"/>
      <c r="Y1731" s="22"/>
      <c r="Z1731" s="22"/>
      <c r="AA1731" s="22"/>
      <c r="AB1731" s="22"/>
      <c r="AC1731" s="22"/>
      <c r="AD1731" s="22"/>
      <c r="AE1731" s="22"/>
      <c r="AF1731" s="22"/>
      <c r="AG1731" s="22"/>
      <c r="AH1731" s="22"/>
      <c r="AI1731" s="22"/>
      <c r="AJ1731" s="22"/>
    </row>
    <row r="1732" spans="1:36" x14ac:dyDescent="0.25">
      <c r="A1732" s="22" t="s">
        <v>3310</v>
      </c>
      <c r="B1732" s="22">
        <v>0</v>
      </c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2"/>
      <c r="T1732" s="22"/>
      <c r="U1732" s="22"/>
      <c r="V1732" s="22"/>
      <c r="W1732" s="22"/>
      <c r="X1732" s="22"/>
      <c r="Y1732" s="22"/>
      <c r="Z1732" s="22"/>
      <c r="AA1732" s="22"/>
      <c r="AB1732" s="22"/>
      <c r="AC1732" s="22"/>
      <c r="AD1732" s="22"/>
      <c r="AE1732" s="22"/>
      <c r="AF1732" s="22"/>
      <c r="AG1732" s="22"/>
      <c r="AH1732" s="22"/>
      <c r="AI1732" s="22"/>
      <c r="AJ1732" s="22"/>
    </row>
    <row r="1733" spans="1:36" x14ac:dyDescent="0.25">
      <c r="A1733" s="22" t="s">
        <v>3311</v>
      </c>
      <c r="B1733" s="22">
        <v>0</v>
      </c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2"/>
      <c r="S1733" s="22"/>
      <c r="T1733" s="22"/>
      <c r="U1733" s="22"/>
      <c r="V1733" s="22"/>
      <c r="W1733" s="22"/>
      <c r="X1733" s="22"/>
      <c r="Y1733" s="22"/>
      <c r="Z1733" s="22"/>
      <c r="AA1733" s="22"/>
      <c r="AB1733" s="22"/>
      <c r="AC1733" s="22"/>
      <c r="AD1733" s="22"/>
      <c r="AE1733" s="22"/>
      <c r="AF1733" s="22"/>
      <c r="AG1733" s="22"/>
      <c r="AH1733" s="22"/>
      <c r="AI1733" s="22"/>
      <c r="AJ1733" s="22"/>
    </row>
    <row r="1734" spans="1:36" x14ac:dyDescent="0.25">
      <c r="A1734" s="22" t="s">
        <v>4156</v>
      </c>
      <c r="B1734" s="22">
        <v>0</v>
      </c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2"/>
      <c r="T1734" s="22"/>
      <c r="U1734" s="22"/>
      <c r="V1734" s="22"/>
      <c r="W1734" s="22"/>
      <c r="X1734" s="22"/>
      <c r="Y1734" s="22"/>
      <c r="Z1734" s="22"/>
      <c r="AA1734" s="22"/>
      <c r="AB1734" s="22"/>
      <c r="AC1734" s="22"/>
      <c r="AD1734" s="22"/>
      <c r="AE1734" s="22"/>
      <c r="AF1734" s="22"/>
      <c r="AG1734" s="22"/>
      <c r="AH1734" s="22"/>
      <c r="AI1734" s="22"/>
      <c r="AJ1734" s="22"/>
    </row>
    <row r="1735" spans="1:36" x14ac:dyDescent="0.25">
      <c r="A1735" s="22" t="s">
        <v>4157</v>
      </c>
      <c r="B1735" s="22">
        <v>0</v>
      </c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2"/>
      <c r="S1735" s="22"/>
      <c r="T1735" s="22"/>
      <c r="U1735" s="22"/>
      <c r="V1735" s="22"/>
      <c r="W1735" s="22"/>
      <c r="X1735" s="22"/>
      <c r="Y1735" s="22"/>
      <c r="Z1735" s="22"/>
      <c r="AA1735" s="22"/>
      <c r="AB1735" s="22"/>
      <c r="AC1735" s="22"/>
      <c r="AD1735" s="22"/>
      <c r="AE1735" s="22"/>
      <c r="AF1735" s="22"/>
      <c r="AG1735" s="22"/>
      <c r="AH1735" s="22"/>
      <c r="AI1735" s="22"/>
      <c r="AJ1735" s="22"/>
    </row>
    <row r="1736" spans="1:36" x14ac:dyDescent="0.25">
      <c r="A1736" s="22" t="s">
        <v>4158</v>
      </c>
      <c r="B1736" s="22">
        <v>0</v>
      </c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2"/>
      <c r="T1736" s="22"/>
      <c r="U1736" s="22"/>
      <c r="V1736" s="22"/>
      <c r="W1736" s="22"/>
      <c r="X1736" s="22"/>
      <c r="Y1736" s="22"/>
      <c r="Z1736" s="22"/>
      <c r="AA1736" s="22"/>
      <c r="AB1736" s="22"/>
      <c r="AC1736" s="22"/>
      <c r="AD1736" s="22"/>
      <c r="AE1736" s="22"/>
      <c r="AF1736" s="22"/>
      <c r="AG1736" s="22"/>
      <c r="AH1736" s="22"/>
      <c r="AI1736" s="22"/>
      <c r="AJ1736" s="22"/>
    </row>
    <row r="1737" spans="1:36" x14ac:dyDescent="0.25">
      <c r="A1737" s="22" t="s">
        <v>4159</v>
      </c>
      <c r="B1737" s="22">
        <v>0</v>
      </c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2"/>
      <c r="S1737" s="22"/>
      <c r="T1737" s="22"/>
      <c r="U1737" s="22"/>
      <c r="V1737" s="22"/>
      <c r="W1737" s="22"/>
      <c r="X1737" s="22"/>
      <c r="Y1737" s="22"/>
      <c r="Z1737" s="22"/>
      <c r="AA1737" s="22"/>
      <c r="AB1737" s="22"/>
      <c r="AC1737" s="22"/>
      <c r="AD1737" s="22"/>
      <c r="AE1737" s="22"/>
      <c r="AF1737" s="22"/>
      <c r="AG1737" s="22"/>
      <c r="AH1737" s="22"/>
      <c r="AI1737" s="22"/>
      <c r="AJ1737" s="22"/>
    </row>
    <row r="1738" spans="1:36" x14ac:dyDescent="0.25">
      <c r="A1738" s="22" t="s">
        <v>4160</v>
      </c>
      <c r="B1738" s="22">
        <v>0</v>
      </c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2"/>
      <c r="T1738" s="22"/>
      <c r="U1738" s="22"/>
      <c r="V1738" s="22"/>
      <c r="W1738" s="22"/>
      <c r="X1738" s="22"/>
      <c r="Y1738" s="22"/>
      <c r="Z1738" s="22"/>
      <c r="AA1738" s="22"/>
      <c r="AB1738" s="22"/>
      <c r="AC1738" s="22"/>
      <c r="AD1738" s="22"/>
      <c r="AE1738" s="22"/>
      <c r="AF1738" s="22"/>
      <c r="AG1738" s="22"/>
      <c r="AH1738" s="22"/>
      <c r="AI1738" s="22"/>
      <c r="AJ1738" s="22"/>
    </row>
    <row r="1739" spans="1:36" x14ac:dyDescent="0.25">
      <c r="A1739" s="22" t="s">
        <v>4161</v>
      </c>
      <c r="B1739" s="22">
        <v>0</v>
      </c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2"/>
      <c r="S1739" s="22"/>
      <c r="T1739" s="22"/>
      <c r="U1739" s="22"/>
      <c r="V1739" s="22"/>
      <c r="W1739" s="22"/>
      <c r="X1739" s="22"/>
      <c r="Y1739" s="22"/>
      <c r="Z1739" s="22"/>
      <c r="AA1739" s="22"/>
      <c r="AB1739" s="22"/>
      <c r="AC1739" s="22"/>
      <c r="AD1739" s="22"/>
      <c r="AE1739" s="22"/>
      <c r="AF1739" s="22"/>
      <c r="AG1739" s="22"/>
      <c r="AH1739" s="22"/>
      <c r="AI1739" s="22"/>
      <c r="AJ1739" s="22"/>
    </row>
    <row r="1740" spans="1:36" x14ac:dyDescent="0.25">
      <c r="A1740" s="22" t="s">
        <v>4162</v>
      </c>
      <c r="B1740" s="22">
        <v>0</v>
      </c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2"/>
      <c r="T1740" s="22"/>
      <c r="U1740" s="22"/>
      <c r="V1740" s="22"/>
      <c r="W1740" s="22"/>
      <c r="X1740" s="22"/>
      <c r="Y1740" s="22"/>
      <c r="Z1740" s="22"/>
      <c r="AA1740" s="22"/>
      <c r="AB1740" s="22"/>
      <c r="AC1740" s="22"/>
      <c r="AD1740" s="22"/>
      <c r="AE1740" s="22"/>
      <c r="AF1740" s="22"/>
      <c r="AG1740" s="22"/>
      <c r="AH1740" s="22"/>
      <c r="AI1740" s="22"/>
      <c r="AJ1740" s="22"/>
    </row>
    <row r="1741" spans="1:36" x14ac:dyDescent="0.25">
      <c r="A1741" s="22" t="s">
        <v>4163</v>
      </c>
      <c r="B1741" s="22">
        <v>0</v>
      </c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2"/>
      <c r="S1741" s="22"/>
      <c r="T1741" s="22"/>
      <c r="U1741" s="22"/>
      <c r="V1741" s="22"/>
      <c r="W1741" s="22"/>
      <c r="X1741" s="22"/>
      <c r="Y1741" s="22"/>
      <c r="Z1741" s="22"/>
      <c r="AA1741" s="22"/>
      <c r="AB1741" s="22"/>
      <c r="AC1741" s="22"/>
      <c r="AD1741" s="22"/>
      <c r="AE1741" s="22"/>
      <c r="AF1741" s="22"/>
      <c r="AG1741" s="22"/>
      <c r="AH1741" s="22"/>
      <c r="AI1741" s="22"/>
      <c r="AJ1741" s="22"/>
    </row>
    <row r="1742" spans="1:36" x14ac:dyDescent="0.25">
      <c r="A1742" s="22" t="s">
        <v>450</v>
      </c>
      <c r="B1742" s="22">
        <v>0</v>
      </c>
      <c r="C1742" s="22"/>
      <c r="D1742" s="22"/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2"/>
      <c r="T1742" s="22"/>
      <c r="U1742" s="22"/>
      <c r="V1742" s="22"/>
      <c r="W1742" s="22"/>
      <c r="X1742" s="22"/>
      <c r="Y1742" s="22"/>
      <c r="Z1742" s="22"/>
      <c r="AA1742" s="22"/>
      <c r="AB1742" s="22"/>
      <c r="AC1742" s="22"/>
      <c r="AD1742" s="22"/>
      <c r="AE1742" s="22"/>
      <c r="AF1742" s="22"/>
      <c r="AG1742" s="22"/>
      <c r="AH1742" s="22"/>
      <c r="AI1742" s="22"/>
      <c r="AJ1742" s="22"/>
    </row>
    <row r="1743" spans="1:36" x14ac:dyDescent="0.25">
      <c r="A1743" s="22" t="s">
        <v>3312</v>
      </c>
      <c r="B1743" s="22">
        <v>0</v>
      </c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2"/>
      <c r="S1743" s="22"/>
      <c r="T1743" s="22"/>
      <c r="U1743" s="22"/>
      <c r="V1743" s="22"/>
      <c r="W1743" s="22"/>
      <c r="X1743" s="22"/>
      <c r="Y1743" s="22"/>
      <c r="Z1743" s="22"/>
      <c r="AA1743" s="22"/>
      <c r="AB1743" s="22"/>
      <c r="AC1743" s="22"/>
      <c r="AD1743" s="22"/>
      <c r="AE1743" s="22"/>
      <c r="AF1743" s="22"/>
      <c r="AG1743" s="22"/>
      <c r="AH1743" s="22"/>
      <c r="AI1743" s="22"/>
      <c r="AJ1743" s="22"/>
    </row>
    <row r="1744" spans="1:36" x14ac:dyDescent="0.25">
      <c r="A1744" s="22" t="s">
        <v>3313</v>
      </c>
      <c r="B1744" s="22">
        <v>0</v>
      </c>
      <c r="C1744" s="22"/>
      <c r="D1744" s="22"/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2"/>
      <c r="T1744" s="22"/>
      <c r="U1744" s="22"/>
      <c r="V1744" s="22"/>
      <c r="W1744" s="22"/>
      <c r="X1744" s="22"/>
      <c r="Y1744" s="22"/>
      <c r="Z1744" s="22"/>
      <c r="AA1744" s="22"/>
      <c r="AB1744" s="22"/>
      <c r="AC1744" s="22"/>
      <c r="AD1744" s="22"/>
      <c r="AE1744" s="22"/>
      <c r="AF1744" s="22"/>
      <c r="AG1744" s="22"/>
      <c r="AH1744" s="22"/>
      <c r="AI1744" s="22"/>
      <c r="AJ1744" s="22"/>
    </row>
    <row r="1745" spans="1:36" x14ac:dyDescent="0.25">
      <c r="A1745" s="22" t="s">
        <v>3314</v>
      </c>
      <c r="B1745" s="22">
        <v>0</v>
      </c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2"/>
      <c r="S1745" s="22"/>
      <c r="T1745" s="22"/>
      <c r="U1745" s="22"/>
      <c r="V1745" s="22"/>
      <c r="W1745" s="22"/>
      <c r="X1745" s="22"/>
      <c r="Y1745" s="22"/>
      <c r="Z1745" s="22"/>
      <c r="AA1745" s="22"/>
      <c r="AB1745" s="22"/>
      <c r="AC1745" s="22"/>
      <c r="AD1745" s="22"/>
      <c r="AE1745" s="22"/>
      <c r="AF1745" s="22"/>
      <c r="AG1745" s="22"/>
      <c r="AH1745" s="22"/>
      <c r="AI1745" s="22"/>
      <c r="AJ1745" s="22"/>
    </row>
    <row r="1746" spans="1:36" x14ac:dyDescent="0.25">
      <c r="A1746" s="22" t="s">
        <v>3315</v>
      </c>
      <c r="B1746" s="22">
        <v>0</v>
      </c>
      <c r="C1746" s="22"/>
      <c r="D1746" s="22"/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2"/>
      <c r="T1746" s="22"/>
      <c r="U1746" s="22"/>
      <c r="V1746" s="22"/>
      <c r="W1746" s="22"/>
      <c r="X1746" s="22"/>
      <c r="Y1746" s="22"/>
      <c r="Z1746" s="22"/>
      <c r="AA1746" s="22"/>
      <c r="AB1746" s="22"/>
      <c r="AC1746" s="22"/>
      <c r="AD1746" s="22"/>
      <c r="AE1746" s="22"/>
      <c r="AF1746" s="22"/>
      <c r="AG1746" s="22"/>
      <c r="AH1746" s="22"/>
      <c r="AI1746" s="22"/>
      <c r="AJ1746" s="22"/>
    </row>
    <row r="1747" spans="1:36" x14ac:dyDescent="0.25">
      <c r="A1747" s="22" t="s">
        <v>3316</v>
      </c>
      <c r="B1747" s="22">
        <v>0</v>
      </c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2"/>
      <c r="S1747" s="22"/>
      <c r="T1747" s="22"/>
      <c r="U1747" s="22"/>
      <c r="V1747" s="22"/>
      <c r="W1747" s="22"/>
      <c r="X1747" s="22"/>
      <c r="Y1747" s="22"/>
      <c r="Z1747" s="22"/>
      <c r="AA1747" s="22"/>
      <c r="AB1747" s="22"/>
      <c r="AC1747" s="22"/>
      <c r="AD1747" s="22"/>
      <c r="AE1747" s="22"/>
      <c r="AF1747" s="22"/>
      <c r="AG1747" s="22"/>
      <c r="AH1747" s="22"/>
      <c r="AI1747" s="22"/>
      <c r="AJ1747" s="22"/>
    </row>
    <row r="1748" spans="1:36" x14ac:dyDescent="0.25">
      <c r="A1748" s="22" t="s">
        <v>3317</v>
      </c>
      <c r="B1748" s="22">
        <v>0</v>
      </c>
      <c r="C1748" s="22"/>
      <c r="D1748" s="22"/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2"/>
      <c r="T1748" s="22"/>
      <c r="U1748" s="22"/>
      <c r="V1748" s="22"/>
      <c r="W1748" s="22"/>
      <c r="X1748" s="22"/>
      <c r="Y1748" s="22"/>
      <c r="Z1748" s="22"/>
      <c r="AA1748" s="22"/>
      <c r="AB1748" s="22"/>
      <c r="AC1748" s="22"/>
      <c r="AD1748" s="22"/>
      <c r="AE1748" s="22"/>
      <c r="AF1748" s="22"/>
      <c r="AG1748" s="22"/>
      <c r="AH1748" s="22"/>
      <c r="AI1748" s="22"/>
      <c r="AJ1748" s="22"/>
    </row>
    <row r="1749" spans="1:36" x14ac:dyDescent="0.25">
      <c r="A1749" s="22" t="s">
        <v>3318</v>
      </c>
      <c r="B1749" s="22">
        <v>0</v>
      </c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2"/>
      <c r="S1749" s="22"/>
      <c r="T1749" s="22"/>
      <c r="U1749" s="22"/>
      <c r="V1749" s="22"/>
      <c r="W1749" s="22"/>
      <c r="X1749" s="22"/>
      <c r="Y1749" s="22"/>
      <c r="Z1749" s="22"/>
      <c r="AA1749" s="22"/>
      <c r="AB1749" s="22"/>
      <c r="AC1749" s="22"/>
      <c r="AD1749" s="22"/>
      <c r="AE1749" s="22"/>
      <c r="AF1749" s="22"/>
      <c r="AG1749" s="22"/>
      <c r="AH1749" s="22"/>
      <c r="AI1749" s="22"/>
      <c r="AJ1749" s="22"/>
    </row>
    <row r="1750" spans="1:36" x14ac:dyDescent="0.25">
      <c r="A1750" s="22" t="s">
        <v>4164</v>
      </c>
      <c r="B1750" s="22">
        <v>0</v>
      </c>
      <c r="C1750" s="22"/>
      <c r="D1750" s="22"/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2"/>
      <c r="T1750" s="22"/>
      <c r="U1750" s="22"/>
      <c r="V1750" s="22"/>
      <c r="W1750" s="22"/>
      <c r="X1750" s="22"/>
      <c r="Y1750" s="22"/>
      <c r="Z1750" s="22"/>
      <c r="AA1750" s="22"/>
      <c r="AB1750" s="22"/>
      <c r="AC1750" s="22"/>
      <c r="AD1750" s="22"/>
      <c r="AE1750" s="22"/>
      <c r="AF1750" s="22"/>
      <c r="AG1750" s="22"/>
      <c r="AH1750" s="22"/>
      <c r="AI1750" s="22"/>
      <c r="AJ1750" s="22"/>
    </row>
    <row r="1751" spans="1:36" x14ac:dyDescent="0.25">
      <c r="A1751" s="22" t="s">
        <v>4165</v>
      </c>
      <c r="B1751" s="22">
        <v>0</v>
      </c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2"/>
      <c r="S1751" s="22"/>
      <c r="T1751" s="22"/>
      <c r="U1751" s="22"/>
      <c r="V1751" s="22"/>
      <c r="W1751" s="22"/>
      <c r="X1751" s="22"/>
      <c r="Y1751" s="22"/>
      <c r="Z1751" s="22"/>
      <c r="AA1751" s="22"/>
      <c r="AB1751" s="22"/>
      <c r="AC1751" s="22"/>
      <c r="AD1751" s="22"/>
      <c r="AE1751" s="22"/>
      <c r="AF1751" s="22"/>
      <c r="AG1751" s="22"/>
      <c r="AH1751" s="22"/>
      <c r="AI1751" s="22"/>
      <c r="AJ1751" s="22"/>
    </row>
    <row r="1752" spans="1:36" x14ac:dyDescent="0.25">
      <c r="A1752" s="22" t="s">
        <v>4166</v>
      </c>
      <c r="B1752" s="22">
        <v>0</v>
      </c>
      <c r="C1752" s="22"/>
      <c r="D1752" s="22"/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2"/>
      <c r="T1752" s="22"/>
      <c r="U1752" s="22"/>
      <c r="V1752" s="22"/>
      <c r="W1752" s="22"/>
      <c r="X1752" s="22"/>
      <c r="Y1752" s="22"/>
      <c r="Z1752" s="22"/>
      <c r="AA1752" s="22"/>
      <c r="AB1752" s="22"/>
      <c r="AC1752" s="22"/>
      <c r="AD1752" s="22"/>
      <c r="AE1752" s="22"/>
      <c r="AF1752" s="22"/>
      <c r="AG1752" s="22"/>
      <c r="AH1752" s="22"/>
      <c r="AI1752" s="22"/>
      <c r="AJ1752" s="22"/>
    </row>
    <row r="1753" spans="1:36" x14ac:dyDescent="0.25">
      <c r="A1753" s="22" t="s">
        <v>4167</v>
      </c>
      <c r="B1753" s="22">
        <v>0</v>
      </c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2"/>
      <c r="S1753" s="22"/>
      <c r="T1753" s="22"/>
      <c r="U1753" s="22"/>
      <c r="V1753" s="22"/>
      <c r="W1753" s="22"/>
      <c r="X1753" s="22"/>
      <c r="Y1753" s="22"/>
      <c r="Z1753" s="22"/>
      <c r="AA1753" s="22"/>
      <c r="AB1753" s="22"/>
      <c r="AC1753" s="22"/>
      <c r="AD1753" s="22"/>
      <c r="AE1753" s="22"/>
      <c r="AF1753" s="22"/>
      <c r="AG1753" s="22"/>
      <c r="AH1753" s="22"/>
      <c r="AI1753" s="22"/>
      <c r="AJ1753" s="22"/>
    </row>
    <row r="1754" spans="1:36" x14ac:dyDescent="0.25">
      <c r="A1754" s="22" t="s">
        <v>4168</v>
      </c>
      <c r="B1754" s="22">
        <v>0</v>
      </c>
      <c r="C1754" s="22"/>
      <c r="D1754" s="22"/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2"/>
      <c r="T1754" s="22"/>
      <c r="U1754" s="22"/>
      <c r="V1754" s="22"/>
      <c r="W1754" s="22"/>
      <c r="X1754" s="22"/>
      <c r="Y1754" s="22"/>
      <c r="Z1754" s="22"/>
      <c r="AA1754" s="22"/>
      <c r="AB1754" s="22"/>
      <c r="AC1754" s="22"/>
      <c r="AD1754" s="22"/>
      <c r="AE1754" s="22"/>
      <c r="AF1754" s="22"/>
      <c r="AG1754" s="22"/>
      <c r="AH1754" s="22"/>
      <c r="AI1754" s="22"/>
      <c r="AJ1754" s="22"/>
    </row>
    <row r="1755" spans="1:36" x14ac:dyDescent="0.25">
      <c r="A1755" s="22" t="s">
        <v>4169</v>
      </c>
      <c r="B1755" s="22">
        <v>0</v>
      </c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2"/>
      <c r="S1755" s="22"/>
      <c r="T1755" s="22"/>
      <c r="U1755" s="22"/>
      <c r="V1755" s="22"/>
      <c r="W1755" s="22"/>
      <c r="X1755" s="22"/>
      <c r="Y1755" s="22"/>
      <c r="Z1755" s="22"/>
      <c r="AA1755" s="22"/>
      <c r="AB1755" s="22"/>
      <c r="AC1755" s="22"/>
      <c r="AD1755" s="22"/>
      <c r="AE1755" s="22"/>
      <c r="AF1755" s="22"/>
      <c r="AG1755" s="22"/>
      <c r="AH1755" s="22"/>
      <c r="AI1755" s="22"/>
      <c r="AJ1755" s="22"/>
    </row>
    <row r="1756" spans="1:36" x14ac:dyDescent="0.25">
      <c r="A1756" s="22" t="s">
        <v>4170</v>
      </c>
      <c r="B1756" s="22">
        <v>0</v>
      </c>
      <c r="C1756" s="22"/>
      <c r="D1756" s="22"/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2"/>
      <c r="T1756" s="22"/>
      <c r="U1756" s="22"/>
      <c r="V1756" s="22"/>
      <c r="W1756" s="22"/>
      <c r="X1756" s="22"/>
      <c r="Y1756" s="22"/>
      <c r="Z1756" s="22"/>
      <c r="AA1756" s="22"/>
      <c r="AB1756" s="22"/>
      <c r="AC1756" s="22"/>
      <c r="AD1756" s="22"/>
      <c r="AE1756" s="22"/>
      <c r="AF1756" s="22"/>
      <c r="AG1756" s="22"/>
      <c r="AH1756" s="22"/>
      <c r="AI1756" s="22"/>
      <c r="AJ1756" s="22"/>
    </row>
    <row r="1757" spans="1:36" x14ac:dyDescent="0.25">
      <c r="A1757" s="22" t="s">
        <v>4171</v>
      </c>
      <c r="B1757" s="22">
        <v>0</v>
      </c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2"/>
      <c r="S1757" s="22"/>
      <c r="T1757" s="22"/>
      <c r="U1757" s="22"/>
      <c r="V1757" s="22"/>
      <c r="W1757" s="22"/>
      <c r="X1757" s="22"/>
      <c r="Y1757" s="22"/>
      <c r="Z1757" s="22"/>
      <c r="AA1757" s="22"/>
      <c r="AB1757" s="22"/>
      <c r="AC1757" s="22"/>
      <c r="AD1757" s="22"/>
      <c r="AE1757" s="22"/>
      <c r="AF1757" s="22"/>
      <c r="AG1757" s="22"/>
      <c r="AH1757" s="22"/>
      <c r="AI1757" s="22"/>
      <c r="AJ1757" s="22"/>
    </row>
    <row r="1758" spans="1:36" x14ac:dyDescent="0.25">
      <c r="A1758" s="22" t="s">
        <v>451</v>
      </c>
      <c r="B1758" s="22">
        <v>0</v>
      </c>
      <c r="C1758" s="22"/>
      <c r="D1758" s="22"/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2"/>
      <c r="T1758" s="22"/>
      <c r="U1758" s="22"/>
      <c r="V1758" s="22"/>
      <c r="W1758" s="22"/>
      <c r="X1758" s="22"/>
      <c r="Y1758" s="22"/>
      <c r="Z1758" s="22"/>
      <c r="AA1758" s="22"/>
      <c r="AB1758" s="22"/>
      <c r="AC1758" s="22"/>
      <c r="AD1758" s="22"/>
      <c r="AE1758" s="22"/>
      <c r="AF1758" s="22"/>
      <c r="AG1758" s="22"/>
      <c r="AH1758" s="22"/>
      <c r="AI1758" s="22"/>
      <c r="AJ1758" s="22"/>
    </row>
    <row r="1759" spans="1:36" x14ac:dyDescent="0.25">
      <c r="A1759" s="22" t="s">
        <v>3319</v>
      </c>
      <c r="B1759" s="22">
        <v>0</v>
      </c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2"/>
      <c r="S1759" s="22"/>
      <c r="T1759" s="22"/>
      <c r="U1759" s="22"/>
      <c r="V1759" s="22"/>
      <c r="W1759" s="22"/>
      <c r="X1759" s="22"/>
      <c r="Y1759" s="22"/>
      <c r="Z1759" s="22"/>
      <c r="AA1759" s="22"/>
      <c r="AB1759" s="22"/>
      <c r="AC1759" s="22"/>
      <c r="AD1759" s="22"/>
      <c r="AE1759" s="22"/>
      <c r="AF1759" s="22"/>
      <c r="AG1759" s="22"/>
      <c r="AH1759" s="22"/>
      <c r="AI1759" s="22"/>
      <c r="AJ1759" s="22"/>
    </row>
    <row r="1760" spans="1:36" x14ac:dyDescent="0.25">
      <c r="A1760" s="22" t="s">
        <v>3320</v>
      </c>
      <c r="B1760" s="22">
        <v>0</v>
      </c>
      <c r="C1760" s="22"/>
      <c r="D1760" s="22"/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2"/>
      <c r="T1760" s="22"/>
      <c r="U1760" s="22"/>
      <c r="V1760" s="22"/>
      <c r="W1760" s="22"/>
      <c r="X1760" s="22"/>
      <c r="Y1760" s="22"/>
      <c r="Z1760" s="22"/>
      <c r="AA1760" s="22"/>
      <c r="AB1760" s="22"/>
      <c r="AC1760" s="22"/>
      <c r="AD1760" s="22"/>
      <c r="AE1760" s="22"/>
      <c r="AF1760" s="22"/>
      <c r="AG1760" s="22"/>
      <c r="AH1760" s="22"/>
      <c r="AI1760" s="22"/>
      <c r="AJ1760" s="22"/>
    </row>
    <row r="1761" spans="1:36" x14ac:dyDescent="0.25">
      <c r="A1761" s="22" t="s">
        <v>3321</v>
      </c>
      <c r="B1761" s="22">
        <v>0</v>
      </c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2"/>
      <c r="S1761" s="22"/>
      <c r="T1761" s="22"/>
      <c r="U1761" s="22"/>
      <c r="V1761" s="22"/>
      <c r="W1761" s="22"/>
      <c r="X1761" s="22"/>
      <c r="Y1761" s="22"/>
      <c r="Z1761" s="22"/>
      <c r="AA1761" s="22"/>
      <c r="AB1761" s="22"/>
      <c r="AC1761" s="22"/>
      <c r="AD1761" s="22"/>
      <c r="AE1761" s="22"/>
      <c r="AF1761" s="22"/>
      <c r="AG1761" s="22"/>
      <c r="AH1761" s="22"/>
      <c r="AI1761" s="22"/>
      <c r="AJ1761" s="22"/>
    </row>
    <row r="1762" spans="1:36" x14ac:dyDescent="0.25">
      <c r="A1762" s="22" t="s">
        <v>3322</v>
      </c>
      <c r="B1762" s="22">
        <v>0</v>
      </c>
      <c r="C1762" s="22"/>
      <c r="D1762" s="22"/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2"/>
      <c r="T1762" s="22"/>
      <c r="U1762" s="22"/>
      <c r="V1762" s="22"/>
      <c r="W1762" s="22"/>
      <c r="X1762" s="22"/>
      <c r="Y1762" s="22"/>
      <c r="Z1762" s="22"/>
      <c r="AA1762" s="22"/>
      <c r="AB1762" s="22"/>
      <c r="AC1762" s="22"/>
      <c r="AD1762" s="22"/>
      <c r="AE1762" s="22"/>
      <c r="AF1762" s="22"/>
      <c r="AG1762" s="22"/>
      <c r="AH1762" s="22"/>
      <c r="AI1762" s="22"/>
      <c r="AJ1762" s="22"/>
    </row>
    <row r="1763" spans="1:36" x14ac:dyDescent="0.25">
      <c r="A1763" s="22" t="s">
        <v>3323</v>
      </c>
      <c r="B1763" s="22">
        <v>0</v>
      </c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2"/>
      <c r="S1763" s="22"/>
      <c r="T1763" s="22"/>
      <c r="U1763" s="22"/>
      <c r="V1763" s="22"/>
      <c r="W1763" s="22"/>
      <c r="X1763" s="22"/>
      <c r="Y1763" s="22"/>
      <c r="Z1763" s="22"/>
      <c r="AA1763" s="22"/>
      <c r="AB1763" s="22"/>
      <c r="AC1763" s="22"/>
      <c r="AD1763" s="22"/>
      <c r="AE1763" s="22"/>
      <c r="AF1763" s="22"/>
      <c r="AG1763" s="22"/>
      <c r="AH1763" s="22"/>
      <c r="AI1763" s="22"/>
      <c r="AJ1763" s="22"/>
    </row>
    <row r="1764" spans="1:36" x14ac:dyDescent="0.25">
      <c r="A1764" s="22" t="s">
        <v>3324</v>
      </c>
      <c r="B1764" s="22">
        <v>0</v>
      </c>
      <c r="C1764" s="22"/>
      <c r="D1764" s="22"/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2"/>
      <c r="T1764" s="22"/>
      <c r="U1764" s="22"/>
      <c r="V1764" s="22"/>
      <c r="W1764" s="22"/>
      <c r="X1764" s="22"/>
      <c r="Y1764" s="22"/>
      <c r="Z1764" s="22"/>
      <c r="AA1764" s="22"/>
      <c r="AB1764" s="22"/>
      <c r="AC1764" s="22"/>
      <c r="AD1764" s="22"/>
      <c r="AE1764" s="22"/>
      <c r="AF1764" s="22"/>
      <c r="AG1764" s="22"/>
      <c r="AH1764" s="22"/>
      <c r="AI1764" s="22"/>
      <c r="AJ1764" s="22"/>
    </row>
    <row r="1765" spans="1:36" x14ac:dyDescent="0.25">
      <c r="A1765" s="22" t="s">
        <v>3325</v>
      </c>
      <c r="B1765" s="22">
        <v>0</v>
      </c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2"/>
      <c r="S1765" s="22"/>
      <c r="T1765" s="22"/>
      <c r="U1765" s="22"/>
      <c r="V1765" s="22"/>
      <c r="W1765" s="22"/>
      <c r="X1765" s="22"/>
      <c r="Y1765" s="22"/>
      <c r="Z1765" s="22"/>
      <c r="AA1765" s="22"/>
      <c r="AB1765" s="22"/>
      <c r="AC1765" s="22"/>
      <c r="AD1765" s="22"/>
      <c r="AE1765" s="22"/>
      <c r="AF1765" s="22"/>
      <c r="AG1765" s="22"/>
      <c r="AH1765" s="22"/>
      <c r="AI1765" s="22"/>
      <c r="AJ1765" s="22"/>
    </row>
    <row r="1766" spans="1:36" x14ac:dyDescent="0.25">
      <c r="A1766" s="22" t="s">
        <v>4172</v>
      </c>
      <c r="B1766" s="22">
        <v>38</v>
      </c>
      <c r="C1766" s="22"/>
      <c r="D1766" s="22"/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2"/>
      <c r="T1766" s="22"/>
      <c r="U1766" s="22"/>
      <c r="V1766" s="22"/>
      <c r="W1766" s="22"/>
      <c r="X1766" s="22"/>
      <c r="Y1766" s="22"/>
      <c r="Z1766" s="22"/>
      <c r="AA1766" s="22"/>
      <c r="AB1766" s="22"/>
      <c r="AC1766" s="22"/>
      <c r="AD1766" s="22"/>
      <c r="AE1766" s="22"/>
      <c r="AF1766" s="22"/>
      <c r="AG1766" s="22"/>
      <c r="AH1766" s="22"/>
      <c r="AI1766" s="22"/>
      <c r="AJ1766" s="22"/>
    </row>
    <row r="1767" spans="1:36" x14ac:dyDescent="0.25">
      <c r="A1767" s="22" t="s">
        <v>4173</v>
      </c>
      <c r="B1767" s="22">
        <v>0</v>
      </c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2"/>
      <c r="S1767" s="22"/>
      <c r="T1767" s="22"/>
      <c r="U1767" s="22"/>
      <c r="V1767" s="22"/>
      <c r="W1767" s="22"/>
      <c r="X1767" s="22"/>
      <c r="Y1767" s="22"/>
      <c r="Z1767" s="22"/>
      <c r="AA1767" s="22"/>
      <c r="AB1767" s="22"/>
      <c r="AC1767" s="22"/>
      <c r="AD1767" s="22"/>
      <c r="AE1767" s="22"/>
      <c r="AF1767" s="22"/>
      <c r="AG1767" s="22"/>
      <c r="AH1767" s="22"/>
      <c r="AI1767" s="22"/>
      <c r="AJ1767" s="22"/>
    </row>
    <row r="1768" spans="1:36" x14ac:dyDescent="0.25">
      <c r="A1768" s="22" t="s">
        <v>4174</v>
      </c>
      <c r="B1768" s="22">
        <v>0</v>
      </c>
      <c r="C1768" s="22"/>
      <c r="D1768" s="22"/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2"/>
      <c r="T1768" s="22"/>
      <c r="U1768" s="22"/>
      <c r="V1768" s="22"/>
      <c r="W1768" s="22"/>
      <c r="X1768" s="22"/>
      <c r="Y1768" s="22"/>
      <c r="Z1768" s="22"/>
      <c r="AA1768" s="22"/>
      <c r="AB1768" s="22"/>
      <c r="AC1768" s="22"/>
      <c r="AD1768" s="22"/>
      <c r="AE1768" s="22"/>
      <c r="AF1768" s="22"/>
      <c r="AG1768" s="22"/>
      <c r="AH1768" s="22"/>
      <c r="AI1768" s="22"/>
      <c r="AJ1768" s="22"/>
    </row>
    <row r="1769" spans="1:36" x14ac:dyDescent="0.25">
      <c r="A1769" s="22" t="s">
        <v>4175</v>
      </c>
      <c r="B1769" s="22">
        <v>0</v>
      </c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2"/>
      <c r="S1769" s="22"/>
      <c r="T1769" s="22"/>
      <c r="U1769" s="22"/>
      <c r="V1769" s="22"/>
      <c r="W1769" s="22"/>
      <c r="X1769" s="22"/>
      <c r="Y1769" s="22"/>
      <c r="Z1769" s="22"/>
      <c r="AA1769" s="22"/>
      <c r="AB1769" s="22"/>
      <c r="AC1769" s="22"/>
      <c r="AD1769" s="22"/>
      <c r="AE1769" s="22"/>
      <c r="AF1769" s="22"/>
      <c r="AG1769" s="22"/>
      <c r="AH1769" s="22"/>
      <c r="AI1769" s="22"/>
      <c r="AJ1769" s="22"/>
    </row>
    <row r="1770" spans="1:36" x14ac:dyDescent="0.25">
      <c r="A1770" s="22" t="s">
        <v>4176</v>
      </c>
      <c r="B1770" s="22">
        <v>0</v>
      </c>
      <c r="C1770" s="22"/>
      <c r="D1770" s="22"/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2"/>
      <c r="T1770" s="22"/>
      <c r="U1770" s="22"/>
      <c r="V1770" s="22"/>
      <c r="W1770" s="22"/>
      <c r="X1770" s="22"/>
      <c r="Y1770" s="22"/>
      <c r="Z1770" s="22"/>
      <c r="AA1770" s="22"/>
      <c r="AB1770" s="22"/>
      <c r="AC1770" s="22"/>
      <c r="AD1770" s="22"/>
      <c r="AE1770" s="22"/>
      <c r="AF1770" s="22"/>
      <c r="AG1770" s="22"/>
      <c r="AH1770" s="22"/>
      <c r="AI1770" s="22"/>
      <c r="AJ1770" s="22"/>
    </row>
    <row r="1771" spans="1:36" x14ac:dyDescent="0.25">
      <c r="A1771" s="22" t="s">
        <v>4177</v>
      </c>
      <c r="B1771" s="22">
        <v>0</v>
      </c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2"/>
      <c r="S1771" s="22"/>
      <c r="T1771" s="22"/>
      <c r="U1771" s="22"/>
      <c r="V1771" s="22"/>
      <c r="W1771" s="22"/>
      <c r="X1771" s="22"/>
      <c r="Y1771" s="22"/>
      <c r="Z1771" s="22"/>
      <c r="AA1771" s="22"/>
      <c r="AB1771" s="22"/>
      <c r="AC1771" s="22"/>
      <c r="AD1771" s="22"/>
      <c r="AE1771" s="22"/>
      <c r="AF1771" s="22"/>
      <c r="AG1771" s="22"/>
      <c r="AH1771" s="22"/>
      <c r="AI1771" s="22"/>
      <c r="AJ1771" s="22"/>
    </row>
    <row r="1772" spans="1:36" x14ac:dyDescent="0.25">
      <c r="A1772" s="22" t="s">
        <v>4178</v>
      </c>
      <c r="B1772" s="22">
        <v>0</v>
      </c>
      <c r="C1772" s="22"/>
      <c r="D1772" s="22"/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2"/>
      <c r="T1772" s="22"/>
      <c r="U1772" s="22"/>
      <c r="V1772" s="22"/>
      <c r="W1772" s="22"/>
      <c r="X1772" s="22"/>
      <c r="Y1772" s="22"/>
      <c r="Z1772" s="22"/>
      <c r="AA1772" s="22"/>
      <c r="AB1772" s="22"/>
      <c r="AC1772" s="22"/>
      <c r="AD1772" s="22"/>
      <c r="AE1772" s="22"/>
      <c r="AF1772" s="22"/>
      <c r="AG1772" s="22"/>
      <c r="AH1772" s="22"/>
      <c r="AI1772" s="22"/>
      <c r="AJ1772" s="22"/>
    </row>
    <row r="1773" spans="1:36" x14ac:dyDescent="0.25">
      <c r="A1773" s="22" t="s">
        <v>4179</v>
      </c>
      <c r="B1773" s="22">
        <v>0</v>
      </c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2"/>
      <c r="S1773" s="22"/>
      <c r="T1773" s="22"/>
      <c r="U1773" s="22"/>
      <c r="V1773" s="22"/>
      <c r="W1773" s="22"/>
      <c r="X1773" s="22"/>
      <c r="Y1773" s="22"/>
      <c r="Z1773" s="22"/>
      <c r="AA1773" s="22"/>
      <c r="AB1773" s="22"/>
      <c r="AC1773" s="22"/>
      <c r="AD1773" s="22"/>
      <c r="AE1773" s="22"/>
      <c r="AF1773" s="22"/>
      <c r="AG1773" s="22"/>
      <c r="AH1773" s="22"/>
      <c r="AI1773" s="22"/>
      <c r="AJ1773" s="22"/>
    </row>
    <row r="1774" spans="1:36" x14ac:dyDescent="0.25">
      <c r="A1774" s="22" t="s">
        <v>452</v>
      </c>
      <c r="B1774" s="22">
        <v>0</v>
      </c>
      <c r="C1774" s="22"/>
      <c r="D1774" s="22"/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2"/>
      <c r="T1774" s="22"/>
      <c r="U1774" s="22"/>
      <c r="V1774" s="22"/>
      <c r="W1774" s="22"/>
      <c r="X1774" s="22"/>
      <c r="Y1774" s="22"/>
      <c r="Z1774" s="22"/>
      <c r="AA1774" s="22"/>
      <c r="AB1774" s="22"/>
      <c r="AC1774" s="22"/>
      <c r="AD1774" s="22"/>
      <c r="AE1774" s="22"/>
      <c r="AF1774" s="22"/>
      <c r="AG1774" s="22"/>
      <c r="AH1774" s="22"/>
      <c r="AI1774" s="22"/>
      <c r="AJ1774" s="22"/>
    </row>
    <row r="1775" spans="1:36" x14ac:dyDescent="0.25">
      <c r="A1775" s="22" t="s">
        <v>3326</v>
      </c>
      <c r="B1775" s="22">
        <v>0</v>
      </c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2"/>
      <c r="S1775" s="22"/>
      <c r="T1775" s="22"/>
      <c r="U1775" s="22"/>
      <c r="V1775" s="22"/>
      <c r="W1775" s="22"/>
      <c r="X1775" s="22"/>
      <c r="Y1775" s="22"/>
      <c r="Z1775" s="22"/>
      <c r="AA1775" s="22"/>
      <c r="AB1775" s="22"/>
      <c r="AC1775" s="22"/>
      <c r="AD1775" s="22"/>
      <c r="AE1775" s="22"/>
      <c r="AF1775" s="22"/>
      <c r="AG1775" s="22"/>
      <c r="AH1775" s="22"/>
      <c r="AI1775" s="22"/>
      <c r="AJ1775" s="22"/>
    </row>
    <row r="1776" spans="1:36" x14ac:dyDescent="0.25">
      <c r="A1776" s="22" t="s">
        <v>3327</v>
      </c>
      <c r="B1776" s="22">
        <v>0</v>
      </c>
      <c r="C1776" s="22"/>
      <c r="D1776" s="22"/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2"/>
      <c r="T1776" s="22"/>
      <c r="U1776" s="22"/>
      <c r="V1776" s="22"/>
      <c r="W1776" s="22"/>
      <c r="X1776" s="22"/>
      <c r="Y1776" s="22"/>
      <c r="Z1776" s="22"/>
      <c r="AA1776" s="22"/>
      <c r="AB1776" s="22"/>
      <c r="AC1776" s="22"/>
      <c r="AD1776" s="22"/>
      <c r="AE1776" s="22"/>
      <c r="AF1776" s="22"/>
      <c r="AG1776" s="22"/>
      <c r="AH1776" s="22"/>
      <c r="AI1776" s="22"/>
      <c r="AJ1776" s="22"/>
    </row>
    <row r="1777" spans="1:36" x14ac:dyDescent="0.25">
      <c r="A1777" s="22" t="s">
        <v>3328</v>
      </c>
      <c r="B1777" s="22">
        <v>0</v>
      </c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2"/>
      <c r="S1777" s="22"/>
      <c r="T1777" s="22"/>
      <c r="U1777" s="22"/>
      <c r="V1777" s="22"/>
      <c r="W1777" s="22"/>
      <c r="X1777" s="22"/>
      <c r="Y1777" s="22"/>
      <c r="Z1777" s="22"/>
      <c r="AA1777" s="22"/>
      <c r="AB1777" s="22"/>
      <c r="AC1777" s="22"/>
      <c r="AD1777" s="22"/>
      <c r="AE1777" s="22"/>
      <c r="AF1777" s="22"/>
      <c r="AG1777" s="22"/>
      <c r="AH1777" s="22"/>
      <c r="AI1777" s="22"/>
      <c r="AJ1777" s="22"/>
    </row>
    <row r="1778" spans="1:36" x14ac:dyDescent="0.25">
      <c r="A1778" s="22" t="s">
        <v>3329</v>
      </c>
      <c r="B1778" s="22">
        <v>0</v>
      </c>
      <c r="C1778" s="22"/>
      <c r="D1778" s="22"/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2"/>
      <c r="T1778" s="22"/>
      <c r="U1778" s="22"/>
      <c r="V1778" s="22"/>
      <c r="W1778" s="22"/>
      <c r="X1778" s="22"/>
      <c r="Y1778" s="22"/>
      <c r="Z1778" s="22"/>
      <c r="AA1778" s="22"/>
      <c r="AB1778" s="22"/>
      <c r="AC1778" s="22"/>
      <c r="AD1778" s="22"/>
      <c r="AE1778" s="22"/>
      <c r="AF1778" s="22"/>
      <c r="AG1778" s="22"/>
      <c r="AH1778" s="22"/>
      <c r="AI1778" s="22"/>
      <c r="AJ1778" s="22"/>
    </row>
    <row r="1779" spans="1:36" x14ac:dyDescent="0.25">
      <c r="A1779" s="22" t="s">
        <v>3330</v>
      </c>
      <c r="B1779" s="22">
        <v>0</v>
      </c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2"/>
      <c r="S1779" s="22"/>
      <c r="T1779" s="22"/>
      <c r="U1779" s="22"/>
      <c r="V1779" s="22"/>
      <c r="W1779" s="22"/>
      <c r="X1779" s="22"/>
      <c r="Y1779" s="22"/>
      <c r="Z1779" s="22"/>
      <c r="AA1779" s="22"/>
      <c r="AB1779" s="22"/>
      <c r="AC1779" s="22"/>
      <c r="AD1779" s="22"/>
      <c r="AE1779" s="22"/>
      <c r="AF1779" s="22"/>
      <c r="AG1779" s="22"/>
      <c r="AH1779" s="22"/>
      <c r="AI1779" s="22"/>
      <c r="AJ1779" s="22"/>
    </row>
    <row r="1780" spans="1:36" x14ac:dyDescent="0.25">
      <c r="A1780" s="22" t="s">
        <v>3331</v>
      </c>
      <c r="B1780" s="22">
        <v>0</v>
      </c>
      <c r="C1780" s="22"/>
      <c r="D1780" s="22"/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2"/>
      <c r="T1780" s="22"/>
      <c r="U1780" s="22"/>
      <c r="V1780" s="22"/>
      <c r="W1780" s="22"/>
      <c r="X1780" s="22"/>
      <c r="Y1780" s="22"/>
      <c r="Z1780" s="22"/>
      <c r="AA1780" s="22"/>
      <c r="AB1780" s="22"/>
      <c r="AC1780" s="22"/>
      <c r="AD1780" s="22"/>
      <c r="AE1780" s="22"/>
      <c r="AF1780" s="22"/>
      <c r="AG1780" s="22"/>
      <c r="AH1780" s="22"/>
      <c r="AI1780" s="22"/>
      <c r="AJ1780" s="22"/>
    </row>
    <row r="1781" spans="1:36" x14ac:dyDescent="0.25">
      <c r="A1781" s="22" t="s">
        <v>3332</v>
      </c>
      <c r="B1781" s="22">
        <v>0</v>
      </c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2"/>
      <c r="S1781" s="22"/>
      <c r="T1781" s="22"/>
      <c r="U1781" s="22"/>
      <c r="V1781" s="22"/>
      <c r="W1781" s="22"/>
      <c r="X1781" s="22"/>
      <c r="Y1781" s="22"/>
      <c r="Z1781" s="22"/>
      <c r="AA1781" s="22"/>
      <c r="AB1781" s="22"/>
      <c r="AC1781" s="22"/>
      <c r="AD1781" s="22"/>
      <c r="AE1781" s="22"/>
      <c r="AF1781" s="22"/>
      <c r="AG1781" s="22"/>
      <c r="AH1781" s="22"/>
      <c r="AI1781" s="22"/>
      <c r="AJ1781" s="22"/>
    </row>
    <row r="1782" spans="1:36" x14ac:dyDescent="0.25">
      <c r="A1782" s="22" t="s">
        <v>4180</v>
      </c>
      <c r="B1782" s="22">
        <v>0</v>
      </c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2"/>
      <c r="T1782" s="22"/>
      <c r="U1782" s="22"/>
      <c r="V1782" s="22"/>
      <c r="W1782" s="22"/>
      <c r="X1782" s="22"/>
      <c r="Y1782" s="22"/>
      <c r="Z1782" s="22"/>
      <c r="AA1782" s="22"/>
      <c r="AB1782" s="22"/>
      <c r="AC1782" s="22"/>
      <c r="AD1782" s="22"/>
      <c r="AE1782" s="22"/>
      <c r="AF1782" s="22"/>
      <c r="AG1782" s="22"/>
      <c r="AH1782" s="22"/>
      <c r="AI1782" s="22"/>
      <c r="AJ1782" s="22"/>
    </row>
    <row r="1783" spans="1:36" x14ac:dyDescent="0.25">
      <c r="A1783" s="22" t="s">
        <v>4181</v>
      </c>
      <c r="B1783" s="22">
        <v>0</v>
      </c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2"/>
      <c r="S1783" s="22"/>
      <c r="T1783" s="22"/>
      <c r="U1783" s="22"/>
      <c r="V1783" s="22"/>
      <c r="W1783" s="22"/>
      <c r="X1783" s="22"/>
      <c r="Y1783" s="22"/>
      <c r="Z1783" s="22"/>
      <c r="AA1783" s="22"/>
      <c r="AB1783" s="22"/>
      <c r="AC1783" s="22"/>
      <c r="AD1783" s="22"/>
      <c r="AE1783" s="22"/>
      <c r="AF1783" s="22"/>
      <c r="AG1783" s="22"/>
      <c r="AH1783" s="22"/>
      <c r="AI1783" s="22"/>
      <c r="AJ1783" s="22"/>
    </row>
    <row r="1784" spans="1:36" x14ac:dyDescent="0.25">
      <c r="A1784" s="22" t="s">
        <v>4182</v>
      </c>
      <c r="B1784" s="22">
        <v>0</v>
      </c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2"/>
      <c r="T1784" s="22"/>
      <c r="U1784" s="22"/>
      <c r="V1784" s="22"/>
      <c r="W1784" s="22"/>
      <c r="X1784" s="22"/>
      <c r="Y1784" s="22"/>
      <c r="Z1784" s="22"/>
      <c r="AA1784" s="22"/>
      <c r="AB1784" s="22"/>
      <c r="AC1784" s="22"/>
      <c r="AD1784" s="22"/>
      <c r="AE1784" s="22"/>
      <c r="AF1784" s="22"/>
      <c r="AG1784" s="22"/>
      <c r="AH1784" s="22"/>
      <c r="AI1784" s="22"/>
      <c r="AJ1784" s="22"/>
    </row>
    <row r="1785" spans="1:36" x14ac:dyDescent="0.25">
      <c r="A1785" s="22" t="s">
        <v>4183</v>
      </c>
      <c r="B1785" s="22">
        <v>0</v>
      </c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2"/>
      <c r="S1785" s="22"/>
      <c r="T1785" s="22"/>
      <c r="U1785" s="22"/>
      <c r="V1785" s="22"/>
      <c r="W1785" s="22"/>
      <c r="X1785" s="22"/>
      <c r="Y1785" s="22"/>
      <c r="Z1785" s="22"/>
      <c r="AA1785" s="22"/>
      <c r="AB1785" s="22"/>
      <c r="AC1785" s="22"/>
      <c r="AD1785" s="22"/>
      <c r="AE1785" s="22"/>
      <c r="AF1785" s="22"/>
      <c r="AG1785" s="22"/>
      <c r="AH1785" s="22"/>
      <c r="AI1785" s="22"/>
      <c r="AJ1785" s="22"/>
    </row>
    <row r="1786" spans="1:36" x14ac:dyDescent="0.25">
      <c r="A1786" s="22" t="s">
        <v>4184</v>
      </c>
      <c r="B1786" s="22">
        <v>0</v>
      </c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2"/>
      <c r="T1786" s="22"/>
      <c r="U1786" s="22"/>
      <c r="V1786" s="22"/>
      <c r="W1786" s="22"/>
      <c r="X1786" s="22"/>
      <c r="Y1786" s="22"/>
      <c r="Z1786" s="22"/>
      <c r="AA1786" s="22"/>
      <c r="AB1786" s="22"/>
      <c r="AC1786" s="22"/>
      <c r="AD1786" s="22"/>
      <c r="AE1786" s="22"/>
      <c r="AF1786" s="22"/>
      <c r="AG1786" s="22"/>
      <c r="AH1786" s="22"/>
      <c r="AI1786" s="22"/>
      <c r="AJ1786" s="22"/>
    </row>
    <row r="1787" spans="1:36" x14ac:dyDescent="0.25">
      <c r="A1787" s="22" t="s">
        <v>4185</v>
      </c>
      <c r="B1787" s="22">
        <v>0</v>
      </c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2"/>
      <c r="S1787" s="22"/>
      <c r="T1787" s="22"/>
      <c r="U1787" s="22"/>
      <c r="V1787" s="22"/>
      <c r="W1787" s="22"/>
      <c r="X1787" s="22"/>
      <c r="Y1787" s="22"/>
      <c r="Z1787" s="22"/>
      <c r="AA1787" s="22"/>
      <c r="AB1787" s="22"/>
      <c r="AC1787" s="22"/>
      <c r="AD1787" s="22"/>
      <c r="AE1787" s="22"/>
      <c r="AF1787" s="22"/>
      <c r="AG1787" s="22"/>
      <c r="AH1787" s="22"/>
      <c r="AI1787" s="22"/>
      <c r="AJ1787" s="22"/>
    </row>
    <row r="1788" spans="1:36" x14ac:dyDescent="0.25">
      <c r="A1788" s="22" t="s">
        <v>4186</v>
      </c>
      <c r="B1788" s="22">
        <v>0</v>
      </c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2"/>
      <c r="T1788" s="22"/>
      <c r="U1788" s="22"/>
      <c r="V1788" s="22"/>
      <c r="W1788" s="22"/>
      <c r="X1788" s="22"/>
      <c r="Y1788" s="22"/>
      <c r="Z1788" s="22"/>
      <c r="AA1788" s="22"/>
      <c r="AB1788" s="22"/>
      <c r="AC1788" s="22"/>
      <c r="AD1788" s="22"/>
      <c r="AE1788" s="22"/>
      <c r="AF1788" s="22"/>
      <c r="AG1788" s="22"/>
      <c r="AH1788" s="22"/>
      <c r="AI1788" s="22"/>
      <c r="AJ1788" s="22"/>
    </row>
    <row r="1789" spans="1:36" x14ac:dyDescent="0.25">
      <c r="A1789" s="22" t="s">
        <v>4187</v>
      </c>
      <c r="B1789" s="22">
        <v>0</v>
      </c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2"/>
      <c r="S1789" s="22"/>
      <c r="T1789" s="22"/>
      <c r="U1789" s="22"/>
      <c r="V1789" s="22"/>
      <c r="W1789" s="22"/>
      <c r="X1789" s="22"/>
      <c r="Y1789" s="22"/>
      <c r="Z1789" s="22"/>
      <c r="AA1789" s="22"/>
      <c r="AB1789" s="22"/>
      <c r="AC1789" s="22"/>
      <c r="AD1789" s="22"/>
      <c r="AE1789" s="22"/>
      <c r="AF1789" s="22"/>
      <c r="AG1789" s="22"/>
      <c r="AH1789" s="22"/>
      <c r="AI1789" s="22"/>
      <c r="AJ1789" s="22"/>
    </row>
    <row r="1790" spans="1:36" x14ac:dyDescent="0.25">
      <c r="A1790" s="22" t="s">
        <v>453</v>
      </c>
      <c r="B1790" s="22">
        <v>0</v>
      </c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2"/>
      <c r="T1790" s="22"/>
      <c r="U1790" s="22"/>
      <c r="V1790" s="22"/>
      <c r="W1790" s="22"/>
      <c r="X1790" s="22"/>
      <c r="Y1790" s="22"/>
      <c r="Z1790" s="22"/>
      <c r="AA1790" s="22"/>
      <c r="AB1790" s="22"/>
      <c r="AC1790" s="22"/>
      <c r="AD1790" s="22"/>
      <c r="AE1790" s="22"/>
      <c r="AF1790" s="22"/>
      <c r="AG1790" s="22"/>
      <c r="AH1790" s="22"/>
      <c r="AI1790" s="22"/>
      <c r="AJ1790" s="22"/>
    </row>
    <row r="1791" spans="1:36" x14ac:dyDescent="0.25">
      <c r="A1791" s="22" t="s">
        <v>3333</v>
      </c>
      <c r="B1791" s="22">
        <v>0</v>
      </c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2"/>
      <c r="S1791" s="22"/>
      <c r="T1791" s="22"/>
      <c r="U1791" s="22"/>
      <c r="V1791" s="22"/>
      <c r="W1791" s="22"/>
      <c r="X1791" s="22"/>
      <c r="Y1791" s="22"/>
      <c r="Z1791" s="22"/>
      <c r="AA1791" s="22"/>
      <c r="AB1791" s="22"/>
      <c r="AC1791" s="22"/>
      <c r="AD1791" s="22"/>
      <c r="AE1791" s="22"/>
      <c r="AF1791" s="22"/>
      <c r="AG1791" s="22"/>
      <c r="AH1791" s="22"/>
      <c r="AI1791" s="22"/>
      <c r="AJ1791" s="22"/>
    </row>
    <row r="1792" spans="1:36" x14ac:dyDescent="0.25">
      <c r="A1792" s="22" t="s">
        <v>3334</v>
      </c>
      <c r="B1792" s="22">
        <v>0</v>
      </c>
      <c r="C1792" s="22"/>
      <c r="D1792" s="22"/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2"/>
      <c r="T1792" s="22"/>
      <c r="U1792" s="22"/>
      <c r="V1792" s="22"/>
      <c r="W1792" s="22"/>
      <c r="X1792" s="22"/>
      <c r="Y1792" s="22"/>
      <c r="Z1792" s="22"/>
      <c r="AA1792" s="22"/>
      <c r="AB1792" s="22"/>
      <c r="AC1792" s="22"/>
      <c r="AD1792" s="22"/>
      <c r="AE1792" s="22"/>
      <c r="AF1792" s="22"/>
      <c r="AG1792" s="22"/>
      <c r="AH1792" s="22"/>
      <c r="AI1792" s="22"/>
      <c r="AJ1792" s="22"/>
    </row>
    <row r="1793" spans="1:36" x14ac:dyDescent="0.25">
      <c r="A1793" s="22" t="s">
        <v>3335</v>
      </c>
      <c r="B1793" s="22">
        <v>0</v>
      </c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2"/>
      <c r="S1793" s="22"/>
      <c r="T1793" s="22"/>
      <c r="U1793" s="22"/>
      <c r="V1793" s="22"/>
      <c r="W1793" s="22"/>
      <c r="X1793" s="22"/>
      <c r="Y1793" s="22"/>
      <c r="Z1793" s="22"/>
      <c r="AA1793" s="22"/>
      <c r="AB1793" s="22"/>
      <c r="AC1793" s="22"/>
      <c r="AD1793" s="22"/>
      <c r="AE1793" s="22"/>
      <c r="AF1793" s="22"/>
      <c r="AG1793" s="22"/>
      <c r="AH1793" s="22"/>
      <c r="AI1793" s="22"/>
      <c r="AJ1793" s="22"/>
    </row>
    <row r="1794" spans="1:36" x14ac:dyDescent="0.25">
      <c r="A1794" s="22" t="s">
        <v>3336</v>
      </c>
      <c r="B1794" s="22">
        <v>0</v>
      </c>
      <c r="C1794" s="22"/>
      <c r="D1794" s="22"/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2"/>
      <c r="T1794" s="22"/>
      <c r="U1794" s="22"/>
      <c r="V1794" s="22"/>
      <c r="W1794" s="22"/>
      <c r="X1794" s="22"/>
      <c r="Y1794" s="22"/>
      <c r="Z1794" s="22"/>
      <c r="AA1794" s="22"/>
      <c r="AB1794" s="22"/>
      <c r="AC1794" s="22"/>
      <c r="AD1794" s="22"/>
      <c r="AE1794" s="22"/>
      <c r="AF1794" s="22"/>
      <c r="AG1794" s="22"/>
      <c r="AH1794" s="22"/>
      <c r="AI1794" s="22"/>
      <c r="AJ1794" s="22"/>
    </row>
    <row r="1795" spans="1:36" x14ac:dyDescent="0.25">
      <c r="A1795" s="22" t="s">
        <v>3337</v>
      </c>
      <c r="B1795" s="22">
        <v>0</v>
      </c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2"/>
      <c r="S1795" s="22"/>
      <c r="T1795" s="22"/>
      <c r="U1795" s="22"/>
      <c r="V1795" s="22"/>
      <c r="W1795" s="22"/>
      <c r="X1795" s="22"/>
      <c r="Y1795" s="22"/>
      <c r="Z1795" s="22"/>
      <c r="AA1795" s="22"/>
      <c r="AB1795" s="22"/>
      <c r="AC1795" s="22"/>
      <c r="AD1795" s="22"/>
      <c r="AE1795" s="22"/>
      <c r="AF1795" s="22"/>
      <c r="AG1795" s="22"/>
      <c r="AH1795" s="22"/>
      <c r="AI1795" s="22"/>
      <c r="AJ1795" s="22"/>
    </row>
    <row r="1796" spans="1:36" x14ac:dyDescent="0.25">
      <c r="A1796" s="22" t="s">
        <v>3338</v>
      </c>
      <c r="B1796" s="22">
        <v>0</v>
      </c>
      <c r="C1796" s="22"/>
      <c r="D1796" s="22"/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2"/>
      <c r="T1796" s="22"/>
      <c r="U1796" s="22"/>
      <c r="V1796" s="22"/>
      <c r="W1796" s="22"/>
      <c r="X1796" s="22"/>
      <c r="Y1796" s="22"/>
      <c r="Z1796" s="22"/>
      <c r="AA1796" s="22"/>
      <c r="AB1796" s="22"/>
      <c r="AC1796" s="22"/>
      <c r="AD1796" s="22"/>
      <c r="AE1796" s="22"/>
      <c r="AF1796" s="22"/>
      <c r="AG1796" s="22"/>
      <c r="AH1796" s="22"/>
      <c r="AI1796" s="22"/>
      <c r="AJ1796" s="22"/>
    </row>
    <row r="1797" spans="1:36" x14ac:dyDescent="0.25">
      <c r="A1797" s="22" t="s">
        <v>3339</v>
      </c>
      <c r="B1797" s="22">
        <v>0</v>
      </c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2"/>
      <c r="S1797" s="22"/>
      <c r="T1797" s="22"/>
      <c r="U1797" s="22"/>
      <c r="V1797" s="22"/>
      <c r="W1797" s="22"/>
      <c r="X1797" s="22"/>
      <c r="Y1797" s="22"/>
      <c r="Z1797" s="22"/>
      <c r="AA1797" s="22"/>
      <c r="AB1797" s="22"/>
      <c r="AC1797" s="22"/>
      <c r="AD1797" s="22"/>
      <c r="AE1797" s="22"/>
      <c r="AF1797" s="22"/>
      <c r="AG1797" s="22"/>
      <c r="AH1797" s="22"/>
      <c r="AI1797" s="22"/>
      <c r="AJ1797" s="22"/>
    </row>
    <row r="1798" spans="1:36" x14ac:dyDescent="0.25">
      <c r="A1798" s="22" t="s">
        <v>4188</v>
      </c>
      <c r="B1798" s="22">
        <v>0</v>
      </c>
      <c r="C1798" s="22"/>
      <c r="D1798" s="22"/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2"/>
      <c r="S1798" s="22"/>
      <c r="T1798" s="22"/>
      <c r="U1798" s="22"/>
      <c r="V1798" s="22"/>
      <c r="W1798" s="22"/>
      <c r="X1798" s="22"/>
      <c r="Y1798" s="22"/>
      <c r="Z1798" s="22"/>
      <c r="AA1798" s="22"/>
      <c r="AB1798" s="22"/>
      <c r="AC1798" s="22"/>
      <c r="AD1798" s="22"/>
      <c r="AE1798" s="22"/>
      <c r="AF1798" s="22"/>
      <c r="AG1798" s="22"/>
      <c r="AH1798" s="22"/>
      <c r="AI1798" s="22"/>
      <c r="AJ1798" s="22"/>
    </row>
    <row r="1799" spans="1:36" x14ac:dyDescent="0.25">
      <c r="A1799" s="22" t="s">
        <v>4189</v>
      </c>
      <c r="B1799" s="22">
        <v>0</v>
      </c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2"/>
      <c r="S1799" s="22"/>
      <c r="T1799" s="22"/>
      <c r="U1799" s="22"/>
      <c r="V1799" s="22"/>
      <c r="W1799" s="22"/>
      <c r="X1799" s="22"/>
      <c r="Y1799" s="22"/>
      <c r="Z1799" s="22"/>
      <c r="AA1799" s="22"/>
      <c r="AB1799" s="22"/>
      <c r="AC1799" s="22"/>
      <c r="AD1799" s="22"/>
      <c r="AE1799" s="22"/>
      <c r="AF1799" s="22"/>
      <c r="AG1799" s="22"/>
      <c r="AH1799" s="22"/>
      <c r="AI1799" s="22"/>
      <c r="AJ1799" s="22"/>
    </row>
    <row r="1800" spans="1:36" x14ac:dyDescent="0.25">
      <c r="A1800" s="22" t="s">
        <v>4190</v>
      </c>
      <c r="B1800" s="22">
        <v>0</v>
      </c>
      <c r="C1800" s="22"/>
      <c r="D1800" s="22"/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2"/>
      <c r="S1800" s="22"/>
      <c r="T1800" s="22"/>
      <c r="U1800" s="22"/>
      <c r="V1800" s="22"/>
      <c r="W1800" s="22"/>
      <c r="X1800" s="22"/>
      <c r="Y1800" s="22"/>
      <c r="Z1800" s="22"/>
      <c r="AA1800" s="22"/>
      <c r="AB1800" s="22"/>
      <c r="AC1800" s="22"/>
      <c r="AD1800" s="22"/>
      <c r="AE1800" s="22"/>
      <c r="AF1800" s="22"/>
      <c r="AG1800" s="22"/>
      <c r="AH1800" s="22"/>
      <c r="AI1800" s="22"/>
      <c r="AJ1800" s="22"/>
    </row>
    <row r="1801" spans="1:36" x14ac:dyDescent="0.25">
      <c r="A1801" s="22" t="s">
        <v>4191</v>
      </c>
      <c r="B1801" s="22">
        <v>0</v>
      </c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2"/>
      <c r="S1801" s="22"/>
      <c r="T1801" s="22"/>
      <c r="U1801" s="22"/>
      <c r="V1801" s="22"/>
      <c r="W1801" s="22"/>
      <c r="X1801" s="22"/>
      <c r="Y1801" s="22"/>
      <c r="Z1801" s="22"/>
      <c r="AA1801" s="22"/>
      <c r="AB1801" s="22"/>
      <c r="AC1801" s="22"/>
      <c r="AD1801" s="22"/>
      <c r="AE1801" s="22"/>
      <c r="AF1801" s="22"/>
      <c r="AG1801" s="22"/>
      <c r="AH1801" s="22"/>
      <c r="AI1801" s="22"/>
      <c r="AJ1801" s="22"/>
    </row>
    <row r="1802" spans="1:36" x14ac:dyDescent="0.25">
      <c r="A1802" s="22" t="s">
        <v>4192</v>
      </c>
      <c r="B1802" s="22">
        <v>0</v>
      </c>
      <c r="C1802" s="22"/>
      <c r="D1802" s="22"/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2"/>
      <c r="S1802" s="22"/>
      <c r="T1802" s="22"/>
      <c r="U1802" s="22"/>
      <c r="V1802" s="22"/>
      <c r="W1802" s="22"/>
      <c r="X1802" s="22"/>
      <c r="Y1802" s="22"/>
      <c r="Z1802" s="22"/>
      <c r="AA1802" s="22"/>
      <c r="AB1802" s="22"/>
      <c r="AC1802" s="22"/>
      <c r="AD1802" s="22"/>
      <c r="AE1802" s="22"/>
      <c r="AF1802" s="22"/>
      <c r="AG1802" s="22"/>
      <c r="AH1802" s="22"/>
      <c r="AI1802" s="22"/>
      <c r="AJ1802" s="22"/>
    </row>
    <row r="1803" spans="1:36" x14ac:dyDescent="0.25">
      <c r="A1803" s="22" t="s">
        <v>4193</v>
      </c>
      <c r="B1803" s="22">
        <v>0</v>
      </c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2"/>
      <c r="S1803" s="22"/>
      <c r="T1803" s="22"/>
      <c r="U1803" s="22"/>
      <c r="V1803" s="22"/>
      <c r="W1803" s="22"/>
      <c r="X1803" s="22"/>
      <c r="Y1803" s="22"/>
      <c r="Z1803" s="22"/>
      <c r="AA1803" s="22"/>
      <c r="AB1803" s="22"/>
      <c r="AC1803" s="22"/>
      <c r="AD1803" s="22"/>
      <c r="AE1803" s="22"/>
      <c r="AF1803" s="22"/>
      <c r="AG1803" s="22"/>
      <c r="AH1803" s="22"/>
      <c r="AI1803" s="22"/>
      <c r="AJ1803" s="22"/>
    </row>
    <row r="1804" spans="1:36" x14ac:dyDescent="0.25">
      <c r="A1804" s="22" t="s">
        <v>4194</v>
      </c>
      <c r="B1804" s="22">
        <v>0</v>
      </c>
      <c r="C1804" s="22"/>
      <c r="D1804" s="22"/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2"/>
      <c r="S1804" s="22"/>
      <c r="T1804" s="22"/>
      <c r="U1804" s="22"/>
      <c r="V1804" s="22"/>
      <c r="W1804" s="22"/>
      <c r="X1804" s="22"/>
      <c r="Y1804" s="22"/>
      <c r="Z1804" s="22"/>
      <c r="AA1804" s="22"/>
      <c r="AB1804" s="22"/>
      <c r="AC1804" s="22"/>
      <c r="AD1804" s="22"/>
      <c r="AE1804" s="22"/>
      <c r="AF1804" s="22"/>
      <c r="AG1804" s="22"/>
      <c r="AH1804" s="22"/>
      <c r="AI1804" s="22"/>
      <c r="AJ1804" s="22"/>
    </row>
    <row r="1805" spans="1:36" x14ac:dyDescent="0.25">
      <c r="A1805" s="22" t="s">
        <v>4195</v>
      </c>
      <c r="B1805" s="22">
        <v>0</v>
      </c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2"/>
      <c r="S1805" s="22"/>
      <c r="T1805" s="22"/>
      <c r="U1805" s="22"/>
      <c r="V1805" s="22"/>
      <c r="W1805" s="22"/>
      <c r="X1805" s="22"/>
      <c r="Y1805" s="22"/>
      <c r="Z1805" s="22"/>
      <c r="AA1805" s="22"/>
      <c r="AB1805" s="22"/>
      <c r="AC1805" s="22"/>
      <c r="AD1805" s="22"/>
      <c r="AE1805" s="22"/>
      <c r="AF1805" s="22"/>
      <c r="AG1805" s="22"/>
      <c r="AH1805" s="22"/>
      <c r="AI1805" s="22"/>
      <c r="AJ1805" s="22"/>
    </row>
    <row r="1806" spans="1:36" x14ac:dyDescent="0.25">
      <c r="A1806" s="22" t="s">
        <v>454</v>
      </c>
      <c r="B1806" s="22">
        <v>109</v>
      </c>
      <c r="C1806" s="22"/>
      <c r="D1806" s="22"/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2"/>
      <c r="S1806" s="22"/>
      <c r="T1806" s="22"/>
      <c r="U1806" s="22"/>
      <c r="V1806" s="22"/>
      <c r="W1806" s="22"/>
      <c r="X1806" s="22"/>
      <c r="Y1806" s="22"/>
      <c r="Z1806" s="22"/>
      <c r="AA1806" s="22"/>
      <c r="AB1806" s="22"/>
      <c r="AC1806" s="22"/>
      <c r="AD1806" s="22"/>
      <c r="AE1806" s="22"/>
      <c r="AF1806" s="22"/>
      <c r="AG1806" s="22"/>
      <c r="AH1806" s="22"/>
      <c r="AI1806" s="22"/>
      <c r="AJ1806" s="22"/>
    </row>
    <row r="1807" spans="1:36" x14ac:dyDescent="0.25">
      <c r="A1807" s="22" t="s">
        <v>3340</v>
      </c>
      <c r="B1807" s="22">
        <v>0</v>
      </c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2"/>
      <c r="S1807" s="22"/>
      <c r="T1807" s="22"/>
      <c r="U1807" s="22"/>
      <c r="V1807" s="22"/>
      <c r="W1807" s="22"/>
      <c r="X1807" s="22"/>
      <c r="Y1807" s="22"/>
      <c r="Z1807" s="22"/>
      <c r="AA1807" s="22"/>
      <c r="AB1807" s="22"/>
      <c r="AC1807" s="22"/>
      <c r="AD1807" s="22"/>
      <c r="AE1807" s="22"/>
      <c r="AF1807" s="22"/>
      <c r="AG1807" s="22"/>
      <c r="AH1807" s="22"/>
      <c r="AI1807" s="22"/>
      <c r="AJ1807" s="22"/>
    </row>
    <row r="1808" spans="1:36" x14ac:dyDescent="0.25">
      <c r="A1808" s="22" t="s">
        <v>3341</v>
      </c>
      <c r="B1808" s="22">
        <v>0</v>
      </c>
      <c r="C1808" s="22"/>
      <c r="D1808" s="22"/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2"/>
      <c r="S1808" s="22"/>
      <c r="T1808" s="22"/>
      <c r="U1808" s="22"/>
      <c r="V1808" s="22"/>
      <c r="W1808" s="22"/>
      <c r="X1808" s="22"/>
      <c r="Y1808" s="22"/>
      <c r="Z1808" s="22"/>
      <c r="AA1808" s="22"/>
      <c r="AB1808" s="22"/>
      <c r="AC1808" s="22"/>
      <c r="AD1808" s="22"/>
      <c r="AE1808" s="22"/>
      <c r="AF1808" s="22"/>
      <c r="AG1808" s="22"/>
      <c r="AH1808" s="22"/>
      <c r="AI1808" s="22"/>
      <c r="AJ1808" s="22"/>
    </row>
    <row r="1809" spans="1:36" x14ac:dyDescent="0.25">
      <c r="A1809" s="22" t="s">
        <v>3342</v>
      </c>
      <c r="B1809" s="22">
        <v>0</v>
      </c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2"/>
      <c r="S1809" s="22"/>
      <c r="T1809" s="22"/>
      <c r="U1809" s="22"/>
      <c r="V1809" s="22"/>
      <c r="W1809" s="22"/>
      <c r="X1809" s="22"/>
      <c r="Y1809" s="22"/>
      <c r="Z1809" s="22"/>
      <c r="AA1809" s="22"/>
      <c r="AB1809" s="22"/>
      <c r="AC1809" s="22"/>
      <c r="AD1809" s="22"/>
      <c r="AE1809" s="22"/>
      <c r="AF1809" s="22"/>
      <c r="AG1809" s="22"/>
      <c r="AH1809" s="22"/>
      <c r="AI1809" s="22"/>
      <c r="AJ1809" s="22"/>
    </row>
    <row r="1810" spans="1:36" x14ac:dyDescent="0.25">
      <c r="A1810" s="22" t="s">
        <v>3343</v>
      </c>
      <c r="B1810" s="22">
        <v>0</v>
      </c>
      <c r="C1810" s="22"/>
      <c r="D1810" s="22"/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2"/>
      <c r="S1810" s="22"/>
      <c r="T1810" s="22"/>
      <c r="U1810" s="22"/>
      <c r="V1810" s="22"/>
      <c r="W1810" s="22"/>
      <c r="X1810" s="22"/>
      <c r="Y1810" s="22"/>
      <c r="Z1810" s="22"/>
      <c r="AA1810" s="22"/>
      <c r="AB1810" s="22"/>
      <c r="AC1810" s="22"/>
      <c r="AD1810" s="22"/>
      <c r="AE1810" s="22"/>
      <c r="AF1810" s="22"/>
      <c r="AG1810" s="22"/>
      <c r="AH1810" s="22"/>
      <c r="AI1810" s="22"/>
      <c r="AJ1810" s="22"/>
    </row>
    <row r="1811" spans="1:36" x14ac:dyDescent="0.25">
      <c r="A1811" s="22" t="s">
        <v>3344</v>
      </c>
      <c r="B1811" s="22">
        <v>0</v>
      </c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2"/>
      <c r="S1811" s="22"/>
      <c r="T1811" s="22"/>
      <c r="U1811" s="22"/>
      <c r="V1811" s="22"/>
      <c r="W1811" s="22"/>
      <c r="X1811" s="22"/>
      <c r="Y1811" s="22"/>
      <c r="Z1811" s="22"/>
      <c r="AA1811" s="22"/>
      <c r="AB1811" s="22"/>
      <c r="AC1811" s="22"/>
      <c r="AD1811" s="22"/>
      <c r="AE1811" s="22"/>
      <c r="AF1811" s="22"/>
      <c r="AG1811" s="22"/>
      <c r="AH1811" s="22"/>
      <c r="AI1811" s="22"/>
      <c r="AJ1811" s="22"/>
    </row>
    <row r="1812" spans="1:36" x14ac:dyDescent="0.25">
      <c r="A1812" s="22" t="s">
        <v>3345</v>
      </c>
      <c r="B1812" s="22">
        <v>0</v>
      </c>
      <c r="C1812" s="22"/>
      <c r="D1812" s="22"/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2"/>
      <c r="S1812" s="22"/>
      <c r="T1812" s="22"/>
      <c r="U1812" s="22"/>
      <c r="V1812" s="22"/>
      <c r="W1812" s="22"/>
      <c r="X1812" s="22"/>
      <c r="Y1812" s="22"/>
      <c r="Z1812" s="22"/>
      <c r="AA1812" s="22"/>
      <c r="AB1812" s="22"/>
      <c r="AC1812" s="22"/>
      <c r="AD1812" s="22"/>
      <c r="AE1812" s="22"/>
      <c r="AF1812" s="22"/>
      <c r="AG1812" s="22"/>
      <c r="AH1812" s="22"/>
      <c r="AI1812" s="22"/>
      <c r="AJ1812" s="22"/>
    </row>
    <row r="1813" spans="1:36" x14ac:dyDescent="0.25">
      <c r="A1813" s="22" t="s">
        <v>3346</v>
      </c>
      <c r="B1813" s="22">
        <v>0</v>
      </c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2"/>
      <c r="S1813" s="22"/>
      <c r="T1813" s="22"/>
      <c r="U1813" s="22"/>
      <c r="V1813" s="22"/>
      <c r="W1813" s="22"/>
      <c r="X1813" s="22"/>
      <c r="Y1813" s="22"/>
      <c r="Z1813" s="22"/>
      <c r="AA1813" s="22"/>
      <c r="AB1813" s="22"/>
      <c r="AC1813" s="22"/>
      <c r="AD1813" s="22"/>
      <c r="AE1813" s="22"/>
      <c r="AF1813" s="22"/>
      <c r="AG1813" s="22"/>
      <c r="AH1813" s="22"/>
      <c r="AI1813" s="22"/>
      <c r="AJ1813" s="22"/>
    </row>
    <row r="1814" spans="1:36" x14ac:dyDescent="0.25">
      <c r="A1814" s="22" t="s">
        <v>4196</v>
      </c>
      <c r="B1814" s="22">
        <v>0</v>
      </c>
      <c r="C1814" s="22"/>
      <c r="D1814" s="22"/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2"/>
      <c r="S1814" s="22"/>
      <c r="T1814" s="22"/>
      <c r="U1814" s="22"/>
      <c r="V1814" s="22"/>
      <c r="W1814" s="22"/>
      <c r="X1814" s="22"/>
      <c r="Y1814" s="22"/>
      <c r="Z1814" s="22"/>
      <c r="AA1814" s="22"/>
      <c r="AB1814" s="22"/>
      <c r="AC1814" s="22"/>
      <c r="AD1814" s="22"/>
      <c r="AE1814" s="22"/>
      <c r="AF1814" s="22"/>
      <c r="AG1814" s="22"/>
      <c r="AH1814" s="22"/>
      <c r="AI1814" s="22"/>
      <c r="AJ1814" s="22"/>
    </row>
    <row r="1815" spans="1:36" x14ac:dyDescent="0.25">
      <c r="A1815" s="22" t="s">
        <v>4197</v>
      </c>
      <c r="B1815" s="22">
        <v>0</v>
      </c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2"/>
      <c r="S1815" s="22"/>
      <c r="T1815" s="22"/>
      <c r="U1815" s="22"/>
      <c r="V1815" s="22"/>
      <c r="W1815" s="22"/>
      <c r="X1815" s="22"/>
      <c r="Y1815" s="22"/>
      <c r="Z1815" s="22"/>
      <c r="AA1815" s="22"/>
      <c r="AB1815" s="22"/>
      <c r="AC1815" s="22"/>
      <c r="AD1815" s="22"/>
      <c r="AE1815" s="22"/>
      <c r="AF1815" s="22"/>
      <c r="AG1815" s="22"/>
      <c r="AH1815" s="22"/>
      <c r="AI1815" s="22"/>
      <c r="AJ1815" s="22"/>
    </row>
    <row r="1816" spans="1:36" x14ac:dyDescent="0.25">
      <c r="A1816" s="22" t="s">
        <v>4198</v>
      </c>
      <c r="B1816" s="22">
        <v>0</v>
      </c>
      <c r="C1816" s="22"/>
      <c r="D1816" s="22"/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2"/>
      <c r="S1816" s="22"/>
      <c r="T1816" s="22"/>
      <c r="U1816" s="22"/>
      <c r="V1816" s="22"/>
      <c r="W1816" s="22"/>
      <c r="X1816" s="22"/>
      <c r="Y1816" s="22"/>
      <c r="Z1816" s="22"/>
      <c r="AA1816" s="22"/>
      <c r="AB1816" s="22"/>
      <c r="AC1816" s="22"/>
      <c r="AD1816" s="22"/>
      <c r="AE1816" s="22"/>
      <c r="AF1816" s="22"/>
      <c r="AG1816" s="22"/>
      <c r="AH1816" s="22"/>
      <c r="AI1816" s="22"/>
      <c r="AJ1816" s="22"/>
    </row>
    <row r="1817" spans="1:36" x14ac:dyDescent="0.25">
      <c r="A1817" s="22" t="s">
        <v>4199</v>
      </c>
      <c r="B1817" s="22">
        <v>0</v>
      </c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2"/>
      <c r="S1817" s="22"/>
      <c r="T1817" s="22"/>
      <c r="U1817" s="22"/>
      <c r="V1817" s="22"/>
      <c r="W1817" s="22"/>
      <c r="X1817" s="22"/>
      <c r="Y1817" s="22"/>
      <c r="Z1817" s="22"/>
      <c r="AA1817" s="22"/>
      <c r="AB1817" s="22"/>
      <c r="AC1817" s="22"/>
      <c r="AD1817" s="22"/>
      <c r="AE1817" s="22"/>
      <c r="AF1817" s="22"/>
      <c r="AG1817" s="22"/>
      <c r="AH1817" s="22"/>
      <c r="AI1817" s="22"/>
      <c r="AJ1817" s="22"/>
    </row>
    <row r="1818" spans="1:36" x14ac:dyDescent="0.25">
      <c r="A1818" s="22" t="s">
        <v>4200</v>
      </c>
      <c r="B1818" s="22">
        <v>0</v>
      </c>
      <c r="C1818" s="22"/>
      <c r="D1818" s="22"/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2"/>
      <c r="S1818" s="22"/>
      <c r="T1818" s="22"/>
      <c r="U1818" s="22"/>
      <c r="V1818" s="22"/>
      <c r="W1818" s="22"/>
      <c r="X1818" s="22"/>
      <c r="Y1818" s="22"/>
      <c r="Z1818" s="22"/>
      <c r="AA1818" s="22"/>
      <c r="AB1818" s="22"/>
      <c r="AC1818" s="22"/>
      <c r="AD1818" s="22"/>
      <c r="AE1818" s="22"/>
      <c r="AF1818" s="22"/>
      <c r="AG1818" s="22"/>
      <c r="AH1818" s="22"/>
      <c r="AI1818" s="22"/>
      <c r="AJ1818" s="22"/>
    </row>
    <row r="1819" spans="1:36" x14ac:dyDescent="0.25">
      <c r="A1819" s="22" t="s">
        <v>4201</v>
      </c>
      <c r="B1819" s="22">
        <v>0</v>
      </c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2"/>
      <c r="S1819" s="22"/>
      <c r="T1819" s="22"/>
      <c r="U1819" s="22"/>
      <c r="V1819" s="22"/>
      <c r="W1819" s="22"/>
      <c r="X1819" s="22"/>
      <c r="Y1819" s="22"/>
      <c r="Z1819" s="22"/>
      <c r="AA1819" s="22"/>
      <c r="AB1819" s="22"/>
      <c r="AC1819" s="22"/>
      <c r="AD1819" s="22"/>
      <c r="AE1819" s="22"/>
      <c r="AF1819" s="22"/>
      <c r="AG1819" s="22"/>
      <c r="AH1819" s="22"/>
      <c r="AI1819" s="22"/>
      <c r="AJ1819" s="22"/>
    </row>
    <row r="1820" spans="1:36" x14ac:dyDescent="0.25">
      <c r="A1820" s="22" t="s">
        <v>4202</v>
      </c>
      <c r="B1820" s="22">
        <v>0</v>
      </c>
      <c r="C1820" s="22"/>
      <c r="D1820" s="22"/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2"/>
      <c r="S1820" s="22"/>
      <c r="T1820" s="22"/>
      <c r="U1820" s="22"/>
      <c r="V1820" s="22"/>
      <c r="W1820" s="22"/>
      <c r="X1820" s="22"/>
      <c r="Y1820" s="22"/>
      <c r="Z1820" s="22"/>
      <c r="AA1820" s="22"/>
      <c r="AB1820" s="22"/>
      <c r="AC1820" s="22"/>
      <c r="AD1820" s="22"/>
      <c r="AE1820" s="22"/>
      <c r="AF1820" s="22"/>
      <c r="AG1820" s="22"/>
      <c r="AH1820" s="22"/>
      <c r="AI1820" s="22"/>
      <c r="AJ1820" s="22"/>
    </row>
    <row r="1821" spans="1:36" x14ac:dyDescent="0.25">
      <c r="A1821" s="22" t="s">
        <v>4203</v>
      </c>
      <c r="B1821" s="22">
        <v>0</v>
      </c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2"/>
      <c r="S1821" s="22"/>
      <c r="T1821" s="22"/>
      <c r="U1821" s="22"/>
      <c r="V1821" s="22"/>
      <c r="W1821" s="22"/>
      <c r="X1821" s="22"/>
      <c r="Y1821" s="22"/>
      <c r="Z1821" s="22"/>
      <c r="AA1821" s="22"/>
      <c r="AB1821" s="22"/>
      <c r="AC1821" s="22"/>
      <c r="AD1821" s="22"/>
      <c r="AE1821" s="22"/>
      <c r="AF1821" s="22"/>
      <c r="AG1821" s="22"/>
      <c r="AH1821" s="22"/>
      <c r="AI1821" s="22"/>
      <c r="AJ1821" s="22"/>
    </row>
    <row r="1822" spans="1:36" x14ac:dyDescent="0.25">
      <c r="A1822" s="22" t="s">
        <v>455</v>
      </c>
      <c r="B1822" s="22">
        <v>0</v>
      </c>
      <c r="C1822" s="22"/>
      <c r="D1822" s="22"/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2"/>
      <c r="S1822" s="22"/>
      <c r="T1822" s="22"/>
      <c r="U1822" s="22"/>
      <c r="V1822" s="22"/>
      <c r="W1822" s="22"/>
      <c r="X1822" s="22"/>
      <c r="Y1822" s="22"/>
      <c r="Z1822" s="22"/>
      <c r="AA1822" s="22"/>
      <c r="AB1822" s="22"/>
      <c r="AC1822" s="22"/>
      <c r="AD1822" s="22"/>
      <c r="AE1822" s="22"/>
      <c r="AF1822" s="22"/>
      <c r="AG1822" s="22"/>
      <c r="AH1822" s="22"/>
      <c r="AI1822" s="22"/>
      <c r="AJ1822" s="22"/>
    </row>
    <row r="1823" spans="1:36" x14ac:dyDescent="0.25">
      <c r="A1823" s="22" t="s">
        <v>3347</v>
      </c>
      <c r="B1823" s="22">
        <v>0</v>
      </c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2"/>
      <c r="S1823" s="22"/>
      <c r="T1823" s="22"/>
      <c r="U1823" s="22"/>
      <c r="V1823" s="22"/>
      <c r="W1823" s="22"/>
      <c r="X1823" s="22"/>
      <c r="Y1823" s="22"/>
      <c r="Z1823" s="22"/>
      <c r="AA1823" s="22"/>
      <c r="AB1823" s="22"/>
      <c r="AC1823" s="22"/>
      <c r="AD1823" s="22"/>
      <c r="AE1823" s="22"/>
      <c r="AF1823" s="22"/>
      <c r="AG1823" s="22"/>
      <c r="AH1823" s="22"/>
      <c r="AI1823" s="22"/>
      <c r="AJ1823" s="22"/>
    </row>
    <row r="1824" spans="1:36" x14ac:dyDescent="0.25">
      <c r="A1824" s="22" t="s">
        <v>3348</v>
      </c>
      <c r="B1824" s="22">
        <v>0</v>
      </c>
      <c r="C1824" s="22"/>
      <c r="D1824" s="22"/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2"/>
      <c r="S1824" s="22"/>
      <c r="T1824" s="22"/>
      <c r="U1824" s="22"/>
      <c r="V1824" s="22"/>
      <c r="W1824" s="22"/>
      <c r="X1824" s="22"/>
      <c r="Y1824" s="22"/>
      <c r="Z1824" s="22"/>
      <c r="AA1824" s="22"/>
      <c r="AB1824" s="22"/>
      <c r="AC1824" s="22"/>
      <c r="AD1824" s="22"/>
      <c r="AE1824" s="22"/>
      <c r="AF1824" s="22"/>
      <c r="AG1824" s="22"/>
      <c r="AH1824" s="22"/>
      <c r="AI1824" s="22"/>
      <c r="AJ1824" s="22"/>
    </row>
    <row r="1825" spans="1:36" x14ac:dyDescent="0.25">
      <c r="A1825" s="22" t="s">
        <v>3349</v>
      </c>
      <c r="B1825" s="22">
        <v>0</v>
      </c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2"/>
      <c r="S1825" s="22"/>
      <c r="T1825" s="22"/>
      <c r="U1825" s="22"/>
      <c r="V1825" s="22"/>
      <c r="W1825" s="22"/>
      <c r="X1825" s="22"/>
      <c r="Y1825" s="22"/>
      <c r="Z1825" s="22"/>
      <c r="AA1825" s="22"/>
      <c r="AB1825" s="22"/>
      <c r="AC1825" s="22"/>
      <c r="AD1825" s="22"/>
      <c r="AE1825" s="22"/>
      <c r="AF1825" s="22"/>
      <c r="AG1825" s="22"/>
      <c r="AH1825" s="22"/>
      <c r="AI1825" s="22"/>
      <c r="AJ1825" s="22"/>
    </row>
    <row r="1826" spans="1:36" x14ac:dyDescent="0.25">
      <c r="A1826" s="22" t="s">
        <v>3350</v>
      </c>
      <c r="B1826" s="22">
        <v>0</v>
      </c>
      <c r="C1826" s="22"/>
      <c r="D1826" s="22"/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2"/>
      <c r="S1826" s="22"/>
      <c r="T1826" s="22"/>
      <c r="U1826" s="22"/>
      <c r="V1826" s="22"/>
      <c r="W1826" s="22"/>
      <c r="X1826" s="22"/>
      <c r="Y1826" s="22"/>
      <c r="Z1826" s="22"/>
      <c r="AA1826" s="22"/>
      <c r="AB1826" s="22"/>
      <c r="AC1826" s="22"/>
      <c r="AD1826" s="22"/>
      <c r="AE1826" s="22"/>
      <c r="AF1826" s="22"/>
      <c r="AG1826" s="22"/>
      <c r="AH1826" s="22"/>
      <c r="AI1826" s="22"/>
      <c r="AJ1826" s="22"/>
    </row>
    <row r="1827" spans="1:36" x14ac:dyDescent="0.25">
      <c r="A1827" s="22" t="s">
        <v>3351</v>
      </c>
      <c r="B1827" s="22">
        <v>0</v>
      </c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2"/>
      <c r="S1827" s="22"/>
      <c r="T1827" s="22"/>
      <c r="U1827" s="22"/>
      <c r="V1827" s="22"/>
      <c r="W1827" s="22"/>
      <c r="X1827" s="22"/>
      <c r="Y1827" s="22"/>
      <c r="Z1827" s="22"/>
      <c r="AA1827" s="22"/>
      <c r="AB1827" s="22"/>
      <c r="AC1827" s="22"/>
      <c r="AD1827" s="22"/>
      <c r="AE1827" s="22"/>
      <c r="AF1827" s="22"/>
      <c r="AG1827" s="22"/>
      <c r="AH1827" s="22"/>
      <c r="AI1827" s="22"/>
      <c r="AJ1827" s="22"/>
    </row>
    <row r="1828" spans="1:36" x14ac:dyDescent="0.25">
      <c r="A1828" s="22" t="s">
        <v>3352</v>
      </c>
      <c r="B1828" s="22">
        <v>0</v>
      </c>
      <c r="C1828" s="22"/>
      <c r="D1828" s="22"/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2"/>
      <c r="S1828" s="22"/>
      <c r="T1828" s="22"/>
      <c r="U1828" s="22"/>
      <c r="V1828" s="22"/>
      <c r="W1828" s="22"/>
      <c r="X1828" s="22"/>
      <c r="Y1828" s="22"/>
      <c r="Z1828" s="22"/>
      <c r="AA1828" s="22"/>
      <c r="AB1828" s="22"/>
      <c r="AC1828" s="22"/>
      <c r="AD1828" s="22"/>
      <c r="AE1828" s="22"/>
      <c r="AF1828" s="22"/>
      <c r="AG1828" s="22"/>
      <c r="AH1828" s="22"/>
      <c r="AI1828" s="22"/>
      <c r="AJ1828" s="22"/>
    </row>
    <row r="1829" spans="1:36" x14ac:dyDescent="0.25">
      <c r="A1829" s="22" t="s">
        <v>3353</v>
      </c>
      <c r="B1829" s="22">
        <v>0</v>
      </c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2"/>
      <c r="S1829" s="22"/>
      <c r="T1829" s="22"/>
      <c r="U1829" s="22"/>
      <c r="V1829" s="22"/>
      <c r="W1829" s="22"/>
      <c r="X1829" s="22"/>
      <c r="Y1829" s="22"/>
      <c r="Z1829" s="22"/>
      <c r="AA1829" s="22"/>
      <c r="AB1829" s="22"/>
      <c r="AC1829" s="22"/>
      <c r="AD1829" s="22"/>
      <c r="AE1829" s="22"/>
      <c r="AF1829" s="22"/>
      <c r="AG1829" s="22"/>
      <c r="AH1829" s="22"/>
      <c r="AI1829" s="22"/>
      <c r="AJ1829" s="22"/>
    </row>
    <row r="1830" spans="1:36" x14ac:dyDescent="0.25">
      <c r="A1830" s="22" t="s">
        <v>4841</v>
      </c>
      <c r="B1830" s="22">
        <v>29</v>
      </c>
      <c r="C1830" s="22"/>
      <c r="D1830" s="22"/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2"/>
      <c r="S1830" s="22"/>
      <c r="T1830" s="22"/>
      <c r="U1830" s="22"/>
      <c r="V1830" s="22"/>
      <c r="W1830" s="22"/>
      <c r="X1830" s="22"/>
      <c r="Y1830" s="22"/>
      <c r="Z1830" s="22"/>
      <c r="AA1830" s="22"/>
      <c r="AB1830" s="22"/>
      <c r="AC1830" s="22"/>
      <c r="AD1830" s="22"/>
      <c r="AE1830" s="22"/>
      <c r="AF1830" s="22"/>
      <c r="AG1830" s="22"/>
      <c r="AH1830" s="22"/>
      <c r="AI1830" s="22"/>
      <c r="AJ1830" s="22"/>
    </row>
    <row r="1831" spans="1:36" x14ac:dyDescent="0.25">
      <c r="A1831" s="22" t="s">
        <v>4842</v>
      </c>
      <c r="B1831" s="22">
        <v>0</v>
      </c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2"/>
      <c r="S1831" s="22"/>
      <c r="T1831" s="22"/>
      <c r="U1831" s="22"/>
      <c r="V1831" s="22"/>
      <c r="W1831" s="22"/>
      <c r="X1831" s="22"/>
      <c r="Y1831" s="22"/>
      <c r="Z1831" s="22"/>
      <c r="AA1831" s="22"/>
      <c r="AB1831" s="22"/>
      <c r="AC1831" s="22"/>
      <c r="AD1831" s="22"/>
      <c r="AE1831" s="22"/>
      <c r="AF1831" s="22"/>
      <c r="AG1831" s="22"/>
      <c r="AH1831" s="22"/>
      <c r="AI1831" s="22"/>
      <c r="AJ1831" s="22"/>
    </row>
    <row r="1832" spans="1:36" x14ac:dyDescent="0.25">
      <c r="A1832" s="22" t="s">
        <v>4843</v>
      </c>
      <c r="B1832" s="22">
        <v>0</v>
      </c>
      <c r="C1832" s="22"/>
      <c r="D1832" s="22"/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2"/>
      <c r="S1832" s="22"/>
      <c r="T1832" s="22"/>
      <c r="U1832" s="22"/>
      <c r="V1832" s="22"/>
      <c r="W1832" s="22"/>
      <c r="X1832" s="22"/>
      <c r="Y1832" s="22"/>
      <c r="Z1832" s="22"/>
      <c r="AA1832" s="22"/>
      <c r="AB1832" s="22"/>
      <c r="AC1832" s="22"/>
      <c r="AD1832" s="22"/>
      <c r="AE1832" s="22"/>
      <c r="AF1832" s="22"/>
      <c r="AG1832" s="22"/>
      <c r="AH1832" s="22"/>
      <c r="AI1832" s="22"/>
      <c r="AJ1832" s="22"/>
    </row>
    <row r="1833" spans="1:36" x14ac:dyDescent="0.25">
      <c r="A1833" s="22" t="s">
        <v>4844</v>
      </c>
      <c r="B1833" s="22">
        <v>0</v>
      </c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2"/>
      <c r="S1833" s="22"/>
      <c r="T1833" s="22"/>
      <c r="U1833" s="22"/>
      <c r="V1833" s="22"/>
      <c r="W1833" s="22"/>
      <c r="X1833" s="22"/>
      <c r="Y1833" s="22"/>
      <c r="Z1833" s="22"/>
      <c r="AA1833" s="22"/>
      <c r="AB1833" s="22"/>
      <c r="AC1833" s="22"/>
      <c r="AD1833" s="22"/>
      <c r="AE1833" s="22"/>
      <c r="AF1833" s="22"/>
      <c r="AG1833" s="22"/>
      <c r="AH1833" s="22"/>
      <c r="AI1833" s="22"/>
      <c r="AJ1833" s="22"/>
    </row>
    <row r="1834" spans="1:36" x14ac:dyDescent="0.25">
      <c r="A1834" s="22" t="s">
        <v>4845</v>
      </c>
      <c r="B1834" s="22">
        <v>1</v>
      </c>
      <c r="C1834" s="22"/>
      <c r="D1834" s="22"/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2"/>
      <c r="S1834" s="22"/>
      <c r="T1834" s="22"/>
      <c r="U1834" s="22"/>
      <c r="V1834" s="22"/>
      <c r="W1834" s="22"/>
      <c r="X1834" s="22"/>
      <c r="Y1834" s="22"/>
      <c r="Z1834" s="22"/>
      <c r="AA1834" s="22"/>
      <c r="AB1834" s="22"/>
      <c r="AC1834" s="22"/>
      <c r="AD1834" s="22"/>
      <c r="AE1834" s="22"/>
      <c r="AF1834" s="22"/>
      <c r="AG1834" s="22"/>
      <c r="AH1834" s="22"/>
      <c r="AI1834" s="22"/>
      <c r="AJ1834" s="22"/>
    </row>
    <row r="1835" spans="1:36" x14ac:dyDescent="0.25">
      <c r="A1835" s="22" t="s">
        <v>4846</v>
      </c>
      <c r="B1835" s="22">
        <v>0</v>
      </c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2"/>
      <c r="S1835" s="22"/>
      <c r="T1835" s="22"/>
      <c r="U1835" s="22"/>
      <c r="V1835" s="22"/>
      <c r="W1835" s="22"/>
      <c r="X1835" s="22"/>
      <c r="Y1835" s="22"/>
      <c r="Z1835" s="22"/>
      <c r="AA1835" s="22"/>
      <c r="AB1835" s="22"/>
      <c r="AC1835" s="22"/>
      <c r="AD1835" s="22"/>
      <c r="AE1835" s="22"/>
      <c r="AF1835" s="22"/>
      <c r="AG1835" s="22"/>
      <c r="AH1835" s="22"/>
      <c r="AI1835" s="22"/>
      <c r="AJ1835" s="22"/>
    </row>
    <row r="1836" spans="1:36" x14ac:dyDescent="0.25">
      <c r="A1836" s="22" t="s">
        <v>4847</v>
      </c>
      <c r="B1836" s="22">
        <v>0</v>
      </c>
      <c r="C1836" s="22"/>
      <c r="D1836" s="22"/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2"/>
      <c r="S1836" s="22"/>
      <c r="T1836" s="22"/>
      <c r="U1836" s="22"/>
      <c r="V1836" s="22"/>
      <c r="W1836" s="22"/>
      <c r="X1836" s="22"/>
      <c r="Y1836" s="22"/>
      <c r="Z1836" s="22"/>
      <c r="AA1836" s="22"/>
      <c r="AB1836" s="22"/>
      <c r="AC1836" s="22"/>
      <c r="AD1836" s="22"/>
      <c r="AE1836" s="22"/>
      <c r="AF1836" s="22"/>
      <c r="AG1836" s="22"/>
      <c r="AH1836" s="22"/>
      <c r="AI1836" s="22"/>
      <c r="AJ1836" s="22"/>
    </row>
    <row r="1837" spans="1:36" x14ac:dyDescent="0.25">
      <c r="A1837" s="22" t="s">
        <v>4848</v>
      </c>
      <c r="B1837" s="22">
        <v>0</v>
      </c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2"/>
      <c r="S1837" s="22"/>
      <c r="T1837" s="22"/>
      <c r="U1837" s="22"/>
      <c r="V1837" s="22"/>
      <c r="W1837" s="22"/>
      <c r="X1837" s="22"/>
      <c r="Y1837" s="22"/>
      <c r="Z1837" s="22"/>
      <c r="AA1837" s="22"/>
      <c r="AB1837" s="22"/>
      <c r="AC1837" s="22"/>
      <c r="AD1837" s="22"/>
      <c r="AE1837" s="22"/>
      <c r="AF1837" s="22"/>
      <c r="AG1837" s="22"/>
      <c r="AH1837" s="22"/>
      <c r="AI1837" s="22"/>
      <c r="AJ1837" s="22"/>
    </row>
    <row r="1838" spans="1:36" x14ac:dyDescent="0.25">
      <c r="A1838" s="22" t="s">
        <v>456</v>
      </c>
      <c r="B1838" s="22">
        <v>0</v>
      </c>
      <c r="C1838" s="22"/>
      <c r="D1838" s="22"/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2"/>
      <c r="S1838" s="22"/>
      <c r="T1838" s="22"/>
      <c r="U1838" s="22"/>
      <c r="V1838" s="22"/>
      <c r="W1838" s="22"/>
      <c r="X1838" s="22"/>
      <c r="Y1838" s="22"/>
      <c r="Z1838" s="22"/>
      <c r="AA1838" s="22"/>
      <c r="AB1838" s="22"/>
      <c r="AC1838" s="22"/>
      <c r="AD1838" s="22"/>
      <c r="AE1838" s="22"/>
      <c r="AF1838" s="22"/>
      <c r="AG1838" s="22"/>
      <c r="AH1838" s="22"/>
      <c r="AI1838" s="22"/>
      <c r="AJ1838" s="22"/>
    </row>
    <row r="1839" spans="1:36" x14ac:dyDescent="0.25">
      <c r="A1839" s="22" t="s">
        <v>3354</v>
      </c>
      <c r="B1839" s="22">
        <v>0</v>
      </c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2"/>
      <c r="S1839" s="22"/>
      <c r="T1839" s="22"/>
      <c r="U1839" s="22"/>
      <c r="V1839" s="22"/>
      <c r="W1839" s="22"/>
      <c r="X1839" s="22"/>
      <c r="Y1839" s="22"/>
      <c r="Z1839" s="22"/>
      <c r="AA1839" s="22"/>
      <c r="AB1839" s="22"/>
      <c r="AC1839" s="22"/>
      <c r="AD1839" s="22"/>
      <c r="AE1839" s="22"/>
      <c r="AF1839" s="22"/>
      <c r="AG1839" s="22"/>
      <c r="AH1839" s="22"/>
      <c r="AI1839" s="22"/>
      <c r="AJ1839" s="22"/>
    </row>
    <row r="1840" spans="1:36" x14ac:dyDescent="0.25">
      <c r="A1840" s="22" t="s">
        <v>3355</v>
      </c>
      <c r="B1840" s="22">
        <v>0</v>
      </c>
      <c r="C1840" s="22"/>
      <c r="D1840" s="22"/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2"/>
      <c r="S1840" s="22"/>
      <c r="T1840" s="22"/>
      <c r="U1840" s="22"/>
      <c r="V1840" s="22"/>
      <c r="W1840" s="22"/>
      <c r="X1840" s="22"/>
      <c r="Y1840" s="22"/>
      <c r="Z1840" s="22"/>
      <c r="AA1840" s="22"/>
      <c r="AB1840" s="22"/>
      <c r="AC1840" s="22"/>
      <c r="AD1840" s="22"/>
      <c r="AE1840" s="22"/>
      <c r="AF1840" s="22"/>
      <c r="AG1840" s="22"/>
      <c r="AH1840" s="22"/>
      <c r="AI1840" s="22"/>
      <c r="AJ1840" s="22"/>
    </row>
    <row r="1841" spans="1:36" x14ac:dyDescent="0.25">
      <c r="A1841" s="22" t="s">
        <v>3356</v>
      </c>
      <c r="B1841" s="22">
        <v>0</v>
      </c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2"/>
      <c r="S1841" s="22"/>
      <c r="T1841" s="22"/>
      <c r="U1841" s="22"/>
      <c r="V1841" s="22"/>
      <c r="W1841" s="22"/>
      <c r="X1841" s="22"/>
      <c r="Y1841" s="22"/>
      <c r="Z1841" s="22"/>
      <c r="AA1841" s="22"/>
      <c r="AB1841" s="22"/>
      <c r="AC1841" s="22"/>
      <c r="AD1841" s="22"/>
      <c r="AE1841" s="22"/>
      <c r="AF1841" s="22"/>
      <c r="AG1841" s="22"/>
      <c r="AH1841" s="22"/>
      <c r="AI1841" s="22"/>
      <c r="AJ1841" s="22"/>
    </row>
    <row r="1842" spans="1:36" x14ac:dyDescent="0.25">
      <c r="A1842" s="22" t="s">
        <v>3357</v>
      </c>
      <c r="B1842" s="22">
        <v>0</v>
      </c>
      <c r="C1842" s="22"/>
      <c r="D1842" s="22"/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2"/>
      <c r="S1842" s="22"/>
      <c r="T1842" s="22"/>
      <c r="U1842" s="22"/>
      <c r="V1842" s="22"/>
      <c r="W1842" s="22"/>
      <c r="X1842" s="22"/>
      <c r="Y1842" s="22"/>
      <c r="Z1842" s="22"/>
      <c r="AA1842" s="22"/>
      <c r="AB1842" s="22"/>
      <c r="AC1842" s="22"/>
      <c r="AD1842" s="22"/>
      <c r="AE1842" s="22"/>
      <c r="AF1842" s="22"/>
      <c r="AG1842" s="22"/>
      <c r="AH1842" s="22"/>
      <c r="AI1842" s="22"/>
      <c r="AJ1842" s="22"/>
    </row>
    <row r="1843" spans="1:36" x14ac:dyDescent="0.25">
      <c r="A1843" s="22" t="s">
        <v>3358</v>
      </c>
      <c r="B1843" s="22">
        <v>0</v>
      </c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2"/>
      <c r="S1843" s="22"/>
      <c r="T1843" s="22"/>
      <c r="U1843" s="22"/>
      <c r="V1843" s="22"/>
      <c r="W1843" s="22"/>
      <c r="X1843" s="22"/>
      <c r="Y1843" s="22"/>
      <c r="Z1843" s="22"/>
      <c r="AA1843" s="22"/>
      <c r="AB1843" s="22"/>
      <c r="AC1843" s="22"/>
      <c r="AD1843" s="22"/>
      <c r="AE1843" s="22"/>
      <c r="AF1843" s="22"/>
      <c r="AG1843" s="22"/>
      <c r="AH1843" s="22"/>
      <c r="AI1843" s="22"/>
      <c r="AJ1843" s="22"/>
    </row>
    <row r="1844" spans="1:36" x14ac:dyDescent="0.25">
      <c r="A1844" s="22" t="s">
        <v>3359</v>
      </c>
      <c r="B1844" s="22">
        <v>0</v>
      </c>
      <c r="C1844" s="22"/>
      <c r="D1844" s="22"/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2"/>
      <c r="S1844" s="22"/>
      <c r="T1844" s="22"/>
      <c r="U1844" s="22"/>
      <c r="V1844" s="22"/>
      <c r="W1844" s="22"/>
      <c r="X1844" s="22"/>
      <c r="Y1844" s="22"/>
      <c r="Z1844" s="22"/>
      <c r="AA1844" s="22"/>
      <c r="AB1844" s="22"/>
      <c r="AC1844" s="22"/>
      <c r="AD1844" s="22"/>
      <c r="AE1844" s="22"/>
      <c r="AF1844" s="22"/>
      <c r="AG1844" s="22"/>
      <c r="AH1844" s="22"/>
      <c r="AI1844" s="22"/>
      <c r="AJ1844" s="22"/>
    </row>
    <row r="1845" spans="1:36" x14ac:dyDescent="0.25">
      <c r="A1845" s="22" t="s">
        <v>3360</v>
      </c>
      <c r="B1845" s="22">
        <v>0</v>
      </c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2"/>
      <c r="S1845" s="22"/>
      <c r="T1845" s="22"/>
      <c r="U1845" s="22"/>
      <c r="V1845" s="22"/>
      <c r="W1845" s="22"/>
      <c r="X1845" s="22"/>
      <c r="Y1845" s="22"/>
      <c r="Z1845" s="22"/>
      <c r="AA1845" s="22"/>
      <c r="AB1845" s="22"/>
      <c r="AC1845" s="22"/>
      <c r="AD1845" s="22"/>
      <c r="AE1845" s="22"/>
      <c r="AF1845" s="22"/>
      <c r="AG1845" s="22"/>
      <c r="AH1845" s="22"/>
      <c r="AI1845" s="22"/>
      <c r="AJ1845" s="22"/>
    </row>
    <row r="1846" spans="1:36" x14ac:dyDescent="0.25">
      <c r="A1846" s="22" t="s">
        <v>4204</v>
      </c>
      <c r="B1846" s="22">
        <v>0</v>
      </c>
      <c r="C1846" s="22"/>
      <c r="D1846" s="22"/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2"/>
      <c r="S1846" s="22"/>
      <c r="T1846" s="22"/>
      <c r="U1846" s="22"/>
      <c r="V1846" s="22"/>
      <c r="W1846" s="22"/>
      <c r="X1846" s="22"/>
      <c r="Y1846" s="22"/>
      <c r="Z1846" s="22"/>
      <c r="AA1846" s="22"/>
      <c r="AB1846" s="22"/>
      <c r="AC1846" s="22"/>
      <c r="AD1846" s="22"/>
      <c r="AE1846" s="22"/>
      <c r="AF1846" s="22"/>
      <c r="AG1846" s="22"/>
      <c r="AH1846" s="22"/>
      <c r="AI1846" s="22"/>
      <c r="AJ1846" s="22"/>
    </row>
    <row r="1847" spans="1:36" x14ac:dyDescent="0.25">
      <c r="A1847" s="22" t="s">
        <v>4205</v>
      </c>
      <c r="B1847" s="22">
        <v>0</v>
      </c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2"/>
      <c r="S1847" s="22"/>
      <c r="T1847" s="22"/>
      <c r="U1847" s="22"/>
      <c r="V1847" s="22"/>
      <c r="W1847" s="22"/>
      <c r="X1847" s="22"/>
      <c r="Y1847" s="22"/>
      <c r="Z1847" s="22"/>
      <c r="AA1847" s="22"/>
      <c r="AB1847" s="22"/>
      <c r="AC1847" s="22"/>
      <c r="AD1847" s="22"/>
      <c r="AE1847" s="22"/>
      <c r="AF1847" s="22"/>
      <c r="AG1847" s="22"/>
      <c r="AH1847" s="22"/>
      <c r="AI1847" s="22"/>
      <c r="AJ1847" s="22"/>
    </row>
    <row r="1848" spans="1:36" x14ac:dyDescent="0.25">
      <c r="A1848" s="22" t="s">
        <v>4206</v>
      </c>
      <c r="B1848" s="22">
        <v>0</v>
      </c>
      <c r="C1848" s="22"/>
      <c r="D1848" s="22"/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2"/>
      <c r="S1848" s="22"/>
      <c r="T1848" s="22"/>
      <c r="U1848" s="22"/>
      <c r="V1848" s="22"/>
      <c r="W1848" s="22"/>
      <c r="X1848" s="22"/>
      <c r="Y1848" s="22"/>
      <c r="Z1848" s="22"/>
      <c r="AA1848" s="22"/>
      <c r="AB1848" s="22"/>
      <c r="AC1848" s="22"/>
      <c r="AD1848" s="22"/>
      <c r="AE1848" s="22"/>
      <c r="AF1848" s="22"/>
      <c r="AG1848" s="22"/>
      <c r="AH1848" s="22"/>
      <c r="AI1848" s="22"/>
      <c r="AJ1848" s="22"/>
    </row>
    <row r="1849" spans="1:36" x14ac:dyDescent="0.25">
      <c r="A1849" s="22" t="s">
        <v>4207</v>
      </c>
      <c r="B1849" s="22">
        <v>0</v>
      </c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2"/>
      <c r="S1849" s="22"/>
      <c r="T1849" s="22"/>
      <c r="U1849" s="22"/>
      <c r="V1849" s="22"/>
      <c r="W1849" s="22"/>
      <c r="X1849" s="22"/>
      <c r="Y1849" s="22"/>
      <c r="Z1849" s="22"/>
      <c r="AA1849" s="22"/>
      <c r="AB1849" s="22"/>
      <c r="AC1849" s="22"/>
      <c r="AD1849" s="22"/>
      <c r="AE1849" s="22"/>
      <c r="AF1849" s="22"/>
      <c r="AG1849" s="22"/>
      <c r="AH1849" s="22"/>
      <c r="AI1849" s="22"/>
      <c r="AJ1849" s="22"/>
    </row>
    <row r="1850" spans="1:36" x14ac:dyDescent="0.25">
      <c r="A1850" s="22" t="s">
        <v>4208</v>
      </c>
      <c r="B1850" s="22">
        <v>0</v>
      </c>
      <c r="C1850" s="22"/>
      <c r="D1850" s="22"/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2"/>
      <c r="S1850" s="22"/>
      <c r="T1850" s="22"/>
      <c r="U1850" s="22"/>
      <c r="V1850" s="22"/>
      <c r="W1850" s="22"/>
      <c r="X1850" s="22"/>
      <c r="Y1850" s="22"/>
      <c r="Z1850" s="22"/>
      <c r="AA1850" s="22"/>
      <c r="AB1850" s="22"/>
      <c r="AC1850" s="22"/>
      <c r="AD1850" s="22"/>
      <c r="AE1850" s="22"/>
      <c r="AF1850" s="22"/>
      <c r="AG1850" s="22"/>
      <c r="AH1850" s="22"/>
      <c r="AI1850" s="22"/>
      <c r="AJ1850" s="22"/>
    </row>
    <row r="1851" spans="1:36" x14ac:dyDescent="0.25">
      <c r="A1851" s="22" t="s">
        <v>4209</v>
      </c>
      <c r="B1851" s="22">
        <v>0</v>
      </c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2"/>
      <c r="S1851" s="22"/>
      <c r="T1851" s="22"/>
      <c r="U1851" s="22"/>
      <c r="V1851" s="22"/>
      <c r="W1851" s="22"/>
      <c r="X1851" s="22"/>
      <c r="Y1851" s="22"/>
      <c r="Z1851" s="22"/>
      <c r="AA1851" s="22"/>
      <c r="AB1851" s="22"/>
      <c r="AC1851" s="22"/>
      <c r="AD1851" s="22"/>
      <c r="AE1851" s="22"/>
      <c r="AF1851" s="22"/>
      <c r="AG1851" s="22"/>
      <c r="AH1851" s="22"/>
      <c r="AI1851" s="22"/>
      <c r="AJ1851" s="22"/>
    </row>
    <row r="1852" spans="1:36" x14ac:dyDescent="0.25">
      <c r="A1852" s="22" t="s">
        <v>4210</v>
      </c>
      <c r="B1852" s="22">
        <v>0</v>
      </c>
      <c r="C1852" s="22"/>
      <c r="D1852" s="22"/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2"/>
      <c r="S1852" s="22"/>
      <c r="T1852" s="22"/>
      <c r="U1852" s="22"/>
      <c r="V1852" s="22"/>
      <c r="W1852" s="22"/>
      <c r="X1852" s="22"/>
      <c r="Y1852" s="22"/>
      <c r="Z1852" s="22"/>
      <c r="AA1852" s="22"/>
      <c r="AB1852" s="22"/>
      <c r="AC1852" s="22"/>
      <c r="AD1852" s="22"/>
      <c r="AE1852" s="22"/>
      <c r="AF1852" s="22"/>
      <c r="AG1852" s="22"/>
      <c r="AH1852" s="22"/>
      <c r="AI1852" s="22"/>
      <c r="AJ1852" s="22"/>
    </row>
    <row r="1853" spans="1:36" x14ac:dyDescent="0.25">
      <c r="A1853" s="22" t="s">
        <v>4211</v>
      </c>
      <c r="B1853" s="22">
        <v>0</v>
      </c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2"/>
      <c r="S1853" s="22"/>
      <c r="T1853" s="22"/>
      <c r="U1853" s="22"/>
      <c r="V1853" s="22"/>
      <c r="W1853" s="22"/>
      <c r="X1853" s="22"/>
      <c r="Y1853" s="22"/>
      <c r="Z1853" s="22"/>
      <c r="AA1853" s="22"/>
      <c r="AB1853" s="22"/>
      <c r="AC1853" s="22"/>
      <c r="AD1853" s="22"/>
      <c r="AE1853" s="22"/>
      <c r="AF1853" s="22"/>
      <c r="AG1853" s="22"/>
      <c r="AH1853" s="22"/>
      <c r="AI1853" s="22"/>
      <c r="AJ1853" s="22"/>
    </row>
    <row r="1854" spans="1:36" x14ac:dyDescent="0.25">
      <c r="A1854" s="22" t="s">
        <v>457</v>
      </c>
      <c r="B1854" s="22">
        <v>0</v>
      </c>
      <c r="C1854" s="22"/>
      <c r="D1854" s="22"/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2"/>
      <c r="S1854" s="22"/>
      <c r="T1854" s="22"/>
      <c r="U1854" s="22"/>
      <c r="V1854" s="22"/>
      <c r="W1854" s="22"/>
      <c r="X1854" s="22"/>
      <c r="Y1854" s="22"/>
      <c r="Z1854" s="22"/>
      <c r="AA1854" s="22"/>
      <c r="AB1854" s="22"/>
      <c r="AC1854" s="22"/>
      <c r="AD1854" s="22"/>
      <c r="AE1854" s="22"/>
      <c r="AF1854" s="22"/>
      <c r="AG1854" s="22"/>
      <c r="AH1854" s="22"/>
      <c r="AI1854" s="22"/>
      <c r="AJ1854" s="22"/>
    </row>
    <row r="1855" spans="1:36" x14ac:dyDescent="0.25">
      <c r="A1855" s="22" t="s">
        <v>3361</v>
      </c>
      <c r="B1855" s="22">
        <v>0</v>
      </c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2"/>
      <c r="S1855" s="22"/>
      <c r="T1855" s="22"/>
      <c r="U1855" s="22"/>
      <c r="V1855" s="22"/>
      <c r="W1855" s="22"/>
      <c r="X1855" s="22"/>
      <c r="Y1855" s="22"/>
      <c r="Z1855" s="22"/>
      <c r="AA1855" s="22"/>
      <c r="AB1855" s="22"/>
      <c r="AC1855" s="22"/>
      <c r="AD1855" s="22"/>
      <c r="AE1855" s="22"/>
      <c r="AF1855" s="22"/>
      <c r="AG1855" s="22"/>
      <c r="AH1855" s="22"/>
      <c r="AI1855" s="22"/>
      <c r="AJ1855" s="22"/>
    </row>
    <row r="1856" spans="1:36" x14ac:dyDescent="0.25">
      <c r="A1856" s="22" t="s">
        <v>3362</v>
      </c>
      <c r="B1856" s="22">
        <v>0</v>
      </c>
      <c r="C1856" s="22"/>
      <c r="D1856" s="22"/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2"/>
      <c r="S1856" s="22"/>
      <c r="T1856" s="22"/>
      <c r="U1856" s="22"/>
      <c r="V1856" s="22"/>
      <c r="W1856" s="22"/>
      <c r="X1856" s="22"/>
      <c r="Y1856" s="22"/>
      <c r="Z1856" s="22"/>
      <c r="AA1856" s="22"/>
      <c r="AB1856" s="22"/>
      <c r="AC1856" s="22"/>
      <c r="AD1856" s="22"/>
      <c r="AE1856" s="22"/>
      <c r="AF1856" s="22"/>
      <c r="AG1856" s="22"/>
      <c r="AH1856" s="22"/>
      <c r="AI1856" s="22"/>
      <c r="AJ1856" s="22"/>
    </row>
    <row r="1857" spans="1:36" x14ac:dyDescent="0.25">
      <c r="A1857" s="22" t="s">
        <v>3363</v>
      </c>
      <c r="B1857" s="22">
        <v>0</v>
      </c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2"/>
      <c r="S1857" s="22"/>
      <c r="T1857" s="22"/>
      <c r="U1857" s="22"/>
      <c r="V1857" s="22"/>
      <c r="W1857" s="22"/>
      <c r="X1857" s="22"/>
      <c r="Y1857" s="22"/>
      <c r="Z1857" s="22"/>
      <c r="AA1857" s="22"/>
      <c r="AB1857" s="22"/>
      <c r="AC1857" s="22"/>
      <c r="AD1857" s="22"/>
      <c r="AE1857" s="22"/>
      <c r="AF1857" s="22"/>
      <c r="AG1857" s="22"/>
      <c r="AH1857" s="22"/>
      <c r="AI1857" s="22"/>
      <c r="AJ1857" s="22"/>
    </row>
    <row r="1858" spans="1:36" x14ac:dyDescent="0.25">
      <c r="A1858" s="22" t="s">
        <v>3364</v>
      </c>
      <c r="B1858" s="22">
        <v>0</v>
      </c>
      <c r="C1858" s="22"/>
      <c r="D1858" s="22"/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2"/>
      <c r="S1858" s="22"/>
      <c r="T1858" s="22"/>
      <c r="U1858" s="22"/>
      <c r="V1858" s="22"/>
      <c r="W1858" s="22"/>
      <c r="X1858" s="22"/>
      <c r="Y1858" s="22"/>
      <c r="Z1858" s="22"/>
      <c r="AA1858" s="22"/>
      <c r="AB1858" s="22"/>
      <c r="AC1858" s="22"/>
      <c r="AD1858" s="22"/>
      <c r="AE1858" s="22"/>
      <c r="AF1858" s="22"/>
      <c r="AG1858" s="22"/>
      <c r="AH1858" s="22"/>
      <c r="AI1858" s="22"/>
      <c r="AJ1858" s="22"/>
    </row>
    <row r="1859" spans="1:36" x14ac:dyDescent="0.25">
      <c r="A1859" s="22" t="s">
        <v>3365</v>
      </c>
      <c r="B1859" s="22">
        <v>0</v>
      </c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2"/>
      <c r="S1859" s="22"/>
      <c r="T1859" s="22"/>
      <c r="U1859" s="22"/>
      <c r="V1859" s="22"/>
      <c r="W1859" s="22"/>
      <c r="X1859" s="22"/>
      <c r="Y1859" s="22"/>
      <c r="Z1859" s="22"/>
      <c r="AA1859" s="22"/>
      <c r="AB1859" s="22"/>
      <c r="AC1859" s="22"/>
      <c r="AD1859" s="22"/>
      <c r="AE1859" s="22"/>
      <c r="AF1859" s="22"/>
      <c r="AG1859" s="22"/>
      <c r="AH1859" s="22"/>
      <c r="AI1859" s="22"/>
      <c r="AJ1859" s="22"/>
    </row>
    <row r="1860" spans="1:36" x14ac:dyDescent="0.25">
      <c r="A1860" s="22" t="s">
        <v>3366</v>
      </c>
      <c r="B1860" s="22">
        <v>0</v>
      </c>
      <c r="C1860" s="22"/>
      <c r="D1860" s="22"/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2"/>
      <c r="S1860" s="22"/>
      <c r="T1860" s="22"/>
      <c r="U1860" s="22"/>
      <c r="V1860" s="22"/>
      <c r="W1860" s="22"/>
      <c r="X1860" s="22"/>
      <c r="Y1860" s="22"/>
      <c r="Z1860" s="22"/>
      <c r="AA1860" s="22"/>
      <c r="AB1860" s="22"/>
      <c r="AC1860" s="22"/>
      <c r="AD1860" s="22"/>
      <c r="AE1860" s="22"/>
      <c r="AF1860" s="22"/>
      <c r="AG1860" s="22"/>
      <c r="AH1860" s="22"/>
      <c r="AI1860" s="22"/>
      <c r="AJ1860" s="22"/>
    </row>
    <row r="1861" spans="1:36" x14ac:dyDescent="0.25">
      <c r="A1861" s="22" t="s">
        <v>3367</v>
      </c>
      <c r="B1861" s="22">
        <v>0</v>
      </c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2"/>
      <c r="S1861" s="22"/>
      <c r="T1861" s="22"/>
      <c r="U1861" s="22"/>
      <c r="V1861" s="22"/>
      <c r="W1861" s="22"/>
      <c r="X1861" s="22"/>
      <c r="Y1861" s="22"/>
      <c r="Z1861" s="22"/>
      <c r="AA1861" s="22"/>
      <c r="AB1861" s="22"/>
      <c r="AC1861" s="22"/>
      <c r="AD1861" s="22"/>
      <c r="AE1861" s="22"/>
      <c r="AF1861" s="22"/>
      <c r="AG1861" s="22"/>
      <c r="AH1861" s="22"/>
      <c r="AI1861" s="22"/>
      <c r="AJ1861" s="22"/>
    </row>
    <row r="1862" spans="1:36" x14ac:dyDescent="0.25">
      <c r="A1862" s="22" t="s">
        <v>4849</v>
      </c>
      <c r="B1862" s="22">
        <v>0</v>
      </c>
      <c r="C1862" s="22"/>
      <c r="D1862" s="22"/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2"/>
      <c r="S1862" s="22"/>
      <c r="T1862" s="22"/>
      <c r="U1862" s="22"/>
      <c r="V1862" s="22"/>
      <c r="W1862" s="22"/>
      <c r="X1862" s="22"/>
      <c r="Y1862" s="22"/>
      <c r="Z1862" s="22"/>
      <c r="AA1862" s="22"/>
      <c r="AB1862" s="22"/>
      <c r="AC1862" s="22"/>
      <c r="AD1862" s="22"/>
      <c r="AE1862" s="22"/>
      <c r="AF1862" s="22"/>
      <c r="AG1862" s="22"/>
      <c r="AH1862" s="22"/>
      <c r="AI1862" s="22"/>
      <c r="AJ1862" s="22"/>
    </row>
    <row r="1863" spans="1:36" x14ac:dyDescent="0.25">
      <c r="A1863" s="22" t="s">
        <v>4850</v>
      </c>
      <c r="B1863" s="22">
        <v>0</v>
      </c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2"/>
      <c r="S1863" s="22"/>
      <c r="T1863" s="22"/>
      <c r="U1863" s="22"/>
      <c r="V1863" s="22"/>
      <c r="W1863" s="22"/>
      <c r="X1863" s="22"/>
      <c r="Y1863" s="22"/>
      <c r="Z1863" s="22"/>
      <c r="AA1863" s="22"/>
      <c r="AB1863" s="22"/>
      <c r="AC1863" s="22"/>
      <c r="AD1863" s="22"/>
      <c r="AE1863" s="22"/>
      <c r="AF1863" s="22"/>
      <c r="AG1863" s="22"/>
      <c r="AH1863" s="22"/>
      <c r="AI1863" s="22"/>
      <c r="AJ1863" s="22"/>
    </row>
    <row r="1864" spans="1:36" x14ac:dyDescent="0.25">
      <c r="A1864" s="22" t="s">
        <v>4851</v>
      </c>
      <c r="B1864" s="22">
        <v>0</v>
      </c>
      <c r="C1864" s="22"/>
      <c r="D1864" s="22"/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2"/>
      <c r="S1864" s="22"/>
      <c r="T1864" s="22"/>
      <c r="U1864" s="22"/>
      <c r="V1864" s="22"/>
      <c r="W1864" s="22"/>
      <c r="X1864" s="22"/>
      <c r="Y1864" s="22"/>
      <c r="Z1864" s="22"/>
      <c r="AA1864" s="22"/>
      <c r="AB1864" s="22"/>
      <c r="AC1864" s="22"/>
      <c r="AD1864" s="22"/>
      <c r="AE1864" s="22"/>
      <c r="AF1864" s="22"/>
      <c r="AG1864" s="22"/>
      <c r="AH1864" s="22"/>
      <c r="AI1864" s="22"/>
      <c r="AJ1864" s="22"/>
    </row>
    <row r="1865" spans="1:36" x14ac:dyDescent="0.25">
      <c r="A1865" s="22" t="s">
        <v>4852</v>
      </c>
      <c r="B1865" s="22">
        <v>0</v>
      </c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2"/>
      <c r="S1865" s="22"/>
      <c r="T1865" s="22"/>
      <c r="U1865" s="22"/>
      <c r="V1865" s="22"/>
      <c r="W1865" s="22"/>
      <c r="X1865" s="22"/>
      <c r="Y1865" s="22"/>
      <c r="Z1865" s="22"/>
      <c r="AA1865" s="22"/>
      <c r="AB1865" s="22"/>
      <c r="AC1865" s="22"/>
      <c r="AD1865" s="22"/>
      <c r="AE1865" s="22"/>
      <c r="AF1865" s="22"/>
      <c r="AG1865" s="22"/>
      <c r="AH1865" s="22"/>
      <c r="AI1865" s="22"/>
      <c r="AJ1865" s="22"/>
    </row>
    <row r="1866" spans="1:36" x14ac:dyDescent="0.25">
      <c r="A1866" s="22" t="s">
        <v>4853</v>
      </c>
      <c r="B1866" s="22">
        <v>0</v>
      </c>
      <c r="C1866" s="22"/>
      <c r="D1866" s="22"/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2"/>
      <c r="S1866" s="22"/>
      <c r="T1866" s="22"/>
      <c r="U1866" s="22"/>
      <c r="V1866" s="22"/>
      <c r="W1866" s="22"/>
      <c r="X1866" s="22"/>
      <c r="Y1866" s="22"/>
      <c r="Z1866" s="22"/>
      <c r="AA1866" s="22"/>
      <c r="AB1866" s="22"/>
      <c r="AC1866" s="22"/>
      <c r="AD1866" s="22"/>
      <c r="AE1866" s="22"/>
      <c r="AF1866" s="22"/>
      <c r="AG1866" s="22"/>
      <c r="AH1866" s="22"/>
      <c r="AI1866" s="22"/>
      <c r="AJ1866" s="22"/>
    </row>
    <row r="1867" spans="1:36" x14ac:dyDescent="0.25">
      <c r="A1867" s="22" t="s">
        <v>4854</v>
      </c>
      <c r="B1867" s="22">
        <v>0</v>
      </c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2"/>
      <c r="S1867" s="22"/>
      <c r="T1867" s="22"/>
      <c r="U1867" s="22"/>
      <c r="V1867" s="22"/>
      <c r="W1867" s="22"/>
      <c r="X1867" s="22"/>
      <c r="Y1867" s="22"/>
      <c r="Z1867" s="22"/>
      <c r="AA1867" s="22"/>
      <c r="AB1867" s="22"/>
      <c r="AC1867" s="22"/>
      <c r="AD1867" s="22"/>
      <c r="AE1867" s="22"/>
      <c r="AF1867" s="22"/>
      <c r="AG1867" s="22"/>
      <c r="AH1867" s="22"/>
      <c r="AI1867" s="22"/>
      <c r="AJ1867" s="22"/>
    </row>
    <row r="1868" spans="1:36" x14ac:dyDescent="0.25">
      <c r="A1868" s="22" t="s">
        <v>4855</v>
      </c>
      <c r="B1868" s="22">
        <v>0</v>
      </c>
      <c r="C1868" s="22"/>
      <c r="D1868" s="22"/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2"/>
      <c r="S1868" s="22"/>
      <c r="T1868" s="22"/>
      <c r="U1868" s="22"/>
      <c r="V1868" s="22"/>
      <c r="W1868" s="22"/>
      <c r="X1868" s="22"/>
      <c r="Y1868" s="22"/>
      <c r="Z1868" s="22"/>
      <c r="AA1868" s="22"/>
      <c r="AB1868" s="22"/>
      <c r="AC1868" s="22"/>
      <c r="AD1868" s="22"/>
      <c r="AE1868" s="22"/>
      <c r="AF1868" s="22"/>
      <c r="AG1868" s="22"/>
      <c r="AH1868" s="22"/>
      <c r="AI1868" s="22"/>
      <c r="AJ1868" s="22"/>
    </row>
    <row r="1869" spans="1:36" x14ac:dyDescent="0.25">
      <c r="A1869" s="22" t="s">
        <v>4856</v>
      </c>
      <c r="B1869" s="22">
        <v>0</v>
      </c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2"/>
      <c r="S1869" s="22"/>
      <c r="T1869" s="22"/>
      <c r="U1869" s="22"/>
      <c r="V1869" s="22"/>
      <c r="W1869" s="22"/>
      <c r="X1869" s="22"/>
      <c r="Y1869" s="22"/>
      <c r="Z1869" s="22"/>
      <c r="AA1869" s="22"/>
      <c r="AB1869" s="22"/>
      <c r="AC1869" s="22"/>
      <c r="AD1869" s="22"/>
      <c r="AE1869" s="22"/>
      <c r="AF1869" s="22"/>
      <c r="AG1869" s="22"/>
      <c r="AH1869" s="22"/>
      <c r="AI1869" s="22"/>
      <c r="AJ1869" s="22"/>
    </row>
    <row r="1870" spans="1:36" x14ac:dyDescent="0.25">
      <c r="A1870" s="22" t="s">
        <v>458</v>
      </c>
      <c r="B1870" s="22">
        <v>77</v>
      </c>
      <c r="C1870" s="22"/>
      <c r="D1870" s="22"/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2"/>
      <c r="S1870" s="22"/>
      <c r="T1870" s="22"/>
      <c r="U1870" s="22"/>
      <c r="V1870" s="22"/>
      <c r="W1870" s="22"/>
      <c r="X1870" s="22"/>
      <c r="Y1870" s="22"/>
      <c r="Z1870" s="22"/>
      <c r="AA1870" s="22"/>
      <c r="AB1870" s="22"/>
      <c r="AC1870" s="22"/>
      <c r="AD1870" s="22"/>
      <c r="AE1870" s="22"/>
      <c r="AF1870" s="22"/>
      <c r="AG1870" s="22"/>
      <c r="AH1870" s="22"/>
      <c r="AI1870" s="22"/>
      <c r="AJ1870" s="22"/>
    </row>
    <row r="1871" spans="1:36" x14ac:dyDescent="0.25">
      <c r="A1871" s="22" t="s">
        <v>3368</v>
      </c>
      <c r="B1871" s="22">
        <v>0</v>
      </c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2"/>
      <c r="S1871" s="22"/>
      <c r="T1871" s="22"/>
      <c r="U1871" s="22"/>
      <c r="V1871" s="22"/>
      <c r="W1871" s="22"/>
      <c r="X1871" s="22"/>
      <c r="Y1871" s="22"/>
      <c r="Z1871" s="22"/>
      <c r="AA1871" s="22"/>
      <c r="AB1871" s="22"/>
      <c r="AC1871" s="22"/>
      <c r="AD1871" s="22"/>
      <c r="AE1871" s="22"/>
      <c r="AF1871" s="22"/>
      <c r="AG1871" s="22"/>
      <c r="AH1871" s="22"/>
      <c r="AI1871" s="22"/>
      <c r="AJ1871" s="22"/>
    </row>
    <row r="1872" spans="1:36" x14ac:dyDescent="0.25">
      <c r="A1872" s="22" t="s">
        <v>3369</v>
      </c>
      <c r="B1872" s="22">
        <v>0</v>
      </c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2"/>
      <c r="S1872" s="22"/>
      <c r="T1872" s="22"/>
      <c r="U1872" s="22"/>
      <c r="V1872" s="22"/>
      <c r="W1872" s="22"/>
      <c r="X1872" s="22"/>
      <c r="Y1872" s="22"/>
      <c r="Z1872" s="22"/>
      <c r="AA1872" s="22"/>
      <c r="AB1872" s="22"/>
      <c r="AC1872" s="22"/>
      <c r="AD1872" s="22"/>
      <c r="AE1872" s="22"/>
      <c r="AF1872" s="22"/>
      <c r="AG1872" s="22"/>
      <c r="AH1872" s="22"/>
      <c r="AI1872" s="22"/>
      <c r="AJ1872" s="22"/>
    </row>
    <row r="1873" spans="1:36" x14ac:dyDescent="0.25">
      <c r="A1873" s="22" t="s">
        <v>3370</v>
      </c>
      <c r="B1873" s="22">
        <v>0</v>
      </c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2"/>
      <c r="S1873" s="22"/>
      <c r="T1873" s="22"/>
      <c r="U1873" s="22"/>
      <c r="V1873" s="22"/>
      <c r="W1873" s="22"/>
      <c r="X1873" s="22"/>
      <c r="Y1873" s="22"/>
      <c r="Z1873" s="22"/>
      <c r="AA1873" s="22"/>
      <c r="AB1873" s="22"/>
      <c r="AC1873" s="22"/>
      <c r="AD1873" s="22"/>
      <c r="AE1873" s="22"/>
      <c r="AF1873" s="22"/>
      <c r="AG1873" s="22"/>
      <c r="AH1873" s="22"/>
      <c r="AI1873" s="22"/>
      <c r="AJ1873" s="22"/>
    </row>
    <row r="1874" spans="1:36" x14ac:dyDescent="0.25">
      <c r="A1874" s="22" t="s">
        <v>3371</v>
      </c>
      <c r="B1874" s="22">
        <v>0</v>
      </c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2"/>
      <c r="S1874" s="22"/>
      <c r="T1874" s="22"/>
      <c r="U1874" s="22"/>
      <c r="V1874" s="22"/>
      <c r="W1874" s="22"/>
      <c r="X1874" s="22"/>
      <c r="Y1874" s="22"/>
      <c r="Z1874" s="22"/>
      <c r="AA1874" s="22"/>
      <c r="AB1874" s="22"/>
      <c r="AC1874" s="22"/>
      <c r="AD1874" s="22"/>
      <c r="AE1874" s="22"/>
      <c r="AF1874" s="22"/>
      <c r="AG1874" s="22"/>
      <c r="AH1874" s="22"/>
      <c r="AI1874" s="22"/>
      <c r="AJ1874" s="22"/>
    </row>
    <row r="1875" spans="1:36" x14ac:dyDescent="0.25">
      <c r="A1875" s="22" t="s">
        <v>3372</v>
      </c>
      <c r="B1875" s="22">
        <v>0</v>
      </c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2"/>
      <c r="S1875" s="22"/>
      <c r="T1875" s="22"/>
      <c r="U1875" s="22"/>
      <c r="V1875" s="22"/>
      <c r="W1875" s="22"/>
      <c r="X1875" s="22"/>
      <c r="Y1875" s="22"/>
      <c r="Z1875" s="22"/>
      <c r="AA1875" s="22"/>
      <c r="AB1875" s="22"/>
      <c r="AC1875" s="22"/>
      <c r="AD1875" s="22"/>
      <c r="AE1875" s="22"/>
      <c r="AF1875" s="22"/>
      <c r="AG1875" s="22"/>
      <c r="AH1875" s="22"/>
      <c r="AI1875" s="22"/>
      <c r="AJ1875" s="22"/>
    </row>
    <row r="1876" spans="1:36" x14ac:dyDescent="0.25">
      <c r="A1876" s="22" t="s">
        <v>3373</v>
      </c>
      <c r="B1876" s="22">
        <v>0</v>
      </c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2"/>
      <c r="S1876" s="22"/>
      <c r="T1876" s="22"/>
      <c r="U1876" s="22"/>
      <c r="V1876" s="22"/>
      <c r="W1876" s="22"/>
      <c r="X1876" s="22"/>
      <c r="Y1876" s="22"/>
      <c r="Z1876" s="22"/>
      <c r="AA1876" s="22"/>
      <c r="AB1876" s="22"/>
      <c r="AC1876" s="22"/>
      <c r="AD1876" s="22"/>
      <c r="AE1876" s="22"/>
      <c r="AF1876" s="22"/>
      <c r="AG1876" s="22"/>
      <c r="AH1876" s="22"/>
      <c r="AI1876" s="22"/>
      <c r="AJ1876" s="22"/>
    </row>
    <row r="1877" spans="1:36" x14ac:dyDescent="0.25">
      <c r="A1877" s="22" t="s">
        <v>3374</v>
      </c>
      <c r="B1877" s="22">
        <v>0</v>
      </c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2"/>
      <c r="S1877" s="22"/>
      <c r="T1877" s="22"/>
      <c r="U1877" s="22"/>
      <c r="V1877" s="22"/>
      <c r="W1877" s="22"/>
      <c r="X1877" s="22"/>
      <c r="Y1877" s="22"/>
      <c r="Z1877" s="22"/>
      <c r="AA1877" s="22"/>
      <c r="AB1877" s="22"/>
      <c r="AC1877" s="22"/>
      <c r="AD1877" s="22"/>
      <c r="AE1877" s="22"/>
      <c r="AF1877" s="22"/>
      <c r="AG1877" s="22"/>
      <c r="AH1877" s="22"/>
      <c r="AI1877" s="22"/>
      <c r="AJ1877" s="22"/>
    </row>
    <row r="1878" spans="1:36" x14ac:dyDescent="0.25">
      <c r="A1878" s="22" t="s">
        <v>4857</v>
      </c>
      <c r="B1878" s="22">
        <v>9</v>
      </c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2"/>
      <c r="S1878" s="22"/>
      <c r="T1878" s="22"/>
      <c r="U1878" s="22"/>
      <c r="V1878" s="22"/>
      <c r="W1878" s="22"/>
      <c r="X1878" s="22"/>
      <c r="Y1878" s="22"/>
      <c r="Z1878" s="22"/>
      <c r="AA1878" s="22"/>
      <c r="AB1878" s="22"/>
      <c r="AC1878" s="22"/>
      <c r="AD1878" s="22"/>
      <c r="AE1878" s="22"/>
      <c r="AF1878" s="22"/>
      <c r="AG1878" s="22"/>
      <c r="AH1878" s="22"/>
      <c r="AI1878" s="22"/>
      <c r="AJ1878" s="22"/>
    </row>
    <row r="1879" spans="1:36" x14ac:dyDescent="0.25">
      <c r="A1879" s="22" t="s">
        <v>4858</v>
      </c>
      <c r="B1879" s="22">
        <v>0</v>
      </c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2"/>
      <c r="S1879" s="22"/>
      <c r="T1879" s="22"/>
      <c r="U1879" s="22"/>
      <c r="V1879" s="22"/>
      <c r="W1879" s="22"/>
      <c r="X1879" s="22"/>
      <c r="Y1879" s="22"/>
      <c r="Z1879" s="22"/>
      <c r="AA1879" s="22"/>
      <c r="AB1879" s="22"/>
      <c r="AC1879" s="22"/>
      <c r="AD1879" s="22"/>
      <c r="AE1879" s="22"/>
      <c r="AF1879" s="22"/>
      <c r="AG1879" s="22"/>
      <c r="AH1879" s="22"/>
      <c r="AI1879" s="22"/>
      <c r="AJ1879" s="22"/>
    </row>
    <row r="1880" spans="1:36" x14ac:dyDescent="0.25">
      <c r="A1880" s="22" t="s">
        <v>4859</v>
      </c>
      <c r="B1880" s="22">
        <v>0</v>
      </c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2"/>
      <c r="S1880" s="22"/>
      <c r="T1880" s="22"/>
      <c r="U1880" s="22"/>
      <c r="V1880" s="22"/>
      <c r="W1880" s="22"/>
      <c r="X1880" s="22"/>
      <c r="Y1880" s="22"/>
      <c r="Z1880" s="22"/>
      <c r="AA1880" s="22"/>
      <c r="AB1880" s="22"/>
      <c r="AC1880" s="22"/>
      <c r="AD1880" s="22"/>
      <c r="AE1880" s="22"/>
      <c r="AF1880" s="22"/>
      <c r="AG1880" s="22"/>
      <c r="AH1880" s="22"/>
      <c r="AI1880" s="22"/>
      <c r="AJ1880" s="22"/>
    </row>
    <row r="1881" spans="1:36" x14ac:dyDescent="0.25">
      <c r="A1881" s="22" t="s">
        <v>4860</v>
      </c>
      <c r="B1881" s="22">
        <v>0</v>
      </c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2"/>
      <c r="S1881" s="22"/>
      <c r="T1881" s="22"/>
      <c r="U1881" s="22"/>
      <c r="V1881" s="22"/>
      <c r="W1881" s="22"/>
      <c r="X1881" s="22"/>
      <c r="Y1881" s="22"/>
      <c r="Z1881" s="22"/>
      <c r="AA1881" s="22"/>
      <c r="AB1881" s="22"/>
      <c r="AC1881" s="22"/>
      <c r="AD1881" s="22"/>
      <c r="AE1881" s="22"/>
      <c r="AF1881" s="22"/>
      <c r="AG1881" s="22"/>
      <c r="AH1881" s="22"/>
      <c r="AI1881" s="22"/>
      <c r="AJ1881" s="22"/>
    </row>
    <row r="1882" spans="1:36" x14ac:dyDescent="0.25">
      <c r="A1882" s="22" t="s">
        <v>4861</v>
      </c>
      <c r="B1882" s="22">
        <v>0</v>
      </c>
      <c r="C1882" s="22"/>
      <c r="D1882" s="22"/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2"/>
      <c r="S1882" s="22"/>
      <c r="T1882" s="22"/>
      <c r="U1882" s="22"/>
      <c r="V1882" s="22"/>
      <c r="W1882" s="22"/>
      <c r="X1882" s="22"/>
      <c r="Y1882" s="22"/>
      <c r="Z1882" s="22"/>
      <c r="AA1882" s="22"/>
      <c r="AB1882" s="22"/>
      <c r="AC1882" s="22"/>
      <c r="AD1882" s="22"/>
      <c r="AE1882" s="22"/>
      <c r="AF1882" s="22"/>
      <c r="AG1882" s="22"/>
      <c r="AH1882" s="22"/>
      <c r="AI1882" s="22"/>
      <c r="AJ1882" s="22"/>
    </row>
    <row r="1883" spans="1:36" x14ac:dyDescent="0.25">
      <c r="A1883" s="22" t="s">
        <v>4862</v>
      </c>
      <c r="B1883" s="22">
        <v>0</v>
      </c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2"/>
      <c r="S1883" s="22"/>
      <c r="T1883" s="22"/>
      <c r="U1883" s="22"/>
      <c r="V1883" s="22"/>
      <c r="W1883" s="22"/>
      <c r="X1883" s="22"/>
      <c r="Y1883" s="22"/>
      <c r="Z1883" s="22"/>
      <c r="AA1883" s="22"/>
      <c r="AB1883" s="22"/>
      <c r="AC1883" s="22"/>
      <c r="AD1883" s="22"/>
      <c r="AE1883" s="22"/>
      <c r="AF1883" s="22"/>
      <c r="AG1883" s="22"/>
      <c r="AH1883" s="22"/>
      <c r="AI1883" s="22"/>
      <c r="AJ1883" s="22"/>
    </row>
    <row r="1884" spans="1:36" x14ac:dyDescent="0.25">
      <c r="A1884" s="22" t="s">
        <v>4863</v>
      </c>
      <c r="B1884" s="22">
        <v>0</v>
      </c>
      <c r="C1884" s="22"/>
      <c r="D1884" s="22"/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2"/>
      <c r="S1884" s="22"/>
      <c r="T1884" s="22"/>
      <c r="U1884" s="22"/>
      <c r="V1884" s="22"/>
      <c r="W1884" s="22"/>
      <c r="X1884" s="22"/>
      <c r="Y1884" s="22"/>
      <c r="Z1884" s="22"/>
      <c r="AA1884" s="22"/>
      <c r="AB1884" s="22"/>
      <c r="AC1884" s="22"/>
      <c r="AD1884" s="22"/>
      <c r="AE1884" s="22"/>
      <c r="AF1884" s="22"/>
      <c r="AG1884" s="22"/>
      <c r="AH1884" s="22"/>
      <c r="AI1884" s="22"/>
      <c r="AJ1884" s="22"/>
    </row>
    <row r="1885" spans="1:36" x14ac:dyDescent="0.25">
      <c r="A1885" s="22" t="s">
        <v>4864</v>
      </c>
      <c r="B1885" s="22">
        <v>0</v>
      </c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2"/>
      <c r="S1885" s="22"/>
      <c r="T1885" s="22"/>
      <c r="U1885" s="22"/>
      <c r="V1885" s="22"/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</row>
    <row r="1886" spans="1:36" x14ac:dyDescent="0.25">
      <c r="A1886" s="22" t="s">
        <v>4212</v>
      </c>
      <c r="B1886" s="22">
        <v>108</v>
      </c>
      <c r="C1886" s="22"/>
      <c r="D1886" s="22"/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T1886" s="22"/>
      <c r="U1886" s="22"/>
      <c r="V1886" s="22"/>
      <c r="W1886" s="22"/>
      <c r="X1886" s="22"/>
      <c r="Y1886" s="22"/>
      <c r="Z1886" s="22"/>
      <c r="AA1886" s="22"/>
      <c r="AB1886" s="22"/>
      <c r="AC1886" s="22"/>
      <c r="AD1886" s="22"/>
      <c r="AE1886" s="22"/>
      <c r="AF1886" s="22"/>
      <c r="AG1886" s="22"/>
      <c r="AH1886" s="22"/>
      <c r="AI1886" s="22"/>
      <c r="AJ1886" s="22"/>
    </row>
    <row r="1887" spans="1:36" x14ac:dyDescent="0.25">
      <c r="A1887" s="22" t="s">
        <v>4213</v>
      </c>
      <c r="B1887" s="22">
        <v>0</v>
      </c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2"/>
      <c r="S1887" s="22"/>
      <c r="T1887" s="22"/>
      <c r="U1887" s="22"/>
      <c r="V1887" s="22"/>
      <c r="W1887" s="22"/>
      <c r="X1887" s="22"/>
      <c r="Y1887" s="22"/>
      <c r="Z1887" s="22"/>
      <c r="AA1887" s="22"/>
      <c r="AB1887" s="22"/>
      <c r="AC1887" s="22"/>
      <c r="AD1887" s="22"/>
      <c r="AE1887" s="22"/>
      <c r="AF1887" s="22"/>
      <c r="AG1887" s="22"/>
      <c r="AH1887" s="22"/>
      <c r="AI1887" s="22"/>
      <c r="AJ1887" s="22"/>
    </row>
    <row r="1888" spans="1:36" x14ac:dyDescent="0.25">
      <c r="A1888" s="22" t="s">
        <v>4214</v>
      </c>
      <c r="B1888" s="22">
        <v>0</v>
      </c>
      <c r="C1888" s="22"/>
      <c r="D1888" s="22"/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2"/>
      <c r="S1888" s="22"/>
      <c r="T1888" s="22"/>
      <c r="U1888" s="22"/>
      <c r="V1888" s="22"/>
      <c r="W1888" s="22"/>
      <c r="X1888" s="22"/>
      <c r="Y1888" s="22"/>
      <c r="Z1888" s="22"/>
      <c r="AA1888" s="22"/>
      <c r="AB1888" s="22"/>
      <c r="AC1888" s="22"/>
      <c r="AD1888" s="22"/>
      <c r="AE1888" s="22"/>
      <c r="AF1888" s="22"/>
      <c r="AG1888" s="22"/>
      <c r="AH1888" s="22"/>
      <c r="AI1888" s="22"/>
      <c r="AJ1888" s="22"/>
    </row>
    <row r="1889" spans="1:36" x14ac:dyDescent="0.25">
      <c r="A1889" s="22" t="s">
        <v>4215</v>
      </c>
      <c r="B1889" s="22">
        <v>0</v>
      </c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2"/>
      <c r="S1889" s="22"/>
      <c r="T1889" s="22"/>
      <c r="U1889" s="22"/>
      <c r="V1889" s="22"/>
      <c r="W1889" s="22"/>
      <c r="X1889" s="22"/>
      <c r="Y1889" s="22"/>
      <c r="Z1889" s="22"/>
      <c r="AA1889" s="22"/>
      <c r="AB1889" s="22"/>
      <c r="AC1889" s="22"/>
      <c r="AD1889" s="22"/>
      <c r="AE1889" s="22"/>
      <c r="AF1889" s="22"/>
      <c r="AG1889" s="22"/>
      <c r="AH1889" s="22"/>
      <c r="AI1889" s="22"/>
      <c r="AJ1889" s="22"/>
    </row>
    <row r="1890" spans="1:36" x14ac:dyDescent="0.25">
      <c r="A1890" s="22" t="s">
        <v>4216</v>
      </c>
      <c r="B1890" s="22">
        <v>1</v>
      </c>
      <c r="C1890" s="22"/>
      <c r="D1890" s="22"/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2"/>
      <c r="S1890" s="22"/>
      <c r="T1890" s="22"/>
      <c r="U1890" s="22"/>
      <c r="V1890" s="22"/>
      <c r="W1890" s="22"/>
      <c r="X1890" s="22"/>
      <c r="Y1890" s="22"/>
      <c r="Z1890" s="22"/>
      <c r="AA1890" s="22"/>
      <c r="AB1890" s="22"/>
      <c r="AC1890" s="22"/>
      <c r="AD1890" s="22"/>
      <c r="AE1890" s="22"/>
      <c r="AF1890" s="22"/>
      <c r="AG1890" s="22"/>
      <c r="AH1890" s="22"/>
      <c r="AI1890" s="22"/>
      <c r="AJ1890" s="22"/>
    </row>
    <row r="1891" spans="1:36" x14ac:dyDescent="0.25">
      <c r="A1891" s="22" t="s">
        <v>4217</v>
      </c>
      <c r="B1891" s="22">
        <v>0</v>
      </c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2"/>
      <c r="S1891" s="22"/>
      <c r="T1891" s="22"/>
      <c r="U1891" s="22"/>
      <c r="V1891" s="22"/>
      <c r="W1891" s="22"/>
      <c r="X1891" s="22"/>
      <c r="Y1891" s="22"/>
      <c r="Z1891" s="22"/>
      <c r="AA1891" s="22"/>
      <c r="AB1891" s="22"/>
      <c r="AC1891" s="22"/>
      <c r="AD1891" s="22"/>
      <c r="AE1891" s="22"/>
      <c r="AF1891" s="22"/>
      <c r="AG1891" s="22"/>
      <c r="AH1891" s="22"/>
      <c r="AI1891" s="22"/>
      <c r="AJ1891" s="22"/>
    </row>
    <row r="1892" spans="1:36" x14ac:dyDescent="0.25">
      <c r="A1892" s="22" t="s">
        <v>4218</v>
      </c>
      <c r="B1892" s="22">
        <v>0</v>
      </c>
      <c r="C1892" s="22"/>
      <c r="D1892" s="22"/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2"/>
      <c r="S1892" s="22"/>
      <c r="T1892" s="22"/>
      <c r="U1892" s="22"/>
      <c r="V1892" s="22"/>
      <c r="W1892" s="22"/>
      <c r="X1892" s="22"/>
      <c r="Y1892" s="22"/>
      <c r="Z1892" s="22"/>
      <c r="AA1892" s="22"/>
      <c r="AB1892" s="22"/>
      <c r="AC1892" s="22"/>
      <c r="AD1892" s="22"/>
      <c r="AE1892" s="22"/>
      <c r="AF1892" s="22"/>
      <c r="AG1892" s="22"/>
      <c r="AH1892" s="22"/>
      <c r="AI1892" s="22"/>
      <c r="AJ1892" s="22"/>
    </row>
    <row r="1893" spans="1:36" x14ac:dyDescent="0.25">
      <c r="A1893" s="22" t="s">
        <v>4219</v>
      </c>
      <c r="B1893" s="22">
        <v>0</v>
      </c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2"/>
      <c r="S1893" s="22"/>
      <c r="T1893" s="22"/>
      <c r="U1893" s="22"/>
      <c r="V1893" s="22"/>
      <c r="W1893" s="22"/>
      <c r="X1893" s="22"/>
      <c r="Y1893" s="22"/>
      <c r="Z1893" s="22"/>
      <c r="AA1893" s="22"/>
      <c r="AB1893" s="22"/>
      <c r="AC1893" s="22"/>
      <c r="AD1893" s="22"/>
      <c r="AE1893" s="22"/>
      <c r="AF1893" s="22"/>
      <c r="AG1893" s="22"/>
      <c r="AH1893" s="22"/>
      <c r="AI1893" s="22"/>
      <c r="AJ1893" s="22"/>
    </row>
    <row r="1894" spans="1:36" x14ac:dyDescent="0.25">
      <c r="A1894" s="22" t="s">
        <v>4865</v>
      </c>
      <c r="B1894" s="22">
        <v>0</v>
      </c>
      <c r="C1894" s="22"/>
      <c r="D1894" s="22"/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2"/>
      <c r="S1894" s="22"/>
      <c r="T1894" s="22"/>
      <c r="U1894" s="22"/>
      <c r="V1894" s="22"/>
      <c r="W1894" s="22"/>
      <c r="X1894" s="22"/>
      <c r="Y1894" s="22"/>
      <c r="Z1894" s="22"/>
      <c r="AA1894" s="22"/>
      <c r="AB1894" s="22"/>
      <c r="AC1894" s="22"/>
      <c r="AD1894" s="22"/>
      <c r="AE1894" s="22"/>
      <c r="AF1894" s="22"/>
      <c r="AG1894" s="22"/>
      <c r="AH1894" s="22"/>
      <c r="AI1894" s="22"/>
      <c r="AJ1894" s="22"/>
    </row>
    <row r="1895" spans="1:36" x14ac:dyDescent="0.25">
      <c r="A1895" s="22" t="s">
        <v>4866</v>
      </c>
      <c r="B1895" s="22">
        <v>0</v>
      </c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2"/>
      <c r="S1895" s="22"/>
      <c r="T1895" s="22"/>
      <c r="U1895" s="22"/>
      <c r="V1895" s="22"/>
      <c r="W1895" s="22"/>
      <c r="X1895" s="22"/>
      <c r="Y1895" s="22"/>
      <c r="Z1895" s="22"/>
      <c r="AA1895" s="22"/>
      <c r="AB1895" s="22"/>
      <c r="AC1895" s="22"/>
      <c r="AD1895" s="22"/>
      <c r="AE1895" s="22"/>
      <c r="AF1895" s="22"/>
      <c r="AG1895" s="22"/>
      <c r="AH1895" s="22"/>
      <c r="AI1895" s="22"/>
      <c r="AJ1895" s="22"/>
    </row>
    <row r="1896" spans="1:36" x14ac:dyDescent="0.25">
      <c r="A1896" s="22" t="s">
        <v>4867</v>
      </c>
      <c r="B1896" s="22">
        <v>0</v>
      </c>
      <c r="C1896" s="22"/>
      <c r="D1896" s="22"/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2"/>
      <c r="S1896" s="22"/>
      <c r="T1896" s="22"/>
      <c r="U1896" s="22"/>
      <c r="V1896" s="22"/>
      <c r="W1896" s="22"/>
      <c r="X1896" s="22"/>
      <c r="Y1896" s="22"/>
      <c r="Z1896" s="22"/>
      <c r="AA1896" s="22"/>
      <c r="AB1896" s="22"/>
      <c r="AC1896" s="22"/>
      <c r="AD1896" s="22"/>
      <c r="AE1896" s="22"/>
      <c r="AF1896" s="22"/>
      <c r="AG1896" s="22"/>
      <c r="AH1896" s="22"/>
      <c r="AI1896" s="22"/>
      <c r="AJ1896" s="22"/>
    </row>
    <row r="1897" spans="1:36" x14ac:dyDescent="0.25">
      <c r="A1897" s="22" t="s">
        <v>4868</v>
      </c>
      <c r="B1897" s="22">
        <v>0</v>
      </c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2"/>
      <c r="S1897" s="22"/>
      <c r="T1897" s="22"/>
      <c r="U1897" s="22"/>
      <c r="V1897" s="22"/>
      <c r="W1897" s="22"/>
      <c r="X1897" s="22"/>
      <c r="Y1897" s="22"/>
      <c r="Z1897" s="22"/>
      <c r="AA1897" s="22"/>
      <c r="AB1897" s="22"/>
      <c r="AC1897" s="22"/>
      <c r="AD1897" s="22"/>
      <c r="AE1897" s="22"/>
      <c r="AF1897" s="22"/>
      <c r="AG1897" s="22"/>
      <c r="AH1897" s="22"/>
      <c r="AI1897" s="22"/>
      <c r="AJ1897" s="22"/>
    </row>
    <row r="1898" spans="1:36" x14ac:dyDescent="0.25">
      <c r="A1898" s="22" t="s">
        <v>4869</v>
      </c>
      <c r="B1898" s="22">
        <v>0</v>
      </c>
      <c r="C1898" s="22"/>
      <c r="D1898" s="22"/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2"/>
      <c r="S1898" s="22"/>
      <c r="T1898" s="22"/>
      <c r="U1898" s="22"/>
      <c r="V1898" s="22"/>
      <c r="W1898" s="22"/>
      <c r="X1898" s="22"/>
      <c r="Y1898" s="22"/>
      <c r="Z1898" s="22"/>
      <c r="AA1898" s="22"/>
      <c r="AB1898" s="22"/>
      <c r="AC1898" s="22"/>
      <c r="AD1898" s="22"/>
      <c r="AE1898" s="22"/>
      <c r="AF1898" s="22"/>
      <c r="AG1898" s="22"/>
      <c r="AH1898" s="22"/>
      <c r="AI1898" s="22"/>
      <c r="AJ1898" s="22"/>
    </row>
    <row r="1899" spans="1:36" x14ac:dyDescent="0.25">
      <c r="A1899" s="22" t="s">
        <v>4870</v>
      </c>
      <c r="B1899" s="22">
        <v>0</v>
      </c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2"/>
      <c r="S1899" s="22"/>
      <c r="T1899" s="22"/>
      <c r="U1899" s="22"/>
      <c r="V1899" s="22"/>
      <c r="W1899" s="22"/>
      <c r="X1899" s="22"/>
      <c r="Y1899" s="22"/>
      <c r="Z1899" s="22"/>
      <c r="AA1899" s="22"/>
      <c r="AB1899" s="22"/>
      <c r="AC1899" s="22"/>
      <c r="AD1899" s="22"/>
      <c r="AE1899" s="22"/>
      <c r="AF1899" s="22"/>
      <c r="AG1899" s="22"/>
      <c r="AH1899" s="22"/>
      <c r="AI1899" s="22"/>
      <c r="AJ1899" s="22"/>
    </row>
    <row r="1900" spans="1:36" x14ac:dyDescent="0.25">
      <c r="A1900" s="22" t="s">
        <v>4871</v>
      </c>
      <c r="B1900" s="22">
        <v>0</v>
      </c>
      <c r="C1900" s="22"/>
      <c r="D1900" s="22"/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2"/>
      <c r="S1900" s="22"/>
      <c r="T1900" s="22"/>
      <c r="U1900" s="22"/>
      <c r="V1900" s="22"/>
      <c r="W1900" s="22"/>
      <c r="X1900" s="22"/>
      <c r="Y1900" s="22"/>
      <c r="Z1900" s="22"/>
      <c r="AA1900" s="22"/>
      <c r="AB1900" s="22"/>
      <c r="AC1900" s="22"/>
      <c r="AD1900" s="22"/>
      <c r="AE1900" s="22"/>
      <c r="AF1900" s="22"/>
      <c r="AG1900" s="22"/>
      <c r="AH1900" s="22"/>
      <c r="AI1900" s="22"/>
      <c r="AJ1900" s="22"/>
    </row>
    <row r="1901" spans="1:36" x14ac:dyDescent="0.25">
      <c r="A1901" s="22" t="s">
        <v>4872</v>
      </c>
      <c r="B1901" s="22">
        <v>0</v>
      </c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2"/>
      <c r="S1901" s="22"/>
      <c r="T1901" s="22"/>
      <c r="U1901" s="22"/>
      <c r="V1901" s="22"/>
      <c r="W1901" s="22"/>
      <c r="X1901" s="22"/>
      <c r="Y1901" s="22"/>
      <c r="Z1901" s="22"/>
      <c r="AA1901" s="22"/>
      <c r="AB1901" s="22"/>
      <c r="AC1901" s="22"/>
      <c r="AD1901" s="22"/>
      <c r="AE1901" s="22"/>
      <c r="AF1901" s="22"/>
      <c r="AG1901" s="22"/>
      <c r="AH1901" s="22"/>
      <c r="AI1901" s="22"/>
      <c r="AJ1901" s="22"/>
    </row>
    <row r="1902" spans="1:36" x14ac:dyDescent="0.25">
      <c r="A1902" s="22" t="s">
        <v>4220</v>
      </c>
      <c r="B1902" s="22">
        <v>20</v>
      </c>
      <c r="C1902" s="22"/>
      <c r="D1902" s="22"/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2"/>
      <c r="S1902" s="22"/>
      <c r="T1902" s="22"/>
      <c r="U1902" s="22"/>
      <c r="V1902" s="22"/>
      <c r="W1902" s="22"/>
      <c r="X1902" s="22"/>
      <c r="Y1902" s="22"/>
      <c r="Z1902" s="22"/>
      <c r="AA1902" s="22"/>
      <c r="AB1902" s="22"/>
      <c r="AC1902" s="22"/>
      <c r="AD1902" s="22"/>
      <c r="AE1902" s="22"/>
      <c r="AF1902" s="22"/>
      <c r="AG1902" s="22"/>
      <c r="AH1902" s="22"/>
      <c r="AI1902" s="22"/>
      <c r="AJ1902" s="22"/>
    </row>
    <row r="1903" spans="1:36" x14ac:dyDescent="0.25">
      <c r="A1903" s="22" t="s">
        <v>4221</v>
      </c>
      <c r="B1903" s="22">
        <v>0</v>
      </c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2"/>
      <c r="S1903" s="22"/>
      <c r="T1903" s="22"/>
      <c r="U1903" s="22"/>
      <c r="V1903" s="22"/>
      <c r="W1903" s="22"/>
      <c r="X1903" s="22"/>
      <c r="Y1903" s="22"/>
      <c r="Z1903" s="22"/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</row>
    <row r="1904" spans="1:36" x14ac:dyDescent="0.25">
      <c r="A1904" s="22" t="s">
        <v>4222</v>
      </c>
      <c r="B1904" s="22">
        <v>0</v>
      </c>
      <c r="C1904" s="22"/>
      <c r="D1904" s="22"/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2"/>
      <c r="S1904" s="22"/>
      <c r="T1904" s="22"/>
      <c r="U1904" s="22"/>
      <c r="V1904" s="22"/>
      <c r="W1904" s="22"/>
      <c r="X1904" s="22"/>
      <c r="Y1904" s="22"/>
      <c r="Z1904" s="22"/>
      <c r="AA1904" s="22"/>
      <c r="AB1904" s="22"/>
      <c r="AC1904" s="22"/>
      <c r="AD1904" s="22"/>
      <c r="AE1904" s="22"/>
      <c r="AF1904" s="22"/>
      <c r="AG1904" s="22"/>
      <c r="AH1904" s="22"/>
      <c r="AI1904" s="22"/>
      <c r="AJ1904" s="22"/>
    </row>
    <row r="1905" spans="1:36" x14ac:dyDescent="0.25">
      <c r="A1905" s="22" t="s">
        <v>4223</v>
      </c>
      <c r="B1905" s="22">
        <v>0</v>
      </c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2"/>
      <c r="S1905" s="22"/>
      <c r="T1905" s="22"/>
      <c r="U1905" s="22"/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J1905" s="22"/>
    </row>
    <row r="1906" spans="1:36" x14ac:dyDescent="0.25">
      <c r="A1906" s="22" t="s">
        <v>4224</v>
      </c>
      <c r="B1906" s="22">
        <v>0</v>
      </c>
      <c r="C1906" s="22"/>
      <c r="D1906" s="22"/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2"/>
      <c r="S1906" s="22"/>
      <c r="T1906" s="22"/>
      <c r="U1906" s="22"/>
      <c r="V1906" s="22"/>
      <c r="W1906" s="22"/>
      <c r="X1906" s="22"/>
      <c r="Y1906" s="22"/>
      <c r="Z1906" s="22"/>
      <c r="AA1906" s="22"/>
      <c r="AB1906" s="22"/>
      <c r="AC1906" s="22"/>
      <c r="AD1906" s="22"/>
      <c r="AE1906" s="22"/>
      <c r="AF1906" s="22"/>
      <c r="AG1906" s="22"/>
      <c r="AH1906" s="22"/>
      <c r="AI1906" s="22"/>
      <c r="AJ1906" s="22"/>
    </row>
    <row r="1907" spans="1:36" x14ac:dyDescent="0.25">
      <c r="A1907" s="22" t="s">
        <v>4225</v>
      </c>
      <c r="B1907" s="22">
        <v>0</v>
      </c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2"/>
      <c r="S1907" s="22"/>
      <c r="T1907" s="22"/>
      <c r="U1907" s="22"/>
      <c r="V1907" s="22"/>
      <c r="W1907" s="22"/>
      <c r="X1907" s="22"/>
      <c r="Y1907" s="22"/>
      <c r="Z1907" s="22"/>
      <c r="AA1907" s="22"/>
      <c r="AB1907" s="22"/>
      <c r="AC1907" s="22"/>
      <c r="AD1907" s="22"/>
      <c r="AE1907" s="22"/>
      <c r="AF1907" s="22"/>
      <c r="AG1907" s="22"/>
      <c r="AH1907" s="22"/>
      <c r="AI1907" s="22"/>
      <c r="AJ1907" s="22"/>
    </row>
    <row r="1908" spans="1:36" x14ac:dyDescent="0.25">
      <c r="A1908" s="22" t="s">
        <v>4226</v>
      </c>
      <c r="B1908" s="22">
        <v>0</v>
      </c>
      <c r="C1908" s="22"/>
      <c r="D1908" s="22"/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2"/>
      <c r="S1908" s="22"/>
      <c r="T1908" s="22"/>
      <c r="U1908" s="22"/>
      <c r="V1908" s="22"/>
      <c r="W1908" s="22"/>
      <c r="X1908" s="22"/>
      <c r="Y1908" s="22"/>
      <c r="Z1908" s="22"/>
      <c r="AA1908" s="22"/>
      <c r="AB1908" s="22"/>
      <c r="AC1908" s="22"/>
      <c r="AD1908" s="22"/>
      <c r="AE1908" s="22"/>
      <c r="AF1908" s="22"/>
      <c r="AG1908" s="22"/>
      <c r="AH1908" s="22"/>
      <c r="AI1908" s="22"/>
      <c r="AJ1908" s="22"/>
    </row>
    <row r="1909" spans="1:36" x14ac:dyDescent="0.25">
      <c r="A1909" s="22" t="s">
        <v>4227</v>
      </c>
      <c r="B1909" s="22">
        <v>0</v>
      </c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2"/>
      <c r="S1909" s="22"/>
      <c r="T1909" s="22"/>
      <c r="U1909" s="22"/>
      <c r="V1909" s="22"/>
      <c r="W1909" s="22"/>
      <c r="X1909" s="22"/>
      <c r="Y1909" s="22"/>
      <c r="Z1909" s="22"/>
      <c r="AA1909" s="22"/>
      <c r="AB1909" s="22"/>
      <c r="AC1909" s="22"/>
      <c r="AD1909" s="22"/>
      <c r="AE1909" s="22"/>
      <c r="AF1909" s="22"/>
      <c r="AG1909" s="22"/>
      <c r="AH1909" s="22"/>
      <c r="AI1909" s="22"/>
      <c r="AJ1909" s="22"/>
    </row>
    <row r="1910" spans="1:36" x14ac:dyDescent="0.25">
      <c r="A1910" s="22" t="s">
        <v>4873</v>
      </c>
      <c r="B1910" s="22">
        <v>0</v>
      </c>
      <c r="C1910" s="22"/>
      <c r="D1910" s="22"/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2"/>
      <c r="S1910" s="22"/>
      <c r="T1910" s="22"/>
      <c r="U1910" s="22"/>
      <c r="V1910" s="22"/>
      <c r="W1910" s="22"/>
      <c r="X1910" s="22"/>
      <c r="Y1910" s="22"/>
      <c r="Z1910" s="22"/>
      <c r="AA1910" s="22"/>
      <c r="AB1910" s="22"/>
      <c r="AC1910" s="22"/>
      <c r="AD1910" s="22"/>
      <c r="AE1910" s="22"/>
      <c r="AF1910" s="22"/>
      <c r="AG1910" s="22"/>
      <c r="AH1910" s="22"/>
      <c r="AI1910" s="22"/>
      <c r="AJ1910" s="22"/>
    </row>
    <row r="1911" spans="1:36" x14ac:dyDescent="0.25">
      <c r="A1911" s="22" t="s">
        <v>4874</v>
      </c>
      <c r="B1911" s="22">
        <v>0</v>
      </c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2"/>
      <c r="S1911" s="22"/>
      <c r="T1911" s="22"/>
      <c r="U1911" s="22"/>
      <c r="V1911" s="22"/>
      <c r="W1911" s="22"/>
      <c r="X1911" s="22"/>
      <c r="Y1911" s="22"/>
      <c r="Z1911" s="22"/>
      <c r="AA1911" s="22"/>
      <c r="AB1911" s="22"/>
      <c r="AC1911" s="22"/>
      <c r="AD1911" s="22"/>
      <c r="AE1911" s="22"/>
      <c r="AF1911" s="22"/>
      <c r="AG1911" s="22"/>
      <c r="AH1911" s="22"/>
      <c r="AI1911" s="22"/>
      <c r="AJ1911" s="22"/>
    </row>
    <row r="1912" spans="1:36" x14ac:dyDescent="0.25">
      <c r="A1912" s="22" t="s">
        <v>4875</v>
      </c>
      <c r="B1912" s="22">
        <v>0</v>
      </c>
      <c r="C1912" s="22"/>
      <c r="D1912" s="22"/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2"/>
      <c r="S1912" s="22"/>
      <c r="T1912" s="22"/>
      <c r="U1912" s="22"/>
      <c r="V1912" s="22"/>
      <c r="W1912" s="22"/>
      <c r="X1912" s="22"/>
      <c r="Y1912" s="22"/>
      <c r="Z1912" s="22"/>
      <c r="AA1912" s="22"/>
      <c r="AB1912" s="22"/>
      <c r="AC1912" s="22"/>
      <c r="AD1912" s="22"/>
      <c r="AE1912" s="22"/>
      <c r="AF1912" s="22"/>
      <c r="AG1912" s="22"/>
      <c r="AH1912" s="22"/>
      <c r="AI1912" s="22"/>
      <c r="AJ1912" s="22"/>
    </row>
    <row r="1913" spans="1:36" x14ac:dyDescent="0.25">
      <c r="A1913" s="22" t="s">
        <v>4876</v>
      </c>
      <c r="B1913" s="22">
        <v>0</v>
      </c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2"/>
      <c r="S1913" s="22"/>
      <c r="T1913" s="22"/>
      <c r="U1913" s="22"/>
      <c r="V1913" s="22"/>
      <c r="W1913" s="22"/>
      <c r="X1913" s="22"/>
      <c r="Y1913" s="22"/>
      <c r="Z1913" s="22"/>
      <c r="AA1913" s="22"/>
      <c r="AB1913" s="22"/>
      <c r="AC1913" s="22"/>
      <c r="AD1913" s="22"/>
      <c r="AE1913" s="22"/>
      <c r="AF1913" s="22"/>
      <c r="AG1913" s="22"/>
      <c r="AH1913" s="22"/>
      <c r="AI1913" s="22"/>
      <c r="AJ1913" s="22"/>
    </row>
    <row r="1914" spans="1:36" x14ac:dyDescent="0.25">
      <c r="A1914" s="22" t="s">
        <v>4877</v>
      </c>
      <c r="B1914" s="22">
        <v>0</v>
      </c>
      <c r="C1914" s="22"/>
      <c r="D1914" s="22"/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2"/>
      <c r="S1914" s="22"/>
      <c r="T1914" s="22"/>
      <c r="U1914" s="22"/>
      <c r="V1914" s="22"/>
      <c r="W1914" s="22"/>
      <c r="X1914" s="22"/>
      <c r="Y1914" s="22"/>
      <c r="Z1914" s="22"/>
      <c r="AA1914" s="22"/>
      <c r="AB1914" s="22"/>
      <c r="AC1914" s="22"/>
      <c r="AD1914" s="22"/>
      <c r="AE1914" s="22"/>
      <c r="AF1914" s="22"/>
      <c r="AG1914" s="22"/>
      <c r="AH1914" s="22"/>
      <c r="AI1914" s="22"/>
      <c r="AJ1914" s="22"/>
    </row>
    <row r="1915" spans="1:36" x14ac:dyDescent="0.25">
      <c r="A1915" s="22" t="s">
        <v>4878</v>
      </c>
      <c r="B1915" s="22">
        <v>0</v>
      </c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2"/>
      <c r="S1915" s="22"/>
      <c r="T1915" s="22"/>
      <c r="U1915" s="22"/>
      <c r="V1915" s="22"/>
      <c r="W1915" s="22"/>
      <c r="X1915" s="22"/>
      <c r="Y1915" s="22"/>
      <c r="Z1915" s="22"/>
      <c r="AA1915" s="22"/>
      <c r="AB1915" s="22"/>
      <c r="AC1915" s="22"/>
      <c r="AD1915" s="22"/>
      <c r="AE1915" s="22"/>
      <c r="AF1915" s="22"/>
      <c r="AG1915" s="22"/>
      <c r="AH1915" s="22"/>
      <c r="AI1915" s="22"/>
      <c r="AJ1915" s="22"/>
    </row>
    <row r="1916" spans="1:36" x14ac:dyDescent="0.25">
      <c r="A1916" s="22" t="s">
        <v>4879</v>
      </c>
      <c r="B1916" s="22">
        <v>0</v>
      </c>
      <c r="C1916" s="22"/>
      <c r="D1916" s="22"/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2"/>
      <c r="S1916" s="22"/>
      <c r="T1916" s="22"/>
      <c r="U1916" s="22"/>
      <c r="V1916" s="22"/>
      <c r="W1916" s="22"/>
      <c r="X1916" s="22"/>
      <c r="Y1916" s="22"/>
      <c r="Z1916" s="22"/>
      <c r="AA1916" s="22"/>
      <c r="AB1916" s="22"/>
      <c r="AC1916" s="22"/>
      <c r="AD1916" s="22"/>
      <c r="AE1916" s="22"/>
      <c r="AF1916" s="22"/>
      <c r="AG1916" s="22"/>
      <c r="AH1916" s="22"/>
      <c r="AI1916" s="22"/>
      <c r="AJ1916" s="22"/>
    </row>
    <row r="1917" spans="1:36" x14ac:dyDescent="0.25">
      <c r="A1917" s="22" t="s">
        <v>4880</v>
      </c>
      <c r="B1917" s="22">
        <v>0</v>
      </c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2"/>
      <c r="S1917" s="22"/>
      <c r="T1917" s="22"/>
      <c r="U1917" s="22"/>
      <c r="V1917" s="22"/>
      <c r="W1917" s="22"/>
      <c r="X1917" s="22"/>
      <c r="Y1917" s="22"/>
      <c r="Z1917" s="22"/>
      <c r="AA1917" s="22"/>
      <c r="AB1917" s="22"/>
      <c r="AC1917" s="22"/>
      <c r="AD1917" s="22"/>
      <c r="AE1917" s="22"/>
      <c r="AF1917" s="22"/>
      <c r="AG1917" s="22"/>
      <c r="AH1917" s="22"/>
      <c r="AI1917" s="22"/>
      <c r="AJ1917" s="22"/>
    </row>
    <row r="1918" spans="1:36" x14ac:dyDescent="0.25">
      <c r="A1918" s="22" t="s">
        <v>4228</v>
      </c>
      <c r="B1918" s="22">
        <v>0</v>
      </c>
      <c r="C1918" s="22"/>
      <c r="D1918" s="22"/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2"/>
      <c r="S1918" s="22"/>
      <c r="T1918" s="22"/>
      <c r="U1918" s="22"/>
      <c r="V1918" s="22"/>
      <c r="W1918" s="22"/>
      <c r="X1918" s="22"/>
      <c r="Y1918" s="22"/>
      <c r="Z1918" s="22"/>
      <c r="AA1918" s="22"/>
      <c r="AB1918" s="22"/>
      <c r="AC1918" s="22"/>
      <c r="AD1918" s="22"/>
      <c r="AE1918" s="22"/>
      <c r="AF1918" s="22"/>
      <c r="AG1918" s="22"/>
      <c r="AH1918" s="22"/>
      <c r="AI1918" s="22"/>
      <c r="AJ1918" s="22"/>
    </row>
    <row r="1919" spans="1:36" x14ac:dyDescent="0.25">
      <c r="A1919" s="22" t="s">
        <v>4229</v>
      </c>
      <c r="B1919" s="22">
        <v>0</v>
      </c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2"/>
      <c r="S1919" s="22"/>
      <c r="T1919" s="22"/>
      <c r="U1919" s="22"/>
      <c r="V1919" s="22"/>
      <c r="W1919" s="22"/>
      <c r="X1919" s="22"/>
      <c r="Y1919" s="22"/>
      <c r="Z1919" s="22"/>
      <c r="AA1919" s="22"/>
      <c r="AB1919" s="22"/>
      <c r="AC1919" s="22"/>
      <c r="AD1919" s="22"/>
      <c r="AE1919" s="22"/>
      <c r="AF1919" s="22"/>
      <c r="AG1919" s="22"/>
      <c r="AH1919" s="22"/>
      <c r="AI1919" s="22"/>
      <c r="AJ1919" s="22"/>
    </row>
    <row r="1920" spans="1:36" x14ac:dyDescent="0.25">
      <c r="A1920" s="22" t="s">
        <v>4230</v>
      </c>
      <c r="B1920" s="22">
        <v>0</v>
      </c>
      <c r="C1920" s="22"/>
      <c r="D1920" s="22"/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2"/>
      <c r="S1920" s="22"/>
      <c r="T1920" s="22"/>
      <c r="U1920" s="22"/>
      <c r="V1920" s="22"/>
      <c r="W1920" s="22"/>
      <c r="X1920" s="22"/>
      <c r="Y1920" s="22"/>
      <c r="Z1920" s="22"/>
      <c r="AA1920" s="22"/>
      <c r="AB1920" s="22"/>
      <c r="AC1920" s="22"/>
      <c r="AD1920" s="22"/>
      <c r="AE1920" s="22"/>
      <c r="AF1920" s="22"/>
      <c r="AG1920" s="22"/>
      <c r="AH1920" s="22"/>
      <c r="AI1920" s="22"/>
      <c r="AJ1920" s="22"/>
    </row>
    <row r="1921" spans="1:36" x14ac:dyDescent="0.25">
      <c r="A1921" s="22" t="s">
        <v>4231</v>
      </c>
      <c r="B1921" s="22">
        <v>0</v>
      </c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2"/>
      <c r="T1921" s="22"/>
      <c r="U1921" s="22"/>
      <c r="V1921" s="22"/>
      <c r="W1921" s="22"/>
      <c r="X1921" s="22"/>
      <c r="Y1921" s="22"/>
      <c r="Z1921" s="22"/>
      <c r="AA1921" s="22"/>
      <c r="AB1921" s="22"/>
      <c r="AC1921" s="22"/>
      <c r="AD1921" s="22"/>
      <c r="AE1921" s="22"/>
      <c r="AF1921" s="22"/>
      <c r="AG1921" s="22"/>
      <c r="AH1921" s="22"/>
      <c r="AI1921" s="22"/>
      <c r="AJ1921" s="22"/>
    </row>
    <row r="1922" spans="1:36" x14ac:dyDescent="0.25">
      <c r="A1922" s="22" t="s">
        <v>4232</v>
      </c>
      <c r="B1922" s="22">
        <v>0</v>
      </c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2"/>
      <c r="T1922" s="22"/>
      <c r="U1922" s="22"/>
      <c r="V1922" s="22"/>
      <c r="W1922" s="22"/>
      <c r="X1922" s="22"/>
      <c r="Y1922" s="22"/>
      <c r="Z1922" s="22"/>
      <c r="AA1922" s="22"/>
      <c r="AB1922" s="22"/>
      <c r="AC1922" s="22"/>
      <c r="AD1922" s="22"/>
      <c r="AE1922" s="22"/>
      <c r="AF1922" s="22"/>
      <c r="AG1922" s="22"/>
      <c r="AH1922" s="22"/>
      <c r="AI1922" s="22"/>
      <c r="AJ1922" s="22"/>
    </row>
    <row r="1923" spans="1:36" x14ac:dyDescent="0.25">
      <c r="A1923" s="22" t="s">
        <v>4233</v>
      </c>
      <c r="B1923" s="22">
        <v>0</v>
      </c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2"/>
      <c r="T1923" s="22"/>
      <c r="U1923" s="22"/>
      <c r="V1923" s="22"/>
      <c r="W1923" s="22"/>
      <c r="X1923" s="22"/>
      <c r="Y1923" s="22"/>
      <c r="Z1923" s="22"/>
      <c r="AA1923" s="22"/>
      <c r="AB1923" s="22"/>
      <c r="AC1923" s="22"/>
      <c r="AD1923" s="22"/>
      <c r="AE1923" s="22"/>
      <c r="AF1923" s="22"/>
      <c r="AG1923" s="22"/>
      <c r="AH1923" s="22"/>
      <c r="AI1923" s="22"/>
      <c r="AJ1923" s="22"/>
    </row>
    <row r="1924" spans="1:36" x14ac:dyDescent="0.25">
      <c r="A1924" s="22" t="s">
        <v>4234</v>
      </c>
      <c r="B1924" s="22">
        <v>0</v>
      </c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2"/>
      <c r="T1924" s="22"/>
      <c r="U1924" s="22"/>
      <c r="V1924" s="22"/>
      <c r="W1924" s="22"/>
      <c r="X1924" s="22"/>
      <c r="Y1924" s="22"/>
      <c r="Z1924" s="22"/>
      <c r="AA1924" s="22"/>
      <c r="AB1924" s="22"/>
      <c r="AC1924" s="22"/>
      <c r="AD1924" s="22"/>
      <c r="AE1924" s="22"/>
      <c r="AF1924" s="22"/>
      <c r="AG1924" s="22"/>
      <c r="AH1924" s="22"/>
      <c r="AI1924" s="22"/>
      <c r="AJ1924" s="22"/>
    </row>
    <row r="1925" spans="1:36" x14ac:dyDescent="0.25">
      <c r="A1925" s="22" t="s">
        <v>4235</v>
      </c>
      <c r="B1925" s="22">
        <v>0</v>
      </c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2"/>
      <c r="T1925" s="22"/>
      <c r="U1925" s="22"/>
      <c r="V1925" s="22"/>
      <c r="W1925" s="22"/>
      <c r="X1925" s="22"/>
      <c r="Y1925" s="22"/>
      <c r="Z1925" s="22"/>
      <c r="AA1925" s="22"/>
      <c r="AB1925" s="22"/>
      <c r="AC1925" s="22"/>
      <c r="AD1925" s="22"/>
      <c r="AE1925" s="22"/>
      <c r="AF1925" s="22"/>
      <c r="AG1925" s="22"/>
      <c r="AH1925" s="22"/>
      <c r="AI1925" s="22"/>
      <c r="AJ1925" s="22"/>
    </row>
    <row r="1926" spans="1:36" x14ac:dyDescent="0.25">
      <c r="A1926" s="22" t="s">
        <v>4881</v>
      </c>
      <c r="B1926" s="22">
        <v>19</v>
      </c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2"/>
      <c r="T1926" s="22"/>
      <c r="U1926" s="22"/>
      <c r="V1926" s="22"/>
      <c r="W1926" s="22"/>
      <c r="X1926" s="22"/>
      <c r="Y1926" s="22"/>
      <c r="Z1926" s="22"/>
      <c r="AA1926" s="22"/>
      <c r="AB1926" s="22"/>
      <c r="AC1926" s="22"/>
      <c r="AD1926" s="22"/>
      <c r="AE1926" s="22"/>
      <c r="AF1926" s="22"/>
      <c r="AG1926" s="22"/>
      <c r="AH1926" s="22"/>
      <c r="AI1926" s="22"/>
      <c r="AJ1926" s="22"/>
    </row>
    <row r="1927" spans="1:36" x14ac:dyDescent="0.25">
      <c r="A1927" s="22" t="s">
        <v>4882</v>
      </c>
      <c r="B1927" s="22">
        <v>0</v>
      </c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2"/>
      <c r="T1927" s="22"/>
      <c r="U1927" s="22"/>
      <c r="V1927" s="22"/>
      <c r="W1927" s="22"/>
      <c r="X1927" s="22"/>
      <c r="Y1927" s="22"/>
      <c r="Z1927" s="22"/>
      <c r="AA1927" s="22"/>
      <c r="AB1927" s="22"/>
      <c r="AC1927" s="22"/>
      <c r="AD1927" s="22"/>
      <c r="AE1927" s="22"/>
      <c r="AF1927" s="22"/>
      <c r="AG1927" s="22"/>
      <c r="AH1927" s="22"/>
      <c r="AI1927" s="22"/>
      <c r="AJ1927" s="22"/>
    </row>
    <row r="1928" spans="1:36" x14ac:dyDescent="0.25">
      <c r="A1928" s="22" t="s">
        <v>4883</v>
      </c>
      <c r="B1928" s="22">
        <v>0</v>
      </c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2"/>
      <c r="T1928" s="22"/>
      <c r="U1928" s="22"/>
      <c r="V1928" s="22"/>
      <c r="W1928" s="22"/>
      <c r="X1928" s="22"/>
      <c r="Y1928" s="22"/>
      <c r="Z1928" s="22"/>
      <c r="AA1928" s="22"/>
      <c r="AB1928" s="22"/>
      <c r="AC1928" s="22"/>
      <c r="AD1928" s="22"/>
      <c r="AE1928" s="22"/>
      <c r="AF1928" s="22"/>
      <c r="AG1928" s="22"/>
      <c r="AH1928" s="22"/>
      <c r="AI1928" s="22"/>
      <c r="AJ1928" s="22"/>
    </row>
    <row r="1929" spans="1:36" x14ac:dyDescent="0.25">
      <c r="A1929" s="22" t="s">
        <v>4884</v>
      </c>
      <c r="B1929" s="22">
        <v>0</v>
      </c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2"/>
      <c r="T1929" s="22"/>
      <c r="U1929" s="22"/>
      <c r="V1929" s="22"/>
      <c r="W1929" s="22"/>
      <c r="X1929" s="22"/>
      <c r="Y1929" s="22"/>
      <c r="Z1929" s="22"/>
      <c r="AA1929" s="22"/>
      <c r="AB1929" s="22"/>
      <c r="AC1929" s="22"/>
      <c r="AD1929" s="22"/>
      <c r="AE1929" s="22"/>
      <c r="AF1929" s="22"/>
      <c r="AG1929" s="22"/>
      <c r="AH1929" s="22"/>
      <c r="AI1929" s="22"/>
      <c r="AJ1929" s="22"/>
    </row>
    <row r="1930" spans="1:36" x14ac:dyDescent="0.25">
      <c r="A1930" s="22" t="s">
        <v>4885</v>
      </c>
      <c r="B1930" s="22">
        <v>0</v>
      </c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2"/>
      <c r="T1930" s="22"/>
      <c r="U1930" s="22"/>
      <c r="V1930" s="22"/>
      <c r="W1930" s="22"/>
      <c r="X1930" s="22"/>
      <c r="Y1930" s="22"/>
      <c r="Z1930" s="22"/>
      <c r="AA1930" s="22"/>
      <c r="AB1930" s="22"/>
      <c r="AC1930" s="22"/>
      <c r="AD1930" s="22"/>
      <c r="AE1930" s="22"/>
      <c r="AF1930" s="22"/>
      <c r="AG1930" s="22"/>
      <c r="AH1930" s="22"/>
      <c r="AI1930" s="22"/>
      <c r="AJ1930" s="22"/>
    </row>
    <row r="1931" spans="1:36" x14ac:dyDescent="0.25">
      <c r="A1931" s="22" t="s">
        <v>4886</v>
      </c>
      <c r="B1931" s="22">
        <v>0</v>
      </c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2"/>
      <c r="T1931" s="22"/>
      <c r="U1931" s="22"/>
      <c r="V1931" s="22"/>
      <c r="W1931" s="22"/>
      <c r="X1931" s="22"/>
      <c r="Y1931" s="22"/>
      <c r="Z1931" s="22"/>
      <c r="AA1931" s="22"/>
      <c r="AB1931" s="22"/>
      <c r="AC1931" s="22"/>
      <c r="AD1931" s="22"/>
      <c r="AE1931" s="22"/>
      <c r="AF1931" s="22"/>
      <c r="AG1931" s="22"/>
      <c r="AH1931" s="22"/>
      <c r="AI1931" s="22"/>
      <c r="AJ1931" s="22"/>
    </row>
    <row r="1932" spans="1:36" x14ac:dyDescent="0.25">
      <c r="A1932" s="22" t="s">
        <v>4887</v>
      </c>
      <c r="B1932" s="22">
        <v>0</v>
      </c>
      <c r="C1932" s="22"/>
      <c r="D1932" s="22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2"/>
      <c r="T1932" s="22"/>
      <c r="U1932" s="22"/>
      <c r="V1932" s="22"/>
      <c r="W1932" s="22"/>
      <c r="X1932" s="22"/>
      <c r="Y1932" s="22"/>
      <c r="Z1932" s="22"/>
      <c r="AA1932" s="22"/>
      <c r="AB1932" s="22"/>
      <c r="AC1932" s="22"/>
      <c r="AD1932" s="22"/>
      <c r="AE1932" s="22"/>
      <c r="AF1932" s="22"/>
      <c r="AG1932" s="22"/>
      <c r="AH1932" s="22"/>
      <c r="AI1932" s="22"/>
      <c r="AJ1932" s="22"/>
    </row>
    <row r="1933" spans="1:36" x14ac:dyDescent="0.25">
      <c r="A1933" s="22" t="s">
        <v>4888</v>
      </c>
      <c r="B1933" s="22">
        <v>0</v>
      </c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2"/>
      <c r="T1933" s="22"/>
      <c r="U1933" s="22"/>
      <c r="V1933" s="22"/>
      <c r="W1933" s="22"/>
      <c r="X1933" s="22"/>
      <c r="Y1933" s="22"/>
      <c r="Z1933" s="22"/>
      <c r="AA1933" s="22"/>
      <c r="AB1933" s="22"/>
      <c r="AC1933" s="22"/>
      <c r="AD1933" s="22"/>
      <c r="AE1933" s="22"/>
      <c r="AF1933" s="22"/>
      <c r="AG1933" s="22"/>
      <c r="AH1933" s="22"/>
      <c r="AI1933" s="22"/>
      <c r="AJ1933" s="22"/>
    </row>
    <row r="1934" spans="1:36" x14ac:dyDescent="0.25">
      <c r="A1934" s="22" t="s">
        <v>4236</v>
      </c>
      <c r="B1934" s="22">
        <v>0</v>
      </c>
      <c r="C1934" s="22"/>
      <c r="D1934" s="22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2"/>
      <c r="T1934" s="22"/>
      <c r="U1934" s="22"/>
      <c r="V1934" s="22"/>
      <c r="W1934" s="22"/>
      <c r="X1934" s="22"/>
      <c r="Y1934" s="22"/>
      <c r="Z1934" s="22"/>
      <c r="AA1934" s="22"/>
      <c r="AB1934" s="22"/>
      <c r="AC1934" s="22"/>
      <c r="AD1934" s="22"/>
      <c r="AE1934" s="22"/>
      <c r="AF1934" s="22"/>
      <c r="AG1934" s="22"/>
      <c r="AH1934" s="22"/>
      <c r="AI1934" s="22"/>
      <c r="AJ1934" s="22"/>
    </row>
    <row r="1935" spans="1:36" x14ac:dyDescent="0.25">
      <c r="A1935" s="22" t="s">
        <v>4237</v>
      </c>
      <c r="B1935" s="22">
        <v>0</v>
      </c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2"/>
      <c r="T1935" s="22"/>
      <c r="U1935" s="22"/>
      <c r="V1935" s="22"/>
      <c r="W1935" s="22"/>
      <c r="X1935" s="22"/>
      <c r="Y1935" s="22"/>
      <c r="Z1935" s="22"/>
      <c r="AA1935" s="22"/>
      <c r="AB1935" s="22"/>
      <c r="AC1935" s="22"/>
      <c r="AD1935" s="22"/>
      <c r="AE1935" s="22"/>
      <c r="AF1935" s="22"/>
      <c r="AG1935" s="22"/>
      <c r="AH1935" s="22"/>
      <c r="AI1935" s="22"/>
      <c r="AJ1935" s="22"/>
    </row>
    <row r="1936" spans="1:36" x14ac:dyDescent="0.25">
      <c r="A1936" s="22" t="s">
        <v>4238</v>
      </c>
      <c r="B1936" s="22">
        <v>0</v>
      </c>
      <c r="C1936" s="22"/>
      <c r="D1936" s="22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2"/>
      <c r="T1936" s="22"/>
      <c r="U1936" s="22"/>
      <c r="V1936" s="22"/>
      <c r="W1936" s="22"/>
      <c r="X1936" s="22"/>
      <c r="Y1936" s="22"/>
      <c r="Z1936" s="22"/>
      <c r="AA1936" s="22"/>
      <c r="AB1936" s="22"/>
      <c r="AC1936" s="22"/>
      <c r="AD1936" s="22"/>
      <c r="AE1936" s="22"/>
      <c r="AF1936" s="22"/>
      <c r="AG1936" s="22"/>
      <c r="AH1936" s="22"/>
      <c r="AI1936" s="22"/>
      <c r="AJ1936" s="22"/>
    </row>
    <row r="1937" spans="1:36" x14ac:dyDescent="0.25">
      <c r="A1937" s="22" t="s">
        <v>4239</v>
      </c>
      <c r="B1937" s="22">
        <v>0</v>
      </c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2"/>
      <c r="T1937" s="22"/>
      <c r="U1937" s="22"/>
      <c r="V1937" s="22"/>
      <c r="W1937" s="22"/>
      <c r="X1937" s="22"/>
      <c r="Y1937" s="22"/>
      <c r="Z1937" s="22"/>
      <c r="AA1937" s="22"/>
      <c r="AB1937" s="22"/>
      <c r="AC1937" s="22"/>
      <c r="AD1937" s="22"/>
      <c r="AE1937" s="22"/>
      <c r="AF1937" s="22"/>
      <c r="AG1937" s="22"/>
      <c r="AH1937" s="22"/>
      <c r="AI1937" s="22"/>
      <c r="AJ1937" s="22"/>
    </row>
    <row r="1938" spans="1:36" x14ac:dyDescent="0.25">
      <c r="A1938" s="22" t="s">
        <v>4240</v>
      </c>
      <c r="B1938" s="22">
        <v>0</v>
      </c>
      <c r="C1938" s="22"/>
      <c r="D1938" s="22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2"/>
      <c r="T1938" s="22"/>
      <c r="U1938" s="22"/>
      <c r="V1938" s="22"/>
      <c r="W1938" s="22"/>
      <c r="X1938" s="22"/>
      <c r="Y1938" s="22"/>
      <c r="Z1938" s="22"/>
      <c r="AA1938" s="22"/>
      <c r="AB1938" s="22"/>
      <c r="AC1938" s="22"/>
      <c r="AD1938" s="22"/>
      <c r="AE1938" s="22"/>
      <c r="AF1938" s="22"/>
      <c r="AG1938" s="22"/>
      <c r="AH1938" s="22"/>
      <c r="AI1938" s="22"/>
      <c r="AJ1938" s="22"/>
    </row>
    <row r="1939" spans="1:36" x14ac:dyDescent="0.25">
      <c r="A1939" s="22" t="s">
        <v>4241</v>
      </c>
      <c r="B1939" s="22">
        <v>0</v>
      </c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2"/>
      <c r="T1939" s="22"/>
      <c r="U1939" s="22"/>
      <c r="V1939" s="22"/>
      <c r="W1939" s="22"/>
      <c r="X1939" s="22"/>
      <c r="Y1939" s="22"/>
      <c r="Z1939" s="22"/>
      <c r="AA1939" s="22"/>
      <c r="AB1939" s="22"/>
      <c r="AC1939" s="22"/>
      <c r="AD1939" s="22"/>
      <c r="AE1939" s="22"/>
      <c r="AF1939" s="22"/>
      <c r="AG1939" s="22"/>
      <c r="AH1939" s="22"/>
      <c r="AI1939" s="22"/>
      <c r="AJ1939" s="22"/>
    </row>
    <row r="1940" spans="1:36" x14ac:dyDescent="0.25">
      <c r="A1940" s="22" t="s">
        <v>4242</v>
      </c>
      <c r="B1940" s="22">
        <v>0</v>
      </c>
      <c r="C1940" s="22"/>
      <c r="D1940" s="22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2"/>
      <c r="T1940" s="22"/>
      <c r="U1940" s="22"/>
      <c r="V1940" s="22"/>
      <c r="W1940" s="22"/>
      <c r="X1940" s="22"/>
      <c r="Y1940" s="22"/>
      <c r="Z1940" s="22"/>
      <c r="AA1940" s="22"/>
      <c r="AB1940" s="22"/>
      <c r="AC1940" s="22"/>
      <c r="AD1940" s="22"/>
      <c r="AE1940" s="22"/>
      <c r="AF1940" s="22"/>
      <c r="AG1940" s="22"/>
      <c r="AH1940" s="22"/>
      <c r="AI1940" s="22"/>
      <c r="AJ1940" s="22"/>
    </row>
    <row r="1941" spans="1:36" x14ac:dyDescent="0.25">
      <c r="A1941" s="22" t="s">
        <v>4243</v>
      </c>
      <c r="B1941" s="22">
        <v>0</v>
      </c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2"/>
      <c r="T1941" s="22"/>
      <c r="U1941" s="22"/>
      <c r="V1941" s="22"/>
      <c r="W1941" s="22"/>
      <c r="X1941" s="22"/>
      <c r="Y1941" s="22"/>
      <c r="Z1941" s="22"/>
      <c r="AA1941" s="22"/>
      <c r="AB1941" s="22"/>
      <c r="AC1941" s="22"/>
      <c r="AD1941" s="22"/>
      <c r="AE1941" s="22"/>
      <c r="AF1941" s="22"/>
      <c r="AG1941" s="22"/>
      <c r="AH1941" s="22"/>
      <c r="AI1941" s="22"/>
      <c r="AJ1941" s="22"/>
    </row>
    <row r="1942" spans="1:36" x14ac:dyDescent="0.25">
      <c r="A1942" s="22" t="s">
        <v>4889</v>
      </c>
      <c r="B1942" s="22">
        <v>0</v>
      </c>
      <c r="C1942" s="22"/>
      <c r="D1942" s="22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2"/>
      <c r="T1942" s="22"/>
      <c r="U1942" s="22"/>
      <c r="V1942" s="22"/>
      <c r="W1942" s="22"/>
      <c r="X1942" s="22"/>
      <c r="Y1942" s="22"/>
      <c r="Z1942" s="22"/>
      <c r="AA1942" s="22"/>
      <c r="AB1942" s="22"/>
      <c r="AC1942" s="22"/>
      <c r="AD1942" s="22"/>
      <c r="AE1942" s="22"/>
      <c r="AF1942" s="22"/>
      <c r="AG1942" s="22"/>
      <c r="AH1942" s="22"/>
      <c r="AI1942" s="22"/>
      <c r="AJ1942" s="22"/>
    </row>
    <row r="1943" spans="1:36" x14ac:dyDescent="0.25">
      <c r="A1943" s="22" t="s">
        <v>4890</v>
      </c>
      <c r="B1943" s="22">
        <v>0</v>
      </c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2"/>
      <c r="T1943" s="22"/>
      <c r="U1943" s="22"/>
      <c r="V1943" s="22"/>
      <c r="W1943" s="22"/>
      <c r="X1943" s="22"/>
      <c r="Y1943" s="22"/>
      <c r="Z1943" s="22"/>
      <c r="AA1943" s="22"/>
      <c r="AB1943" s="22"/>
      <c r="AC1943" s="22"/>
      <c r="AD1943" s="22"/>
      <c r="AE1943" s="22"/>
      <c r="AF1943" s="22"/>
      <c r="AG1943" s="22"/>
      <c r="AH1943" s="22"/>
      <c r="AI1943" s="22"/>
      <c r="AJ1943" s="22"/>
    </row>
    <row r="1944" spans="1:36" x14ac:dyDescent="0.25">
      <c r="A1944" s="22" t="s">
        <v>4891</v>
      </c>
      <c r="B1944" s="22">
        <v>0</v>
      </c>
      <c r="C1944" s="22"/>
      <c r="D1944" s="22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2"/>
      <c r="T1944" s="22"/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AI1944" s="22"/>
      <c r="AJ1944" s="22"/>
    </row>
    <row r="1945" spans="1:36" x14ac:dyDescent="0.25">
      <c r="A1945" s="22" t="s">
        <v>4892</v>
      </c>
      <c r="B1945" s="22">
        <v>0</v>
      </c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2"/>
      <c r="T1945" s="22"/>
      <c r="U1945" s="22"/>
      <c r="V1945" s="22"/>
      <c r="W1945" s="22"/>
      <c r="X1945" s="22"/>
      <c r="Y1945" s="22"/>
      <c r="Z1945" s="22"/>
      <c r="AA1945" s="22"/>
      <c r="AB1945" s="22"/>
      <c r="AC1945" s="22"/>
      <c r="AD1945" s="22"/>
      <c r="AE1945" s="22"/>
      <c r="AF1945" s="22"/>
      <c r="AG1945" s="22"/>
      <c r="AH1945" s="22"/>
      <c r="AI1945" s="22"/>
      <c r="AJ1945" s="22"/>
    </row>
    <row r="1946" spans="1:36" x14ac:dyDescent="0.25">
      <c r="A1946" s="22" t="s">
        <v>4893</v>
      </c>
      <c r="B1946" s="22">
        <v>0</v>
      </c>
      <c r="C1946" s="22"/>
      <c r="D1946" s="22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2"/>
      <c r="T1946" s="22"/>
      <c r="U1946" s="22"/>
      <c r="V1946" s="22"/>
      <c r="W1946" s="22"/>
      <c r="X1946" s="22"/>
      <c r="Y1946" s="22"/>
      <c r="Z1946" s="22"/>
      <c r="AA1946" s="22"/>
      <c r="AB1946" s="22"/>
      <c r="AC1946" s="22"/>
      <c r="AD1946" s="22"/>
      <c r="AE1946" s="22"/>
      <c r="AF1946" s="22"/>
      <c r="AG1946" s="22"/>
      <c r="AH1946" s="22"/>
      <c r="AI1946" s="22"/>
      <c r="AJ1946" s="22"/>
    </row>
    <row r="1947" spans="1:36" x14ac:dyDescent="0.25">
      <c r="A1947" s="22" t="s">
        <v>4894</v>
      </c>
      <c r="B1947" s="22">
        <v>0</v>
      </c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2"/>
      <c r="T1947" s="22"/>
      <c r="U1947" s="22"/>
      <c r="V1947" s="22"/>
      <c r="W1947" s="22"/>
      <c r="X1947" s="22"/>
      <c r="Y1947" s="22"/>
      <c r="Z1947" s="22"/>
      <c r="AA1947" s="22"/>
      <c r="AB1947" s="22"/>
      <c r="AC1947" s="22"/>
      <c r="AD1947" s="22"/>
      <c r="AE1947" s="22"/>
      <c r="AF1947" s="22"/>
      <c r="AG1947" s="22"/>
      <c r="AH1947" s="22"/>
      <c r="AI1947" s="22"/>
      <c r="AJ1947" s="22"/>
    </row>
    <row r="1948" spans="1:36" x14ac:dyDescent="0.25">
      <c r="A1948" s="22" t="s">
        <v>4895</v>
      </c>
      <c r="B1948" s="22">
        <v>0</v>
      </c>
      <c r="C1948" s="22"/>
      <c r="D1948" s="22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2"/>
      <c r="T1948" s="22"/>
      <c r="U1948" s="22"/>
      <c r="V1948" s="22"/>
      <c r="W1948" s="22"/>
      <c r="X1948" s="22"/>
      <c r="Y1948" s="22"/>
      <c r="Z1948" s="22"/>
      <c r="AA1948" s="22"/>
      <c r="AB1948" s="22"/>
      <c r="AC1948" s="22"/>
      <c r="AD1948" s="22"/>
      <c r="AE1948" s="22"/>
      <c r="AF1948" s="22"/>
      <c r="AG1948" s="22"/>
      <c r="AH1948" s="22"/>
      <c r="AI1948" s="22"/>
      <c r="AJ1948" s="22"/>
    </row>
    <row r="1949" spans="1:36" x14ac:dyDescent="0.25">
      <c r="A1949" s="22" t="s">
        <v>4896</v>
      </c>
      <c r="B1949" s="22">
        <v>0</v>
      </c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2"/>
      <c r="T1949" s="22"/>
      <c r="U1949" s="22"/>
      <c r="V1949" s="22"/>
      <c r="W1949" s="22"/>
      <c r="X1949" s="22"/>
      <c r="Y1949" s="22"/>
      <c r="Z1949" s="22"/>
      <c r="AA1949" s="22"/>
      <c r="AB1949" s="22"/>
      <c r="AC1949" s="22"/>
      <c r="AD1949" s="22"/>
      <c r="AE1949" s="22"/>
      <c r="AF1949" s="22"/>
      <c r="AG1949" s="22"/>
      <c r="AH1949" s="22"/>
      <c r="AI1949" s="22"/>
      <c r="AJ1949" s="22"/>
    </row>
    <row r="1950" spans="1:36" x14ac:dyDescent="0.25">
      <c r="A1950" s="22" t="s">
        <v>4897</v>
      </c>
      <c r="B1950" s="22">
        <v>23</v>
      </c>
      <c r="C1950" s="22"/>
      <c r="D1950" s="22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2"/>
      <c r="T1950" s="22"/>
      <c r="U1950" s="22"/>
      <c r="V1950" s="22"/>
      <c r="W1950" s="22"/>
      <c r="X1950" s="22"/>
      <c r="Y1950" s="22"/>
      <c r="Z1950" s="22"/>
      <c r="AA1950" s="22"/>
      <c r="AB1950" s="22"/>
      <c r="AC1950" s="22"/>
      <c r="AD1950" s="22"/>
      <c r="AE1950" s="22"/>
      <c r="AF1950" s="22"/>
      <c r="AG1950" s="22"/>
      <c r="AH1950" s="22"/>
      <c r="AI1950" s="22"/>
      <c r="AJ1950" s="22"/>
    </row>
    <row r="1951" spans="1:36" x14ac:dyDescent="0.25">
      <c r="A1951" s="22" t="s">
        <v>4898</v>
      </c>
      <c r="B1951" s="22">
        <v>0</v>
      </c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2"/>
      <c r="T1951" s="22"/>
      <c r="U1951" s="22"/>
      <c r="V1951" s="22"/>
      <c r="W1951" s="22"/>
      <c r="X1951" s="22"/>
      <c r="Y1951" s="22"/>
      <c r="Z1951" s="22"/>
      <c r="AA1951" s="22"/>
      <c r="AB1951" s="22"/>
      <c r="AC1951" s="22"/>
      <c r="AD1951" s="22"/>
      <c r="AE1951" s="22"/>
      <c r="AF1951" s="22"/>
      <c r="AG1951" s="22"/>
      <c r="AH1951" s="22"/>
      <c r="AI1951" s="22"/>
      <c r="AJ1951" s="22"/>
    </row>
    <row r="1952" spans="1:36" x14ac:dyDescent="0.25">
      <c r="A1952" s="22" t="s">
        <v>4899</v>
      </c>
      <c r="B1952" s="22">
        <v>0</v>
      </c>
      <c r="C1952" s="22"/>
      <c r="D1952" s="22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2"/>
      <c r="T1952" s="22"/>
      <c r="U1952" s="22"/>
      <c r="V1952" s="22"/>
      <c r="W1952" s="22"/>
      <c r="X1952" s="22"/>
      <c r="Y1952" s="22"/>
      <c r="Z1952" s="22"/>
      <c r="AA1952" s="22"/>
      <c r="AB1952" s="22"/>
      <c r="AC1952" s="22"/>
      <c r="AD1952" s="22"/>
      <c r="AE1952" s="22"/>
      <c r="AF1952" s="22"/>
      <c r="AG1952" s="22"/>
      <c r="AH1952" s="22"/>
      <c r="AI1952" s="22"/>
      <c r="AJ1952" s="22"/>
    </row>
    <row r="1953" spans="1:36" x14ac:dyDescent="0.25">
      <c r="A1953" s="22" t="s">
        <v>4900</v>
      </c>
      <c r="B1953" s="22">
        <v>0</v>
      </c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2"/>
      <c r="T1953" s="22"/>
      <c r="U1953" s="22"/>
      <c r="V1953" s="22"/>
      <c r="W1953" s="22"/>
      <c r="X1953" s="22"/>
      <c r="Y1953" s="22"/>
      <c r="Z1953" s="22"/>
      <c r="AA1953" s="22"/>
      <c r="AB1953" s="22"/>
      <c r="AC1953" s="22"/>
      <c r="AD1953" s="22"/>
      <c r="AE1953" s="22"/>
      <c r="AF1953" s="22"/>
      <c r="AG1953" s="22"/>
      <c r="AH1953" s="22"/>
      <c r="AI1953" s="22"/>
      <c r="AJ1953" s="22"/>
    </row>
    <row r="1954" spans="1:36" x14ac:dyDescent="0.25">
      <c r="A1954" s="22" t="s">
        <v>4901</v>
      </c>
      <c r="B1954" s="22">
        <v>0</v>
      </c>
      <c r="C1954" s="22"/>
      <c r="D1954" s="22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2"/>
      <c r="T1954" s="22"/>
      <c r="U1954" s="22"/>
      <c r="V1954" s="22"/>
      <c r="W1954" s="22"/>
      <c r="X1954" s="22"/>
      <c r="Y1954" s="22"/>
      <c r="Z1954" s="22"/>
      <c r="AA1954" s="22"/>
      <c r="AB1954" s="22"/>
      <c r="AC1954" s="22"/>
      <c r="AD1954" s="22"/>
      <c r="AE1954" s="22"/>
      <c r="AF1954" s="22"/>
      <c r="AG1954" s="22"/>
      <c r="AH1954" s="22"/>
      <c r="AI1954" s="22"/>
      <c r="AJ1954" s="22"/>
    </row>
    <row r="1955" spans="1:36" x14ac:dyDescent="0.25">
      <c r="A1955" s="22" t="s">
        <v>4902</v>
      </c>
      <c r="B1955" s="22">
        <v>0</v>
      </c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2"/>
      <c r="T1955" s="22"/>
      <c r="U1955" s="22"/>
      <c r="V1955" s="22"/>
      <c r="W1955" s="22"/>
      <c r="X1955" s="22"/>
      <c r="Y1955" s="22"/>
      <c r="Z1955" s="22"/>
      <c r="AA1955" s="22"/>
      <c r="AB1955" s="22"/>
      <c r="AC1955" s="22"/>
      <c r="AD1955" s="22"/>
      <c r="AE1955" s="22"/>
      <c r="AF1955" s="22"/>
      <c r="AG1955" s="22"/>
      <c r="AH1955" s="22"/>
      <c r="AI1955" s="22"/>
      <c r="AJ1955" s="22"/>
    </row>
    <row r="1956" spans="1:36" x14ac:dyDescent="0.25">
      <c r="A1956" s="22" t="s">
        <v>4903</v>
      </c>
      <c r="B1956" s="22">
        <v>0</v>
      </c>
      <c r="C1956" s="22"/>
      <c r="D1956" s="22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AC1956" s="22"/>
      <c r="AD1956" s="22"/>
      <c r="AE1956" s="22"/>
      <c r="AF1956" s="22"/>
      <c r="AG1956" s="22"/>
      <c r="AH1956" s="22"/>
      <c r="AI1956" s="22"/>
      <c r="AJ1956" s="22"/>
    </row>
    <row r="1957" spans="1:36" x14ac:dyDescent="0.25">
      <c r="A1957" s="22" t="s">
        <v>4904</v>
      </c>
      <c r="B1957" s="22">
        <v>0</v>
      </c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2"/>
      <c r="T1957" s="22"/>
      <c r="U1957" s="22"/>
      <c r="V1957" s="22"/>
      <c r="W1957" s="22"/>
      <c r="X1957" s="22"/>
      <c r="Y1957" s="22"/>
      <c r="Z1957" s="22"/>
      <c r="AA1957" s="22"/>
      <c r="AB1957" s="22"/>
      <c r="AC1957" s="22"/>
      <c r="AD1957" s="22"/>
      <c r="AE1957" s="22"/>
      <c r="AF1957" s="22"/>
      <c r="AG1957" s="22"/>
      <c r="AH1957" s="22"/>
      <c r="AI1957" s="22"/>
      <c r="AJ1957" s="22"/>
    </row>
    <row r="1958" spans="1:36" x14ac:dyDescent="0.25">
      <c r="A1958" s="22" t="s">
        <v>4905</v>
      </c>
      <c r="B1958" s="22">
        <v>0</v>
      </c>
      <c r="C1958" s="22"/>
      <c r="D1958" s="22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2"/>
      <c r="T1958" s="22"/>
      <c r="U1958" s="22"/>
      <c r="V1958" s="22"/>
      <c r="W1958" s="22"/>
      <c r="X1958" s="22"/>
      <c r="Y1958" s="22"/>
      <c r="Z1958" s="22"/>
      <c r="AA1958" s="22"/>
      <c r="AB1958" s="22"/>
      <c r="AC1958" s="22"/>
      <c r="AD1958" s="22"/>
      <c r="AE1958" s="22"/>
      <c r="AF1958" s="22"/>
      <c r="AG1958" s="22"/>
      <c r="AH1958" s="22"/>
      <c r="AI1958" s="22"/>
      <c r="AJ1958" s="22"/>
    </row>
    <row r="1959" spans="1:36" x14ac:dyDescent="0.25">
      <c r="A1959" s="22" t="s">
        <v>4906</v>
      </c>
      <c r="B1959" s="22">
        <v>0</v>
      </c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2"/>
      <c r="T1959" s="22"/>
      <c r="U1959" s="22"/>
      <c r="V1959" s="22"/>
      <c r="W1959" s="22"/>
      <c r="X1959" s="22"/>
      <c r="Y1959" s="22"/>
      <c r="Z1959" s="22"/>
      <c r="AA1959" s="22"/>
      <c r="AB1959" s="22"/>
      <c r="AC1959" s="22"/>
      <c r="AD1959" s="22"/>
      <c r="AE1959" s="22"/>
      <c r="AF1959" s="22"/>
      <c r="AG1959" s="22"/>
      <c r="AH1959" s="22"/>
      <c r="AI1959" s="22"/>
      <c r="AJ1959" s="22"/>
    </row>
    <row r="1960" spans="1:36" x14ac:dyDescent="0.25">
      <c r="A1960" s="22" t="s">
        <v>4907</v>
      </c>
      <c r="B1960" s="22">
        <v>0</v>
      </c>
      <c r="C1960" s="22"/>
      <c r="D1960" s="22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2"/>
      <c r="T1960" s="22"/>
      <c r="U1960" s="22"/>
      <c r="V1960" s="22"/>
      <c r="W1960" s="22"/>
      <c r="X1960" s="22"/>
      <c r="Y1960" s="22"/>
      <c r="Z1960" s="22"/>
      <c r="AA1960" s="22"/>
      <c r="AB1960" s="22"/>
      <c r="AC1960" s="22"/>
      <c r="AD1960" s="22"/>
      <c r="AE1960" s="22"/>
      <c r="AF1960" s="22"/>
      <c r="AG1960" s="22"/>
      <c r="AH1960" s="22"/>
      <c r="AI1960" s="22"/>
      <c r="AJ1960" s="22"/>
    </row>
    <row r="1961" spans="1:36" x14ac:dyDescent="0.25">
      <c r="A1961" s="22" t="s">
        <v>4908</v>
      </c>
      <c r="B1961" s="22">
        <v>0</v>
      </c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2"/>
      <c r="T1961" s="22"/>
      <c r="U1961" s="22"/>
      <c r="V1961" s="22"/>
      <c r="W1961" s="22"/>
      <c r="X1961" s="22"/>
      <c r="Y1961" s="22"/>
      <c r="Z1961" s="22"/>
      <c r="AA1961" s="22"/>
      <c r="AB1961" s="22"/>
      <c r="AC1961" s="22"/>
      <c r="AD1961" s="22"/>
      <c r="AE1961" s="22"/>
      <c r="AF1961" s="22"/>
      <c r="AG1961" s="22"/>
      <c r="AH1961" s="22"/>
      <c r="AI1961" s="22"/>
      <c r="AJ1961" s="22"/>
    </row>
    <row r="1962" spans="1:36" x14ac:dyDescent="0.25">
      <c r="A1962" s="22" t="s">
        <v>4909</v>
      </c>
      <c r="B1962" s="22">
        <v>0</v>
      </c>
      <c r="C1962" s="22"/>
      <c r="D1962" s="22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2"/>
      <c r="T1962" s="22"/>
      <c r="U1962" s="22"/>
      <c r="V1962" s="22"/>
      <c r="W1962" s="22"/>
      <c r="X1962" s="22"/>
      <c r="Y1962" s="22"/>
      <c r="Z1962" s="22"/>
      <c r="AA1962" s="22"/>
      <c r="AB1962" s="22"/>
      <c r="AC1962" s="22"/>
      <c r="AD1962" s="22"/>
      <c r="AE1962" s="22"/>
      <c r="AF1962" s="22"/>
      <c r="AG1962" s="22"/>
      <c r="AH1962" s="22"/>
      <c r="AI1962" s="22"/>
      <c r="AJ1962" s="22"/>
    </row>
    <row r="1963" spans="1:36" x14ac:dyDescent="0.25">
      <c r="A1963" s="22" t="s">
        <v>4910</v>
      </c>
      <c r="B1963" s="22">
        <v>0</v>
      </c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2"/>
      <c r="T1963" s="22"/>
      <c r="U1963" s="22"/>
      <c r="V1963" s="22"/>
      <c r="W1963" s="22"/>
      <c r="X1963" s="22"/>
      <c r="Y1963" s="22"/>
      <c r="Z1963" s="22"/>
      <c r="AA1963" s="22"/>
      <c r="AB1963" s="22"/>
      <c r="AC1963" s="22"/>
      <c r="AD1963" s="22"/>
      <c r="AE1963" s="22"/>
      <c r="AF1963" s="22"/>
      <c r="AG1963" s="22"/>
      <c r="AH1963" s="22"/>
      <c r="AI1963" s="22"/>
      <c r="AJ1963" s="22"/>
    </row>
    <row r="1964" spans="1:36" x14ac:dyDescent="0.25">
      <c r="A1964" s="22" t="s">
        <v>4911</v>
      </c>
      <c r="B1964" s="22">
        <v>0</v>
      </c>
      <c r="C1964" s="22"/>
      <c r="D1964" s="22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2"/>
      <c r="T1964" s="22"/>
      <c r="U1964" s="22"/>
      <c r="V1964" s="22"/>
      <c r="W1964" s="22"/>
      <c r="X1964" s="22"/>
      <c r="Y1964" s="22"/>
      <c r="Z1964" s="22"/>
      <c r="AA1964" s="22"/>
      <c r="AB1964" s="22"/>
      <c r="AC1964" s="22"/>
      <c r="AD1964" s="22"/>
      <c r="AE1964" s="22"/>
      <c r="AF1964" s="22"/>
      <c r="AG1964" s="22"/>
      <c r="AH1964" s="22"/>
      <c r="AI1964" s="22"/>
      <c r="AJ1964" s="22"/>
    </row>
    <row r="1965" spans="1:36" x14ac:dyDescent="0.25">
      <c r="A1965" s="22" t="s">
        <v>4912</v>
      </c>
      <c r="B1965" s="22">
        <v>0</v>
      </c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2"/>
      <c r="T1965" s="22"/>
      <c r="U1965" s="22"/>
      <c r="V1965" s="22"/>
      <c r="W1965" s="22"/>
      <c r="X1965" s="22"/>
      <c r="Y1965" s="22"/>
      <c r="Z1965" s="22"/>
      <c r="AA1965" s="22"/>
      <c r="AB1965" s="22"/>
      <c r="AC1965" s="22"/>
      <c r="AD1965" s="22"/>
      <c r="AE1965" s="22"/>
      <c r="AF1965" s="22"/>
      <c r="AG1965" s="22"/>
      <c r="AH1965" s="22"/>
      <c r="AI1965" s="22"/>
      <c r="AJ1965" s="22"/>
    </row>
    <row r="1966" spans="1:36" x14ac:dyDescent="0.25">
      <c r="A1966" s="22" t="s">
        <v>3375</v>
      </c>
      <c r="B1966" s="22">
        <v>0</v>
      </c>
      <c r="C1966" s="22"/>
      <c r="D1966" s="22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2"/>
      <c r="T1966" s="22"/>
      <c r="U1966" s="22"/>
      <c r="V1966" s="22"/>
      <c r="W1966" s="22"/>
      <c r="X1966" s="22"/>
      <c r="Y1966" s="22"/>
      <c r="Z1966" s="22"/>
      <c r="AA1966" s="22"/>
      <c r="AB1966" s="22"/>
      <c r="AC1966" s="22"/>
      <c r="AD1966" s="22"/>
      <c r="AE1966" s="22"/>
      <c r="AF1966" s="22"/>
      <c r="AG1966" s="22"/>
      <c r="AH1966" s="22"/>
      <c r="AI1966" s="22"/>
      <c r="AJ1966" s="22"/>
    </row>
    <row r="1967" spans="1:36" x14ac:dyDescent="0.25">
      <c r="A1967" s="22" t="s">
        <v>3376</v>
      </c>
      <c r="B1967" s="22">
        <v>0</v>
      </c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2"/>
      <c r="T1967" s="22"/>
      <c r="U1967" s="22"/>
      <c r="V1967" s="22"/>
      <c r="W1967" s="22"/>
      <c r="X1967" s="22"/>
      <c r="Y1967" s="22"/>
      <c r="Z1967" s="22"/>
      <c r="AA1967" s="22"/>
      <c r="AB1967" s="22"/>
      <c r="AC1967" s="22"/>
      <c r="AD1967" s="22"/>
      <c r="AE1967" s="22"/>
      <c r="AF1967" s="22"/>
      <c r="AG1967" s="22"/>
      <c r="AH1967" s="22"/>
      <c r="AI1967" s="22"/>
      <c r="AJ1967" s="22"/>
    </row>
    <row r="1968" spans="1:36" x14ac:dyDescent="0.25">
      <c r="A1968" s="22" t="s">
        <v>3377</v>
      </c>
      <c r="B1968" s="22">
        <v>0</v>
      </c>
      <c r="C1968" s="22"/>
      <c r="D1968" s="22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2"/>
      <c r="T1968" s="22"/>
      <c r="U1968" s="22"/>
      <c r="V1968" s="22"/>
      <c r="W1968" s="22"/>
      <c r="X1968" s="22"/>
      <c r="Y1968" s="22"/>
      <c r="Z1968" s="22"/>
      <c r="AA1968" s="22"/>
      <c r="AB1968" s="22"/>
      <c r="AC1968" s="22"/>
      <c r="AD1968" s="22"/>
      <c r="AE1968" s="22"/>
      <c r="AF1968" s="22"/>
      <c r="AG1968" s="22"/>
      <c r="AH1968" s="22"/>
      <c r="AI1968" s="22"/>
      <c r="AJ1968" s="22"/>
    </row>
    <row r="1969" spans="1:36" x14ac:dyDescent="0.25">
      <c r="A1969" s="22" t="s">
        <v>3378</v>
      </c>
      <c r="B1969" s="22">
        <v>0</v>
      </c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2"/>
      <c r="T1969" s="22"/>
      <c r="U1969" s="22"/>
      <c r="V1969" s="22"/>
      <c r="W1969" s="22"/>
      <c r="X1969" s="22"/>
      <c r="Y1969" s="22"/>
      <c r="Z1969" s="22"/>
      <c r="AA1969" s="22"/>
      <c r="AB1969" s="22"/>
      <c r="AC1969" s="22"/>
      <c r="AD1969" s="22"/>
      <c r="AE1969" s="22"/>
      <c r="AF1969" s="22"/>
      <c r="AG1969" s="22"/>
      <c r="AH1969" s="22"/>
      <c r="AI1969" s="22"/>
      <c r="AJ1969" s="22"/>
    </row>
    <row r="1970" spans="1:36" x14ac:dyDescent="0.25">
      <c r="A1970" s="22" t="s">
        <v>3379</v>
      </c>
      <c r="B1970" s="22">
        <v>0</v>
      </c>
      <c r="C1970" s="22"/>
      <c r="D1970" s="22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2"/>
      <c r="T1970" s="22"/>
      <c r="U1970" s="22"/>
      <c r="V1970" s="22"/>
      <c r="W1970" s="22"/>
      <c r="X1970" s="22"/>
      <c r="Y1970" s="22"/>
      <c r="Z1970" s="22"/>
      <c r="AA1970" s="22"/>
      <c r="AB1970" s="22"/>
      <c r="AC1970" s="22"/>
      <c r="AD1970" s="22"/>
      <c r="AE1970" s="22"/>
      <c r="AF1970" s="22"/>
      <c r="AG1970" s="22"/>
      <c r="AH1970" s="22"/>
      <c r="AI1970" s="22"/>
      <c r="AJ1970" s="22"/>
    </row>
    <row r="1971" spans="1:36" x14ac:dyDescent="0.25">
      <c r="A1971" s="22" t="s">
        <v>3380</v>
      </c>
      <c r="B1971" s="22">
        <v>0</v>
      </c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2"/>
      <c r="Y1971" s="22"/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</row>
    <row r="1972" spans="1:36" x14ac:dyDescent="0.25">
      <c r="A1972" s="22" t="s">
        <v>3381</v>
      </c>
      <c r="B1972" s="22">
        <v>0</v>
      </c>
      <c r="C1972" s="22"/>
      <c r="D1972" s="22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2"/>
      <c r="Y1972" s="22"/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</row>
    <row r="1973" spans="1:36" x14ac:dyDescent="0.25">
      <c r="A1973" s="22" t="s">
        <v>3382</v>
      </c>
      <c r="B1973" s="22">
        <v>0</v>
      </c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2"/>
      <c r="Y1973" s="22"/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</row>
    <row r="1974" spans="1:36" x14ac:dyDescent="0.25">
      <c r="A1974" s="22" t="s">
        <v>4913</v>
      </c>
      <c r="B1974" s="22">
        <v>4</v>
      </c>
      <c r="C1974" s="22"/>
      <c r="D1974" s="22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2"/>
      <c r="Y1974" s="22"/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</row>
    <row r="1975" spans="1:36" x14ac:dyDescent="0.25">
      <c r="A1975" s="22" t="s">
        <v>4914</v>
      </c>
      <c r="B1975" s="22">
        <v>0</v>
      </c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2"/>
      <c r="Y1975" s="22"/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</row>
    <row r="1976" spans="1:36" x14ac:dyDescent="0.25">
      <c r="A1976" s="22" t="s">
        <v>4915</v>
      </c>
      <c r="B1976" s="22">
        <v>0</v>
      </c>
      <c r="C1976" s="22"/>
      <c r="D1976" s="22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2"/>
      <c r="Y1976" s="22"/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</row>
    <row r="1977" spans="1:36" x14ac:dyDescent="0.25">
      <c r="A1977" s="22" t="s">
        <v>4916</v>
      </c>
      <c r="B1977" s="22">
        <v>0</v>
      </c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2"/>
      <c r="Y1977" s="22"/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</row>
    <row r="1978" spans="1:36" x14ac:dyDescent="0.25">
      <c r="A1978" s="22" t="s">
        <v>4917</v>
      </c>
      <c r="B1978" s="22">
        <v>2</v>
      </c>
      <c r="C1978" s="22"/>
      <c r="D1978" s="22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2"/>
      <c r="Y1978" s="22"/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</row>
    <row r="1979" spans="1:36" x14ac:dyDescent="0.25">
      <c r="A1979" s="22" t="s">
        <v>4918</v>
      </c>
      <c r="B1979" s="22">
        <v>0</v>
      </c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2"/>
      <c r="Y1979" s="22"/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</row>
    <row r="1980" spans="1:36" x14ac:dyDescent="0.25">
      <c r="A1980" s="22" t="s">
        <v>4919</v>
      </c>
      <c r="B1980" s="22">
        <v>0</v>
      </c>
      <c r="C1980" s="22"/>
      <c r="D1980" s="22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2"/>
      <c r="Y1980" s="22"/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</row>
    <row r="1981" spans="1:36" x14ac:dyDescent="0.25">
      <c r="A1981" s="22" t="s">
        <v>4920</v>
      </c>
      <c r="B1981" s="22">
        <v>0</v>
      </c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2"/>
      <c r="T1981" s="22"/>
      <c r="U1981" s="22"/>
      <c r="V1981" s="22"/>
      <c r="W1981" s="22"/>
      <c r="X1981" s="22"/>
      <c r="Y1981" s="22"/>
      <c r="Z1981" s="22"/>
      <c r="AA1981" s="22"/>
      <c r="AB1981" s="22"/>
      <c r="AC1981" s="22"/>
      <c r="AD1981" s="22"/>
      <c r="AE1981" s="22"/>
      <c r="AF1981" s="22"/>
      <c r="AG1981" s="22"/>
      <c r="AH1981" s="22"/>
      <c r="AI1981" s="22"/>
      <c r="AJ1981" s="22"/>
    </row>
    <row r="1982" spans="1:36" x14ac:dyDescent="0.25">
      <c r="A1982" s="22" t="s">
        <v>4921</v>
      </c>
      <c r="B1982" s="22">
        <v>0</v>
      </c>
      <c r="C1982" s="22"/>
      <c r="D1982" s="22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2"/>
      <c r="T1982" s="22"/>
      <c r="U1982" s="22"/>
      <c r="V1982" s="22"/>
      <c r="W1982" s="22"/>
      <c r="X1982" s="22"/>
      <c r="Y1982" s="22"/>
      <c r="Z1982" s="22"/>
      <c r="AA1982" s="22"/>
      <c r="AB1982" s="22"/>
      <c r="AC1982" s="22"/>
      <c r="AD1982" s="22"/>
      <c r="AE1982" s="22"/>
      <c r="AF1982" s="22"/>
      <c r="AG1982" s="22"/>
      <c r="AH1982" s="22"/>
      <c r="AI1982" s="22"/>
      <c r="AJ1982" s="22"/>
    </row>
    <row r="1983" spans="1:36" x14ac:dyDescent="0.25">
      <c r="A1983" s="22" t="s">
        <v>4922</v>
      </c>
      <c r="B1983" s="22">
        <v>0</v>
      </c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2"/>
      <c r="T1983" s="22"/>
      <c r="U1983" s="22"/>
      <c r="V1983" s="22"/>
      <c r="W1983" s="22"/>
      <c r="X1983" s="22"/>
      <c r="Y1983" s="22"/>
      <c r="Z1983" s="22"/>
      <c r="AA1983" s="22"/>
      <c r="AB1983" s="22"/>
      <c r="AC1983" s="22"/>
      <c r="AD1983" s="22"/>
      <c r="AE1983" s="22"/>
      <c r="AF1983" s="22"/>
      <c r="AG1983" s="22"/>
      <c r="AH1983" s="22"/>
      <c r="AI1983" s="22"/>
      <c r="AJ1983" s="22"/>
    </row>
    <row r="1984" spans="1:36" x14ac:dyDescent="0.25">
      <c r="A1984" s="22" t="s">
        <v>4923</v>
      </c>
      <c r="B1984" s="22">
        <v>0</v>
      </c>
      <c r="C1984" s="22"/>
      <c r="D1984" s="22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2"/>
      <c r="T1984" s="22"/>
      <c r="U1984" s="22"/>
      <c r="V1984" s="22"/>
      <c r="W1984" s="22"/>
      <c r="X1984" s="22"/>
      <c r="Y1984" s="22"/>
      <c r="Z1984" s="22"/>
      <c r="AA1984" s="22"/>
      <c r="AB1984" s="22"/>
      <c r="AC1984" s="22"/>
      <c r="AD1984" s="22"/>
      <c r="AE1984" s="22"/>
      <c r="AF1984" s="22"/>
      <c r="AG1984" s="22"/>
      <c r="AH1984" s="22"/>
      <c r="AI1984" s="22"/>
      <c r="AJ1984" s="22"/>
    </row>
    <row r="1985" spans="1:36" x14ac:dyDescent="0.25">
      <c r="A1985" s="22" t="s">
        <v>4924</v>
      </c>
      <c r="B1985" s="22">
        <v>0</v>
      </c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2"/>
      <c r="T1985" s="22"/>
      <c r="U1985" s="22"/>
      <c r="V1985" s="22"/>
      <c r="W1985" s="22"/>
      <c r="X1985" s="22"/>
      <c r="Y1985" s="22"/>
      <c r="Z1985" s="22"/>
      <c r="AA1985" s="22"/>
      <c r="AB1985" s="22"/>
      <c r="AC1985" s="22"/>
      <c r="AD1985" s="22"/>
      <c r="AE1985" s="22"/>
      <c r="AF1985" s="22"/>
      <c r="AG1985" s="22"/>
      <c r="AH1985" s="22"/>
      <c r="AI1985" s="22"/>
      <c r="AJ1985" s="22"/>
    </row>
    <row r="1986" spans="1:36" x14ac:dyDescent="0.25">
      <c r="A1986" s="22" t="s">
        <v>4925</v>
      </c>
      <c r="B1986" s="22">
        <v>0</v>
      </c>
      <c r="C1986" s="22"/>
      <c r="D1986" s="22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2"/>
      <c r="T1986" s="22"/>
      <c r="U1986" s="22"/>
      <c r="V1986" s="22"/>
      <c r="W1986" s="22"/>
      <c r="X1986" s="22"/>
      <c r="Y1986" s="22"/>
      <c r="Z1986" s="22"/>
      <c r="AA1986" s="22"/>
      <c r="AB1986" s="22"/>
      <c r="AC1986" s="22"/>
      <c r="AD1986" s="22"/>
      <c r="AE1986" s="22"/>
      <c r="AF1986" s="22"/>
      <c r="AG1986" s="22"/>
      <c r="AH1986" s="22"/>
      <c r="AI1986" s="22"/>
      <c r="AJ1986" s="22"/>
    </row>
    <row r="1987" spans="1:36" x14ac:dyDescent="0.25">
      <c r="A1987" s="22" t="s">
        <v>4926</v>
      </c>
      <c r="B1987" s="22">
        <v>0</v>
      </c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2"/>
      <c r="T1987" s="22"/>
      <c r="U1987" s="22"/>
      <c r="V1987" s="22"/>
      <c r="W1987" s="22"/>
      <c r="X1987" s="22"/>
      <c r="Y1987" s="22"/>
      <c r="Z1987" s="22"/>
      <c r="AA1987" s="22"/>
      <c r="AB1987" s="22"/>
      <c r="AC1987" s="22"/>
      <c r="AD1987" s="22"/>
      <c r="AE1987" s="22"/>
      <c r="AF1987" s="22"/>
      <c r="AG1987" s="22"/>
      <c r="AH1987" s="22"/>
      <c r="AI1987" s="22"/>
      <c r="AJ1987" s="22"/>
    </row>
    <row r="1988" spans="1:36" x14ac:dyDescent="0.25">
      <c r="A1988" s="22" t="s">
        <v>4927</v>
      </c>
      <c r="B1988" s="22">
        <v>0</v>
      </c>
      <c r="C1988" s="22"/>
      <c r="D1988" s="22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2"/>
      <c r="T1988" s="22"/>
      <c r="U1988" s="22"/>
      <c r="V1988" s="22"/>
      <c r="W1988" s="22"/>
      <c r="X1988" s="22"/>
      <c r="Y1988" s="22"/>
      <c r="Z1988" s="22"/>
      <c r="AA1988" s="22"/>
      <c r="AB1988" s="22"/>
      <c r="AC1988" s="22"/>
      <c r="AD1988" s="22"/>
      <c r="AE1988" s="22"/>
      <c r="AF1988" s="22"/>
      <c r="AG1988" s="22"/>
      <c r="AH1988" s="22"/>
      <c r="AI1988" s="22"/>
      <c r="AJ1988" s="22"/>
    </row>
    <row r="1989" spans="1:36" x14ac:dyDescent="0.25">
      <c r="A1989" s="22" t="s">
        <v>4928</v>
      </c>
      <c r="B1989" s="22">
        <v>0</v>
      </c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2"/>
      <c r="T1989" s="22"/>
      <c r="U1989" s="22"/>
      <c r="V1989" s="22"/>
      <c r="W1989" s="22"/>
      <c r="X1989" s="22"/>
      <c r="Y1989" s="22"/>
      <c r="Z1989" s="22"/>
      <c r="AA1989" s="22"/>
      <c r="AB1989" s="22"/>
      <c r="AC1989" s="22"/>
      <c r="AD1989" s="22"/>
      <c r="AE1989" s="22"/>
      <c r="AF1989" s="22"/>
      <c r="AG1989" s="22"/>
      <c r="AH1989" s="22"/>
      <c r="AI1989" s="22"/>
      <c r="AJ1989" s="22"/>
    </row>
    <row r="1990" spans="1:36" x14ac:dyDescent="0.25">
      <c r="A1990" s="22" t="s">
        <v>4929</v>
      </c>
      <c r="B1990" s="22">
        <v>0</v>
      </c>
      <c r="C1990" s="22"/>
      <c r="D1990" s="22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2"/>
      <c r="T1990" s="22"/>
      <c r="U1990" s="22"/>
      <c r="V1990" s="22"/>
      <c r="W1990" s="22"/>
      <c r="X1990" s="22"/>
      <c r="Y1990" s="22"/>
      <c r="Z1990" s="22"/>
      <c r="AA1990" s="22"/>
      <c r="AB1990" s="22"/>
      <c r="AC1990" s="22"/>
      <c r="AD1990" s="22"/>
      <c r="AE1990" s="22"/>
      <c r="AF1990" s="22"/>
      <c r="AG1990" s="22"/>
      <c r="AH1990" s="22"/>
      <c r="AI1990" s="22"/>
      <c r="AJ1990" s="22"/>
    </row>
    <row r="1991" spans="1:36" x14ac:dyDescent="0.25">
      <c r="A1991" s="22" t="s">
        <v>4930</v>
      </c>
      <c r="B1991" s="22">
        <v>0</v>
      </c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2"/>
      <c r="T1991" s="22"/>
      <c r="U1991" s="22"/>
      <c r="V1991" s="22"/>
      <c r="W1991" s="22"/>
      <c r="X1991" s="22"/>
      <c r="Y1991" s="22"/>
      <c r="Z1991" s="22"/>
      <c r="AA1991" s="22"/>
      <c r="AB1991" s="22"/>
      <c r="AC1991" s="22"/>
      <c r="AD1991" s="22"/>
      <c r="AE1991" s="22"/>
      <c r="AF1991" s="22"/>
      <c r="AG1991" s="22"/>
      <c r="AH1991" s="22"/>
      <c r="AI1991" s="22"/>
      <c r="AJ1991" s="22"/>
    </row>
    <row r="1992" spans="1:36" x14ac:dyDescent="0.25">
      <c r="A1992" s="22" t="s">
        <v>4931</v>
      </c>
      <c r="B1992" s="22">
        <v>0</v>
      </c>
      <c r="C1992" s="22"/>
      <c r="D1992" s="22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2"/>
      <c r="T1992" s="22"/>
      <c r="U1992" s="22"/>
      <c r="V1992" s="22"/>
      <c r="W1992" s="22"/>
      <c r="X1992" s="22"/>
      <c r="Y1992" s="22"/>
      <c r="Z1992" s="22"/>
      <c r="AA1992" s="22"/>
      <c r="AB1992" s="22"/>
      <c r="AC1992" s="22"/>
      <c r="AD1992" s="22"/>
      <c r="AE1992" s="22"/>
      <c r="AF1992" s="22"/>
      <c r="AG1992" s="22"/>
      <c r="AH1992" s="22"/>
      <c r="AI1992" s="22"/>
      <c r="AJ1992" s="22"/>
    </row>
    <row r="1993" spans="1:36" x14ac:dyDescent="0.25">
      <c r="A1993" s="22" t="s">
        <v>4932</v>
      </c>
      <c r="B1993" s="22">
        <v>0</v>
      </c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2"/>
      <c r="T1993" s="22"/>
      <c r="U1993" s="22"/>
      <c r="V1993" s="22"/>
      <c r="W1993" s="22"/>
      <c r="X1993" s="22"/>
      <c r="Y1993" s="22"/>
      <c r="Z1993" s="22"/>
      <c r="AA1993" s="22"/>
      <c r="AB1993" s="22"/>
      <c r="AC1993" s="22"/>
      <c r="AD1993" s="22"/>
      <c r="AE1993" s="22"/>
      <c r="AF1993" s="22"/>
      <c r="AG1993" s="22"/>
      <c r="AH1993" s="22"/>
      <c r="AI1993" s="22"/>
      <c r="AJ1993" s="22"/>
    </row>
    <row r="1994" spans="1:36" x14ac:dyDescent="0.25">
      <c r="A1994" s="22" t="s">
        <v>4933</v>
      </c>
      <c r="B1994" s="22">
        <v>0</v>
      </c>
      <c r="C1994" s="22"/>
      <c r="D1994" s="22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2"/>
      <c r="T1994" s="22"/>
      <c r="U1994" s="22"/>
      <c r="V1994" s="22"/>
      <c r="W1994" s="22"/>
      <c r="X1994" s="22"/>
      <c r="Y1994" s="22"/>
      <c r="Z1994" s="22"/>
      <c r="AA1994" s="22"/>
      <c r="AB1994" s="22"/>
      <c r="AC1994" s="22"/>
      <c r="AD1994" s="22"/>
      <c r="AE1994" s="22"/>
      <c r="AF1994" s="22"/>
      <c r="AG1994" s="22"/>
      <c r="AH1994" s="22"/>
      <c r="AI1994" s="22"/>
      <c r="AJ1994" s="22"/>
    </row>
    <row r="1995" spans="1:36" x14ac:dyDescent="0.25">
      <c r="A1995" s="22" t="s">
        <v>4934</v>
      </c>
      <c r="B1995" s="22">
        <v>0</v>
      </c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2"/>
      <c r="T1995" s="22"/>
      <c r="U1995" s="22"/>
      <c r="V1995" s="22"/>
      <c r="W1995" s="22"/>
      <c r="X1995" s="22"/>
      <c r="Y1995" s="22"/>
      <c r="Z1995" s="22"/>
      <c r="AA1995" s="22"/>
      <c r="AB1995" s="22"/>
      <c r="AC1995" s="22"/>
      <c r="AD1995" s="22"/>
      <c r="AE1995" s="22"/>
      <c r="AF1995" s="22"/>
      <c r="AG1995" s="22"/>
      <c r="AH1995" s="22"/>
      <c r="AI1995" s="22"/>
      <c r="AJ1995" s="22"/>
    </row>
    <row r="1996" spans="1:36" x14ac:dyDescent="0.25">
      <c r="A1996" s="22" t="s">
        <v>4935</v>
      </c>
      <c r="B1996" s="22">
        <v>0</v>
      </c>
      <c r="C1996" s="22"/>
      <c r="D1996" s="22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2"/>
      <c r="T1996" s="22"/>
      <c r="U1996" s="22"/>
      <c r="V1996" s="22"/>
      <c r="W1996" s="22"/>
      <c r="X1996" s="22"/>
      <c r="Y1996" s="22"/>
      <c r="Z1996" s="22"/>
      <c r="AA1996" s="22"/>
      <c r="AB1996" s="22"/>
      <c r="AC1996" s="22"/>
      <c r="AD1996" s="22"/>
      <c r="AE1996" s="22"/>
      <c r="AF1996" s="22"/>
      <c r="AG1996" s="22"/>
      <c r="AH1996" s="22"/>
      <c r="AI1996" s="22"/>
      <c r="AJ1996" s="22"/>
    </row>
    <row r="1997" spans="1:36" x14ac:dyDescent="0.25">
      <c r="A1997" s="22" t="s">
        <v>4936</v>
      </c>
      <c r="B1997" s="22">
        <v>0</v>
      </c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2"/>
      <c r="T1997" s="22"/>
      <c r="U1997" s="22"/>
      <c r="V1997" s="22"/>
      <c r="W1997" s="22"/>
      <c r="X1997" s="22"/>
      <c r="Y1997" s="22"/>
      <c r="Z1997" s="22"/>
      <c r="AA1997" s="22"/>
      <c r="AB1997" s="22"/>
      <c r="AC1997" s="22"/>
      <c r="AD1997" s="22"/>
      <c r="AE1997" s="22"/>
      <c r="AF1997" s="22"/>
      <c r="AG1997" s="22"/>
      <c r="AH1997" s="22"/>
      <c r="AI1997" s="22"/>
      <c r="AJ1997" s="22"/>
    </row>
    <row r="1998" spans="1:36" x14ac:dyDescent="0.25">
      <c r="A1998" s="22" t="s">
        <v>4937</v>
      </c>
      <c r="B1998" s="22">
        <v>0</v>
      </c>
      <c r="C1998" s="22"/>
      <c r="D1998" s="22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2"/>
      <c r="T1998" s="22"/>
      <c r="U1998" s="22"/>
      <c r="V1998" s="22"/>
      <c r="W1998" s="22"/>
      <c r="X1998" s="22"/>
      <c r="Y1998" s="22"/>
      <c r="Z1998" s="22"/>
      <c r="AA1998" s="22"/>
      <c r="AB1998" s="22"/>
      <c r="AC1998" s="22"/>
      <c r="AD1998" s="22"/>
      <c r="AE1998" s="22"/>
      <c r="AF1998" s="22"/>
      <c r="AG1998" s="22"/>
      <c r="AH1998" s="22"/>
      <c r="AI1998" s="22"/>
      <c r="AJ1998" s="22"/>
    </row>
    <row r="1999" spans="1:36" x14ac:dyDescent="0.25">
      <c r="A1999" s="22" t="s">
        <v>4938</v>
      </c>
      <c r="B1999" s="22">
        <v>0</v>
      </c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2"/>
      <c r="T1999" s="22"/>
      <c r="U1999" s="22"/>
      <c r="V1999" s="22"/>
      <c r="W1999" s="22"/>
      <c r="X1999" s="22"/>
      <c r="Y1999" s="22"/>
      <c r="Z1999" s="22"/>
      <c r="AA1999" s="22"/>
      <c r="AB1999" s="22"/>
      <c r="AC1999" s="22"/>
      <c r="AD1999" s="22"/>
      <c r="AE1999" s="22"/>
      <c r="AF1999" s="22"/>
      <c r="AG1999" s="22"/>
      <c r="AH1999" s="22"/>
      <c r="AI1999" s="22"/>
      <c r="AJ1999" s="22"/>
    </row>
    <row r="2000" spans="1:36" x14ac:dyDescent="0.25">
      <c r="A2000" s="22" t="s">
        <v>4939</v>
      </c>
      <c r="B2000" s="22">
        <v>0</v>
      </c>
      <c r="C2000" s="22"/>
      <c r="D2000" s="22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2"/>
      <c r="T2000" s="22"/>
      <c r="U2000" s="22"/>
      <c r="V2000" s="22"/>
      <c r="W2000" s="22"/>
      <c r="X2000" s="22"/>
      <c r="Y2000" s="22"/>
      <c r="Z2000" s="22"/>
      <c r="AA2000" s="22"/>
      <c r="AB2000" s="22"/>
      <c r="AC2000" s="22"/>
      <c r="AD2000" s="22"/>
      <c r="AE2000" s="22"/>
      <c r="AF2000" s="22"/>
      <c r="AG2000" s="22"/>
      <c r="AH2000" s="22"/>
      <c r="AI2000" s="22"/>
      <c r="AJ2000" s="22"/>
    </row>
    <row r="2001" spans="1:36" x14ac:dyDescent="0.25">
      <c r="A2001" s="22" t="s">
        <v>4940</v>
      </c>
      <c r="B2001" s="22">
        <v>0</v>
      </c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2"/>
      <c r="T2001" s="22"/>
      <c r="U2001" s="22"/>
      <c r="V2001" s="22"/>
      <c r="W2001" s="22"/>
      <c r="X2001" s="22"/>
      <c r="Y2001" s="22"/>
      <c r="Z2001" s="22"/>
      <c r="AA2001" s="22"/>
      <c r="AB2001" s="22"/>
      <c r="AC2001" s="22"/>
      <c r="AD2001" s="22"/>
      <c r="AE2001" s="22"/>
      <c r="AF2001" s="22"/>
      <c r="AG2001" s="22"/>
      <c r="AH2001" s="22"/>
      <c r="AI2001" s="22"/>
      <c r="AJ2001" s="22"/>
    </row>
    <row r="2002" spans="1:36" x14ac:dyDescent="0.25">
      <c r="A2002" s="22" t="s">
        <v>4941</v>
      </c>
      <c r="B2002" s="22">
        <v>0</v>
      </c>
      <c r="C2002" s="22"/>
      <c r="D2002" s="22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2"/>
      <c r="T2002" s="22"/>
      <c r="U2002" s="22"/>
      <c r="V2002" s="22"/>
      <c r="W2002" s="22"/>
      <c r="X2002" s="22"/>
      <c r="Y2002" s="22"/>
      <c r="Z2002" s="22"/>
      <c r="AA2002" s="22"/>
      <c r="AB2002" s="22"/>
      <c r="AC2002" s="22"/>
      <c r="AD2002" s="22"/>
      <c r="AE2002" s="22"/>
      <c r="AF2002" s="22"/>
      <c r="AG2002" s="22"/>
      <c r="AH2002" s="22"/>
      <c r="AI2002" s="22"/>
      <c r="AJ2002" s="22"/>
    </row>
    <row r="2003" spans="1:36" x14ac:dyDescent="0.25">
      <c r="A2003" s="22" t="s">
        <v>4942</v>
      </c>
      <c r="B2003" s="22">
        <v>0</v>
      </c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2"/>
      <c r="T2003" s="22"/>
      <c r="U2003" s="22"/>
      <c r="V2003" s="22"/>
      <c r="W2003" s="22"/>
      <c r="X2003" s="22"/>
      <c r="Y2003" s="22"/>
      <c r="Z2003" s="22"/>
      <c r="AA2003" s="22"/>
      <c r="AB2003" s="22"/>
      <c r="AC2003" s="22"/>
      <c r="AD2003" s="22"/>
      <c r="AE2003" s="22"/>
      <c r="AF2003" s="22"/>
      <c r="AG2003" s="22"/>
      <c r="AH2003" s="22"/>
      <c r="AI2003" s="22"/>
      <c r="AJ2003" s="22"/>
    </row>
    <row r="2004" spans="1:36" x14ac:dyDescent="0.25">
      <c r="A2004" s="22" t="s">
        <v>4943</v>
      </c>
      <c r="B2004" s="22">
        <v>0</v>
      </c>
      <c r="C2004" s="22"/>
      <c r="D2004" s="22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2"/>
      <c r="T2004" s="22"/>
      <c r="U2004" s="22"/>
      <c r="V2004" s="22"/>
      <c r="W2004" s="22"/>
      <c r="X2004" s="22"/>
      <c r="Y2004" s="22"/>
      <c r="Z2004" s="22"/>
      <c r="AA2004" s="22"/>
      <c r="AB2004" s="22"/>
      <c r="AC2004" s="22"/>
      <c r="AD2004" s="22"/>
      <c r="AE2004" s="22"/>
      <c r="AF2004" s="22"/>
      <c r="AG2004" s="22"/>
      <c r="AH2004" s="22"/>
      <c r="AI2004" s="22"/>
      <c r="AJ2004" s="22"/>
    </row>
    <row r="2005" spans="1:36" x14ac:dyDescent="0.25">
      <c r="A2005" s="22" t="s">
        <v>4944</v>
      </c>
      <c r="B2005" s="22">
        <v>0</v>
      </c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2"/>
      <c r="T2005" s="22"/>
      <c r="U2005" s="22"/>
      <c r="V2005" s="22"/>
      <c r="W2005" s="22"/>
      <c r="X2005" s="22"/>
      <c r="Y2005" s="22"/>
      <c r="Z2005" s="22"/>
      <c r="AA2005" s="22"/>
      <c r="AB2005" s="22"/>
      <c r="AC2005" s="22"/>
      <c r="AD2005" s="22"/>
      <c r="AE2005" s="22"/>
      <c r="AF2005" s="22"/>
      <c r="AG2005" s="22"/>
      <c r="AH2005" s="22"/>
      <c r="AI2005" s="22"/>
      <c r="AJ2005" s="22"/>
    </row>
    <row r="2006" spans="1:36" x14ac:dyDescent="0.25">
      <c r="A2006" s="22" t="s">
        <v>4945</v>
      </c>
      <c r="B2006" s="22">
        <v>0</v>
      </c>
      <c r="C2006" s="22"/>
      <c r="D2006" s="22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2"/>
      <c r="T2006" s="22"/>
      <c r="U2006" s="22"/>
      <c r="V2006" s="22"/>
      <c r="W2006" s="22"/>
      <c r="X2006" s="22"/>
      <c r="Y2006" s="22"/>
      <c r="Z2006" s="22"/>
      <c r="AA2006" s="22"/>
      <c r="AB2006" s="22"/>
      <c r="AC2006" s="22"/>
      <c r="AD2006" s="22"/>
      <c r="AE2006" s="22"/>
      <c r="AF2006" s="22"/>
      <c r="AG2006" s="22"/>
      <c r="AH2006" s="22"/>
      <c r="AI2006" s="22"/>
      <c r="AJ2006" s="22"/>
    </row>
    <row r="2007" spans="1:36" x14ac:dyDescent="0.25">
      <c r="A2007" s="22" t="s">
        <v>4946</v>
      </c>
      <c r="B2007" s="22">
        <v>0</v>
      </c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2"/>
      <c r="T2007" s="22"/>
      <c r="U2007" s="22"/>
      <c r="V2007" s="22"/>
      <c r="W2007" s="22"/>
      <c r="X2007" s="22"/>
      <c r="Y2007" s="22"/>
      <c r="Z2007" s="22"/>
      <c r="AA2007" s="22"/>
      <c r="AB2007" s="22"/>
      <c r="AC2007" s="22"/>
      <c r="AD2007" s="22"/>
      <c r="AE2007" s="22"/>
      <c r="AF2007" s="22"/>
      <c r="AG2007" s="22"/>
      <c r="AH2007" s="22"/>
      <c r="AI2007" s="22"/>
      <c r="AJ2007" s="22"/>
    </row>
    <row r="2008" spans="1:36" x14ac:dyDescent="0.25">
      <c r="A2008" s="22" t="s">
        <v>4947</v>
      </c>
      <c r="B2008" s="22">
        <v>0</v>
      </c>
      <c r="C2008" s="22"/>
      <c r="D2008" s="22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2"/>
      <c r="T2008" s="22"/>
      <c r="U2008" s="22"/>
      <c r="V2008" s="22"/>
      <c r="W2008" s="22"/>
      <c r="X2008" s="22"/>
      <c r="Y2008" s="22"/>
      <c r="Z2008" s="22"/>
      <c r="AA2008" s="22"/>
      <c r="AB2008" s="22"/>
      <c r="AC2008" s="22"/>
      <c r="AD2008" s="22"/>
      <c r="AE2008" s="22"/>
      <c r="AF2008" s="22"/>
      <c r="AG2008" s="22"/>
      <c r="AH2008" s="22"/>
      <c r="AI2008" s="22"/>
      <c r="AJ2008" s="22"/>
    </row>
    <row r="2009" spans="1:36" x14ac:dyDescent="0.25">
      <c r="A2009" s="22" t="s">
        <v>4948</v>
      </c>
      <c r="B2009" s="22">
        <v>0</v>
      </c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2"/>
      <c r="T2009" s="22"/>
      <c r="U2009" s="22"/>
      <c r="V2009" s="22"/>
      <c r="W2009" s="22"/>
      <c r="X2009" s="22"/>
      <c r="Y2009" s="22"/>
      <c r="Z2009" s="22"/>
      <c r="AA2009" s="22"/>
      <c r="AB2009" s="22"/>
      <c r="AC2009" s="22"/>
      <c r="AD2009" s="22"/>
      <c r="AE2009" s="22"/>
      <c r="AF2009" s="22"/>
      <c r="AG2009" s="22"/>
      <c r="AH2009" s="22"/>
      <c r="AI2009" s="22"/>
      <c r="AJ2009" s="22"/>
    </row>
    <row r="2010" spans="1:36" x14ac:dyDescent="0.25">
      <c r="A2010" s="22" t="s">
        <v>4949</v>
      </c>
      <c r="B2010" s="22">
        <v>0</v>
      </c>
      <c r="C2010" s="22"/>
      <c r="D2010" s="22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2"/>
      <c r="T2010" s="22"/>
      <c r="U2010" s="22"/>
      <c r="V2010" s="22"/>
      <c r="W2010" s="22"/>
      <c r="X2010" s="22"/>
      <c r="Y2010" s="22"/>
      <c r="Z2010" s="22"/>
      <c r="AA2010" s="22"/>
      <c r="AB2010" s="22"/>
      <c r="AC2010" s="22"/>
      <c r="AD2010" s="22"/>
      <c r="AE2010" s="22"/>
      <c r="AF2010" s="22"/>
      <c r="AG2010" s="22"/>
      <c r="AH2010" s="22"/>
      <c r="AI2010" s="22"/>
      <c r="AJ2010" s="22"/>
    </row>
    <row r="2011" spans="1:36" x14ac:dyDescent="0.25">
      <c r="A2011" s="22" t="s">
        <v>4950</v>
      </c>
      <c r="B2011" s="22">
        <v>0</v>
      </c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2"/>
      <c r="T2011" s="22"/>
      <c r="U2011" s="22"/>
      <c r="V2011" s="22"/>
      <c r="W2011" s="22"/>
      <c r="X2011" s="22"/>
      <c r="Y2011" s="22"/>
      <c r="Z2011" s="22"/>
      <c r="AA2011" s="22"/>
      <c r="AB2011" s="22"/>
      <c r="AC2011" s="22"/>
      <c r="AD2011" s="22"/>
      <c r="AE2011" s="22"/>
      <c r="AF2011" s="22"/>
      <c r="AG2011" s="22"/>
      <c r="AH2011" s="22"/>
      <c r="AI2011" s="22"/>
      <c r="AJ2011" s="22"/>
    </row>
    <row r="2012" spans="1:36" x14ac:dyDescent="0.25">
      <c r="A2012" s="22" t="s">
        <v>4951</v>
      </c>
      <c r="B2012" s="22">
        <v>0</v>
      </c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2"/>
      <c r="T2012" s="22"/>
      <c r="U2012" s="22"/>
      <c r="V2012" s="22"/>
      <c r="W2012" s="22"/>
      <c r="X2012" s="22"/>
      <c r="Y2012" s="22"/>
      <c r="Z2012" s="22"/>
      <c r="AA2012" s="22"/>
      <c r="AB2012" s="22"/>
      <c r="AC2012" s="22"/>
      <c r="AD2012" s="22"/>
      <c r="AE2012" s="22"/>
      <c r="AF2012" s="22"/>
      <c r="AG2012" s="22"/>
      <c r="AH2012" s="22"/>
      <c r="AI2012" s="22"/>
      <c r="AJ2012" s="22"/>
    </row>
    <row r="2013" spans="1:36" x14ac:dyDescent="0.25">
      <c r="A2013" s="22" t="s">
        <v>4952</v>
      </c>
      <c r="B2013" s="22">
        <v>0</v>
      </c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2"/>
      <c r="T2013" s="22"/>
      <c r="U2013" s="22"/>
      <c r="V2013" s="22"/>
      <c r="W2013" s="22"/>
      <c r="X2013" s="22"/>
      <c r="Y2013" s="22"/>
      <c r="Z2013" s="22"/>
      <c r="AA2013" s="22"/>
      <c r="AB2013" s="22"/>
      <c r="AC2013" s="22"/>
      <c r="AD2013" s="22"/>
      <c r="AE2013" s="22"/>
      <c r="AF2013" s="22"/>
      <c r="AG2013" s="22"/>
      <c r="AH2013" s="22"/>
      <c r="AI2013" s="22"/>
      <c r="AJ2013" s="22"/>
    </row>
    <row r="2014" spans="1:36" x14ac:dyDescent="0.25">
      <c r="A2014" s="22" t="s">
        <v>4953</v>
      </c>
      <c r="B2014" s="22">
        <v>0</v>
      </c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2"/>
      <c r="T2014" s="22"/>
      <c r="U2014" s="22"/>
      <c r="V2014" s="22"/>
      <c r="W2014" s="22"/>
      <c r="X2014" s="22"/>
      <c r="Y2014" s="22"/>
      <c r="Z2014" s="22"/>
      <c r="AA2014" s="22"/>
      <c r="AB2014" s="22"/>
      <c r="AC2014" s="22"/>
      <c r="AD2014" s="22"/>
      <c r="AE2014" s="22"/>
      <c r="AF2014" s="22"/>
      <c r="AG2014" s="22"/>
      <c r="AH2014" s="22"/>
      <c r="AI2014" s="22"/>
      <c r="AJ2014" s="22"/>
    </row>
    <row r="2015" spans="1:36" x14ac:dyDescent="0.25">
      <c r="A2015" s="22" t="s">
        <v>4954</v>
      </c>
      <c r="B2015" s="22">
        <v>0</v>
      </c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2"/>
      <c r="T2015" s="22"/>
      <c r="U2015" s="22"/>
      <c r="V2015" s="22"/>
      <c r="W2015" s="22"/>
      <c r="X2015" s="22"/>
      <c r="Y2015" s="22"/>
      <c r="Z2015" s="22"/>
      <c r="AA2015" s="22"/>
      <c r="AB2015" s="22"/>
      <c r="AC2015" s="22"/>
      <c r="AD2015" s="22"/>
      <c r="AE2015" s="22"/>
      <c r="AF2015" s="22"/>
      <c r="AG2015" s="22"/>
      <c r="AH2015" s="22"/>
      <c r="AI2015" s="22"/>
      <c r="AJ2015" s="22"/>
    </row>
    <row r="2016" spans="1:36" x14ac:dyDescent="0.25">
      <c r="A2016" s="22" t="s">
        <v>4955</v>
      </c>
      <c r="B2016" s="22">
        <v>0</v>
      </c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2"/>
      <c r="T2016" s="22"/>
      <c r="U2016" s="22"/>
      <c r="V2016" s="22"/>
      <c r="W2016" s="22"/>
      <c r="X2016" s="22"/>
      <c r="Y2016" s="22"/>
      <c r="Z2016" s="22"/>
      <c r="AA2016" s="22"/>
      <c r="AB2016" s="22"/>
      <c r="AC2016" s="22"/>
      <c r="AD2016" s="22"/>
      <c r="AE2016" s="22"/>
      <c r="AF2016" s="22"/>
      <c r="AG2016" s="22"/>
      <c r="AH2016" s="22"/>
      <c r="AI2016" s="22"/>
      <c r="AJ2016" s="22"/>
    </row>
    <row r="2017" spans="1:36" x14ac:dyDescent="0.25">
      <c r="A2017" s="22" t="s">
        <v>4956</v>
      </c>
      <c r="B2017" s="22">
        <v>0</v>
      </c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2"/>
      <c r="T2017" s="22"/>
      <c r="U2017" s="22"/>
      <c r="V2017" s="22"/>
      <c r="W2017" s="22"/>
      <c r="X2017" s="22"/>
      <c r="Y2017" s="22"/>
      <c r="Z2017" s="22"/>
      <c r="AA2017" s="22"/>
      <c r="AB2017" s="22"/>
      <c r="AC2017" s="22"/>
      <c r="AD2017" s="22"/>
      <c r="AE2017" s="22"/>
      <c r="AF2017" s="22"/>
      <c r="AG2017" s="22"/>
      <c r="AH2017" s="22"/>
      <c r="AI2017" s="22"/>
      <c r="AJ2017" s="22"/>
    </row>
    <row r="2018" spans="1:36" x14ac:dyDescent="0.25">
      <c r="A2018" s="22" t="s">
        <v>4957</v>
      </c>
      <c r="B2018" s="22">
        <v>0</v>
      </c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2"/>
      <c r="T2018" s="22"/>
      <c r="U2018" s="22"/>
      <c r="V2018" s="22"/>
      <c r="W2018" s="22"/>
      <c r="X2018" s="22"/>
      <c r="Y2018" s="22"/>
      <c r="Z2018" s="22"/>
      <c r="AA2018" s="22"/>
      <c r="AB2018" s="22"/>
      <c r="AC2018" s="22"/>
      <c r="AD2018" s="22"/>
      <c r="AE2018" s="22"/>
      <c r="AF2018" s="22"/>
      <c r="AG2018" s="22"/>
      <c r="AH2018" s="22"/>
      <c r="AI2018" s="22"/>
      <c r="AJ2018" s="22"/>
    </row>
    <row r="2019" spans="1:36" x14ac:dyDescent="0.25">
      <c r="A2019" s="22" t="s">
        <v>4958</v>
      </c>
      <c r="B2019" s="22">
        <v>0</v>
      </c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2"/>
      <c r="T2019" s="22"/>
      <c r="U2019" s="22"/>
      <c r="V2019" s="22"/>
      <c r="W2019" s="22"/>
      <c r="X2019" s="22"/>
      <c r="Y2019" s="22"/>
      <c r="Z2019" s="22"/>
      <c r="AA2019" s="22"/>
      <c r="AB2019" s="22"/>
      <c r="AC2019" s="22"/>
      <c r="AD2019" s="22"/>
      <c r="AE2019" s="22"/>
      <c r="AF2019" s="22"/>
      <c r="AG2019" s="22"/>
      <c r="AH2019" s="22"/>
      <c r="AI2019" s="22"/>
      <c r="AJ2019" s="22"/>
    </row>
    <row r="2020" spans="1:36" x14ac:dyDescent="0.25">
      <c r="A2020" s="22" t="s">
        <v>4959</v>
      </c>
      <c r="B2020" s="22">
        <v>0</v>
      </c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2"/>
      <c r="T2020" s="22"/>
      <c r="U2020" s="22"/>
      <c r="V2020" s="22"/>
      <c r="W2020" s="22"/>
      <c r="X2020" s="22"/>
      <c r="Y2020" s="22"/>
      <c r="Z2020" s="22"/>
      <c r="AA2020" s="22"/>
      <c r="AB2020" s="22"/>
      <c r="AC2020" s="22"/>
      <c r="AD2020" s="22"/>
      <c r="AE2020" s="22"/>
      <c r="AF2020" s="22"/>
      <c r="AG2020" s="22"/>
      <c r="AH2020" s="22"/>
      <c r="AI2020" s="22"/>
      <c r="AJ2020" s="22"/>
    </row>
    <row r="2021" spans="1:36" x14ac:dyDescent="0.25">
      <c r="A2021" s="22" t="s">
        <v>4960</v>
      </c>
      <c r="B2021" s="22">
        <v>0</v>
      </c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2"/>
      <c r="T2021" s="22"/>
      <c r="U2021" s="22"/>
      <c r="V2021" s="22"/>
      <c r="W2021" s="22"/>
      <c r="X2021" s="22"/>
      <c r="Y2021" s="22"/>
      <c r="Z2021" s="22"/>
      <c r="AA2021" s="22"/>
      <c r="AB2021" s="22"/>
      <c r="AC2021" s="22"/>
      <c r="AD2021" s="22"/>
      <c r="AE2021" s="22"/>
      <c r="AF2021" s="22"/>
      <c r="AG2021" s="22"/>
      <c r="AH2021" s="22"/>
      <c r="AI2021" s="22"/>
      <c r="AJ2021" s="22"/>
    </row>
    <row r="2022" spans="1:36" x14ac:dyDescent="0.25">
      <c r="A2022" s="22" t="s">
        <v>4961</v>
      </c>
      <c r="B2022" s="22">
        <v>0</v>
      </c>
      <c r="C2022" s="22"/>
      <c r="D2022" s="22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2"/>
      <c r="T2022" s="22"/>
      <c r="U2022" s="22"/>
      <c r="V2022" s="22"/>
      <c r="W2022" s="22"/>
      <c r="X2022" s="22"/>
      <c r="Y2022" s="22"/>
      <c r="Z2022" s="22"/>
      <c r="AA2022" s="22"/>
      <c r="AB2022" s="22"/>
      <c r="AC2022" s="22"/>
      <c r="AD2022" s="22"/>
      <c r="AE2022" s="22"/>
      <c r="AF2022" s="22"/>
      <c r="AG2022" s="22"/>
      <c r="AH2022" s="22"/>
      <c r="AI2022" s="22"/>
      <c r="AJ2022" s="22"/>
    </row>
    <row r="2023" spans="1:36" x14ac:dyDescent="0.25">
      <c r="A2023" s="22" t="s">
        <v>4962</v>
      </c>
      <c r="B2023" s="22">
        <v>0</v>
      </c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2"/>
      <c r="T2023" s="22"/>
      <c r="U2023" s="22"/>
      <c r="V2023" s="22"/>
      <c r="W2023" s="22"/>
      <c r="X2023" s="22"/>
      <c r="Y2023" s="22"/>
      <c r="Z2023" s="22"/>
      <c r="AA2023" s="22"/>
      <c r="AB2023" s="22"/>
      <c r="AC2023" s="22"/>
      <c r="AD2023" s="22"/>
      <c r="AE2023" s="22"/>
      <c r="AF2023" s="22"/>
      <c r="AG2023" s="22"/>
      <c r="AH2023" s="22"/>
      <c r="AI2023" s="22"/>
      <c r="AJ2023" s="22"/>
    </row>
    <row r="2024" spans="1:36" x14ac:dyDescent="0.25">
      <c r="A2024" s="22" t="s">
        <v>4963</v>
      </c>
      <c r="B2024" s="22">
        <v>0</v>
      </c>
      <c r="C2024" s="22"/>
      <c r="D2024" s="22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2"/>
      <c r="T2024" s="22"/>
      <c r="U2024" s="22"/>
      <c r="V2024" s="22"/>
      <c r="W2024" s="22"/>
      <c r="X2024" s="22"/>
      <c r="Y2024" s="22"/>
      <c r="Z2024" s="22"/>
      <c r="AA2024" s="22"/>
      <c r="AB2024" s="22"/>
      <c r="AC2024" s="22"/>
      <c r="AD2024" s="22"/>
      <c r="AE2024" s="22"/>
      <c r="AF2024" s="22"/>
      <c r="AG2024" s="22"/>
      <c r="AH2024" s="22"/>
      <c r="AI2024" s="22"/>
      <c r="AJ2024" s="22"/>
    </row>
    <row r="2025" spans="1:36" x14ac:dyDescent="0.25">
      <c r="A2025" s="22" t="s">
        <v>4964</v>
      </c>
      <c r="B2025" s="22">
        <v>0</v>
      </c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2"/>
      <c r="T2025" s="22"/>
      <c r="U2025" s="22"/>
      <c r="V2025" s="22"/>
      <c r="W2025" s="22"/>
      <c r="X2025" s="22"/>
      <c r="Y2025" s="22"/>
      <c r="Z2025" s="22"/>
      <c r="AA2025" s="22"/>
      <c r="AB2025" s="22"/>
      <c r="AC2025" s="22"/>
      <c r="AD2025" s="22"/>
      <c r="AE2025" s="22"/>
      <c r="AF2025" s="22"/>
      <c r="AG2025" s="22"/>
      <c r="AH2025" s="22"/>
      <c r="AI2025" s="22"/>
      <c r="AJ2025" s="22"/>
    </row>
    <row r="2026" spans="1:36" x14ac:dyDescent="0.25">
      <c r="A2026" s="22" t="s">
        <v>4965</v>
      </c>
      <c r="B2026" s="22">
        <v>0</v>
      </c>
      <c r="C2026" s="22"/>
      <c r="D2026" s="22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2"/>
      <c r="T2026" s="22"/>
      <c r="U2026" s="22"/>
      <c r="V2026" s="22"/>
      <c r="W2026" s="22"/>
      <c r="X2026" s="22"/>
      <c r="Y2026" s="22"/>
      <c r="Z2026" s="22"/>
      <c r="AA2026" s="22"/>
      <c r="AB2026" s="22"/>
      <c r="AC2026" s="22"/>
      <c r="AD2026" s="22"/>
      <c r="AE2026" s="22"/>
      <c r="AF2026" s="22"/>
      <c r="AG2026" s="22"/>
      <c r="AH2026" s="22"/>
      <c r="AI2026" s="22"/>
      <c r="AJ2026" s="22"/>
    </row>
    <row r="2027" spans="1:36" x14ac:dyDescent="0.25">
      <c r="A2027" s="22" t="s">
        <v>4966</v>
      </c>
      <c r="B2027" s="22">
        <v>0</v>
      </c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2"/>
      <c r="T2027" s="22"/>
      <c r="U2027" s="22"/>
      <c r="V2027" s="22"/>
      <c r="W2027" s="22"/>
      <c r="X2027" s="22"/>
      <c r="Y2027" s="22"/>
      <c r="Z2027" s="22"/>
      <c r="AA2027" s="22"/>
      <c r="AB2027" s="22"/>
      <c r="AC2027" s="22"/>
      <c r="AD2027" s="22"/>
      <c r="AE2027" s="22"/>
      <c r="AF2027" s="22"/>
      <c r="AG2027" s="22"/>
      <c r="AH2027" s="22"/>
      <c r="AI2027" s="22"/>
      <c r="AJ2027" s="22"/>
    </row>
    <row r="2028" spans="1:36" x14ac:dyDescent="0.25">
      <c r="A2028" s="22" t="s">
        <v>4967</v>
      </c>
      <c r="B2028" s="22">
        <v>0</v>
      </c>
      <c r="C2028" s="22"/>
      <c r="D2028" s="22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2"/>
      <c r="T2028" s="22"/>
      <c r="U2028" s="22"/>
      <c r="V2028" s="22"/>
      <c r="W2028" s="22"/>
      <c r="X2028" s="22"/>
      <c r="Y2028" s="22"/>
      <c r="Z2028" s="22"/>
      <c r="AA2028" s="22"/>
      <c r="AB2028" s="22"/>
      <c r="AC2028" s="22"/>
      <c r="AD2028" s="22"/>
      <c r="AE2028" s="22"/>
      <c r="AF2028" s="22"/>
      <c r="AG2028" s="22"/>
      <c r="AH2028" s="22"/>
      <c r="AI2028" s="22"/>
      <c r="AJ2028" s="22"/>
    </row>
    <row r="2029" spans="1:36" x14ac:dyDescent="0.25">
      <c r="A2029" s="22" t="s">
        <v>4968</v>
      </c>
      <c r="B2029" s="22">
        <v>0</v>
      </c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2"/>
      <c r="T2029" s="22"/>
      <c r="U2029" s="22"/>
      <c r="V2029" s="22"/>
      <c r="W2029" s="22"/>
      <c r="X2029" s="22"/>
      <c r="Y2029" s="22"/>
      <c r="Z2029" s="22"/>
      <c r="AA2029" s="22"/>
      <c r="AB2029" s="22"/>
      <c r="AC2029" s="22"/>
      <c r="AD2029" s="22"/>
      <c r="AE2029" s="22"/>
      <c r="AF2029" s="22"/>
      <c r="AG2029" s="22"/>
      <c r="AH2029" s="22"/>
      <c r="AI2029" s="22"/>
      <c r="AJ2029" s="22"/>
    </row>
    <row r="2030" spans="1:36" x14ac:dyDescent="0.25">
      <c r="A2030" s="22" t="s">
        <v>4969</v>
      </c>
      <c r="B2030" s="22">
        <v>1</v>
      </c>
      <c r="C2030" s="22"/>
      <c r="D2030" s="22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2"/>
      <c r="T2030" s="22"/>
      <c r="U2030" s="22"/>
      <c r="V2030" s="22"/>
      <c r="W2030" s="22"/>
      <c r="X2030" s="22"/>
      <c r="Y2030" s="22"/>
      <c r="Z2030" s="22"/>
      <c r="AA2030" s="22"/>
      <c r="AB2030" s="22"/>
      <c r="AC2030" s="22"/>
      <c r="AD2030" s="22"/>
      <c r="AE2030" s="22"/>
      <c r="AF2030" s="22"/>
      <c r="AG2030" s="22"/>
      <c r="AH2030" s="22"/>
      <c r="AI2030" s="22"/>
      <c r="AJ2030" s="22"/>
    </row>
    <row r="2031" spans="1:36" x14ac:dyDescent="0.25">
      <c r="A2031" s="22" t="s">
        <v>4970</v>
      </c>
      <c r="B2031" s="22">
        <v>0</v>
      </c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2"/>
      <c r="T2031" s="22"/>
      <c r="U2031" s="22"/>
      <c r="V2031" s="22"/>
      <c r="W2031" s="22"/>
      <c r="X2031" s="22"/>
      <c r="Y2031" s="22"/>
      <c r="Z2031" s="22"/>
      <c r="AA2031" s="22"/>
      <c r="AB2031" s="22"/>
      <c r="AC2031" s="22"/>
      <c r="AD2031" s="22"/>
      <c r="AE2031" s="22"/>
      <c r="AF2031" s="22"/>
      <c r="AG2031" s="22"/>
      <c r="AH2031" s="22"/>
      <c r="AI2031" s="22"/>
      <c r="AJ2031" s="22"/>
    </row>
    <row r="2032" spans="1:36" x14ac:dyDescent="0.25">
      <c r="A2032" s="22" t="s">
        <v>4971</v>
      </c>
      <c r="B2032" s="22">
        <v>0</v>
      </c>
      <c r="C2032" s="22"/>
      <c r="D2032" s="22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2"/>
      <c r="T2032" s="22"/>
      <c r="U2032" s="22"/>
      <c r="V2032" s="22"/>
      <c r="W2032" s="22"/>
      <c r="X2032" s="22"/>
      <c r="Y2032" s="22"/>
      <c r="Z2032" s="22"/>
      <c r="AA2032" s="22"/>
      <c r="AB2032" s="22"/>
      <c r="AC2032" s="22"/>
      <c r="AD2032" s="22"/>
      <c r="AE2032" s="22"/>
      <c r="AF2032" s="22"/>
      <c r="AG2032" s="22"/>
      <c r="AH2032" s="22"/>
      <c r="AI2032" s="22"/>
      <c r="AJ2032" s="22"/>
    </row>
    <row r="2033" spans="1:36" x14ac:dyDescent="0.25">
      <c r="A2033" s="22" t="s">
        <v>4972</v>
      </c>
      <c r="B2033" s="22">
        <v>0</v>
      </c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2"/>
      <c r="T2033" s="22"/>
      <c r="U2033" s="22"/>
      <c r="V2033" s="22"/>
      <c r="W2033" s="22"/>
      <c r="X2033" s="22"/>
      <c r="Y2033" s="22"/>
      <c r="Z2033" s="22"/>
      <c r="AA2033" s="22"/>
      <c r="AB2033" s="22"/>
      <c r="AC2033" s="22"/>
      <c r="AD2033" s="22"/>
      <c r="AE2033" s="22"/>
      <c r="AF2033" s="22"/>
      <c r="AG2033" s="22"/>
      <c r="AH2033" s="22"/>
      <c r="AI2033" s="22"/>
      <c r="AJ2033" s="22"/>
    </row>
    <row r="2034" spans="1:36" x14ac:dyDescent="0.25">
      <c r="A2034" s="22" t="s">
        <v>4973</v>
      </c>
      <c r="B2034" s="22">
        <v>0</v>
      </c>
      <c r="C2034" s="22"/>
      <c r="D2034" s="22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2"/>
      <c r="T2034" s="22"/>
      <c r="U2034" s="22"/>
      <c r="V2034" s="22"/>
      <c r="W2034" s="22"/>
      <c r="X2034" s="22"/>
      <c r="Y2034" s="22"/>
      <c r="Z2034" s="22"/>
      <c r="AA2034" s="22"/>
      <c r="AB2034" s="22"/>
      <c r="AC2034" s="22"/>
      <c r="AD2034" s="22"/>
      <c r="AE2034" s="22"/>
      <c r="AF2034" s="22"/>
      <c r="AG2034" s="22"/>
      <c r="AH2034" s="22"/>
      <c r="AI2034" s="22"/>
      <c r="AJ2034" s="22"/>
    </row>
    <row r="2035" spans="1:36" x14ac:dyDescent="0.25">
      <c r="A2035" s="22" t="s">
        <v>4974</v>
      </c>
      <c r="B2035" s="22">
        <v>0</v>
      </c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2"/>
      <c r="T2035" s="22"/>
      <c r="U2035" s="22"/>
      <c r="V2035" s="22"/>
      <c r="W2035" s="22"/>
      <c r="X2035" s="22"/>
      <c r="Y2035" s="22"/>
      <c r="Z2035" s="22"/>
      <c r="AA2035" s="22"/>
      <c r="AB2035" s="22"/>
      <c r="AC2035" s="22"/>
      <c r="AD2035" s="22"/>
      <c r="AE2035" s="22"/>
      <c r="AF2035" s="22"/>
      <c r="AG2035" s="22"/>
      <c r="AH2035" s="22"/>
      <c r="AI2035" s="22"/>
      <c r="AJ2035" s="22"/>
    </row>
    <row r="2036" spans="1:36" x14ac:dyDescent="0.25">
      <c r="A2036" s="22" t="s">
        <v>4975</v>
      </c>
      <c r="B2036" s="22">
        <v>0</v>
      </c>
      <c r="C2036" s="22"/>
      <c r="D2036" s="22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2"/>
      <c r="T2036" s="22"/>
      <c r="U2036" s="22"/>
      <c r="V2036" s="22"/>
      <c r="W2036" s="22"/>
      <c r="X2036" s="22"/>
      <c r="Y2036" s="22"/>
      <c r="Z2036" s="22"/>
      <c r="AA2036" s="22"/>
      <c r="AB2036" s="22"/>
      <c r="AC2036" s="22"/>
      <c r="AD2036" s="22"/>
      <c r="AE2036" s="22"/>
      <c r="AF2036" s="22"/>
      <c r="AG2036" s="22"/>
      <c r="AH2036" s="22"/>
      <c r="AI2036" s="22"/>
      <c r="AJ2036" s="22"/>
    </row>
    <row r="2037" spans="1:36" x14ac:dyDescent="0.25">
      <c r="A2037" s="22" t="s">
        <v>4976</v>
      </c>
      <c r="B2037" s="22">
        <v>0</v>
      </c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2"/>
      <c r="T2037" s="22"/>
      <c r="U2037" s="22"/>
      <c r="V2037" s="22"/>
      <c r="W2037" s="22"/>
      <c r="X2037" s="22"/>
      <c r="Y2037" s="22"/>
      <c r="Z2037" s="22"/>
      <c r="AA2037" s="22"/>
      <c r="AB2037" s="22"/>
      <c r="AC2037" s="22"/>
      <c r="AD2037" s="22"/>
      <c r="AE2037" s="22"/>
      <c r="AF2037" s="22"/>
      <c r="AG2037" s="22"/>
      <c r="AH2037" s="22"/>
      <c r="AI2037" s="22"/>
      <c r="AJ2037" s="22"/>
    </row>
    <row r="2038" spans="1:36" x14ac:dyDescent="0.25">
      <c r="A2038" s="22" t="s">
        <v>4977</v>
      </c>
      <c r="B2038" s="22">
        <v>0</v>
      </c>
      <c r="C2038" s="22"/>
      <c r="D2038" s="22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2"/>
      <c r="T2038" s="22"/>
      <c r="U2038" s="22"/>
      <c r="V2038" s="22"/>
      <c r="W2038" s="22"/>
      <c r="X2038" s="22"/>
      <c r="Y2038" s="22"/>
      <c r="Z2038" s="22"/>
      <c r="AA2038" s="22"/>
      <c r="AB2038" s="22"/>
      <c r="AC2038" s="22"/>
      <c r="AD2038" s="22"/>
      <c r="AE2038" s="22"/>
      <c r="AF2038" s="22"/>
      <c r="AG2038" s="22"/>
      <c r="AH2038" s="22"/>
      <c r="AI2038" s="22"/>
      <c r="AJ2038" s="22"/>
    </row>
    <row r="2039" spans="1:36" x14ac:dyDescent="0.25">
      <c r="A2039" s="22" t="s">
        <v>4978</v>
      </c>
      <c r="B2039" s="22">
        <v>0</v>
      </c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2"/>
      <c r="T2039" s="22"/>
      <c r="U2039" s="22"/>
      <c r="V2039" s="22"/>
      <c r="W2039" s="22"/>
      <c r="X2039" s="22"/>
      <c r="Y2039" s="22"/>
      <c r="Z2039" s="22"/>
      <c r="AA2039" s="22"/>
      <c r="AB2039" s="22"/>
      <c r="AC2039" s="22"/>
      <c r="AD2039" s="22"/>
      <c r="AE2039" s="22"/>
      <c r="AF2039" s="22"/>
      <c r="AG2039" s="22"/>
      <c r="AH2039" s="22"/>
      <c r="AI2039" s="22"/>
      <c r="AJ2039" s="22"/>
    </row>
    <row r="2040" spans="1:36" x14ac:dyDescent="0.25">
      <c r="A2040" s="22" t="s">
        <v>4979</v>
      </c>
      <c r="B2040" s="22">
        <v>0</v>
      </c>
      <c r="C2040" s="22"/>
      <c r="D2040" s="22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2"/>
      <c r="T2040" s="22"/>
      <c r="U2040" s="22"/>
      <c r="V2040" s="22"/>
      <c r="W2040" s="22"/>
      <c r="X2040" s="22"/>
      <c r="Y2040" s="22"/>
      <c r="Z2040" s="22"/>
      <c r="AA2040" s="22"/>
      <c r="AB2040" s="22"/>
      <c r="AC2040" s="22"/>
      <c r="AD2040" s="22"/>
      <c r="AE2040" s="22"/>
      <c r="AF2040" s="22"/>
      <c r="AG2040" s="22"/>
      <c r="AH2040" s="22"/>
      <c r="AI2040" s="22"/>
      <c r="AJ2040" s="22"/>
    </row>
    <row r="2041" spans="1:36" x14ac:dyDescent="0.25">
      <c r="A2041" s="22" t="s">
        <v>4980</v>
      </c>
      <c r="B2041" s="22">
        <v>0</v>
      </c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2"/>
      <c r="T2041" s="22"/>
      <c r="U2041" s="22"/>
      <c r="V2041" s="22"/>
      <c r="W2041" s="22"/>
      <c r="X2041" s="22"/>
      <c r="Y2041" s="22"/>
      <c r="Z2041" s="22"/>
      <c r="AA2041" s="22"/>
      <c r="AB2041" s="22"/>
      <c r="AC2041" s="22"/>
      <c r="AD2041" s="22"/>
      <c r="AE2041" s="22"/>
      <c r="AF2041" s="22"/>
      <c r="AG2041" s="22"/>
      <c r="AH2041" s="22"/>
      <c r="AI2041" s="22"/>
      <c r="AJ2041" s="22"/>
    </row>
    <row r="2042" spans="1:36" x14ac:dyDescent="0.25">
      <c r="A2042" s="22" t="s">
        <v>4981</v>
      </c>
      <c r="B2042" s="22">
        <v>0</v>
      </c>
      <c r="C2042" s="22"/>
      <c r="D2042" s="22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2"/>
      <c r="T2042" s="22"/>
      <c r="U2042" s="22"/>
      <c r="V2042" s="22"/>
      <c r="W2042" s="22"/>
      <c r="X2042" s="22"/>
      <c r="Y2042" s="22"/>
      <c r="Z2042" s="22"/>
      <c r="AA2042" s="22"/>
      <c r="AB2042" s="22"/>
      <c r="AC2042" s="22"/>
      <c r="AD2042" s="22"/>
      <c r="AE2042" s="22"/>
      <c r="AF2042" s="22"/>
      <c r="AG2042" s="22"/>
      <c r="AH2042" s="22"/>
      <c r="AI2042" s="22"/>
      <c r="AJ2042" s="22"/>
    </row>
    <row r="2043" spans="1:36" x14ac:dyDescent="0.25">
      <c r="A2043" s="22" t="s">
        <v>4982</v>
      </c>
      <c r="B2043" s="22">
        <v>0</v>
      </c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2"/>
      <c r="T2043" s="22"/>
      <c r="U2043" s="22"/>
      <c r="V2043" s="22"/>
      <c r="W2043" s="22"/>
      <c r="X2043" s="22"/>
      <c r="Y2043" s="22"/>
      <c r="Z2043" s="22"/>
      <c r="AA2043" s="22"/>
      <c r="AB2043" s="22"/>
      <c r="AC2043" s="22"/>
      <c r="AD2043" s="22"/>
      <c r="AE2043" s="22"/>
      <c r="AF2043" s="22"/>
      <c r="AG2043" s="22"/>
      <c r="AH2043" s="22"/>
      <c r="AI2043" s="22"/>
      <c r="AJ2043" s="22"/>
    </row>
    <row r="2044" spans="1:36" x14ac:dyDescent="0.25">
      <c r="A2044" s="22" t="s">
        <v>4983</v>
      </c>
      <c r="B2044" s="22">
        <v>0</v>
      </c>
      <c r="C2044" s="22"/>
      <c r="D2044" s="22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2"/>
      <c r="T2044" s="22"/>
      <c r="U2044" s="22"/>
      <c r="V2044" s="22"/>
      <c r="W2044" s="22"/>
      <c r="X2044" s="22"/>
      <c r="Y2044" s="22"/>
      <c r="Z2044" s="22"/>
      <c r="AA2044" s="22"/>
      <c r="AB2044" s="22"/>
      <c r="AC2044" s="22"/>
      <c r="AD2044" s="22"/>
      <c r="AE2044" s="22"/>
      <c r="AF2044" s="22"/>
      <c r="AG2044" s="22"/>
      <c r="AH2044" s="22"/>
      <c r="AI2044" s="22"/>
      <c r="AJ2044" s="22"/>
    </row>
    <row r="2045" spans="1:36" x14ac:dyDescent="0.25">
      <c r="A2045" s="22" t="s">
        <v>4984</v>
      </c>
      <c r="B2045" s="22">
        <v>0</v>
      </c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2"/>
      <c r="T2045" s="22"/>
      <c r="U2045" s="22"/>
      <c r="V2045" s="22"/>
      <c r="W2045" s="22"/>
      <c r="X2045" s="22"/>
      <c r="Y2045" s="22"/>
      <c r="Z2045" s="22"/>
      <c r="AA2045" s="22"/>
      <c r="AB2045" s="22"/>
      <c r="AC2045" s="22"/>
      <c r="AD2045" s="22"/>
      <c r="AE2045" s="22"/>
      <c r="AF2045" s="22"/>
      <c r="AG2045" s="22"/>
      <c r="AH2045" s="22"/>
      <c r="AI2045" s="22"/>
      <c r="AJ2045" s="22"/>
    </row>
    <row r="2046" spans="1:36" x14ac:dyDescent="0.25">
      <c r="A2046" s="22" t="s">
        <v>4985</v>
      </c>
      <c r="B2046" s="22">
        <v>0</v>
      </c>
      <c r="C2046" s="22"/>
      <c r="D2046" s="22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2"/>
      <c r="T2046" s="22"/>
      <c r="U2046" s="22"/>
      <c r="V2046" s="22"/>
      <c r="W2046" s="22"/>
      <c r="X2046" s="22"/>
      <c r="Y2046" s="22"/>
      <c r="Z2046" s="22"/>
      <c r="AA2046" s="22"/>
      <c r="AB2046" s="22"/>
      <c r="AC2046" s="22"/>
      <c r="AD2046" s="22"/>
      <c r="AE2046" s="22"/>
      <c r="AF2046" s="22"/>
      <c r="AG2046" s="22"/>
      <c r="AH2046" s="22"/>
      <c r="AI2046" s="22"/>
      <c r="AJ2046" s="22"/>
    </row>
    <row r="2047" spans="1:36" x14ac:dyDescent="0.25">
      <c r="A2047" s="22" t="s">
        <v>4986</v>
      </c>
      <c r="B2047" s="22">
        <v>0</v>
      </c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2"/>
      <c r="T2047" s="22"/>
      <c r="U2047" s="22"/>
      <c r="V2047" s="22"/>
      <c r="W2047" s="22"/>
      <c r="X2047" s="22"/>
      <c r="Y2047" s="22"/>
      <c r="Z2047" s="22"/>
      <c r="AA2047" s="22"/>
      <c r="AB2047" s="22"/>
      <c r="AC2047" s="22"/>
      <c r="AD2047" s="22"/>
      <c r="AE2047" s="22"/>
      <c r="AF2047" s="22"/>
      <c r="AG2047" s="22"/>
      <c r="AH2047" s="22"/>
      <c r="AI2047" s="22"/>
      <c r="AJ2047" s="22"/>
    </row>
    <row r="2048" spans="1:36" x14ac:dyDescent="0.25">
      <c r="A2048" s="22" t="s">
        <v>4987</v>
      </c>
      <c r="B2048" s="22">
        <v>0</v>
      </c>
      <c r="C2048" s="22"/>
      <c r="D2048" s="22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2"/>
      <c r="T2048" s="22"/>
      <c r="U2048" s="22"/>
      <c r="V2048" s="22"/>
      <c r="W2048" s="22"/>
      <c r="X2048" s="22"/>
      <c r="Y2048" s="22"/>
      <c r="Z2048" s="22"/>
      <c r="AA2048" s="22"/>
      <c r="AB2048" s="22"/>
      <c r="AC2048" s="22"/>
      <c r="AD2048" s="22"/>
      <c r="AE2048" s="22"/>
      <c r="AF2048" s="22"/>
      <c r="AG2048" s="22"/>
      <c r="AH2048" s="22"/>
      <c r="AI2048" s="22"/>
      <c r="AJ2048" s="22"/>
    </row>
    <row r="2049" spans="1:36" x14ac:dyDescent="0.25">
      <c r="A2049" s="22" t="s">
        <v>4988</v>
      </c>
      <c r="B2049" s="22">
        <v>0</v>
      </c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2"/>
      <c r="T2049" s="22"/>
      <c r="U2049" s="22"/>
      <c r="V2049" s="22"/>
      <c r="W2049" s="22"/>
      <c r="X2049" s="22"/>
      <c r="Y2049" s="22"/>
      <c r="Z2049" s="22"/>
      <c r="AA2049" s="22"/>
      <c r="AB2049" s="22"/>
      <c r="AC2049" s="22"/>
      <c r="AD2049" s="22"/>
      <c r="AE2049" s="22"/>
      <c r="AF2049" s="22"/>
      <c r="AG2049" s="22"/>
      <c r="AH2049" s="22"/>
      <c r="AI2049" s="22"/>
      <c r="AJ2049" s="22"/>
    </row>
    <row r="2050" spans="1:36" x14ac:dyDescent="0.25">
      <c r="A2050" s="22" t="s">
        <v>4989</v>
      </c>
      <c r="B2050" s="22">
        <v>0</v>
      </c>
      <c r="C2050" s="22"/>
      <c r="D2050" s="22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2"/>
      <c r="T2050" s="22"/>
      <c r="U2050" s="22"/>
      <c r="V2050" s="22"/>
      <c r="W2050" s="22"/>
      <c r="X2050" s="22"/>
      <c r="Y2050" s="22"/>
      <c r="Z2050" s="22"/>
      <c r="AA2050" s="22"/>
      <c r="AB2050" s="22"/>
      <c r="AC2050" s="22"/>
      <c r="AD2050" s="22"/>
      <c r="AE2050" s="22"/>
      <c r="AF2050" s="22"/>
      <c r="AG2050" s="22"/>
      <c r="AH2050" s="22"/>
      <c r="AI2050" s="22"/>
      <c r="AJ2050" s="22"/>
    </row>
    <row r="2051" spans="1:36" x14ac:dyDescent="0.25">
      <c r="A2051" s="22" t="s">
        <v>4990</v>
      </c>
      <c r="B2051" s="22">
        <v>0</v>
      </c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2"/>
      <c r="T2051" s="22"/>
      <c r="U2051" s="22"/>
      <c r="V2051" s="22"/>
      <c r="W2051" s="22"/>
      <c r="X2051" s="22"/>
      <c r="Y2051" s="22"/>
      <c r="Z2051" s="22"/>
      <c r="AA2051" s="22"/>
      <c r="AB2051" s="22"/>
      <c r="AC2051" s="22"/>
      <c r="AD2051" s="22"/>
      <c r="AE2051" s="22"/>
      <c r="AF2051" s="22"/>
      <c r="AG2051" s="22"/>
      <c r="AH2051" s="22"/>
      <c r="AI2051" s="22"/>
      <c r="AJ2051" s="22"/>
    </row>
    <row r="2052" spans="1:36" x14ac:dyDescent="0.25">
      <c r="A2052" s="22" t="s">
        <v>4991</v>
      </c>
      <c r="B2052" s="22">
        <v>0</v>
      </c>
      <c r="C2052" s="22"/>
      <c r="D2052" s="22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2"/>
      <c r="T2052" s="22"/>
      <c r="U2052" s="22"/>
      <c r="V2052" s="22"/>
      <c r="W2052" s="22"/>
      <c r="X2052" s="22"/>
      <c r="Y2052" s="22"/>
      <c r="Z2052" s="22"/>
      <c r="AA2052" s="22"/>
      <c r="AB2052" s="22"/>
      <c r="AC2052" s="22"/>
      <c r="AD2052" s="22"/>
      <c r="AE2052" s="22"/>
      <c r="AF2052" s="22"/>
      <c r="AG2052" s="22"/>
      <c r="AH2052" s="22"/>
      <c r="AI2052" s="22"/>
      <c r="AJ2052" s="22"/>
    </row>
    <row r="2053" spans="1:36" x14ac:dyDescent="0.25">
      <c r="A2053" s="22" t="s">
        <v>4992</v>
      </c>
      <c r="B2053" s="22">
        <v>0</v>
      </c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2"/>
      <c r="T2053" s="22"/>
      <c r="U2053" s="22"/>
      <c r="V2053" s="22"/>
      <c r="W2053" s="22"/>
      <c r="X2053" s="22"/>
      <c r="Y2053" s="22"/>
      <c r="Z2053" s="22"/>
      <c r="AA2053" s="22"/>
      <c r="AB2053" s="22"/>
      <c r="AC2053" s="22"/>
      <c r="AD2053" s="22"/>
      <c r="AE2053" s="22"/>
      <c r="AF2053" s="22"/>
      <c r="AG2053" s="22"/>
      <c r="AH2053" s="22"/>
      <c r="AI2053" s="22"/>
      <c r="AJ2053" s="22"/>
    </row>
    <row r="2054" spans="1:36" x14ac:dyDescent="0.25">
      <c r="A2054" s="22" t="s">
        <v>4993</v>
      </c>
      <c r="B2054" s="22">
        <v>0</v>
      </c>
      <c r="C2054" s="22"/>
      <c r="D2054" s="22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2"/>
      <c r="T2054" s="22"/>
      <c r="U2054" s="22"/>
      <c r="V2054" s="22"/>
      <c r="W2054" s="22"/>
      <c r="X2054" s="22"/>
      <c r="Y2054" s="22"/>
      <c r="Z2054" s="22"/>
      <c r="AA2054" s="22"/>
      <c r="AB2054" s="22"/>
      <c r="AC2054" s="22"/>
      <c r="AD2054" s="22"/>
      <c r="AE2054" s="22"/>
      <c r="AF2054" s="22"/>
      <c r="AG2054" s="22"/>
      <c r="AH2054" s="22"/>
      <c r="AI2054" s="22"/>
      <c r="AJ2054" s="22"/>
    </row>
    <row r="2055" spans="1:36" x14ac:dyDescent="0.25">
      <c r="A2055" s="22" t="s">
        <v>4994</v>
      </c>
      <c r="B2055" s="22">
        <v>0</v>
      </c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2"/>
      <c r="T2055" s="22"/>
      <c r="U2055" s="22"/>
      <c r="V2055" s="22"/>
      <c r="W2055" s="22"/>
      <c r="X2055" s="22"/>
      <c r="Y2055" s="22"/>
      <c r="Z2055" s="22"/>
      <c r="AA2055" s="22"/>
      <c r="AB2055" s="22"/>
      <c r="AC2055" s="22"/>
      <c r="AD2055" s="22"/>
      <c r="AE2055" s="22"/>
      <c r="AF2055" s="22"/>
      <c r="AG2055" s="22"/>
      <c r="AH2055" s="22"/>
      <c r="AI2055" s="22"/>
      <c r="AJ2055" s="22"/>
    </row>
    <row r="2056" spans="1:36" x14ac:dyDescent="0.25">
      <c r="A2056" s="22" t="s">
        <v>4995</v>
      </c>
      <c r="B2056" s="22">
        <v>0</v>
      </c>
      <c r="C2056" s="22"/>
      <c r="D2056" s="22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2"/>
      <c r="T2056" s="22"/>
      <c r="U2056" s="22"/>
      <c r="V2056" s="22"/>
      <c r="W2056" s="22"/>
      <c r="X2056" s="22"/>
      <c r="Y2056" s="22"/>
      <c r="Z2056" s="22"/>
      <c r="AA2056" s="22"/>
      <c r="AB2056" s="22"/>
      <c r="AC2056" s="22"/>
      <c r="AD2056" s="22"/>
      <c r="AE2056" s="22"/>
      <c r="AF2056" s="22"/>
      <c r="AG2056" s="22"/>
      <c r="AH2056" s="22"/>
      <c r="AI2056" s="22"/>
      <c r="AJ2056" s="22"/>
    </row>
    <row r="2057" spans="1:36" x14ac:dyDescent="0.25">
      <c r="A2057" s="22" t="s">
        <v>4996</v>
      </c>
      <c r="B2057" s="22">
        <v>0</v>
      </c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2"/>
      <c r="T2057" s="22"/>
      <c r="U2057" s="22"/>
      <c r="V2057" s="22"/>
      <c r="W2057" s="22"/>
      <c r="X2057" s="22"/>
      <c r="Y2057" s="22"/>
      <c r="Z2057" s="22"/>
      <c r="AA2057" s="22"/>
      <c r="AB2057" s="22"/>
      <c r="AC2057" s="22"/>
      <c r="AD2057" s="22"/>
      <c r="AE2057" s="22"/>
      <c r="AF2057" s="22"/>
      <c r="AG2057" s="22"/>
      <c r="AH2057" s="22"/>
      <c r="AI2057" s="22"/>
      <c r="AJ2057" s="22"/>
    </row>
    <row r="2058" spans="1:36" x14ac:dyDescent="0.25">
      <c r="A2058" s="22" t="s">
        <v>4997</v>
      </c>
      <c r="B2058" s="22">
        <v>0</v>
      </c>
      <c r="C2058" s="22"/>
      <c r="D2058" s="22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2"/>
      <c r="T2058" s="22"/>
      <c r="U2058" s="22"/>
      <c r="V2058" s="22"/>
      <c r="W2058" s="22"/>
      <c r="X2058" s="22"/>
      <c r="Y2058" s="22"/>
      <c r="Z2058" s="22"/>
      <c r="AA2058" s="22"/>
      <c r="AB2058" s="22"/>
      <c r="AC2058" s="22"/>
      <c r="AD2058" s="22"/>
      <c r="AE2058" s="22"/>
      <c r="AF2058" s="22"/>
      <c r="AG2058" s="22"/>
      <c r="AH2058" s="22"/>
      <c r="AI2058" s="22"/>
      <c r="AJ2058" s="22"/>
    </row>
    <row r="2059" spans="1:36" x14ac:dyDescent="0.25">
      <c r="A2059" s="22" t="s">
        <v>4998</v>
      </c>
      <c r="B2059" s="22">
        <v>0</v>
      </c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2"/>
      <c r="T2059" s="22"/>
      <c r="U2059" s="22"/>
      <c r="V2059" s="22"/>
      <c r="W2059" s="22"/>
      <c r="X2059" s="22"/>
      <c r="Y2059" s="22"/>
      <c r="Z2059" s="22"/>
      <c r="AA2059" s="22"/>
      <c r="AB2059" s="22"/>
      <c r="AC2059" s="22"/>
      <c r="AD2059" s="22"/>
      <c r="AE2059" s="22"/>
      <c r="AF2059" s="22"/>
      <c r="AG2059" s="22"/>
      <c r="AH2059" s="22"/>
      <c r="AI2059" s="22"/>
      <c r="AJ2059" s="22"/>
    </row>
    <row r="2060" spans="1:36" x14ac:dyDescent="0.25">
      <c r="A2060" s="22" t="s">
        <v>4999</v>
      </c>
      <c r="B2060" s="22">
        <v>0</v>
      </c>
      <c r="C2060" s="22"/>
      <c r="D2060" s="22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2"/>
      <c r="T2060" s="22"/>
      <c r="U2060" s="22"/>
      <c r="V2060" s="22"/>
      <c r="W2060" s="22"/>
      <c r="X2060" s="22"/>
      <c r="Y2060" s="22"/>
      <c r="Z2060" s="22"/>
      <c r="AA2060" s="22"/>
      <c r="AB2060" s="22"/>
      <c r="AC2060" s="22"/>
      <c r="AD2060" s="22"/>
      <c r="AE2060" s="22"/>
      <c r="AF2060" s="22"/>
      <c r="AG2060" s="22"/>
      <c r="AH2060" s="22"/>
      <c r="AI2060" s="22"/>
      <c r="AJ2060" s="22"/>
    </row>
    <row r="2061" spans="1:36" x14ac:dyDescent="0.25">
      <c r="A2061" s="22" t="s">
        <v>5000</v>
      </c>
      <c r="B2061" s="22">
        <v>0</v>
      </c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2"/>
      <c r="T2061" s="22"/>
      <c r="U2061" s="22"/>
      <c r="V2061" s="22"/>
      <c r="W2061" s="22"/>
      <c r="X2061" s="22"/>
      <c r="Y2061" s="22"/>
      <c r="Z2061" s="22"/>
      <c r="AA2061" s="22"/>
      <c r="AB2061" s="22"/>
      <c r="AC2061" s="22"/>
      <c r="AD2061" s="22"/>
      <c r="AE2061" s="22"/>
      <c r="AF2061" s="22"/>
      <c r="AG2061" s="22"/>
      <c r="AH2061" s="22"/>
      <c r="AI2061" s="22"/>
      <c r="AJ2061" s="22"/>
    </row>
    <row r="2062" spans="1:36" x14ac:dyDescent="0.25">
      <c r="A2062" s="22" t="s">
        <v>5001</v>
      </c>
      <c r="B2062" s="22">
        <v>2</v>
      </c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2"/>
      <c r="T2062" s="22"/>
      <c r="U2062" s="22"/>
      <c r="V2062" s="22"/>
      <c r="W2062" s="22"/>
      <c r="X2062" s="22"/>
      <c r="Y2062" s="22"/>
      <c r="Z2062" s="22"/>
      <c r="AA2062" s="22"/>
      <c r="AB2062" s="22"/>
      <c r="AC2062" s="22"/>
      <c r="AD2062" s="22"/>
      <c r="AE2062" s="22"/>
      <c r="AF2062" s="22"/>
      <c r="AG2062" s="22"/>
      <c r="AH2062" s="22"/>
      <c r="AI2062" s="22"/>
      <c r="AJ2062" s="22"/>
    </row>
    <row r="2063" spans="1:36" x14ac:dyDescent="0.25">
      <c r="A2063" s="22" t="s">
        <v>5002</v>
      </c>
      <c r="B2063" s="22">
        <v>0</v>
      </c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2"/>
      <c r="T2063" s="22"/>
      <c r="U2063" s="22"/>
      <c r="V2063" s="22"/>
      <c r="W2063" s="22"/>
      <c r="X2063" s="22"/>
      <c r="Y2063" s="22"/>
      <c r="Z2063" s="22"/>
      <c r="AA2063" s="22"/>
      <c r="AB2063" s="22"/>
      <c r="AC2063" s="22"/>
      <c r="AD2063" s="22"/>
      <c r="AE2063" s="22"/>
      <c r="AF2063" s="22"/>
      <c r="AG2063" s="22"/>
      <c r="AH2063" s="22"/>
      <c r="AI2063" s="22"/>
      <c r="AJ2063" s="22"/>
    </row>
    <row r="2064" spans="1:36" x14ac:dyDescent="0.25">
      <c r="A2064" s="22" t="s">
        <v>5003</v>
      </c>
      <c r="B2064" s="22">
        <v>0</v>
      </c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2"/>
      <c r="T2064" s="22"/>
      <c r="U2064" s="22"/>
      <c r="V2064" s="22"/>
      <c r="W2064" s="22"/>
      <c r="X2064" s="22"/>
      <c r="Y2064" s="22"/>
      <c r="Z2064" s="22"/>
      <c r="AA2064" s="22"/>
      <c r="AB2064" s="22"/>
      <c r="AC2064" s="22"/>
      <c r="AD2064" s="22"/>
      <c r="AE2064" s="22"/>
      <c r="AF2064" s="22"/>
      <c r="AG2064" s="22"/>
      <c r="AH2064" s="22"/>
      <c r="AI2064" s="22"/>
      <c r="AJ2064" s="22"/>
    </row>
    <row r="2065" spans="1:36" x14ac:dyDescent="0.25">
      <c r="A2065" s="22" t="s">
        <v>5004</v>
      </c>
      <c r="B2065" s="22">
        <v>0</v>
      </c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2"/>
      <c r="T2065" s="22"/>
      <c r="U2065" s="22"/>
      <c r="V2065" s="22"/>
      <c r="W2065" s="22"/>
      <c r="X2065" s="22"/>
      <c r="Y2065" s="22"/>
      <c r="Z2065" s="22"/>
      <c r="AA2065" s="22"/>
      <c r="AB2065" s="22"/>
      <c r="AC2065" s="22"/>
      <c r="AD2065" s="22"/>
      <c r="AE2065" s="22"/>
      <c r="AF2065" s="22"/>
      <c r="AG2065" s="22"/>
      <c r="AH2065" s="22"/>
      <c r="AI2065" s="22"/>
      <c r="AJ2065" s="22"/>
    </row>
    <row r="2066" spans="1:36" x14ac:dyDescent="0.25">
      <c r="A2066" s="22" t="s">
        <v>5005</v>
      </c>
      <c r="B2066" s="22">
        <v>0</v>
      </c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2"/>
      <c r="T2066" s="22"/>
      <c r="U2066" s="22"/>
      <c r="V2066" s="22"/>
      <c r="W2066" s="22"/>
      <c r="X2066" s="22"/>
      <c r="Y2066" s="22"/>
      <c r="Z2066" s="22"/>
      <c r="AA2066" s="22"/>
      <c r="AB2066" s="22"/>
      <c r="AC2066" s="22"/>
      <c r="AD2066" s="22"/>
      <c r="AE2066" s="22"/>
      <c r="AF2066" s="22"/>
      <c r="AG2066" s="22"/>
      <c r="AH2066" s="22"/>
      <c r="AI2066" s="22"/>
      <c r="AJ2066" s="22"/>
    </row>
    <row r="2067" spans="1:36" x14ac:dyDescent="0.25">
      <c r="A2067" s="22" t="s">
        <v>5006</v>
      </c>
      <c r="B2067" s="22">
        <v>0</v>
      </c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2"/>
      <c r="T2067" s="22"/>
      <c r="U2067" s="22"/>
      <c r="V2067" s="22"/>
      <c r="W2067" s="22"/>
      <c r="X2067" s="22"/>
      <c r="Y2067" s="22"/>
      <c r="Z2067" s="22"/>
      <c r="AA2067" s="22"/>
      <c r="AB2067" s="22"/>
      <c r="AC2067" s="22"/>
      <c r="AD2067" s="22"/>
      <c r="AE2067" s="22"/>
      <c r="AF2067" s="22"/>
      <c r="AG2067" s="22"/>
      <c r="AH2067" s="22"/>
      <c r="AI2067" s="22"/>
      <c r="AJ2067" s="22"/>
    </row>
    <row r="2068" spans="1:36" x14ac:dyDescent="0.25">
      <c r="A2068" s="22" t="s">
        <v>5007</v>
      </c>
      <c r="B2068" s="22">
        <v>0</v>
      </c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2"/>
      <c r="T2068" s="22"/>
      <c r="U2068" s="22"/>
      <c r="V2068" s="22"/>
      <c r="W2068" s="22"/>
      <c r="X2068" s="22"/>
      <c r="Y2068" s="22"/>
      <c r="Z2068" s="22"/>
      <c r="AA2068" s="22"/>
      <c r="AB2068" s="22"/>
      <c r="AC2068" s="22"/>
      <c r="AD2068" s="22"/>
      <c r="AE2068" s="22"/>
      <c r="AF2068" s="22"/>
      <c r="AG2068" s="22"/>
      <c r="AH2068" s="22"/>
      <c r="AI2068" s="22"/>
      <c r="AJ2068" s="22"/>
    </row>
    <row r="2069" spans="1:36" x14ac:dyDescent="0.25">
      <c r="A2069" s="22" t="s">
        <v>5008</v>
      </c>
      <c r="B2069" s="22">
        <v>0</v>
      </c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2"/>
      <c r="T2069" s="22"/>
      <c r="U2069" s="22"/>
      <c r="V2069" s="22"/>
      <c r="W2069" s="22"/>
      <c r="X2069" s="22"/>
      <c r="Y2069" s="22"/>
      <c r="Z2069" s="22"/>
      <c r="AA2069" s="22"/>
      <c r="AB2069" s="22"/>
      <c r="AC2069" s="22"/>
      <c r="AD2069" s="22"/>
      <c r="AE2069" s="22"/>
      <c r="AF2069" s="22"/>
      <c r="AG2069" s="22"/>
      <c r="AH2069" s="22"/>
      <c r="AI2069" s="22"/>
      <c r="AJ2069" s="22"/>
    </row>
    <row r="2070" spans="1:36" x14ac:dyDescent="0.25">
      <c r="A2070" s="22" t="s">
        <v>5009</v>
      </c>
      <c r="B2070" s="22">
        <v>166</v>
      </c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2"/>
      <c r="T2070" s="22"/>
      <c r="U2070" s="22"/>
      <c r="V2070" s="22"/>
      <c r="W2070" s="22"/>
      <c r="X2070" s="22"/>
      <c r="Y2070" s="22"/>
      <c r="Z2070" s="22"/>
      <c r="AA2070" s="22"/>
      <c r="AB2070" s="22"/>
      <c r="AC2070" s="22"/>
      <c r="AD2070" s="22"/>
      <c r="AE2070" s="22"/>
      <c r="AF2070" s="22"/>
      <c r="AG2070" s="22"/>
      <c r="AH2070" s="22"/>
      <c r="AI2070" s="22"/>
      <c r="AJ2070" s="22"/>
    </row>
    <row r="2071" spans="1:36" x14ac:dyDescent="0.25">
      <c r="A2071" s="22" t="s">
        <v>5010</v>
      </c>
      <c r="B2071" s="22">
        <v>99</v>
      </c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2"/>
      <c r="T2071" s="22"/>
      <c r="U2071" s="22"/>
      <c r="V2071" s="22"/>
      <c r="W2071" s="22"/>
      <c r="X2071" s="22"/>
      <c r="Y2071" s="22"/>
      <c r="Z2071" s="22"/>
      <c r="AA2071" s="22"/>
      <c r="AB2071" s="22"/>
      <c r="AC2071" s="22"/>
      <c r="AD2071" s="22"/>
      <c r="AE2071" s="22"/>
      <c r="AF2071" s="22"/>
      <c r="AG2071" s="22"/>
      <c r="AH2071" s="22"/>
      <c r="AI2071" s="22"/>
      <c r="AJ2071" s="22"/>
    </row>
    <row r="2072" spans="1:36" x14ac:dyDescent="0.25">
      <c r="A2072" s="22" t="s">
        <v>5011</v>
      </c>
      <c r="B2072" s="22">
        <v>0</v>
      </c>
      <c r="C2072" s="22"/>
      <c r="D2072" s="22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2"/>
      <c r="T2072" s="22"/>
      <c r="U2072" s="22"/>
      <c r="V2072" s="22"/>
      <c r="W2072" s="22"/>
      <c r="X2072" s="22"/>
      <c r="Y2072" s="22"/>
      <c r="Z2072" s="22"/>
      <c r="AA2072" s="22"/>
      <c r="AB2072" s="22"/>
      <c r="AC2072" s="22"/>
      <c r="AD2072" s="22"/>
      <c r="AE2072" s="22"/>
      <c r="AF2072" s="22"/>
      <c r="AG2072" s="22"/>
      <c r="AH2072" s="22"/>
      <c r="AI2072" s="22"/>
      <c r="AJ2072" s="22"/>
    </row>
    <row r="2073" spans="1:36" x14ac:dyDescent="0.25">
      <c r="A2073" s="22" t="s">
        <v>5012</v>
      </c>
      <c r="B2073" s="22">
        <v>0</v>
      </c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2"/>
      <c r="T2073" s="22"/>
      <c r="U2073" s="22"/>
      <c r="V2073" s="22"/>
      <c r="W2073" s="22"/>
      <c r="X2073" s="22"/>
      <c r="Y2073" s="22"/>
      <c r="Z2073" s="22"/>
      <c r="AA2073" s="22"/>
      <c r="AB2073" s="22"/>
      <c r="AC2073" s="22"/>
      <c r="AD2073" s="22"/>
      <c r="AE2073" s="22"/>
      <c r="AF2073" s="22"/>
      <c r="AG2073" s="22"/>
      <c r="AH2073" s="22"/>
      <c r="AI2073" s="22"/>
      <c r="AJ2073" s="22"/>
    </row>
    <row r="2074" spans="1:36" x14ac:dyDescent="0.25">
      <c r="A2074" s="22" t="s">
        <v>5013</v>
      </c>
      <c r="B2074" s="22">
        <v>12</v>
      </c>
      <c r="C2074" s="22"/>
      <c r="D2074" s="22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2"/>
      <c r="T2074" s="22"/>
      <c r="U2074" s="22"/>
      <c r="V2074" s="22"/>
      <c r="W2074" s="22"/>
      <c r="X2074" s="22"/>
      <c r="Y2074" s="22"/>
      <c r="Z2074" s="22"/>
      <c r="AA2074" s="22"/>
      <c r="AB2074" s="22"/>
      <c r="AC2074" s="22"/>
      <c r="AD2074" s="22"/>
      <c r="AE2074" s="22"/>
      <c r="AF2074" s="22"/>
      <c r="AG2074" s="22"/>
      <c r="AH2074" s="22"/>
      <c r="AI2074" s="22"/>
      <c r="AJ2074" s="22"/>
    </row>
    <row r="2075" spans="1:36" x14ac:dyDescent="0.25">
      <c r="A2075" s="22" t="s">
        <v>5014</v>
      </c>
      <c r="B2075" s="22">
        <v>0</v>
      </c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2"/>
      <c r="T2075" s="22"/>
      <c r="U2075" s="22"/>
      <c r="V2075" s="22"/>
      <c r="W2075" s="22"/>
      <c r="X2075" s="22"/>
      <c r="Y2075" s="22"/>
      <c r="Z2075" s="22"/>
      <c r="AA2075" s="22"/>
      <c r="AB2075" s="22"/>
      <c r="AC2075" s="22"/>
      <c r="AD2075" s="22"/>
      <c r="AE2075" s="22"/>
      <c r="AF2075" s="22"/>
      <c r="AG2075" s="22"/>
      <c r="AH2075" s="22"/>
      <c r="AI2075" s="22"/>
      <c r="AJ2075" s="22"/>
    </row>
    <row r="2076" spans="1:36" x14ac:dyDescent="0.25">
      <c r="A2076" s="22" t="s">
        <v>5015</v>
      </c>
      <c r="B2076" s="22">
        <v>0</v>
      </c>
      <c r="C2076" s="22"/>
      <c r="D2076" s="22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2"/>
      <c r="T2076" s="22"/>
      <c r="U2076" s="22"/>
      <c r="V2076" s="22"/>
      <c r="W2076" s="22"/>
      <c r="X2076" s="22"/>
      <c r="Y2076" s="22"/>
      <c r="Z2076" s="22"/>
      <c r="AA2076" s="22"/>
      <c r="AB2076" s="22"/>
      <c r="AC2076" s="22"/>
      <c r="AD2076" s="22"/>
      <c r="AE2076" s="22"/>
      <c r="AF2076" s="22"/>
      <c r="AG2076" s="22"/>
      <c r="AH2076" s="22"/>
      <c r="AI2076" s="22"/>
      <c r="AJ2076" s="22"/>
    </row>
    <row r="2077" spans="1:36" x14ac:dyDescent="0.25">
      <c r="A2077" s="22" t="s">
        <v>5016</v>
      </c>
      <c r="B2077" s="22">
        <v>0</v>
      </c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2"/>
      <c r="T2077" s="22"/>
      <c r="U2077" s="22"/>
      <c r="V2077" s="22"/>
      <c r="W2077" s="22"/>
      <c r="X2077" s="22"/>
      <c r="Y2077" s="22"/>
      <c r="Z2077" s="22"/>
      <c r="AA2077" s="22"/>
      <c r="AB2077" s="22"/>
      <c r="AC2077" s="22"/>
      <c r="AD2077" s="22"/>
      <c r="AE2077" s="22"/>
      <c r="AF2077" s="22"/>
      <c r="AG2077" s="22"/>
      <c r="AH2077" s="22"/>
      <c r="AI2077" s="22"/>
      <c r="AJ2077" s="22"/>
    </row>
    <row r="2078" spans="1:36" x14ac:dyDescent="0.25">
      <c r="A2078" s="22" t="s">
        <v>5017</v>
      </c>
      <c r="B2078" s="22">
        <v>0</v>
      </c>
      <c r="C2078" s="22"/>
      <c r="D2078" s="22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2"/>
      <c r="T2078" s="22"/>
      <c r="U2078" s="22"/>
      <c r="V2078" s="22"/>
      <c r="W2078" s="22"/>
      <c r="X2078" s="22"/>
      <c r="Y2078" s="22"/>
      <c r="Z2078" s="22"/>
      <c r="AA2078" s="22"/>
      <c r="AB2078" s="22"/>
      <c r="AC2078" s="22"/>
      <c r="AD2078" s="22"/>
      <c r="AE2078" s="22"/>
      <c r="AF2078" s="22"/>
      <c r="AG2078" s="22"/>
      <c r="AH2078" s="22"/>
      <c r="AI2078" s="22"/>
      <c r="AJ2078" s="22"/>
    </row>
    <row r="2079" spans="1:36" x14ac:dyDescent="0.25">
      <c r="A2079" s="22" t="s">
        <v>5018</v>
      </c>
      <c r="B2079" s="22">
        <v>0</v>
      </c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2"/>
      <c r="T2079" s="22"/>
      <c r="U2079" s="22"/>
      <c r="V2079" s="22"/>
      <c r="W2079" s="22"/>
      <c r="X2079" s="22"/>
      <c r="Y2079" s="22"/>
      <c r="Z2079" s="22"/>
      <c r="AA2079" s="22"/>
      <c r="AB2079" s="22"/>
      <c r="AC2079" s="22"/>
      <c r="AD2079" s="22"/>
      <c r="AE2079" s="22"/>
      <c r="AF2079" s="22"/>
      <c r="AG2079" s="22"/>
      <c r="AH2079" s="22"/>
      <c r="AI2079" s="22"/>
      <c r="AJ2079" s="22"/>
    </row>
    <row r="2080" spans="1:36" x14ac:dyDescent="0.25">
      <c r="A2080" s="22" t="s">
        <v>5019</v>
      </c>
      <c r="B2080" s="22">
        <v>0</v>
      </c>
      <c r="C2080" s="22"/>
      <c r="D2080" s="22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2"/>
      <c r="T2080" s="22"/>
      <c r="U2080" s="22"/>
      <c r="V2080" s="22"/>
      <c r="W2080" s="22"/>
      <c r="X2080" s="22"/>
      <c r="Y2080" s="22"/>
      <c r="Z2080" s="22"/>
      <c r="AA2080" s="22"/>
      <c r="AB2080" s="22"/>
      <c r="AC2080" s="22"/>
      <c r="AD2080" s="22"/>
      <c r="AE2080" s="22"/>
      <c r="AF2080" s="22"/>
      <c r="AG2080" s="22"/>
      <c r="AH2080" s="22"/>
      <c r="AI2080" s="22"/>
      <c r="AJ2080" s="22"/>
    </row>
    <row r="2081" spans="1:36" x14ac:dyDescent="0.25">
      <c r="A2081" s="22" t="s">
        <v>5020</v>
      </c>
      <c r="B2081" s="22">
        <v>0</v>
      </c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2"/>
      <c r="T2081" s="22"/>
      <c r="U2081" s="22"/>
      <c r="V2081" s="22"/>
      <c r="W2081" s="22"/>
      <c r="X2081" s="22"/>
      <c r="Y2081" s="22"/>
      <c r="Z2081" s="22"/>
      <c r="AA2081" s="22"/>
      <c r="AB2081" s="22"/>
      <c r="AC2081" s="22"/>
      <c r="AD2081" s="22"/>
      <c r="AE2081" s="22"/>
      <c r="AF2081" s="22"/>
      <c r="AG2081" s="22"/>
      <c r="AH2081" s="22"/>
      <c r="AI2081" s="22"/>
      <c r="AJ2081" s="22"/>
    </row>
    <row r="2082" spans="1:36" x14ac:dyDescent="0.25">
      <c r="A2082" s="22" t="s">
        <v>5021</v>
      </c>
      <c r="B2082" s="22">
        <v>0</v>
      </c>
      <c r="C2082" s="22"/>
      <c r="D2082" s="22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2"/>
      <c r="T2082" s="22"/>
      <c r="U2082" s="22"/>
      <c r="V2082" s="22"/>
      <c r="W2082" s="22"/>
      <c r="X2082" s="22"/>
      <c r="Y2082" s="22"/>
      <c r="Z2082" s="22"/>
      <c r="AA2082" s="22"/>
      <c r="AB2082" s="22"/>
      <c r="AC2082" s="22"/>
      <c r="AD2082" s="22"/>
      <c r="AE2082" s="22"/>
      <c r="AF2082" s="22"/>
      <c r="AG2082" s="22"/>
      <c r="AH2082" s="22"/>
      <c r="AI2082" s="22"/>
      <c r="AJ2082" s="22"/>
    </row>
    <row r="2083" spans="1:36" x14ac:dyDescent="0.25">
      <c r="A2083" s="22" t="s">
        <v>5022</v>
      </c>
      <c r="B2083" s="22">
        <v>0</v>
      </c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2"/>
      <c r="T2083" s="22"/>
      <c r="U2083" s="22"/>
      <c r="V2083" s="22"/>
      <c r="W2083" s="22"/>
      <c r="X2083" s="22"/>
      <c r="Y2083" s="22"/>
      <c r="Z2083" s="22"/>
      <c r="AA2083" s="22"/>
      <c r="AB2083" s="22"/>
      <c r="AC2083" s="22"/>
      <c r="AD2083" s="22"/>
      <c r="AE2083" s="22"/>
      <c r="AF2083" s="22"/>
      <c r="AG2083" s="22"/>
      <c r="AH2083" s="22"/>
      <c r="AI2083" s="22"/>
      <c r="AJ2083" s="22"/>
    </row>
    <row r="2084" spans="1:36" x14ac:dyDescent="0.25">
      <c r="A2084" s="22" t="s">
        <v>5023</v>
      </c>
      <c r="B2084" s="22">
        <v>0</v>
      </c>
      <c r="C2084" s="22"/>
      <c r="D2084" s="22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2"/>
      <c r="T2084" s="22"/>
      <c r="U2084" s="22"/>
      <c r="V2084" s="22"/>
      <c r="W2084" s="22"/>
      <c r="X2084" s="22"/>
      <c r="Y2084" s="22"/>
      <c r="Z2084" s="22"/>
      <c r="AA2084" s="22"/>
      <c r="AB2084" s="22"/>
      <c r="AC2084" s="22"/>
      <c r="AD2084" s="22"/>
      <c r="AE2084" s="22"/>
      <c r="AF2084" s="22"/>
      <c r="AG2084" s="22"/>
      <c r="AH2084" s="22"/>
      <c r="AI2084" s="22"/>
      <c r="AJ2084" s="22"/>
    </row>
    <row r="2085" spans="1:36" x14ac:dyDescent="0.25">
      <c r="A2085" s="22" t="s">
        <v>5024</v>
      </c>
      <c r="B2085" s="22">
        <v>0</v>
      </c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2"/>
      <c r="T2085" s="22"/>
      <c r="U2085" s="22"/>
      <c r="V2085" s="22"/>
      <c r="W2085" s="22"/>
      <c r="X2085" s="22"/>
      <c r="Y2085" s="22"/>
      <c r="Z2085" s="22"/>
      <c r="AA2085" s="22"/>
      <c r="AB2085" s="22"/>
      <c r="AC2085" s="22"/>
      <c r="AD2085" s="22"/>
      <c r="AE2085" s="22"/>
      <c r="AF2085" s="22"/>
      <c r="AG2085" s="22"/>
      <c r="AH2085" s="22"/>
      <c r="AI2085" s="22"/>
      <c r="AJ2085" s="22"/>
    </row>
    <row r="2086" spans="1:36" x14ac:dyDescent="0.25">
      <c r="A2086" s="22" t="s">
        <v>5025</v>
      </c>
      <c r="B2086" s="22">
        <v>180</v>
      </c>
      <c r="C2086" s="22"/>
      <c r="D2086" s="22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2"/>
      <c r="T2086" s="22"/>
      <c r="U2086" s="22"/>
      <c r="V2086" s="22"/>
      <c r="W2086" s="22"/>
      <c r="X2086" s="22"/>
      <c r="Y2086" s="22"/>
      <c r="Z2086" s="22"/>
      <c r="AA2086" s="22"/>
      <c r="AB2086" s="22"/>
      <c r="AC2086" s="22"/>
      <c r="AD2086" s="22"/>
      <c r="AE2086" s="22"/>
      <c r="AF2086" s="22"/>
      <c r="AG2086" s="22"/>
      <c r="AH2086" s="22"/>
      <c r="AI2086" s="22"/>
      <c r="AJ2086" s="22"/>
    </row>
    <row r="2087" spans="1:36" x14ac:dyDescent="0.25">
      <c r="A2087" s="22" t="s">
        <v>5026</v>
      </c>
      <c r="B2087" s="22">
        <v>14</v>
      </c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2"/>
      <c r="T2087" s="22"/>
      <c r="U2087" s="22"/>
      <c r="V2087" s="22"/>
      <c r="W2087" s="22"/>
      <c r="X2087" s="22"/>
      <c r="Y2087" s="22"/>
      <c r="Z2087" s="22"/>
      <c r="AA2087" s="22"/>
      <c r="AB2087" s="22"/>
      <c r="AC2087" s="22"/>
      <c r="AD2087" s="22"/>
      <c r="AE2087" s="22"/>
      <c r="AF2087" s="22"/>
      <c r="AG2087" s="22"/>
      <c r="AH2087" s="22"/>
      <c r="AI2087" s="22"/>
      <c r="AJ2087" s="22"/>
    </row>
    <row r="2088" spans="1:36" x14ac:dyDescent="0.25">
      <c r="A2088" s="22" t="s">
        <v>5027</v>
      </c>
      <c r="B2088" s="22">
        <v>0</v>
      </c>
      <c r="C2088" s="22"/>
      <c r="D2088" s="22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2"/>
      <c r="T2088" s="22"/>
      <c r="U2088" s="22"/>
      <c r="V2088" s="22"/>
      <c r="W2088" s="22"/>
      <c r="X2088" s="22"/>
      <c r="Y2088" s="22"/>
      <c r="Z2088" s="22"/>
      <c r="AA2088" s="22"/>
      <c r="AB2088" s="22"/>
      <c r="AC2088" s="22"/>
      <c r="AD2088" s="22"/>
      <c r="AE2088" s="22"/>
      <c r="AF2088" s="22"/>
      <c r="AG2088" s="22"/>
      <c r="AH2088" s="22"/>
      <c r="AI2088" s="22"/>
      <c r="AJ2088" s="22"/>
    </row>
    <row r="2089" spans="1:36" x14ac:dyDescent="0.25">
      <c r="A2089" s="22" t="s">
        <v>5028</v>
      </c>
      <c r="B2089" s="22">
        <v>0</v>
      </c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2"/>
      <c r="T2089" s="22"/>
      <c r="U2089" s="22"/>
      <c r="V2089" s="22"/>
      <c r="W2089" s="22"/>
      <c r="X2089" s="22"/>
      <c r="Y2089" s="22"/>
      <c r="Z2089" s="22"/>
      <c r="AA2089" s="22"/>
      <c r="AB2089" s="22"/>
      <c r="AC2089" s="22"/>
      <c r="AD2089" s="22"/>
      <c r="AE2089" s="22"/>
      <c r="AF2089" s="22"/>
      <c r="AG2089" s="22"/>
      <c r="AH2089" s="22"/>
      <c r="AI2089" s="22"/>
      <c r="AJ2089" s="22"/>
    </row>
    <row r="2090" spans="1:36" x14ac:dyDescent="0.25">
      <c r="A2090" s="22" t="s">
        <v>5029</v>
      </c>
      <c r="B2090" s="22">
        <v>1</v>
      </c>
      <c r="C2090" s="22"/>
      <c r="D2090" s="22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2"/>
      <c r="T2090" s="22"/>
      <c r="U2090" s="22"/>
      <c r="V2090" s="22"/>
      <c r="W2090" s="22"/>
      <c r="X2090" s="22"/>
      <c r="Y2090" s="22"/>
      <c r="Z2090" s="22"/>
      <c r="AA2090" s="22"/>
      <c r="AB2090" s="22"/>
      <c r="AC2090" s="22"/>
      <c r="AD2090" s="22"/>
      <c r="AE2090" s="22"/>
      <c r="AF2090" s="22"/>
      <c r="AG2090" s="22"/>
      <c r="AH2090" s="22"/>
      <c r="AI2090" s="22"/>
      <c r="AJ2090" s="22"/>
    </row>
    <row r="2091" spans="1:36" x14ac:dyDescent="0.25">
      <c r="A2091" s="22" t="s">
        <v>5030</v>
      </c>
      <c r="B2091" s="22">
        <v>0</v>
      </c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2"/>
      <c r="T2091" s="22"/>
      <c r="U2091" s="22"/>
      <c r="V2091" s="22"/>
      <c r="W2091" s="22"/>
      <c r="X2091" s="22"/>
      <c r="Y2091" s="22"/>
      <c r="Z2091" s="22"/>
      <c r="AA2091" s="22"/>
      <c r="AB2091" s="22"/>
      <c r="AC2091" s="22"/>
      <c r="AD2091" s="22"/>
      <c r="AE2091" s="22"/>
      <c r="AF2091" s="22"/>
      <c r="AG2091" s="22"/>
      <c r="AH2091" s="22"/>
      <c r="AI2091" s="22"/>
      <c r="AJ2091" s="22"/>
    </row>
    <row r="2092" spans="1:36" x14ac:dyDescent="0.25">
      <c r="A2092" s="22" t="s">
        <v>5031</v>
      </c>
      <c r="B2092" s="22">
        <v>0</v>
      </c>
      <c r="C2092" s="22"/>
      <c r="D2092" s="22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2"/>
      <c r="T2092" s="22"/>
      <c r="U2092" s="22"/>
      <c r="V2092" s="22"/>
      <c r="W2092" s="22"/>
      <c r="X2092" s="22"/>
      <c r="Y2092" s="22"/>
      <c r="Z2092" s="22"/>
      <c r="AA2092" s="22"/>
      <c r="AB2092" s="22"/>
      <c r="AC2092" s="22"/>
      <c r="AD2092" s="22"/>
      <c r="AE2092" s="22"/>
      <c r="AF2092" s="22"/>
      <c r="AG2092" s="22"/>
      <c r="AH2092" s="22"/>
      <c r="AI2092" s="22"/>
      <c r="AJ2092" s="22"/>
    </row>
    <row r="2093" spans="1:36" x14ac:dyDescent="0.25">
      <c r="A2093" s="22" t="s">
        <v>5032</v>
      </c>
      <c r="B2093" s="22">
        <v>0</v>
      </c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2"/>
      <c r="T2093" s="22"/>
      <c r="U2093" s="22"/>
      <c r="V2093" s="22"/>
      <c r="W2093" s="22"/>
      <c r="X2093" s="22"/>
      <c r="Y2093" s="22"/>
      <c r="Z2093" s="22"/>
      <c r="AA2093" s="22"/>
      <c r="AB2093" s="22"/>
      <c r="AC2093" s="22"/>
      <c r="AD2093" s="22"/>
      <c r="AE2093" s="22"/>
      <c r="AF2093" s="22"/>
      <c r="AG2093" s="22"/>
      <c r="AH2093" s="22"/>
      <c r="AI2093" s="22"/>
      <c r="AJ2093" s="22"/>
    </row>
    <row r="2094" spans="1:36" x14ac:dyDescent="0.25">
      <c r="A2094" s="22" t="s">
        <v>5033</v>
      </c>
      <c r="B2094" s="22">
        <v>313</v>
      </c>
      <c r="C2094" s="22"/>
      <c r="D2094" s="22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2"/>
      <c r="T2094" s="22"/>
      <c r="U2094" s="22"/>
      <c r="V2094" s="22"/>
      <c r="W2094" s="22"/>
      <c r="X2094" s="22"/>
      <c r="Y2094" s="22"/>
      <c r="Z2094" s="22"/>
      <c r="AA2094" s="22"/>
      <c r="AB2094" s="22"/>
      <c r="AC2094" s="22"/>
      <c r="AD2094" s="22"/>
      <c r="AE2094" s="22"/>
      <c r="AF2094" s="22"/>
      <c r="AG2094" s="22"/>
      <c r="AH2094" s="22"/>
      <c r="AI2094" s="22"/>
      <c r="AJ2094" s="22"/>
    </row>
    <row r="2095" spans="1:36" x14ac:dyDescent="0.25">
      <c r="A2095" s="22" t="s">
        <v>5034</v>
      </c>
      <c r="B2095" s="22">
        <v>691</v>
      </c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2"/>
      <c r="T2095" s="22"/>
      <c r="U2095" s="22"/>
      <c r="V2095" s="22"/>
      <c r="W2095" s="22"/>
      <c r="X2095" s="22"/>
      <c r="Y2095" s="22"/>
      <c r="Z2095" s="22"/>
      <c r="AA2095" s="22"/>
      <c r="AB2095" s="22"/>
      <c r="AC2095" s="22"/>
      <c r="AD2095" s="22"/>
      <c r="AE2095" s="22"/>
      <c r="AF2095" s="22"/>
      <c r="AG2095" s="22"/>
      <c r="AH2095" s="22"/>
      <c r="AI2095" s="22"/>
      <c r="AJ2095" s="22"/>
    </row>
    <row r="2096" spans="1:36" x14ac:dyDescent="0.25">
      <c r="A2096" s="22" t="s">
        <v>5035</v>
      </c>
      <c r="B2096" s="22">
        <v>0</v>
      </c>
      <c r="C2096" s="22"/>
      <c r="D2096" s="22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2"/>
      <c r="T2096" s="22"/>
      <c r="U2096" s="22"/>
      <c r="V2096" s="22"/>
      <c r="W2096" s="22"/>
      <c r="X2096" s="22"/>
      <c r="Y2096" s="22"/>
      <c r="Z2096" s="22"/>
      <c r="AA2096" s="22"/>
      <c r="AB2096" s="22"/>
      <c r="AC2096" s="22"/>
      <c r="AD2096" s="22"/>
      <c r="AE2096" s="22"/>
      <c r="AF2096" s="22"/>
      <c r="AG2096" s="22"/>
      <c r="AH2096" s="22"/>
      <c r="AI2096" s="22"/>
      <c r="AJ2096" s="22"/>
    </row>
    <row r="2097" spans="1:36" x14ac:dyDescent="0.25">
      <c r="A2097" s="22" t="s">
        <v>5036</v>
      </c>
      <c r="B2097" s="22">
        <v>0</v>
      </c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2"/>
      <c r="T2097" s="22"/>
      <c r="U2097" s="22"/>
      <c r="V2097" s="22"/>
      <c r="W2097" s="22"/>
      <c r="X2097" s="22"/>
      <c r="Y2097" s="22"/>
      <c r="Z2097" s="22"/>
      <c r="AA2097" s="22"/>
      <c r="AB2097" s="22"/>
      <c r="AC2097" s="22"/>
      <c r="AD2097" s="22"/>
      <c r="AE2097" s="22"/>
      <c r="AF2097" s="22"/>
      <c r="AG2097" s="22"/>
      <c r="AH2097" s="22"/>
      <c r="AI2097" s="22"/>
      <c r="AJ2097" s="22"/>
    </row>
    <row r="2098" spans="1:36" x14ac:dyDescent="0.25">
      <c r="A2098" s="22" t="s">
        <v>5037</v>
      </c>
      <c r="B2098" s="22">
        <v>85</v>
      </c>
      <c r="C2098" s="22"/>
      <c r="D2098" s="22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2"/>
      <c r="T2098" s="22"/>
      <c r="U2098" s="22"/>
      <c r="V2098" s="22"/>
      <c r="W2098" s="22"/>
      <c r="X2098" s="22"/>
      <c r="Y2098" s="22"/>
      <c r="Z2098" s="22"/>
      <c r="AA2098" s="22"/>
      <c r="AB2098" s="22"/>
      <c r="AC2098" s="22"/>
      <c r="AD2098" s="22"/>
      <c r="AE2098" s="22"/>
      <c r="AF2098" s="22"/>
      <c r="AG2098" s="22"/>
      <c r="AH2098" s="22"/>
      <c r="AI2098" s="22"/>
      <c r="AJ2098" s="22"/>
    </row>
    <row r="2099" spans="1:36" x14ac:dyDescent="0.25">
      <c r="A2099" s="22" t="s">
        <v>5038</v>
      </c>
      <c r="B2099" s="22">
        <v>0</v>
      </c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2"/>
      <c r="T2099" s="22"/>
      <c r="U2099" s="22"/>
      <c r="V2099" s="22"/>
      <c r="W2099" s="22"/>
      <c r="X2099" s="22"/>
      <c r="Y2099" s="22"/>
      <c r="Z2099" s="22"/>
      <c r="AA2099" s="22"/>
      <c r="AB2099" s="22"/>
      <c r="AC2099" s="22"/>
      <c r="AD2099" s="22"/>
      <c r="AE2099" s="22"/>
      <c r="AF2099" s="22"/>
      <c r="AG2099" s="22"/>
      <c r="AH2099" s="22"/>
      <c r="AI2099" s="22"/>
      <c r="AJ2099" s="22"/>
    </row>
    <row r="2100" spans="1:36" x14ac:dyDescent="0.25">
      <c r="A2100" s="22" t="s">
        <v>5039</v>
      </c>
      <c r="B2100" s="22">
        <v>0</v>
      </c>
      <c r="C2100" s="22"/>
      <c r="D2100" s="22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2"/>
      <c r="T2100" s="22"/>
      <c r="U2100" s="22"/>
      <c r="V2100" s="22"/>
      <c r="W2100" s="22"/>
      <c r="X2100" s="22"/>
      <c r="Y2100" s="22"/>
      <c r="Z2100" s="22"/>
      <c r="AA2100" s="22"/>
      <c r="AB2100" s="22"/>
      <c r="AC2100" s="22"/>
      <c r="AD2100" s="22"/>
      <c r="AE2100" s="22"/>
      <c r="AF2100" s="22"/>
      <c r="AG2100" s="22"/>
      <c r="AH2100" s="22"/>
      <c r="AI2100" s="22"/>
      <c r="AJ2100" s="22"/>
    </row>
    <row r="2101" spans="1:36" x14ac:dyDescent="0.25">
      <c r="A2101" s="22" t="s">
        <v>5040</v>
      </c>
      <c r="B2101" s="22">
        <v>0</v>
      </c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2"/>
      <c r="T2101" s="22"/>
      <c r="U2101" s="22"/>
      <c r="V2101" s="22"/>
      <c r="W2101" s="22"/>
      <c r="X2101" s="22"/>
      <c r="Y2101" s="22"/>
      <c r="Z2101" s="22"/>
      <c r="AA2101" s="22"/>
      <c r="AB2101" s="22"/>
      <c r="AC2101" s="22"/>
      <c r="AD2101" s="22"/>
      <c r="AE2101" s="22"/>
      <c r="AF2101" s="22"/>
      <c r="AG2101" s="22"/>
      <c r="AH2101" s="22"/>
      <c r="AI2101" s="22"/>
      <c r="AJ2101" s="22"/>
    </row>
    <row r="2102" spans="1:36" x14ac:dyDescent="0.25">
      <c r="A2102" s="22" t="s">
        <v>5041</v>
      </c>
      <c r="B2102" s="22">
        <v>0</v>
      </c>
      <c r="C2102" s="22"/>
      <c r="D2102" s="22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2"/>
      <c r="T2102" s="22"/>
      <c r="U2102" s="22"/>
      <c r="V2102" s="22"/>
      <c r="W2102" s="22"/>
      <c r="X2102" s="22"/>
      <c r="Y2102" s="22"/>
      <c r="Z2102" s="22"/>
      <c r="AA2102" s="22"/>
      <c r="AB2102" s="22"/>
      <c r="AC2102" s="22"/>
      <c r="AD2102" s="22"/>
      <c r="AE2102" s="22"/>
      <c r="AF2102" s="22"/>
      <c r="AG2102" s="22"/>
      <c r="AH2102" s="22"/>
      <c r="AI2102" s="22"/>
      <c r="AJ2102" s="22"/>
    </row>
    <row r="2103" spans="1:36" x14ac:dyDescent="0.25">
      <c r="A2103" s="22" t="s">
        <v>5042</v>
      </c>
      <c r="B2103" s="22">
        <v>0</v>
      </c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2"/>
      <c r="T2103" s="22"/>
      <c r="U2103" s="22"/>
      <c r="V2103" s="22"/>
      <c r="W2103" s="22"/>
      <c r="X2103" s="22"/>
      <c r="Y2103" s="22"/>
      <c r="Z2103" s="22"/>
      <c r="AA2103" s="22"/>
      <c r="AB2103" s="22"/>
      <c r="AC2103" s="22"/>
      <c r="AD2103" s="22"/>
      <c r="AE2103" s="22"/>
      <c r="AF2103" s="22"/>
      <c r="AG2103" s="22"/>
      <c r="AH2103" s="22"/>
      <c r="AI2103" s="22"/>
      <c r="AJ2103" s="22"/>
    </row>
    <row r="2104" spans="1:36" x14ac:dyDescent="0.25">
      <c r="A2104" s="22" t="s">
        <v>5043</v>
      </c>
      <c r="B2104" s="22">
        <v>0</v>
      </c>
      <c r="C2104" s="22"/>
      <c r="D2104" s="22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2"/>
      <c r="T2104" s="22"/>
      <c r="U2104" s="22"/>
      <c r="V2104" s="22"/>
      <c r="W2104" s="22"/>
      <c r="X2104" s="22"/>
      <c r="Y2104" s="22"/>
      <c r="Z2104" s="22"/>
      <c r="AA2104" s="22"/>
      <c r="AB2104" s="22"/>
      <c r="AC2104" s="22"/>
      <c r="AD2104" s="22"/>
      <c r="AE2104" s="22"/>
      <c r="AF2104" s="22"/>
      <c r="AG2104" s="22"/>
      <c r="AH2104" s="22"/>
      <c r="AI2104" s="22"/>
      <c r="AJ2104" s="22"/>
    </row>
    <row r="2105" spans="1:36" x14ac:dyDescent="0.25">
      <c r="A2105" s="22" t="s">
        <v>5044</v>
      </c>
      <c r="B2105" s="22">
        <v>0</v>
      </c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2"/>
      <c r="T2105" s="22"/>
      <c r="U2105" s="22"/>
      <c r="V2105" s="22"/>
      <c r="W2105" s="22"/>
      <c r="X2105" s="22"/>
      <c r="Y2105" s="22"/>
      <c r="Z2105" s="22"/>
      <c r="AA2105" s="22"/>
      <c r="AB2105" s="22"/>
      <c r="AC2105" s="22"/>
      <c r="AD2105" s="22"/>
      <c r="AE2105" s="22"/>
      <c r="AF2105" s="22"/>
      <c r="AG2105" s="22"/>
      <c r="AH2105" s="22"/>
      <c r="AI2105" s="22"/>
      <c r="AJ2105" s="22"/>
    </row>
    <row r="2106" spans="1:36" x14ac:dyDescent="0.25">
      <c r="A2106" s="22" t="s">
        <v>5045</v>
      </c>
      <c r="B2106" s="22">
        <v>0</v>
      </c>
      <c r="C2106" s="22"/>
      <c r="D2106" s="22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2"/>
      <c r="T2106" s="22"/>
      <c r="U2106" s="22"/>
      <c r="V2106" s="22"/>
      <c r="W2106" s="22"/>
      <c r="X2106" s="22"/>
      <c r="Y2106" s="22"/>
      <c r="Z2106" s="22"/>
      <c r="AA2106" s="22"/>
      <c r="AB2106" s="22"/>
      <c r="AC2106" s="22"/>
      <c r="AD2106" s="22"/>
      <c r="AE2106" s="22"/>
      <c r="AF2106" s="22"/>
      <c r="AG2106" s="22"/>
      <c r="AH2106" s="22"/>
      <c r="AI2106" s="22"/>
      <c r="AJ2106" s="22"/>
    </row>
    <row r="2107" spans="1:36" x14ac:dyDescent="0.25">
      <c r="A2107" s="22" t="s">
        <v>5046</v>
      </c>
      <c r="B2107" s="22">
        <v>0</v>
      </c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2"/>
      <c r="T2107" s="22"/>
      <c r="U2107" s="22"/>
      <c r="V2107" s="22"/>
      <c r="W2107" s="22"/>
      <c r="X2107" s="22"/>
      <c r="Y2107" s="22"/>
      <c r="Z2107" s="22"/>
      <c r="AA2107" s="22"/>
      <c r="AB2107" s="22"/>
      <c r="AC2107" s="22"/>
      <c r="AD2107" s="22"/>
      <c r="AE2107" s="22"/>
      <c r="AF2107" s="22"/>
      <c r="AG2107" s="22"/>
      <c r="AH2107" s="22"/>
      <c r="AI2107" s="22"/>
      <c r="AJ2107" s="22"/>
    </row>
    <row r="2108" spans="1:36" x14ac:dyDescent="0.25">
      <c r="A2108" s="22" t="s">
        <v>5047</v>
      </c>
      <c r="B2108" s="22">
        <v>0</v>
      </c>
      <c r="C2108" s="22"/>
      <c r="D2108" s="22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2"/>
      <c r="T2108" s="22"/>
      <c r="U2108" s="22"/>
      <c r="V2108" s="22"/>
      <c r="W2108" s="22"/>
      <c r="X2108" s="22"/>
      <c r="Y2108" s="22"/>
      <c r="Z2108" s="22"/>
      <c r="AA2108" s="22"/>
      <c r="AB2108" s="22"/>
      <c r="AC2108" s="22"/>
      <c r="AD2108" s="22"/>
      <c r="AE2108" s="22"/>
      <c r="AF2108" s="22"/>
      <c r="AG2108" s="22"/>
      <c r="AH2108" s="22"/>
      <c r="AI2108" s="22"/>
      <c r="AJ2108" s="22"/>
    </row>
    <row r="2109" spans="1:36" x14ac:dyDescent="0.25">
      <c r="A2109" s="22" t="s">
        <v>5048</v>
      </c>
      <c r="B2109" s="22">
        <v>0</v>
      </c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2"/>
      <c r="T2109" s="22"/>
      <c r="U2109" s="22"/>
      <c r="V2109" s="22"/>
      <c r="W2109" s="22"/>
      <c r="X2109" s="22"/>
      <c r="Y2109" s="22"/>
      <c r="Z2109" s="22"/>
      <c r="AA2109" s="22"/>
      <c r="AB2109" s="22"/>
      <c r="AC2109" s="22"/>
      <c r="AD2109" s="22"/>
      <c r="AE2109" s="22"/>
      <c r="AF2109" s="22"/>
      <c r="AG2109" s="22"/>
      <c r="AH2109" s="22"/>
      <c r="AI2109" s="22"/>
      <c r="AJ2109" s="22"/>
    </row>
    <row r="2110" spans="1:36" x14ac:dyDescent="0.25">
      <c r="A2110" s="22" t="s">
        <v>5049</v>
      </c>
      <c r="B2110" s="22">
        <v>136</v>
      </c>
      <c r="C2110" s="22"/>
      <c r="D2110" s="22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2"/>
      <c r="T2110" s="22"/>
      <c r="U2110" s="22"/>
      <c r="V2110" s="22"/>
      <c r="W2110" s="22"/>
      <c r="X2110" s="22"/>
      <c r="Y2110" s="22"/>
      <c r="Z2110" s="22"/>
      <c r="AA2110" s="22"/>
      <c r="AB2110" s="22"/>
      <c r="AC2110" s="22"/>
      <c r="AD2110" s="22"/>
      <c r="AE2110" s="22"/>
      <c r="AF2110" s="22"/>
      <c r="AG2110" s="22"/>
      <c r="AH2110" s="22"/>
      <c r="AI2110" s="22"/>
      <c r="AJ2110" s="22"/>
    </row>
    <row r="2111" spans="1:36" x14ac:dyDescent="0.25">
      <c r="A2111" s="22" t="s">
        <v>5050</v>
      </c>
      <c r="B2111" s="22">
        <v>0</v>
      </c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2"/>
      <c r="T2111" s="22"/>
      <c r="U2111" s="22"/>
      <c r="V2111" s="22"/>
      <c r="W2111" s="22"/>
      <c r="X2111" s="22"/>
      <c r="Y2111" s="22"/>
      <c r="Z2111" s="22"/>
      <c r="AA2111" s="22"/>
      <c r="AB2111" s="22"/>
      <c r="AC2111" s="22"/>
      <c r="AD2111" s="22"/>
      <c r="AE2111" s="22"/>
      <c r="AF2111" s="22"/>
      <c r="AG2111" s="22"/>
      <c r="AH2111" s="22"/>
      <c r="AI2111" s="22"/>
      <c r="AJ2111" s="22"/>
    </row>
    <row r="2112" spans="1:36" x14ac:dyDescent="0.25">
      <c r="A2112" s="22" t="s">
        <v>5051</v>
      </c>
      <c r="B2112" s="22">
        <v>0</v>
      </c>
      <c r="C2112" s="22"/>
      <c r="D2112" s="22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2"/>
      <c r="T2112" s="22"/>
      <c r="U2112" s="22"/>
      <c r="V2112" s="22"/>
      <c r="W2112" s="22"/>
      <c r="X2112" s="22"/>
      <c r="Y2112" s="22"/>
      <c r="Z2112" s="22"/>
      <c r="AA2112" s="22"/>
      <c r="AB2112" s="22"/>
      <c r="AC2112" s="22"/>
      <c r="AD2112" s="22"/>
      <c r="AE2112" s="22"/>
      <c r="AF2112" s="22"/>
      <c r="AG2112" s="22"/>
      <c r="AH2112" s="22"/>
      <c r="AI2112" s="22"/>
      <c r="AJ2112" s="22"/>
    </row>
    <row r="2113" spans="1:36" x14ac:dyDescent="0.25">
      <c r="A2113" s="22" t="s">
        <v>5052</v>
      </c>
      <c r="B2113" s="22">
        <v>0</v>
      </c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2"/>
      <c r="T2113" s="22"/>
      <c r="U2113" s="22"/>
      <c r="V2113" s="22"/>
      <c r="W2113" s="22"/>
      <c r="X2113" s="22"/>
      <c r="Y2113" s="22"/>
      <c r="Z2113" s="22"/>
      <c r="AA2113" s="22"/>
      <c r="AB2113" s="22"/>
      <c r="AC2113" s="22"/>
      <c r="AD2113" s="22"/>
      <c r="AE2113" s="22"/>
      <c r="AF2113" s="22"/>
      <c r="AG2113" s="22"/>
      <c r="AH2113" s="22"/>
      <c r="AI2113" s="22"/>
      <c r="AJ2113" s="22"/>
    </row>
    <row r="2114" spans="1:36" x14ac:dyDescent="0.25">
      <c r="A2114" s="22" t="s">
        <v>5053</v>
      </c>
      <c r="B2114" s="22">
        <v>0</v>
      </c>
      <c r="C2114" s="22"/>
      <c r="D2114" s="22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2"/>
      <c r="T2114" s="22"/>
      <c r="U2114" s="22"/>
      <c r="V2114" s="22"/>
      <c r="W2114" s="22"/>
      <c r="X2114" s="22"/>
      <c r="Y2114" s="22"/>
      <c r="Z2114" s="22"/>
      <c r="AA2114" s="22"/>
      <c r="AB2114" s="22"/>
      <c r="AC2114" s="22"/>
      <c r="AD2114" s="22"/>
      <c r="AE2114" s="22"/>
      <c r="AF2114" s="22"/>
      <c r="AG2114" s="22"/>
      <c r="AH2114" s="22"/>
      <c r="AI2114" s="22"/>
      <c r="AJ2114" s="22"/>
    </row>
    <row r="2115" spans="1:36" x14ac:dyDescent="0.25">
      <c r="A2115" s="22" t="s">
        <v>5054</v>
      </c>
      <c r="B2115" s="22">
        <v>0</v>
      </c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2"/>
      <c r="T2115" s="22"/>
      <c r="U2115" s="22"/>
      <c r="V2115" s="22"/>
      <c r="W2115" s="22"/>
      <c r="X2115" s="22"/>
      <c r="Y2115" s="22"/>
      <c r="Z2115" s="22"/>
      <c r="AA2115" s="22"/>
      <c r="AB2115" s="22"/>
      <c r="AC2115" s="22"/>
      <c r="AD2115" s="22"/>
      <c r="AE2115" s="22"/>
      <c r="AF2115" s="22"/>
      <c r="AG2115" s="22"/>
      <c r="AH2115" s="22"/>
      <c r="AI2115" s="22"/>
      <c r="AJ2115" s="22"/>
    </row>
    <row r="2116" spans="1:36" x14ac:dyDescent="0.25">
      <c r="A2116" s="22" t="s">
        <v>5055</v>
      </c>
      <c r="B2116" s="22">
        <v>0</v>
      </c>
      <c r="C2116" s="22"/>
      <c r="D2116" s="22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2"/>
      <c r="T2116" s="22"/>
      <c r="U2116" s="22"/>
      <c r="V2116" s="22"/>
      <c r="W2116" s="22"/>
      <c r="X2116" s="22"/>
      <c r="Y2116" s="22"/>
      <c r="Z2116" s="22"/>
      <c r="AA2116" s="22"/>
      <c r="AB2116" s="22"/>
      <c r="AC2116" s="22"/>
      <c r="AD2116" s="22"/>
      <c r="AE2116" s="22"/>
      <c r="AF2116" s="22"/>
      <c r="AG2116" s="22"/>
      <c r="AH2116" s="22"/>
      <c r="AI2116" s="22"/>
      <c r="AJ2116" s="22"/>
    </row>
    <row r="2117" spans="1:36" x14ac:dyDescent="0.25">
      <c r="A2117" s="22" t="s">
        <v>5056</v>
      </c>
      <c r="B2117" s="22">
        <v>0</v>
      </c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2"/>
      <c r="T2117" s="22"/>
      <c r="U2117" s="22"/>
      <c r="V2117" s="22"/>
      <c r="W2117" s="22"/>
      <c r="X2117" s="22"/>
      <c r="Y2117" s="22"/>
      <c r="Z2117" s="22"/>
      <c r="AA2117" s="22"/>
      <c r="AB2117" s="22"/>
      <c r="AC2117" s="22"/>
      <c r="AD2117" s="22"/>
      <c r="AE2117" s="22"/>
      <c r="AF2117" s="22"/>
      <c r="AG2117" s="22"/>
      <c r="AH2117" s="22"/>
      <c r="AI2117" s="22"/>
      <c r="AJ2117" s="22"/>
    </row>
    <row r="2118" spans="1:36" x14ac:dyDescent="0.25">
      <c r="A2118" s="22" t="s">
        <v>5057</v>
      </c>
      <c r="B2118" s="22">
        <v>99</v>
      </c>
      <c r="C2118" s="22"/>
      <c r="D2118" s="22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2"/>
      <c r="T2118" s="22"/>
      <c r="U2118" s="22"/>
      <c r="V2118" s="22"/>
      <c r="W2118" s="22"/>
      <c r="X2118" s="22"/>
      <c r="Y2118" s="22"/>
      <c r="Z2118" s="22"/>
      <c r="AA2118" s="22"/>
      <c r="AB2118" s="22"/>
      <c r="AC2118" s="22"/>
      <c r="AD2118" s="22"/>
      <c r="AE2118" s="22"/>
      <c r="AF2118" s="22"/>
      <c r="AG2118" s="22"/>
      <c r="AH2118" s="22"/>
      <c r="AI2118" s="22"/>
      <c r="AJ2118" s="22"/>
    </row>
    <row r="2119" spans="1:36" x14ac:dyDescent="0.25">
      <c r="A2119" s="22" t="s">
        <v>5058</v>
      </c>
      <c r="B2119" s="22">
        <v>0</v>
      </c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2"/>
      <c r="T2119" s="22"/>
      <c r="U2119" s="22"/>
      <c r="V2119" s="22"/>
      <c r="W2119" s="22"/>
      <c r="X2119" s="22"/>
      <c r="Y2119" s="22"/>
      <c r="Z2119" s="22"/>
      <c r="AA2119" s="22"/>
      <c r="AB2119" s="22"/>
      <c r="AC2119" s="22"/>
      <c r="AD2119" s="22"/>
      <c r="AE2119" s="22"/>
      <c r="AF2119" s="22"/>
      <c r="AG2119" s="22"/>
      <c r="AH2119" s="22"/>
      <c r="AI2119" s="22"/>
      <c r="AJ2119" s="22"/>
    </row>
    <row r="2120" spans="1:36" x14ac:dyDescent="0.25">
      <c r="A2120" s="22" t="s">
        <v>5059</v>
      </c>
      <c r="B2120" s="22">
        <v>0</v>
      </c>
      <c r="C2120" s="22"/>
      <c r="D2120" s="22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2"/>
      <c r="T2120" s="22"/>
      <c r="U2120" s="22"/>
      <c r="V2120" s="22"/>
      <c r="W2120" s="22"/>
      <c r="X2120" s="22"/>
      <c r="Y2120" s="22"/>
      <c r="Z2120" s="22"/>
      <c r="AA2120" s="22"/>
      <c r="AB2120" s="22"/>
      <c r="AC2120" s="22"/>
      <c r="AD2120" s="22"/>
      <c r="AE2120" s="22"/>
      <c r="AF2120" s="22"/>
      <c r="AG2120" s="22"/>
      <c r="AH2120" s="22"/>
      <c r="AI2120" s="22"/>
      <c r="AJ2120" s="22"/>
    </row>
    <row r="2121" spans="1:36" x14ac:dyDescent="0.25">
      <c r="A2121" s="22" t="s">
        <v>5060</v>
      </c>
      <c r="B2121" s="22">
        <v>0</v>
      </c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2"/>
      <c r="T2121" s="22"/>
      <c r="U2121" s="22"/>
      <c r="V2121" s="22"/>
      <c r="W2121" s="22"/>
      <c r="X2121" s="22"/>
      <c r="Y2121" s="22"/>
      <c r="Z2121" s="22"/>
      <c r="AA2121" s="22"/>
      <c r="AB2121" s="22"/>
      <c r="AC2121" s="22"/>
      <c r="AD2121" s="22"/>
      <c r="AE2121" s="22"/>
      <c r="AF2121" s="22"/>
      <c r="AG2121" s="22"/>
      <c r="AH2121" s="22"/>
      <c r="AI2121" s="22"/>
      <c r="AJ2121" s="22"/>
    </row>
    <row r="2122" spans="1:36" x14ac:dyDescent="0.25">
      <c r="A2122" s="22" t="s">
        <v>5061</v>
      </c>
      <c r="B2122" s="22">
        <v>0</v>
      </c>
      <c r="C2122" s="22"/>
      <c r="D2122" s="22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2"/>
      <c r="T2122" s="22"/>
      <c r="U2122" s="22"/>
      <c r="V2122" s="22"/>
      <c r="W2122" s="22"/>
      <c r="X2122" s="22"/>
      <c r="Y2122" s="22"/>
      <c r="Z2122" s="22"/>
      <c r="AA2122" s="22"/>
      <c r="AB2122" s="22"/>
      <c r="AC2122" s="22"/>
      <c r="AD2122" s="22"/>
      <c r="AE2122" s="22"/>
      <c r="AF2122" s="22"/>
      <c r="AG2122" s="22"/>
      <c r="AH2122" s="22"/>
      <c r="AI2122" s="22"/>
      <c r="AJ2122" s="22"/>
    </row>
    <row r="2123" spans="1:36" x14ac:dyDescent="0.25">
      <c r="A2123" s="22" t="s">
        <v>5062</v>
      </c>
      <c r="B2123" s="22">
        <v>0</v>
      </c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2"/>
      <c r="T2123" s="22"/>
      <c r="U2123" s="22"/>
      <c r="V2123" s="22"/>
      <c r="W2123" s="22"/>
      <c r="X2123" s="22"/>
      <c r="Y2123" s="22"/>
      <c r="Z2123" s="22"/>
      <c r="AA2123" s="22"/>
      <c r="AB2123" s="22"/>
      <c r="AC2123" s="22"/>
      <c r="AD2123" s="22"/>
      <c r="AE2123" s="22"/>
      <c r="AF2123" s="22"/>
      <c r="AG2123" s="22"/>
      <c r="AH2123" s="22"/>
      <c r="AI2123" s="22"/>
      <c r="AJ2123" s="22"/>
    </row>
    <row r="2124" spans="1:36" x14ac:dyDescent="0.25">
      <c r="A2124" s="22" t="s">
        <v>5063</v>
      </c>
      <c r="B2124" s="22">
        <v>0</v>
      </c>
      <c r="C2124" s="22"/>
      <c r="D2124" s="22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2"/>
      <c r="T2124" s="22"/>
      <c r="U2124" s="22"/>
      <c r="V2124" s="22"/>
      <c r="W2124" s="22"/>
      <c r="X2124" s="22"/>
      <c r="Y2124" s="22"/>
      <c r="Z2124" s="22"/>
      <c r="AA2124" s="22"/>
      <c r="AB2124" s="22"/>
      <c r="AC2124" s="22"/>
      <c r="AD2124" s="22"/>
      <c r="AE2124" s="22"/>
      <c r="AF2124" s="22"/>
      <c r="AG2124" s="22"/>
      <c r="AH2124" s="22"/>
      <c r="AI2124" s="22"/>
      <c r="AJ2124" s="22"/>
    </row>
    <row r="2125" spans="1:36" x14ac:dyDescent="0.25">
      <c r="A2125" s="22" t="s">
        <v>5064</v>
      </c>
      <c r="B2125" s="22">
        <v>0</v>
      </c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2"/>
      <c r="T2125" s="22"/>
      <c r="U2125" s="22"/>
      <c r="V2125" s="22"/>
      <c r="W2125" s="22"/>
      <c r="X2125" s="22"/>
      <c r="Y2125" s="22"/>
      <c r="Z2125" s="22"/>
      <c r="AA2125" s="22"/>
      <c r="AB2125" s="22"/>
      <c r="AC2125" s="22"/>
      <c r="AD2125" s="22"/>
      <c r="AE2125" s="22"/>
      <c r="AF2125" s="22"/>
      <c r="AG2125" s="22"/>
      <c r="AH2125" s="22"/>
      <c r="AI2125" s="22"/>
      <c r="AJ2125" s="22"/>
    </row>
    <row r="2126" spans="1:36" x14ac:dyDescent="0.25">
      <c r="A2126" s="22" t="s">
        <v>5065</v>
      </c>
      <c r="B2126" s="22">
        <v>4</v>
      </c>
      <c r="C2126" s="22"/>
      <c r="D2126" s="22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2"/>
      <c r="T2126" s="22"/>
      <c r="U2126" s="22"/>
      <c r="V2126" s="22"/>
      <c r="W2126" s="22"/>
      <c r="X2126" s="22"/>
      <c r="Y2126" s="22"/>
      <c r="Z2126" s="22"/>
      <c r="AA2126" s="22"/>
      <c r="AB2126" s="22"/>
      <c r="AC2126" s="22"/>
      <c r="AD2126" s="22"/>
      <c r="AE2126" s="22"/>
      <c r="AF2126" s="22"/>
      <c r="AG2126" s="22"/>
      <c r="AH2126" s="22"/>
      <c r="AI2126" s="22"/>
      <c r="AJ2126" s="22"/>
    </row>
    <row r="2127" spans="1:36" x14ac:dyDescent="0.25">
      <c r="A2127" s="22" t="s">
        <v>5066</v>
      </c>
      <c r="B2127" s="22">
        <v>0</v>
      </c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2"/>
      <c r="T2127" s="22"/>
      <c r="U2127" s="22"/>
      <c r="V2127" s="22"/>
      <c r="W2127" s="22"/>
      <c r="X2127" s="22"/>
      <c r="Y2127" s="22"/>
      <c r="Z2127" s="22"/>
      <c r="AA2127" s="22"/>
      <c r="AB2127" s="22"/>
      <c r="AC2127" s="22"/>
      <c r="AD2127" s="22"/>
      <c r="AE2127" s="22"/>
      <c r="AF2127" s="22"/>
      <c r="AG2127" s="22"/>
      <c r="AH2127" s="22"/>
      <c r="AI2127" s="22"/>
      <c r="AJ2127" s="22"/>
    </row>
    <row r="2128" spans="1:36" x14ac:dyDescent="0.25">
      <c r="A2128" s="22" t="s">
        <v>5067</v>
      </c>
      <c r="B2128" s="22">
        <v>0</v>
      </c>
      <c r="C2128" s="22"/>
      <c r="D2128" s="22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2"/>
      <c r="T2128" s="22"/>
      <c r="U2128" s="22"/>
      <c r="V2128" s="22"/>
      <c r="W2128" s="22"/>
      <c r="X2128" s="22"/>
      <c r="Y2128" s="22"/>
      <c r="Z2128" s="22"/>
      <c r="AA2128" s="22"/>
      <c r="AB2128" s="22"/>
      <c r="AC2128" s="22"/>
      <c r="AD2128" s="22"/>
      <c r="AE2128" s="22"/>
      <c r="AF2128" s="22"/>
      <c r="AG2128" s="22"/>
      <c r="AH2128" s="22"/>
      <c r="AI2128" s="22"/>
      <c r="AJ2128" s="22"/>
    </row>
    <row r="2129" spans="1:36" x14ac:dyDescent="0.25">
      <c r="A2129" s="22" t="s">
        <v>5068</v>
      </c>
      <c r="B2129" s="22">
        <v>0</v>
      </c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2"/>
      <c r="T2129" s="22"/>
      <c r="U2129" s="22"/>
      <c r="V2129" s="22"/>
      <c r="W2129" s="22"/>
      <c r="X2129" s="22"/>
      <c r="Y2129" s="22"/>
      <c r="Z2129" s="22"/>
      <c r="AA2129" s="22"/>
      <c r="AB2129" s="22"/>
      <c r="AC2129" s="22"/>
      <c r="AD2129" s="22"/>
      <c r="AE2129" s="22"/>
      <c r="AF2129" s="22"/>
      <c r="AG2129" s="22"/>
      <c r="AH2129" s="22"/>
      <c r="AI2129" s="22"/>
      <c r="AJ2129" s="22"/>
    </row>
    <row r="2130" spans="1:36" x14ac:dyDescent="0.25">
      <c r="A2130" s="22" t="s">
        <v>5069</v>
      </c>
      <c r="B2130" s="22">
        <v>0</v>
      </c>
      <c r="C2130" s="22"/>
      <c r="D2130" s="22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2"/>
      <c r="T2130" s="22"/>
      <c r="U2130" s="22"/>
      <c r="V2130" s="22"/>
      <c r="W2130" s="22"/>
      <c r="X2130" s="22"/>
      <c r="Y2130" s="22"/>
      <c r="Z2130" s="22"/>
      <c r="AA2130" s="22"/>
      <c r="AB2130" s="22"/>
      <c r="AC2130" s="22"/>
      <c r="AD2130" s="22"/>
      <c r="AE2130" s="22"/>
      <c r="AF2130" s="22"/>
      <c r="AG2130" s="22"/>
      <c r="AH2130" s="22"/>
      <c r="AI2130" s="22"/>
      <c r="AJ2130" s="22"/>
    </row>
    <row r="2131" spans="1:36" x14ac:dyDescent="0.25">
      <c r="A2131" s="22" t="s">
        <v>5070</v>
      </c>
      <c r="B2131" s="22">
        <v>0</v>
      </c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2"/>
      <c r="T2131" s="22"/>
      <c r="U2131" s="22"/>
      <c r="V2131" s="22"/>
      <c r="W2131" s="22"/>
      <c r="X2131" s="22"/>
      <c r="Y2131" s="22"/>
      <c r="Z2131" s="22"/>
      <c r="AA2131" s="22"/>
      <c r="AB2131" s="22"/>
      <c r="AC2131" s="22"/>
      <c r="AD2131" s="22"/>
      <c r="AE2131" s="22"/>
      <c r="AF2131" s="22"/>
      <c r="AG2131" s="22"/>
      <c r="AH2131" s="22"/>
      <c r="AI2131" s="22"/>
      <c r="AJ2131" s="22"/>
    </row>
    <row r="2132" spans="1:36" x14ac:dyDescent="0.25">
      <c r="A2132" s="22" t="s">
        <v>5071</v>
      </c>
      <c r="B2132" s="22">
        <v>0</v>
      </c>
      <c r="C2132" s="22"/>
      <c r="D2132" s="22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2"/>
      <c r="T2132" s="22"/>
      <c r="U2132" s="22"/>
      <c r="V2132" s="22"/>
      <c r="W2132" s="22"/>
      <c r="X2132" s="22"/>
      <c r="Y2132" s="22"/>
      <c r="Z2132" s="22"/>
      <c r="AA2132" s="22"/>
      <c r="AB2132" s="22"/>
      <c r="AC2132" s="22"/>
      <c r="AD2132" s="22"/>
      <c r="AE2132" s="22"/>
      <c r="AF2132" s="22"/>
      <c r="AG2132" s="22"/>
      <c r="AH2132" s="22"/>
      <c r="AI2132" s="22"/>
      <c r="AJ2132" s="22"/>
    </row>
    <row r="2133" spans="1:36" x14ac:dyDescent="0.25">
      <c r="A2133" s="22" t="s">
        <v>5072</v>
      </c>
      <c r="B2133" s="22">
        <v>0</v>
      </c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2"/>
      <c r="T2133" s="22"/>
      <c r="U2133" s="22"/>
      <c r="V2133" s="22"/>
      <c r="W2133" s="22"/>
      <c r="X2133" s="22"/>
      <c r="Y2133" s="22"/>
      <c r="Z2133" s="22"/>
      <c r="AA2133" s="22"/>
      <c r="AB2133" s="22"/>
      <c r="AC2133" s="22"/>
      <c r="AD2133" s="22"/>
      <c r="AE2133" s="22"/>
      <c r="AF2133" s="22"/>
      <c r="AG2133" s="22"/>
      <c r="AH2133" s="22"/>
      <c r="AI2133" s="22"/>
      <c r="AJ2133" s="22"/>
    </row>
    <row r="2134" spans="1:36" x14ac:dyDescent="0.25">
      <c r="A2134" s="22" t="s">
        <v>5073</v>
      </c>
      <c r="B2134" s="22">
        <v>66</v>
      </c>
      <c r="C2134" s="22"/>
      <c r="D2134" s="22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2"/>
      <c r="T2134" s="22"/>
      <c r="U2134" s="22"/>
      <c r="V2134" s="22"/>
      <c r="W2134" s="22"/>
      <c r="X2134" s="22"/>
      <c r="Y2134" s="22"/>
      <c r="Z2134" s="22"/>
      <c r="AA2134" s="22"/>
      <c r="AB2134" s="22"/>
      <c r="AC2134" s="22"/>
      <c r="AD2134" s="22"/>
      <c r="AE2134" s="22"/>
      <c r="AF2134" s="22"/>
      <c r="AG2134" s="22"/>
      <c r="AH2134" s="22"/>
      <c r="AI2134" s="22"/>
      <c r="AJ2134" s="22"/>
    </row>
    <row r="2135" spans="1:36" x14ac:dyDescent="0.25">
      <c r="A2135" s="22" t="s">
        <v>5074</v>
      </c>
      <c r="B2135" s="22">
        <v>0</v>
      </c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2"/>
      <c r="T2135" s="22"/>
      <c r="U2135" s="22"/>
      <c r="V2135" s="22"/>
      <c r="W2135" s="22"/>
      <c r="X2135" s="22"/>
      <c r="Y2135" s="22"/>
      <c r="Z2135" s="22"/>
      <c r="AA2135" s="22"/>
      <c r="AB2135" s="22"/>
      <c r="AC2135" s="22"/>
      <c r="AD2135" s="22"/>
      <c r="AE2135" s="22"/>
      <c r="AF2135" s="22"/>
      <c r="AG2135" s="22"/>
      <c r="AH2135" s="22"/>
      <c r="AI2135" s="22"/>
      <c r="AJ2135" s="22"/>
    </row>
    <row r="2136" spans="1:36" x14ac:dyDescent="0.25">
      <c r="A2136" s="22" t="s">
        <v>5075</v>
      </c>
      <c r="B2136" s="22">
        <v>0</v>
      </c>
      <c r="C2136" s="22"/>
      <c r="D2136" s="22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2"/>
      <c r="T2136" s="22"/>
      <c r="U2136" s="22"/>
      <c r="V2136" s="22"/>
      <c r="W2136" s="22"/>
      <c r="X2136" s="22"/>
      <c r="Y2136" s="22"/>
      <c r="Z2136" s="22"/>
      <c r="AA2136" s="22"/>
      <c r="AB2136" s="22"/>
      <c r="AC2136" s="22"/>
      <c r="AD2136" s="22"/>
      <c r="AE2136" s="22"/>
      <c r="AF2136" s="22"/>
      <c r="AG2136" s="22"/>
      <c r="AH2136" s="22"/>
      <c r="AI2136" s="22"/>
      <c r="AJ2136" s="22"/>
    </row>
    <row r="2137" spans="1:36" x14ac:dyDescent="0.25">
      <c r="A2137" s="22" t="s">
        <v>5076</v>
      </c>
      <c r="B2137" s="22">
        <v>0</v>
      </c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2"/>
      <c r="T2137" s="22"/>
      <c r="U2137" s="22"/>
      <c r="V2137" s="22"/>
      <c r="W2137" s="22"/>
      <c r="X2137" s="22"/>
      <c r="Y2137" s="22"/>
      <c r="Z2137" s="22"/>
      <c r="AA2137" s="22"/>
      <c r="AB2137" s="22"/>
      <c r="AC2137" s="22"/>
      <c r="AD2137" s="22"/>
      <c r="AE2137" s="22"/>
      <c r="AF2137" s="22"/>
      <c r="AG2137" s="22"/>
      <c r="AH2137" s="22"/>
      <c r="AI2137" s="22"/>
      <c r="AJ2137" s="22"/>
    </row>
    <row r="2138" spans="1:36" x14ac:dyDescent="0.25">
      <c r="A2138" s="22" t="s">
        <v>5077</v>
      </c>
      <c r="B2138" s="22">
        <v>40</v>
      </c>
      <c r="C2138" s="22"/>
      <c r="D2138" s="22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2"/>
      <c r="T2138" s="22"/>
      <c r="U2138" s="22"/>
      <c r="V2138" s="22"/>
      <c r="W2138" s="22"/>
      <c r="X2138" s="22"/>
      <c r="Y2138" s="22"/>
      <c r="Z2138" s="22"/>
      <c r="AA2138" s="22"/>
      <c r="AB2138" s="22"/>
      <c r="AC2138" s="22"/>
      <c r="AD2138" s="22"/>
      <c r="AE2138" s="22"/>
      <c r="AF2138" s="22"/>
      <c r="AG2138" s="22"/>
      <c r="AH2138" s="22"/>
      <c r="AI2138" s="22"/>
      <c r="AJ2138" s="22"/>
    </row>
    <row r="2139" spans="1:36" x14ac:dyDescent="0.25">
      <c r="A2139" s="22" t="s">
        <v>5078</v>
      </c>
      <c r="B2139" s="22">
        <v>0</v>
      </c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2"/>
      <c r="T2139" s="22"/>
      <c r="U2139" s="22"/>
      <c r="V2139" s="22"/>
      <c r="W2139" s="22"/>
      <c r="X2139" s="22"/>
      <c r="Y2139" s="22"/>
      <c r="Z2139" s="22"/>
      <c r="AA2139" s="22"/>
      <c r="AB2139" s="22"/>
      <c r="AC2139" s="22"/>
      <c r="AD2139" s="22"/>
      <c r="AE2139" s="22"/>
      <c r="AF2139" s="22"/>
      <c r="AG2139" s="22"/>
      <c r="AH2139" s="22"/>
      <c r="AI2139" s="22"/>
      <c r="AJ2139" s="22"/>
    </row>
    <row r="2140" spans="1:36" x14ac:dyDescent="0.25">
      <c r="A2140" s="22" t="s">
        <v>5079</v>
      </c>
      <c r="B2140" s="22">
        <v>0</v>
      </c>
      <c r="C2140" s="22"/>
      <c r="D2140" s="22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2"/>
      <c r="T2140" s="22"/>
      <c r="U2140" s="22"/>
      <c r="V2140" s="22"/>
      <c r="W2140" s="22"/>
      <c r="X2140" s="22"/>
      <c r="Y2140" s="22"/>
      <c r="Z2140" s="22"/>
      <c r="AA2140" s="22"/>
      <c r="AB2140" s="22"/>
      <c r="AC2140" s="22"/>
      <c r="AD2140" s="22"/>
      <c r="AE2140" s="22"/>
      <c r="AF2140" s="22"/>
      <c r="AG2140" s="22"/>
      <c r="AH2140" s="22"/>
      <c r="AI2140" s="22"/>
      <c r="AJ2140" s="22"/>
    </row>
    <row r="2141" spans="1:36" x14ac:dyDescent="0.25">
      <c r="A2141" s="22" t="s">
        <v>5080</v>
      </c>
      <c r="B2141" s="22">
        <v>0</v>
      </c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2"/>
      <c r="T2141" s="22"/>
      <c r="U2141" s="22"/>
      <c r="V2141" s="22"/>
      <c r="W2141" s="22"/>
      <c r="X2141" s="22"/>
      <c r="Y2141" s="22"/>
      <c r="Z2141" s="22"/>
      <c r="AA2141" s="22"/>
      <c r="AB2141" s="22"/>
      <c r="AC2141" s="22"/>
      <c r="AD2141" s="22"/>
      <c r="AE2141" s="22"/>
      <c r="AF2141" s="22"/>
      <c r="AG2141" s="22"/>
      <c r="AH2141" s="22"/>
      <c r="AI2141" s="22"/>
      <c r="AJ2141" s="22"/>
    </row>
    <row r="2142" spans="1:36" x14ac:dyDescent="0.25">
      <c r="A2142" s="22" t="s">
        <v>5081</v>
      </c>
      <c r="B2142" s="22">
        <v>121</v>
      </c>
      <c r="C2142" s="22"/>
      <c r="D2142" s="22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2"/>
      <c r="T2142" s="22"/>
      <c r="U2142" s="22"/>
      <c r="V2142" s="22"/>
      <c r="W2142" s="22"/>
      <c r="X2142" s="22"/>
      <c r="Y2142" s="22"/>
      <c r="Z2142" s="22"/>
      <c r="AA2142" s="22"/>
      <c r="AB2142" s="22"/>
      <c r="AC2142" s="22"/>
      <c r="AD2142" s="22"/>
      <c r="AE2142" s="22"/>
      <c r="AF2142" s="22"/>
      <c r="AG2142" s="22"/>
      <c r="AH2142" s="22"/>
      <c r="AI2142" s="22"/>
      <c r="AJ2142" s="22"/>
    </row>
    <row r="2143" spans="1:36" x14ac:dyDescent="0.25">
      <c r="A2143" s="22" t="s">
        <v>5082</v>
      </c>
      <c r="B2143" s="22">
        <v>31</v>
      </c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2"/>
      <c r="T2143" s="22"/>
      <c r="U2143" s="22"/>
      <c r="V2143" s="22"/>
      <c r="W2143" s="22"/>
      <c r="X2143" s="22"/>
      <c r="Y2143" s="22"/>
      <c r="Z2143" s="22"/>
      <c r="AA2143" s="22"/>
      <c r="AB2143" s="22"/>
      <c r="AC2143" s="22"/>
      <c r="AD2143" s="22"/>
      <c r="AE2143" s="22"/>
      <c r="AF2143" s="22"/>
      <c r="AG2143" s="22"/>
      <c r="AH2143" s="22"/>
      <c r="AI2143" s="22"/>
      <c r="AJ2143" s="22"/>
    </row>
    <row r="2144" spans="1:36" x14ac:dyDescent="0.25">
      <c r="A2144" s="22" t="s">
        <v>5083</v>
      </c>
      <c r="B2144" s="22">
        <v>0</v>
      </c>
      <c r="C2144" s="22"/>
      <c r="D2144" s="22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2"/>
      <c r="T2144" s="22"/>
      <c r="U2144" s="22"/>
      <c r="V2144" s="22"/>
      <c r="W2144" s="22"/>
      <c r="X2144" s="22"/>
      <c r="Y2144" s="22"/>
      <c r="Z2144" s="22"/>
      <c r="AA2144" s="22"/>
      <c r="AB2144" s="22"/>
      <c r="AC2144" s="22"/>
      <c r="AD2144" s="22"/>
      <c r="AE2144" s="22"/>
      <c r="AF2144" s="22"/>
      <c r="AG2144" s="22"/>
      <c r="AH2144" s="22"/>
      <c r="AI2144" s="22"/>
      <c r="AJ2144" s="22"/>
    </row>
    <row r="2145" spans="1:36" x14ac:dyDescent="0.25">
      <c r="A2145" s="22" t="s">
        <v>5084</v>
      </c>
      <c r="B2145" s="22">
        <v>0</v>
      </c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2"/>
      <c r="T2145" s="22"/>
      <c r="U2145" s="22"/>
      <c r="V2145" s="22"/>
      <c r="W2145" s="22"/>
      <c r="X2145" s="22"/>
      <c r="Y2145" s="22"/>
      <c r="Z2145" s="22"/>
      <c r="AA2145" s="22"/>
      <c r="AB2145" s="22"/>
      <c r="AC2145" s="22"/>
      <c r="AD2145" s="22"/>
      <c r="AE2145" s="22"/>
      <c r="AF2145" s="22"/>
      <c r="AG2145" s="22"/>
      <c r="AH2145" s="22"/>
      <c r="AI2145" s="22"/>
      <c r="AJ2145" s="22"/>
    </row>
    <row r="2146" spans="1:36" x14ac:dyDescent="0.25">
      <c r="A2146" s="22" t="s">
        <v>5085</v>
      </c>
      <c r="B2146" s="22">
        <v>0</v>
      </c>
      <c r="C2146" s="22"/>
      <c r="D2146" s="22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2"/>
      <c r="T2146" s="22"/>
      <c r="U2146" s="22"/>
      <c r="V2146" s="22"/>
      <c r="W2146" s="22"/>
      <c r="X2146" s="22"/>
      <c r="Y2146" s="22"/>
      <c r="Z2146" s="22"/>
      <c r="AA2146" s="22"/>
      <c r="AB2146" s="22"/>
      <c r="AC2146" s="22"/>
      <c r="AD2146" s="22"/>
      <c r="AE2146" s="22"/>
      <c r="AF2146" s="22"/>
      <c r="AG2146" s="22"/>
      <c r="AH2146" s="22"/>
      <c r="AI2146" s="22"/>
      <c r="AJ2146" s="22"/>
    </row>
    <row r="2147" spans="1:36" x14ac:dyDescent="0.25">
      <c r="A2147" s="22" t="s">
        <v>5086</v>
      </c>
      <c r="B2147" s="22">
        <v>0</v>
      </c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2"/>
      <c r="T2147" s="22"/>
      <c r="U2147" s="22"/>
      <c r="V2147" s="22"/>
      <c r="W2147" s="22"/>
      <c r="X2147" s="22"/>
      <c r="Y2147" s="22"/>
      <c r="Z2147" s="22"/>
      <c r="AA2147" s="22"/>
      <c r="AB2147" s="22"/>
      <c r="AC2147" s="22"/>
      <c r="AD2147" s="22"/>
      <c r="AE2147" s="22"/>
      <c r="AF2147" s="22"/>
      <c r="AG2147" s="22"/>
      <c r="AH2147" s="22"/>
      <c r="AI2147" s="22"/>
      <c r="AJ2147" s="22"/>
    </row>
    <row r="2148" spans="1:36" x14ac:dyDescent="0.25">
      <c r="A2148" s="22" t="s">
        <v>5087</v>
      </c>
      <c r="B2148" s="22">
        <v>0</v>
      </c>
      <c r="C2148" s="22"/>
      <c r="D2148" s="22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2"/>
      <c r="T2148" s="22"/>
      <c r="U2148" s="22"/>
      <c r="V2148" s="22"/>
      <c r="W2148" s="22"/>
      <c r="X2148" s="22"/>
      <c r="Y2148" s="22"/>
      <c r="Z2148" s="22"/>
      <c r="AA2148" s="22"/>
      <c r="AB2148" s="22"/>
      <c r="AC2148" s="22"/>
      <c r="AD2148" s="22"/>
      <c r="AE2148" s="22"/>
      <c r="AF2148" s="22"/>
      <c r="AG2148" s="22"/>
      <c r="AH2148" s="22"/>
      <c r="AI2148" s="22"/>
      <c r="AJ2148" s="22"/>
    </row>
    <row r="2149" spans="1:36" x14ac:dyDescent="0.25">
      <c r="A2149" s="22" t="s">
        <v>5088</v>
      </c>
      <c r="B2149" s="22">
        <v>0</v>
      </c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2"/>
      <c r="T2149" s="22"/>
      <c r="U2149" s="22"/>
      <c r="V2149" s="22"/>
      <c r="W2149" s="22"/>
      <c r="X2149" s="22"/>
      <c r="Y2149" s="22"/>
      <c r="Z2149" s="22"/>
      <c r="AA2149" s="22"/>
      <c r="AB2149" s="22"/>
      <c r="AC2149" s="22"/>
      <c r="AD2149" s="22"/>
      <c r="AE2149" s="22"/>
      <c r="AF2149" s="22"/>
      <c r="AG2149" s="22"/>
      <c r="AH2149" s="22"/>
      <c r="AI2149" s="22"/>
      <c r="AJ2149" s="22"/>
    </row>
    <row r="2150" spans="1:36" x14ac:dyDescent="0.25">
      <c r="A2150" s="22" t="s">
        <v>5089</v>
      </c>
      <c r="B2150" s="22">
        <v>87</v>
      </c>
      <c r="C2150" s="22"/>
      <c r="D2150" s="22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  <c r="Z2150" s="22"/>
      <c r="AA2150" s="22"/>
      <c r="AB2150" s="22"/>
      <c r="AC2150" s="22"/>
      <c r="AD2150" s="22"/>
      <c r="AE2150" s="22"/>
      <c r="AF2150" s="22"/>
      <c r="AG2150" s="22"/>
      <c r="AH2150" s="22"/>
      <c r="AI2150" s="22"/>
      <c r="AJ2150" s="22"/>
    </row>
    <row r="2151" spans="1:36" x14ac:dyDescent="0.25">
      <c r="A2151" s="22" t="s">
        <v>5090</v>
      </c>
      <c r="B2151" s="22">
        <v>25</v>
      </c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2"/>
      <c r="T2151" s="22"/>
      <c r="U2151" s="22"/>
      <c r="V2151" s="22"/>
      <c r="W2151" s="22"/>
      <c r="X2151" s="22"/>
      <c r="Y2151" s="22"/>
      <c r="Z2151" s="22"/>
      <c r="AA2151" s="22"/>
      <c r="AB2151" s="22"/>
      <c r="AC2151" s="22"/>
      <c r="AD2151" s="22"/>
      <c r="AE2151" s="22"/>
      <c r="AF2151" s="22"/>
      <c r="AG2151" s="22"/>
      <c r="AH2151" s="22"/>
      <c r="AI2151" s="22"/>
      <c r="AJ2151" s="22"/>
    </row>
    <row r="2152" spans="1:36" x14ac:dyDescent="0.25">
      <c r="A2152" s="22" t="s">
        <v>5091</v>
      </c>
      <c r="B2152" s="22">
        <v>0</v>
      </c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2"/>
      <c r="T2152" s="22"/>
      <c r="U2152" s="22"/>
      <c r="V2152" s="22"/>
      <c r="W2152" s="22"/>
      <c r="X2152" s="22"/>
      <c r="Y2152" s="22"/>
      <c r="Z2152" s="22"/>
      <c r="AA2152" s="22"/>
      <c r="AB2152" s="22"/>
      <c r="AC2152" s="22"/>
      <c r="AD2152" s="22"/>
      <c r="AE2152" s="22"/>
      <c r="AF2152" s="22"/>
      <c r="AG2152" s="22"/>
      <c r="AH2152" s="22"/>
      <c r="AI2152" s="22"/>
      <c r="AJ2152" s="22"/>
    </row>
    <row r="2153" spans="1:36" x14ac:dyDescent="0.25">
      <c r="A2153" s="22" t="s">
        <v>5092</v>
      </c>
      <c r="B2153" s="22">
        <v>0</v>
      </c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2"/>
      <c r="T2153" s="22"/>
      <c r="U2153" s="22"/>
      <c r="V2153" s="22"/>
      <c r="W2153" s="22"/>
      <c r="X2153" s="22"/>
      <c r="Y2153" s="22"/>
      <c r="Z2153" s="22"/>
      <c r="AA2153" s="22"/>
      <c r="AB2153" s="22"/>
      <c r="AC2153" s="22"/>
      <c r="AD2153" s="22"/>
      <c r="AE2153" s="22"/>
      <c r="AF2153" s="22"/>
      <c r="AG2153" s="22"/>
      <c r="AH2153" s="22"/>
      <c r="AI2153" s="22"/>
      <c r="AJ2153" s="22"/>
    </row>
    <row r="2154" spans="1:36" x14ac:dyDescent="0.25">
      <c r="A2154" s="22" t="s">
        <v>5093</v>
      </c>
      <c r="B2154" s="22">
        <v>18</v>
      </c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2"/>
      <c r="T2154" s="22"/>
      <c r="U2154" s="22"/>
      <c r="V2154" s="22"/>
      <c r="W2154" s="22"/>
      <c r="X2154" s="22"/>
      <c r="Y2154" s="22"/>
      <c r="Z2154" s="22"/>
      <c r="AA2154" s="22"/>
      <c r="AB2154" s="22"/>
      <c r="AC2154" s="22"/>
      <c r="AD2154" s="22"/>
      <c r="AE2154" s="22"/>
      <c r="AF2154" s="22"/>
      <c r="AG2154" s="22"/>
      <c r="AH2154" s="22"/>
      <c r="AI2154" s="22"/>
      <c r="AJ2154" s="22"/>
    </row>
    <row r="2155" spans="1:36" x14ac:dyDescent="0.25">
      <c r="A2155" s="22" t="s">
        <v>5094</v>
      </c>
      <c r="B2155" s="22">
        <v>0</v>
      </c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2"/>
      <c r="T2155" s="22"/>
      <c r="U2155" s="22"/>
      <c r="V2155" s="22"/>
      <c r="W2155" s="22"/>
      <c r="X2155" s="22"/>
      <c r="Y2155" s="22"/>
      <c r="Z2155" s="22"/>
      <c r="AA2155" s="22"/>
      <c r="AB2155" s="22"/>
      <c r="AC2155" s="22"/>
      <c r="AD2155" s="22"/>
      <c r="AE2155" s="22"/>
      <c r="AF2155" s="22"/>
      <c r="AG2155" s="22"/>
      <c r="AH2155" s="22"/>
      <c r="AI2155" s="22"/>
      <c r="AJ2155" s="22"/>
    </row>
    <row r="2156" spans="1:36" x14ac:dyDescent="0.25">
      <c r="A2156" s="22" t="s">
        <v>5095</v>
      </c>
      <c r="B2156" s="22">
        <v>0</v>
      </c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2"/>
      <c r="T2156" s="22"/>
      <c r="U2156" s="22"/>
      <c r="V2156" s="22"/>
      <c r="W2156" s="22"/>
      <c r="X2156" s="22"/>
      <c r="Y2156" s="22"/>
      <c r="Z2156" s="22"/>
      <c r="AA2156" s="22"/>
      <c r="AB2156" s="22"/>
      <c r="AC2156" s="22"/>
      <c r="AD2156" s="22"/>
      <c r="AE2156" s="22"/>
      <c r="AF2156" s="22"/>
      <c r="AG2156" s="22"/>
      <c r="AH2156" s="22"/>
      <c r="AI2156" s="22"/>
      <c r="AJ2156" s="22"/>
    </row>
    <row r="2157" spans="1:36" x14ac:dyDescent="0.25">
      <c r="A2157" s="22" t="s">
        <v>5096</v>
      </c>
      <c r="B2157" s="22">
        <v>0</v>
      </c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2"/>
      <c r="T2157" s="22"/>
      <c r="U2157" s="22"/>
      <c r="V2157" s="22"/>
      <c r="W2157" s="22"/>
      <c r="X2157" s="22"/>
      <c r="Y2157" s="22"/>
      <c r="Z2157" s="22"/>
      <c r="AA2157" s="22"/>
      <c r="AB2157" s="22"/>
      <c r="AC2157" s="22"/>
      <c r="AD2157" s="22"/>
      <c r="AE2157" s="22"/>
      <c r="AF2157" s="22"/>
      <c r="AG2157" s="22"/>
      <c r="AH2157" s="22"/>
      <c r="AI2157" s="22"/>
      <c r="AJ2157" s="22"/>
    </row>
    <row r="2158" spans="1:36" x14ac:dyDescent="0.25">
      <c r="A2158" s="22" t="s">
        <v>5097</v>
      </c>
      <c r="B2158" s="22">
        <v>340</v>
      </c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2"/>
      <c r="T2158" s="22"/>
      <c r="U2158" s="22"/>
      <c r="V2158" s="22"/>
      <c r="W2158" s="22"/>
      <c r="X2158" s="22"/>
      <c r="Y2158" s="22"/>
      <c r="Z2158" s="22"/>
      <c r="AA2158" s="22"/>
      <c r="AB2158" s="22"/>
      <c r="AC2158" s="22"/>
      <c r="AD2158" s="22"/>
      <c r="AE2158" s="22"/>
      <c r="AF2158" s="22"/>
      <c r="AG2158" s="22"/>
      <c r="AH2158" s="22"/>
      <c r="AI2158" s="22"/>
      <c r="AJ2158" s="22"/>
    </row>
    <row r="2159" spans="1:36" x14ac:dyDescent="0.25">
      <c r="A2159" s="22" t="s">
        <v>5098</v>
      </c>
      <c r="B2159" s="22">
        <v>296</v>
      </c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2"/>
      <c r="T2159" s="22"/>
      <c r="U2159" s="22"/>
      <c r="V2159" s="22"/>
      <c r="W2159" s="22"/>
      <c r="X2159" s="22"/>
      <c r="Y2159" s="22"/>
      <c r="Z2159" s="22"/>
      <c r="AA2159" s="22"/>
      <c r="AB2159" s="22"/>
      <c r="AC2159" s="22"/>
      <c r="AD2159" s="22"/>
      <c r="AE2159" s="22"/>
      <c r="AF2159" s="22"/>
      <c r="AG2159" s="22"/>
      <c r="AH2159" s="22"/>
      <c r="AI2159" s="22"/>
      <c r="AJ2159" s="22"/>
    </row>
    <row r="2160" spans="1:36" x14ac:dyDescent="0.25">
      <c r="A2160" s="22" t="s">
        <v>5099</v>
      </c>
      <c r="B2160" s="22">
        <v>0</v>
      </c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2"/>
      <c r="T2160" s="22"/>
      <c r="U2160" s="22"/>
      <c r="V2160" s="22"/>
      <c r="W2160" s="22"/>
      <c r="X2160" s="22"/>
      <c r="Y2160" s="22"/>
      <c r="Z2160" s="22"/>
      <c r="AA2160" s="22"/>
      <c r="AB2160" s="22"/>
      <c r="AC2160" s="22"/>
      <c r="AD2160" s="22"/>
      <c r="AE2160" s="22"/>
      <c r="AF2160" s="22"/>
      <c r="AG2160" s="22"/>
      <c r="AH2160" s="22"/>
      <c r="AI2160" s="22"/>
      <c r="AJ2160" s="22"/>
    </row>
    <row r="2161" spans="1:36" x14ac:dyDescent="0.25">
      <c r="A2161" s="22" t="s">
        <v>5100</v>
      </c>
      <c r="B2161" s="22">
        <v>0</v>
      </c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2"/>
      <c r="T2161" s="22"/>
      <c r="U2161" s="22"/>
      <c r="V2161" s="22"/>
      <c r="W2161" s="22"/>
      <c r="X2161" s="22"/>
      <c r="Y2161" s="22"/>
      <c r="Z2161" s="22"/>
      <c r="AA2161" s="22"/>
      <c r="AB2161" s="22"/>
      <c r="AC2161" s="22"/>
      <c r="AD2161" s="22"/>
      <c r="AE2161" s="22"/>
      <c r="AF2161" s="22"/>
      <c r="AG2161" s="22"/>
      <c r="AH2161" s="22"/>
      <c r="AI2161" s="22"/>
      <c r="AJ2161" s="22"/>
    </row>
    <row r="2162" spans="1:36" x14ac:dyDescent="0.25">
      <c r="A2162" s="22" t="s">
        <v>5101</v>
      </c>
      <c r="B2162" s="22">
        <v>7</v>
      </c>
      <c r="C2162" s="22"/>
      <c r="D2162" s="22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2"/>
      <c r="T2162" s="22"/>
      <c r="U2162" s="22"/>
      <c r="V2162" s="22"/>
      <c r="W2162" s="22"/>
      <c r="X2162" s="22"/>
      <c r="Y2162" s="22"/>
      <c r="Z2162" s="22"/>
      <c r="AA2162" s="22"/>
      <c r="AB2162" s="22"/>
      <c r="AC2162" s="22"/>
      <c r="AD2162" s="22"/>
      <c r="AE2162" s="22"/>
      <c r="AF2162" s="22"/>
      <c r="AG2162" s="22"/>
      <c r="AH2162" s="22"/>
      <c r="AI2162" s="22"/>
      <c r="AJ2162" s="22"/>
    </row>
    <row r="2163" spans="1:36" x14ac:dyDescent="0.25">
      <c r="A2163" s="22" t="s">
        <v>5102</v>
      </c>
      <c r="B2163" s="22">
        <v>0</v>
      </c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2"/>
      <c r="T2163" s="22"/>
      <c r="U2163" s="22"/>
      <c r="V2163" s="22"/>
      <c r="W2163" s="22"/>
      <c r="X2163" s="22"/>
      <c r="Y2163" s="22"/>
      <c r="Z2163" s="22"/>
      <c r="AA2163" s="22"/>
      <c r="AB2163" s="22"/>
      <c r="AC2163" s="22"/>
      <c r="AD2163" s="22"/>
      <c r="AE2163" s="22"/>
      <c r="AF2163" s="22"/>
      <c r="AG2163" s="22"/>
      <c r="AH2163" s="22"/>
      <c r="AI2163" s="22"/>
      <c r="AJ2163" s="22"/>
    </row>
    <row r="2164" spans="1:36" x14ac:dyDescent="0.25">
      <c r="A2164" s="22" t="s">
        <v>5103</v>
      </c>
      <c r="B2164" s="22">
        <v>0</v>
      </c>
      <c r="C2164" s="22"/>
      <c r="D2164" s="22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2"/>
      <c r="T2164" s="22"/>
      <c r="U2164" s="22"/>
      <c r="V2164" s="22"/>
      <c r="W2164" s="22"/>
      <c r="X2164" s="22"/>
      <c r="Y2164" s="22"/>
      <c r="Z2164" s="22"/>
      <c r="AA2164" s="22"/>
      <c r="AB2164" s="22"/>
      <c r="AC2164" s="22"/>
      <c r="AD2164" s="22"/>
      <c r="AE2164" s="22"/>
      <c r="AF2164" s="22"/>
      <c r="AG2164" s="22"/>
      <c r="AH2164" s="22"/>
      <c r="AI2164" s="22"/>
      <c r="AJ2164" s="22"/>
    </row>
    <row r="2165" spans="1:36" x14ac:dyDescent="0.25">
      <c r="A2165" s="22" t="s">
        <v>5104</v>
      </c>
      <c r="B2165" s="22">
        <v>0</v>
      </c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2"/>
      <c r="T2165" s="22"/>
      <c r="U2165" s="22"/>
      <c r="V2165" s="22"/>
      <c r="W2165" s="22"/>
      <c r="X2165" s="22"/>
      <c r="Y2165" s="22"/>
      <c r="Z2165" s="22"/>
      <c r="AA2165" s="22"/>
      <c r="AB2165" s="22"/>
      <c r="AC2165" s="22"/>
      <c r="AD2165" s="22"/>
      <c r="AE2165" s="22"/>
      <c r="AF2165" s="22"/>
      <c r="AG2165" s="22"/>
      <c r="AH2165" s="22"/>
      <c r="AI2165" s="22"/>
      <c r="AJ2165" s="22"/>
    </row>
    <row r="2166" spans="1:36" x14ac:dyDescent="0.25">
      <c r="A2166" s="22" t="s">
        <v>5105</v>
      </c>
      <c r="B2166" s="22">
        <v>51</v>
      </c>
      <c r="C2166" s="22"/>
      <c r="D2166" s="22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2"/>
      <c r="T2166" s="22"/>
      <c r="U2166" s="22"/>
      <c r="V2166" s="22"/>
      <c r="W2166" s="22"/>
      <c r="X2166" s="22"/>
      <c r="Y2166" s="22"/>
      <c r="Z2166" s="22"/>
      <c r="AA2166" s="22"/>
      <c r="AB2166" s="22"/>
      <c r="AC2166" s="22"/>
      <c r="AD2166" s="22"/>
      <c r="AE2166" s="22"/>
      <c r="AF2166" s="22"/>
      <c r="AG2166" s="22"/>
      <c r="AH2166" s="22"/>
      <c r="AI2166" s="22"/>
      <c r="AJ2166" s="22"/>
    </row>
    <row r="2167" spans="1:36" x14ac:dyDescent="0.25">
      <c r="A2167" s="22" t="s">
        <v>5106</v>
      </c>
      <c r="B2167" s="22">
        <v>0</v>
      </c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2"/>
      <c r="T2167" s="22"/>
      <c r="U2167" s="22"/>
      <c r="V2167" s="22"/>
      <c r="W2167" s="22"/>
      <c r="X2167" s="22"/>
      <c r="Y2167" s="22"/>
      <c r="Z2167" s="22"/>
      <c r="AA2167" s="22"/>
      <c r="AB2167" s="22"/>
      <c r="AC2167" s="22"/>
      <c r="AD2167" s="22"/>
      <c r="AE2167" s="22"/>
      <c r="AF2167" s="22"/>
      <c r="AG2167" s="22"/>
      <c r="AH2167" s="22"/>
      <c r="AI2167" s="22"/>
      <c r="AJ2167" s="22"/>
    </row>
    <row r="2168" spans="1:36" x14ac:dyDescent="0.25">
      <c r="A2168" s="22" t="s">
        <v>5107</v>
      </c>
      <c r="B2168" s="22">
        <v>0</v>
      </c>
      <c r="C2168" s="22"/>
      <c r="D2168" s="22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2"/>
      <c r="T2168" s="22"/>
      <c r="U2168" s="22"/>
      <c r="V2168" s="22"/>
      <c r="W2168" s="22"/>
      <c r="X2168" s="22"/>
      <c r="Y2168" s="22"/>
      <c r="Z2168" s="22"/>
      <c r="AA2168" s="22"/>
      <c r="AB2168" s="22"/>
      <c r="AC2168" s="22"/>
      <c r="AD2168" s="22"/>
      <c r="AE2168" s="22"/>
      <c r="AF2168" s="22"/>
      <c r="AG2168" s="22"/>
      <c r="AH2168" s="22"/>
      <c r="AI2168" s="22"/>
      <c r="AJ2168" s="22"/>
    </row>
    <row r="2169" spans="1:36" x14ac:dyDescent="0.25">
      <c r="A2169" s="22" t="s">
        <v>5108</v>
      </c>
      <c r="B2169" s="22">
        <v>0</v>
      </c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2"/>
      <c r="T2169" s="22"/>
      <c r="U2169" s="22"/>
      <c r="V2169" s="22"/>
      <c r="W2169" s="22"/>
      <c r="X2169" s="22"/>
      <c r="Y2169" s="22"/>
      <c r="Z2169" s="22"/>
      <c r="AA2169" s="22"/>
      <c r="AB2169" s="22"/>
      <c r="AC2169" s="22"/>
      <c r="AD2169" s="22"/>
      <c r="AE2169" s="22"/>
      <c r="AF2169" s="22"/>
      <c r="AG2169" s="22"/>
      <c r="AH2169" s="22"/>
      <c r="AI2169" s="22"/>
      <c r="AJ2169" s="22"/>
    </row>
    <row r="2170" spans="1:36" x14ac:dyDescent="0.25">
      <c r="A2170" s="22" t="s">
        <v>5109</v>
      </c>
      <c r="B2170" s="22">
        <v>0</v>
      </c>
      <c r="C2170" s="22"/>
      <c r="D2170" s="22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2"/>
      <c r="T2170" s="22"/>
      <c r="U2170" s="22"/>
      <c r="V2170" s="22"/>
      <c r="W2170" s="22"/>
      <c r="X2170" s="22"/>
      <c r="Y2170" s="22"/>
      <c r="Z2170" s="22"/>
      <c r="AA2170" s="22"/>
      <c r="AB2170" s="22"/>
      <c r="AC2170" s="22"/>
      <c r="AD2170" s="22"/>
      <c r="AE2170" s="22"/>
      <c r="AF2170" s="22"/>
      <c r="AG2170" s="22"/>
      <c r="AH2170" s="22"/>
      <c r="AI2170" s="22"/>
      <c r="AJ2170" s="22"/>
    </row>
    <row r="2171" spans="1:36" x14ac:dyDescent="0.25">
      <c r="A2171" s="22" t="s">
        <v>5110</v>
      </c>
      <c r="B2171" s="22">
        <v>0</v>
      </c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2"/>
      <c r="T2171" s="22"/>
      <c r="U2171" s="22"/>
      <c r="V2171" s="22"/>
      <c r="W2171" s="22"/>
      <c r="X2171" s="22"/>
      <c r="Y2171" s="22"/>
      <c r="Z2171" s="22"/>
      <c r="AA2171" s="22"/>
      <c r="AB2171" s="22"/>
      <c r="AC2171" s="22"/>
      <c r="AD2171" s="22"/>
      <c r="AE2171" s="22"/>
      <c r="AF2171" s="22"/>
      <c r="AG2171" s="22"/>
      <c r="AH2171" s="22"/>
      <c r="AI2171" s="22"/>
      <c r="AJ2171" s="22"/>
    </row>
    <row r="2172" spans="1:36" x14ac:dyDescent="0.25">
      <c r="A2172" s="22" t="s">
        <v>5111</v>
      </c>
      <c r="B2172" s="22">
        <v>0</v>
      </c>
      <c r="C2172" s="22"/>
      <c r="D2172" s="22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X2172" s="22"/>
      <c r="Y2172" s="22"/>
      <c r="Z2172" s="22"/>
      <c r="AA2172" s="22"/>
      <c r="AB2172" s="22"/>
      <c r="AC2172" s="22"/>
      <c r="AD2172" s="22"/>
      <c r="AE2172" s="22"/>
      <c r="AF2172" s="22"/>
      <c r="AG2172" s="22"/>
      <c r="AH2172" s="22"/>
      <c r="AI2172" s="22"/>
      <c r="AJ2172" s="22"/>
    </row>
    <row r="2173" spans="1:36" x14ac:dyDescent="0.25">
      <c r="A2173" s="22" t="s">
        <v>5112</v>
      </c>
      <c r="B2173" s="22">
        <v>0</v>
      </c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2"/>
      <c r="T2173" s="22"/>
      <c r="U2173" s="22"/>
      <c r="V2173" s="22"/>
      <c r="W2173" s="22"/>
      <c r="X2173" s="22"/>
      <c r="Y2173" s="22"/>
      <c r="Z2173" s="22"/>
      <c r="AA2173" s="22"/>
      <c r="AB2173" s="22"/>
      <c r="AC2173" s="22"/>
      <c r="AD2173" s="22"/>
      <c r="AE2173" s="22"/>
      <c r="AF2173" s="22"/>
      <c r="AG2173" s="22"/>
      <c r="AH2173" s="22"/>
      <c r="AI2173" s="22"/>
      <c r="AJ2173" s="22"/>
    </row>
    <row r="2174" spans="1:36" x14ac:dyDescent="0.25">
      <c r="A2174" s="22" t="s">
        <v>5113</v>
      </c>
      <c r="B2174" s="22">
        <v>14</v>
      </c>
      <c r="C2174" s="22"/>
      <c r="D2174" s="22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2"/>
      <c r="T2174" s="22"/>
      <c r="U2174" s="22"/>
      <c r="V2174" s="22"/>
      <c r="W2174" s="22"/>
      <c r="X2174" s="22"/>
      <c r="Y2174" s="22"/>
      <c r="Z2174" s="22"/>
      <c r="AA2174" s="22"/>
      <c r="AB2174" s="22"/>
      <c r="AC2174" s="22"/>
      <c r="AD2174" s="22"/>
      <c r="AE2174" s="22"/>
      <c r="AF2174" s="22"/>
      <c r="AG2174" s="22"/>
      <c r="AH2174" s="22"/>
      <c r="AI2174" s="22"/>
      <c r="AJ2174" s="22"/>
    </row>
    <row r="2175" spans="1:36" x14ac:dyDescent="0.25">
      <c r="A2175" s="22" t="s">
        <v>5114</v>
      </c>
      <c r="B2175" s="22">
        <v>0</v>
      </c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2"/>
      <c r="T2175" s="22"/>
      <c r="U2175" s="22"/>
      <c r="V2175" s="22"/>
      <c r="W2175" s="22"/>
      <c r="X2175" s="22"/>
      <c r="Y2175" s="22"/>
      <c r="Z2175" s="22"/>
      <c r="AA2175" s="22"/>
      <c r="AB2175" s="22"/>
      <c r="AC2175" s="22"/>
      <c r="AD2175" s="22"/>
      <c r="AE2175" s="22"/>
      <c r="AF2175" s="22"/>
      <c r="AG2175" s="22"/>
      <c r="AH2175" s="22"/>
      <c r="AI2175" s="22"/>
      <c r="AJ2175" s="22"/>
    </row>
    <row r="2176" spans="1:36" x14ac:dyDescent="0.25">
      <c r="A2176" s="22" t="s">
        <v>5115</v>
      </c>
      <c r="B2176" s="22">
        <v>0</v>
      </c>
      <c r="C2176" s="22"/>
      <c r="D2176" s="22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2"/>
      <c r="T2176" s="22"/>
      <c r="U2176" s="22"/>
      <c r="V2176" s="22"/>
      <c r="W2176" s="22"/>
      <c r="X2176" s="22"/>
      <c r="Y2176" s="22"/>
      <c r="Z2176" s="22"/>
      <c r="AA2176" s="22"/>
      <c r="AB2176" s="22"/>
      <c r="AC2176" s="22"/>
      <c r="AD2176" s="22"/>
      <c r="AE2176" s="22"/>
      <c r="AF2176" s="22"/>
      <c r="AG2176" s="22"/>
      <c r="AH2176" s="22"/>
      <c r="AI2176" s="22"/>
      <c r="AJ2176" s="22"/>
    </row>
    <row r="2177" spans="1:36" x14ac:dyDescent="0.25">
      <c r="A2177" s="22" t="s">
        <v>5116</v>
      </c>
      <c r="B2177" s="22">
        <v>0</v>
      </c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2"/>
      <c r="T2177" s="22"/>
      <c r="U2177" s="22"/>
      <c r="V2177" s="22"/>
      <c r="W2177" s="22"/>
      <c r="X2177" s="22"/>
      <c r="Y2177" s="22"/>
      <c r="Z2177" s="22"/>
      <c r="AA2177" s="22"/>
      <c r="AB2177" s="22"/>
      <c r="AC2177" s="22"/>
      <c r="AD2177" s="22"/>
      <c r="AE2177" s="22"/>
      <c r="AF2177" s="22"/>
      <c r="AG2177" s="22"/>
      <c r="AH2177" s="22"/>
      <c r="AI2177" s="22"/>
      <c r="AJ2177" s="22"/>
    </row>
    <row r="2178" spans="1:36" x14ac:dyDescent="0.25">
      <c r="A2178" s="22" t="s">
        <v>5117</v>
      </c>
      <c r="B2178" s="22">
        <v>0</v>
      </c>
      <c r="C2178" s="22"/>
      <c r="D2178" s="22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2"/>
      <c r="T2178" s="22"/>
      <c r="U2178" s="22"/>
      <c r="V2178" s="22"/>
      <c r="W2178" s="22"/>
      <c r="X2178" s="22"/>
      <c r="Y2178" s="22"/>
      <c r="Z2178" s="22"/>
      <c r="AA2178" s="22"/>
      <c r="AB2178" s="22"/>
      <c r="AC2178" s="22"/>
      <c r="AD2178" s="22"/>
      <c r="AE2178" s="22"/>
      <c r="AF2178" s="22"/>
      <c r="AG2178" s="22"/>
      <c r="AH2178" s="22"/>
      <c r="AI2178" s="22"/>
      <c r="AJ2178" s="22"/>
    </row>
    <row r="2179" spans="1:36" x14ac:dyDescent="0.25">
      <c r="A2179" s="22" t="s">
        <v>5118</v>
      </c>
      <c r="B2179" s="22">
        <v>0</v>
      </c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2"/>
      <c r="T2179" s="22"/>
      <c r="U2179" s="22"/>
      <c r="V2179" s="22"/>
      <c r="W2179" s="22"/>
      <c r="X2179" s="22"/>
      <c r="Y2179" s="22"/>
      <c r="Z2179" s="22"/>
      <c r="AA2179" s="22"/>
      <c r="AB2179" s="22"/>
      <c r="AC2179" s="22"/>
      <c r="AD2179" s="22"/>
      <c r="AE2179" s="22"/>
      <c r="AF2179" s="22"/>
      <c r="AG2179" s="22"/>
      <c r="AH2179" s="22"/>
      <c r="AI2179" s="22"/>
      <c r="AJ2179" s="22"/>
    </row>
    <row r="2180" spans="1:36" x14ac:dyDescent="0.25">
      <c r="A2180" s="22" t="s">
        <v>5119</v>
      </c>
      <c r="B2180" s="22">
        <v>0</v>
      </c>
      <c r="C2180" s="22"/>
      <c r="D2180" s="22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2"/>
      <c r="T2180" s="22"/>
      <c r="U2180" s="22"/>
      <c r="V2180" s="22"/>
      <c r="W2180" s="22"/>
      <c r="X2180" s="22"/>
      <c r="Y2180" s="22"/>
      <c r="Z2180" s="22"/>
      <c r="AA2180" s="22"/>
      <c r="AB2180" s="22"/>
      <c r="AC2180" s="22"/>
      <c r="AD2180" s="22"/>
      <c r="AE2180" s="22"/>
      <c r="AF2180" s="22"/>
      <c r="AG2180" s="22"/>
      <c r="AH2180" s="22"/>
      <c r="AI2180" s="22"/>
      <c r="AJ2180" s="22"/>
    </row>
    <row r="2181" spans="1:36" x14ac:dyDescent="0.25">
      <c r="A2181" s="22" t="s">
        <v>5120</v>
      </c>
      <c r="B2181" s="22">
        <v>0</v>
      </c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2"/>
      <c r="T2181" s="22"/>
      <c r="U2181" s="22"/>
      <c r="V2181" s="22"/>
      <c r="W2181" s="22"/>
      <c r="X2181" s="22"/>
      <c r="Y2181" s="22"/>
      <c r="Z2181" s="22"/>
      <c r="AA2181" s="22"/>
      <c r="AB2181" s="22"/>
      <c r="AC2181" s="22"/>
      <c r="AD2181" s="22"/>
      <c r="AE2181" s="22"/>
      <c r="AF2181" s="22"/>
      <c r="AG2181" s="22"/>
      <c r="AH2181" s="22"/>
      <c r="AI2181" s="22"/>
      <c r="AJ2181" s="22"/>
    </row>
    <row r="2182" spans="1:36" x14ac:dyDescent="0.25">
      <c r="A2182" s="22" t="s">
        <v>5121</v>
      </c>
      <c r="B2182" s="22">
        <v>190</v>
      </c>
      <c r="C2182" s="22"/>
      <c r="D2182" s="22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2"/>
      <c r="T2182" s="22"/>
      <c r="U2182" s="22"/>
      <c r="V2182" s="22"/>
      <c r="W2182" s="22"/>
      <c r="X2182" s="22"/>
      <c r="Y2182" s="22"/>
      <c r="Z2182" s="22"/>
      <c r="AA2182" s="22"/>
      <c r="AB2182" s="22"/>
      <c r="AC2182" s="22"/>
      <c r="AD2182" s="22"/>
      <c r="AE2182" s="22"/>
      <c r="AF2182" s="22"/>
      <c r="AG2182" s="22"/>
      <c r="AH2182" s="22"/>
      <c r="AI2182" s="22"/>
      <c r="AJ2182" s="22"/>
    </row>
    <row r="2183" spans="1:36" x14ac:dyDescent="0.25">
      <c r="A2183" s="22" t="s">
        <v>5122</v>
      </c>
      <c r="B2183" s="22">
        <v>8</v>
      </c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2"/>
      <c r="T2183" s="22"/>
      <c r="U2183" s="22"/>
      <c r="V2183" s="22"/>
      <c r="W2183" s="22"/>
      <c r="X2183" s="22"/>
      <c r="Y2183" s="22"/>
      <c r="Z2183" s="22"/>
      <c r="AA2183" s="22"/>
      <c r="AB2183" s="22"/>
      <c r="AC2183" s="22"/>
      <c r="AD2183" s="22"/>
      <c r="AE2183" s="22"/>
      <c r="AF2183" s="22"/>
      <c r="AG2183" s="22"/>
      <c r="AH2183" s="22"/>
      <c r="AI2183" s="22"/>
      <c r="AJ2183" s="22"/>
    </row>
    <row r="2184" spans="1:36" x14ac:dyDescent="0.25">
      <c r="A2184" s="22" t="s">
        <v>5123</v>
      </c>
      <c r="B2184" s="22">
        <v>0</v>
      </c>
      <c r="C2184" s="22"/>
      <c r="D2184" s="22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2"/>
      <c r="T2184" s="22"/>
      <c r="U2184" s="22"/>
      <c r="V2184" s="22"/>
      <c r="W2184" s="22"/>
      <c r="X2184" s="22"/>
      <c r="Y2184" s="22"/>
      <c r="Z2184" s="22"/>
      <c r="AA2184" s="22"/>
      <c r="AB2184" s="22"/>
      <c r="AC2184" s="22"/>
      <c r="AD2184" s="22"/>
      <c r="AE2184" s="22"/>
      <c r="AF2184" s="22"/>
      <c r="AG2184" s="22"/>
      <c r="AH2184" s="22"/>
      <c r="AI2184" s="22"/>
      <c r="AJ2184" s="22"/>
    </row>
    <row r="2185" spans="1:36" x14ac:dyDescent="0.25">
      <c r="A2185" s="22" t="s">
        <v>5124</v>
      </c>
      <c r="B2185" s="22">
        <v>0</v>
      </c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2"/>
      <c r="T2185" s="22"/>
      <c r="U2185" s="22"/>
      <c r="V2185" s="22"/>
      <c r="W2185" s="22"/>
      <c r="X2185" s="22"/>
      <c r="Y2185" s="22"/>
      <c r="Z2185" s="22"/>
      <c r="AA2185" s="22"/>
      <c r="AB2185" s="22"/>
      <c r="AC2185" s="22"/>
      <c r="AD2185" s="22"/>
      <c r="AE2185" s="22"/>
      <c r="AF2185" s="22"/>
      <c r="AG2185" s="22"/>
      <c r="AH2185" s="22"/>
      <c r="AI2185" s="22"/>
      <c r="AJ2185" s="22"/>
    </row>
    <row r="2186" spans="1:36" x14ac:dyDescent="0.25">
      <c r="A2186" s="22" t="s">
        <v>5125</v>
      </c>
      <c r="B2186" s="22">
        <v>0</v>
      </c>
      <c r="C2186" s="22"/>
      <c r="D2186" s="22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2"/>
      <c r="T2186" s="22"/>
      <c r="U2186" s="22"/>
      <c r="V2186" s="22"/>
      <c r="W2186" s="22"/>
      <c r="X2186" s="22"/>
      <c r="Y2186" s="22"/>
      <c r="Z2186" s="22"/>
      <c r="AA2186" s="22"/>
      <c r="AB2186" s="22"/>
      <c r="AC2186" s="22"/>
      <c r="AD2186" s="22"/>
      <c r="AE2186" s="22"/>
      <c r="AF2186" s="22"/>
      <c r="AG2186" s="22"/>
      <c r="AH2186" s="22"/>
      <c r="AI2186" s="22"/>
      <c r="AJ2186" s="22"/>
    </row>
    <row r="2187" spans="1:36" x14ac:dyDescent="0.25">
      <c r="A2187" s="22" t="s">
        <v>5126</v>
      </c>
      <c r="B2187" s="22">
        <v>0</v>
      </c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2"/>
      <c r="T2187" s="22"/>
      <c r="U2187" s="22"/>
      <c r="V2187" s="22"/>
      <c r="W2187" s="22"/>
      <c r="X2187" s="22"/>
      <c r="Y2187" s="22"/>
      <c r="Z2187" s="22"/>
      <c r="AA2187" s="22"/>
      <c r="AB2187" s="22"/>
      <c r="AC2187" s="22"/>
      <c r="AD2187" s="22"/>
      <c r="AE2187" s="22"/>
      <c r="AF2187" s="22"/>
      <c r="AG2187" s="22"/>
      <c r="AH2187" s="22"/>
      <c r="AI2187" s="22"/>
      <c r="AJ2187" s="22"/>
    </row>
    <row r="2188" spans="1:36" x14ac:dyDescent="0.25">
      <c r="A2188" s="22" t="s">
        <v>5127</v>
      </c>
      <c r="B2188" s="22">
        <v>0</v>
      </c>
      <c r="C2188" s="22"/>
      <c r="D2188" s="22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  <c r="T2188" s="22"/>
      <c r="U2188" s="22"/>
      <c r="V2188" s="22"/>
      <c r="W2188" s="22"/>
      <c r="X2188" s="22"/>
      <c r="Y2188" s="22"/>
      <c r="Z2188" s="22"/>
      <c r="AA2188" s="22"/>
      <c r="AB2188" s="22"/>
      <c r="AC2188" s="22"/>
      <c r="AD2188" s="22"/>
      <c r="AE2188" s="22"/>
      <c r="AF2188" s="22"/>
      <c r="AG2188" s="22"/>
      <c r="AH2188" s="22"/>
      <c r="AI2188" s="22"/>
      <c r="AJ2188" s="22"/>
    </row>
    <row r="2189" spans="1:36" x14ac:dyDescent="0.25">
      <c r="A2189" s="22" t="s">
        <v>5128</v>
      </c>
      <c r="B2189" s="22">
        <v>0</v>
      </c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2"/>
      <c r="T2189" s="22"/>
      <c r="U2189" s="22"/>
      <c r="V2189" s="22"/>
      <c r="W2189" s="22"/>
      <c r="X2189" s="22"/>
      <c r="Y2189" s="22"/>
      <c r="Z2189" s="22"/>
      <c r="AA2189" s="22"/>
      <c r="AB2189" s="22"/>
      <c r="AC2189" s="22"/>
      <c r="AD2189" s="22"/>
      <c r="AE2189" s="22"/>
      <c r="AF2189" s="22"/>
      <c r="AG2189" s="22"/>
      <c r="AH2189" s="22"/>
      <c r="AI2189" s="22"/>
      <c r="AJ2189" s="22"/>
    </row>
    <row r="2190" spans="1:36" x14ac:dyDescent="0.25">
      <c r="A2190" s="22" t="s">
        <v>5129</v>
      </c>
      <c r="B2190" s="22">
        <v>180</v>
      </c>
      <c r="C2190" s="22"/>
      <c r="D2190" s="22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2"/>
      <c r="T2190" s="22"/>
      <c r="U2190" s="22"/>
      <c r="V2190" s="22"/>
      <c r="W2190" s="22"/>
      <c r="X2190" s="22"/>
      <c r="Y2190" s="22"/>
      <c r="Z2190" s="22"/>
      <c r="AA2190" s="22"/>
      <c r="AB2190" s="22"/>
      <c r="AC2190" s="22"/>
      <c r="AD2190" s="22"/>
      <c r="AE2190" s="22"/>
      <c r="AF2190" s="22"/>
      <c r="AG2190" s="22"/>
      <c r="AH2190" s="22"/>
      <c r="AI2190" s="22"/>
      <c r="AJ2190" s="22"/>
    </row>
    <row r="2191" spans="1:36" x14ac:dyDescent="0.25">
      <c r="A2191" s="22" t="s">
        <v>5130</v>
      </c>
      <c r="B2191" s="22">
        <v>0</v>
      </c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2"/>
      <c r="T2191" s="22"/>
      <c r="U2191" s="22"/>
      <c r="V2191" s="22"/>
      <c r="W2191" s="22"/>
      <c r="X2191" s="22"/>
      <c r="Y2191" s="22"/>
      <c r="Z2191" s="22"/>
      <c r="AA2191" s="22"/>
      <c r="AB2191" s="22"/>
      <c r="AC2191" s="22"/>
      <c r="AD2191" s="22"/>
      <c r="AE2191" s="22"/>
      <c r="AF2191" s="22"/>
      <c r="AG2191" s="22"/>
      <c r="AH2191" s="22"/>
      <c r="AI2191" s="22"/>
      <c r="AJ2191" s="22"/>
    </row>
    <row r="2192" spans="1:36" x14ac:dyDescent="0.25">
      <c r="A2192" s="22" t="s">
        <v>5131</v>
      </c>
      <c r="B2192" s="22">
        <v>224</v>
      </c>
      <c r="C2192" s="22"/>
      <c r="D2192" s="22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2"/>
      <c r="T2192" s="22"/>
      <c r="U2192" s="22"/>
      <c r="V2192" s="22"/>
      <c r="W2192" s="22"/>
      <c r="X2192" s="22"/>
      <c r="Y2192" s="22"/>
      <c r="Z2192" s="22"/>
      <c r="AA2192" s="22"/>
      <c r="AB2192" s="22"/>
      <c r="AC2192" s="22"/>
      <c r="AD2192" s="22"/>
      <c r="AE2192" s="22"/>
      <c r="AF2192" s="22"/>
      <c r="AG2192" s="22"/>
      <c r="AH2192" s="22"/>
      <c r="AI2192" s="22"/>
      <c r="AJ2192" s="22"/>
    </row>
    <row r="2193" spans="1:36" x14ac:dyDescent="0.25">
      <c r="A2193" s="22" t="s">
        <v>5132</v>
      </c>
      <c r="B2193" s="22">
        <v>0</v>
      </c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2"/>
      <c r="T2193" s="22"/>
      <c r="U2193" s="22"/>
      <c r="V2193" s="22"/>
      <c r="W2193" s="22"/>
      <c r="X2193" s="22"/>
      <c r="Y2193" s="22"/>
      <c r="Z2193" s="22"/>
      <c r="AA2193" s="22"/>
      <c r="AB2193" s="22"/>
      <c r="AC2193" s="22"/>
      <c r="AD2193" s="22"/>
      <c r="AE2193" s="22"/>
      <c r="AF2193" s="22"/>
      <c r="AG2193" s="22"/>
      <c r="AH2193" s="22"/>
      <c r="AI2193" s="22"/>
      <c r="AJ2193" s="22"/>
    </row>
    <row r="2194" spans="1:36" x14ac:dyDescent="0.25">
      <c r="A2194" s="22" t="s">
        <v>5133</v>
      </c>
      <c r="B2194" s="22">
        <v>0</v>
      </c>
      <c r="C2194" s="22"/>
      <c r="D2194" s="22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2"/>
      <c r="T2194" s="22"/>
      <c r="U2194" s="22"/>
      <c r="V2194" s="22"/>
      <c r="W2194" s="22"/>
      <c r="X2194" s="22"/>
      <c r="Y2194" s="22"/>
      <c r="Z2194" s="22"/>
      <c r="AA2194" s="22"/>
      <c r="AB2194" s="22"/>
      <c r="AC2194" s="22"/>
      <c r="AD2194" s="22"/>
      <c r="AE2194" s="22"/>
      <c r="AF2194" s="22"/>
      <c r="AG2194" s="22"/>
      <c r="AH2194" s="22"/>
      <c r="AI2194" s="22"/>
      <c r="AJ2194" s="22"/>
    </row>
    <row r="2195" spans="1:36" x14ac:dyDescent="0.25">
      <c r="A2195" s="22" t="s">
        <v>5134</v>
      </c>
      <c r="B2195" s="22">
        <v>0</v>
      </c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2"/>
      <c r="T2195" s="22"/>
      <c r="U2195" s="22"/>
      <c r="V2195" s="22"/>
      <c r="W2195" s="22"/>
      <c r="X2195" s="22"/>
      <c r="Y2195" s="22"/>
      <c r="Z2195" s="22"/>
      <c r="AA2195" s="22"/>
      <c r="AB2195" s="22"/>
      <c r="AC2195" s="22"/>
      <c r="AD2195" s="22"/>
      <c r="AE2195" s="22"/>
      <c r="AF2195" s="22"/>
      <c r="AG2195" s="22"/>
      <c r="AH2195" s="22"/>
      <c r="AI2195" s="22"/>
      <c r="AJ2195" s="22"/>
    </row>
    <row r="2196" spans="1:36" x14ac:dyDescent="0.25">
      <c r="A2196" s="22" t="s">
        <v>5135</v>
      </c>
      <c r="B2196" s="22">
        <v>0</v>
      </c>
      <c r="C2196" s="22"/>
      <c r="D2196" s="22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2"/>
      <c r="T2196" s="22"/>
      <c r="U2196" s="22"/>
      <c r="V2196" s="22"/>
      <c r="W2196" s="22"/>
      <c r="X2196" s="22"/>
      <c r="Y2196" s="22"/>
      <c r="Z2196" s="22"/>
      <c r="AA2196" s="22"/>
      <c r="AB2196" s="22"/>
      <c r="AC2196" s="22"/>
      <c r="AD2196" s="22"/>
      <c r="AE2196" s="22"/>
      <c r="AF2196" s="22"/>
      <c r="AG2196" s="22"/>
      <c r="AH2196" s="22"/>
      <c r="AI2196" s="22"/>
      <c r="AJ2196" s="22"/>
    </row>
    <row r="2197" spans="1:36" x14ac:dyDescent="0.25">
      <c r="A2197" s="22" t="s">
        <v>5136</v>
      </c>
      <c r="B2197" s="22">
        <v>0</v>
      </c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2"/>
      <c r="T2197" s="22"/>
      <c r="U2197" s="22"/>
      <c r="V2197" s="22"/>
      <c r="W2197" s="22"/>
      <c r="X2197" s="22"/>
      <c r="Y2197" s="22"/>
      <c r="Z2197" s="22"/>
      <c r="AA2197" s="22"/>
      <c r="AB2197" s="22"/>
      <c r="AC2197" s="22"/>
      <c r="AD2197" s="22"/>
      <c r="AE2197" s="22"/>
      <c r="AF2197" s="22"/>
      <c r="AG2197" s="22"/>
      <c r="AH2197" s="22"/>
      <c r="AI2197" s="22"/>
      <c r="AJ2197" s="22"/>
    </row>
    <row r="2198" spans="1:36" x14ac:dyDescent="0.25">
      <c r="A2198" s="22" t="s">
        <v>5137</v>
      </c>
      <c r="B2198" s="22">
        <v>1</v>
      </c>
      <c r="C2198" s="22"/>
      <c r="D2198" s="22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2"/>
      <c r="T2198" s="22"/>
      <c r="U2198" s="22"/>
      <c r="V2198" s="22"/>
      <c r="W2198" s="22"/>
      <c r="X2198" s="22"/>
      <c r="Y2198" s="22"/>
      <c r="Z2198" s="22"/>
      <c r="AA2198" s="22"/>
      <c r="AB2198" s="22"/>
      <c r="AC2198" s="22"/>
      <c r="AD2198" s="22"/>
      <c r="AE2198" s="22"/>
      <c r="AF2198" s="22"/>
      <c r="AG2198" s="22"/>
      <c r="AH2198" s="22"/>
      <c r="AI2198" s="22"/>
      <c r="AJ2198" s="22"/>
    </row>
    <row r="2199" spans="1:36" x14ac:dyDescent="0.25">
      <c r="A2199" s="22" t="s">
        <v>5138</v>
      </c>
      <c r="B2199" s="22">
        <v>0</v>
      </c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2"/>
      <c r="T2199" s="22"/>
      <c r="U2199" s="22"/>
      <c r="V2199" s="22"/>
      <c r="W2199" s="22"/>
      <c r="X2199" s="22"/>
      <c r="Y2199" s="22"/>
      <c r="Z2199" s="22"/>
      <c r="AA2199" s="22"/>
      <c r="AB2199" s="22"/>
      <c r="AC2199" s="22"/>
      <c r="AD2199" s="22"/>
      <c r="AE2199" s="22"/>
      <c r="AF2199" s="22"/>
      <c r="AG2199" s="22"/>
      <c r="AH2199" s="22"/>
      <c r="AI2199" s="22"/>
      <c r="AJ2199" s="22"/>
    </row>
    <row r="2200" spans="1:36" x14ac:dyDescent="0.25">
      <c r="A2200" s="22" t="s">
        <v>5139</v>
      </c>
      <c r="B2200" s="22">
        <v>0</v>
      </c>
      <c r="C2200" s="22"/>
      <c r="D2200" s="22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2"/>
      <c r="T2200" s="22"/>
      <c r="U2200" s="22"/>
      <c r="V2200" s="22"/>
      <c r="W2200" s="22"/>
      <c r="X2200" s="22"/>
      <c r="Y2200" s="22"/>
      <c r="Z2200" s="22"/>
      <c r="AA2200" s="22"/>
      <c r="AB2200" s="22"/>
      <c r="AC2200" s="22"/>
      <c r="AD2200" s="22"/>
      <c r="AE2200" s="22"/>
      <c r="AF2200" s="22"/>
      <c r="AG2200" s="22"/>
      <c r="AH2200" s="22"/>
      <c r="AI2200" s="22"/>
      <c r="AJ2200" s="22"/>
    </row>
    <row r="2201" spans="1:36" x14ac:dyDescent="0.25">
      <c r="A2201" s="22" t="s">
        <v>5140</v>
      </c>
      <c r="B2201" s="22">
        <v>0</v>
      </c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2"/>
      <c r="T2201" s="22"/>
      <c r="U2201" s="22"/>
      <c r="V2201" s="22"/>
      <c r="W2201" s="22"/>
      <c r="X2201" s="22"/>
      <c r="Y2201" s="22"/>
      <c r="Z2201" s="22"/>
      <c r="AA2201" s="22"/>
      <c r="AB2201" s="22"/>
      <c r="AC2201" s="22"/>
      <c r="AD2201" s="22"/>
      <c r="AE2201" s="22"/>
      <c r="AF2201" s="22"/>
      <c r="AG2201" s="22"/>
      <c r="AH2201" s="22"/>
      <c r="AI2201" s="22"/>
      <c r="AJ2201" s="22"/>
    </row>
    <row r="2202" spans="1:36" x14ac:dyDescent="0.25">
      <c r="A2202" s="22" t="s">
        <v>5141</v>
      </c>
      <c r="B2202" s="22">
        <v>0</v>
      </c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2"/>
      <c r="T2202" s="22"/>
      <c r="U2202" s="22"/>
      <c r="V2202" s="22"/>
      <c r="W2202" s="22"/>
      <c r="X2202" s="22"/>
      <c r="Y2202" s="22"/>
      <c r="Z2202" s="22"/>
      <c r="AA2202" s="22"/>
      <c r="AB2202" s="22"/>
      <c r="AC2202" s="22"/>
      <c r="AD2202" s="22"/>
      <c r="AE2202" s="22"/>
      <c r="AF2202" s="22"/>
      <c r="AG2202" s="22"/>
      <c r="AH2202" s="22"/>
      <c r="AI2202" s="22"/>
      <c r="AJ2202" s="22"/>
    </row>
    <row r="2203" spans="1:36" x14ac:dyDescent="0.25">
      <c r="A2203" s="22" t="s">
        <v>5142</v>
      </c>
      <c r="B2203" s="22">
        <v>0</v>
      </c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2"/>
      <c r="T2203" s="22"/>
      <c r="U2203" s="22"/>
      <c r="V2203" s="22"/>
      <c r="W2203" s="22"/>
      <c r="X2203" s="22"/>
      <c r="Y2203" s="22"/>
      <c r="Z2203" s="22"/>
      <c r="AA2203" s="22"/>
      <c r="AB2203" s="22"/>
      <c r="AC2203" s="22"/>
      <c r="AD2203" s="22"/>
      <c r="AE2203" s="22"/>
      <c r="AF2203" s="22"/>
      <c r="AG2203" s="22"/>
      <c r="AH2203" s="22"/>
      <c r="AI2203" s="22"/>
      <c r="AJ2203" s="22"/>
    </row>
    <row r="2204" spans="1:36" x14ac:dyDescent="0.25">
      <c r="A2204" s="22" t="s">
        <v>5143</v>
      </c>
      <c r="B2204" s="22">
        <v>0</v>
      </c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2"/>
      <c r="T2204" s="22"/>
      <c r="U2204" s="22"/>
      <c r="V2204" s="22"/>
      <c r="W2204" s="22"/>
      <c r="X2204" s="22"/>
      <c r="Y2204" s="22"/>
      <c r="Z2204" s="22"/>
      <c r="AA2204" s="22"/>
      <c r="AB2204" s="22"/>
      <c r="AC2204" s="22"/>
      <c r="AD2204" s="22"/>
      <c r="AE2204" s="22"/>
      <c r="AF2204" s="22"/>
      <c r="AG2204" s="22"/>
      <c r="AH2204" s="22"/>
      <c r="AI2204" s="22"/>
      <c r="AJ2204" s="22"/>
    </row>
    <row r="2205" spans="1:36" x14ac:dyDescent="0.25">
      <c r="A2205" s="22" t="s">
        <v>5144</v>
      </c>
      <c r="B2205" s="22">
        <v>0</v>
      </c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2"/>
      <c r="T2205" s="22"/>
      <c r="U2205" s="22"/>
      <c r="V2205" s="22"/>
      <c r="W2205" s="22"/>
      <c r="X2205" s="22"/>
      <c r="Y2205" s="22"/>
      <c r="Z2205" s="22"/>
      <c r="AA2205" s="22"/>
      <c r="AB2205" s="22"/>
      <c r="AC2205" s="22"/>
      <c r="AD2205" s="22"/>
      <c r="AE2205" s="22"/>
      <c r="AF2205" s="22"/>
      <c r="AG2205" s="22"/>
      <c r="AH2205" s="22"/>
      <c r="AI2205" s="22"/>
      <c r="AJ2205" s="22"/>
    </row>
    <row r="2206" spans="1:36" x14ac:dyDescent="0.25">
      <c r="A2206" s="22" t="s">
        <v>5145</v>
      </c>
      <c r="B2206" s="22">
        <v>18</v>
      </c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  <c r="W2206" s="22"/>
      <c r="X2206" s="22"/>
      <c r="Y2206" s="22"/>
      <c r="Z2206" s="22"/>
      <c r="AA2206" s="22"/>
      <c r="AB2206" s="22"/>
      <c r="AC2206" s="22"/>
      <c r="AD2206" s="22"/>
      <c r="AE2206" s="22"/>
      <c r="AF2206" s="22"/>
      <c r="AG2206" s="22"/>
      <c r="AH2206" s="22"/>
      <c r="AI2206" s="22"/>
      <c r="AJ2206" s="22"/>
    </row>
    <row r="2207" spans="1:36" x14ac:dyDescent="0.25">
      <c r="A2207" s="22" t="s">
        <v>5146</v>
      </c>
      <c r="B2207" s="22">
        <v>0</v>
      </c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2"/>
      <c r="T2207" s="22"/>
      <c r="U2207" s="22"/>
      <c r="V2207" s="22"/>
      <c r="W2207" s="22"/>
      <c r="X2207" s="22"/>
      <c r="Y2207" s="22"/>
      <c r="Z2207" s="22"/>
      <c r="AA2207" s="22"/>
      <c r="AB2207" s="22"/>
      <c r="AC2207" s="22"/>
      <c r="AD2207" s="22"/>
      <c r="AE2207" s="22"/>
      <c r="AF2207" s="22"/>
      <c r="AG2207" s="22"/>
      <c r="AH2207" s="22"/>
      <c r="AI2207" s="22"/>
      <c r="AJ2207" s="22"/>
    </row>
    <row r="2208" spans="1:36" x14ac:dyDescent="0.25">
      <c r="A2208" s="22" t="s">
        <v>5147</v>
      </c>
      <c r="B2208" s="22">
        <v>0</v>
      </c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Z2208" s="22"/>
      <c r="AA2208" s="22"/>
      <c r="AB2208" s="22"/>
      <c r="AC2208" s="22"/>
      <c r="AD2208" s="22"/>
      <c r="AE2208" s="22"/>
      <c r="AF2208" s="22"/>
      <c r="AG2208" s="22"/>
      <c r="AH2208" s="22"/>
      <c r="AI2208" s="22"/>
      <c r="AJ2208" s="22"/>
    </row>
    <row r="2209" spans="1:36" x14ac:dyDescent="0.25">
      <c r="A2209" s="22" t="s">
        <v>5148</v>
      </c>
      <c r="B2209" s="22">
        <v>0</v>
      </c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2"/>
      <c r="T2209" s="22"/>
      <c r="U2209" s="22"/>
      <c r="V2209" s="22"/>
      <c r="W2209" s="22"/>
      <c r="X2209" s="22"/>
      <c r="Y2209" s="22"/>
      <c r="Z2209" s="22"/>
      <c r="AA2209" s="22"/>
      <c r="AB2209" s="22"/>
      <c r="AC2209" s="22"/>
      <c r="AD2209" s="22"/>
      <c r="AE2209" s="22"/>
      <c r="AF2209" s="22"/>
      <c r="AG2209" s="22"/>
      <c r="AH2209" s="22"/>
      <c r="AI2209" s="22"/>
      <c r="AJ2209" s="22"/>
    </row>
    <row r="2210" spans="1:36" x14ac:dyDescent="0.25">
      <c r="A2210" s="22" t="s">
        <v>5149</v>
      </c>
      <c r="B2210" s="22">
        <v>0</v>
      </c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2"/>
      <c r="T2210" s="22"/>
      <c r="U2210" s="22"/>
      <c r="V2210" s="22"/>
      <c r="W2210" s="22"/>
      <c r="X2210" s="22"/>
      <c r="Y2210" s="22"/>
      <c r="Z2210" s="22"/>
      <c r="AA2210" s="22"/>
      <c r="AB2210" s="22"/>
      <c r="AC2210" s="22"/>
      <c r="AD2210" s="22"/>
      <c r="AE2210" s="22"/>
      <c r="AF2210" s="22"/>
      <c r="AG2210" s="22"/>
      <c r="AH2210" s="22"/>
      <c r="AI2210" s="22"/>
      <c r="AJ2210" s="22"/>
    </row>
    <row r="2211" spans="1:36" x14ac:dyDescent="0.25">
      <c r="A2211" s="22" t="s">
        <v>5150</v>
      </c>
      <c r="B2211" s="22">
        <v>0</v>
      </c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2"/>
      <c r="T2211" s="22"/>
      <c r="U2211" s="22"/>
      <c r="V2211" s="22"/>
      <c r="W2211" s="22"/>
      <c r="X2211" s="22"/>
      <c r="Y2211" s="22"/>
      <c r="Z2211" s="22"/>
      <c r="AA2211" s="22"/>
      <c r="AB2211" s="22"/>
      <c r="AC2211" s="22"/>
      <c r="AD2211" s="22"/>
      <c r="AE2211" s="22"/>
      <c r="AF2211" s="22"/>
      <c r="AG2211" s="22"/>
      <c r="AH2211" s="22"/>
      <c r="AI2211" s="22"/>
      <c r="AJ2211" s="22"/>
    </row>
    <row r="2212" spans="1:36" x14ac:dyDescent="0.25">
      <c r="A2212" s="22" t="s">
        <v>5151</v>
      </c>
      <c r="B2212" s="22">
        <v>0</v>
      </c>
      <c r="C2212" s="22"/>
      <c r="D2212" s="22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</row>
    <row r="2213" spans="1:36" x14ac:dyDescent="0.25">
      <c r="A2213" s="22" t="s">
        <v>5152</v>
      </c>
      <c r="B2213" s="22">
        <v>0</v>
      </c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2"/>
      <c r="T2213" s="22"/>
      <c r="U2213" s="22"/>
      <c r="V2213" s="22"/>
      <c r="W2213" s="22"/>
      <c r="X2213" s="22"/>
      <c r="Y2213" s="22"/>
      <c r="Z2213" s="22"/>
      <c r="AA2213" s="22"/>
      <c r="AB2213" s="22"/>
      <c r="AC2213" s="22"/>
      <c r="AD2213" s="22"/>
      <c r="AE2213" s="22"/>
      <c r="AF2213" s="22"/>
      <c r="AG2213" s="22"/>
      <c r="AH2213" s="22"/>
      <c r="AI2213" s="22"/>
      <c r="AJ2213" s="22"/>
    </row>
    <row r="2214" spans="1:36" x14ac:dyDescent="0.25">
      <c r="A2214" s="22" t="s">
        <v>5153</v>
      </c>
      <c r="B2214" s="22">
        <v>66</v>
      </c>
      <c r="C2214" s="22"/>
      <c r="D2214" s="22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2"/>
      <c r="T2214" s="22"/>
      <c r="U2214" s="22"/>
      <c r="V2214" s="22"/>
      <c r="W2214" s="22"/>
      <c r="X2214" s="22"/>
      <c r="Y2214" s="22"/>
      <c r="Z2214" s="22"/>
      <c r="AA2214" s="22"/>
      <c r="AB2214" s="22"/>
      <c r="AC2214" s="22"/>
      <c r="AD2214" s="22"/>
      <c r="AE2214" s="22"/>
      <c r="AF2214" s="22"/>
      <c r="AG2214" s="22"/>
      <c r="AH2214" s="22"/>
      <c r="AI2214" s="22"/>
      <c r="AJ2214" s="22"/>
    </row>
    <row r="2215" spans="1:36" x14ac:dyDescent="0.25">
      <c r="A2215" s="22" t="s">
        <v>5154</v>
      </c>
      <c r="B2215" s="22">
        <v>0</v>
      </c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2"/>
      <c r="T2215" s="22"/>
      <c r="U2215" s="22"/>
      <c r="V2215" s="22"/>
      <c r="W2215" s="22"/>
      <c r="X2215" s="22"/>
      <c r="Y2215" s="22"/>
      <c r="Z2215" s="22"/>
      <c r="AA2215" s="22"/>
      <c r="AB2215" s="22"/>
      <c r="AC2215" s="22"/>
      <c r="AD2215" s="22"/>
      <c r="AE2215" s="22"/>
      <c r="AF2215" s="22"/>
      <c r="AG2215" s="22"/>
      <c r="AH2215" s="22"/>
      <c r="AI2215" s="22"/>
      <c r="AJ2215" s="22"/>
    </row>
    <row r="2216" spans="1:36" x14ac:dyDescent="0.25">
      <c r="A2216" s="22" t="s">
        <v>5155</v>
      </c>
      <c r="B2216" s="22">
        <v>0</v>
      </c>
      <c r="C2216" s="22"/>
      <c r="D2216" s="22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2"/>
      <c r="T2216" s="22"/>
      <c r="U2216" s="22"/>
      <c r="V2216" s="22"/>
      <c r="W2216" s="22"/>
      <c r="X2216" s="22"/>
      <c r="Y2216" s="22"/>
      <c r="Z2216" s="22"/>
      <c r="AA2216" s="22"/>
      <c r="AB2216" s="22"/>
      <c r="AC2216" s="22"/>
      <c r="AD2216" s="22"/>
      <c r="AE2216" s="22"/>
      <c r="AF2216" s="22"/>
      <c r="AG2216" s="22"/>
      <c r="AH2216" s="22"/>
      <c r="AI2216" s="22"/>
      <c r="AJ2216" s="22"/>
    </row>
    <row r="2217" spans="1:36" x14ac:dyDescent="0.25">
      <c r="A2217" s="22" t="s">
        <v>5156</v>
      </c>
      <c r="B2217" s="22">
        <v>0</v>
      </c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2"/>
      <c r="T2217" s="22"/>
      <c r="U2217" s="22"/>
      <c r="V2217" s="22"/>
      <c r="W2217" s="22"/>
      <c r="X2217" s="22"/>
      <c r="Y2217" s="22"/>
      <c r="Z2217" s="22"/>
      <c r="AA2217" s="22"/>
      <c r="AB2217" s="22"/>
      <c r="AC2217" s="22"/>
      <c r="AD2217" s="22"/>
      <c r="AE2217" s="22"/>
      <c r="AF2217" s="22"/>
      <c r="AG2217" s="22"/>
      <c r="AH2217" s="22"/>
      <c r="AI2217" s="22"/>
      <c r="AJ2217" s="22"/>
    </row>
    <row r="2218" spans="1:36" x14ac:dyDescent="0.25">
      <c r="A2218" s="22" t="s">
        <v>5157</v>
      </c>
      <c r="B2218" s="22">
        <v>0</v>
      </c>
      <c r="C2218" s="22"/>
      <c r="D2218" s="22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2"/>
      <c r="T2218" s="22"/>
      <c r="U2218" s="22"/>
      <c r="V2218" s="22"/>
      <c r="W2218" s="22"/>
      <c r="X2218" s="22"/>
      <c r="Y2218" s="22"/>
      <c r="Z2218" s="22"/>
      <c r="AA2218" s="22"/>
      <c r="AB2218" s="22"/>
      <c r="AC2218" s="22"/>
      <c r="AD2218" s="22"/>
      <c r="AE2218" s="22"/>
      <c r="AF2218" s="22"/>
      <c r="AG2218" s="22"/>
      <c r="AH2218" s="22"/>
      <c r="AI2218" s="22"/>
      <c r="AJ2218" s="22"/>
    </row>
    <row r="2219" spans="1:36" x14ac:dyDescent="0.25">
      <c r="A2219" s="22" t="s">
        <v>5158</v>
      </c>
      <c r="B2219" s="22">
        <v>0</v>
      </c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2"/>
      <c r="T2219" s="22"/>
      <c r="U2219" s="22"/>
      <c r="V2219" s="22"/>
      <c r="W2219" s="22"/>
      <c r="X2219" s="22"/>
      <c r="Y2219" s="22"/>
      <c r="Z2219" s="22"/>
      <c r="AA2219" s="22"/>
      <c r="AB2219" s="22"/>
      <c r="AC2219" s="22"/>
      <c r="AD2219" s="22"/>
      <c r="AE2219" s="22"/>
      <c r="AF2219" s="22"/>
      <c r="AG2219" s="22"/>
      <c r="AH2219" s="22"/>
      <c r="AI2219" s="22"/>
      <c r="AJ2219" s="22"/>
    </row>
    <row r="2220" spans="1:36" x14ac:dyDescent="0.25">
      <c r="A2220" s="22" t="s">
        <v>5159</v>
      </c>
      <c r="B2220" s="22">
        <v>0</v>
      </c>
      <c r="C2220" s="22"/>
      <c r="D2220" s="22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2"/>
      <c r="T2220" s="22"/>
      <c r="U2220" s="22"/>
      <c r="V2220" s="22"/>
      <c r="W2220" s="22"/>
      <c r="X2220" s="22"/>
      <c r="Y2220" s="22"/>
      <c r="Z2220" s="22"/>
      <c r="AA2220" s="22"/>
      <c r="AB2220" s="22"/>
      <c r="AC2220" s="22"/>
      <c r="AD2220" s="22"/>
      <c r="AE2220" s="22"/>
      <c r="AF2220" s="22"/>
      <c r="AG2220" s="22"/>
      <c r="AH2220" s="22"/>
      <c r="AI2220" s="22"/>
      <c r="AJ2220" s="22"/>
    </row>
    <row r="2221" spans="1:36" x14ac:dyDescent="0.25">
      <c r="A2221" s="22" t="s">
        <v>5160</v>
      </c>
      <c r="B2221" s="22">
        <v>0</v>
      </c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2"/>
      <c r="T2221" s="22"/>
      <c r="U2221" s="22"/>
      <c r="V2221" s="22"/>
      <c r="W2221" s="22"/>
      <c r="X2221" s="22"/>
      <c r="Y2221" s="22"/>
      <c r="Z2221" s="22"/>
      <c r="AA2221" s="22"/>
      <c r="AB2221" s="22"/>
      <c r="AC2221" s="22"/>
      <c r="AD2221" s="22"/>
      <c r="AE2221" s="22"/>
      <c r="AF2221" s="22"/>
      <c r="AG2221" s="22"/>
      <c r="AH2221" s="22"/>
      <c r="AI2221" s="22"/>
      <c r="AJ2221" s="22"/>
    </row>
    <row r="2222" spans="1:36" x14ac:dyDescent="0.25">
      <c r="A2222" s="22" t="s">
        <v>5161</v>
      </c>
      <c r="B2222" s="22">
        <v>72</v>
      </c>
      <c r="C2222" s="22"/>
      <c r="D2222" s="22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2"/>
      <c r="T2222" s="22"/>
      <c r="U2222" s="22"/>
      <c r="V2222" s="22"/>
      <c r="W2222" s="22"/>
      <c r="X2222" s="22"/>
      <c r="Y2222" s="22"/>
      <c r="Z2222" s="22"/>
      <c r="AA2222" s="22"/>
      <c r="AB2222" s="22"/>
      <c r="AC2222" s="22"/>
      <c r="AD2222" s="22"/>
      <c r="AE2222" s="22"/>
      <c r="AF2222" s="22"/>
      <c r="AG2222" s="22"/>
      <c r="AH2222" s="22"/>
      <c r="AI2222" s="22"/>
      <c r="AJ2222" s="22"/>
    </row>
    <row r="2223" spans="1:36" x14ac:dyDescent="0.25">
      <c r="A2223" s="22" t="s">
        <v>5162</v>
      </c>
      <c r="B2223" s="22">
        <v>37</v>
      </c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2"/>
      <c r="T2223" s="22"/>
      <c r="U2223" s="22"/>
      <c r="V2223" s="22"/>
      <c r="W2223" s="22"/>
      <c r="X2223" s="22"/>
      <c r="Y2223" s="22"/>
      <c r="Z2223" s="22"/>
      <c r="AA2223" s="22"/>
      <c r="AB2223" s="22"/>
      <c r="AC2223" s="22"/>
      <c r="AD2223" s="22"/>
      <c r="AE2223" s="22"/>
      <c r="AF2223" s="22"/>
      <c r="AG2223" s="22"/>
      <c r="AH2223" s="22"/>
      <c r="AI2223" s="22"/>
      <c r="AJ2223" s="22"/>
    </row>
    <row r="2224" spans="1:36" x14ac:dyDescent="0.25">
      <c r="A2224" s="22" t="s">
        <v>5163</v>
      </c>
      <c r="B2224" s="22">
        <v>30</v>
      </c>
      <c r="C2224" s="22"/>
      <c r="D2224" s="22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2"/>
      <c r="T2224" s="22"/>
      <c r="U2224" s="22"/>
      <c r="V2224" s="22"/>
      <c r="W2224" s="22"/>
      <c r="X2224" s="22"/>
      <c r="Y2224" s="22"/>
      <c r="Z2224" s="22"/>
      <c r="AA2224" s="22"/>
      <c r="AB2224" s="22"/>
      <c r="AC2224" s="22"/>
      <c r="AD2224" s="22"/>
      <c r="AE2224" s="22"/>
      <c r="AF2224" s="22"/>
      <c r="AG2224" s="22"/>
      <c r="AH2224" s="22"/>
      <c r="AI2224" s="22"/>
      <c r="AJ2224" s="22"/>
    </row>
    <row r="2225" spans="1:36" x14ac:dyDescent="0.25">
      <c r="A2225" s="22" t="s">
        <v>5164</v>
      </c>
      <c r="B2225" s="22">
        <v>0</v>
      </c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2"/>
      <c r="T2225" s="22"/>
      <c r="U2225" s="22"/>
      <c r="V2225" s="22"/>
      <c r="W2225" s="22"/>
      <c r="X2225" s="22"/>
      <c r="Y2225" s="22"/>
      <c r="Z2225" s="22"/>
      <c r="AA2225" s="22"/>
      <c r="AB2225" s="22"/>
      <c r="AC2225" s="22"/>
      <c r="AD2225" s="22"/>
      <c r="AE2225" s="22"/>
      <c r="AF2225" s="22"/>
      <c r="AG2225" s="22"/>
      <c r="AH2225" s="22"/>
      <c r="AI2225" s="22"/>
      <c r="AJ2225" s="22"/>
    </row>
    <row r="2226" spans="1:36" x14ac:dyDescent="0.25">
      <c r="A2226" s="22" t="s">
        <v>5165</v>
      </c>
      <c r="B2226" s="22">
        <v>37</v>
      </c>
      <c r="C2226" s="22"/>
      <c r="D2226" s="22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2"/>
      <c r="T2226" s="22"/>
      <c r="U2226" s="22"/>
      <c r="V2226" s="22"/>
      <c r="W2226" s="22"/>
      <c r="X2226" s="22"/>
      <c r="Y2226" s="22"/>
      <c r="Z2226" s="22"/>
      <c r="AA2226" s="22"/>
      <c r="AB2226" s="22"/>
      <c r="AC2226" s="22"/>
      <c r="AD2226" s="22"/>
      <c r="AE2226" s="22"/>
      <c r="AF2226" s="22"/>
      <c r="AG2226" s="22"/>
      <c r="AH2226" s="22"/>
      <c r="AI2226" s="22"/>
      <c r="AJ2226" s="22"/>
    </row>
    <row r="2227" spans="1:36" x14ac:dyDescent="0.25">
      <c r="A2227" s="22" t="s">
        <v>5166</v>
      </c>
      <c r="B2227" s="22">
        <v>0</v>
      </c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2"/>
      <c r="T2227" s="22"/>
      <c r="U2227" s="22"/>
      <c r="V2227" s="22"/>
      <c r="W2227" s="22"/>
      <c r="X2227" s="22"/>
      <c r="Y2227" s="22"/>
      <c r="Z2227" s="22"/>
      <c r="AA2227" s="22"/>
      <c r="AB2227" s="22"/>
      <c r="AC2227" s="22"/>
      <c r="AD2227" s="22"/>
      <c r="AE2227" s="22"/>
      <c r="AF2227" s="22"/>
      <c r="AG2227" s="22"/>
      <c r="AH2227" s="22"/>
      <c r="AI2227" s="22"/>
      <c r="AJ2227" s="22"/>
    </row>
    <row r="2228" spans="1:36" x14ac:dyDescent="0.25">
      <c r="A2228" s="22" t="s">
        <v>5167</v>
      </c>
      <c r="B2228" s="22">
        <v>0</v>
      </c>
      <c r="C2228" s="22"/>
      <c r="D2228" s="22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2"/>
      <c r="T2228" s="22"/>
      <c r="U2228" s="22"/>
      <c r="V2228" s="22"/>
      <c r="W2228" s="22"/>
      <c r="X2228" s="22"/>
      <c r="Y2228" s="22"/>
      <c r="Z2228" s="22"/>
      <c r="AA2228" s="22"/>
      <c r="AB2228" s="22"/>
      <c r="AC2228" s="22"/>
      <c r="AD2228" s="22"/>
      <c r="AE2228" s="22"/>
      <c r="AF2228" s="22"/>
      <c r="AG2228" s="22"/>
      <c r="AH2228" s="22"/>
      <c r="AI2228" s="22"/>
      <c r="AJ2228" s="22"/>
    </row>
    <row r="2229" spans="1:36" x14ac:dyDescent="0.25">
      <c r="A2229" s="22" t="s">
        <v>5168</v>
      </c>
      <c r="B2229" s="22">
        <v>0</v>
      </c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2"/>
      <c r="T2229" s="22"/>
      <c r="U2229" s="22"/>
      <c r="V2229" s="22"/>
      <c r="W2229" s="22"/>
      <c r="X2229" s="22"/>
      <c r="Y2229" s="22"/>
      <c r="Z2229" s="22"/>
      <c r="AA2229" s="22"/>
      <c r="AB2229" s="22"/>
      <c r="AC2229" s="22"/>
      <c r="AD2229" s="22"/>
      <c r="AE2229" s="22"/>
      <c r="AF2229" s="22"/>
      <c r="AG2229" s="22"/>
      <c r="AH2229" s="22"/>
      <c r="AI2229" s="22"/>
      <c r="AJ2229" s="22"/>
    </row>
    <row r="2230" spans="1:36" x14ac:dyDescent="0.25">
      <c r="A2230" s="22" t="s">
        <v>5169</v>
      </c>
      <c r="B2230" s="22">
        <v>0</v>
      </c>
      <c r="C2230" s="22"/>
      <c r="D2230" s="22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2"/>
      <c r="T2230" s="22"/>
      <c r="U2230" s="22"/>
      <c r="V2230" s="22"/>
      <c r="W2230" s="22"/>
      <c r="X2230" s="22"/>
      <c r="Y2230" s="22"/>
      <c r="Z2230" s="22"/>
      <c r="AA2230" s="22"/>
      <c r="AB2230" s="22"/>
      <c r="AC2230" s="22"/>
      <c r="AD2230" s="22"/>
      <c r="AE2230" s="22"/>
      <c r="AF2230" s="22"/>
      <c r="AG2230" s="22"/>
      <c r="AH2230" s="22"/>
      <c r="AI2230" s="22"/>
      <c r="AJ2230" s="22"/>
    </row>
    <row r="2231" spans="1:36" x14ac:dyDescent="0.25">
      <c r="A2231" s="22" t="s">
        <v>5170</v>
      </c>
      <c r="B2231" s="22">
        <v>0</v>
      </c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2"/>
      <c r="T2231" s="22"/>
      <c r="U2231" s="22"/>
      <c r="V2231" s="22"/>
      <c r="W2231" s="22"/>
      <c r="X2231" s="22"/>
      <c r="Y2231" s="22"/>
      <c r="Z2231" s="22"/>
      <c r="AA2231" s="22"/>
      <c r="AB2231" s="22"/>
      <c r="AC2231" s="22"/>
      <c r="AD2231" s="22"/>
      <c r="AE2231" s="22"/>
      <c r="AF2231" s="22"/>
      <c r="AG2231" s="22"/>
      <c r="AH2231" s="22"/>
      <c r="AI2231" s="22"/>
      <c r="AJ2231" s="22"/>
    </row>
    <row r="2232" spans="1:36" x14ac:dyDescent="0.25">
      <c r="A2232" s="22" t="s">
        <v>5171</v>
      </c>
      <c r="B2232" s="22">
        <v>0</v>
      </c>
      <c r="C2232" s="22"/>
      <c r="D2232" s="22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2"/>
      <c r="T2232" s="22"/>
      <c r="U2232" s="22"/>
      <c r="V2232" s="22"/>
      <c r="W2232" s="22"/>
      <c r="X2232" s="22"/>
      <c r="Y2232" s="22"/>
      <c r="Z2232" s="22"/>
      <c r="AA2232" s="22"/>
      <c r="AB2232" s="22"/>
      <c r="AC2232" s="22"/>
      <c r="AD2232" s="22"/>
      <c r="AE2232" s="22"/>
      <c r="AF2232" s="22"/>
      <c r="AG2232" s="22"/>
      <c r="AH2232" s="22"/>
      <c r="AI2232" s="22"/>
      <c r="AJ2232" s="22"/>
    </row>
    <row r="2233" spans="1:36" x14ac:dyDescent="0.25">
      <c r="A2233" s="22" t="s">
        <v>5172</v>
      </c>
      <c r="B2233" s="22">
        <v>0</v>
      </c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2"/>
      <c r="T2233" s="22"/>
      <c r="U2233" s="22"/>
      <c r="V2233" s="22"/>
      <c r="W2233" s="22"/>
      <c r="X2233" s="22"/>
      <c r="Y2233" s="22"/>
      <c r="Z2233" s="22"/>
      <c r="AA2233" s="22"/>
      <c r="AB2233" s="22"/>
      <c r="AC2233" s="22"/>
      <c r="AD2233" s="22"/>
      <c r="AE2233" s="22"/>
      <c r="AF2233" s="22"/>
      <c r="AG2233" s="22"/>
      <c r="AH2233" s="22"/>
      <c r="AI2233" s="22"/>
      <c r="AJ2233" s="22"/>
    </row>
    <row r="2234" spans="1:36" x14ac:dyDescent="0.25">
      <c r="A2234" s="22" t="s">
        <v>5173</v>
      </c>
      <c r="B2234" s="22">
        <v>0</v>
      </c>
      <c r="C2234" s="22"/>
      <c r="D2234" s="22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2"/>
      <c r="T2234" s="22"/>
      <c r="U2234" s="22"/>
      <c r="V2234" s="22"/>
      <c r="W2234" s="22"/>
      <c r="X2234" s="22"/>
      <c r="Y2234" s="22"/>
      <c r="Z2234" s="22"/>
      <c r="AA2234" s="22"/>
      <c r="AB2234" s="22"/>
      <c r="AC2234" s="22"/>
      <c r="AD2234" s="22"/>
      <c r="AE2234" s="22"/>
      <c r="AF2234" s="22"/>
      <c r="AG2234" s="22"/>
      <c r="AH2234" s="22"/>
      <c r="AI2234" s="22"/>
      <c r="AJ2234" s="22"/>
    </row>
    <row r="2235" spans="1:36" x14ac:dyDescent="0.25">
      <c r="A2235" s="22" t="s">
        <v>5174</v>
      </c>
      <c r="B2235" s="22">
        <v>0</v>
      </c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2"/>
      <c r="T2235" s="22"/>
      <c r="U2235" s="22"/>
      <c r="V2235" s="22"/>
      <c r="W2235" s="22"/>
      <c r="X2235" s="22"/>
      <c r="Y2235" s="22"/>
      <c r="Z2235" s="22"/>
      <c r="AA2235" s="22"/>
      <c r="AB2235" s="22"/>
      <c r="AC2235" s="22"/>
      <c r="AD2235" s="22"/>
      <c r="AE2235" s="22"/>
      <c r="AF2235" s="22"/>
      <c r="AG2235" s="22"/>
      <c r="AH2235" s="22"/>
      <c r="AI2235" s="22"/>
      <c r="AJ2235" s="22"/>
    </row>
    <row r="2236" spans="1:36" x14ac:dyDescent="0.25">
      <c r="A2236" s="22" t="s">
        <v>5175</v>
      </c>
      <c r="B2236" s="22">
        <v>0</v>
      </c>
      <c r="C2236" s="22"/>
      <c r="D2236" s="22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2"/>
      <c r="T2236" s="22"/>
      <c r="U2236" s="22"/>
      <c r="V2236" s="22"/>
      <c r="W2236" s="22"/>
      <c r="X2236" s="22"/>
      <c r="Y2236" s="22"/>
      <c r="Z2236" s="22"/>
      <c r="AA2236" s="22"/>
      <c r="AB2236" s="22"/>
      <c r="AC2236" s="22"/>
      <c r="AD2236" s="22"/>
      <c r="AE2236" s="22"/>
      <c r="AF2236" s="22"/>
      <c r="AG2236" s="22"/>
      <c r="AH2236" s="22"/>
      <c r="AI2236" s="22"/>
      <c r="AJ2236" s="22"/>
    </row>
    <row r="2237" spans="1:36" x14ac:dyDescent="0.25">
      <c r="A2237" s="22" t="s">
        <v>5176</v>
      </c>
      <c r="B2237" s="22">
        <v>0</v>
      </c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2"/>
      <c r="T2237" s="22"/>
      <c r="U2237" s="22"/>
      <c r="V2237" s="22"/>
      <c r="W2237" s="22"/>
      <c r="X2237" s="22"/>
      <c r="Y2237" s="22"/>
      <c r="Z2237" s="22"/>
      <c r="AA2237" s="22"/>
      <c r="AB2237" s="22"/>
      <c r="AC2237" s="22"/>
      <c r="AD2237" s="22"/>
      <c r="AE2237" s="22"/>
      <c r="AF2237" s="22"/>
      <c r="AG2237" s="22"/>
      <c r="AH2237" s="22"/>
      <c r="AI2237" s="22"/>
      <c r="AJ2237" s="22"/>
    </row>
    <row r="2238" spans="1:36" x14ac:dyDescent="0.25">
      <c r="A2238" s="22" t="s">
        <v>5177</v>
      </c>
      <c r="B2238" s="22">
        <v>23</v>
      </c>
      <c r="C2238" s="22"/>
      <c r="D2238" s="22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2"/>
      <c r="T2238" s="22"/>
      <c r="U2238" s="22"/>
      <c r="V2238" s="22"/>
      <c r="W2238" s="22"/>
      <c r="X2238" s="22"/>
      <c r="Y2238" s="22"/>
      <c r="Z2238" s="22"/>
      <c r="AA2238" s="22"/>
      <c r="AB2238" s="22"/>
      <c r="AC2238" s="22"/>
      <c r="AD2238" s="22"/>
      <c r="AE2238" s="22"/>
      <c r="AF2238" s="22"/>
      <c r="AG2238" s="22"/>
      <c r="AH2238" s="22"/>
      <c r="AI2238" s="22"/>
      <c r="AJ2238" s="22"/>
    </row>
    <row r="2239" spans="1:36" x14ac:dyDescent="0.25">
      <c r="A2239" s="22" t="s">
        <v>5178</v>
      </c>
      <c r="B2239" s="22">
        <v>0</v>
      </c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2"/>
      <c r="T2239" s="22"/>
      <c r="U2239" s="22"/>
      <c r="V2239" s="22"/>
      <c r="W2239" s="22"/>
      <c r="X2239" s="22"/>
      <c r="Y2239" s="22"/>
      <c r="Z2239" s="22"/>
      <c r="AA2239" s="22"/>
      <c r="AB2239" s="22"/>
      <c r="AC2239" s="22"/>
      <c r="AD2239" s="22"/>
      <c r="AE2239" s="22"/>
      <c r="AF2239" s="22"/>
      <c r="AG2239" s="22"/>
      <c r="AH2239" s="22"/>
      <c r="AI2239" s="22"/>
      <c r="AJ2239" s="22"/>
    </row>
    <row r="2240" spans="1:36" x14ac:dyDescent="0.25">
      <c r="A2240" s="22" t="s">
        <v>5179</v>
      </c>
      <c r="B2240" s="22">
        <v>0</v>
      </c>
      <c r="C2240" s="22"/>
      <c r="D2240" s="22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2"/>
      <c r="T2240" s="22"/>
      <c r="U2240" s="22"/>
      <c r="V2240" s="22"/>
      <c r="W2240" s="22"/>
      <c r="X2240" s="22"/>
      <c r="Y2240" s="22"/>
      <c r="Z2240" s="22"/>
      <c r="AA2240" s="22"/>
      <c r="AB2240" s="22"/>
      <c r="AC2240" s="22"/>
      <c r="AD2240" s="22"/>
      <c r="AE2240" s="22"/>
      <c r="AF2240" s="22"/>
      <c r="AG2240" s="22"/>
      <c r="AH2240" s="22"/>
      <c r="AI2240" s="22"/>
      <c r="AJ2240" s="22"/>
    </row>
    <row r="2241" spans="1:36" x14ac:dyDescent="0.25">
      <c r="A2241" s="22" t="s">
        <v>5180</v>
      </c>
      <c r="B2241" s="22">
        <v>0</v>
      </c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2"/>
      <c r="T2241" s="22"/>
      <c r="U2241" s="22"/>
      <c r="V2241" s="22"/>
      <c r="W2241" s="22"/>
      <c r="X2241" s="22"/>
      <c r="Y2241" s="22"/>
      <c r="Z2241" s="22"/>
      <c r="AA2241" s="22"/>
      <c r="AB2241" s="22"/>
      <c r="AC2241" s="22"/>
      <c r="AD2241" s="22"/>
      <c r="AE2241" s="22"/>
      <c r="AF2241" s="22"/>
      <c r="AG2241" s="22"/>
      <c r="AH2241" s="22"/>
      <c r="AI2241" s="22"/>
      <c r="AJ2241" s="22"/>
    </row>
    <row r="2242" spans="1:36" x14ac:dyDescent="0.25">
      <c r="A2242" s="22" t="s">
        <v>5181</v>
      </c>
      <c r="B2242" s="22">
        <v>0</v>
      </c>
      <c r="C2242" s="22"/>
      <c r="D2242" s="22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2"/>
      <c r="T2242" s="22"/>
      <c r="U2242" s="22"/>
      <c r="V2242" s="22"/>
      <c r="W2242" s="22"/>
      <c r="X2242" s="22"/>
      <c r="Y2242" s="22"/>
      <c r="Z2242" s="22"/>
      <c r="AA2242" s="22"/>
      <c r="AB2242" s="22"/>
      <c r="AC2242" s="22"/>
      <c r="AD2242" s="22"/>
      <c r="AE2242" s="22"/>
      <c r="AF2242" s="22"/>
      <c r="AG2242" s="22"/>
      <c r="AH2242" s="22"/>
      <c r="AI2242" s="22"/>
      <c r="AJ2242" s="22"/>
    </row>
    <row r="2243" spans="1:36" x14ac:dyDescent="0.25">
      <c r="A2243" s="22" t="s">
        <v>5182</v>
      </c>
      <c r="B2243" s="22">
        <v>0</v>
      </c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2"/>
      <c r="T2243" s="22"/>
      <c r="U2243" s="22"/>
      <c r="V2243" s="22"/>
      <c r="W2243" s="22"/>
      <c r="X2243" s="22"/>
      <c r="Y2243" s="22"/>
      <c r="Z2243" s="22"/>
      <c r="AA2243" s="22"/>
      <c r="AB2243" s="22"/>
      <c r="AC2243" s="22"/>
      <c r="AD2243" s="22"/>
      <c r="AE2243" s="22"/>
      <c r="AF2243" s="22"/>
      <c r="AG2243" s="22"/>
      <c r="AH2243" s="22"/>
      <c r="AI2243" s="22"/>
      <c r="AJ2243" s="22"/>
    </row>
    <row r="2244" spans="1:36" x14ac:dyDescent="0.25">
      <c r="A2244" s="22" t="s">
        <v>5183</v>
      </c>
      <c r="B2244" s="22">
        <v>0</v>
      </c>
      <c r="C2244" s="22"/>
      <c r="D2244" s="22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2"/>
      <c r="T2244" s="22"/>
      <c r="U2244" s="22"/>
      <c r="V2244" s="22"/>
      <c r="W2244" s="22"/>
      <c r="X2244" s="22"/>
      <c r="Y2244" s="22"/>
      <c r="Z2244" s="22"/>
      <c r="AA2244" s="22"/>
      <c r="AB2244" s="22"/>
      <c r="AC2244" s="22"/>
      <c r="AD2244" s="22"/>
      <c r="AE2244" s="22"/>
      <c r="AF2244" s="22"/>
      <c r="AG2244" s="22"/>
      <c r="AH2244" s="22"/>
      <c r="AI2244" s="22"/>
      <c r="AJ2244" s="22"/>
    </row>
    <row r="2245" spans="1:36" x14ac:dyDescent="0.25">
      <c r="A2245" s="22" t="s">
        <v>5184</v>
      </c>
      <c r="B2245" s="22">
        <v>0</v>
      </c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2"/>
      <c r="T2245" s="22"/>
      <c r="U2245" s="22"/>
      <c r="V2245" s="22"/>
      <c r="W2245" s="22"/>
      <c r="X2245" s="22"/>
      <c r="Y2245" s="22"/>
      <c r="Z2245" s="22"/>
      <c r="AA2245" s="22"/>
      <c r="AB2245" s="22"/>
      <c r="AC2245" s="22"/>
      <c r="AD2245" s="22"/>
      <c r="AE2245" s="22"/>
      <c r="AF2245" s="22"/>
      <c r="AG2245" s="22"/>
      <c r="AH2245" s="22"/>
      <c r="AI2245" s="22"/>
      <c r="AJ2245" s="22"/>
    </row>
    <row r="2246" spans="1:36" x14ac:dyDescent="0.25">
      <c r="A2246" s="22" t="s">
        <v>5185</v>
      </c>
      <c r="B2246" s="22">
        <v>1</v>
      </c>
      <c r="C2246" s="22"/>
      <c r="D2246" s="22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2"/>
      <c r="T2246" s="22"/>
      <c r="U2246" s="22"/>
      <c r="V2246" s="22"/>
      <c r="W2246" s="22"/>
      <c r="X2246" s="22"/>
      <c r="Y2246" s="22"/>
      <c r="Z2246" s="22"/>
      <c r="AA2246" s="22"/>
      <c r="AB2246" s="22"/>
      <c r="AC2246" s="22"/>
      <c r="AD2246" s="22"/>
      <c r="AE2246" s="22"/>
      <c r="AF2246" s="22"/>
      <c r="AG2246" s="22"/>
      <c r="AH2246" s="22"/>
      <c r="AI2246" s="22"/>
      <c r="AJ2246" s="22"/>
    </row>
    <row r="2247" spans="1:36" x14ac:dyDescent="0.25">
      <c r="A2247" s="22" t="s">
        <v>5186</v>
      </c>
      <c r="B2247" s="22">
        <v>0</v>
      </c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2"/>
      <c r="T2247" s="22"/>
      <c r="U2247" s="22"/>
      <c r="V2247" s="22"/>
      <c r="W2247" s="22"/>
      <c r="X2247" s="22"/>
      <c r="Y2247" s="22"/>
      <c r="Z2247" s="22"/>
      <c r="AA2247" s="22"/>
      <c r="AB2247" s="22"/>
      <c r="AC2247" s="22"/>
      <c r="AD2247" s="22"/>
      <c r="AE2247" s="22"/>
      <c r="AF2247" s="22"/>
      <c r="AG2247" s="22"/>
      <c r="AH2247" s="22"/>
      <c r="AI2247" s="22"/>
      <c r="AJ2247" s="22"/>
    </row>
    <row r="2248" spans="1:36" x14ac:dyDescent="0.25">
      <c r="A2248" s="22" t="s">
        <v>5187</v>
      </c>
      <c r="B2248" s="22">
        <v>0</v>
      </c>
      <c r="C2248" s="22"/>
      <c r="D2248" s="22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2"/>
      <c r="T2248" s="22"/>
      <c r="U2248" s="22"/>
      <c r="V2248" s="22"/>
      <c r="W2248" s="22"/>
      <c r="X2248" s="22"/>
      <c r="Y2248" s="22"/>
      <c r="Z2248" s="22"/>
      <c r="AA2248" s="22"/>
      <c r="AB2248" s="22"/>
      <c r="AC2248" s="22"/>
      <c r="AD2248" s="22"/>
      <c r="AE2248" s="22"/>
      <c r="AF2248" s="22"/>
      <c r="AG2248" s="22"/>
      <c r="AH2248" s="22"/>
      <c r="AI2248" s="22"/>
      <c r="AJ2248" s="22"/>
    </row>
    <row r="2249" spans="1:36" x14ac:dyDescent="0.25">
      <c r="A2249" s="22" t="s">
        <v>5188</v>
      </c>
      <c r="B2249" s="22">
        <v>0</v>
      </c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2"/>
      <c r="T2249" s="22"/>
      <c r="U2249" s="22"/>
      <c r="V2249" s="22"/>
      <c r="W2249" s="22"/>
      <c r="X2249" s="22"/>
      <c r="Y2249" s="22"/>
      <c r="Z2249" s="22"/>
      <c r="AA2249" s="22"/>
      <c r="AB2249" s="22"/>
      <c r="AC2249" s="22"/>
      <c r="AD2249" s="22"/>
      <c r="AE2249" s="22"/>
      <c r="AF2249" s="22"/>
      <c r="AG2249" s="22"/>
      <c r="AH2249" s="22"/>
      <c r="AI2249" s="22"/>
      <c r="AJ2249" s="22"/>
    </row>
    <row r="2250" spans="1:36" x14ac:dyDescent="0.25">
      <c r="A2250" s="22" t="s">
        <v>5189</v>
      </c>
      <c r="B2250" s="22">
        <v>0</v>
      </c>
      <c r="C2250" s="22"/>
      <c r="D2250" s="22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2"/>
      <c r="T2250" s="22"/>
      <c r="U2250" s="22"/>
      <c r="V2250" s="22"/>
      <c r="W2250" s="22"/>
      <c r="X2250" s="22"/>
      <c r="Y2250" s="22"/>
      <c r="Z2250" s="22"/>
      <c r="AA2250" s="22"/>
      <c r="AB2250" s="22"/>
      <c r="AC2250" s="22"/>
      <c r="AD2250" s="22"/>
      <c r="AE2250" s="22"/>
      <c r="AF2250" s="22"/>
      <c r="AG2250" s="22"/>
      <c r="AH2250" s="22"/>
      <c r="AI2250" s="22"/>
      <c r="AJ2250" s="22"/>
    </row>
    <row r="2251" spans="1:36" x14ac:dyDescent="0.25">
      <c r="A2251" s="22" t="s">
        <v>5190</v>
      </c>
      <c r="B2251" s="22">
        <v>0</v>
      </c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2"/>
      <c r="T2251" s="22"/>
      <c r="U2251" s="22"/>
      <c r="V2251" s="22"/>
      <c r="W2251" s="22"/>
      <c r="X2251" s="22"/>
      <c r="Y2251" s="22"/>
      <c r="Z2251" s="22"/>
      <c r="AA2251" s="22"/>
      <c r="AB2251" s="22"/>
      <c r="AC2251" s="22"/>
      <c r="AD2251" s="22"/>
      <c r="AE2251" s="22"/>
      <c r="AF2251" s="22"/>
      <c r="AG2251" s="22"/>
      <c r="AH2251" s="22"/>
      <c r="AI2251" s="22"/>
      <c r="AJ2251" s="22"/>
    </row>
    <row r="2252" spans="1:36" x14ac:dyDescent="0.25">
      <c r="A2252" s="22" t="s">
        <v>5191</v>
      </c>
      <c r="B2252" s="22">
        <v>0</v>
      </c>
      <c r="C2252" s="22"/>
      <c r="D2252" s="22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2"/>
      <c r="T2252" s="22"/>
      <c r="U2252" s="22"/>
      <c r="V2252" s="22"/>
      <c r="W2252" s="22"/>
      <c r="X2252" s="22"/>
      <c r="Y2252" s="22"/>
      <c r="Z2252" s="22"/>
      <c r="AA2252" s="22"/>
      <c r="AB2252" s="22"/>
      <c r="AC2252" s="22"/>
      <c r="AD2252" s="22"/>
      <c r="AE2252" s="22"/>
      <c r="AF2252" s="22"/>
      <c r="AG2252" s="22"/>
      <c r="AH2252" s="22"/>
      <c r="AI2252" s="22"/>
      <c r="AJ2252" s="22"/>
    </row>
    <row r="2253" spans="1:36" x14ac:dyDescent="0.25">
      <c r="A2253" s="22" t="s">
        <v>5192</v>
      </c>
      <c r="B2253" s="22">
        <v>0</v>
      </c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2"/>
      <c r="T2253" s="22"/>
      <c r="U2253" s="22"/>
      <c r="V2253" s="22"/>
      <c r="W2253" s="22"/>
      <c r="X2253" s="22"/>
      <c r="Y2253" s="22"/>
      <c r="Z2253" s="22"/>
      <c r="AA2253" s="22"/>
      <c r="AB2253" s="22"/>
      <c r="AC2253" s="22"/>
      <c r="AD2253" s="22"/>
      <c r="AE2253" s="22"/>
      <c r="AF2253" s="22"/>
      <c r="AG2253" s="22"/>
      <c r="AH2253" s="22"/>
      <c r="AI2253" s="22"/>
      <c r="AJ2253" s="22"/>
    </row>
    <row r="2254" spans="1:36" x14ac:dyDescent="0.25">
      <c r="A2254" s="22" t="s">
        <v>5193</v>
      </c>
      <c r="B2254" s="22">
        <v>19</v>
      </c>
      <c r="C2254" s="22"/>
      <c r="D2254" s="22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2"/>
      <c r="T2254" s="22"/>
      <c r="U2254" s="22"/>
      <c r="V2254" s="22"/>
      <c r="W2254" s="22"/>
      <c r="X2254" s="22"/>
      <c r="Y2254" s="22"/>
      <c r="Z2254" s="22"/>
      <c r="AA2254" s="22"/>
      <c r="AB2254" s="22"/>
      <c r="AC2254" s="22"/>
      <c r="AD2254" s="22"/>
      <c r="AE2254" s="22"/>
      <c r="AF2254" s="22"/>
      <c r="AG2254" s="22"/>
      <c r="AH2254" s="22"/>
      <c r="AI2254" s="22"/>
      <c r="AJ2254" s="22"/>
    </row>
    <row r="2255" spans="1:36" x14ac:dyDescent="0.25">
      <c r="A2255" s="22" t="s">
        <v>5194</v>
      </c>
      <c r="B2255" s="22">
        <v>0</v>
      </c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2"/>
      <c r="T2255" s="22"/>
      <c r="U2255" s="22"/>
      <c r="V2255" s="22"/>
      <c r="W2255" s="22"/>
      <c r="X2255" s="22"/>
      <c r="Y2255" s="22"/>
      <c r="Z2255" s="22"/>
      <c r="AA2255" s="22"/>
      <c r="AB2255" s="22"/>
      <c r="AC2255" s="22"/>
      <c r="AD2255" s="22"/>
      <c r="AE2255" s="22"/>
      <c r="AF2255" s="22"/>
      <c r="AG2255" s="22"/>
      <c r="AH2255" s="22"/>
      <c r="AI2255" s="22"/>
      <c r="AJ2255" s="22"/>
    </row>
    <row r="2256" spans="1:36" x14ac:dyDescent="0.25">
      <c r="A2256" s="22" t="s">
        <v>5195</v>
      </c>
      <c r="B2256" s="22">
        <v>0</v>
      </c>
      <c r="C2256" s="22"/>
      <c r="D2256" s="22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2"/>
      <c r="T2256" s="22"/>
      <c r="U2256" s="22"/>
      <c r="V2256" s="22"/>
      <c r="W2256" s="22"/>
      <c r="X2256" s="22"/>
      <c r="Y2256" s="22"/>
      <c r="Z2256" s="22"/>
      <c r="AA2256" s="22"/>
      <c r="AB2256" s="22"/>
      <c r="AC2256" s="22"/>
      <c r="AD2256" s="22"/>
      <c r="AE2256" s="22"/>
      <c r="AF2256" s="22"/>
      <c r="AG2256" s="22"/>
      <c r="AH2256" s="22"/>
      <c r="AI2256" s="22"/>
      <c r="AJ2256" s="22"/>
    </row>
    <row r="2257" spans="1:36" x14ac:dyDescent="0.25">
      <c r="A2257" s="22" t="s">
        <v>5196</v>
      </c>
      <c r="B2257" s="22">
        <v>0</v>
      </c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2"/>
      <c r="T2257" s="22"/>
      <c r="U2257" s="22"/>
      <c r="V2257" s="22"/>
      <c r="W2257" s="22"/>
      <c r="X2257" s="22"/>
      <c r="Y2257" s="22"/>
      <c r="Z2257" s="22"/>
      <c r="AA2257" s="22"/>
      <c r="AB2257" s="22"/>
      <c r="AC2257" s="22"/>
      <c r="AD2257" s="22"/>
      <c r="AE2257" s="22"/>
      <c r="AF2257" s="22"/>
      <c r="AG2257" s="22"/>
      <c r="AH2257" s="22"/>
      <c r="AI2257" s="22"/>
      <c r="AJ2257" s="22"/>
    </row>
    <row r="2258" spans="1:36" x14ac:dyDescent="0.25">
      <c r="A2258" s="22" t="s">
        <v>5197</v>
      </c>
      <c r="B2258" s="22">
        <v>0</v>
      </c>
      <c r="C2258" s="22"/>
      <c r="D2258" s="22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2"/>
      <c r="T2258" s="22"/>
      <c r="U2258" s="22"/>
      <c r="V2258" s="22"/>
      <c r="W2258" s="22"/>
      <c r="X2258" s="22"/>
      <c r="Y2258" s="22"/>
      <c r="Z2258" s="22"/>
      <c r="AA2258" s="22"/>
      <c r="AB2258" s="22"/>
      <c r="AC2258" s="22"/>
      <c r="AD2258" s="22"/>
      <c r="AE2258" s="22"/>
      <c r="AF2258" s="22"/>
      <c r="AG2258" s="22"/>
      <c r="AH2258" s="22"/>
      <c r="AI2258" s="22"/>
      <c r="AJ2258" s="22"/>
    </row>
    <row r="2259" spans="1:36" x14ac:dyDescent="0.25">
      <c r="A2259" s="22" t="s">
        <v>5198</v>
      </c>
      <c r="B2259" s="22">
        <v>0</v>
      </c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2"/>
      <c r="T2259" s="22"/>
      <c r="U2259" s="22"/>
      <c r="V2259" s="22"/>
      <c r="W2259" s="22"/>
      <c r="X2259" s="22"/>
      <c r="Y2259" s="22"/>
      <c r="Z2259" s="22"/>
      <c r="AA2259" s="22"/>
      <c r="AB2259" s="22"/>
      <c r="AC2259" s="22"/>
      <c r="AD2259" s="22"/>
      <c r="AE2259" s="22"/>
      <c r="AF2259" s="22"/>
      <c r="AG2259" s="22"/>
      <c r="AH2259" s="22"/>
      <c r="AI2259" s="22"/>
      <c r="AJ2259" s="22"/>
    </row>
    <row r="2260" spans="1:36" x14ac:dyDescent="0.25">
      <c r="A2260" s="22" t="s">
        <v>5199</v>
      </c>
      <c r="B2260" s="22">
        <v>0</v>
      </c>
      <c r="C2260" s="22"/>
      <c r="D2260" s="22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2"/>
      <c r="T2260" s="22"/>
      <c r="U2260" s="22"/>
      <c r="V2260" s="22"/>
      <c r="W2260" s="22"/>
      <c r="X2260" s="22"/>
      <c r="Y2260" s="22"/>
      <c r="Z2260" s="22"/>
      <c r="AA2260" s="22"/>
      <c r="AB2260" s="22"/>
      <c r="AC2260" s="22"/>
      <c r="AD2260" s="22"/>
      <c r="AE2260" s="22"/>
      <c r="AF2260" s="22"/>
      <c r="AG2260" s="22"/>
      <c r="AH2260" s="22"/>
      <c r="AI2260" s="22"/>
      <c r="AJ2260" s="22"/>
    </row>
    <row r="2261" spans="1:36" x14ac:dyDescent="0.25">
      <c r="A2261" s="22" t="s">
        <v>5200</v>
      </c>
      <c r="B2261" s="22">
        <v>0</v>
      </c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2"/>
      <c r="T2261" s="22"/>
      <c r="U2261" s="22"/>
      <c r="V2261" s="22"/>
      <c r="W2261" s="22"/>
      <c r="X2261" s="22"/>
      <c r="Y2261" s="22"/>
      <c r="Z2261" s="22"/>
      <c r="AA2261" s="22"/>
      <c r="AB2261" s="22"/>
      <c r="AC2261" s="22"/>
      <c r="AD2261" s="22"/>
      <c r="AE2261" s="22"/>
      <c r="AF2261" s="22"/>
      <c r="AG2261" s="22"/>
      <c r="AH2261" s="22"/>
      <c r="AI2261" s="22"/>
      <c r="AJ2261" s="22"/>
    </row>
    <row r="2262" spans="1:36" x14ac:dyDescent="0.25">
      <c r="A2262" s="22" t="s">
        <v>5201</v>
      </c>
      <c r="B2262" s="22">
        <v>87</v>
      </c>
      <c r="C2262" s="22"/>
      <c r="D2262" s="22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2"/>
      <c r="T2262" s="22"/>
      <c r="U2262" s="22"/>
      <c r="V2262" s="22"/>
      <c r="W2262" s="22"/>
      <c r="X2262" s="22"/>
      <c r="Y2262" s="22"/>
      <c r="Z2262" s="22"/>
      <c r="AA2262" s="22"/>
      <c r="AB2262" s="22"/>
      <c r="AC2262" s="22"/>
      <c r="AD2262" s="22"/>
      <c r="AE2262" s="22"/>
      <c r="AF2262" s="22"/>
      <c r="AG2262" s="22"/>
      <c r="AH2262" s="22"/>
      <c r="AI2262" s="22"/>
      <c r="AJ2262" s="22"/>
    </row>
    <row r="2263" spans="1:36" x14ac:dyDescent="0.25">
      <c r="A2263" s="22" t="s">
        <v>5202</v>
      </c>
      <c r="B2263" s="22">
        <v>0</v>
      </c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2"/>
      <c r="T2263" s="22"/>
      <c r="U2263" s="22"/>
      <c r="V2263" s="22"/>
      <c r="W2263" s="22"/>
      <c r="X2263" s="22"/>
      <c r="Y2263" s="22"/>
      <c r="Z2263" s="22"/>
      <c r="AA2263" s="22"/>
      <c r="AB2263" s="22"/>
      <c r="AC2263" s="22"/>
      <c r="AD2263" s="22"/>
      <c r="AE2263" s="22"/>
      <c r="AF2263" s="22"/>
      <c r="AG2263" s="22"/>
      <c r="AH2263" s="22"/>
      <c r="AI2263" s="22"/>
      <c r="AJ2263" s="22"/>
    </row>
    <row r="2264" spans="1:36" x14ac:dyDescent="0.25">
      <c r="A2264" s="22" t="s">
        <v>5203</v>
      </c>
      <c r="B2264" s="22">
        <v>0</v>
      </c>
      <c r="C2264" s="22"/>
      <c r="D2264" s="22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2"/>
      <c r="T2264" s="22"/>
      <c r="U2264" s="22"/>
      <c r="V2264" s="22"/>
      <c r="W2264" s="22"/>
      <c r="X2264" s="22"/>
      <c r="Y2264" s="22"/>
      <c r="Z2264" s="22"/>
      <c r="AA2264" s="22"/>
      <c r="AB2264" s="22"/>
      <c r="AC2264" s="22"/>
      <c r="AD2264" s="22"/>
      <c r="AE2264" s="22"/>
      <c r="AF2264" s="22"/>
      <c r="AG2264" s="22"/>
      <c r="AH2264" s="22"/>
      <c r="AI2264" s="22"/>
      <c r="AJ2264" s="22"/>
    </row>
    <row r="2265" spans="1:36" x14ac:dyDescent="0.25">
      <c r="A2265" s="22" t="s">
        <v>5204</v>
      </c>
      <c r="B2265" s="22">
        <v>0</v>
      </c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2"/>
      <c r="T2265" s="22"/>
      <c r="U2265" s="22"/>
      <c r="V2265" s="22"/>
      <c r="W2265" s="22"/>
      <c r="X2265" s="22"/>
      <c r="Y2265" s="22"/>
      <c r="Z2265" s="22"/>
      <c r="AA2265" s="22"/>
      <c r="AB2265" s="22"/>
      <c r="AC2265" s="22"/>
      <c r="AD2265" s="22"/>
      <c r="AE2265" s="22"/>
      <c r="AF2265" s="22"/>
      <c r="AG2265" s="22"/>
      <c r="AH2265" s="22"/>
      <c r="AI2265" s="22"/>
      <c r="AJ2265" s="22"/>
    </row>
    <row r="2266" spans="1:36" x14ac:dyDescent="0.25">
      <c r="A2266" s="22" t="s">
        <v>5205</v>
      </c>
      <c r="B2266" s="22">
        <v>0</v>
      </c>
      <c r="C2266" s="22"/>
      <c r="D2266" s="22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2"/>
      <c r="T2266" s="22"/>
      <c r="U2266" s="22"/>
      <c r="V2266" s="22"/>
      <c r="W2266" s="22"/>
      <c r="X2266" s="22"/>
      <c r="Y2266" s="22"/>
      <c r="Z2266" s="22"/>
      <c r="AA2266" s="22"/>
      <c r="AB2266" s="22"/>
      <c r="AC2266" s="22"/>
      <c r="AD2266" s="22"/>
      <c r="AE2266" s="22"/>
      <c r="AF2266" s="22"/>
      <c r="AG2266" s="22"/>
      <c r="AH2266" s="22"/>
      <c r="AI2266" s="22"/>
      <c r="AJ2266" s="22"/>
    </row>
    <row r="2267" spans="1:36" x14ac:dyDescent="0.25">
      <c r="A2267" s="22" t="s">
        <v>5206</v>
      </c>
      <c r="B2267" s="22">
        <v>0</v>
      </c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2"/>
      <c r="T2267" s="22"/>
      <c r="U2267" s="22"/>
      <c r="V2267" s="22"/>
      <c r="W2267" s="22"/>
      <c r="X2267" s="22"/>
      <c r="Y2267" s="22"/>
      <c r="Z2267" s="22"/>
      <c r="AA2267" s="22"/>
      <c r="AB2267" s="22"/>
      <c r="AC2267" s="22"/>
      <c r="AD2267" s="22"/>
      <c r="AE2267" s="22"/>
      <c r="AF2267" s="22"/>
      <c r="AG2267" s="22"/>
      <c r="AH2267" s="22"/>
      <c r="AI2267" s="22"/>
      <c r="AJ2267" s="22"/>
    </row>
    <row r="2268" spans="1:36" x14ac:dyDescent="0.25">
      <c r="A2268" s="22" t="s">
        <v>5207</v>
      </c>
      <c r="B2268" s="22">
        <v>0</v>
      </c>
      <c r="C2268" s="22"/>
      <c r="D2268" s="22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2"/>
      <c r="T2268" s="22"/>
      <c r="U2268" s="22"/>
      <c r="V2268" s="22"/>
      <c r="W2268" s="22"/>
      <c r="X2268" s="22"/>
      <c r="Y2268" s="22"/>
      <c r="Z2268" s="22"/>
      <c r="AA2268" s="22"/>
      <c r="AB2268" s="22"/>
      <c r="AC2268" s="22"/>
      <c r="AD2268" s="22"/>
      <c r="AE2268" s="22"/>
      <c r="AF2268" s="22"/>
      <c r="AG2268" s="22"/>
      <c r="AH2268" s="22"/>
      <c r="AI2268" s="22"/>
      <c r="AJ2268" s="22"/>
    </row>
    <row r="2269" spans="1:36" x14ac:dyDescent="0.25">
      <c r="A2269" s="22" t="s">
        <v>5208</v>
      </c>
      <c r="B2269" s="22">
        <v>0</v>
      </c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2"/>
      <c r="T2269" s="22"/>
      <c r="U2269" s="22"/>
      <c r="V2269" s="22"/>
      <c r="W2269" s="22"/>
      <c r="X2269" s="22"/>
      <c r="Y2269" s="22"/>
      <c r="Z2269" s="22"/>
      <c r="AA2269" s="22"/>
      <c r="AB2269" s="22"/>
      <c r="AC2269" s="22"/>
      <c r="AD2269" s="22"/>
      <c r="AE2269" s="22"/>
      <c r="AF2269" s="22"/>
      <c r="AG2269" s="22"/>
      <c r="AH2269" s="22"/>
      <c r="AI2269" s="22"/>
      <c r="AJ2269" s="22"/>
    </row>
    <row r="2270" spans="1:36" x14ac:dyDescent="0.25">
      <c r="A2270" s="22" t="s">
        <v>5209</v>
      </c>
      <c r="B2270" s="22">
        <v>17</v>
      </c>
      <c r="C2270" s="22"/>
      <c r="D2270" s="22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2"/>
      <c r="T2270" s="22"/>
      <c r="U2270" s="22"/>
      <c r="V2270" s="22"/>
      <c r="W2270" s="22"/>
      <c r="X2270" s="22"/>
      <c r="Y2270" s="22"/>
      <c r="Z2270" s="22"/>
      <c r="AA2270" s="22"/>
      <c r="AB2270" s="22"/>
      <c r="AC2270" s="22"/>
      <c r="AD2270" s="22"/>
      <c r="AE2270" s="22"/>
      <c r="AF2270" s="22"/>
      <c r="AG2270" s="22"/>
      <c r="AH2270" s="22"/>
      <c r="AI2270" s="22"/>
      <c r="AJ2270" s="22"/>
    </row>
    <row r="2271" spans="1:36" x14ac:dyDescent="0.25">
      <c r="A2271" s="22" t="s">
        <v>5210</v>
      </c>
      <c r="B2271" s="22">
        <v>0</v>
      </c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2"/>
      <c r="T2271" s="22"/>
      <c r="U2271" s="22"/>
      <c r="V2271" s="22"/>
      <c r="W2271" s="22"/>
      <c r="X2271" s="22"/>
      <c r="Y2271" s="22"/>
      <c r="Z2271" s="22"/>
      <c r="AA2271" s="22"/>
      <c r="AB2271" s="22"/>
      <c r="AC2271" s="22"/>
      <c r="AD2271" s="22"/>
      <c r="AE2271" s="22"/>
      <c r="AF2271" s="22"/>
      <c r="AG2271" s="22"/>
      <c r="AH2271" s="22"/>
      <c r="AI2271" s="22"/>
      <c r="AJ2271" s="22"/>
    </row>
    <row r="2272" spans="1:36" x14ac:dyDescent="0.25">
      <c r="A2272" s="22" t="s">
        <v>5211</v>
      </c>
      <c r="B2272" s="22">
        <v>0</v>
      </c>
      <c r="C2272" s="22"/>
      <c r="D2272" s="22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2"/>
      <c r="T2272" s="22"/>
      <c r="U2272" s="22"/>
      <c r="V2272" s="22"/>
      <c r="W2272" s="22"/>
      <c r="X2272" s="22"/>
      <c r="Y2272" s="22"/>
      <c r="Z2272" s="22"/>
      <c r="AA2272" s="22"/>
      <c r="AB2272" s="22"/>
      <c r="AC2272" s="22"/>
      <c r="AD2272" s="22"/>
      <c r="AE2272" s="22"/>
      <c r="AF2272" s="22"/>
      <c r="AG2272" s="22"/>
      <c r="AH2272" s="22"/>
      <c r="AI2272" s="22"/>
      <c r="AJ2272" s="22"/>
    </row>
    <row r="2273" spans="1:36" x14ac:dyDescent="0.25">
      <c r="A2273" s="22" t="s">
        <v>5212</v>
      </c>
      <c r="B2273" s="22">
        <v>0</v>
      </c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2"/>
      <c r="T2273" s="22"/>
      <c r="U2273" s="22"/>
      <c r="V2273" s="22"/>
      <c r="W2273" s="22"/>
      <c r="X2273" s="22"/>
      <c r="Y2273" s="22"/>
      <c r="Z2273" s="22"/>
      <c r="AA2273" s="22"/>
      <c r="AB2273" s="22"/>
      <c r="AC2273" s="22"/>
      <c r="AD2273" s="22"/>
      <c r="AE2273" s="22"/>
      <c r="AF2273" s="22"/>
      <c r="AG2273" s="22"/>
      <c r="AH2273" s="22"/>
      <c r="AI2273" s="22"/>
      <c r="AJ2273" s="22"/>
    </row>
    <row r="2274" spans="1:36" x14ac:dyDescent="0.25">
      <c r="A2274" s="22" t="s">
        <v>5213</v>
      </c>
      <c r="B2274" s="22">
        <v>0</v>
      </c>
      <c r="C2274" s="22"/>
      <c r="D2274" s="22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2"/>
      <c r="T2274" s="22"/>
      <c r="U2274" s="22"/>
      <c r="V2274" s="22"/>
      <c r="W2274" s="22"/>
      <c r="X2274" s="22"/>
      <c r="Y2274" s="22"/>
      <c r="Z2274" s="22"/>
      <c r="AA2274" s="22"/>
      <c r="AB2274" s="22"/>
      <c r="AC2274" s="22"/>
      <c r="AD2274" s="22"/>
      <c r="AE2274" s="22"/>
      <c r="AF2274" s="22"/>
      <c r="AG2274" s="22"/>
      <c r="AH2274" s="22"/>
      <c r="AI2274" s="22"/>
      <c r="AJ2274" s="22"/>
    </row>
    <row r="2275" spans="1:36" x14ac:dyDescent="0.25">
      <c r="A2275" s="22" t="s">
        <v>5214</v>
      </c>
      <c r="B2275" s="22">
        <v>0</v>
      </c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2"/>
      <c r="T2275" s="22"/>
      <c r="U2275" s="22"/>
      <c r="V2275" s="22"/>
      <c r="W2275" s="22"/>
      <c r="X2275" s="22"/>
      <c r="Y2275" s="22"/>
      <c r="Z2275" s="22"/>
      <c r="AA2275" s="22"/>
      <c r="AB2275" s="22"/>
      <c r="AC2275" s="22"/>
      <c r="AD2275" s="22"/>
      <c r="AE2275" s="22"/>
      <c r="AF2275" s="22"/>
      <c r="AG2275" s="22"/>
      <c r="AH2275" s="22"/>
      <c r="AI2275" s="22"/>
      <c r="AJ2275" s="22"/>
    </row>
    <row r="2276" spans="1:36" x14ac:dyDescent="0.25">
      <c r="A2276" s="22" t="s">
        <v>5215</v>
      </c>
      <c r="B2276" s="22">
        <v>0</v>
      </c>
      <c r="C2276" s="22"/>
      <c r="D2276" s="22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2"/>
      <c r="T2276" s="22"/>
      <c r="U2276" s="22"/>
      <c r="V2276" s="22"/>
      <c r="W2276" s="22"/>
      <c r="X2276" s="22"/>
      <c r="Y2276" s="22"/>
      <c r="Z2276" s="22"/>
      <c r="AA2276" s="22"/>
      <c r="AB2276" s="22"/>
      <c r="AC2276" s="22"/>
      <c r="AD2276" s="22"/>
      <c r="AE2276" s="22"/>
      <c r="AF2276" s="22"/>
      <c r="AG2276" s="22"/>
      <c r="AH2276" s="22"/>
      <c r="AI2276" s="22"/>
      <c r="AJ2276" s="22"/>
    </row>
    <row r="2277" spans="1:36" x14ac:dyDescent="0.25">
      <c r="A2277" s="22" t="s">
        <v>5216</v>
      </c>
      <c r="B2277" s="22">
        <v>0</v>
      </c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2"/>
      <c r="T2277" s="22"/>
      <c r="U2277" s="22"/>
      <c r="V2277" s="22"/>
      <c r="W2277" s="22"/>
      <c r="X2277" s="22"/>
      <c r="Y2277" s="22"/>
      <c r="Z2277" s="22"/>
      <c r="AA2277" s="22"/>
      <c r="AB2277" s="22"/>
      <c r="AC2277" s="22"/>
      <c r="AD2277" s="22"/>
      <c r="AE2277" s="22"/>
      <c r="AF2277" s="22"/>
      <c r="AG2277" s="22"/>
      <c r="AH2277" s="22"/>
      <c r="AI2277" s="22"/>
      <c r="AJ2277" s="22"/>
    </row>
    <row r="2278" spans="1:36" x14ac:dyDescent="0.25">
      <c r="A2278" s="22" t="s">
        <v>5217</v>
      </c>
      <c r="B2278" s="22">
        <v>0</v>
      </c>
      <c r="C2278" s="22"/>
      <c r="D2278" s="22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2"/>
      <c r="T2278" s="22"/>
      <c r="U2278" s="22"/>
      <c r="V2278" s="22"/>
      <c r="W2278" s="22"/>
      <c r="X2278" s="22"/>
      <c r="Y2278" s="22"/>
      <c r="Z2278" s="22"/>
      <c r="AA2278" s="22"/>
      <c r="AB2278" s="22"/>
      <c r="AC2278" s="22"/>
      <c r="AD2278" s="22"/>
      <c r="AE2278" s="22"/>
      <c r="AF2278" s="22"/>
      <c r="AG2278" s="22"/>
      <c r="AH2278" s="22"/>
      <c r="AI2278" s="22"/>
      <c r="AJ2278" s="22"/>
    </row>
    <row r="2279" spans="1:36" x14ac:dyDescent="0.25">
      <c r="A2279" s="22" t="s">
        <v>5218</v>
      </c>
      <c r="B2279" s="22">
        <v>0</v>
      </c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2"/>
      <c r="T2279" s="22"/>
      <c r="U2279" s="22"/>
      <c r="V2279" s="22"/>
      <c r="W2279" s="22"/>
      <c r="X2279" s="22"/>
      <c r="Y2279" s="22"/>
      <c r="Z2279" s="22"/>
      <c r="AA2279" s="22"/>
      <c r="AB2279" s="22"/>
      <c r="AC2279" s="22"/>
      <c r="AD2279" s="22"/>
      <c r="AE2279" s="22"/>
      <c r="AF2279" s="22"/>
      <c r="AG2279" s="22"/>
      <c r="AH2279" s="22"/>
      <c r="AI2279" s="22"/>
      <c r="AJ2279" s="22"/>
    </row>
    <row r="2280" spans="1:36" x14ac:dyDescent="0.25">
      <c r="A2280" s="22" t="s">
        <v>5219</v>
      </c>
      <c r="B2280" s="22">
        <v>0</v>
      </c>
      <c r="C2280" s="22"/>
      <c r="D2280" s="22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2"/>
      <c r="T2280" s="22"/>
      <c r="U2280" s="22"/>
      <c r="V2280" s="22"/>
      <c r="W2280" s="22"/>
      <c r="X2280" s="22"/>
      <c r="Y2280" s="22"/>
      <c r="Z2280" s="22"/>
      <c r="AA2280" s="22"/>
      <c r="AB2280" s="22"/>
      <c r="AC2280" s="22"/>
      <c r="AD2280" s="22"/>
      <c r="AE2280" s="22"/>
      <c r="AF2280" s="22"/>
      <c r="AG2280" s="22"/>
      <c r="AH2280" s="22"/>
      <c r="AI2280" s="22"/>
      <c r="AJ2280" s="22"/>
    </row>
    <row r="2281" spans="1:36" x14ac:dyDescent="0.25">
      <c r="A2281" s="22" t="s">
        <v>5220</v>
      </c>
      <c r="B2281" s="22">
        <v>0</v>
      </c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2"/>
      <c r="T2281" s="22"/>
      <c r="U2281" s="22"/>
      <c r="V2281" s="22"/>
      <c r="W2281" s="22"/>
      <c r="X2281" s="22"/>
      <c r="Y2281" s="22"/>
      <c r="Z2281" s="22"/>
      <c r="AA2281" s="22"/>
      <c r="AB2281" s="22"/>
      <c r="AC2281" s="22"/>
      <c r="AD2281" s="22"/>
      <c r="AE2281" s="22"/>
      <c r="AF2281" s="22"/>
      <c r="AG2281" s="22"/>
      <c r="AH2281" s="22"/>
      <c r="AI2281" s="22"/>
      <c r="AJ2281" s="22"/>
    </row>
    <row r="2282" spans="1:36" x14ac:dyDescent="0.25">
      <c r="A2282" s="22" t="s">
        <v>5221</v>
      </c>
      <c r="B2282" s="22">
        <v>0</v>
      </c>
      <c r="C2282" s="22"/>
      <c r="D2282" s="22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2"/>
      <c r="T2282" s="22"/>
      <c r="U2282" s="22"/>
      <c r="V2282" s="22"/>
      <c r="W2282" s="22"/>
      <c r="X2282" s="22"/>
      <c r="Y2282" s="22"/>
      <c r="Z2282" s="22"/>
      <c r="AA2282" s="22"/>
      <c r="AB2282" s="22"/>
      <c r="AC2282" s="22"/>
      <c r="AD2282" s="22"/>
      <c r="AE2282" s="22"/>
      <c r="AF2282" s="22"/>
      <c r="AG2282" s="22"/>
      <c r="AH2282" s="22"/>
      <c r="AI2282" s="22"/>
      <c r="AJ2282" s="22"/>
    </row>
    <row r="2283" spans="1:36" x14ac:dyDescent="0.25">
      <c r="A2283" s="22" t="s">
        <v>5222</v>
      </c>
      <c r="B2283" s="22">
        <v>0</v>
      </c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2"/>
      <c r="T2283" s="22"/>
      <c r="U2283" s="22"/>
      <c r="V2283" s="22"/>
      <c r="W2283" s="22"/>
      <c r="X2283" s="22"/>
      <c r="Y2283" s="22"/>
      <c r="Z2283" s="22"/>
      <c r="AA2283" s="22"/>
      <c r="AB2283" s="22"/>
      <c r="AC2283" s="22"/>
      <c r="AD2283" s="22"/>
      <c r="AE2283" s="22"/>
      <c r="AF2283" s="22"/>
      <c r="AG2283" s="22"/>
      <c r="AH2283" s="22"/>
      <c r="AI2283" s="22"/>
      <c r="AJ2283" s="22"/>
    </row>
    <row r="2284" spans="1:36" x14ac:dyDescent="0.25">
      <c r="A2284" s="22" t="s">
        <v>5223</v>
      </c>
      <c r="B2284" s="22">
        <v>0</v>
      </c>
      <c r="C2284" s="22"/>
      <c r="D2284" s="22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2"/>
      <c r="T2284" s="22"/>
      <c r="U2284" s="22"/>
      <c r="V2284" s="22"/>
      <c r="W2284" s="22"/>
      <c r="X2284" s="22"/>
      <c r="Y2284" s="22"/>
      <c r="Z2284" s="22"/>
      <c r="AA2284" s="22"/>
      <c r="AB2284" s="22"/>
      <c r="AC2284" s="22"/>
      <c r="AD2284" s="22"/>
      <c r="AE2284" s="22"/>
      <c r="AF2284" s="22"/>
      <c r="AG2284" s="22"/>
      <c r="AH2284" s="22"/>
      <c r="AI2284" s="22"/>
      <c r="AJ2284" s="22"/>
    </row>
    <row r="2285" spans="1:36" x14ac:dyDescent="0.25">
      <c r="A2285" s="22" t="s">
        <v>5224</v>
      </c>
      <c r="B2285" s="22">
        <v>0</v>
      </c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2"/>
      <c r="T2285" s="22"/>
      <c r="U2285" s="22"/>
      <c r="V2285" s="22"/>
      <c r="W2285" s="22"/>
      <c r="X2285" s="22"/>
      <c r="Y2285" s="22"/>
      <c r="Z2285" s="22"/>
      <c r="AA2285" s="22"/>
      <c r="AB2285" s="22"/>
      <c r="AC2285" s="22"/>
      <c r="AD2285" s="22"/>
      <c r="AE2285" s="22"/>
      <c r="AF2285" s="22"/>
      <c r="AG2285" s="22"/>
      <c r="AH2285" s="22"/>
      <c r="AI2285" s="22"/>
      <c r="AJ2285" s="22"/>
    </row>
    <row r="2286" spans="1:36" x14ac:dyDescent="0.25">
      <c r="A2286" s="22" t="s">
        <v>5225</v>
      </c>
      <c r="B2286" s="22">
        <v>89</v>
      </c>
      <c r="C2286" s="22"/>
      <c r="D2286" s="22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2"/>
      <c r="T2286" s="22"/>
      <c r="U2286" s="22"/>
      <c r="V2286" s="22"/>
      <c r="W2286" s="22"/>
      <c r="X2286" s="22"/>
      <c r="Y2286" s="22"/>
      <c r="Z2286" s="22"/>
      <c r="AA2286" s="22"/>
      <c r="AB2286" s="22"/>
      <c r="AC2286" s="22"/>
      <c r="AD2286" s="22"/>
      <c r="AE2286" s="22"/>
      <c r="AF2286" s="22"/>
      <c r="AG2286" s="22"/>
      <c r="AH2286" s="22"/>
      <c r="AI2286" s="22"/>
      <c r="AJ2286" s="22"/>
    </row>
    <row r="2287" spans="1:36" x14ac:dyDescent="0.25">
      <c r="A2287" s="22" t="s">
        <v>5226</v>
      </c>
      <c r="B2287" s="22">
        <v>0</v>
      </c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2"/>
      <c r="T2287" s="22"/>
      <c r="U2287" s="22"/>
      <c r="V2287" s="22"/>
      <c r="W2287" s="22"/>
      <c r="X2287" s="22"/>
      <c r="Y2287" s="22"/>
      <c r="Z2287" s="22"/>
      <c r="AA2287" s="22"/>
      <c r="AB2287" s="22"/>
      <c r="AC2287" s="22"/>
      <c r="AD2287" s="22"/>
      <c r="AE2287" s="22"/>
      <c r="AF2287" s="22"/>
      <c r="AG2287" s="22"/>
      <c r="AH2287" s="22"/>
      <c r="AI2287" s="22"/>
      <c r="AJ2287" s="22"/>
    </row>
    <row r="2288" spans="1:36" x14ac:dyDescent="0.25">
      <c r="A2288" s="22" t="s">
        <v>5227</v>
      </c>
      <c r="B2288" s="22">
        <v>7</v>
      </c>
      <c r="C2288" s="22"/>
      <c r="D2288" s="22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2"/>
      <c r="T2288" s="22"/>
      <c r="U2288" s="22"/>
      <c r="V2288" s="22"/>
      <c r="W2288" s="22"/>
      <c r="X2288" s="22"/>
      <c r="Y2288" s="22"/>
      <c r="Z2288" s="22"/>
      <c r="AA2288" s="22"/>
      <c r="AB2288" s="22"/>
      <c r="AC2288" s="22"/>
      <c r="AD2288" s="22"/>
      <c r="AE2288" s="22"/>
      <c r="AF2288" s="22"/>
      <c r="AG2288" s="22"/>
      <c r="AH2288" s="22"/>
      <c r="AI2288" s="22"/>
      <c r="AJ2288" s="22"/>
    </row>
    <row r="2289" spans="1:36" x14ac:dyDescent="0.25">
      <c r="A2289" s="22" t="s">
        <v>5228</v>
      </c>
      <c r="B2289" s="22">
        <v>0</v>
      </c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2"/>
      <c r="T2289" s="22"/>
      <c r="U2289" s="22"/>
      <c r="V2289" s="22"/>
      <c r="W2289" s="22"/>
      <c r="X2289" s="22"/>
      <c r="Y2289" s="22"/>
      <c r="Z2289" s="22"/>
      <c r="AA2289" s="22"/>
      <c r="AB2289" s="22"/>
      <c r="AC2289" s="22"/>
      <c r="AD2289" s="22"/>
      <c r="AE2289" s="22"/>
      <c r="AF2289" s="22"/>
      <c r="AG2289" s="22"/>
      <c r="AH2289" s="22"/>
      <c r="AI2289" s="22"/>
      <c r="AJ2289" s="22"/>
    </row>
    <row r="2290" spans="1:36" x14ac:dyDescent="0.25">
      <c r="A2290" s="22" t="s">
        <v>5229</v>
      </c>
      <c r="B2290" s="22">
        <v>0</v>
      </c>
      <c r="C2290" s="22"/>
      <c r="D2290" s="22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2"/>
      <c r="T2290" s="22"/>
      <c r="U2290" s="22"/>
      <c r="V2290" s="22"/>
      <c r="W2290" s="22"/>
      <c r="X2290" s="22"/>
      <c r="Y2290" s="22"/>
      <c r="Z2290" s="22"/>
      <c r="AA2290" s="22"/>
      <c r="AB2290" s="22"/>
      <c r="AC2290" s="22"/>
      <c r="AD2290" s="22"/>
      <c r="AE2290" s="22"/>
      <c r="AF2290" s="22"/>
      <c r="AG2290" s="22"/>
      <c r="AH2290" s="22"/>
      <c r="AI2290" s="22"/>
      <c r="AJ2290" s="22"/>
    </row>
    <row r="2291" spans="1:36" x14ac:dyDescent="0.25">
      <c r="A2291" s="22" t="s">
        <v>5230</v>
      </c>
      <c r="B2291" s="22">
        <v>0</v>
      </c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2"/>
      <c r="T2291" s="22"/>
      <c r="U2291" s="22"/>
      <c r="V2291" s="22"/>
      <c r="W2291" s="22"/>
      <c r="X2291" s="22"/>
      <c r="Y2291" s="22"/>
      <c r="Z2291" s="22"/>
      <c r="AA2291" s="22"/>
      <c r="AB2291" s="22"/>
      <c r="AC2291" s="22"/>
      <c r="AD2291" s="22"/>
      <c r="AE2291" s="22"/>
      <c r="AF2291" s="22"/>
      <c r="AG2291" s="22"/>
      <c r="AH2291" s="22"/>
      <c r="AI2291" s="22"/>
      <c r="AJ2291" s="22"/>
    </row>
    <row r="2292" spans="1:36" x14ac:dyDescent="0.25">
      <c r="A2292" s="22" t="s">
        <v>5231</v>
      </c>
      <c r="B2292" s="22">
        <v>0</v>
      </c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2"/>
      <c r="T2292" s="22"/>
      <c r="U2292" s="22"/>
      <c r="V2292" s="22"/>
      <c r="W2292" s="22"/>
      <c r="X2292" s="22"/>
      <c r="Y2292" s="22"/>
      <c r="Z2292" s="22"/>
      <c r="AA2292" s="22"/>
      <c r="AB2292" s="22"/>
      <c r="AC2292" s="22"/>
      <c r="AD2292" s="22"/>
      <c r="AE2292" s="22"/>
      <c r="AF2292" s="22"/>
      <c r="AG2292" s="22"/>
      <c r="AH2292" s="22"/>
      <c r="AI2292" s="22"/>
      <c r="AJ2292" s="22"/>
    </row>
    <row r="2293" spans="1:36" x14ac:dyDescent="0.25">
      <c r="A2293" s="22" t="s">
        <v>5232</v>
      </c>
      <c r="B2293" s="22">
        <v>0</v>
      </c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2"/>
      <c r="T2293" s="22"/>
      <c r="U2293" s="22"/>
      <c r="V2293" s="22"/>
      <c r="W2293" s="22"/>
      <c r="X2293" s="22"/>
      <c r="Y2293" s="22"/>
      <c r="Z2293" s="22"/>
      <c r="AA2293" s="22"/>
      <c r="AB2293" s="22"/>
      <c r="AC2293" s="22"/>
      <c r="AD2293" s="22"/>
      <c r="AE2293" s="22"/>
      <c r="AF2293" s="22"/>
      <c r="AG2293" s="22"/>
      <c r="AH2293" s="22"/>
      <c r="AI2293" s="22"/>
      <c r="AJ2293" s="22"/>
    </row>
    <row r="2294" spans="1:36" x14ac:dyDescent="0.25">
      <c r="A2294" s="22" t="s">
        <v>5233</v>
      </c>
      <c r="B2294" s="22">
        <v>171</v>
      </c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2"/>
      <c r="T2294" s="22"/>
      <c r="U2294" s="22"/>
      <c r="V2294" s="22"/>
      <c r="W2294" s="22"/>
      <c r="X2294" s="22"/>
      <c r="Y2294" s="22"/>
      <c r="Z2294" s="22"/>
      <c r="AA2294" s="22"/>
      <c r="AB2294" s="22"/>
      <c r="AC2294" s="22"/>
      <c r="AD2294" s="22"/>
      <c r="AE2294" s="22"/>
      <c r="AF2294" s="22"/>
      <c r="AG2294" s="22"/>
      <c r="AH2294" s="22"/>
      <c r="AI2294" s="22"/>
      <c r="AJ2294" s="22"/>
    </row>
    <row r="2295" spans="1:36" x14ac:dyDescent="0.25">
      <c r="A2295" s="22" t="s">
        <v>5234</v>
      </c>
      <c r="B2295" s="22">
        <v>0</v>
      </c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2"/>
      <c r="T2295" s="22"/>
      <c r="U2295" s="22"/>
      <c r="V2295" s="22"/>
      <c r="W2295" s="22"/>
      <c r="X2295" s="22"/>
      <c r="Y2295" s="22"/>
      <c r="Z2295" s="22"/>
      <c r="AA2295" s="22"/>
      <c r="AB2295" s="22"/>
      <c r="AC2295" s="22"/>
      <c r="AD2295" s="22"/>
      <c r="AE2295" s="22"/>
      <c r="AF2295" s="22"/>
      <c r="AG2295" s="22"/>
      <c r="AH2295" s="22"/>
      <c r="AI2295" s="22"/>
      <c r="AJ2295" s="22"/>
    </row>
    <row r="2296" spans="1:36" x14ac:dyDescent="0.25">
      <c r="A2296" s="22" t="s">
        <v>5235</v>
      </c>
      <c r="B2296" s="22">
        <v>0</v>
      </c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2"/>
      <c r="T2296" s="22"/>
      <c r="U2296" s="22"/>
      <c r="V2296" s="22"/>
      <c r="W2296" s="22"/>
      <c r="X2296" s="22"/>
      <c r="Y2296" s="22"/>
      <c r="Z2296" s="22"/>
      <c r="AA2296" s="22"/>
      <c r="AB2296" s="22"/>
      <c r="AC2296" s="22"/>
      <c r="AD2296" s="22"/>
      <c r="AE2296" s="22"/>
      <c r="AF2296" s="22"/>
      <c r="AG2296" s="22"/>
      <c r="AH2296" s="22"/>
      <c r="AI2296" s="22"/>
      <c r="AJ2296" s="22"/>
    </row>
    <row r="2297" spans="1:36" x14ac:dyDescent="0.25">
      <c r="A2297" s="22" t="s">
        <v>5236</v>
      </c>
      <c r="B2297" s="22">
        <v>0</v>
      </c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2"/>
      <c r="T2297" s="22"/>
      <c r="U2297" s="22"/>
      <c r="V2297" s="22"/>
      <c r="W2297" s="22"/>
      <c r="X2297" s="22"/>
      <c r="Y2297" s="22"/>
      <c r="Z2297" s="22"/>
      <c r="AA2297" s="22"/>
      <c r="AB2297" s="22"/>
      <c r="AC2297" s="22"/>
      <c r="AD2297" s="22"/>
      <c r="AE2297" s="22"/>
      <c r="AF2297" s="22"/>
      <c r="AG2297" s="22"/>
      <c r="AH2297" s="22"/>
      <c r="AI2297" s="22"/>
      <c r="AJ2297" s="22"/>
    </row>
    <row r="2298" spans="1:36" x14ac:dyDescent="0.25">
      <c r="A2298" s="22" t="s">
        <v>5237</v>
      </c>
      <c r="B2298" s="22">
        <v>3</v>
      </c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2"/>
      <c r="T2298" s="22"/>
      <c r="U2298" s="22"/>
      <c r="V2298" s="22"/>
      <c r="W2298" s="22"/>
      <c r="X2298" s="22"/>
      <c r="Y2298" s="22"/>
      <c r="Z2298" s="22"/>
      <c r="AA2298" s="22"/>
      <c r="AB2298" s="22"/>
      <c r="AC2298" s="22"/>
      <c r="AD2298" s="22"/>
      <c r="AE2298" s="22"/>
      <c r="AF2298" s="22"/>
      <c r="AG2298" s="22"/>
      <c r="AH2298" s="22"/>
      <c r="AI2298" s="22"/>
      <c r="AJ2298" s="22"/>
    </row>
    <row r="2299" spans="1:36" x14ac:dyDescent="0.25">
      <c r="A2299" s="22" t="s">
        <v>5238</v>
      </c>
      <c r="B2299" s="22">
        <v>0</v>
      </c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2"/>
      <c r="T2299" s="22"/>
      <c r="U2299" s="22"/>
      <c r="V2299" s="22"/>
      <c r="W2299" s="22"/>
      <c r="X2299" s="22"/>
      <c r="Y2299" s="22"/>
      <c r="Z2299" s="22"/>
      <c r="AA2299" s="22"/>
      <c r="AB2299" s="22"/>
      <c r="AC2299" s="22"/>
      <c r="AD2299" s="22"/>
      <c r="AE2299" s="22"/>
      <c r="AF2299" s="22"/>
      <c r="AG2299" s="22"/>
      <c r="AH2299" s="22"/>
      <c r="AI2299" s="22"/>
      <c r="AJ2299" s="22"/>
    </row>
    <row r="2300" spans="1:36" x14ac:dyDescent="0.25">
      <c r="A2300" s="22" t="s">
        <v>5239</v>
      </c>
      <c r="B2300" s="22">
        <v>0</v>
      </c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2"/>
      <c r="T2300" s="22"/>
      <c r="U2300" s="22"/>
      <c r="V2300" s="22"/>
      <c r="W2300" s="22"/>
      <c r="X2300" s="22"/>
      <c r="Y2300" s="22"/>
      <c r="Z2300" s="22"/>
      <c r="AA2300" s="22"/>
      <c r="AB2300" s="22"/>
      <c r="AC2300" s="22"/>
      <c r="AD2300" s="22"/>
      <c r="AE2300" s="22"/>
      <c r="AF2300" s="22"/>
      <c r="AG2300" s="22"/>
      <c r="AH2300" s="22"/>
      <c r="AI2300" s="22"/>
      <c r="AJ2300" s="22"/>
    </row>
    <row r="2301" spans="1:36" x14ac:dyDescent="0.25">
      <c r="A2301" s="22" t="s">
        <v>5240</v>
      </c>
      <c r="B2301" s="22">
        <v>0</v>
      </c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2"/>
      <c r="T2301" s="22"/>
      <c r="U2301" s="22"/>
      <c r="V2301" s="22"/>
      <c r="W2301" s="22"/>
      <c r="X2301" s="22"/>
      <c r="Y2301" s="22"/>
      <c r="Z2301" s="22"/>
      <c r="AA2301" s="22"/>
      <c r="AB2301" s="22"/>
      <c r="AC2301" s="22"/>
      <c r="AD2301" s="22"/>
      <c r="AE2301" s="22"/>
      <c r="AF2301" s="22"/>
      <c r="AG2301" s="22"/>
      <c r="AH2301" s="22"/>
      <c r="AI2301" s="22"/>
      <c r="AJ2301" s="22"/>
    </row>
    <row r="2302" spans="1:36" x14ac:dyDescent="0.25">
      <c r="A2302" s="22" t="s">
        <v>5241</v>
      </c>
      <c r="B2302" s="22">
        <v>224</v>
      </c>
      <c r="C2302" s="22"/>
      <c r="D2302" s="22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2"/>
      <c r="T2302" s="22"/>
      <c r="U2302" s="22"/>
      <c r="V2302" s="22"/>
      <c r="W2302" s="22"/>
      <c r="X2302" s="22"/>
      <c r="Y2302" s="22"/>
      <c r="Z2302" s="22"/>
      <c r="AA2302" s="22"/>
      <c r="AB2302" s="22"/>
      <c r="AC2302" s="22"/>
      <c r="AD2302" s="22"/>
      <c r="AE2302" s="22"/>
      <c r="AF2302" s="22"/>
      <c r="AG2302" s="22"/>
      <c r="AH2302" s="22"/>
      <c r="AI2302" s="22"/>
      <c r="AJ2302" s="22"/>
    </row>
    <row r="2303" spans="1:36" x14ac:dyDescent="0.25">
      <c r="A2303" s="22" t="s">
        <v>5242</v>
      </c>
      <c r="B2303" s="22">
        <v>16</v>
      </c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2"/>
      <c r="T2303" s="22"/>
      <c r="U2303" s="22"/>
      <c r="V2303" s="22"/>
      <c r="W2303" s="22"/>
      <c r="X2303" s="22"/>
      <c r="Y2303" s="22"/>
      <c r="Z2303" s="22"/>
      <c r="AA2303" s="22"/>
      <c r="AB2303" s="22"/>
      <c r="AC2303" s="22"/>
      <c r="AD2303" s="22"/>
      <c r="AE2303" s="22"/>
      <c r="AF2303" s="22"/>
      <c r="AG2303" s="22"/>
      <c r="AH2303" s="22"/>
      <c r="AI2303" s="22"/>
      <c r="AJ2303" s="22"/>
    </row>
    <row r="2304" spans="1:36" x14ac:dyDescent="0.25">
      <c r="A2304" s="22" t="s">
        <v>5243</v>
      </c>
      <c r="B2304" s="22">
        <v>295</v>
      </c>
      <c r="C2304" s="22"/>
      <c r="D2304" s="22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2"/>
      <c r="T2304" s="22"/>
      <c r="U2304" s="22"/>
      <c r="V2304" s="22"/>
      <c r="W2304" s="22"/>
      <c r="X2304" s="22"/>
      <c r="Y2304" s="22"/>
      <c r="Z2304" s="22"/>
      <c r="AA2304" s="22"/>
      <c r="AB2304" s="22"/>
      <c r="AC2304" s="22"/>
      <c r="AD2304" s="22"/>
      <c r="AE2304" s="22"/>
      <c r="AF2304" s="22"/>
      <c r="AG2304" s="22"/>
      <c r="AH2304" s="22"/>
      <c r="AI2304" s="22"/>
      <c r="AJ2304" s="22"/>
    </row>
    <row r="2305" spans="1:36" x14ac:dyDescent="0.25">
      <c r="A2305" s="22" t="s">
        <v>5244</v>
      </c>
      <c r="B2305" s="22">
        <v>0</v>
      </c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2"/>
      <c r="T2305" s="22"/>
      <c r="U2305" s="22"/>
      <c r="V2305" s="22"/>
      <c r="W2305" s="22"/>
      <c r="X2305" s="22"/>
      <c r="Y2305" s="22"/>
      <c r="Z2305" s="22"/>
      <c r="AA2305" s="22"/>
      <c r="AB2305" s="22"/>
      <c r="AC2305" s="22"/>
      <c r="AD2305" s="22"/>
      <c r="AE2305" s="22"/>
      <c r="AF2305" s="22"/>
      <c r="AG2305" s="22"/>
      <c r="AH2305" s="22"/>
      <c r="AI2305" s="22"/>
      <c r="AJ2305" s="22"/>
    </row>
    <row r="2306" spans="1:36" x14ac:dyDescent="0.25">
      <c r="A2306" s="22" t="s">
        <v>5245</v>
      </c>
      <c r="B2306" s="22">
        <v>22</v>
      </c>
      <c r="C2306" s="22"/>
      <c r="D2306" s="22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2"/>
      <c r="T2306" s="22"/>
      <c r="U2306" s="22"/>
      <c r="V2306" s="22"/>
      <c r="W2306" s="22"/>
      <c r="X2306" s="22"/>
      <c r="Y2306" s="22"/>
      <c r="Z2306" s="22"/>
      <c r="AA2306" s="22"/>
      <c r="AB2306" s="22"/>
      <c r="AC2306" s="22"/>
      <c r="AD2306" s="22"/>
      <c r="AE2306" s="22"/>
      <c r="AF2306" s="22"/>
      <c r="AG2306" s="22"/>
      <c r="AH2306" s="22"/>
      <c r="AI2306" s="22"/>
      <c r="AJ2306" s="22"/>
    </row>
    <row r="2307" spans="1:36" x14ac:dyDescent="0.25">
      <c r="A2307" s="22" t="s">
        <v>5246</v>
      </c>
      <c r="B2307" s="22">
        <v>0</v>
      </c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2"/>
      <c r="T2307" s="22"/>
      <c r="U2307" s="22"/>
      <c r="V2307" s="22"/>
      <c r="W2307" s="22"/>
      <c r="X2307" s="22"/>
      <c r="Y2307" s="22"/>
      <c r="Z2307" s="22"/>
      <c r="AA2307" s="22"/>
      <c r="AB2307" s="22"/>
      <c r="AC2307" s="22"/>
      <c r="AD2307" s="22"/>
      <c r="AE2307" s="22"/>
      <c r="AF2307" s="22"/>
      <c r="AG2307" s="22"/>
      <c r="AH2307" s="22"/>
      <c r="AI2307" s="22"/>
      <c r="AJ2307" s="22"/>
    </row>
    <row r="2308" spans="1:36" x14ac:dyDescent="0.25">
      <c r="A2308" s="22" t="s">
        <v>5247</v>
      </c>
      <c r="B2308" s="22">
        <v>0</v>
      </c>
      <c r="C2308" s="22"/>
      <c r="D2308" s="22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2"/>
      <c r="T2308" s="22"/>
      <c r="U2308" s="22"/>
      <c r="V2308" s="22"/>
      <c r="W2308" s="22"/>
      <c r="X2308" s="22"/>
      <c r="Y2308" s="22"/>
      <c r="Z2308" s="22"/>
      <c r="AA2308" s="22"/>
      <c r="AB2308" s="22"/>
      <c r="AC2308" s="22"/>
      <c r="AD2308" s="22"/>
      <c r="AE2308" s="22"/>
      <c r="AF2308" s="22"/>
      <c r="AG2308" s="22"/>
      <c r="AH2308" s="22"/>
      <c r="AI2308" s="22"/>
      <c r="AJ2308" s="22"/>
    </row>
    <row r="2309" spans="1:36" x14ac:dyDescent="0.25">
      <c r="A2309" s="22" t="s">
        <v>5248</v>
      </c>
      <c r="B2309" s="22">
        <v>0</v>
      </c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C2309" s="22"/>
      <c r="AD2309" s="22"/>
      <c r="AE2309" s="22"/>
      <c r="AF2309" s="22"/>
      <c r="AG2309" s="22"/>
      <c r="AH2309" s="22"/>
      <c r="AI2309" s="22"/>
      <c r="AJ2309" s="22"/>
    </row>
    <row r="2310" spans="1:36" x14ac:dyDescent="0.25">
      <c r="A2310" s="22" t="s">
        <v>5249</v>
      </c>
      <c r="B2310" s="22">
        <v>165</v>
      </c>
      <c r="C2310" s="22"/>
      <c r="D2310" s="22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2"/>
      <c r="T2310" s="22"/>
      <c r="U2310" s="22"/>
      <c r="V2310" s="22"/>
      <c r="W2310" s="22"/>
      <c r="X2310" s="22"/>
      <c r="Y2310" s="22"/>
      <c r="Z2310" s="22"/>
      <c r="AA2310" s="22"/>
      <c r="AB2310" s="22"/>
      <c r="AC2310" s="22"/>
      <c r="AD2310" s="22"/>
      <c r="AE2310" s="22"/>
      <c r="AF2310" s="22"/>
      <c r="AG2310" s="22"/>
      <c r="AH2310" s="22"/>
      <c r="AI2310" s="22"/>
      <c r="AJ2310" s="22"/>
    </row>
    <row r="2311" spans="1:36" x14ac:dyDescent="0.25">
      <c r="A2311" s="22" t="s">
        <v>5250</v>
      </c>
      <c r="B2311" s="22">
        <v>0</v>
      </c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2"/>
      <c r="T2311" s="22"/>
      <c r="U2311" s="22"/>
      <c r="V2311" s="22"/>
      <c r="W2311" s="22"/>
      <c r="X2311" s="22"/>
      <c r="Y2311" s="22"/>
      <c r="Z2311" s="22"/>
      <c r="AA2311" s="22"/>
      <c r="AB2311" s="22"/>
      <c r="AC2311" s="22"/>
      <c r="AD2311" s="22"/>
      <c r="AE2311" s="22"/>
      <c r="AF2311" s="22"/>
      <c r="AG2311" s="22"/>
      <c r="AH2311" s="22"/>
      <c r="AI2311" s="22"/>
      <c r="AJ2311" s="22"/>
    </row>
    <row r="2312" spans="1:36" x14ac:dyDescent="0.25">
      <c r="A2312" s="22" t="s">
        <v>5251</v>
      </c>
      <c r="B2312" s="22">
        <v>0</v>
      </c>
      <c r="C2312" s="22"/>
      <c r="D2312" s="22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2"/>
      <c r="T2312" s="22"/>
      <c r="U2312" s="22"/>
      <c r="V2312" s="22"/>
      <c r="W2312" s="22"/>
      <c r="X2312" s="22"/>
      <c r="Y2312" s="22"/>
      <c r="Z2312" s="22"/>
      <c r="AA2312" s="22"/>
      <c r="AB2312" s="22"/>
      <c r="AC2312" s="22"/>
      <c r="AD2312" s="22"/>
      <c r="AE2312" s="22"/>
      <c r="AF2312" s="22"/>
      <c r="AG2312" s="22"/>
      <c r="AH2312" s="22"/>
      <c r="AI2312" s="22"/>
      <c r="AJ2312" s="22"/>
    </row>
    <row r="2313" spans="1:36" x14ac:dyDescent="0.25">
      <c r="A2313" s="22" t="s">
        <v>5252</v>
      </c>
      <c r="B2313" s="22">
        <v>0</v>
      </c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2"/>
      <c r="T2313" s="22"/>
      <c r="U2313" s="22"/>
      <c r="V2313" s="22"/>
      <c r="W2313" s="22"/>
      <c r="X2313" s="22"/>
      <c r="Y2313" s="22"/>
      <c r="Z2313" s="22"/>
      <c r="AA2313" s="22"/>
      <c r="AB2313" s="22"/>
      <c r="AC2313" s="22"/>
      <c r="AD2313" s="22"/>
      <c r="AE2313" s="22"/>
      <c r="AF2313" s="22"/>
      <c r="AG2313" s="22"/>
      <c r="AH2313" s="22"/>
      <c r="AI2313" s="22"/>
      <c r="AJ2313" s="22"/>
    </row>
    <row r="2314" spans="1:36" x14ac:dyDescent="0.25">
      <c r="A2314" s="22" t="s">
        <v>5253</v>
      </c>
      <c r="B2314" s="22">
        <v>3</v>
      </c>
      <c r="C2314" s="22"/>
      <c r="D2314" s="22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2"/>
      <c r="T2314" s="22"/>
      <c r="U2314" s="22"/>
      <c r="V2314" s="22"/>
      <c r="W2314" s="22"/>
      <c r="X2314" s="22"/>
      <c r="Y2314" s="22"/>
      <c r="Z2314" s="22"/>
      <c r="AA2314" s="22"/>
      <c r="AB2314" s="22"/>
      <c r="AC2314" s="22"/>
      <c r="AD2314" s="22"/>
      <c r="AE2314" s="22"/>
      <c r="AF2314" s="22"/>
      <c r="AG2314" s="22"/>
      <c r="AH2314" s="22"/>
      <c r="AI2314" s="22"/>
      <c r="AJ2314" s="22"/>
    </row>
    <row r="2315" spans="1:36" x14ac:dyDescent="0.25">
      <c r="A2315" s="22" t="s">
        <v>5254</v>
      </c>
      <c r="B2315" s="22">
        <v>0</v>
      </c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2"/>
      <c r="T2315" s="22"/>
      <c r="U2315" s="22"/>
      <c r="V2315" s="22"/>
      <c r="W2315" s="22"/>
      <c r="X2315" s="22"/>
      <c r="Y2315" s="22"/>
      <c r="Z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</row>
    <row r="2316" spans="1:36" x14ac:dyDescent="0.25">
      <c r="A2316" s="22" t="s">
        <v>5255</v>
      </c>
      <c r="B2316" s="22">
        <v>0</v>
      </c>
      <c r="C2316" s="22"/>
      <c r="D2316" s="22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2"/>
      <c r="T2316" s="22"/>
      <c r="U2316" s="22"/>
      <c r="V2316" s="22"/>
      <c r="W2316" s="22"/>
      <c r="X2316" s="22"/>
      <c r="Y2316" s="22"/>
      <c r="Z2316" s="22"/>
      <c r="AA2316" s="22"/>
      <c r="AB2316" s="22"/>
      <c r="AC2316" s="22"/>
      <c r="AD2316" s="22"/>
      <c r="AE2316" s="22"/>
      <c r="AF2316" s="22"/>
      <c r="AG2316" s="22"/>
      <c r="AH2316" s="22"/>
      <c r="AI2316" s="22"/>
      <c r="AJ2316" s="22"/>
    </row>
    <row r="2317" spans="1:36" x14ac:dyDescent="0.25">
      <c r="A2317" s="22" t="s">
        <v>5256</v>
      </c>
      <c r="B2317" s="22">
        <v>0</v>
      </c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2"/>
      <c r="T2317" s="22"/>
      <c r="U2317" s="22"/>
      <c r="V2317" s="22"/>
      <c r="W2317" s="22"/>
      <c r="X2317" s="22"/>
      <c r="Y2317" s="22"/>
      <c r="Z2317" s="22"/>
      <c r="AA2317" s="22"/>
      <c r="AB2317" s="22"/>
      <c r="AC2317" s="22"/>
      <c r="AD2317" s="22"/>
      <c r="AE2317" s="22"/>
      <c r="AF2317" s="22"/>
      <c r="AG2317" s="22"/>
      <c r="AH2317" s="22"/>
      <c r="AI2317" s="22"/>
      <c r="AJ2317" s="22"/>
    </row>
    <row r="2318" spans="1:36" x14ac:dyDescent="0.25">
      <c r="A2318" s="22" t="s">
        <v>5257</v>
      </c>
      <c r="B2318" s="22">
        <v>0</v>
      </c>
      <c r="C2318" s="22"/>
      <c r="D2318" s="22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2"/>
      <c r="T2318" s="22"/>
      <c r="U2318" s="22"/>
      <c r="V2318" s="22"/>
      <c r="W2318" s="22"/>
      <c r="X2318" s="22"/>
      <c r="Y2318" s="22"/>
      <c r="Z2318" s="22"/>
      <c r="AA2318" s="22"/>
      <c r="AB2318" s="22"/>
      <c r="AC2318" s="22"/>
      <c r="AD2318" s="22"/>
      <c r="AE2318" s="22"/>
      <c r="AF2318" s="22"/>
      <c r="AG2318" s="22"/>
      <c r="AH2318" s="22"/>
      <c r="AI2318" s="22"/>
      <c r="AJ2318" s="22"/>
    </row>
    <row r="2319" spans="1:36" x14ac:dyDescent="0.25">
      <c r="A2319" s="22" t="s">
        <v>5258</v>
      </c>
      <c r="B2319" s="22">
        <v>0</v>
      </c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2"/>
      <c r="T2319" s="22"/>
      <c r="U2319" s="22"/>
      <c r="V2319" s="22"/>
      <c r="W2319" s="22"/>
      <c r="X2319" s="22"/>
      <c r="Y2319" s="22"/>
      <c r="Z2319" s="22"/>
      <c r="AA2319" s="22"/>
      <c r="AB2319" s="22"/>
      <c r="AC2319" s="22"/>
      <c r="AD2319" s="22"/>
      <c r="AE2319" s="22"/>
      <c r="AF2319" s="22"/>
      <c r="AG2319" s="22"/>
      <c r="AH2319" s="22"/>
      <c r="AI2319" s="22"/>
      <c r="AJ2319" s="22"/>
    </row>
    <row r="2320" spans="1:36" x14ac:dyDescent="0.25">
      <c r="A2320" s="22" t="s">
        <v>5259</v>
      </c>
      <c r="B2320" s="22">
        <v>0</v>
      </c>
      <c r="C2320" s="22"/>
      <c r="D2320" s="22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2"/>
      <c r="T2320" s="22"/>
      <c r="U2320" s="22"/>
      <c r="V2320" s="22"/>
      <c r="W2320" s="22"/>
      <c r="X2320" s="22"/>
      <c r="Y2320" s="22"/>
      <c r="Z2320" s="22"/>
      <c r="AA2320" s="22"/>
      <c r="AB2320" s="22"/>
      <c r="AC2320" s="22"/>
      <c r="AD2320" s="22"/>
      <c r="AE2320" s="22"/>
      <c r="AF2320" s="22"/>
      <c r="AG2320" s="22"/>
      <c r="AH2320" s="22"/>
      <c r="AI2320" s="22"/>
      <c r="AJ2320" s="22"/>
    </row>
    <row r="2321" spans="1:36" x14ac:dyDescent="0.25">
      <c r="A2321" s="22" t="s">
        <v>5260</v>
      </c>
      <c r="B2321" s="22">
        <v>0</v>
      </c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2"/>
      <c r="T2321" s="22"/>
      <c r="U2321" s="22"/>
      <c r="V2321" s="22"/>
      <c r="W2321" s="22"/>
      <c r="X2321" s="22"/>
      <c r="Y2321" s="22"/>
      <c r="Z2321" s="22"/>
      <c r="AA2321" s="22"/>
      <c r="AB2321" s="22"/>
      <c r="AC2321" s="22"/>
      <c r="AD2321" s="22"/>
      <c r="AE2321" s="22"/>
      <c r="AF2321" s="22"/>
      <c r="AG2321" s="22"/>
      <c r="AH2321" s="22"/>
      <c r="AI2321" s="22"/>
      <c r="AJ2321" s="22"/>
    </row>
    <row r="2322" spans="1:36" x14ac:dyDescent="0.25">
      <c r="A2322" s="22" t="s">
        <v>5261</v>
      </c>
      <c r="B2322" s="22">
        <v>0</v>
      </c>
      <c r="C2322" s="22"/>
      <c r="D2322" s="22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2"/>
      <c r="T2322" s="22"/>
      <c r="U2322" s="22"/>
      <c r="V2322" s="22"/>
      <c r="W2322" s="22"/>
      <c r="X2322" s="22"/>
      <c r="Y2322" s="22"/>
      <c r="Z2322" s="22"/>
      <c r="AA2322" s="22"/>
      <c r="AB2322" s="22"/>
      <c r="AC2322" s="22"/>
      <c r="AD2322" s="22"/>
      <c r="AE2322" s="22"/>
      <c r="AF2322" s="22"/>
      <c r="AG2322" s="22"/>
      <c r="AH2322" s="22"/>
      <c r="AI2322" s="22"/>
      <c r="AJ2322" s="22"/>
    </row>
    <row r="2323" spans="1:36" x14ac:dyDescent="0.25">
      <c r="A2323" s="22" t="s">
        <v>5262</v>
      </c>
      <c r="B2323" s="22">
        <v>0</v>
      </c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2"/>
      <c r="T2323" s="22"/>
      <c r="U2323" s="22"/>
      <c r="V2323" s="22"/>
      <c r="W2323" s="22"/>
      <c r="X2323" s="22"/>
      <c r="Y2323" s="22"/>
      <c r="Z2323" s="22"/>
      <c r="AA2323" s="22"/>
      <c r="AB2323" s="22"/>
      <c r="AC2323" s="22"/>
      <c r="AD2323" s="22"/>
      <c r="AE2323" s="22"/>
      <c r="AF2323" s="22"/>
      <c r="AG2323" s="22"/>
      <c r="AH2323" s="22"/>
      <c r="AI2323" s="22"/>
      <c r="AJ2323" s="22"/>
    </row>
    <row r="2324" spans="1:36" x14ac:dyDescent="0.25">
      <c r="A2324" s="22" t="s">
        <v>5263</v>
      </c>
      <c r="B2324" s="22">
        <v>0</v>
      </c>
      <c r="C2324" s="22"/>
      <c r="D2324" s="22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2"/>
      <c r="T2324" s="22"/>
      <c r="U2324" s="22"/>
      <c r="V2324" s="22"/>
      <c r="W2324" s="22"/>
      <c r="X2324" s="22"/>
      <c r="Y2324" s="22"/>
      <c r="Z2324" s="22"/>
      <c r="AA2324" s="22"/>
      <c r="AB2324" s="22"/>
      <c r="AC2324" s="22"/>
      <c r="AD2324" s="22"/>
      <c r="AE2324" s="22"/>
      <c r="AF2324" s="22"/>
      <c r="AG2324" s="22"/>
      <c r="AH2324" s="22"/>
      <c r="AI2324" s="22"/>
      <c r="AJ2324" s="22"/>
    </row>
    <row r="2325" spans="1:36" x14ac:dyDescent="0.25">
      <c r="A2325" s="22" t="s">
        <v>5264</v>
      </c>
      <c r="B2325" s="22">
        <v>0</v>
      </c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2"/>
      <c r="T2325" s="22"/>
      <c r="U2325" s="22"/>
      <c r="V2325" s="22"/>
      <c r="W2325" s="22"/>
      <c r="X2325" s="22"/>
      <c r="Y2325" s="22"/>
      <c r="Z2325" s="22"/>
      <c r="AA2325" s="22"/>
      <c r="AB2325" s="22"/>
      <c r="AC2325" s="22"/>
      <c r="AD2325" s="22"/>
      <c r="AE2325" s="22"/>
      <c r="AF2325" s="22"/>
      <c r="AG2325" s="22"/>
      <c r="AH2325" s="22"/>
      <c r="AI2325" s="22"/>
      <c r="AJ2325" s="22"/>
    </row>
    <row r="2326" spans="1:36" x14ac:dyDescent="0.25">
      <c r="A2326" s="22" t="s">
        <v>5265</v>
      </c>
      <c r="B2326" s="22">
        <v>0</v>
      </c>
      <c r="C2326" s="22"/>
      <c r="D2326" s="22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2"/>
      <c r="T2326" s="22"/>
      <c r="U2326" s="22"/>
      <c r="V2326" s="22"/>
      <c r="W2326" s="22"/>
      <c r="X2326" s="22"/>
      <c r="Y2326" s="22"/>
      <c r="Z2326" s="22"/>
      <c r="AA2326" s="22"/>
      <c r="AB2326" s="22"/>
      <c r="AC2326" s="22"/>
      <c r="AD2326" s="22"/>
      <c r="AE2326" s="22"/>
      <c r="AF2326" s="22"/>
      <c r="AG2326" s="22"/>
      <c r="AH2326" s="22"/>
      <c r="AI2326" s="22"/>
      <c r="AJ2326" s="22"/>
    </row>
    <row r="2327" spans="1:36" x14ac:dyDescent="0.25">
      <c r="A2327" s="22" t="s">
        <v>5266</v>
      </c>
      <c r="B2327" s="22">
        <v>0</v>
      </c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2"/>
      <c r="T2327" s="22"/>
      <c r="U2327" s="22"/>
      <c r="V2327" s="22"/>
      <c r="W2327" s="22"/>
      <c r="X2327" s="22"/>
      <c r="Y2327" s="22"/>
      <c r="Z2327" s="22"/>
      <c r="AA2327" s="22"/>
      <c r="AB2327" s="22"/>
      <c r="AC2327" s="22"/>
      <c r="AD2327" s="22"/>
      <c r="AE2327" s="22"/>
      <c r="AF2327" s="22"/>
      <c r="AG2327" s="22"/>
      <c r="AH2327" s="22"/>
      <c r="AI2327" s="22"/>
      <c r="AJ2327" s="22"/>
    </row>
    <row r="2328" spans="1:36" x14ac:dyDescent="0.25">
      <c r="A2328" s="22" t="s">
        <v>5267</v>
      </c>
      <c r="B2328" s="22">
        <v>0</v>
      </c>
      <c r="C2328" s="22"/>
      <c r="D2328" s="22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2"/>
      <c r="T2328" s="22"/>
      <c r="U2328" s="22"/>
      <c r="V2328" s="22"/>
      <c r="W2328" s="22"/>
      <c r="X2328" s="22"/>
      <c r="Y2328" s="22"/>
      <c r="Z2328" s="22"/>
      <c r="AA2328" s="22"/>
      <c r="AB2328" s="22"/>
      <c r="AC2328" s="22"/>
      <c r="AD2328" s="22"/>
      <c r="AE2328" s="22"/>
      <c r="AF2328" s="22"/>
      <c r="AG2328" s="22"/>
      <c r="AH2328" s="22"/>
      <c r="AI2328" s="22"/>
      <c r="AJ2328" s="22"/>
    </row>
    <row r="2329" spans="1:36" x14ac:dyDescent="0.25">
      <c r="A2329" s="22" t="s">
        <v>5268</v>
      </c>
      <c r="B2329" s="22">
        <v>0</v>
      </c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2"/>
      <c r="T2329" s="22"/>
      <c r="U2329" s="22"/>
      <c r="V2329" s="22"/>
      <c r="W2329" s="22"/>
      <c r="X2329" s="22"/>
      <c r="Y2329" s="22"/>
      <c r="Z2329" s="22"/>
      <c r="AA2329" s="22"/>
      <c r="AB2329" s="22"/>
      <c r="AC2329" s="22"/>
      <c r="AD2329" s="22"/>
      <c r="AE2329" s="22"/>
      <c r="AF2329" s="22"/>
      <c r="AG2329" s="22"/>
      <c r="AH2329" s="22"/>
      <c r="AI2329" s="22"/>
      <c r="AJ2329" s="22"/>
    </row>
    <row r="2330" spans="1:36" x14ac:dyDescent="0.25">
      <c r="A2330" s="22" t="s">
        <v>5269</v>
      </c>
      <c r="B2330" s="22">
        <v>0</v>
      </c>
      <c r="C2330" s="22"/>
      <c r="D2330" s="22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2"/>
      <c r="T2330" s="22"/>
      <c r="U2330" s="22"/>
      <c r="V2330" s="22"/>
      <c r="W2330" s="22"/>
      <c r="X2330" s="22"/>
      <c r="Y2330" s="22"/>
      <c r="Z2330" s="22"/>
      <c r="AA2330" s="22"/>
      <c r="AB2330" s="22"/>
      <c r="AC2330" s="22"/>
      <c r="AD2330" s="22"/>
      <c r="AE2330" s="22"/>
      <c r="AF2330" s="22"/>
      <c r="AG2330" s="22"/>
      <c r="AH2330" s="22"/>
      <c r="AI2330" s="22"/>
      <c r="AJ2330" s="22"/>
    </row>
    <row r="2331" spans="1:36" x14ac:dyDescent="0.25">
      <c r="A2331" s="22" t="s">
        <v>5270</v>
      </c>
      <c r="B2331" s="22">
        <v>0</v>
      </c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2"/>
      <c r="T2331" s="22"/>
      <c r="U2331" s="22"/>
      <c r="V2331" s="22"/>
      <c r="W2331" s="22"/>
      <c r="X2331" s="22"/>
      <c r="Y2331" s="22"/>
      <c r="Z2331" s="22"/>
      <c r="AA2331" s="22"/>
      <c r="AB2331" s="22"/>
      <c r="AC2331" s="22"/>
      <c r="AD2331" s="22"/>
      <c r="AE2331" s="22"/>
      <c r="AF2331" s="22"/>
      <c r="AG2331" s="22"/>
      <c r="AH2331" s="22"/>
      <c r="AI2331" s="22"/>
      <c r="AJ2331" s="22"/>
    </row>
    <row r="2332" spans="1:36" x14ac:dyDescent="0.25">
      <c r="A2332" s="22" t="s">
        <v>5271</v>
      </c>
      <c r="B2332" s="22">
        <v>0</v>
      </c>
      <c r="C2332" s="22"/>
      <c r="D2332" s="22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2"/>
      <c r="T2332" s="22"/>
      <c r="U2332" s="22"/>
      <c r="V2332" s="22"/>
      <c r="W2332" s="22"/>
      <c r="X2332" s="22"/>
      <c r="Y2332" s="22"/>
      <c r="Z2332" s="22"/>
      <c r="AA2332" s="22"/>
      <c r="AB2332" s="22"/>
      <c r="AC2332" s="22"/>
      <c r="AD2332" s="22"/>
      <c r="AE2332" s="22"/>
      <c r="AF2332" s="22"/>
      <c r="AG2332" s="22"/>
      <c r="AH2332" s="22"/>
      <c r="AI2332" s="22"/>
      <c r="AJ2332" s="22"/>
    </row>
    <row r="2333" spans="1:36" x14ac:dyDescent="0.25">
      <c r="A2333" s="22" t="s">
        <v>5272</v>
      </c>
      <c r="B2333" s="22">
        <v>0</v>
      </c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2"/>
      <c r="T2333" s="22"/>
      <c r="U2333" s="22"/>
      <c r="V2333" s="22"/>
      <c r="W2333" s="22"/>
      <c r="X2333" s="22"/>
      <c r="Y2333" s="22"/>
      <c r="Z2333" s="22"/>
      <c r="AA2333" s="22"/>
      <c r="AB2333" s="22"/>
      <c r="AC2333" s="22"/>
      <c r="AD2333" s="22"/>
      <c r="AE2333" s="22"/>
      <c r="AF2333" s="22"/>
      <c r="AG2333" s="22"/>
      <c r="AH2333" s="22"/>
      <c r="AI2333" s="22"/>
      <c r="AJ2333" s="22"/>
    </row>
    <row r="2334" spans="1:36" x14ac:dyDescent="0.25">
      <c r="A2334" s="22" t="s">
        <v>5273</v>
      </c>
      <c r="B2334" s="22">
        <v>0</v>
      </c>
      <c r="C2334" s="22"/>
      <c r="D2334" s="22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2"/>
      <c r="T2334" s="22"/>
      <c r="U2334" s="22"/>
      <c r="V2334" s="22"/>
      <c r="W2334" s="22"/>
      <c r="X2334" s="22"/>
      <c r="Y2334" s="22"/>
      <c r="Z2334" s="22"/>
      <c r="AA2334" s="22"/>
      <c r="AB2334" s="22"/>
      <c r="AC2334" s="22"/>
      <c r="AD2334" s="22"/>
      <c r="AE2334" s="22"/>
      <c r="AF2334" s="22"/>
      <c r="AG2334" s="22"/>
      <c r="AH2334" s="22"/>
      <c r="AI2334" s="22"/>
      <c r="AJ2334" s="22"/>
    </row>
    <row r="2335" spans="1:36" x14ac:dyDescent="0.25">
      <c r="A2335" s="22" t="s">
        <v>5274</v>
      </c>
      <c r="B2335" s="22">
        <v>0</v>
      </c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2"/>
      <c r="T2335" s="22"/>
      <c r="U2335" s="22"/>
      <c r="V2335" s="22"/>
      <c r="W2335" s="22"/>
      <c r="X2335" s="22"/>
      <c r="Y2335" s="22"/>
      <c r="Z2335" s="22"/>
      <c r="AA2335" s="22"/>
      <c r="AB2335" s="22"/>
      <c r="AC2335" s="22"/>
      <c r="AD2335" s="22"/>
      <c r="AE2335" s="22"/>
      <c r="AF2335" s="22"/>
      <c r="AG2335" s="22"/>
      <c r="AH2335" s="22"/>
      <c r="AI2335" s="22"/>
      <c r="AJ2335" s="22"/>
    </row>
    <row r="2336" spans="1:36" x14ac:dyDescent="0.25">
      <c r="A2336" s="22" t="s">
        <v>5275</v>
      </c>
      <c r="B2336" s="22">
        <v>0</v>
      </c>
      <c r="C2336" s="22"/>
      <c r="D2336" s="22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2"/>
      <c r="T2336" s="22"/>
      <c r="U2336" s="22"/>
      <c r="V2336" s="22"/>
      <c r="W2336" s="22"/>
      <c r="X2336" s="22"/>
      <c r="Y2336" s="22"/>
      <c r="Z2336" s="22"/>
      <c r="AA2336" s="22"/>
      <c r="AB2336" s="22"/>
      <c r="AC2336" s="22"/>
      <c r="AD2336" s="22"/>
      <c r="AE2336" s="22"/>
      <c r="AF2336" s="22"/>
      <c r="AG2336" s="22"/>
      <c r="AH2336" s="22"/>
      <c r="AI2336" s="22"/>
      <c r="AJ2336" s="22"/>
    </row>
    <row r="2337" spans="1:36" x14ac:dyDescent="0.25">
      <c r="A2337" s="22" t="s">
        <v>5276</v>
      </c>
      <c r="B2337" s="22">
        <v>0</v>
      </c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2"/>
      <c r="T2337" s="22"/>
      <c r="U2337" s="22"/>
      <c r="V2337" s="22"/>
      <c r="W2337" s="22"/>
      <c r="X2337" s="22"/>
      <c r="Y2337" s="22"/>
      <c r="Z2337" s="22"/>
      <c r="AA2337" s="22"/>
      <c r="AB2337" s="22"/>
      <c r="AC2337" s="22"/>
      <c r="AD2337" s="22"/>
      <c r="AE2337" s="22"/>
      <c r="AF2337" s="22"/>
      <c r="AG2337" s="22"/>
      <c r="AH2337" s="22"/>
      <c r="AI2337" s="22"/>
      <c r="AJ2337" s="22"/>
    </row>
    <row r="2338" spans="1:36" x14ac:dyDescent="0.25">
      <c r="A2338" s="22" t="s">
        <v>5277</v>
      </c>
      <c r="B2338" s="22">
        <v>0</v>
      </c>
      <c r="C2338" s="22"/>
      <c r="D2338" s="22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2"/>
      <c r="T2338" s="22"/>
      <c r="U2338" s="22"/>
      <c r="V2338" s="22"/>
      <c r="W2338" s="22"/>
      <c r="X2338" s="22"/>
      <c r="Y2338" s="22"/>
      <c r="Z2338" s="22"/>
      <c r="AA2338" s="22"/>
      <c r="AB2338" s="22"/>
      <c r="AC2338" s="22"/>
      <c r="AD2338" s="22"/>
      <c r="AE2338" s="22"/>
      <c r="AF2338" s="22"/>
      <c r="AG2338" s="22"/>
      <c r="AH2338" s="22"/>
      <c r="AI2338" s="22"/>
      <c r="AJ2338" s="22"/>
    </row>
    <row r="2339" spans="1:36" x14ac:dyDescent="0.25">
      <c r="A2339" s="22" t="s">
        <v>5278</v>
      </c>
      <c r="B2339" s="22">
        <v>0</v>
      </c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2"/>
      <c r="T2339" s="22"/>
      <c r="U2339" s="22"/>
      <c r="V2339" s="22"/>
      <c r="W2339" s="22"/>
      <c r="X2339" s="22"/>
      <c r="Y2339" s="22"/>
      <c r="Z2339" s="22"/>
      <c r="AA2339" s="22"/>
      <c r="AB2339" s="22"/>
      <c r="AC2339" s="22"/>
      <c r="AD2339" s="22"/>
      <c r="AE2339" s="22"/>
      <c r="AF2339" s="22"/>
      <c r="AG2339" s="22"/>
      <c r="AH2339" s="22"/>
      <c r="AI2339" s="22"/>
      <c r="AJ2339" s="22"/>
    </row>
    <row r="2340" spans="1:36" x14ac:dyDescent="0.25">
      <c r="A2340" s="22" t="s">
        <v>5279</v>
      </c>
      <c r="B2340" s="22">
        <v>0</v>
      </c>
      <c r="C2340" s="22"/>
      <c r="D2340" s="22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2"/>
      <c r="T2340" s="22"/>
      <c r="U2340" s="22"/>
      <c r="V2340" s="22"/>
      <c r="W2340" s="22"/>
      <c r="X2340" s="22"/>
      <c r="Y2340" s="22"/>
      <c r="Z2340" s="22"/>
      <c r="AA2340" s="22"/>
      <c r="AB2340" s="22"/>
      <c r="AC2340" s="22"/>
      <c r="AD2340" s="22"/>
      <c r="AE2340" s="22"/>
      <c r="AF2340" s="22"/>
      <c r="AG2340" s="22"/>
      <c r="AH2340" s="22"/>
      <c r="AI2340" s="22"/>
      <c r="AJ2340" s="22"/>
    </row>
    <row r="2341" spans="1:36" x14ac:dyDescent="0.25">
      <c r="A2341" s="22" t="s">
        <v>5280</v>
      </c>
      <c r="B2341" s="22">
        <v>0</v>
      </c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2"/>
      <c r="T2341" s="22"/>
      <c r="U2341" s="22"/>
      <c r="V2341" s="22"/>
      <c r="W2341" s="22"/>
      <c r="X2341" s="22"/>
      <c r="Y2341" s="22"/>
      <c r="Z2341" s="22"/>
      <c r="AA2341" s="22"/>
      <c r="AB2341" s="22"/>
      <c r="AC2341" s="22"/>
      <c r="AD2341" s="22"/>
      <c r="AE2341" s="22"/>
      <c r="AF2341" s="22"/>
      <c r="AG2341" s="22"/>
      <c r="AH2341" s="22"/>
      <c r="AI2341" s="22"/>
      <c r="AJ2341" s="22"/>
    </row>
    <row r="2342" spans="1:36" x14ac:dyDescent="0.25">
      <c r="A2342" s="22" t="s">
        <v>5281</v>
      </c>
      <c r="B2342" s="22">
        <v>0</v>
      </c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2"/>
      <c r="T2342" s="22"/>
      <c r="U2342" s="22"/>
      <c r="V2342" s="22"/>
      <c r="W2342" s="22"/>
      <c r="X2342" s="22"/>
      <c r="Y2342" s="22"/>
      <c r="Z2342" s="22"/>
      <c r="AA2342" s="22"/>
      <c r="AB2342" s="22"/>
      <c r="AC2342" s="22"/>
      <c r="AD2342" s="22"/>
      <c r="AE2342" s="22"/>
      <c r="AF2342" s="22"/>
      <c r="AG2342" s="22"/>
      <c r="AH2342" s="22"/>
      <c r="AI2342" s="22"/>
      <c r="AJ2342" s="22"/>
    </row>
    <row r="2343" spans="1:36" x14ac:dyDescent="0.25">
      <c r="A2343" s="22" t="s">
        <v>5282</v>
      </c>
      <c r="B2343" s="22">
        <v>0</v>
      </c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2"/>
      <c r="T2343" s="22"/>
      <c r="U2343" s="22"/>
      <c r="V2343" s="22"/>
      <c r="W2343" s="22"/>
      <c r="X2343" s="22"/>
      <c r="Y2343" s="22"/>
      <c r="Z2343" s="22"/>
      <c r="AA2343" s="22"/>
      <c r="AB2343" s="22"/>
      <c r="AC2343" s="22"/>
      <c r="AD2343" s="22"/>
      <c r="AE2343" s="22"/>
      <c r="AF2343" s="22"/>
      <c r="AG2343" s="22"/>
      <c r="AH2343" s="22"/>
      <c r="AI2343" s="22"/>
      <c r="AJ2343" s="22"/>
    </row>
    <row r="2344" spans="1:36" x14ac:dyDescent="0.25">
      <c r="A2344" s="22" t="s">
        <v>5283</v>
      </c>
      <c r="B2344" s="22">
        <v>0</v>
      </c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2"/>
      <c r="T2344" s="22"/>
      <c r="U2344" s="22"/>
      <c r="V2344" s="22"/>
      <c r="W2344" s="22"/>
      <c r="X2344" s="22"/>
      <c r="Y2344" s="22"/>
      <c r="Z2344" s="22"/>
      <c r="AA2344" s="22"/>
      <c r="AB2344" s="22"/>
      <c r="AC2344" s="22"/>
      <c r="AD2344" s="22"/>
      <c r="AE2344" s="22"/>
      <c r="AF2344" s="22"/>
      <c r="AG2344" s="22"/>
      <c r="AH2344" s="22"/>
      <c r="AI2344" s="22"/>
      <c r="AJ2344" s="22"/>
    </row>
    <row r="2345" spans="1:36" x14ac:dyDescent="0.25">
      <c r="A2345" s="22" t="s">
        <v>5284</v>
      </c>
      <c r="B2345" s="22">
        <v>0</v>
      </c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2"/>
      <c r="T2345" s="22"/>
      <c r="U2345" s="22"/>
      <c r="V2345" s="22"/>
      <c r="W2345" s="22"/>
      <c r="X2345" s="22"/>
      <c r="Y2345" s="22"/>
      <c r="Z2345" s="22"/>
      <c r="AA2345" s="22"/>
      <c r="AB2345" s="22"/>
      <c r="AC2345" s="22"/>
      <c r="AD2345" s="22"/>
      <c r="AE2345" s="22"/>
      <c r="AF2345" s="22"/>
      <c r="AG2345" s="22"/>
      <c r="AH2345" s="22"/>
      <c r="AI2345" s="22"/>
      <c r="AJ2345" s="22"/>
    </row>
    <row r="2346" spans="1:36" x14ac:dyDescent="0.25">
      <c r="A2346" s="22" t="s">
        <v>5285</v>
      </c>
      <c r="B2346" s="22">
        <v>0</v>
      </c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2"/>
      <c r="T2346" s="22"/>
      <c r="U2346" s="22"/>
      <c r="V2346" s="22"/>
      <c r="W2346" s="22"/>
      <c r="X2346" s="22"/>
      <c r="Y2346" s="22"/>
      <c r="Z2346" s="22"/>
      <c r="AA2346" s="22"/>
      <c r="AB2346" s="22"/>
      <c r="AC2346" s="22"/>
      <c r="AD2346" s="22"/>
      <c r="AE2346" s="22"/>
      <c r="AF2346" s="22"/>
      <c r="AG2346" s="22"/>
      <c r="AH2346" s="22"/>
      <c r="AI2346" s="22"/>
      <c r="AJ2346" s="22"/>
    </row>
    <row r="2347" spans="1:36" x14ac:dyDescent="0.25">
      <c r="A2347" s="22" t="s">
        <v>5286</v>
      </c>
      <c r="B2347" s="22">
        <v>0</v>
      </c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2"/>
      <c r="T2347" s="22"/>
      <c r="U2347" s="22"/>
      <c r="V2347" s="22"/>
      <c r="W2347" s="22"/>
      <c r="X2347" s="22"/>
      <c r="Y2347" s="22"/>
      <c r="Z2347" s="22"/>
      <c r="AA2347" s="22"/>
      <c r="AB2347" s="22"/>
      <c r="AC2347" s="22"/>
      <c r="AD2347" s="22"/>
      <c r="AE2347" s="22"/>
      <c r="AF2347" s="22"/>
      <c r="AG2347" s="22"/>
      <c r="AH2347" s="22"/>
      <c r="AI2347" s="22"/>
      <c r="AJ2347" s="22"/>
    </row>
    <row r="2348" spans="1:36" x14ac:dyDescent="0.25">
      <c r="A2348" s="22" t="s">
        <v>5287</v>
      </c>
      <c r="B2348" s="22">
        <v>0</v>
      </c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2"/>
      <c r="T2348" s="22"/>
      <c r="U2348" s="22"/>
      <c r="V2348" s="22"/>
      <c r="W2348" s="22"/>
      <c r="X2348" s="22"/>
      <c r="Y2348" s="22"/>
      <c r="Z2348" s="22"/>
      <c r="AA2348" s="22"/>
      <c r="AB2348" s="22"/>
      <c r="AC2348" s="22"/>
      <c r="AD2348" s="22"/>
      <c r="AE2348" s="22"/>
      <c r="AF2348" s="22"/>
      <c r="AG2348" s="22"/>
      <c r="AH2348" s="22"/>
      <c r="AI2348" s="22"/>
      <c r="AJ2348" s="22"/>
    </row>
    <row r="2349" spans="1:36" x14ac:dyDescent="0.25">
      <c r="A2349" s="22" t="s">
        <v>5288</v>
      </c>
      <c r="B2349" s="22">
        <v>0</v>
      </c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2"/>
      <c r="T2349" s="22"/>
      <c r="U2349" s="22"/>
      <c r="V2349" s="22"/>
      <c r="W2349" s="22"/>
      <c r="X2349" s="22"/>
      <c r="Y2349" s="22"/>
      <c r="Z2349" s="22"/>
      <c r="AA2349" s="22"/>
      <c r="AB2349" s="22"/>
      <c r="AC2349" s="22"/>
      <c r="AD2349" s="22"/>
      <c r="AE2349" s="22"/>
      <c r="AF2349" s="22"/>
      <c r="AG2349" s="22"/>
      <c r="AH2349" s="22"/>
      <c r="AI2349" s="22"/>
      <c r="AJ2349" s="22"/>
    </row>
    <row r="2350" spans="1:36" x14ac:dyDescent="0.25">
      <c r="A2350" s="22" t="s">
        <v>5289</v>
      </c>
      <c r="B2350" s="22">
        <v>0</v>
      </c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2"/>
      <c r="T2350" s="22"/>
      <c r="U2350" s="22"/>
      <c r="V2350" s="22"/>
      <c r="W2350" s="22"/>
      <c r="X2350" s="22"/>
      <c r="Y2350" s="22"/>
      <c r="Z2350" s="22"/>
      <c r="AA2350" s="22"/>
      <c r="AB2350" s="22"/>
      <c r="AC2350" s="22"/>
      <c r="AD2350" s="22"/>
      <c r="AE2350" s="22"/>
      <c r="AF2350" s="22"/>
      <c r="AG2350" s="22"/>
      <c r="AH2350" s="22"/>
      <c r="AI2350" s="22"/>
      <c r="AJ2350" s="22"/>
    </row>
    <row r="2351" spans="1:36" x14ac:dyDescent="0.25">
      <c r="A2351" s="22" t="s">
        <v>5290</v>
      </c>
      <c r="B2351" s="22">
        <v>0</v>
      </c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2"/>
      <c r="T2351" s="22"/>
      <c r="U2351" s="22"/>
      <c r="V2351" s="22"/>
      <c r="W2351" s="22"/>
      <c r="X2351" s="22"/>
      <c r="Y2351" s="22"/>
      <c r="Z2351" s="22"/>
      <c r="AA2351" s="22"/>
      <c r="AB2351" s="22"/>
      <c r="AC2351" s="22"/>
      <c r="AD2351" s="22"/>
      <c r="AE2351" s="22"/>
      <c r="AF2351" s="22"/>
      <c r="AG2351" s="22"/>
      <c r="AH2351" s="22"/>
      <c r="AI2351" s="22"/>
      <c r="AJ2351" s="22"/>
    </row>
    <row r="2352" spans="1:36" x14ac:dyDescent="0.25">
      <c r="A2352" s="22" t="s">
        <v>5291</v>
      </c>
      <c r="B2352" s="22">
        <v>0</v>
      </c>
      <c r="C2352" s="22"/>
      <c r="D2352" s="22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2"/>
      <c r="T2352" s="22"/>
      <c r="U2352" s="22"/>
      <c r="V2352" s="22"/>
      <c r="W2352" s="22"/>
      <c r="X2352" s="22"/>
      <c r="Y2352" s="22"/>
      <c r="Z2352" s="22"/>
      <c r="AA2352" s="22"/>
      <c r="AB2352" s="22"/>
      <c r="AC2352" s="22"/>
      <c r="AD2352" s="22"/>
      <c r="AE2352" s="22"/>
      <c r="AF2352" s="22"/>
      <c r="AG2352" s="22"/>
      <c r="AH2352" s="22"/>
      <c r="AI2352" s="22"/>
      <c r="AJ2352" s="22"/>
    </row>
    <row r="2353" spans="1:36" x14ac:dyDescent="0.25">
      <c r="A2353" s="22" t="s">
        <v>5292</v>
      </c>
      <c r="B2353" s="22">
        <v>0</v>
      </c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2"/>
      <c r="T2353" s="22"/>
      <c r="U2353" s="22"/>
      <c r="V2353" s="22"/>
      <c r="W2353" s="22"/>
      <c r="X2353" s="22"/>
      <c r="Y2353" s="22"/>
      <c r="Z2353" s="22"/>
      <c r="AA2353" s="22"/>
      <c r="AB2353" s="22"/>
      <c r="AC2353" s="22"/>
      <c r="AD2353" s="22"/>
      <c r="AE2353" s="22"/>
      <c r="AF2353" s="22"/>
      <c r="AG2353" s="22"/>
      <c r="AH2353" s="22"/>
      <c r="AI2353" s="22"/>
      <c r="AJ2353" s="22"/>
    </row>
    <row r="2354" spans="1:36" x14ac:dyDescent="0.25">
      <c r="A2354" s="22" t="s">
        <v>5293</v>
      </c>
      <c r="B2354" s="22">
        <v>0</v>
      </c>
      <c r="C2354" s="22"/>
      <c r="D2354" s="22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2"/>
      <c r="T2354" s="22"/>
      <c r="U2354" s="22"/>
      <c r="V2354" s="22"/>
      <c r="W2354" s="22"/>
      <c r="X2354" s="22"/>
      <c r="Y2354" s="22"/>
      <c r="Z2354" s="22"/>
      <c r="AA2354" s="22"/>
      <c r="AB2354" s="22"/>
      <c r="AC2354" s="22"/>
      <c r="AD2354" s="22"/>
      <c r="AE2354" s="22"/>
      <c r="AF2354" s="22"/>
      <c r="AG2354" s="22"/>
      <c r="AH2354" s="22"/>
      <c r="AI2354" s="22"/>
      <c r="AJ2354" s="22"/>
    </row>
    <row r="2355" spans="1:36" x14ac:dyDescent="0.25">
      <c r="A2355" s="22" t="s">
        <v>5294</v>
      </c>
      <c r="B2355" s="22">
        <v>0</v>
      </c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2"/>
      <c r="T2355" s="22"/>
      <c r="U2355" s="22"/>
      <c r="V2355" s="22"/>
      <c r="W2355" s="22"/>
      <c r="X2355" s="22"/>
      <c r="Y2355" s="22"/>
      <c r="Z2355" s="22"/>
      <c r="AA2355" s="22"/>
      <c r="AB2355" s="22"/>
      <c r="AC2355" s="22"/>
      <c r="AD2355" s="22"/>
      <c r="AE2355" s="22"/>
      <c r="AF2355" s="22"/>
      <c r="AG2355" s="22"/>
      <c r="AH2355" s="22"/>
      <c r="AI2355" s="22"/>
      <c r="AJ2355" s="22"/>
    </row>
    <row r="2356" spans="1:36" x14ac:dyDescent="0.25">
      <c r="A2356" s="22" t="s">
        <v>5295</v>
      </c>
      <c r="B2356" s="22">
        <v>0</v>
      </c>
      <c r="C2356" s="22"/>
      <c r="D2356" s="22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2"/>
      <c r="T2356" s="22"/>
      <c r="U2356" s="22"/>
      <c r="V2356" s="22"/>
      <c r="W2356" s="22"/>
      <c r="X2356" s="22"/>
      <c r="Y2356" s="22"/>
      <c r="Z2356" s="22"/>
      <c r="AA2356" s="22"/>
      <c r="AB2356" s="22"/>
      <c r="AC2356" s="22"/>
      <c r="AD2356" s="22"/>
      <c r="AE2356" s="22"/>
      <c r="AF2356" s="22"/>
      <c r="AG2356" s="22"/>
      <c r="AH2356" s="22"/>
      <c r="AI2356" s="22"/>
      <c r="AJ2356" s="22"/>
    </row>
    <row r="2357" spans="1:36" x14ac:dyDescent="0.25">
      <c r="A2357" s="22" t="s">
        <v>5296</v>
      </c>
      <c r="B2357" s="22">
        <v>0</v>
      </c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2"/>
      <c r="T2357" s="22"/>
      <c r="U2357" s="22"/>
      <c r="V2357" s="22"/>
      <c r="W2357" s="22"/>
      <c r="X2357" s="22"/>
      <c r="Y2357" s="22"/>
      <c r="Z2357" s="22"/>
      <c r="AA2357" s="22"/>
      <c r="AB2357" s="22"/>
      <c r="AC2357" s="22"/>
      <c r="AD2357" s="22"/>
      <c r="AE2357" s="22"/>
      <c r="AF2357" s="22"/>
      <c r="AG2357" s="22"/>
      <c r="AH2357" s="22"/>
      <c r="AI2357" s="22"/>
      <c r="AJ2357" s="22"/>
    </row>
    <row r="2358" spans="1:36" x14ac:dyDescent="0.25">
      <c r="A2358" s="22" t="s">
        <v>5297</v>
      </c>
      <c r="B2358" s="22">
        <v>0</v>
      </c>
      <c r="C2358" s="22"/>
      <c r="D2358" s="22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2"/>
      <c r="T2358" s="22"/>
      <c r="U2358" s="22"/>
      <c r="V2358" s="22"/>
      <c r="W2358" s="22"/>
      <c r="X2358" s="22"/>
      <c r="Y2358" s="22"/>
      <c r="Z2358" s="22"/>
      <c r="AA2358" s="22"/>
      <c r="AB2358" s="22"/>
      <c r="AC2358" s="22"/>
      <c r="AD2358" s="22"/>
      <c r="AE2358" s="22"/>
      <c r="AF2358" s="22"/>
      <c r="AG2358" s="22"/>
      <c r="AH2358" s="22"/>
      <c r="AI2358" s="22"/>
      <c r="AJ2358" s="22"/>
    </row>
    <row r="2359" spans="1:36" x14ac:dyDescent="0.25">
      <c r="A2359" s="22" t="s">
        <v>5298</v>
      </c>
      <c r="B2359" s="22">
        <v>0</v>
      </c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2"/>
      <c r="T2359" s="22"/>
      <c r="U2359" s="22"/>
      <c r="V2359" s="22"/>
      <c r="W2359" s="22"/>
      <c r="X2359" s="22"/>
      <c r="Y2359" s="22"/>
      <c r="Z2359" s="22"/>
      <c r="AA2359" s="22"/>
      <c r="AB2359" s="22"/>
      <c r="AC2359" s="22"/>
      <c r="AD2359" s="22"/>
      <c r="AE2359" s="22"/>
      <c r="AF2359" s="22"/>
      <c r="AG2359" s="22"/>
      <c r="AH2359" s="22"/>
      <c r="AI2359" s="22"/>
      <c r="AJ2359" s="22"/>
    </row>
    <row r="2360" spans="1:36" x14ac:dyDescent="0.25">
      <c r="A2360" s="22" t="s">
        <v>5299</v>
      </c>
      <c r="B2360" s="22">
        <v>0</v>
      </c>
      <c r="C2360" s="22"/>
      <c r="D2360" s="22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</row>
    <row r="2361" spans="1:36" x14ac:dyDescent="0.25">
      <c r="A2361" s="22" t="s">
        <v>5300</v>
      </c>
      <c r="B2361" s="22">
        <v>0</v>
      </c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2"/>
      <c r="T2361" s="22"/>
      <c r="U2361" s="22"/>
      <c r="V2361" s="22"/>
      <c r="W2361" s="22"/>
      <c r="X2361" s="22"/>
      <c r="Y2361" s="22"/>
      <c r="Z2361" s="22"/>
      <c r="AA2361" s="22"/>
      <c r="AB2361" s="22"/>
      <c r="AC2361" s="22"/>
      <c r="AD2361" s="22"/>
      <c r="AE2361" s="22"/>
      <c r="AF2361" s="22"/>
      <c r="AG2361" s="22"/>
      <c r="AH2361" s="22"/>
      <c r="AI2361" s="22"/>
      <c r="AJ2361" s="22"/>
    </row>
    <row r="2362" spans="1:36" x14ac:dyDescent="0.25">
      <c r="A2362" s="22" t="s">
        <v>5301</v>
      </c>
      <c r="B2362" s="22">
        <v>0</v>
      </c>
      <c r="C2362" s="22"/>
      <c r="D2362" s="22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2"/>
      <c r="T2362" s="22"/>
      <c r="U2362" s="22"/>
      <c r="V2362" s="22"/>
      <c r="W2362" s="22"/>
      <c r="X2362" s="22"/>
      <c r="Y2362" s="22"/>
      <c r="Z2362" s="22"/>
      <c r="AA2362" s="22"/>
      <c r="AB2362" s="22"/>
      <c r="AC2362" s="22"/>
      <c r="AD2362" s="22"/>
      <c r="AE2362" s="22"/>
      <c r="AF2362" s="22"/>
      <c r="AG2362" s="22"/>
      <c r="AH2362" s="22"/>
      <c r="AI2362" s="22"/>
      <c r="AJ2362" s="22"/>
    </row>
    <row r="2363" spans="1:36" x14ac:dyDescent="0.25">
      <c r="A2363" s="22" t="s">
        <v>5302</v>
      </c>
      <c r="B2363" s="22">
        <v>0</v>
      </c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2"/>
      <c r="T2363" s="22"/>
      <c r="U2363" s="22"/>
      <c r="V2363" s="22"/>
      <c r="W2363" s="22"/>
      <c r="X2363" s="22"/>
      <c r="Y2363" s="22"/>
      <c r="Z2363" s="22"/>
      <c r="AA2363" s="22"/>
      <c r="AB2363" s="22"/>
      <c r="AC2363" s="22"/>
      <c r="AD2363" s="22"/>
      <c r="AE2363" s="22"/>
      <c r="AF2363" s="22"/>
      <c r="AG2363" s="22"/>
      <c r="AH2363" s="22"/>
      <c r="AI2363" s="22"/>
      <c r="AJ2363" s="22"/>
    </row>
    <row r="2364" spans="1:36" x14ac:dyDescent="0.25">
      <c r="A2364" s="22" t="s">
        <v>5303</v>
      </c>
      <c r="B2364" s="22">
        <v>0</v>
      </c>
      <c r="C2364" s="22"/>
      <c r="D2364" s="22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2"/>
      <c r="T2364" s="22"/>
      <c r="U2364" s="22"/>
      <c r="V2364" s="22"/>
      <c r="W2364" s="22"/>
      <c r="X2364" s="22"/>
      <c r="Y2364" s="22"/>
      <c r="Z2364" s="22"/>
      <c r="AA2364" s="22"/>
      <c r="AB2364" s="22"/>
      <c r="AC2364" s="22"/>
      <c r="AD2364" s="22"/>
      <c r="AE2364" s="22"/>
      <c r="AF2364" s="22"/>
      <c r="AG2364" s="22"/>
      <c r="AH2364" s="22"/>
      <c r="AI2364" s="22"/>
      <c r="AJ2364" s="22"/>
    </row>
    <row r="2365" spans="1:36" x14ac:dyDescent="0.25">
      <c r="A2365" s="22" t="s">
        <v>5304</v>
      </c>
      <c r="B2365" s="22">
        <v>0</v>
      </c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2"/>
      <c r="T2365" s="22"/>
      <c r="U2365" s="22"/>
      <c r="V2365" s="22"/>
      <c r="W2365" s="22"/>
      <c r="X2365" s="22"/>
      <c r="Y2365" s="22"/>
      <c r="Z2365" s="22"/>
      <c r="AA2365" s="22"/>
      <c r="AB2365" s="22"/>
      <c r="AC2365" s="22"/>
      <c r="AD2365" s="22"/>
      <c r="AE2365" s="22"/>
      <c r="AF2365" s="22"/>
      <c r="AG2365" s="22"/>
      <c r="AH2365" s="22"/>
      <c r="AI2365" s="22"/>
      <c r="AJ2365" s="22"/>
    </row>
    <row r="2366" spans="1:36" x14ac:dyDescent="0.25">
      <c r="A2366" s="22" t="s">
        <v>5305</v>
      </c>
      <c r="B2366" s="22">
        <v>0</v>
      </c>
      <c r="C2366" s="22"/>
      <c r="D2366" s="22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2"/>
      <c r="T2366" s="22"/>
      <c r="U2366" s="22"/>
      <c r="V2366" s="22"/>
      <c r="W2366" s="22"/>
      <c r="X2366" s="22"/>
      <c r="Y2366" s="22"/>
      <c r="Z2366" s="22"/>
      <c r="AA2366" s="22"/>
      <c r="AB2366" s="22"/>
      <c r="AC2366" s="22"/>
      <c r="AD2366" s="22"/>
      <c r="AE2366" s="22"/>
      <c r="AF2366" s="22"/>
      <c r="AG2366" s="22"/>
      <c r="AH2366" s="22"/>
      <c r="AI2366" s="22"/>
      <c r="AJ2366" s="22"/>
    </row>
    <row r="2367" spans="1:36" x14ac:dyDescent="0.25">
      <c r="A2367" s="22" t="s">
        <v>5306</v>
      </c>
      <c r="B2367" s="22">
        <v>0</v>
      </c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2"/>
      <c r="T2367" s="22"/>
      <c r="U2367" s="22"/>
      <c r="V2367" s="22"/>
      <c r="W2367" s="22"/>
      <c r="X2367" s="22"/>
      <c r="Y2367" s="22"/>
      <c r="Z2367" s="22"/>
      <c r="AA2367" s="22"/>
      <c r="AB2367" s="22"/>
      <c r="AC2367" s="22"/>
      <c r="AD2367" s="22"/>
      <c r="AE2367" s="22"/>
      <c r="AF2367" s="22"/>
      <c r="AG2367" s="22"/>
      <c r="AH2367" s="22"/>
      <c r="AI2367" s="22"/>
      <c r="AJ2367" s="22"/>
    </row>
    <row r="2368" spans="1:36" x14ac:dyDescent="0.25">
      <c r="A2368" s="22" t="s">
        <v>5307</v>
      </c>
      <c r="B2368" s="22">
        <v>0</v>
      </c>
      <c r="C2368" s="22"/>
      <c r="D2368" s="22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2"/>
      <c r="T2368" s="22"/>
      <c r="U2368" s="22"/>
      <c r="V2368" s="22"/>
      <c r="W2368" s="22"/>
      <c r="X2368" s="22"/>
      <c r="Y2368" s="22"/>
      <c r="Z2368" s="22"/>
      <c r="AA2368" s="22"/>
      <c r="AB2368" s="22"/>
      <c r="AC2368" s="22"/>
      <c r="AD2368" s="22"/>
      <c r="AE2368" s="22"/>
      <c r="AF2368" s="22"/>
      <c r="AG2368" s="22"/>
      <c r="AH2368" s="22"/>
      <c r="AI2368" s="22"/>
      <c r="AJ2368" s="22"/>
    </row>
    <row r="2369" spans="1:36" x14ac:dyDescent="0.25">
      <c r="A2369" s="22" t="s">
        <v>5308</v>
      </c>
      <c r="B2369" s="22">
        <v>0</v>
      </c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2"/>
      <c r="T2369" s="22"/>
      <c r="U2369" s="22"/>
      <c r="V2369" s="22"/>
      <c r="W2369" s="22"/>
      <c r="X2369" s="22"/>
      <c r="Y2369" s="22"/>
      <c r="Z2369" s="22"/>
      <c r="AA2369" s="22"/>
      <c r="AB2369" s="22"/>
      <c r="AC2369" s="22"/>
      <c r="AD2369" s="22"/>
      <c r="AE2369" s="22"/>
      <c r="AF2369" s="22"/>
      <c r="AG2369" s="22"/>
      <c r="AH2369" s="22"/>
      <c r="AI2369" s="22"/>
      <c r="AJ2369" s="22"/>
    </row>
    <row r="2370" spans="1:36" x14ac:dyDescent="0.25">
      <c r="A2370" s="22" t="s">
        <v>5309</v>
      </c>
      <c r="B2370" s="22">
        <v>0</v>
      </c>
      <c r="C2370" s="22"/>
      <c r="D2370" s="22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2"/>
      <c r="T2370" s="22"/>
      <c r="U2370" s="22"/>
      <c r="V2370" s="22"/>
      <c r="W2370" s="22"/>
      <c r="X2370" s="22"/>
      <c r="Y2370" s="22"/>
      <c r="Z2370" s="22"/>
      <c r="AA2370" s="22"/>
      <c r="AB2370" s="22"/>
      <c r="AC2370" s="22"/>
      <c r="AD2370" s="22"/>
      <c r="AE2370" s="22"/>
      <c r="AF2370" s="22"/>
      <c r="AG2370" s="22"/>
      <c r="AH2370" s="22"/>
      <c r="AI2370" s="22"/>
      <c r="AJ2370" s="22"/>
    </row>
    <row r="2371" spans="1:36" x14ac:dyDescent="0.25">
      <c r="A2371" s="22" t="s">
        <v>5310</v>
      </c>
      <c r="B2371" s="22">
        <v>0</v>
      </c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2"/>
      <c r="T2371" s="22"/>
      <c r="U2371" s="22"/>
      <c r="V2371" s="22"/>
      <c r="W2371" s="22"/>
      <c r="X2371" s="22"/>
      <c r="Y2371" s="22"/>
      <c r="Z2371" s="22"/>
      <c r="AA2371" s="22"/>
      <c r="AB2371" s="22"/>
      <c r="AC2371" s="22"/>
      <c r="AD2371" s="22"/>
      <c r="AE2371" s="22"/>
      <c r="AF2371" s="22"/>
      <c r="AG2371" s="22"/>
      <c r="AH2371" s="22"/>
      <c r="AI2371" s="22"/>
      <c r="AJ2371" s="22"/>
    </row>
    <row r="2372" spans="1:36" x14ac:dyDescent="0.25">
      <c r="A2372" s="22" t="s">
        <v>5311</v>
      </c>
      <c r="B2372" s="22">
        <v>0</v>
      </c>
      <c r="C2372" s="22"/>
      <c r="D2372" s="22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2"/>
      <c r="T2372" s="22"/>
      <c r="U2372" s="22"/>
      <c r="V2372" s="22"/>
      <c r="W2372" s="22"/>
      <c r="X2372" s="22"/>
      <c r="Y2372" s="22"/>
      <c r="Z2372" s="22"/>
      <c r="AA2372" s="22"/>
      <c r="AB2372" s="22"/>
      <c r="AC2372" s="22"/>
      <c r="AD2372" s="22"/>
      <c r="AE2372" s="22"/>
      <c r="AF2372" s="22"/>
      <c r="AG2372" s="22"/>
      <c r="AH2372" s="22"/>
      <c r="AI2372" s="22"/>
      <c r="AJ2372" s="22"/>
    </row>
    <row r="2373" spans="1:36" x14ac:dyDescent="0.25">
      <c r="A2373" s="22" t="s">
        <v>5312</v>
      </c>
      <c r="B2373" s="22">
        <v>0</v>
      </c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2"/>
      <c r="T2373" s="22"/>
      <c r="U2373" s="22"/>
      <c r="V2373" s="22"/>
      <c r="W2373" s="22"/>
      <c r="X2373" s="22"/>
      <c r="Y2373" s="22"/>
      <c r="Z2373" s="22"/>
      <c r="AA2373" s="22"/>
      <c r="AB2373" s="22"/>
      <c r="AC2373" s="22"/>
      <c r="AD2373" s="22"/>
      <c r="AE2373" s="22"/>
      <c r="AF2373" s="22"/>
      <c r="AG2373" s="22"/>
      <c r="AH2373" s="22"/>
      <c r="AI2373" s="22"/>
      <c r="AJ2373" s="22"/>
    </row>
    <row r="2374" spans="1:36" x14ac:dyDescent="0.25">
      <c r="A2374" s="22" t="s">
        <v>5313</v>
      </c>
      <c r="B2374" s="22">
        <v>197</v>
      </c>
      <c r="C2374" s="22"/>
      <c r="D2374" s="22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2"/>
      <c r="T2374" s="22"/>
      <c r="U2374" s="22"/>
      <c r="V2374" s="22"/>
      <c r="W2374" s="22"/>
      <c r="X2374" s="22"/>
      <c r="Y2374" s="22"/>
      <c r="Z2374" s="22"/>
      <c r="AA2374" s="22"/>
      <c r="AB2374" s="22"/>
      <c r="AC2374" s="22"/>
      <c r="AD2374" s="22"/>
      <c r="AE2374" s="22"/>
      <c r="AF2374" s="22"/>
      <c r="AG2374" s="22"/>
      <c r="AH2374" s="22"/>
      <c r="AI2374" s="22"/>
      <c r="AJ2374" s="22"/>
    </row>
    <row r="2375" spans="1:36" x14ac:dyDescent="0.25">
      <c r="A2375" s="22" t="s">
        <v>5314</v>
      </c>
      <c r="B2375" s="22">
        <v>0</v>
      </c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2"/>
      <c r="T2375" s="22"/>
      <c r="U2375" s="22"/>
      <c r="V2375" s="22"/>
      <c r="W2375" s="22"/>
      <c r="X2375" s="22"/>
      <c r="Y2375" s="22"/>
      <c r="Z2375" s="22"/>
      <c r="AA2375" s="22"/>
      <c r="AB2375" s="22"/>
      <c r="AC2375" s="22"/>
      <c r="AD2375" s="22"/>
      <c r="AE2375" s="22"/>
      <c r="AF2375" s="22"/>
      <c r="AG2375" s="22"/>
      <c r="AH2375" s="22"/>
      <c r="AI2375" s="22"/>
      <c r="AJ2375" s="22"/>
    </row>
    <row r="2376" spans="1:36" x14ac:dyDescent="0.25">
      <c r="A2376" s="22" t="s">
        <v>5315</v>
      </c>
      <c r="B2376" s="22">
        <v>0</v>
      </c>
      <c r="C2376" s="22"/>
      <c r="D2376" s="22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2"/>
      <c r="T2376" s="22"/>
      <c r="U2376" s="22"/>
      <c r="V2376" s="22"/>
      <c r="W2376" s="22"/>
      <c r="X2376" s="22"/>
      <c r="Y2376" s="22"/>
      <c r="Z2376" s="22"/>
      <c r="AA2376" s="22"/>
      <c r="AB2376" s="22"/>
      <c r="AC2376" s="22"/>
      <c r="AD2376" s="22"/>
      <c r="AE2376" s="22"/>
      <c r="AF2376" s="22"/>
      <c r="AG2376" s="22"/>
      <c r="AH2376" s="22"/>
      <c r="AI2376" s="22"/>
      <c r="AJ2376" s="22"/>
    </row>
    <row r="2377" spans="1:36" x14ac:dyDescent="0.25">
      <c r="A2377" s="22" t="s">
        <v>5316</v>
      </c>
      <c r="B2377" s="22">
        <v>0</v>
      </c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2"/>
      <c r="T2377" s="22"/>
      <c r="U2377" s="22"/>
      <c r="V2377" s="22"/>
      <c r="W2377" s="22"/>
      <c r="X2377" s="22"/>
      <c r="Y2377" s="22"/>
      <c r="Z2377" s="22"/>
      <c r="AA2377" s="22"/>
      <c r="AB2377" s="22"/>
      <c r="AC2377" s="22"/>
      <c r="AD2377" s="22"/>
      <c r="AE2377" s="22"/>
      <c r="AF2377" s="22"/>
      <c r="AG2377" s="22"/>
      <c r="AH2377" s="22"/>
      <c r="AI2377" s="22"/>
      <c r="AJ2377" s="22"/>
    </row>
    <row r="2378" spans="1:36" x14ac:dyDescent="0.25">
      <c r="A2378" s="22" t="s">
        <v>5317</v>
      </c>
      <c r="B2378" s="22">
        <v>0</v>
      </c>
      <c r="C2378" s="22"/>
      <c r="D2378" s="22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2"/>
      <c r="T2378" s="22"/>
      <c r="U2378" s="22"/>
      <c r="V2378" s="22"/>
      <c r="W2378" s="22"/>
      <c r="X2378" s="22"/>
      <c r="Y2378" s="22"/>
      <c r="Z2378" s="22"/>
      <c r="AA2378" s="22"/>
      <c r="AB2378" s="22"/>
      <c r="AC2378" s="22"/>
      <c r="AD2378" s="22"/>
      <c r="AE2378" s="22"/>
      <c r="AF2378" s="22"/>
      <c r="AG2378" s="22"/>
      <c r="AH2378" s="22"/>
      <c r="AI2378" s="22"/>
      <c r="AJ2378" s="22"/>
    </row>
    <row r="2379" spans="1:36" x14ac:dyDescent="0.25">
      <c r="A2379" s="22" t="s">
        <v>5318</v>
      </c>
      <c r="B2379" s="22">
        <v>0</v>
      </c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2"/>
      <c r="T2379" s="22"/>
      <c r="U2379" s="22"/>
      <c r="V2379" s="22"/>
      <c r="W2379" s="22"/>
      <c r="X2379" s="22"/>
      <c r="Y2379" s="22"/>
      <c r="Z2379" s="22"/>
      <c r="AA2379" s="22"/>
      <c r="AB2379" s="22"/>
      <c r="AC2379" s="22"/>
      <c r="AD2379" s="22"/>
      <c r="AE2379" s="22"/>
      <c r="AF2379" s="22"/>
      <c r="AG2379" s="22"/>
      <c r="AH2379" s="22"/>
      <c r="AI2379" s="22"/>
      <c r="AJ2379" s="22"/>
    </row>
    <row r="2380" spans="1:36" x14ac:dyDescent="0.25">
      <c r="A2380" s="22" t="s">
        <v>5319</v>
      </c>
      <c r="B2380" s="22">
        <v>0</v>
      </c>
      <c r="C2380" s="22"/>
      <c r="D2380" s="22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2"/>
      <c r="T2380" s="22"/>
      <c r="U2380" s="22"/>
      <c r="V2380" s="22"/>
      <c r="W2380" s="22"/>
      <c r="X2380" s="22"/>
      <c r="Y2380" s="22"/>
      <c r="Z2380" s="22"/>
      <c r="AA2380" s="22"/>
      <c r="AB2380" s="22"/>
      <c r="AC2380" s="22"/>
      <c r="AD2380" s="22"/>
      <c r="AE2380" s="22"/>
      <c r="AF2380" s="22"/>
      <c r="AG2380" s="22"/>
      <c r="AH2380" s="22"/>
      <c r="AI2380" s="22"/>
      <c r="AJ2380" s="22"/>
    </row>
    <row r="2381" spans="1:36" x14ac:dyDescent="0.25">
      <c r="A2381" s="22" t="s">
        <v>5320</v>
      </c>
      <c r="B2381" s="22">
        <v>0</v>
      </c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2"/>
      <c r="T2381" s="22"/>
      <c r="U2381" s="22"/>
      <c r="V2381" s="22"/>
      <c r="W2381" s="22"/>
      <c r="X2381" s="22"/>
      <c r="Y2381" s="22"/>
      <c r="Z2381" s="22"/>
      <c r="AA2381" s="22"/>
      <c r="AB2381" s="22"/>
      <c r="AC2381" s="22"/>
      <c r="AD2381" s="22"/>
      <c r="AE2381" s="22"/>
      <c r="AF2381" s="22"/>
      <c r="AG2381" s="22"/>
      <c r="AH2381" s="22"/>
      <c r="AI2381" s="22"/>
      <c r="AJ2381" s="22"/>
    </row>
    <row r="2382" spans="1:36" x14ac:dyDescent="0.25">
      <c r="A2382" s="22" t="s">
        <v>5321</v>
      </c>
      <c r="B2382" s="22">
        <v>3</v>
      </c>
      <c r="C2382" s="22"/>
      <c r="D2382" s="22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2"/>
      <c r="T2382" s="22"/>
      <c r="U2382" s="22"/>
      <c r="V2382" s="22"/>
      <c r="W2382" s="22"/>
      <c r="X2382" s="22"/>
      <c r="Y2382" s="22"/>
      <c r="Z2382" s="22"/>
      <c r="AA2382" s="22"/>
      <c r="AB2382" s="22"/>
      <c r="AC2382" s="22"/>
      <c r="AD2382" s="22"/>
      <c r="AE2382" s="22"/>
      <c r="AF2382" s="22"/>
      <c r="AG2382" s="22"/>
      <c r="AH2382" s="22"/>
      <c r="AI2382" s="22"/>
      <c r="AJ2382" s="22"/>
    </row>
    <row r="2383" spans="1:36" x14ac:dyDescent="0.25">
      <c r="A2383" s="22" t="s">
        <v>5322</v>
      </c>
      <c r="B2383" s="22">
        <v>0</v>
      </c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2"/>
      <c r="T2383" s="22"/>
      <c r="U2383" s="22"/>
      <c r="V2383" s="22"/>
      <c r="W2383" s="22"/>
      <c r="X2383" s="22"/>
      <c r="Y2383" s="22"/>
      <c r="Z2383" s="22"/>
      <c r="AA2383" s="22"/>
      <c r="AB2383" s="22"/>
      <c r="AC2383" s="22"/>
      <c r="AD2383" s="22"/>
      <c r="AE2383" s="22"/>
      <c r="AF2383" s="22"/>
      <c r="AG2383" s="22"/>
      <c r="AH2383" s="22"/>
      <c r="AI2383" s="22"/>
      <c r="AJ2383" s="22"/>
    </row>
    <row r="2384" spans="1:36" x14ac:dyDescent="0.25">
      <c r="A2384" s="22" t="s">
        <v>5323</v>
      </c>
      <c r="B2384" s="22">
        <v>0</v>
      </c>
      <c r="C2384" s="22"/>
      <c r="D2384" s="22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2"/>
      <c r="T2384" s="22"/>
      <c r="U2384" s="22"/>
      <c r="V2384" s="22"/>
      <c r="W2384" s="22"/>
      <c r="X2384" s="22"/>
      <c r="Y2384" s="22"/>
      <c r="Z2384" s="22"/>
      <c r="AA2384" s="22"/>
      <c r="AB2384" s="22"/>
      <c r="AC2384" s="22"/>
      <c r="AD2384" s="22"/>
      <c r="AE2384" s="22"/>
      <c r="AF2384" s="22"/>
      <c r="AG2384" s="22"/>
      <c r="AH2384" s="22"/>
      <c r="AI2384" s="22"/>
      <c r="AJ2384" s="22"/>
    </row>
    <row r="2385" spans="1:36" x14ac:dyDescent="0.25">
      <c r="A2385" s="22" t="s">
        <v>5324</v>
      </c>
      <c r="B2385" s="22">
        <v>0</v>
      </c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2"/>
      <c r="T2385" s="22"/>
      <c r="U2385" s="22"/>
      <c r="V2385" s="22"/>
      <c r="W2385" s="22"/>
      <c r="X2385" s="22"/>
      <c r="Y2385" s="22"/>
      <c r="Z2385" s="22"/>
      <c r="AA2385" s="22"/>
      <c r="AB2385" s="22"/>
      <c r="AC2385" s="22"/>
      <c r="AD2385" s="22"/>
      <c r="AE2385" s="22"/>
      <c r="AF2385" s="22"/>
      <c r="AG2385" s="22"/>
      <c r="AH2385" s="22"/>
      <c r="AI2385" s="22"/>
      <c r="AJ2385" s="22"/>
    </row>
    <row r="2386" spans="1:36" x14ac:dyDescent="0.25">
      <c r="A2386" s="22" t="s">
        <v>5325</v>
      </c>
      <c r="B2386" s="22">
        <v>0</v>
      </c>
      <c r="C2386" s="22"/>
      <c r="D2386" s="22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2"/>
      <c r="T2386" s="22"/>
      <c r="U2386" s="22"/>
      <c r="V2386" s="22"/>
      <c r="W2386" s="22"/>
      <c r="X2386" s="22"/>
      <c r="Y2386" s="22"/>
      <c r="Z2386" s="22"/>
      <c r="AA2386" s="22"/>
      <c r="AB2386" s="22"/>
      <c r="AC2386" s="22"/>
      <c r="AD2386" s="22"/>
      <c r="AE2386" s="22"/>
      <c r="AF2386" s="22"/>
      <c r="AG2386" s="22"/>
      <c r="AH2386" s="22"/>
      <c r="AI2386" s="22"/>
      <c r="AJ2386" s="22"/>
    </row>
    <row r="2387" spans="1:36" x14ac:dyDescent="0.25">
      <c r="A2387" s="22" t="s">
        <v>5326</v>
      </c>
      <c r="B2387" s="22">
        <v>0</v>
      </c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2"/>
      <c r="T2387" s="22"/>
      <c r="U2387" s="22"/>
      <c r="V2387" s="22"/>
      <c r="W2387" s="22"/>
      <c r="X2387" s="22"/>
      <c r="Y2387" s="22"/>
      <c r="Z2387" s="22"/>
      <c r="AA2387" s="22"/>
      <c r="AB2387" s="22"/>
      <c r="AC2387" s="22"/>
      <c r="AD2387" s="22"/>
      <c r="AE2387" s="22"/>
      <c r="AF2387" s="22"/>
      <c r="AG2387" s="22"/>
      <c r="AH2387" s="22"/>
      <c r="AI2387" s="22"/>
      <c r="AJ2387" s="22"/>
    </row>
    <row r="2388" spans="1:36" x14ac:dyDescent="0.25">
      <c r="A2388" s="22" t="s">
        <v>5327</v>
      </c>
      <c r="B2388" s="22">
        <v>0</v>
      </c>
      <c r="C2388" s="22"/>
      <c r="D2388" s="22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2"/>
      <c r="T2388" s="22"/>
      <c r="U2388" s="22"/>
      <c r="V2388" s="22"/>
      <c r="W2388" s="22"/>
      <c r="X2388" s="22"/>
      <c r="Y2388" s="22"/>
      <c r="Z2388" s="22"/>
      <c r="AA2388" s="22"/>
      <c r="AB2388" s="22"/>
      <c r="AC2388" s="22"/>
      <c r="AD2388" s="22"/>
      <c r="AE2388" s="22"/>
      <c r="AF2388" s="22"/>
      <c r="AG2388" s="22"/>
      <c r="AH2388" s="22"/>
      <c r="AI2388" s="22"/>
      <c r="AJ2388" s="22"/>
    </row>
    <row r="2389" spans="1:36" x14ac:dyDescent="0.25">
      <c r="A2389" s="22" t="s">
        <v>5328</v>
      </c>
      <c r="B2389" s="22">
        <v>0</v>
      </c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2"/>
      <c r="T2389" s="22"/>
      <c r="U2389" s="22"/>
      <c r="V2389" s="22"/>
      <c r="W2389" s="22"/>
      <c r="X2389" s="22"/>
      <c r="Y2389" s="22"/>
      <c r="Z2389" s="22"/>
      <c r="AA2389" s="22"/>
      <c r="AB2389" s="22"/>
      <c r="AC2389" s="22"/>
      <c r="AD2389" s="22"/>
      <c r="AE2389" s="22"/>
      <c r="AF2389" s="22"/>
      <c r="AG2389" s="22"/>
      <c r="AH2389" s="22"/>
      <c r="AI2389" s="22"/>
      <c r="AJ2389" s="22"/>
    </row>
    <row r="2390" spans="1:36" x14ac:dyDescent="0.25">
      <c r="A2390" s="22" t="s">
        <v>5329</v>
      </c>
      <c r="B2390" s="22">
        <v>2</v>
      </c>
      <c r="C2390" s="22"/>
      <c r="D2390" s="22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2"/>
      <c r="T2390" s="22"/>
      <c r="U2390" s="22"/>
      <c r="V2390" s="22"/>
      <c r="W2390" s="22"/>
      <c r="X2390" s="22"/>
      <c r="Y2390" s="22"/>
      <c r="Z2390" s="22"/>
      <c r="AA2390" s="22"/>
      <c r="AB2390" s="22"/>
      <c r="AC2390" s="22"/>
      <c r="AD2390" s="22"/>
      <c r="AE2390" s="22"/>
      <c r="AF2390" s="22"/>
      <c r="AG2390" s="22"/>
      <c r="AH2390" s="22"/>
      <c r="AI2390" s="22"/>
      <c r="AJ2390" s="22"/>
    </row>
    <row r="2391" spans="1:36" x14ac:dyDescent="0.25">
      <c r="A2391" s="22" t="s">
        <v>5330</v>
      </c>
      <c r="B2391" s="22">
        <v>0</v>
      </c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2"/>
      <c r="T2391" s="22"/>
      <c r="U2391" s="22"/>
      <c r="V2391" s="22"/>
      <c r="W2391" s="22"/>
      <c r="X2391" s="22"/>
      <c r="Y2391" s="22"/>
      <c r="Z2391" s="22"/>
      <c r="AA2391" s="22"/>
      <c r="AB2391" s="22"/>
      <c r="AC2391" s="22"/>
      <c r="AD2391" s="22"/>
      <c r="AE2391" s="22"/>
      <c r="AF2391" s="22"/>
      <c r="AG2391" s="22"/>
      <c r="AH2391" s="22"/>
      <c r="AI2391" s="22"/>
      <c r="AJ2391" s="22"/>
    </row>
    <row r="2392" spans="1:36" x14ac:dyDescent="0.25">
      <c r="A2392" s="22" t="s">
        <v>5331</v>
      </c>
      <c r="B2392" s="22">
        <v>0</v>
      </c>
      <c r="C2392" s="22"/>
      <c r="D2392" s="22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2"/>
      <c r="T2392" s="22"/>
      <c r="U2392" s="22"/>
      <c r="V2392" s="22"/>
      <c r="W2392" s="22"/>
      <c r="X2392" s="22"/>
      <c r="Y2392" s="22"/>
      <c r="Z2392" s="22"/>
      <c r="AA2392" s="22"/>
      <c r="AB2392" s="22"/>
      <c r="AC2392" s="22"/>
      <c r="AD2392" s="22"/>
      <c r="AE2392" s="22"/>
      <c r="AF2392" s="22"/>
      <c r="AG2392" s="22"/>
      <c r="AH2392" s="22"/>
      <c r="AI2392" s="22"/>
      <c r="AJ2392" s="22"/>
    </row>
    <row r="2393" spans="1:36" x14ac:dyDescent="0.25">
      <c r="A2393" s="22" t="s">
        <v>5332</v>
      </c>
      <c r="B2393" s="22">
        <v>0</v>
      </c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2"/>
      <c r="T2393" s="22"/>
      <c r="U2393" s="22"/>
      <c r="V2393" s="22"/>
      <c r="W2393" s="22"/>
      <c r="X2393" s="22"/>
      <c r="Y2393" s="22"/>
      <c r="Z2393" s="22"/>
      <c r="AA2393" s="22"/>
      <c r="AB2393" s="22"/>
      <c r="AC2393" s="22"/>
      <c r="AD2393" s="22"/>
      <c r="AE2393" s="22"/>
      <c r="AF2393" s="22"/>
      <c r="AG2393" s="22"/>
      <c r="AH2393" s="22"/>
      <c r="AI2393" s="22"/>
      <c r="AJ2393" s="22"/>
    </row>
    <row r="2394" spans="1:36" x14ac:dyDescent="0.25">
      <c r="A2394" s="22" t="s">
        <v>5333</v>
      </c>
      <c r="B2394" s="22">
        <v>0</v>
      </c>
      <c r="C2394" s="22"/>
      <c r="D2394" s="22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2"/>
      <c r="T2394" s="22"/>
      <c r="U2394" s="22"/>
      <c r="V2394" s="22"/>
      <c r="W2394" s="22"/>
      <c r="X2394" s="22"/>
      <c r="Y2394" s="22"/>
      <c r="Z2394" s="22"/>
      <c r="AA2394" s="22"/>
      <c r="AB2394" s="22"/>
      <c r="AC2394" s="22"/>
      <c r="AD2394" s="22"/>
      <c r="AE2394" s="22"/>
      <c r="AF2394" s="22"/>
      <c r="AG2394" s="22"/>
      <c r="AH2394" s="22"/>
      <c r="AI2394" s="22"/>
      <c r="AJ2394" s="22"/>
    </row>
    <row r="2395" spans="1:36" x14ac:dyDescent="0.25">
      <c r="A2395" s="22" t="s">
        <v>5334</v>
      </c>
      <c r="B2395" s="22">
        <v>0</v>
      </c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2"/>
      <c r="T2395" s="22"/>
      <c r="U2395" s="22"/>
      <c r="V2395" s="22"/>
      <c r="W2395" s="22"/>
      <c r="X2395" s="22"/>
      <c r="Y2395" s="22"/>
      <c r="Z2395" s="22"/>
      <c r="AA2395" s="22"/>
      <c r="AB2395" s="22"/>
      <c r="AC2395" s="22"/>
      <c r="AD2395" s="22"/>
      <c r="AE2395" s="22"/>
      <c r="AF2395" s="22"/>
      <c r="AG2395" s="22"/>
      <c r="AH2395" s="22"/>
      <c r="AI2395" s="22"/>
      <c r="AJ2395" s="22"/>
    </row>
    <row r="2396" spans="1:36" x14ac:dyDescent="0.25">
      <c r="A2396" s="22" t="s">
        <v>5335</v>
      </c>
      <c r="B2396" s="22">
        <v>0</v>
      </c>
      <c r="C2396" s="22"/>
      <c r="D2396" s="22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2"/>
      <c r="T2396" s="22"/>
      <c r="U2396" s="22"/>
      <c r="V2396" s="22"/>
      <c r="W2396" s="22"/>
      <c r="X2396" s="22"/>
      <c r="Y2396" s="22"/>
      <c r="Z2396" s="22"/>
      <c r="AA2396" s="22"/>
      <c r="AB2396" s="22"/>
      <c r="AC2396" s="22"/>
      <c r="AD2396" s="22"/>
      <c r="AE2396" s="22"/>
      <c r="AF2396" s="22"/>
      <c r="AG2396" s="22"/>
      <c r="AH2396" s="22"/>
      <c r="AI2396" s="22"/>
      <c r="AJ2396" s="22"/>
    </row>
    <row r="2397" spans="1:36" x14ac:dyDescent="0.25">
      <c r="A2397" s="22" t="s">
        <v>5336</v>
      </c>
      <c r="B2397" s="22">
        <v>0</v>
      </c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2"/>
      <c r="T2397" s="22"/>
      <c r="U2397" s="22"/>
      <c r="V2397" s="22"/>
      <c r="W2397" s="22"/>
      <c r="X2397" s="22"/>
      <c r="Y2397" s="22"/>
      <c r="Z2397" s="22"/>
      <c r="AA2397" s="22"/>
      <c r="AB2397" s="22"/>
      <c r="AC2397" s="22"/>
      <c r="AD2397" s="22"/>
      <c r="AE2397" s="22"/>
      <c r="AF2397" s="22"/>
      <c r="AG2397" s="22"/>
      <c r="AH2397" s="22"/>
      <c r="AI2397" s="22"/>
      <c r="AJ2397" s="22"/>
    </row>
    <row r="2398" spans="1:36" x14ac:dyDescent="0.25">
      <c r="A2398" s="22" t="s">
        <v>5337</v>
      </c>
      <c r="B2398" s="22">
        <v>0</v>
      </c>
      <c r="C2398" s="22"/>
      <c r="D2398" s="22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2"/>
      <c r="T2398" s="22"/>
      <c r="U2398" s="22"/>
      <c r="V2398" s="22"/>
      <c r="W2398" s="22"/>
      <c r="X2398" s="22"/>
      <c r="Y2398" s="22"/>
      <c r="Z2398" s="22"/>
      <c r="AA2398" s="22"/>
      <c r="AB2398" s="22"/>
      <c r="AC2398" s="22"/>
      <c r="AD2398" s="22"/>
      <c r="AE2398" s="22"/>
      <c r="AF2398" s="22"/>
      <c r="AG2398" s="22"/>
      <c r="AH2398" s="22"/>
      <c r="AI2398" s="22"/>
      <c r="AJ2398" s="22"/>
    </row>
    <row r="2399" spans="1:36" x14ac:dyDescent="0.25">
      <c r="A2399" s="22" t="s">
        <v>5338</v>
      </c>
      <c r="B2399" s="22">
        <v>0</v>
      </c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2"/>
      <c r="T2399" s="22"/>
      <c r="U2399" s="22"/>
      <c r="V2399" s="22"/>
      <c r="W2399" s="22"/>
      <c r="X2399" s="22"/>
      <c r="Y2399" s="22"/>
      <c r="Z2399" s="22"/>
      <c r="AA2399" s="22"/>
      <c r="AB2399" s="22"/>
      <c r="AC2399" s="22"/>
      <c r="AD2399" s="22"/>
      <c r="AE2399" s="22"/>
      <c r="AF2399" s="22"/>
      <c r="AG2399" s="22"/>
      <c r="AH2399" s="22"/>
      <c r="AI2399" s="22"/>
      <c r="AJ2399" s="22"/>
    </row>
    <row r="2400" spans="1:36" x14ac:dyDescent="0.25">
      <c r="A2400" s="22" t="s">
        <v>5339</v>
      </c>
      <c r="B2400" s="22">
        <v>0</v>
      </c>
      <c r="C2400" s="22"/>
      <c r="D2400" s="22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2"/>
      <c r="T2400" s="22"/>
      <c r="U2400" s="22"/>
      <c r="V2400" s="22"/>
      <c r="W2400" s="22"/>
      <c r="X2400" s="22"/>
      <c r="Y2400" s="22"/>
      <c r="Z2400" s="22"/>
      <c r="AA2400" s="22"/>
      <c r="AB2400" s="22"/>
      <c r="AC2400" s="22"/>
      <c r="AD2400" s="22"/>
      <c r="AE2400" s="22"/>
      <c r="AF2400" s="22"/>
      <c r="AG2400" s="22"/>
      <c r="AH2400" s="22"/>
      <c r="AI2400" s="22"/>
      <c r="AJ2400" s="22"/>
    </row>
    <row r="2401" spans="1:36" x14ac:dyDescent="0.25">
      <c r="A2401" s="22" t="s">
        <v>5340</v>
      </c>
      <c r="B2401" s="22">
        <v>0</v>
      </c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2"/>
      <c r="T2401" s="22"/>
      <c r="U2401" s="22"/>
      <c r="V2401" s="22"/>
      <c r="W2401" s="22"/>
      <c r="X2401" s="22"/>
      <c r="Y2401" s="22"/>
      <c r="Z2401" s="22"/>
      <c r="AA2401" s="22"/>
      <c r="AB2401" s="22"/>
      <c r="AC2401" s="22"/>
      <c r="AD2401" s="22"/>
      <c r="AE2401" s="22"/>
      <c r="AF2401" s="22"/>
      <c r="AG2401" s="22"/>
      <c r="AH2401" s="22"/>
      <c r="AI2401" s="22"/>
      <c r="AJ2401" s="22"/>
    </row>
    <row r="2402" spans="1:36" x14ac:dyDescent="0.25">
      <c r="A2402" s="22" t="s">
        <v>5341</v>
      </c>
      <c r="B2402" s="22">
        <v>0</v>
      </c>
      <c r="C2402" s="22"/>
      <c r="D2402" s="22"/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  <c r="O2402" s="22"/>
      <c r="P2402" s="22"/>
      <c r="Q2402" s="22"/>
      <c r="R2402" s="22"/>
      <c r="S2402" s="22"/>
      <c r="T2402" s="22"/>
      <c r="U2402" s="22"/>
      <c r="V2402" s="22"/>
      <c r="W2402" s="22"/>
      <c r="X2402" s="22"/>
      <c r="Y2402" s="22"/>
      <c r="Z2402" s="22"/>
      <c r="AA2402" s="22"/>
      <c r="AB2402" s="22"/>
      <c r="AC2402" s="22"/>
      <c r="AD2402" s="22"/>
      <c r="AE2402" s="22"/>
      <c r="AF2402" s="22"/>
      <c r="AG2402" s="22"/>
      <c r="AH2402" s="22"/>
      <c r="AI2402" s="22"/>
      <c r="AJ2402" s="22"/>
    </row>
    <row r="2403" spans="1:36" x14ac:dyDescent="0.25">
      <c r="A2403" s="22" t="s">
        <v>5342</v>
      </c>
      <c r="B2403" s="22">
        <v>0</v>
      </c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  <c r="O2403" s="22"/>
      <c r="P2403" s="22"/>
      <c r="Q2403" s="22"/>
      <c r="R2403" s="22"/>
      <c r="S2403" s="22"/>
      <c r="T2403" s="22"/>
      <c r="U2403" s="22"/>
      <c r="V2403" s="22"/>
      <c r="W2403" s="22"/>
      <c r="X2403" s="22"/>
      <c r="Y2403" s="22"/>
      <c r="Z2403" s="22"/>
      <c r="AA2403" s="22"/>
      <c r="AB2403" s="22"/>
      <c r="AC2403" s="22"/>
      <c r="AD2403" s="22"/>
      <c r="AE2403" s="22"/>
      <c r="AF2403" s="22"/>
      <c r="AG2403" s="22"/>
      <c r="AH2403" s="22"/>
      <c r="AI2403" s="22"/>
      <c r="AJ2403" s="22"/>
    </row>
    <row r="2404" spans="1:36" x14ac:dyDescent="0.25">
      <c r="A2404" s="22" t="s">
        <v>5343</v>
      </c>
      <c r="B2404" s="22">
        <v>0</v>
      </c>
      <c r="C2404" s="22"/>
      <c r="D2404" s="22"/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  <c r="O2404" s="22"/>
      <c r="P2404" s="22"/>
      <c r="Q2404" s="22"/>
      <c r="R2404" s="22"/>
      <c r="S2404" s="22"/>
      <c r="T2404" s="22"/>
      <c r="U2404" s="22"/>
      <c r="V2404" s="22"/>
      <c r="W2404" s="22"/>
      <c r="X2404" s="22"/>
      <c r="Y2404" s="22"/>
      <c r="Z2404" s="22"/>
      <c r="AA2404" s="22"/>
      <c r="AB2404" s="22"/>
      <c r="AC2404" s="22"/>
      <c r="AD2404" s="22"/>
      <c r="AE2404" s="22"/>
      <c r="AF2404" s="22"/>
      <c r="AG2404" s="22"/>
      <c r="AH2404" s="22"/>
      <c r="AI2404" s="22"/>
      <c r="AJ2404" s="22"/>
    </row>
    <row r="2405" spans="1:36" x14ac:dyDescent="0.25">
      <c r="A2405" s="22" t="s">
        <v>5344</v>
      </c>
      <c r="B2405" s="22">
        <v>0</v>
      </c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  <c r="O2405" s="22"/>
      <c r="P2405" s="22"/>
      <c r="Q2405" s="22"/>
      <c r="R2405" s="22"/>
      <c r="S2405" s="22"/>
      <c r="T2405" s="22"/>
      <c r="U2405" s="22"/>
      <c r="V2405" s="22"/>
      <c r="W2405" s="22"/>
      <c r="X2405" s="22"/>
      <c r="Y2405" s="22"/>
      <c r="Z2405" s="22"/>
      <c r="AA2405" s="22"/>
      <c r="AB2405" s="22"/>
      <c r="AC2405" s="22"/>
      <c r="AD2405" s="22"/>
      <c r="AE2405" s="22"/>
      <c r="AF2405" s="22"/>
      <c r="AG2405" s="22"/>
      <c r="AH2405" s="22"/>
      <c r="AI2405" s="22"/>
      <c r="AJ2405" s="22"/>
    </row>
    <row r="2406" spans="1:36" x14ac:dyDescent="0.25">
      <c r="A2406" s="22" t="s">
        <v>5345</v>
      </c>
      <c r="B2406" s="22">
        <v>0</v>
      </c>
      <c r="C2406" s="22"/>
      <c r="D2406" s="22"/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  <c r="O2406" s="22"/>
      <c r="P2406" s="22"/>
      <c r="Q2406" s="22"/>
      <c r="R2406" s="22"/>
      <c r="S2406" s="22"/>
      <c r="T2406" s="22"/>
      <c r="U2406" s="22"/>
      <c r="V2406" s="22"/>
      <c r="W2406" s="22"/>
      <c r="X2406" s="22"/>
      <c r="Y2406" s="22"/>
      <c r="Z2406" s="22"/>
      <c r="AA2406" s="22"/>
      <c r="AB2406" s="22"/>
      <c r="AC2406" s="22"/>
      <c r="AD2406" s="22"/>
      <c r="AE2406" s="22"/>
      <c r="AF2406" s="22"/>
      <c r="AG2406" s="22"/>
      <c r="AH2406" s="22"/>
      <c r="AI2406" s="22"/>
      <c r="AJ2406" s="22"/>
    </row>
    <row r="2407" spans="1:36" x14ac:dyDescent="0.25">
      <c r="A2407" s="22" t="s">
        <v>5346</v>
      </c>
      <c r="B2407" s="22">
        <v>0</v>
      </c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  <c r="O2407" s="22"/>
      <c r="P2407" s="22"/>
      <c r="Q2407" s="22"/>
      <c r="R2407" s="22"/>
      <c r="S2407" s="22"/>
      <c r="T2407" s="22"/>
      <c r="U2407" s="22"/>
      <c r="V2407" s="22"/>
      <c r="W2407" s="22"/>
      <c r="X2407" s="22"/>
      <c r="Y2407" s="22"/>
      <c r="Z2407" s="22"/>
      <c r="AA2407" s="22"/>
      <c r="AB2407" s="22"/>
      <c r="AC2407" s="22"/>
      <c r="AD2407" s="22"/>
      <c r="AE2407" s="22"/>
      <c r="AF2407" s="22"/>
      <c r="AG2407" s="22"/>
      <c r="AH2407" s="22"/>
      <c r="AI2407" s="22"/>
      <c r="AJ2407" s="22"/>
    </row>
    <row r="2408" spans="1:36" x14ac:dyDescent="0.25">
      <c r="A2408" s="22" t="s">
        <v>5347</v>
      </c>
      <c r="B2408" s="22">
        <v>0</v>
      </c>
      <c r="C2408" s="22"/>
      <c r="D2408" s="22"/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  <c r="O2408" s="22"/>
      <c r="P2408" s="22"/>
      <c r="Q2408" s="22"/>
      <c r="R2408" s="22"/>
      <c r="S2408" s="22"/>
      <c r="T2408" s="22"/>
      <c r="U2408" s="22"/>
      <c r="V2408" s="22"/>
      <c r="W2408" s="22"/>
      <c r="X2408" s="22"/>
      <c r="Y2408" s="22"/>
      <c r="Z2408" s="22"/>
      <c r="AA2408" s="22"/>
      <c r="AB2408" s="22"/>
      <c r="AC2408" s="22"/>
      <c r="AD2408" s="22"/>
      <c r="AE2408" s="22"/>
      <c r="AF2408" s="22"/>
      <c r="AG2408" s="22"/>
      <c r="AH2408" s="22"/>
      <c r="AI2408" s="22"/>
      <c r="AJ2408" s="22"/>
    </row>
    <row r="2409" spans="1:36" x14ac:dyDescent="0.25">
      <c r="A2409" s="22" t="s">
        <v>5348</v>
      </c>
      <c r="B2409" s="22">
        <v>0</v>
      </c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  <c r="O2409" s="22"/>
      <c r="P2409" s="22"/>
      <c r="Q2409" s="22"/>
      <c r="R2409" s="22"/>
      <c r="S2409" s="22"/>
      <c r="T2409" s="22"/>
      <c r="U2409" s="22"/>
      <c r="V2409" s="22"/>
      <c r="W2409" s="22"/>
      <c r="X2409" s="22"/>
      <c r="Y2409" s="22"/>
      <c r="Z2409" s="22"/>
      <c r="AA2409" s="22"/>
      <c r="AB2409" s="22"/>
      <c r="AC2409" s="22"/>
      <c r="AD2409" s="22"/>
      <c r="AE2409" s="22"/>
      <c r="AF2409" s="22"/>
      <c r="AG2409" s="22"/>
      <c r="AH2409" s="22"/>
      <c r="AI2409" s="22"/>
      <c r="AJ2409" s="22"/>
    </row>
    <row r="2410" spans="1:36" x14ac:dyDescent="0.25">
      <c r="A2410" s="22" t="s">
        <v>5349</v>
      </c>
      <c r="B2410" s="22">
        <v>0</v>
      </c>
      <c r="C2410" s="22"/>
      <c r="D2410" s="22"/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  <c r="O2410" s="22"/>
      <c r="P2410" s="22"/>
      <c r="Q2410" s="22"/>
      <c r="R2410" s="22"/>
      <c r="S2410" s="22"/>
      <c r="T2410" s="22"/>
      <c r="U2410" s="22"/>
      <c r="V2410" s="22"/>
      <c r="W2410" s="22"/>
      <c r="X2410" s="22"/>
      <c r="Y2410" s="22"/>
      <c r="Z2410" s="22"/>
      <c r="AA2410" s="22"/>
      <c r="AB2410" s="22"/>
      <c r="AC2410" s="22"/>
      <c r="AD2410" s="22"/>
      <c r="AE2410" s="22"/>
      <c r="AF2410" s="22"/>
      <c r="AG2410" s="22"/>
      <c r="AH2410" s="22"/>
      <c r="AI2410" s="22"/>
      <c r="AJ2410" s="22"/>
    </row>
    <row r="2411" spans="1:36" x14ac:dyDescent="0.25">
      <c r="A2411" s="22" t="s">
        <v>5350</v>
      </c>
      <c r="B2411" s="22">
        <v>0</v>
      </c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  <c r="O2411" s="22"/>
      <c r="P2411" s="22"/>
      <c r="Q2411" s="22"/>
      <c r="R2411" s="22"/>
      <c r="S2411" s="22"/>
      <c r="T2411" s="22"/>
      <c r="U2411" s="22"/>
      <c r="V2411" s="22"/>
      <c r="W2411" s="22"/>
      <c r="X2411" s="22"/>
      <c r="Y2411" s="22"/>
      <c r="Z2411" s="22"/>
      <c r="AA2411" s="22"/>
      <c r="AB2411" s="22"/>
      <c r="AC2411" s="22"/>
      <c r="AD2411" s="22"/>
      <c r="AE2411" s="22"/>
      <c r="AF2411" s="22"/>
      <c r="AG2411" s="22"/>
      <c r="AH2411" s="22"/>
      <c r="AI2411" s="22"/>
      <c r="AJ2411" s="22"/>
    </row>
    <row r="2412" spans="1:36" x14ac:dyDescent="0.25">
      <c r="A2412" s="22" t="s">
        <v>5351</v>
      </c>
      <c r="B2412" s="22">
        <v>0</v>
      </c>
      <c r="C2412" s="22"/>
      <c r="D2412" s="22"/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  <c r="O2412" s="22"/>
      <c r="P2412" s="22"/>
      <c r="Q2412" s="22"/>
      <c r="R2412" s="22"/>
      <c r="S2412" s="22"/>
      <c r="T2412" s="22"/>
      <c r="U2412" s="22"/>
      <c r="V2412" s="22"/>
      <c r="W2412" s="22"/>
      <c r="X2412" s="22"/>
      <c r="Y2412" s="22"/>
      <c r="Z2412" s="22"/>
      <c r="AA2412" s="22"/>
      <c r="AB2412" s="22"/>
      <c r="AC2412" s="22"/>
      <c r="AD2412" s="22"/>
      <c r="AE2412" s="22"/>
      <c r="AF2412" s="22"/>
      <c r="AG2412" s="22"/>
      <c r="AH2412" s="22"/>
      <c r="AI2412" s="22"/>
      <c r="AJ2412" s="22"/>
    </row>
    <row r="2413" spans="1:36" x14ac:dyDescent="0.25">
      <c r="A2413" s="22" t="s">
        <v>5352</v>
      </c>
      <c r="B2413" s="22">
        <v>0</v>
      </c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  <c r="O2413" s="22"/>
      <c r="P2413" s="22"/>
      <c r="Q2413" s="22"/>
      <c r="R2413" s="22"/>
      <c r="S2413" s="22"/>
      <c r="T2413" s="22"/>
      <c r="U2413" s="22"/>
      <c r="V2413" s="22"/>
      <c r="W2413" s="22"/>
      <c r="X2413" s="22"/>
      <c r="Y2413" s="22"/>
      <c r="Z2413" s="22"/>
      <c r="AA2413" s="22"/>
      <c r="AB2413" s="22"/>
      <c r="AC2413" s="22"/>
      <c r="AD2413" s="22"/>
      <c r="AE2413" s="22"/>
      <c r="AF2413" s="22"/>
      <c r="AG2413" s="22"/>
      <c r="AH2413" s="22"/>
      <c r="AI2413" s="22"/>
      <c r="AJ2413" s="22"/>
    </row>
    <row r="2414" spans="1:36" x14ac:dyDescent="0.25">
      <c r="A2414" s="22" t="s">
        <v>4244</v>
      </c>
      <c r="B2414" s="22">
        <v>69</v>
      </c>
      <c r="C2414" s="22"/>
      <c r="D2414" s="22"/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  <c r="O2414" s="22"/>
      <c r="P2414" s="22"/>
      <c r="Q2414" s="22"/>
      <c r="R2414" s="22"/>
      <c r="S2414" s="22"/>
      <c r="T2414" s="22"/>
      <c r="U2414" s="22"/>
      <c r="V2414" s="22"/>
      <c r="W2414" s="22"/>
      <c r="X2414" s="22"/>
      <c r="Y2414" s="22"/>
      <c r="Z2414" s="22"/>
      <c r="AA2414" s="22"/>
      <c r="AB2414" s="22"/>
      <c r="AC2414" s="22"/>
      <c r="AD2414" s="22"/>
      <c r="AE2414" s="22"/>
      <c r="AF2414" s="22"/>
      <c r="AG2414" s="22"/>
      <c r="AH2414" s="22"/>
      <c r="AI2414" s="22"/>
      <c r="AJ2414" s="22"/>
    </row>
    <row r="2415" spans="1:36" x14ac:dyDescent="0.25">
      <c r="A2415" s="22" t="s">
        <v>4245</v>
      </c>
      <c r="B2415" s="22">
        <v>0</v>
      </c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  <c r="O2415" s="22"/>
      <c r="P2415" s="22"/>
      <c r="Q2415" s="22"/>
      <c r="R2415" s="22"/>
      <c r="S2415" s="22"/>
      <c r="T2415" s="22"/>
      <c r="U2415" s="22"/>
      <c r="V2415" s="22"/>
      <c r="W2415" s="22"/>
      <c r="X2415" s="22"/>
      <c r="Y2415" s="22"/>
      <c r="Z2415" s="22"/>
      <c r="AA2415" s="22"/>
      <c r="AB2415" s="22"/>
      <c r="AC2415" s="22"/>
      <c r="AD2415" s="22"/>
      <c r="AE2415" s="22"/>
      <c r="AF2415" s="22"/>
      <c r="AG2415" s="22"/>
      <c r="AH2415" s="22"/>
      <c r="AI2415" s="22"/>
      <c r="AJ2415" s="22"/>
    </row>
    <row r="2416" spans="1:36" x14ac:dyDescent="0.25">
      <c r="A2416" s="22" t="s">
        <v>4246</v>
      </c>
      <c r="B2416" s="22">
        <v>0</v>
      </c>
      <c r="C2416" s="22"/>
      <c r="D2416" s="22"/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  <c r="O2416" s="22"/>
      <c r="P2416" s="22"/>
      <c r="Q2416" s="22"/>
      <c r="R2416" s="22"/>
      <c r="S2416" s="22"/>
      <c r="T2416" s="22"/>
      <c r="U2416" s="22"/>
      <c r="V2416" s="22"/>
      <c r="W2416" s="22"/>
      <c r="X2416" s="22"/>
      <c r="Y2416" s="22"/>
      <c r="Z2416" s="22"/>
      <c r="AA2416" s="22"/>
      <c r="AB2416" s="22"/>
      <c r="AC2416" s="22"/>
      <c r="AD2416" s="22"/>
      <c r="AE2416" s="22"/>
      <c r="AF2416" s="22"/>
      <c r="AG2416" s="22"/>
      <c r="AH2416" s="22"/>
      <c r="AI2416" s="22"/>
      <c r="AJ2416" s="22"/>
    </row>
    <row r="2417" spans="1:36" x14ac:dyDescent="0.25">
      <c r="A2417" s="22" t="s">
        <v>4247</v>
      </c>
      <c r="B2417" s="22">
        <v>0</v>
      </c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  <c r="O2417" s="22"/>
      <c r="P2417" s="22"/>
      <c r="Q2417" s="22"/>
      <c r="R2417" s="22"/>
      <c r="S2417" s="22"/>
      <c r="T2417" s="22"/>
      <c r="U2417" s="22"/>
      <c r="V2417" s="22"/>
      <c r="W2417" s="22"/>
      <c r="X2417" s="22"/>
      <c r="Y2417" s="22"/>
      <c r="Z2417" s="22"/>
      <c r="AA2417" s="22"/>
      <c r="AB2417" s="22"/>
      <c r="AC2417" s="22"/>
      <c r="AD2417" s="22"/>
      <c r="AE2417" s="22"/>
      <c r="AF2417" s="22"/>
      <c r="AG2417" s="22"/>
      <c r="AH2417" s="22"/>
      <c r="AI2417" s="22"/>
      <c r="AJ2417" s="22"/>
    </row>
    <row r="2418" spans="1:36" x14ac:dyDescent="0.25">
      <c r="A2418" s="22" t="s">
        <v>4248</v>
      </c>
      <c r="B2418" s="22">
        <v>0</v>
      </c>
      <c r="C2418" s="22"/>
      <c r="D2418" s="22"/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  <c r="O2418" s="22"/>
      <c r="P2418" s="22"/>
      <c r="Q2418" s="22"/>
      <c r="R2418" s="22"/>
      <c r="S2418" s="22"/>
      <c r="T2418" s="22"/>
      <c r="U2418" s="22"/>
      <c r="V2418" s="22"/>
      <c r="W2418" s="22"/>
      <c r="X2418" s="22"/>
      <c r="Y2418" s="22"/>
      <c r="Z2418" s="22"/>
      <c r="AA2418" s="22"/>
      <c r="AB2418" s="22"/>
      <c r="AC2418" s="22"/>
      <c r="AD2418" s="22"/>
      <c r="AE2418" s="22"/>
      <c r="AF2418" s="22"/>
      <c r="AG2418" s="22"/>
      <c r="AH2418" s="22"/>
      <c r="AI2418" s="22"/>
      <c r="AJ2418" s="22"/>
    </row>
    <row r="2419" spans="1:36" x14ac:dyDescent="0.25">
      <c r="A2419" s="22" t="s">
        <v>4249</v>
      </c>
      <c r="B2419" s="22">
        <v>0</v>
      </c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  <c r="O2419" s="22"/>
      <c r="P2419" s="22"/>
      <c r="Q2419" s="22"/>
      <c r="R2419" s="22"/>
      <c r="S2419" s="22"/>
      <c r="T2419" s="22"/>
      <c r="U2419" s="22"/>
      <c r="V2419" s="22"/>
      <c r="W2419" s="22"/>
      <c r="X2419" s="22"/>
      <c r="Y2419" s="22"/>
      <c r="Z2419" s="22"/>
      <c r="AA2419" s="22"/>
      <c r="AB2419" s="22"/>
      <c r="AC2419" s="22"/>
      <c r="AD2419" s="22"/>
      <c r="AE2419" s="22"/>
      <c r="AF2419" s="22"/>
      <c r="AG2419" s="22"/>
      <c r="AH2419" s="22"/>
      <c r="AI2419" s="22"/>
      <c r="AJ2419" s="22"/>
    </row>
    <row r="2420" spans="1:36" x14ac:dyDescent="0.25">
      <c r="A2420" s="22" t="s">
        <v>4250</v>
      </c>
      <c r="B2420" s="22">
        <v>0</v>
      </c>
      <c r="C2420" s="22"/>
      <c r="D2420" s="22"/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  <c r="O2420" s="22"/>
      <c r="P2420" s="22"/>
      <c r="Q2420" s="22"/>
      <c r="R2420" s="22"/>
      <c r="S2420" s="22"/>
      <c r="T2420" s="22"/>
      <c r="U2420" s="22"/>
      <c r="V2420" s="22"/>
      <c r="W2420" s="22"/>
      <c r="X2420" s="22"/>
      <c r="Y2420" s="22"/>
      <c r="Z2420" s="22"/>
      <c r="AA2420" s="22"/>
      <c r="AB2420" s="22"/>
      <c r="AC2420" s="22"/>
      <c r="AD2420" s="22"/>
      <c r="AE2420" s="22"/>
      <c r="AF2420" s="22"/>
      <c r="AG2420" s="22"/>
      <c r="AH2420" s="22"/>
      <c r="AI2420" s="22"/>
      <c r="AJ2420" s="22"/>
    </row>
    <row r="2421" spans="1:36" x14ac:dyDescent="0.25">
      <c r="A2421" s="22" t="s">
        <v>4251</v>
      </c>
      <c r="B2421" s="22">
        <v>0</v>
      </c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  <c r="O2421" s="22"/>
      <c r="P2421" s="22"/>
      <c r="Q2421" s="22"/>
      <c r="R2421" s="22"/>
      <c r="S2421" s="22"/>
      <c r="T2421" s="22"/>
      <c r="U2421" s="22"/>
      <c r="V2421" s="22"/>
      <c r="W2421" s="22"/>
      <c r="X2421" s="22"/>
      <c r="Y2421" s="22"/>
      <c r="Z2421" s="22"/>
      <c r="AA2421" s="22"/>
      <c r="AB2421" s="22"/>
      <c r="AC2421" s="22"/>
      <c r="AD2421" s="22"/>
      <c r="AE2421" s="22"/>
      <c r="AF2421" s="22"/>
      <c r="AG2421" s="22"/>
      <c r="AH2421" s="22"/>
      <c r="AI2421" s="22"/>
      <c r="AJ2421" s="22"/>
    </row>
    <row r="2422" spans="1:36" x14ac:dyDescent="0.25">
      <c r="A2422" s="22" t="s">
        <v>459</v>
      </c>
      <c r="B2422" s="22">
        <v>22</v>
      </c>
      <c r="C2422" s="22"/>
      <c r="D2422" s="22"/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  <c r="O2422" s="22"/>
      <c r="P2422" s="22"/>
      <c r="Q2422" s="22"/>
      <c r="R2422" s="22"/>
      <c r="S2422" s="22"/>
      <c r="T2422" s="22"/>
      <c r="U2422" s="22"/>
      <c r="V2422" s="22"/>
      <c r="W2422" s="22"/>
      <c r="X2422" s="22"/>
      <c r="Y2422" s="22"/>
      <c r="Z2422" s="22"/>
      <c r="AA2422" s="22"/>
      <c r="AB2422" s="22"/>
      <c r="AC2422" s="22"/>
      <c r="AD2422" s="22"/>
      <c r="AE2422" s="22"/>
      <c r="AF2422" s="22"/>
      <c r="AG2422" s="22"/>
      <c r="AH2422" s="22"/>
      <c r="AI2422" s="22"/>
      <c r="AJ2422" s="22"/>
    </row>
    <row r="2423" spans="1:36" x14ac:dyDescent="0.25">
      <c r="A2423" s="22" t="s">
        <v>4252</v>
      </c>
      <c r="B2423" s="22">
        <v>0</v>
      </c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  <c r="O2423" s="22"/>
      <c r="P2423" s="22"/>
      <c r="Q2423" s="22"/>
      <c r="R2423" s="22"/>
      <c r="S2423" s="22"/>
      <c r="T2423" s="22"/>
      <c r="U2423" s="22"/>
      <c r="V2423" s="22"/>
      <c r="W2423" s="22"/>
      <c r="X2423" s="22"/>
      <c r="Y2423" s="22"/>
      <c r="Z2423" s="22"/>
      <c r="AA2423" s="22"/>
      <c r="AB2423" s="22"/>
      <c r="AC2423" s="22"/>
      <c r="AD2423" s="22"/>
      <c r="AE2423" s="22"/>
      <c r="AF2423" s="22"/>
      <c r="AG2423" s="22"/>
      <c r="AH2423" s="22"/>
      <c r="AI2423" s="22"/>
      <c r="AJ2423" s="22"/>
    </row>
    <row r="2424" spans="1:36" x14ac:dyDescent="0.25">
      <c r="A2424" s="22" t="s">
        <v>4253</v>
      </c>
      <c r="B2424" s="22">
        <v>0</v>
      </c>
      <c r="C2424" s="22"/>
      <c r="D2424" s="22"/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  <c r="O2424" s="22"/>
      <c r="P2424" s="22"/>
      <c r="Q2424" s="22"/>
      <c r="R2424" s="22"/>
      <c r="S2424" s="22"/>
      <c r="T2424" s="22"/>
      <c r="U2424" s="22"/>
      <c r="V2424" s="22"/>
      <c r="W2424" s="22"/>
      <c r="X2424" s="22"/>
      <c r="Y2424" s="22"/>
      <c r="Z2424" s="22"/>
      <c r="AA2424" s="22"/>
      <c r="AB2424" s="22"/>
      <c r="AC2424" s="22"/>
      <c r="AD2424" s="22"/>
      <c r="AE2424" s="22"/>
      <c r="AF2424" s="22"/>
      <c r="AG2424" s="22"/>
      <c r="AH2424" s="22"/>
      <c r="AI2424" s="22"/>
      <c r="AJ2424" s="22"/>
    </row>
    <row r="2425" spans="1:36" x14ac:dyDescent="0.25">
      <c r="A2425" s="22" t="s">
        <v>4254</v>
      </c>
      <c r="B2425" s="22">
        <v>0</v>
      </c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  <c r="O2425" s="22"/>
      <c r="P2425" s="22"/>
      <c r="Q2425" s="22"/>
      <c r="R2425" s="22"/>
      <c r="S2425" s="22"/>
      <c r="T2425" s="22"/>
      <c r="U2425" s="22"/>
      <c r="V2425" s="22"/>
      <c r="W2425" s="22"/>
      <c r="X2425" s="22"/>
      <c r="Y2425" s="22"/>
      <c r="Z2425" s="22"/>
      <c r="AA2425" s="22"/>
      <c r="AB2425" s="22"/>
      <c r="AC2425" s="22"/>
      <c r="AD2425" s="22"/>
      <c r="AE2425" s="22"/>
      <c r="AF2425" s="22"/>
      <c r="AG2425" s="22"/>
      <c r="AH2425" s="22"/>
      <c r="AI2425" s="22"/>
      <c r="AJ2425" s="22"/>
    </row>
    <row r="2426" spans="1:36" x14ac:dyDescent="0.25">
      <c r="A2426" s="22" t="s">
        <v>4255</v>
      </c>
      <c r="B2426" s="22">
        <v>0</v>
      </c>
      <c r="C2426" s="22"/>
      <c r="D2426" s="22"/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  <c r="O2426" s="22"/>
      <c r="P2426" s="22"/>
      <c r="Q2426" s="22"/>
      <c r="R2426" s="22"/>
      <c r="S2426" s="22"/>
      <c r="T2426" s="22"/>
      <c r="U2426" s="22"/>
      <c r="V2426" s="22"/>
      <c r="W2426" s="22"/>
      <c r="X2426" s="22"/>
      <c r="Y2426" s="22"/>
      <c r="Z2426" s="22"/>
      <c r="AA2426" s="22"/>
      <c r="AB2426" s="22"/>
      <c r="AC2426" s="22"/>
      <c r="AD2426" s="22"/>
      <c r="AE2426" s="22"/>
      <c r="AF2426" s="22"/>
      <c r="AG2426" s="22"/>
      <c r="AH2426" s="22"/>
      <c r="AI2426" s="22"/>
      <c r="AJ2426" s="22"/>
    </row>
    <row r="2427" spans="1:36" x14ac:dyDescent="0.25">
      <c r="A2427" s="22" t="s">
        <v>4256</v>
      </c>
      <c r="B2427" s="22">
        <v>0</v>
      </c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  <c r="O2427" s="22"/>
      <c r="P2427" s="22"/>
      <c r="Q2427" s="22"/>
      <c r="R2427" s="22"/>
      <c r="S2427" s="22"/>
      <c r="T2427" s="22"/>
      <c r="U2427" s="22"/>
      <c r="V2427" s="22"/>
      <c r="W2427" s="22"/>
      <c r="X2427" s="22"/>
      <c r="Y2427" s="22"/>
      <c r="Z2427" s="22"/>
      <c r="AA2427" s="22"/>
      <c r="AB2427" s="22"/>
      <c r="AC2427" s="22"/>
      <c r="AD2427" s="22"/>
      <c r="AE2427" s="22"/>
      <c r="AF2427" s="22"/>
      <c r="AG2427" s="22"/>
      <c r="AH2427" s="22"/>
      <c r="AI2427" s="22"/>
      <c r="AJ2427" s="22"/>
    </row>
    <row r="2428" spans="1:36" x14ac:dyDescent="0.25">
      <c r="A2428" s="22" t="s">
        <v>4257</v>
      </c>
      <c r="B2428" s="22">
        <v>0</v>
      </c>
      <c r="C2428" s="22"/>
      <c r="D2428" s="22"/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  <c r="O2428" s="22"/>
      <c r="P2428" s="22"/>
      <c r="Q2428" s="22"/>
      <c r="R2428" s="22"/>
      <c r="S2428" s="22"/>
      <c r="T2428" s="22"/>
      <c r="U2428" s="22"/>
      <c r="V2428" s="22"/>
      <c r="W2428" s="22"/>
      <c r="X2428" s="22"/>
      <c r="Y2428" s="22"/>
      <c r="Z2428" s="22"/>
      <c r="AA2428" s="22"/>
      <c r="AB2428" s="22"/>
      <c r="AC2428" s="22"/>
      <c r="AD2428" s="22"/>
      <c r="AE2428" s="22"/>
      <c r="AF2428" s="22"/>
      <c r="AG2428" s="22"/>
      <c r="AH2428" s="22"/>
      <c r="AI2428" s="22"/>
      <c r="AJ2428" s="22"/>
    </row>
    <row r="2429" spans="1:36" x14ac:dyDescent="0.25">
      <c r="A2429" s="22" t="s">
        <v>4258</v>
      </c>
      <c r="B2429" s="22">
        <v>0</v>
      </c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  <c r="O2429" s="22"/>
      <c r="P2429" s="22"/>
      <c r="Q2429" s="22"/>
      <c r="R2429" s="22"/>
      <c r="S2429" s="22"/>
      <c r="T2429" s="22"/>
      <c r="U2429" s="22"/>
      <c r="V2429" s="22"/>
      <c r="W2429" s="22"/>
      <c r="X2429" s="22"/>
      <c r="Y2429" s="22"/>
      <c r="Z2429" s="22"/>
      <c r="AA2429" s="22"/>
      <c r="AB2429" s="22"/>
      <c r="AC2429" s="22"/>
      <c r="AD2429" s="22"/>
      <c r="AE2429" s="22"/>
      <c r="AF2429" s="22"/>
      <c r="AG2429" s="22"/>
      <c r="AH2429" s="22"/>
      <c r="AI2429" s="22"/>
      <c r="AJ2429" s="22"/>
    </row>
    <row r="2430" spans="1:36" x14ac:dyDescent="0.25">
      <c r="A2430" s="22" t="s">
        <v>4259</v>
      </c>
      <c r="B2430" s="22">
        <v>103</v>
      </c>
      <c r="C2430" s="22"/>
      <c r="D2430" s="22"/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  <c r="O2430" s="22"/>
      <c r="P2430" s="22"/>
      <c r="Q2430" s="22"/>
      <c r="R2430" s="22"/>
      <c r="S2430" s="22"/>
      <c r="T2430" s="22"/>
      <c r="U2430" s="22"/>
      <c r="V2430" s="22"/>
      <c r="W2430" s="22"/>
      <c r="X2430" s="22"/>
      <c r="Y2430" s="22"/>
      <c r="Z2430" s="22"/>
      <c r="AA2430" s="22"/>
      <c r="AB2430" s="22"/>
      <c r="AC2430" s="22"/>
      <c r="AD2430" s="22"/>
      <c r="AE2430" s="22"/>
      <c r="AF2430" s="22"/>
      <c r="AG2430" s="22"/>
      <c r="AH2430" s="22"/>
      <c r="AI2430" s="22"/>
      <c r="AJ2430" s="22"/>
    </row>
    <row r="2431" spans="1:36" x14ac:dyDescent="0.25">
      <c r="A2431" s="22" t="s">
        <v>4260</v>
      </c>
      <c r="B2431" s="22">
        <v>0</v>
      </c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  <c r="O2431" s="22"/>
      <c r="P2431" s="22"/>
      <c r="Q2431" s="22"/>
      <c r="R2431" s="22"/>
      <c r="S2431" s="22"/>
      <c r="T2431" s="22"/>
      <c r="U2431" s="22"/>
      <c r="V2431" s="22"/>
      <c r="W2431" s="22"/>
      <c r="X2431" s="22"/>
      <c r="Y2431" s="22"/>
      <c r="Z2431" s="22"/>
      <c r="AA2431" s="22"/>
      <c r="AB2431" s="22"/>
      <c r="AC2431" s="22"/>
      <c r="AD2431" s="22"/>
      <c r="AE2431" s="22"/>
      <c r="AF2431" s="22"/>
      <c r="AG2431" s="22"/>
      <c r="AH2431" s="22"/>
      <c r="AI2431" s="22"/>
      <c r="AJ2431" s="22"/>
    </row>
    <row r="2432" spans="1:36" x14ac:dyDescent="0.25">
      <c r="A2432" s="22" t="s">
        <v>4261</v>
      </c>
      <c r="B2432" s="22">
        <v>0</v>
      </c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  <c r="O2432" s="22"/>
      <c r="P2432" s="22"/>
      <c r="Q2432" s="22"/>
      <c r="R2432" s="22"/>
      <c r="S2432" s="22"/>
      <c r="T2432" s="22"/>
      <c r="U2432" s="22"/>
      <c r="V2432" s="22"/>
      <c r="W2432" s="22"/>
      <c r="X2432" s="22"/>
      <c r="Y2432" s="22"/>
      <c r="Z2432" s="22"/>
      <c r="AA2432" s="22"/>
      <c r="AB2432" s="22"/>
      <c r="AC2432" s="22"/>
      <c r="AD2432" s="22"/>
      <c r="AE2432" s="22"/>
      <c r="AF2432" s="22"/>
      <c r="AG2432" s="22"/>
      <c r="AH2432" s="22"/>
      <c r="AI2432" s="22"/>
      <c r="AJ2432" s="22"/>
    </row>
    <row r="2433" spans="1:36" x14ac:dyDescent="0.25">
      <c r="A2433" s="22" t="s">
        <v>4262</v>
      </c>
      <c r="B2433" s="22">
        <v>0</v>
      </c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  <c r="O2433" s="22"/>
      <c r="P2433" s="22"/>
      <c r="Q2433" s="22"/>
      <c r="R2433" s="22"/>
      <c r="S2433" s="22"/>
      <c r="T2433" s="22"/>
      <c r="U2433" s="22"/>
      <c r="V2433" s="22"/>
      <c r="W2433" s="22"/>
      <c r="X2433" s="22"/>
      <c r="Y2433" s="22"/>
      <c r="Z2433" s="22"/>
      <c r="AA2433" s="22"/>
      <c r="AB2433" s="22"/>
      <c r="AC2433" s="22"/>
      <c r="AD2433" s="22"/>
      <c r="AE2433" s="22"/>
      <c r="AF2433" s="22"/>
      <c r="AG2433" s="22"/>
      <c r="AH2433" s="22"/>
      <c r="AI2433" s="22"/>
      <c r="AJ2433" s="22"/>
    </row>
    <row r="2434" spans="1:36" x14ac:dyDescent="0.25">
      <c r="A2434" s="22" t="s">
        <v>4263</v>
      </c>
      <c r="B2434" s="22">
        <v>2</v>
      </c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  <c r="O2434" s="22"/>
      <c r="P2434" s="22"/>
      <c r="Q2434" s="22"/>
      <c r="R2434" s="22"/>
      <c r="S2434" s="22"/>
      <c r="T2434" s="22"/>
      <c r="U2434" s="22"/>
      <c r="V2434" s="22"/>
      <c r="W2434" s="22"/>
      <c r="X2434" s="22"/>
      <c r="Y2434" s="22"/>
      <c r="Z2434" s="22"/>
      <c r="AA2434" s="22"/>
      <c r="AB2434" s="22"/>
      <c r="AC2434" s="22"/>
      <c r="AD2434" s="22"/>
      <c r="AE2434" s="22"/>
      <c r="AF2434" s="22"/>
      <c r="AG2434" s="22"/>
      <c r="AH2434" s="22"/>
      <c r="AI2434" s="22"/>
      <c r="AJ2434" s="22"/>
    </row>
    <row r="2435" spans="1:36" x14ac:dyDescent="0.25">
      <c r="A2435" s="22" t="s">
        <v>4264</v>
      </c>
      <c r="B2435" s="22">
        <v>0</v>
      </c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  <c r="O2435" s="22"/>
      <c r="P2435" s="22"/>
      <c r="Q2435" s="22"/>
      <c r="R2435" s="22"/>
      <c r="S2435" s="22"/>
      <c r="T2435" s="22"/>
      <c r="U2435" s="22"/>
      <c r="V2435" s="22"/>
      <c r="W2435" s="22"/>
      <c r="X2435" s="22"/>
      <c r="Y2435" s="22"/>
      <c r="Z2435" s="22"/>
      <c r="AA2435" s="22"/>
      <c r="AB2435" s="22"/>
      <c r="AC2435" s="22"/>
      <c r="AD2435" s="22"/>
      <c r="AE2435" s="22"/>
      <c r="AF2435" s="22"/>
      <c r="AG2435" s="22"/>
      <c r="AH2435" s="22"/>
      <c r="AI2435" s="22"/>
      <c r="AJ2435" s="22"/>
    </row>
    <row r="2436" spans="1:36" x14ac:dyDescent="0.25">
      <c r="A2436" s="22" t="s">
        <v>4265</v>
      </c>
      <c r="B2436" s="22">
        <v>0</v>
      </c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  <c r="O2436" s="22"/>
      <c r="P2436" s="22"/>
      <c r="Q2436" s="22"/>
      <c r="R2436" s="22"/>
      <c r="S2436" s="22"/>
      <c r="T2436" s="22"/>
      <c r="U2436" s="22"/>
      <c r="V2436" s="22"/>
      <c r="W2436" s="22"/>
      <c r="X2436" s="22"/>
      <c r="Y2436" s="22"/>
      <c r="Z2436" s="22"/>
      <c r="AA2436" s="22"/>
      <c r="AB2436" s="22"/>
      <c r="AC2436" s="22"/>
      <c r="AD2436" s="22"/>
      <c r="AE2436" s="22"/>
      <c r="AF2436" s="22"/>
      <c r="AG2436" s="22"/>
      <c r="AH2436" s="22"/>
      <c r="AI2436" s="22"/>
      <c r="AJ2436" s="22"/>
    </row>
    <row r="2437" spans="1:36" x14ac:dyDescent="0.25">
      <c r="A2437" s="22" t="s">
        <v>4266</v>
      </c>
      <c r="B2437" s="22">
        <v>0</v>
      </c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  <c r="O2437" s="22"/>
      <c r="P2437" s="22"/>
      <c r="Q2437" s="22"/>
      <c r="R2437" s="22"/>
      <c r="S2437" s="22"/>
      <c r="T2437" s="22"/>
      <c r="U2437" s="22"/>
      <c r="V2437" s="22"/>
      <c r="W2437" s="22"/>
      <c r="X2437" s="22"/>
      <c r="Y2437" s="22"/>
      <c r="Z2437" s="22"/>
      <c r="AA2437" s="22"/>
      <c r="AB2437" s="22"/>
      <c r="AC2437" s="22"/>
      <c r="AD2437" s="22"/>
      <c r="AE2437" s="22"/>
      <c r="AF2437" s="22"/>
      <c r="AG2437" s="22"/>
      <c r="AH2437" s="22"/>
      <c r="AI2437" s="22"/>
      <c r="AJ2437" s="22"/>
    </row>
    <row r="2438" spans="1:36" x14ac:dyDescent="0.25">
      <c r="A2438" s="22" t="s">
        <v>460</v>
      </c>
      <c r="B2438" s="22">
        <v>0</v>
      </c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  <c r="O2438" s="22"/>
      <c r="P2438" s="22"/>
      <c r="Q2438" s="22"/>
      <c r="R2438" s="22"/>
      <c r="S2438" s="22"/>
      <c r="T2438" s="22"/>
      <c r="U2438" s="22"/>
      <c r="V2438" s="22"/>
      <c r="W2438" s="22"/>
      <c r="X2438" s="22"/>
      <c r="Y2438" s="22"/>
      <c r="Z2438" s="22"/>
      <c r="AA2438" s="22"/>
      <c r="AB2438" s="22"/>
      <c r="AC2438" s="22"/>
      <c r="AD2438" s="22"/>
      <c r="AE2438" s="22"/>
      <c r="AF2438" s="22"/>
      <c r="AG2438" s="22"/>
      <c r="AH2438" s="22"/>
      <c r="AI2438" s="22"/>
      <c r="AJ2438" s="22"/>
    </row>
    <row r="2439" spans="1:36" x14ac:dyDescent="0.25">
      <c r="A2439" s="22" t="s">
        <v>3383</v>
      </c>
      <c r="B2439" s="22">
        <v>0</v>
      </c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  <c r="O2439" s="22"/>
      <c r="P2439" s="22"/>
      <c r="Q2439" s="22"/>
      <c r="R2439" s="22"/>
      <c r="S2439" s="22"/>
      <c r="T2439" s="22"/>
      <c r="U2439" s="22"/>
      <c r="V2439" s="22"/>
      <c r="W2439" s="22"/>
      <c r="X2439" s="22"/>
      <c r="Y2439" s="22"/>
      <c r="Z2439" s="22"/>
      <c r="AA2439" s="22"/>
      <c r="AB2439" s="22"/>
      <c r="AC2439" s="22"/>
      <c r="AD2439" s="22"/>
      <c r="AE2439" s="22"/>
      <c r="AF2439" s="22"/>
      <c r="AG2439" s="22"/>
      <c r="AH2439" s="22"/>
      <c r="AI2439" s="22"/>
      <c r="AJ2439" s="22"/>
    </row>
    <row r="2440" spans="1:36" x14ac:dyDescent="0.25">
      <c r="A2440" s="22" t="s">
        <v>3384</v>
      </c>
      <c r="B2440" s="22">
        <v>0</v>
      </c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  <c r="O2440" s="22"/>
      <c r="P2440" s="22"/>
      <c r="Q2440" s="22"/>
      <c r="R2440" s="22"/>
      <c r="S2440" s="22"/>
      <c r="T2440" s="22"/>
      <c r="U2440" s="22"/>
      <c r="V2440" s="22"/>
      <c r="W2440" s="22"/>
      <c r="X2440" s="22"/>
      <c r="Y2440" s="22"/>
      <c r="Z2440" s="22"/>
      <c r="AA2440" s="22"/>
      <c r="AB2440" s="22"/>
      <c r="AC2440" s="22"/>
      <c r="AD2440" s="22"/>
      <c r="AE2440" s="22"/>
      <c r="AF2440" s="22"/>
      <c r="AG2440" s="22"/>
      <c r="AH2440" s="22"/>
      <c r="AI2440" s="22"/>
      <c r="AJ2440" s="22"/>
    </row>
    <row r="2441" spans="1:36" x14ac:dyDescent="0.25">
      <c r="A2441" s="22" t="s">
        <v>3385</v>
      </c>
      <c r="B2441" s="22">
        <v>0</v>
      </c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  <c r="O2441" s="22"/>
      <c r="P2441" s="22"/>
      <c r="Q2441" s="22"/>
      <c r="R2441" s="22"/>
      <c r="S2441" s="22"/>
      <c r="T2441" s="22"/>
      <c r="U2441" s="22"/>
      <c r="V2441" s="22"/>
      <c r="W2441" s="22"/>
      <c r="X2441" s="22"/>
      <c r="Y2441" s="22"/>
      <c r="Z2441" s="22"/>
      <c r="AA2441" s="22"/>
      <c r="AB2441" s="22"/>
      <c r="AC2441" s="22"/>
      <c r="AD2441" s="22"/>
      <c r="AE2441" s="22"/>
      <c r="AF2441" s="22"/>
      <c r="AG2441" s="22"/>
      <c r="AH2441" s="22"/>
      <c r="AI2441" s="22"/>
      <c r="AJ2441" s="22"/>
    </row>
    <row r="2442" spans="1:36" x14ac:dyDescent="0.25">
      <c r="A2442" s="22" t="s">
        <v>3386</v>
      </c>
      <c r="B2442" s="22">
        <v>0</v>
      </c>
      <c r="C2442" s="22"/>
      <c r="D2442" s="22"/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  <c r="O2442" s="22"/>
      <c r="P2442" s="22"/>
      <c r="Q2442" s="22"/>
      <c r="R2442" s="22"/>
      <c r="S2442" s="22"/>
      <c r="T2442" s="22"/>
      <c r="U2442" s="22"/>
      <c r="V2442" s="22"/>
      <c r="W2442" s="22"/>
      <c r="X2442" s="22"/>
      <c r="Y2442" s="22"/>
      <c r="Z2442" s="22"/>
      <c r="AA2442" s="22"/>
      <c r="AB2442" s="22"/>
      <c r="AC2442" s="22"/>
      <c r="AD2442" s="22"/>
      <c r="AE2442" s="22"/>
      <c r="AF2442" s="22"/>
      <c r="AG2442" s="22"/>
      <c r="AH2442" s="22"/>
      <c r="AI2442" s="22"/>
      <c r="AJ2442" s="22"/>
    </row>
    <row r="2443" spans="1:36" x14ac:dyDescent="0.25">
      <c r="A2443" s="22" t="s">
        <v>3387</v>
      </c>
      <c r="B2443" s="22">
        <v>0</v>
      </c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  <c r="O2443" s="22"/>
      <c r="P2443" s="22"/>
      <c r="Q2443" s="22"/>
      <c r="R2443" s="22"/>
      <c r="S2443" s="22"/>
      <c r="T2443" s="22"/>
      <c r="U2443" s="22"/>
      <c r="V2443" s="22"/>
      <c r="W2443" s="22"/>
      <c r="X2443" s="22"/>
      <c r="Y2443" s="22"/>
      <c r="Z2443" s="22"/>
      <c r="AA2443" s="22"/>
      <c r="AB2443" s="22"/>
      <c r="AC2443" s="22"/>
      <c r="AD2443" s="22"/>
      <c r="AE2443" s="22"/>
      <c r="AF2443" s="22"/>
      <c r="AG2443" s="22"/>
      <c r="AH2443" s="22"/>
      <c r="AI2443" s="22"/>
      <c r="AJ2443" s="22"/>
    </row>
    <row r="2444" spans="1:36" x14ac:dyDescent="0.25">
      <c r="A2444" s="22" t="s">
        <v>3388</v>
      </c>
      <c r="B2444" s="22">
        <v>0</v>
      </c>
      <c r="C2444" s="22"/>
      <c r="D2444" s="22"/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  <c r="O2444" s="22"/>
      <c r="P2444" s="22"/>
      <c r="Q2444" s="22"/>
      <c r="R2444" s="22"/>
      <c r="S2444" s="22"/>
      <c r="T2444" s="22"/>
      <c r="U2444" s="22"/>
      <c r="V2444" s="22"/>
      <c r="W2444" s="22"/>
      <c r="X2444" s="22"/>
      <c r="Y2444" s="22"/>
      <c r="Z2444" s="22"/>
      <c r="AA2444" s="22"/>
      <c r="AB2444" s="22"/>
      <c r="AC2444" s="22"/>
      <c r="AD2444" s="22"/>
      <c r="AE2444" s="22"/>
      <c r="AF2444" s="22"/>
      <c r="AG2444" s="22"/>
      <c r="AH2444" s="22"/>
      <c r="AI2444" s="22"/>
      <c r="AJ2444" s="22"/>
    </row>
    <row r="2445" spans="1:36" x14ac:dyDescent="0.25">
      <c r="A2445" s="22" t="s">
        <v>3389</v>
      </c>
      <c r="B2445" s="22">
        <v>0</v>
      </c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  <c r="O2445" s="22"/>
      <c r="P2445" s="22"/>
      <c r="Q2445" s="22"/>
      <c r="R2445" s="22"/>
      <c r="S2445" s="22"/>
      <c r="T2445" s="22"/>
      <c r="U2445" s="22"/>
      <c r="V2445" s="22"/>
      <c r="W2445" s="22"/>
      <c r="X2445" s="22"/>
      <c r="Y2445" s="22"/>
      <c r="Z2445" s="22"/>
      <c r="AA2445" s="22"/>
      <c r="AB2445" s="22"/>
      <c r="AC2445" s="22"/>
      <c r="AD2445" s="22"/>
      <c r="AE2445" s="22"/>
      <c r="AF2445" s="22"/>
      <c r="AG2445" s="22"/>
      <c r="AH2445" s="22"/>
      <c r="AI2445" s="22"/>
      <c r="AJ2445" s="22"/>
    </row>
    <row r="2446" spans="1:36" x14ac:dyDescent="0.25">
      <c r="A2446" s="22" t="s">
        <v>4267</v>
      </c>
      <c r="B2446" s="22">
        <v>0</v>
      </c>
      <c r="C2446" s="22"/>
      <c r="D2446" s="22"/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  <c r="O2446" s="22"/>
      <c r="P2446" s="22"/>
      <c r="Q2446" s="22"/>
      <c r="R2446" s="22"/>
      <c r="S2446" s="22"/>
      <c r="T2446" s="22"/>
      <c r="U2446" s="22"/>
      <c r="V2446" s="22"/>
      <c r="W2446" s="22"/>
      <c r="X2446" s="22"/>
      <c r="Y2446" s="22"/>
      <c r="Z2446" s="22"/>
      <c r="AA2446" s="22"/>
      <c r="AB2446" s="22"/>
      <c r="AC2446" s="22"/>
      <c r="AD2446" s="22"/>
      <c r="AE2446" s="22"/>
      <c r="AF2446" s="22"/>
      <c r="AG2446" s="22"/>
      <c r="AH2446" s="22"/>
      <c r="AI2446" s="22"/>
      <c r="AJ2446" s="22"/>
    </row>
    <row r="2447" spans="1:36" x14ac:dyDescent="0.25">
      <c r="A2447" s="22" t="s">
        <v>4268</v>
      </c>
      <c r="B2447" s="22">
        <v>0</v>
      </c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  <c r="O2447" s="22"/>
      <c r="P2447" s="22"/>
      <c r="Q2447" s="22"/>
      <c r="R2447" s="22"/>
      <c r="S2447" s="22"/>
      <c r="T2447" s="22"/>
      <c r="U2447" s="22"/>
      <c r="V2447" s="22"/>
      <c r="W2447" s="22"/>
      <c r="X2447" s="22"/>
      <c r="Y2447" s="22"/>
      <c r="Z2447" s="22"/>
      <c r="AA2447" s="22"/>
      <c r="AB2447" s="22"/>
      <c r="AC2447" s="22"/>
      <c r="AD2447" s="22"/>
      <c r="AE2447" s="22"/>
      <c r="AF2447" s="22"/>
      <c r="AG2447" s="22"/>
      <c r="AH2447" s="22"/>
      <c r="AI2447" s="22"/>
      <c r="AJ2447" s="22"/>
    </row>
    <row r="2448" spans="1:36" x14ac:dyDescent="0.25">
      <c r="A2448" s="22" t="s">
        <v>4269</v>
      </c>
      <c r="B2448" s="22">
        <v>0</v>
      </c>
      <c r="C2448" s="22"/>
      <c r="D2448" s="22"/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  <c r="O2448" s="22"/>
      <c r="P2448" s="22"/>
      <c r="Q2448" s="22"/>
      <c r="R2448" s="22"/>
      <c r="S2448" s="22"/>
      <c r="T2448" s="22"/>
      <c r="U2448" s="22"/>
      <c r="V2448" s="22"/>
      <c r="W2448" s="22"/>
      <c r="X2448" s="22"/>
      <c r="Y2448" s="22"/>
      <c r="Z2448" s="22"/>
      <c r="AA2448" s="22"/>
      <c r="AB2448" s="22"/>
      <c r="AC2448" s="22"/>
      <c r="AD2448" s="22"/>
      <c r="AE2448" s="22"/>
      <c r="AF2448" s="22"/>
      <c r="AG2448" s="22"/>
      <c r="AH2448" s="22"/>
      <c r="AI2448" s="22"/>
      <c r="AJ2448" s="22"/>
    </row>
    <row r="2449" spans="1:36" x14ac:dyDescent="0.25">
      <c r="A2449" s="22" t="s">
        <v>4270</v>
      </c>
      <c r="B2449" s="22">
        <v>0</v>
      </c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  <c r="O2449" s="22"/>
      <c r="P2449" s="22"/>
      <c r="Q2449" s="22"/>
      <c r="R2449" s="22"/>
      <c r="S2449" s="22"/>
      <c r="T2449" s="22"/>
      <c r="U2449" s="22"/>
      <c r="V2449" s="22"/>
      <c r="W2449" s="22"/>
      <c r="X2449" s="22"/>
      <c r="Y2449" s="22"/>
      <c r="Z2449" s="22"/>
      <c r="AA2449" s="22"/>
      <c r="AB2449" s="22"/>
      <c r="AC2449" s="22"/>
      <c r="AD2449" s="22"/>
      <c r="AE2449" s="22"/>
      <c r="AF2449" s="22"/>
      <c r="AG2449" s="22"/>
      <c r="AH2449" s="22"/>
      <c r="AI2449" s="22"/>
      <c r="AJ2449" s="22"/>
    </row>
    <row r="2450" spans="1:36" x14ac:dyDescent="0.25">
      <c r="A2450" s="22" t="s">
        <v>4271</v>
      </c>
      <c r="B2450" s="22">
        <v>0</v>
      </c>
      <c r="C2450" s="22"/>
      <c r="D2450" s="22"/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R2450" s="22"/>
      <c r="S2450" s="22"/>
      <c r="T2450" s="22"/>
      <c r="U2450" s="22"/>
      <c r="V2450" s="22"/>
      <c r="W2450" s="22"/>
      <c r="X2450" s="22"/>
      <c r="Y2450" s="22"/>
      <c r="Z2450" s="22"/>
      <c r="AA2450" s="22"/>
      <c r="AB2450" s="22"/>
      <c r="AC2450" s="22"/>
      <c r="AD2450" s="22"/>
      <c r="AE2450" s="22"/>
      <c r="AF2450" s="22"/>
      <c r="AG2450" s="22"/>
      <c r="AH2450" s="22"/>
      <c r="AI2450" s="22"/>
      <c r="AJ2450" s="22"/>
    </row>
    <row r="2451" spans="1:36" x14ac:dyDescent="0.25">
      <c r="A2451" s="22" t="s">
        <v>4272</v>
      </c>
      <c r="B2451" s="22">
        <v>0</v>
      </c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  <c r="O2451" s="22"/>
      <c r="P2451" s="22"/>
      <c r="Q2451" s="22"/>
      <c r="R2451" s="22"/>
      <c r="S2451" s="22"/>
      <c r="T2451" s="22"/>
      <c r="U2451" s="22"/>
      <c r="V2451" s="22"/>
      <c r="W2451" s="22"/>
      <c r="X2451" s="22"/>
      <c r="Y2451" s="22"/>
      <c r="Z2451" s="22"/>
      <c r="AA2451" s="22"/>
      <c r="AB2451" s="22"/>
      <c r="AC2451" s="22"/>
      <c r="AD2451" s="22"/>
      <c r="AE2451" s="22"/>
      <c r="AF2451" s="22"/>
      <c r="AG2451" s="22"/>
      <c r="AH2451" s="22"/>
      <c r="AI2451" s="22"/>
      <c r="AJ2451" s="22"/>
    </row>
    <row r="2452" spans="1:36" x14ac:dyDescent="0.25">
      <c r="A2452" s="22" t="s">
        <v>4273</v>
      </c>
      <c r="B2452" s="22">
        <v>0</v>
      </c>
      <c r="C2452" s="22"/>
      <c r="D2452" s="22"/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  <c r="O2452" s="22"/>
      <c r="P2452" s="22"/>
      <c r="Q2452" s="22"/>
      <c r="R2452" s="22"/>
      <c r="S2452" s="22"/>
      <c r="T2452" s="22"/>
      <c r="U2452" s="22"/>
      <c r="V2452" s="22"/>
      <c r="W2452" s="22"/>
      <c r="X2452" s="22"/>
      <c r="Y2452" s="22"/>
      <c r="Z2452" s="22"/>
      <c r="AA2452" s="22"/>
      <c r="AB2452" s="22"/>
      <c r="AC2452" s="22"/>
      <c r="AD2452" s="22"/>
      <c r="AE2452" s="22"/>
      <c r="AF2452" s="22"/>
      <c r="AG2452" s="22"/>
      <c r="AH2452" s="22"/>
      <c r="AI2452" s="22"/>
      <c r="AJ2452" s="22"/>
    </row>
    <row r="2453" spans="1:36" x14ac:dyDescent="0.25">
      <c r="A2453" s="22" t="s">
        <v>4274</v>
      </c>
      <c r="B2453" s="22">
        <v>0</v>
      </c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  <c r="O2453" s="22"/>
      <c r="P2453" s="22"/>
      <c r="Q2453" s="22"/>
      <c r="R2453" s="22"/>
      <c r="S2453" s="22"/>
      <c r="T2453" s="22"/>
      <c r="U2453" s="22"/>
      <c r="V2453" s="22"/>
      <c r="W2453" s="22"/>
      <c r="X2453" s="22"/>
      <c r="Y2453" s="22"/>
      <c r="Z2453" s="22"/>
      <c r="AA2453" s="22"/>
      <c r="AB2453" s="22"/>
      <c r="AC2453" s="22"/>
      <c r="AD2453" s="22"/>
      <c r="AE2453" s="22"/>
      <c r="AF2453" s="22"/>
      <c r="AG2453" s="22"/>
      <c r="AH2453" s="22"/>
      <c r="AI2453" s="22"/>
      <c r="AJ2453" s="22"/>
    </row>
    <row r="2454" spans="1:36" x14ac:dyDescent="0.25">
      <c r="A2454" s="22" t="s">
        <v>461</v>
      </c>
      <c r="B2454" s="22">
        <v>0</v>
      </c>
      <c r="C2454" s="22"/>
      <c r="D2454" s="22"/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  <c r="O2454" s="22"/>
      <c r="P2454" s="22"/>
      <c r="Q2454" s="22"/>
      <c r="R2454" s="22"/>
      <c r="S2454" s="22"/>
      <c r="T2454" s="22"/>
      <c r="U2454" s="22"/>
      <c r="V2454" s="22"/>
      <c r="W2454" s="22"/>
      <c r="X2454" s="22"/>
      <c r="Y2454" s="22"/>
      <c r="Z2454" s="22"/>
      <c r="AA2454" s="22"/>
      <c r="AB2454" s="22"/>
      <c r="AC2454" s="22"/>
      <c r="AD2454" s="22"/>
      <c r="AE2454" s="22"/>
      <c r="AF2454" s="22"/>
      <c r="AG2454" s="22"/>
      <c r="AH2454" s="22"/>
      <c r="AI2454" s="22"/>
      <c r="AJ2454" s="22"/>
    </row>
    <row r="2455" spans="1:36" x14ac:dyDescent="0.25">
      <c r="A2455" s="22" t="s">
        <v>3390</v>
      </c>
      <c r="B2455" s="22">
        <v>0</v>
      </c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  <c r="O2455" s="22"/>
      <c r="P2455" s="22"/>
      <c r="Q2455" s="22"/>
      <c r="R2455" s="22"/>
      <c r="S2455" s="22"/>
      <c r="T2455" s="22"/>
      <c r="U2455" s="22"/>
      <c r="V2455" s="22"/>
      <c r="W2455" s="22"/>
      <c r="X2455" s="22"/>
      <c r="Y2455" s="22"/>
      <c r="Z2455" s="22"/>
      <c r="AA2455" s="22"/>
      <c r="AB2455" s="22"/>
      <c r="AC2455" s="22"/>
      <c r="AD2455" s="22"/>
      <c r="AE2455" s="22"/>
      <c r="AF2455" s="22"/>
      <c r="AG2455" s="22"/>
      <c r="AH2455" s="22"/>
      <c r="AI2455" s="22"/>
      <c r="AJ2455" s="22"/>
    </row>
    <row r="2456" spans="1:36" x14ac:dyDescent="0.25">
      <c r="A2456" s="22" t="s">
        <v>3391</v>
      </c>
      <c r="B2456" s="22">
        <v>0</v>
      </c>
      <c r="C2456" s="22"/>
      <c r="D2456" s="22"/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  <c r="O2456" s="22"/>
      <c r="P2456" s="22"/>
      <c r="Q2456" s="22"/>
      <c r="R2456" s="22"/>
      <c r="S2456" s="22"/>
      <c r="T2456" s="22"/>
      <c r="U2456" s="22"/>
      <c r="V2456" s="22"/>
      <c r="W2456" s="22"/>
      <c r="X2456" s="22"/>
      <c r="Y2456" s="22"/>
      <c r="Z2456" s="22"/>
      <c r="AA2456" s="22"/>
      <c r="AB2456" s="22"/>
      <c r="AC2456" s="22"/>
      <c r="AD2456" s="22"/>
      <c r="AE2456" s="22"/>
      <c r="AF2456" s="22"/>
      <c r="AG2456" s="22"/>
      <c r="AH2456" s="22"/>
      <c r="AI2456" s="22"/>
      <c r="AJ2456" s="22"/>
    </row>
    <row r="2457" spans="1:36" x14ac:dyDescent="0.25">
      <c r="A2457" s="22" t="s">
        <v>3392</v>
      </c>
      <c r="B2457" s="22">
        <v>0</v>
      </c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  <c r="O2457" s="22"/>
      <c r="P2457" s="22"/>
      <c r="Q2457" s="22"/>
      <c r="R2457" s="22"/>
      <c r="S2457" s="22"/>
      <c r="T2457" s="22"/>
      <c r="U2457" s="22"/>
      <c r="V2457" s="22"/>
      <c r="W2457" s="22"/>
      <c r="X2457" s="22"/>
      <c r="Y2457" s="22"/>
      <c r="Z2457" s="22"/>
      <c r="AA2457" s="22"/>
      <c r="AB2457" s="22"/>
      <c r="AC2457" s="22"/>
      <c r="AD2457" s="22"/>
      <c r="AE2457" s="22"/>
      <c r="AF2457" s="22"/>
      <c r="AG2457" s="22"/>
      <c r="AH2457" s="22"/>
      <c r="AI2457" s="22"/>
      <c r="AJ2457" s="22"/>
    </row>
    <row r="2458" spans="1:36" x14ac:dyDescent="0.25">
      <c r="A2458" s="22" t="s">
        <v>3393</v>
      </c>
      <c r="B2458" s="22">
        <v>0</v>
      </c>
      <c r="C2458" s="22"/>
      <c r="D2458" s="22"/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  <c r="O2458" s="22"/>
      <c r="P2458" s="22"/>
      <c r="Q2458" s="22"/>
      <c r="R2458" s="22"/>
      <c r="S2458" s="22"/>
      <c r="T2458" s="22"/>
      <c r="U2458" s="22"/>
      <c r="V2458" s="22"/>
      <c r="W2458" s="22"/>
      <c r="X2458" s="22"/>
      <c r="Y2458" s="22"/>
      <c r="Z2458" s="22"/>
      <c r="AA2458" s="22"/>
      <c r="AB2458" s="22"/>
      <c r="AC2458" s="22"/>
      <c r="AD2458" s="22"/>
      <c r="AE2458" s="22"/>
      <c r="AF2458" s="22"/>
      <c r="AG2458" s="22"/>
      <c r="AH2458" s="22"/>
      <c r="AI2458" s="22"/>
      <c r="AJ2458" s="22"/>
    </row>
    <row r="2459" spans="1:36" x14ac:dyDescent="0.25">
      <c r="A2459" s="22" t="s">
        <v>3394</v>
      </c>
      <c r="B2459" s="22">
        <v>0</v>
      </c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  <c r="O2459" s="22"/>
      <c r="P2459" s="22"/>
      <c r="Q2459" s="22"/>
      <c r="R2459" s="22"/>
      <c r="S2459" s="22"/>
      <c r="T2459" s="22"/>
      <c r="U2459" s="22"/>
      <c r="V2459" s="22"/>
      <c r="W2459" s="22"/>
      <c r="X2459" s="22"/>
      <c r="Y2459" s="22"/>
      <c r="Z2459" s="22"/>
      <c r="AA2459" s="22"/>
      <c r="AB2459" s="22"/>
      <c r="AC2459" s="22"/>
      <c r="AD2459" s="22"/>
      <c r="AE2459" s="22"/>
      <c r="AF2459" s="22"/>
      <c r="AG2459" s="22"/>
      <c r="AH2459" s="22"/>
      <c r="AI2459" s="22"/>
      <c r="AJ2459" s="22"/>
    </row>
    <row r="2460" spans="1:36" x14ac:dyDescent="0.25">
      <c r="A2460" s="22" t="s">
        <v>3395</v>
      </c>
      <c r="B2460" s="22">
        <v>0</v>
      </c>
      <c r="C2460" s="22"/>
      <c r="D2460" s="22"/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  <c r="O2460" s="22"/>
      <c r="P2460" s="22"/>
      <c r="Q2460" s="22"/>
      <c r="R2460" s="22"/>
      <c r="S2460" s="22"/>
      <c r="T2460" s="22"/>
      <c r="U2460" s="22"/>
      <c r="V2460" s="22"/>
      <c r="W2460" s="22"/>
      <c r="X2460" s="22"/>
      <c r="Y2460" s="22"/>
      <c r="Z2460" s="22"/>
      <c r="AA2460" s="22"/>
      <c r="AB2460" s="22"/>
      <c r="AC2460" s="22"/>
      <c r="AD2460" s="22"/>
      <c r="AE2460" s="22"/>
      <c r="AF2460" s="22"/>
      <c r="AG2460" s="22"/>
      <c r="AH2460" s="22"/>
      <c r="AI2460" s="22"/>
      <c r="AJ2460" s="22"/>
    </row>
    <row r="2461" spans="1:36" x14ac:dyDescent="0.25">
      <c r="A2461" s="22" t="s">
        <v>3396</v>
      </c>
      <c r="B2461" s="22">
        <v>0</v>
      </c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  <c r="O2461" s="22"/>
      <c r="P2461" s="22"/>
      <c r="Q2461" s="22"/>
      <c r="R2461" s="22"/>
      <c r="S2461" s="22"/>
      <c r="T2461" s="22"/>
      <c r="U2461" s="22"/>
      <c r="V2461" s="22"/>
      <c r="W2461" s="22"/>
      <c r="X2461" s="22"/>
      <c r="Y2461" s="22"/>
      <c r="Z2461" s="22"/>
      <c r="AA2461" s="22"/>
      <c r="AB2461" s="22"/>
      <c r="AC2461" s="22"/>
      <c r="AD2461" s="22"/>
      <c r="AE2461" s="22"/>
      <c r="AF2461" s="22"/>
      <c r="AG2461" s="22"/>
      <c r="AH2461" s="22"/>
      <c r="AI2461" s="22"/>
      <c r="AJ2461" s="22"/>
    </row>
    <row r="2462" spans="1:36" x14ac:dyDescent="0.25">
      <c r="A2462" s="22" t="s">
        <v>4275</v>
      </c>
      <c r="B2462" s="22">
        <v>0</v>
      </c>
      <c r="C2462" s="22"/>
      <c r="D2462" s="22"/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  <c r="O2462" s="22"/>
      <c r="P2462" s="22"/>
      <c r="Q2462" s="22"/>
      <c r="R2462" s="22"/>
      <c r="S2462" s="22"/>
      <c r="T2462" s="22"/>
      <c r="U2462" s="22"/>
      <c r="V2462" s="22"/>
      <c r="W2462" s="22"/>
      <c r="X2462" s="22"/>
      <c r="Y2462" s="22"/>
      <c r="Z2462" s="22"/>
      <c r="AA2462" s="22"/>
      <c r="AB2462" s="22"/>
      <c r="AC2462" s="22"/>
      <c r="AD2462" s="22"/>
      <c r="AE2462" s="22"/>
      <c r="AF2462" s="22"/>
      <c r="AG2462" s="22"/>
      <c r="AH2462" s="22"/>
      <c r="AI2462" s="22"/>
      <c r="AJ2462" s="22"/>
    </row>
    <row r="2463" spans="1:36" x14ac:dyDescent="0.25">
      <c r="A2463" s="22" t="s">
        <v>4276</v>
      </c>
      <c r="B2463" s="22">
        <v>0</v>
      </c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  <c r="O2463" s="22"/>
      <c r="P2463" s="22"/>
      <c r="Q2463" s="22"/>
      <c r="R2463" s="22"/>
      <c r="S2463" s="22"/>
      <c r="T2463" s="22"/>
      <c r="U2463" s="22"/>
      <c r="V2463" s="22"/>
      <c r="W2463" s="22"/>
      <c r="X2463" s="22"/>
      <c r="Y2463" s="22"/>
      <c r="Z2463" s="22"/>
      <c r="AA2463" s="22"/>
      <c r="AB2463" s="22"/>
      <c r="AC2463" s="22"/>
      <c r="AD2463" s="22"/>
      <c r="AE2463" s="22"/>
      <c r="AF2463" s="22"/>
      <c r="AG2463" s="22"/>
      <c r="AH2463" s="22"/>
      <c r="AI2463" s="22"/>
      <c r="AJ2463" s="22"/>
    </row>
    <row r="2464" spans="1:36" x14ac:dyDescent="0.25">
      <c r="A2464" s="22" t="s">
        <v>4277</v>
      </c>
      <c r="B2464" s="22">
        <v>0</v>
      </c>
      <c r="C2464" s="22"/>
      <c r="D2464" s="22"/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  <c r="O2464" s="22"/>
      <c r="P2464" s="22"/>
      <c r="Q2464" s="22"/>
      <c r="R2464" s="22"/>
      <c r="S2464" s="22"/>
      <c r="T2464" s="22"/>
      <c r="U2464" s="22"/>
      <c r="V2464" s="22"/>
      <c r="W2464" s="22"/>
      <c r="X2464" s="22"/>
      <c r="Y2464" s="22"/>
      <c r="Z2464" s="22"/>
      <c r="AA2464" s="22"/>
      <c r="AB2464" s="22"/>
      <c r="AC2464" s="22"/>
      <c r="AD2464" s="22"/>
      <c r="AE2464" s="22"/>
      <c r="AF2464" s="22"/>
      <c r="AG2464" s="22"/>
      <c r="AH2464" s="22"/>
      <c r="AI2464" s="22"/>
      <c r="AJ2464" s="22"/>
    </row>
    <row r="2465" spans="1:36" x14ac:dyDescent="0.25">
      <c r="A2465" s="22" t="s">
        <v>4278</v>
      </c>
      <c r="B2465" s="22">
        <v>0</v>
      </c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  <c r="O2465" s="22"/>
      <c r="P2465" s="22"/>
      <c r="Q2465" s="22"/>
      <c r="R2465" s="22"/>
      <c r="S2465" s="22"/>
      <c r="T2465" s="22"/>
      <c r="U2465" s="22"/>
      <c r="V2465" s="22"/>
      <c r="W2465" s="22"/>
      <c r="X2465" s="22"/>
      <c r="Y2465" s="22"/>
      <c r="Z2465" s="22"/>
      <c r="AA2465" s="22"/>
      <c r="AB2465" s="22"/>
      <c r="AC2465" s="22"/>
      <c r="AD2465" s="22"/>
      <c r="AE2465" s="22"/>
      <c r="AF2465" s="22"/>
      <c r="AG2465" s="22"/>
      <c r="AH2465" s="22"/>
      <c r="AI2465" s="22"/>
      <c r="AJ2465" s="22"/>
    </row>
    <row r="2466" spans="1:36" x14ac:dyDescent="0.25">
      <c r="A2466" s="22" t="s">
        <v>4279</v>
      </c>
      <c r="B2466" s="22">
        <v>0</v>
      </c>
      <c r="C2466" s="22"/>
      <c r="D2466" s="22"/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  <c r="O2466" s="22"/>
      <c r="P2466" s="22"/>
      <c r="Q2466" s="22"/>
      <c r="R2466" s="22"/>
      <c r="S2466" s="22"/>
      <c r="T2466" s="22"/>
      <c r="U2466" s="22"/>
      <c r="V2466" s="22"/>
      <c r="W2466" s="22"/>
      <c r="X2466" s="22"/>
      <c r="Y2466" s="22"/>
      <c r="Z2466" s="22"/>
      <c r="AA2466" s="22"/>
      <c r="AB2466" s="22"/>
      <c r="AC2466" s="22"/>
      <c r="AD2466" s="22"/>
      <c r="AE2466" s="22"/>
      <c r="AF2466" s="22"/>
      <c r="AG2466" s="22"/>
      <c r="AH2466" s="22"/>
      <c r="AI2466" s="22"/>
      <c r="AJ2466" s="22"/>
    </row>
    <row r="2467" spans="1:36" x14ac:dyDescent="0.25">
      <c r="A2467" s="22" t="s">
        <v>4280</v>
      </c>
      <c r="B2467" s="22">
        <v>0</v>
      </c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  <c r="O2467" s="22"/>
      <c r="P2467" s="22"/>
      <c r="Q2467" s="22"/>
      <c r="R2467" s="22"/>
      <c r="S2467" s="22"/>
      <c r="T2467" s="22"/>
      <c r="U2467" s="22"/>
      <c r="V2467" s="22"/>
      <c r="W2467" s="22"/>
      <c r="X2467" s="22"/>
      <c r="Y2467" s="22"/>
      <c r="Z2467" s="22"/>
      <c r="AA2467" s="22"/>
      <c r="AB2467" s="22"/>
      <c r="AC2467" s="22"/>
      <c r="AD2467" s="22"/>
      <c r="AE2467" s="22"/>
      <c r="AF2467" s="22"/>
      <c r="AG2467" s="22"/>
      <c r="AH2467" s="22"/>
      <c r="AI2467" s="22"/>
      <c r="AJ2467" s="22"/>
    </row>
    <row r="2468" spans="1:36" x14ac:dyDescent="0.25">
      <c r="A2468" s="22" t="s">
        <v>4281</v>
      </c>
      <c r="B2468" s="22">
        <v>0</v>
      </c>
      <c r="C2468" s="22"/>
      <c r="D2468" s="22"/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  <c r="O2468" s="22"/>
      <c r="P2468" s="22"/>
      <c r="Q2468" s="22"/>
      <c r="R2468" s="22"/>
      <c r="S2468" s="22"/>
      <c r="T2468" s="22"/>
      <c r="U2468" s="22"/>
      <c r="V2468" s="22"/>
      <c r="W2468" s="22"/>
      <c r="X2468" s="22"/>
      <c r="Y2468" s="22"/>
      <c r="Z2468" s="22"/>
      <c r="AA2468" s="22"/>
      <c r="AB2468" s="22"/>
      <c r="AC2468" s="22"/>
      <c r="AD2468" s="22"/>
      <c r="AE2468" s="22"/>
      <c r="AF2468" s="22"/>
      <c r="AG2468" s="22"/>
      <c r="AH2468" s="22"/>
      <c r="AI2468" s="22"/>
      <c r="AJ2468" s="22"/>
    </row>
    <row r="2469" spans="1:36" x14ac:dyDescent="0.25">
      <c r="A2469" s="22" t="s">
        <v>4282</v>
      </c>
      <c r="B2469" s="22">
        <v>0</v>
      </c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  <c r="O2469" s="22"/>
      <c r="P2469" s="22"/>
      <c r="Q2469" s="22"/>
      <c r="R2469" s="22"/>
      <c r="S2469" s="22"/>
      <c r="T2469" s="22"/>
      <c r="U2469" s="22"/>
      <c r="V2469" s="22"/>
      <c r="W2469" s="22"/>
      <c r="X2469" s="22"/>
      <c r="Y2469" s="22"/>
      <c r="Z2469" s="22"/>
      <c r="AA2469" s="22"/>
      <c r="AB2469" s="22"/>
      <c r="AC2469" s="22"/>
      <c r="AD2469" s="22"/>
      <c r="AE2469" s="22"/>
      <c r="AF2469" s="22"/>
      <c r="AG2469" s="22"/>
      <c r="AH2469" s="22"/>
      <c r="AI2469" s="22"/>
      <c r="AJ2469" s="22"/>
    </row>
    <row r="2470" spans="1:36" x14ac:dyDescent="0.25">
      <c r="A2470" s="22" t="s">
        <v>462</v>
      </c>
      <c r="B2470" s="22">
        <v>0</v>
      </c>
      <c r="C2470" s="22"/>
      <c r="D2470" s="22"/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  <c r="O2470" s="22"/>
      <c r="P2470" s="22"/>
      <c r="Q2470" s="22"/>
      <c r="R2470" s="22"/>
      <c r="S2470" s="22"/>
      <c r="T2470" s="22"/>
      <c r="U2470" s="22"/>
      <c r="V2470" s="22"/>
      <c r="W2470" s="22"/>
      <c r="X2470" s="22"/>
      <c r="Y2470" s="22"/>
      <c r="Z2470" s="22"/>
      <c r="AA2470" s="22"/>
      <c r="AB2470" s="22"/>
      <c r="AC2470" s="22"/>
      <c r="AD2470" s="22"/>
      <c r="AE2470" s="22"/>
      <c r="AF2470" s="22"/>
      <c r="AG2470" s="22"/>
      <c r="AH2470" s="22"/>
      <c r="AI2470" s="22"/>
      <c r="AJ2470" s="22"/>
    </row>
    <row r="2471" spans="1:36" x14ac:dyDescent="0.25">
      <c r="A2471" s="22" t="s">
        <v>3397</v>
      </c>
      <c r="B2471" s="22">
        <v>0</v>
      </c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  <c r="O2471" s="22"/>
      <c r="P2471" s="22"/>
      <c r="Q2471" s="22"/>
      <c r="R2471" s="22"/>
      <c r="S2471" s="22"/>
      <c r="T2471" s="22"/>
      <c r="U2471" s="22"/>
      <c r="V2471" s="22"/>
      <c r="W2471" s="22"/>
      <c r="X2471" s="22"/>
      <c r="Y2471" s="22"/>
      <c r="Z2471" s="22"/>
      <c r="AA2471" s="22"/>
      <c r="AB2471" s="22"/>
      <c r="AC2471" s="22"/>
      <c r="AD2471" s="22"/>
      <c r="AE2471" s="22"/>
      <c r="AF2471" s="22"/>
      <c r="AG2471" s="22"/>
      <c r="AH2471" s="22"/>
      <c r="AI2471" s="22"/>
      <c r="AJ2471" s="22"/>
    </row>
    <row r="2472" spans="1:36" x14ac:dyDescent="0.25">
      <c r="A2472" s="22" t="s">
        <v>3398</v>
      </c>
      <c r="B2472" s="22">
        <v>0</v>
      </c>
      <c r="C2472" s="22"/>
      <c r="D2472" s="22"/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  <c r="O2472" s="22"/>
      <c r="P2472" s="22"/>
      <c r="Q2472" s="22"/>
      <c r="R2472" s="22"/>
      <c r="S2472" s="22"/>
      <c r="T2472" s="22"/>
      <c r="U2472" s="22"/>
      <c r="V2472" s="22"/>
      <c r="W2472" s="22"/>
      <c r="X2472" s="22"/>
      <c r="Y2472" s="22"/>
      <c r="Z2472" s="22"/>
      <c r="AA2472" s="22"/>
      <c r="AB2472" s="22"/>
      <c r="AC2472" s="22"/>
      <c r="AD2472" s="22"/>
      <c r="AE2472" s="22"/>
      <c r="AF2472" s="22"/>
      <c r="AG2472" s="22"/>
      <c r="AH2472" s="22"/>
      <c r="AI2472" s="22"/>
      <c r="AJ2472" s="22"/>
    </row>
    <row r="2473" spans="1:36" x14ac:dyDescent="0.25">
      <c r="A2473" s="22" t="s">
        <v>3399</v>
      </c>
      <c r="B2473" s="22">
        <v>0</v>
      </c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  <c r="O2473" s="22"/>
      <c r="P2473" s="22"/>
      <c r="Q2473" s="22"/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B2473" s="22"/>
      <c r="AC2473" s="22"/>
      <c r="AD2473" s="22"/>
      <c r="AE2473" s="22"/>
      <c r="AF2473" s="22"/>
      <c r="AG2473" s="22"/>
      <c r="AH2473" s="22"/>
      <c r="AI2473" s="22"/>
      <c r="AJ2473" s="22"/>
    </row>
    <row r="2474" spans="1:36" x14ac:dyDescent="0.25">
      <c r="A2474" s="22" t="s">
        <v>3400</v>
      </c>
      <c r="B2474" s="22">
        <v>0</v>
      </c>
      <c r="C2474" s="22"/>
      <c r="D2474" s="22"/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  <c r="O2474" s="22"/>
      <c r="P2474" s="22"/>
      <c r="Q2474" s="22"/>
      <c r="R2474" s="22"/>
      <c r="S2474" s="22"/>
      <c r="T2474" s="22"/>
      <c r="U2474" s="22"/>
      <c r="V2474" s="22"/>
      <c r="W2474" s="22"/>
      <c r="X2474" s="22"/>
      <c r="Y2474" s="22"/>
      <c r="Z2474" s="22"/>
      <c r="AA2474" s="22"/>
      <c r="AB2474" s="22"/>
      <c r="AC2474" s="22"/>
      <c r="AD2474" s="22"/>
      <c r="AE2474" s="22"/>
      <c r="AF2474" s="22"/>
      <c r="AG2474" s="22"/>
      <c r="AH2474" s="22"/>
      <c r="AI2474" s="22"/>
      <c r="AJ2474" s="22"/>
    </row>
    <row r="2475" spans="1:36" x14ac:dyDescent="0.25">
      <c r="A2475" s="22" t="s">
        <v>3401</v>
      </c>
      <c r="B2475" s="22">
        <v>0</v>
      </c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  <c r="O2475" s="22"/>
      <c r="P2475" s="22"/>
      <c r="Q2475" s="22"/>
      <c r="R2475" s="22"/>
      <c r="S2475" s="22"/>
      <c r="T2475" s="22"/>
      <c r="U2475" s="22"/>
      <c r="V2475" s="22"/>
      <c r="W2475" s="22"/>
      <c r="X2475" s="22"/>
      <c r="Y2475" s="22"/>
      <c r="Z2475" s="22"/>
      <c r="AA2475" s="22"/>
      <c r="AB2475" s="22"/>
      <c r="AC2475" s="22"/>
      <c r="AD2475" s="22"/>
      <c r="AE2475" s="22"/>
      <c r="AF2475" s="22"/>
      <c r="AG2475" s="22"/>
      <c r="AH2475" s="22"/>
      <c r="AI2475" s="22"/>
      <c r="AJ2475" s="22"/>
    </row>
    <row r="2476" spans="1:36" x14ac:dyDescent="0.25">
      <c r="A2476" s="22" t="s">
        <v>3402</v>
      </c>
      <c r="B2476" s="22">
        <v>0</v>
      </c>
      <c r="C2476" s="22"/>
      <c r="D2476" s="22"/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  <c r="O2476" s="22"/>
      <c r="P2476" s="22"/>
      <c r="Q2476" s="22"/>
      <c r="R2476" s="22"/>
      <c r="S2476" s="22"/>
      <c r="T2476" s="22"/>
      <c r="U2476" s="22"/>
      <c r="V2476" s="22"/>
      <c r="W2476" s="22"/>
      <c r="X2476" s="22"/>
      <c r="Y2476" s="22"/>
      <c r="Z2476" s="22"/>
      <c r="AA2476" s="22"/>
      <c r="AB2476" s="22"/>
      <c r="AC2476" s="22"/>
      <c r="AD2476" s="22"/>
      <c r="AE2476" s="22"/>
      <c r="AF2476" s="22"/>
      <c r="AG2476" s="22"/>
      <c r="AH2476" s="22"/>
      <c r="AI2476" s="22"/>
      <c r="AJ2476" s="22"/>
    </row>
    <row r="2477" spans="1:36" x14ac:dyDescent="0.25">
      <c r="A2477" s="22" t="s">
        <v>3403</v>
      </c>
      <c r="B2477" s="22">
        <v>0</v>
      </c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  <c r="O2477" s="22"/>
      <c r="P2477" s="22"/>
      <c r="Q2477" s="22"/>
      <c r="R2477" s="22"/>
      <c r="S2477" s="22"/>
      <c r="T2477" s="22"/>
      <c r="U2477" s="22"/>
      <c r="V2477" s="22"/>
      <c r="W2477" s="22"/>
      <c r="X2477" s="22"/>
      <c r="Y2477" s="22"/>
      <c r="Z2477" s="22"/>
      <c r="AA2477" s="22"/>
      <c r="AB2477" s="22"/>
      <c r="AC2477" s="22"/>
      <c r="AD2477" s="22"/>
      <c r="AE2477" s="22"/>
      <c r="AF2477" s="22"/>
      <c r="AG2477" s="22"/>
      <c r="AH2477" s="22"/>
      <c r="AI2477" s="22"/>
      <c r="AJ2477" s="22"/>
    </row>
    <row r="2478" spans="1:36" x14ac:dyDescent="0.25">
      <c r="A2478" s="22" t="s">
        <v>4283</v>
      </c>
      <c r="B2478" s="22">
        <v>122</v>
      </c>
      <c r="C2478" s="22"/>
      <c r="D2478" s="22"/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V2478" s="22"/>
      <c r="W2478" s="22"/>
      <c r="X2478" s="22"/>
      <c r="Y2478" s="22"/>
      <c r="Z2478" s="22"/>
      <c r="AA2478" s="22"/>
      <c r="AB2478" s="22"/>
      <c r="AC2478" s="22"/>
      <c r="AD2478" s="22"/>
      <c r="AE2478" s="22"/>
      <c r="AF2478" s="22"/>
      <c r="AG2478" s="22"/>
      <c r="AH2478" s="22"/>
      <c r="AI2478" s="22"/>
      <c r="AJ2478" s="22"/>
    </row>
    <row r="2479" spans="1:36" x14ac:dyDescent="0.25">
      <c r="A2479" s="22" t="s">
        <v>4284</v>
      </c>
      <c r="B2479" s="22">
        <v>6</v>
      </c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  <c r="O2479" s="22"/>
      <c r="P2479" s="22"/>
      <c r="Q2479" s="22"/>
      <c r="R2479" s="22"/>
      <c r="S2479" s="22"/>
      <c r="T2479" s="22"/>
      <c r="U2479" s="22"/>
      <c r="V2479" s="22"/>
      <c r="W2479" s="22"/>
      <c r="X2479" s="22"/>
      <c r="Y2479" s="22"/>
      <c r="Z2479" s="22"/>
      <c r="AA2479" s="22"/>
      <c r="AB2479" s="22"/>
      <c r="AC2479" s="22"/>
      <c r="AD2479" s="22"/>
      <c r="AE2479" s="22"/>
      <c r="AF2479" s="22"/>
      <c r="AG2479" s="22"/>
      <c r="AH2479" s="22"/>
      <c r="AI2479" s="22"/>
      <c r="AJ2479" s="22"/>
    </row>
    <row r="2480" spans="1:36" x14ac:dyDescent="0.25">
      <c r="A2480" s="22" t="s">
        <v>4285</v>
      </c>
      <c r="B2480" s="22">
        <v>0</v>
      </c>
      <c r="C2480" s="22"/>
      <c r="D2480" s="22"/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  <c r="O2480" s="22"/>
      <c r="P2480" s="22"/>
      <c r="Q2480" s="22"/>
      <c r="R2480" s="22"/>
      <c r="S2480" s="22"/>
      <c r="T2480" s="22"/>
      <c r="U2480" s="22"/>
      <c r="V2480" s="22"/>
      <c r="W2480" s="22"/>
      <c r="X2480" s="22"/>
      <c r="Y2480" s="22"/>
      <c r="Z2480" s="22"/>
      <c r="AA2480" s="22"/>
      <c r="AB2480" s="22"/>
      <c r="AC2480" s="22"/>
      <c r="AD2480" s="22"/>
      <c r="AE2480" s="22"/>
      <c r="AF2480" s="22"/>
      <c r="AG2480" s="22"/>
      <c r="AH2480" s="22"/>
      <c r="AI2480" s="22"/>
      <c r="AJ2480" s="22"/>
    </row>
    <row r="2481" spans="1:36" x14ac:dyDescent="0.25">
      <c r="A2481" s="22" t="s">
        <v>4286</v>
      </c>
      <c r="B2481" s="22">
        <v>0</v>
      </c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  <c r="O2481" s="22"/>
      <c r="P2481" s="22"/>
      <c r="Q2481" s="22"/>
      <c r="R2481" s="22"/>
      <c r="S2481" s="22"/>
      <c r="T2481" s="22"/>
      <c r="U2481" s="22"/>
      <c r="V2481" s="22"/>
      <c r="W2481" s="22"/>
      <c r="X2481" s="22"/>
      <c r="Y2481" s="22"/>
      <c r="Z2481" s="22"/>
      <c r="AA2481" s="22"/>
      <c r="AB2481" s="22"/>
      <c r="AC2481" s="22"/>
      <c r="AD2481" s="22"/>
      <c r="AE2481" s="22"/>
      <c r="AF2481" s="22"/>
      <c r="AG2481" s="22"/>
      <c r="AH2481" s="22"/>
      <c r="AI2481" s="22"/>
      <c r="AJ2481" s="22"/>
    </row>
    <row r="2482" spans="1:36" x14ac:dyDescent="0.25">
      <c r="A2482" s="22" t="s">
        <v>4287</v>
      </c>
      <c r="B2482" s="22">
        <v>1</v>
      </c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  <c r="O2482" s="22"/>
      <c r="P2482" s="22"/>
      <c r="Q2482" s="22"/>
      <c r="R2482" s="22"/>
      <c r="S2482" s="22"/>
      <c r="T2482" s="22"/>
      <c r="U2482" s="22"/>
      <c r="V2482" s="22"/>
      <c r="W2482" s="22"/>
      <c r="X2482" s="22"/>
      <c r="Y2482" s="22"/>
      <c r="Z2482" s="22"/>
      <c r="AA2482" s="22"/>
      <c r="AB2482" s="22"/>
      <c r="AC2482" s="22"/>
      <c r="AD2482" s="22"/>
      <c r="AE2482" s="22"/>
      <c r="AF2482" s="22"/>
      <c r="AG2482" s="22"/>
      <c r="AH2482" s="22"/>
      <c r="AI2482" s="22"/>
      <c r="AJ2482" s="22"/>
    </row>
    <row r="2483" spans="1:36" x14ac:dyDescent="0.25">
      <c r="A2483" s="22" t="s">
        <v>4288</v>
      </c>
      <c r="B2483" s="22">
        <v>0</v>
      </c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  <c r="O2483" s="22"/>
      <c r="P2483" s="22"/>
      <c r="Q2483" s="22"/>
      <c r="R2483" s="22"/>
      <c r="S2483" s="22"/>
      <c r="T2483" s="22"/>
      <c r="U2483" s="22"/>
      <c r="V2483" s="22"/>
      <c r="W2483" s="22"/>
      <c r="X2483" s="22"/>
      <c r="Y2483" s="22"/>
      <c r="Z2483" s="22"/>
      <c r="AA2483" s="22"/>
      <c r="AB2483" s="22"/>
      <c r="AC2483" s="22"/>
      <c r="AD2483" s="22"/>
      <c r="AE2483" s="22"/>
      <c r="AF2483" s="22"/>
      <c r="AG2483" s="22"/>
      <c r="AH2483" s="22"/>
      <c r="AI2483" s="22"/>
      <c r="AJ2483" s="22"/>
    </row>
    <row r="2484" spans="1:36" x14ac:dyDescent="0.25">
      <c r="A2484" s="22" t="s">
        <v>4289</v>
      </c>
      <c r="B2484" s="22">
        <v>0</v>
      </c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  <c r="O2484" s="22"/>
      <c r="P2484" s="22"/>
      <c r="Q2484" s="22"/>
      <c r="R2484" s="22"/>
      <c r="S2484" s="22"/>
      <c r="T2484" s="22"/>
      <c r="U2484" s="22"/>
      <c r="V2484" s="22"/>
      <c r="W2484" s="22"/>
      <c r="X2484" s="22"/>
      <c r="Y2484" s="22"/>
      <c r="Z2484" s="22"/>
      <c r="AA2484" s="22"/>
      <c r="AB2484" s="22"/>
      <c r="AC2484" s="22"/>
      <c r="AD2484" s="22"/>
      <c r="AE2484" s="22"/>
      <c r="AF2484" s="22"/>
      <c r="AG2484" s="22"/>
      <c r="AH2484" s="22"/>
      <c r="AI2484" s="22"/>
      <c r="AJ2484" s="22"/>
    </row>
    <row r="2485" spans="1:36" x14ac:dyDescent="0.25">
      <c r="A2485" s="22" t="s">
        <v>4290</v>
      </c>
      <c r="B2485" s="22">
        <v>0</v>
      </c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  <c r="AH2485" s="22"/>
      <c r="AI2485" s="22"/>
      <c r="AJ2485" s="22"/>
    </row>
    <row r="2486" spans="1:36" x14ac:dyDescent="0.25">
      <c r="A2486" s="22" t="s">
        <v>463</v>
      </c>
      <c r="B2486" s="22">
        <v>67</v>
      </c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  <c r="O2486" s="22"/>
      <c r="P2486" s="22"/>
      <c r="Q2486" s="22"/>
      <c r="R2486" s="22"/>
      <c r="S2486" s="22"/>
      <c r="T2486" s="22"/>
      <c r="U2486" s="22"/>
      <c r="V2486" s="22"/>
      <c r="W2486" s="22"/>
      <c r="X2486" s="22"/>
      <c r="Y2486" s="22"/>
      <c r="Z2486" s="22"/>
      <c r="AA2486" s="22"/>
      <c r="AB2486" s="22"/>
      <c r="AC2486" s="22"/>
      <c r="AD2486" s="22"/>
      <c r="AE2486" s="22"/>
      <c r="AF2486" s="22"/>
      <c r="AG2486" s="22"/>
      <c r="AH2486" s="22"/>
      <c r="AI2486" s="22"/>
      <c r="AJ2486" s="22"/>
    </row>
    <row r="2487" spans="1:36" x14ac:dyDescent="0.25">
      <c r="A2487" s="22" t="s">
        <v>3404</v>
      </c>
      <c r="B2487" s="22">
        <v>0</v>
      </c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  <c r="O2487" s="22"/>
      <c r="P2487" s="22"/>
      <c r="Q2487" s="22"/>
      <c r="R2487" s="22"/>
      <c r="S2487" s="22"/>
      <c r="T2487" s="22"/>
      <c r="U2487" s="22"/>
      <c r="V2487" s="22"/>
      <c r="W2487" s="22"/>
      <c r="X2487" s="22"/>
      <c r="Y2487" s="22"/>
      <c r="Z2487" s="22"/>
      <c r="AA2487" s="22"/>
      <c r="AB2487" s="22"/>
      <c r="AC2487" s="22"/>
      <c r="AD2487" s="22"/>
      <c r="AE2487" s="22"/>
      <c r="AF2487" s="22"/>
      <c r="AG2487" s="22"/>
      <c r="AH2487" s="22"/>
      <c r="AI2487" s="22"/>
      <c r="AJ2487" s="22"/>
    </row>
    <row r="2488" spans="1:36" x14ac:dyDescent="0.25">
      <c r="A2488" s="22" t="s">
        <v>3405</v>
      </c>
      <c r="B2488" s="22">
        <v>0</v>
      </c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  <c r="O2488" s="22"/>
      <c r="P2488" s="22"/>
      <c r="Q2488" s="22"/>
      <c r="R2488" s="22"/>
      <c r="S2488" s="22"/>
      <c r="T2488" s="22"/>
      <c r="U2488" s="22"/>
      <c r="V2488" s="22"/>
      <c r="W2488" s="22"/>
      <c r="X2488" s="22"/>
      <c r="Y2488" s="22"/>
      <c r="Z2488" s="22"/>
      <c r="AA2488" s="22"/>
      <c r="AB2488" s="22"/>
      <c r="AC2488" s="22"/>
      <c r="AD2488" s="22"/>
      <c r="AE2488" s="22"/>
      <c r="AF2488" s="22"/>
      <c r="AG2488" s="22"/>
      <c r="AH2488" s="22"/>
      <c r="AI2488" s="22"/>
      <c r="AJ2488" s="22"/>
    </row>
    <row r="2489" spans="1:36" x14ac:dyDescent="0.25">
      <c r="A2489" s="22" t="s">
        <v>3406</v>
      </c>
      <c r="B2489" s="22">
        <v>0</v>
      </c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  <c r="O2489" s="22"/>
      <c r="P2489" s="22"/>
      <c r="Q2489" s="22"/>
      <c r="R2489" s="22"/>
      <c r="S2489" s="22"/>
      <c r="T2489" s="22"/>
      <c r="U2489" s="22"/>
      <c r="V2489" s="22"/>
      <c r="W2489" s="22"/>
      <c r="X2489" s="22"/>
      <c r="Y2489" s="22"/>
      <c r="Z2489" s="22"/>
      <c r="AA2489" s="22"/>
      <c r="AB2489" s="22"/>
      <c r="AC2489" s="22"/>
      <c r="AD2489" s="22"/>
      <c r="AE2489" s="22"/>
      <c r="AF2489" s="22"/>
      <c r="AG2489" s="22"/>
      <c r="AH2489" s="22"/>
      <c r="AI2489" s="22"/>
      <c r="AJ2489" s="22"/>
    </row>
    <row r="2490" spans="1:36" x14ac:dyDescent="0.25">
      <c r="A2490" s="22" t="s">
        <v>3407</v>
      </c>
      <c r="B2490" s="22">
        <v>0</v>
      </c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  <c r="O2490" s="22"/>
      <c r="P2490" s="22"/>
      <c r="Q2490" s="22"/>
      <c r="R2490" s="22"/>
      <c r="S2490" s="22"/>
      <c r="T2490" s="22"/>
      <c r="U2490" s="22"/>
      <c r="V2490" s="22"/>
      <c r="W2490" s="22"/>
      <c r="X2490" s="22"/>
      <c r="Y2490" s="22"/>
      <c r="Z2490" s="22"/>
      <c r="AA2490" s="22"/>
      <c r="AB2490" s="22"/>
      <c r="AC2490" s="22"/>
      <c r="AD2490" s="22"/>
      <c r="AE2490" s="22"/>
      <c r="AF2490" s="22"/>
      <c r="AG2490" s="22"/>
      <c r="AH2490" s="22"/>
      <c r="AI2490" s="22"/>
      <c r="AJ2490" s="22"/>
    </row>
    <row r="2491" spans="1:36" x14ac:dyDescent="0.25">
      <c r="A2491" s="22" t="s">
        <v>3408</v>
      </c>
      <c r="B2491" s="22">
        <v>0</v>
      </c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  <c r="O2491" s="22"/>
      <c r="P2491" s="22"/>
      <c r="Q2491" s="22"/>
      <c r="R2491" s="22"/>
      <c r="S2491" s="22"/>
      <c r="T2491" s="22"/>
      <c r="U2491" s="22"/>
      <c r="V2491" s="22"/>
      <c r="W2491" s="22"/>
      <c r="X2491" s="22"/>
      <c r="Y2491" s="22"/>
      <c r="Z2491" s="22"/>
      <c r="AA2491" s="22"/>
      <c r="AB2491" s="22"/>
      <c r="AC2491" s="22"/>
      <c r="AD2491" s="22"/>
      <c r="AE2491" s="22"/>
      <c r="AF2491" s="22"/>
      <c r="AG2491" s="22"/>
      <c r="AH2491" s="22"/>
      <c r="AI2491" s="22"/>
      <c r="AJ2491" s="22"/>
    </row>
    <row r="2492" spans="1:36" x14ac:dyDescent="0.25">
      <c r="A2492" s="22" t="s">
        <v>3409</v>
      </c>
      <c r="B2492" s="22">
        <v>0</v>
      </c>
      <c r="C2492" s="22"/>
      <c r="D2492" s="22"/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  <c r="O2492" s="22"/>
      <c r="P2492" s="22"/>
      <c r="Q2492" s="22"/>
      <c r="R2492" s="22"/>
      <c r="S2492" s="22"/>
      <c r="T2492" s="22"/>
      <c r="U2492" s="22"/>
      <c r="V2492" s="22"/>
      <c r="W2492" s="22"/>
      <c r="X2492" s="22"/>
      <c r="Y2492" s="22"/>
      <c r="Z2492" s="22"/>
      <c r="AA2492" s="22"/>
      <c r="AB2492" s="22"/>
      <c r="AC2492" s="22"/>
      <c r="AD2492" s="22"/>
      <c r="AE2492" s="22"/>
      <c r="AF2492" s="22"/>
      <c r="AG2492" s="22"/>
      <c r="AH2492" s="22"/>
      <c r="AI2492" s="22"/>
      <c r="AJ2492" s="22"/>
    </row>
    <row r="2493" spans="1:36" x14ac:dyDescent="0.25">
      <c r="A2493" s="22" t="s">
        <v>3410</v>
      </c>
      <c r="B2493" s="22">
        <v>0</v>
      </c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  <c r="O2493" s="22"/>
      <c r="P2493" s="22"/>
      <c r="Q2493" s="22"/>
      <c r="R2493" s="22"/>
      <c r="S2493" s="22"/>
      <c r="T2493" s="22"/>
      <c r="U2493" s="22"/>
      <c r="V2493" s="22"/>
      <c r="W2493" s="22"/>
      <c r="X2493" s="22"/>
      <c r="Y2493" s="22"/>
      <c r="Z2493" s="22"/>
      <c r="AA2493" s="22"/>
      <c r="AB2493" s="22"/>
      <c r="AC2493" s="22"/>
      <c r="AD2493" s="22"/>
      <c r="AE2493" s="22"/>
      <c r="AF2493" s="22"/>
      <c r="AG2493" s="22"/>
      <c r="AH2493" s="22"/>
      <c r="AI2493" s="22"/>
      <c r="AJ2493" s="22"/>
    </row>
    <row r="2494" spans="1:36" x14ac:dyDescent="0.25">
      <c r="A2494" s="22" t="s">
        <v>4291</v>
      </c>
      <c r="B2494" s="22">
        <v>0</v>
      </c>
      <c r="C2494" s="22"/>
      <c r="D2494" s="22"/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W2494" s="22"/>
      <c r="X2494" s="22"/>
      <c r="Y2494" s="22"/>
      <c r="Z2494" s="22"/>
      <c r="AA2494" s="22"/>
      <c r="AB2494" s="22"/>
      <c r="AC2494" s="22"/>
      <c r="AD2494" s="22"/>
      <c r="AE2494" s="22"/>
      <c r="AF2494" s="22"/>
      <c r="AG2494" s="22"/>
      <c r="AH2494" s="22"/>
      <c r="AI2494" s="22"/>
      <c r="AJ2494" s="22"/>
    </row>
    <row r="2495" spans="1:36" x14ac:dyDescent="0.25">
      <c r="A2495" s="22" t="s">
        <v>4292</v>
      </c>
      <c r="B2495" s="22">
        <v>0</v>
      </c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  <c r="O2495" s="22"/>
      <c r="P2495" s="22"/>
      <c r="Q2495" s="22"/>
      <c r="R2495" s="22"/>
      <c r="S2495" s="22"/>
      <c r="T2495" s="22"/>
      <c r="U2495" s="22"/>
      <c r="V2495" s="22"/>
      <c r="W2495" s="22"/>
      <c r="X2495" s="22"/>
      <c r="Y2495" s="22"/>
      <c r="Z2495" s="22"/>
      <c r="AA2495" s="22"/>
      <c r="AB2495" s="22"/>
      <c r="AC2495" s="22"/>
      <c r="AD2495" s="22"/>
      <c r="AE2495" s="22"/>
      <c r="AF2495" s="22"/>
      <c r="AG2495" s="22"/>
      <c r="AH2495" s="22"/>
      <c r="AI2495" s="22"/>
      <c r="AJ2495" s="22"/>
    </row>
    <row r="2496" spans="1:36" x14ac:dyDescent="0.25">
      <c r="A2496" s="22" t="s">
        <v>4293</v>
      </c>
      <c r="B2496" s="22">
        <v>0</v>
      </c>
      <c r="C2496" s="22"/>
      <c r="D2496" s="22"/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  <c r="O2496" s="22"/>
      <c r="P2496" s="22"/>
      <c r="Q2496" s="22"/>
      <c r="R2496" s="22"/>
      <c r="S2496" s="22"/>
      <c r="T2496" s="22"/>
      <c r="U2496" s="22"/>
      <c r="V2496" s="22"/>
      <c r="W2496" s="22"/>
      <c r="X2496" s="22"/>
      <c r="Y2496" s="22"/>
      <c r="Z2496" s="22"/>
      <c r="AA2496" s="22"/>
      <c r="AB2496" s="22"/>
      <c r="AC2496" s="22"/>
      <c r="AD2496" s="22"/>
      <c r="AE2496" s="22"/>
      <c r="AF2496" s="22"/>
      <c r="AG2496" s="22"/>
      <c r="AH2496" s="22"/>
      <c r="AI2496" s="22"/>
      <c r="AJ2496" s="22"/>
    </row>
    <row r="2497" spans="1:36" x14ac:dyDescent="0.25">
      <c r="A2497" s="22" t="s">
        <v>4294</v>
      </c>
      <c r="B2497" s="22">
        <v>0</v>
      </c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  <c r="O2497" s="22"/>
      <c r="P2497" s="22"/>
      <c r="Q2497" s="22"/>
      <c r="R2497" s="22"/>
      <c r="S2497" s="22"/>
      <c r="T2497" s="22"/>
      <c r="U2497" s="22"/>
      <c r="V2497" s="22"/>
      <c r="W2497" s="22"/>
      <c r="X2497" s="22"/>
      <c r="Y2497" s="22"/>
      <c r="Z2497" s="22"/>
      <c r="AA2497" s="22"/>
      <c r="AB2497" s="22"/>
      <c r="AC2497" s="22"/>
      <c r="AD2497" s="22"/>
      <c r="AE2497" s="22"/>
      <c r="AF2497" s="22"/>
      <c r="AG2497" s="22"/>
      <c r="AH2497" s="22"/>
      <c r="AI2497" s="22"/>
      <c r="AJ2497" s="22"/>
    </row>
    <row r="2498" spans="1:36" x14ac:dyDescent="0.25">
      <c r="A2498" s="22" t="s">
        <v>4295</v>
      </c>
      <c r="B2498" s="22">
        <v>0</v>
      </c>
      <c r="C2498" s="22"/>
      <c r="D2498" s="22"/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  <c r="O2498" s="22"/>
      <c r="P2498" s="22"/>
      <c r="Q2498" s="22"/>
      <c r="R2498" s="22"/>
      <c r="S2498" s="22"/>
      <c r="T2498" s="22"/>
      <c r="U2498" s="22"/>
      <c r="V2498" s="22"/>
      <c r="W2498" s="22"/>
      <c r="X2498" s="22"/>
      <c r="Y2498" s="22"/>
      <c r="Z2498" s="22"/>
      <c r="AA2498" s="22"/>
      <c r="AB2498" s="22"/>
      <c r="AC2498" s="22"/>
      <c r="AD2498" s="22"/>
      <c r="AE2498" s="22"/>
      <c r="AF2498" s="22"/>
      <c r="AG2498" s="22"/>
      <c r="AH2498" s="22"/>
      <c r="AI2498" s="22"/>
      <c r="AJ2498" s="22"/>
    </row>
    <row r="2499" spans="1:36" x14ac:dyDescent="0.25">
      <c r="A2499" s="22" t="s">
        <v>4296</v>
      </c>
      <c r="B2499" s="22">
        <v>0</v>
      </c>
      <c r="C2499" s="22"/>
      <c r="D2499" s="22"/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  <c r="O2499" s="22"/>
      <c r="P2499" s="22"/>
      <c r="Q2499" s="22"/>
      <c r="R2499" s="22"/>
      <c r="S2499" s="22"/>
      <c r="T2499" s="22"/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</row>
    <row r="2500" spans="1:36" x14ac:dyDescent="0.25">
      <c r="A2500" s="22" t="s">
        <v>4297</v>
      </c>
      <c r="B2500" s="22">
        <v>0</v>
      </c>
      <c r="C2500" s="22"/>
      <c r="D2500" s="22"/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  <c r="O2500" s="22"/>
      <c r="P2500" s="22"/>
      <c r="Q2500" s="22"/>
      <c r="R2500" s="22"/>
      <c r="S2500" s="22"/>
      <c r="T2500" s="22"/>
      <c r="U2500" s="22"/>
      <c r="V2500" s="22"/>
      <c r="W2500" s="22"/>
      <c r="X2500" s="22"/>
      <c r="Y2500" s="22"/>
      <c r="Z2500" s="22"/>
      <c r="AA2500" s="22"/>
      <c r="AB2500" s="22"/>
      <c r="AC2500" s="22"/>
      <c r="AD2500" s="22"/>
      <c r="AE2500" s="22"/>
      <c r="AF2500" s="22"/>
      <c r="AG2500" s="22"/>
      <c r="AH2500" s="22"/>
      <c r="AI2500" s="22"/>
      <c r="AJ2500" s="22"/>
    </row>
    <row r="2501" spans="1:36" x14ac:dyDescent="0.25">
      <c r="A2501" s="22" t="s">
        <v>4298</v>
      </c>
      <c r="B2501" s="22">
        <v>0</v>
      </c>
      <c r="C2501" s="22"/>
      <c r="D2501" s="22"/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  <c r="O2501" s="22"/>
      <c r="P2501" s="22"/>
      <c r="Q2501" s="22"/>
      <c r="R2501" s="22"/>
      <c r="S2501" s="22"/>
      <c r="T2501" s="22"/>
      <c r="U2501" s="22"/>
      <c r="V2501" s="22"/>
      <c r="W2501" s="22"/>
      <c r="X2501" s="22"/>
      <c r="Y2501" s="22"/>
      <c r="Z2501" s="22"/>
      <c r="AA2501" s="22"/>
      <c r="AB2501" s="22"/>
      <c r="AC2501" s="22"/>
      <c r="AD2501" s="22"/>
      <c r="AE2501" s="22"/>
      <c r="AF2501" s="22"/>
      <c r="AG2501" s="22"/>
      <c r="AH2501" s="22"/>
      <c r="AI2501" s="22"/>
      <c r="AJ2501" s="22"/>
    </row>
    <row r="2502" spans="1:36" x14ac:dyDescent="0.25">
      <c r="A2502" s="22" t="s">
        <v>4299</v>
      </c>
      <c r="B2502" s="22">
        <v>62</v>
      </c>
      <c r="C2502" s="22"/>
      <c r="D2502" s="22"/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  <c r="O2502" s="22"/>
      <c r="P2502" s="22"/>
      <c r="Q2502" s="22"/>
      <c r="R2502" s="22"/>
      <c r="S2502" s="22"/>
      <c r="T2502" s="22"/>
      <c r="U2502" s="22"/>
      <c r="V2502" s="22"/>
      <c r="W2502" s="22"/>
      <c r="X2502" s="22"/>
      <c r="Y2502" s="22"/>
      <c r="Z2502" s="22"/>
      <c r="AA2502" s="22"/>
      <c r="AB2502" s="22"/>
      <c r="AC2502" s="22"/>
      <c r="AD2502" s="22"/>
      <c r="AE2502" s="22"/>
      <c r="AF2502" s="22"/>
      <c r="AG2502" s="22"/>
      <c r="AH2502" s="22"/>
      <c r="AI2502" s="22"/>
      <c r="AJ2502" s="22"/>
    </row>
    <row r="2503" spans="1:36" x14ac:dyDescent="0.25">
      <c r="A2503" s="22" t="s">
        <v>4300</v>
      </c>
      <c r="B2503" s="22">
        <v>4</v>
      </c>
      <c r="C2503" s="22"/>
      <c r="D2503" s="22"/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  <c r="AB2503" s="22"/>
      <c r="AC2503" s="22"/>
      <c r="AD2503" s="22"/>
      <c r="AE2503" s="22"/>
      <c r="AF2503" s="22"/>
      <c r="AG2503" s="22"/>
      <c r="AH2503" s="22"/>
      <c r="AI2503" s="22"/>
      <c r="AJ2503" s="22"/>
    </row>
    <row r="2504" spans="1:36" x14ac:dyDescent="0.25">
      <c r="A2504" s="22" t="s">
        <v>4301</v>
      </c>
      <c r="B2504" s="22">
        <v>0</v>
      </c>
      <c r="C2504" s="22"/>
      <c r="D2504" s="22"/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  <c r="O2504" s="22"/>
      <c r="P2504" s="22"/>
      <c r="Q2504" s="22"/>
      <c r="R2504" s="22"/>
      <c r="S2504" s="22"/>
      <c r="T2504" s="22"/>
      <c r="U2504" s="22"/>
      <c r="V2504" s="22"/>
      <c r="W2504" s="22"/>
      <c r="X2504" s="22"/>
      <c r="Y2504" s="22"/>
      <c r="Z2504" s="22"/>
      <c r="AA2504" s="22"/>
      <c r="AB2504" s="22"/>
      <c r="AC2504" s="22"/>
      <c r="AD2504" s="22"/>
      <c r="AE2504" s="22"/>
      <c r="AF2504" s="22"/>
      <c r="AG2504" s="22"/>
      <c r="AH2504" s="22"/>
      <c r="AI2504" s="22"/>
      <c r="AJ2504" s="22"/>
    </row>
    <row r="2505" spans="1:36" x14ac:dyDescent="0.25">
      <c r="A2505" s="22" t="s">
        <v>4302</v>
      </c>
      <c r="B2505" s="22">
        <v>0</v>
      </c>
      <c r="C2505" s="22"/>
      <c r="D2505" s="22"/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  <c r="O2505" s="22"/>
      <c r="P2505" s="22"/>
      <c r="Q2505" s="22"/>
      <c r="R2505" s="22"/>
      <c r="S2505" s="22"/>
      <c r="T2505" s="22"/>
      <c r="U2505" s="22"/>
      <c r="V2505" s="22"/>
      <c r="W2505" s="22"/>
      <c r="X2505" s="22"/>
      <c r="Y2505" s="22"/>
      <c r="Z2505" s="22"/>
      <c r="AA2505" s="22"/>
      <c r="AB2505" s="22"/>
      <c r="AC2505" s="22"/>
      <c r="AD2505" s="22"/>
      <c r="AE2505" s="22"/>
      <c r="AF2505" s="22"/>
      <c r="AG2505" s="22"/>
      <c r="AH2505" s="22"/>
      <c r="AI2505" s="22"/>
      <c r="AJ2505" s="22"/>
    </row>
    <row r="2506" spans="1:36" x14ac:dyDescent="0.25">
      <c r="A2506" s="22" t="s">
        <v>4303</v>
      </c>
      <c r="B2506" s="22">
        <v>0</v>
      </c>
      <c r="C2506" s="22"/>
      <c r="D2506" s="22"/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  <c r="O2506" s="22"/>
      <c r="P2506" s="22"/>
      <c r="Q2506" s="22"/>
      <c r="R2506" s="22"/>
      <c r="S2506" s="22"/>
      <c r="T2506" s="22"/>
      <c r="U2506" s="22"/>
      <c r="V2506" s="22"/>
      <c r="W2506" s="22"/>
      <c r="X2506" s="22"/>
      <c r="Y2506" s="22"/>
      <c r="Z2506" s="22"/>
      <c r="AA2506" s="22"/>
      <c r="AB2506" s="22"/>
      <c r="AC2506" s="22"/>
      <c r="AD2506" s="22"/>
      <c r="AE2506" s="22"/>
      <c r="AF2506" s="22"/>
      <c r="AG2506" s="22"/>
      <c r="AH2506" s="22"/>
      <c r="AI2506" s="22"/>
      <c r="AJ2506" s="22"/>
    </row>
    <row r="2507" spans="1:36" x14ac:dyDescent="0.25">
      <c r="A2507" s="22" t="s">
        <v>4304</v>
      </c>
      <c r="B2507" s="22">
        <v>0</v>
      </c>
      <c r="C2507" s="22"/>
      <c r="D2507" s="22"/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  <c r="O2507" s="22"/>
      <c r="P2507" s="22"/>
      <c r="Q2507" s="22"/>
      <c r="R2507" s="22"/>
      <c r="S2507" s="22"/>
      <c r="T2507" s="22"/>
      <c r="U2507" s="22"/>
      <c r="V2507" s="22"/>
      <c r="W2507" s="22"/>
      <c r="X2507" s="22"/>
      <c r="Y2507" s="22"/>
      <c r="Z2507" s="22"/>
      <c r="AA2507" s="22"/>
      <c r="AB2507" s="22"/>
      <c r="AC2507" s="22"/>
      <c r="AD2507" s="22"/>
      <c r="AE2507" s="22"/>
      <c r="AF2507" s="22"/>
      <c r="AG2507" s="22"/>
      <c r="AH2507" s="22"/>
      <c r="AI2507" s="22"/>
      <c r="AJ2507" s="22"/>
    </row>
    <row r="2508" spans="1:36" x14ac:dyDescent="0.25">
      <c r="A2508" s="22" t="s">
        <v>4305</v>
      </c>
      <c r="B2508" s="22">
        <v>0</v>
      </c>
      <c r="C2508" s="22"/>
      <c r="D2508" s="22"/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  <c r="O2508" s="22"/>
      <c r="P2508" s="22"/>
      <c r="Q2508" s="22"/>
      <c r="R2508" s="22"/>
      <c r="S2508" s="22"/>
      <c r="T2508" s="22"/>
      <c r="U2508" s="22"/>
      <c r="V2508" s="22"/>
      <c r="W2508" s="22"/>
      <c r="X2508" s="22"/>
      <c r="Y2508" s="22"/>
      <c r="Z2508" s="22"/>
      <c r="AA2508" s="22"/>
      <c r="AB2508" s="22"/>
      <c r="AC2508" s="22"/>
      <c r="AD2508" s="22"/>
      <c r="AE2508" s="22"/>
      <c r="AF2508" s="22"/>
      <c r="AG2508" s="22"/>
      <c r="AH2508" s="22"/>
      <c r="AI2508" s="22"/>
      <c r="AJ2508" s="22"/>
    </row>
    <row r="2509" spans="1:36" x14ac:dyDescent="0.25">
      <c r="A2509" s="22" t="s">
        <v>4306</v>
      </c>
      <c r="B2509" s="22">
        <v>0</v>
      </c>
      <c r="C2509" s="22"/>
      <c r="D2509" s="22"/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  <c r="O2509" s="22"/>
      <c r="P2509" s="22"/>
      <c r="Q2509" s="22"/>
      <c r="R2509" s="22"/>
      <c r="S2509" s="22"/>
      <c r="T2509" s="22"/>
      <c r="U2509" s="22"/>
      <c r="V2509" s="22"/>
      <c r="W2509" s="22"/>
      <c r="X2509" s="22"/>
      <c r="Y2509" s="22"/>
      <c r="Z2509" s="22"/>
      <c r="AA2509" s="22"/>
      <c r="AB2509" s="22"/>
      <c r="AC2509" s="22"/>
      <c r="AD2509" s="22"/>
      <c r="AE2509" s="22"/>
      <c r="AF2509" s="22"/>
      <c r="AG2509" s="22"/>
      <c r="AH2509" s="22"/>
      <c r="AI2509" s="22"/>
      <c r="AJ2509" s="22"/>
    </row>
    <row r="2510" spans="1:36" x14ac:dyDescent="0.25">
      <c r="A2510" s="22" t="s">
        <v>952</v>
      </c>
      <c r="B2510" s="22">
        <v>0</v>
      </c>
      <c r="C2510" s="22"/>
      <c r="D2510" s="22"/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  <c r="O2510" s="22"/>
      <c r="P2510" s="22"/>
      <c r="Q2510" s="22"/>
      <c r="R2510" s="22"/>
      <c r="S2510" s="22"/>
      <c r="T2510" s="22"/>
      <c r="U2510" s="22"/>
      <c r="V2510" s="22"/>
      <c r="W2510" s="22"/>
      <c r="X2510" s="22"/>
      <c r="Y2510" s="22"/>
      <c r="Z2510" s="22"/>
      <c r="AA2510" s="22"/>
      <c r="AB2510" s="22"/>
      <c r="AC2510" s="22"/>
      <c r="AD2510" s="22"/>
      <c r="AE2510" s="22"/>
      <c r="AF2510" s="22"/>
      <c r="AG2510" s="22"/>
      <c r="AH2510" s="22"/>
      <c r="AI2510" s="22"/>
      <c r="AJ2510" s="22"/>
    </row>
    <row r="2511" spans="1:36" x14ac:dyDescent="0.25">
      <c r="A2511" s="22" t="s">
        <v>3411</v>
      </c>
      <c r="B2511" s="22">
        <v>0</v>
      </c>
      <c r="C2511" s="22"/>
      <c r="D2511" s="22"/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  <c r="O2511" s="22"/>
      <c r="P2511" s="22"/>
      <c r="Q2511" s="22"/>
      <c r="R2511" s="22"/>
      <c r="S2511" s="22"/>
      <c r="T2511" s="22"/>
      <c r="U2511" s="22"/>
      <c r="V2511" s="22"/>
      <c r="W2511" s="22"/>
      <c r="X2511" s="22"/>
      <c r="Y2511" s="22"/>
      <c r="Z2511" s="22"/>
      <c r="AA2511" s="22"/>
      <c r="AB2511" s="22"/>
      <c r="AC2511" s="22"/>
      <c r="AD2511" s="22"/>
      <c r="AE2511" s="22"/>
      <c r="AF2511" s="22"/>
      <c r="AG2511" s="22"/>
      <c r="AH2511" s="22"/>
      <c r="AI2511" s="22"/>
      <c r="AJ2511" s="22"/>
    </row>
    <row r="2512" spans="1:36" x14ac:dyDescent="0.25">
      <c r="A2512" s="22" t="s">
        <v>3412</v>
      </c>
      <c r="B2512" s="22">
        <v>0</v>
      </c>
      <c r="C2512" s="22"/>
      <c r="D2512" s="22"/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  <c r="O2512" s="22"/>
      <c r="P2512" s="22"/>
      <c r="Q2512" s="22"/>
      <c r="R2512" s="22"/>
      <c r="S2512" s="22"/>
      <c r="T2512" s="22"/>
      <c r="U2512" s="22"/>
      <c r="V2512" s="22"/>
      <c r="W2512" s="22"/>
      <c r="X2512" s="22"/>
      <c r="Y2512" s="22"/>
      <c r="Z2512" s="22"/>
      <c r="AA2512" s="22"/>
      <c r="AB2512" s="22"/>
      <c r="AC2512" s="22"/>
      <c r="AD2512" s="22"/>
      <c r="AE2512" s="22"/>
      <c r="AF2512" s="22"/>
      <c r="AG2512" s="22"/>
      <c r="AH2512" s="22"/>
      <c r="AI2512" s="22"/>
      <c r="AJ2512" s="22"/>
    </row>
    <row r="2513" spans="1:36" x14ac:dyDescent="0.25">
      <c r="A2513" s="22" t="s">
        <v>3413</v>
      </c>
      <c r="B2513" s="22">
        <v>0</v>
      </c>
      <c r="C2513" s="22"/>
      <c r="D2513" s="22"/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  <c r="O2513" s="22"/>
      <c r="P2513" s="22"/>
      <c r="Q2513" s="22"/>
      <c r="R2513" s="22"/>
      <c r="S2513" s="22"/>
      <c r="T2513" s="22"/>
      <c r="U2513" s="22"/>
      <c r="V2513" s="22"/>
      <c r="W2513" s="22"/>
      <c r="X2513" s="22"/>
      <c r="Y2513" s="22"/>
      <c r="Z2513" s="22"/>
      <c r="AA2513" s="22"/>
      <c r="AB2513" s="22"/>
      <c r="AC2513" s="22"/>
      <c r="AD2513" s="22"/>
      <c r="AE2513" s="22"/>
      <c r="AF2513" s="22"/>
      <c r="AG2513" s="22"/>
      <c r="AH2513" s="22"/>
      <c r="AI2513" s="22"/>
      <c r="AJ2513" s="22"/>
    </row>
    <row r="2514" spans="1:36" x14ac:dyDescent="0.25">
      <c r="A2514" s="22" t="s">
        <v>3414</v>
      </c>
      <c r="B2514" s="22">
        <v>0</v>
      </c>
      <c r="C2514" s="22"/>
      <c r="D2514" s="22"/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  <c r="O2514" s="22"/>
      <c r="P2514" s="22"/>
      <c r="Q2514" s="22"/>
      <c r="R2514" s="22"/>
      <c r="S2514" s="22"/>
      <c r="T2514" s="22"/>
      <c r="U2514" s="22"/>
      <c r="V2514" s="22"/>
      <c r="W2514" s="22"/>
      <c r="X2514" s="22"/>
      <c r="Y2514" s="22"/>
      <c r="Z2514" s="22"/>
      <c r="AA2514" s="22"/>
      <c r="AB2514" s="22"/>
      <c r="AC2514" s="22"/>
      <c r="AD2514" s="22"/>
      <c r="AE2514" s="22"/>
      <c r="AF2514" s="22"/>
      <c r="AG2514" s="22"/>
      <c r="AH2514" s="22"/>
      <c r="AI2514" s="22"/>
      <c r="AJ2514" s="22"/>
    </row>
    <row r="2515" spans="1:36" x14ac:dyDescent="0.25">
      <c r="A2515" s="22" t="s">
        <v>3415</v>
      </c>
      <c r="B2515" s="22">
        <v>0</v>
      </c>
      <c r="C2515" s="22"/>
      <c r="D2515" s="22"/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  <c r="O2515" s="22"/>
      <c r="P2515" s="22"/>
      <c r="Q2515" s="22"/>
      <c r="R2515" s="22"/>
      <c r="S2515" s="22"/>
      <c r="T2515" s="22"/>
      <c r="U2515" s="22"/>
      <c r="V2515" s="22"/>
      <c r="W2515" s="22"/>
      <c r="X2515" s="22"/>
      <c r="Y2515" s="22"/>
      <c r="Z2515" s="22"/>
      <c r="AA2515" s="22"/>
      <c r="AB2515" s="22"/>
      <c r="AC2515" s="22"/>
      <c r="AD2515" s="22"/>
      <c r="AE2515" s="22"/>
      <c r="AF2515" s="22"/>
      <c r="AG2515" s="22"/>
      <c r="AH2515" s="22"/>
      <c r="AI2515" s="22"/>
      <c r="AJ2515" s="22"/>
    </row>
    <row r="2516" spans="1:36" x14ac:dyDescent="0.25">
      <c r="A2516" s="22" t="s">
        <v>3416</v>
      </c>
      <c r="B2516" s="22">
        <v>0</v>
      </c>
      <c r="C2516" s="22"/>
      <c r="D2516" s="22"/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  <c r="O2516" s="22"/>
      <c r="P2516" s="22"/>
      <c r="Q2516" s="22"/>
      <c r="R2516" s="22"/>
      <c r="S2516" s="22"/>
      <c r="T2516" s="22"/>
      <c r="U2516" s="22"/>
      <c r="V2516" s="22"/>
      <c r="W2516" s="22"/>
      <c r="X2516" s="22"/>
      <c r="Y2516" s="22"/>
      <c r="Z2516" s="22"/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</row>
    <row r="2517" spans="1:36" x14ac:dyDescent="0.25">
      <c r="A2517" s="22" t="s">
        <v>3417</v>
      </c>
      <c r="B2517" s="22">
        <v>0</v>
      </c>
      <c r="C2517" s="22"/>
      <c r="D2517" s="22"/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  <c r="O2517" s="22"/>
      <c r="P2517" s="22"/>
      <c r="Q2517" s="22"/>
      <c r="R2517" s="22"/>
      <c r="S2517" s="22"/>
      <c r="T2517" s="22"/>
      <c r="U2517" s="22"/>
      <c r="V2517" s="22"/>
      <c r="W2517" s="22"/>
      <c r="X2517" s="22"/>
      <c r="Y2517" s="22"/>
      <c r="Z2517" s="22"/>
      <c r="AA2517" s="22"/>
      <c r="AB2517" s="22"/>
      <c r="AC2517" s="22"/>
      <c r="AD2517" s="22"/>
      <c r="AE2517" s="22"/>
      <c r="AF2517" s="22"/>
      <c r="AG2517" s="22"/>
      <c r="AH2517" s="22"/>
      <c r="AI2517" s="22"/>
      <c r="AJ2517" s="22"/>
    </row>
    <row r="2518" spans="1:36" x14ac:dyDescent="0.25">
      <c r="A2518" s="22" t="s">
        <v>4307</v>
      </c>
      <c r="B2518" s="22">
        <v>25</v>
      </c>
      <c r="C2518" s="22"/>
      <c r="D2518" s="22"/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  <c r="O2518" s="22"/>
      <c r="P2518" s="22"/>
      <c r="Q2518" s="22"/>
      <c r="R2518" s="22"/>
      <c r="S2518" s="22"/>
      <c r="T2518" s="22"/>
      <c r="U2518" s="22"/>
      <c r="V2518" s="22"/>
      <c r="W2518" s="22"/>
      <c r="X2518" s="22"/>
      <c r="Y2518" s="22"/>
      <c r="Z2518" s="22"/>
      <c r="AA2518" s="22"/>
      <c r="AB2518" s="22"/>
      <c r="AC2518" s="22"/>
      <c r="AD2518" s="22"/>
      <c r="AE2518" s="22"/>
      <c r="AF2518" s="22"/>
      <c r="AG2518" s="22"/>
      <c r="AH2518" s="22"/>
      <c r="AI2518" s="22"/>
      <c r="AJ2518" s="22"/>
    </row>
    <row r="2519" spans="1:36" x14ac:dyDescent="0.25">
      <c r="A2519" s="22" t="s">
        <v>4308</v>
      </c>
      <c r="B2519" s="22">
        <v>0</v>
      </c>
      <c r="C2519" s="22"/>
      <c r="D2519" s="22"/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A2519" s="22"/>
      <c r="AB2519" s="22"/>
      <c r="AC2519" s="22"/>
      <c r="AD2519" s="22"/>
      <c r="AE2519" s="22"/>
      <c r="AF2519" s="22"/>
      <c r="AG2519" s="22"/>
      <c r="AH2519" s="22"/>
      <c r="AI2519" s="22"/>
      <c r="AJ2519" s="22"/>
    </row>
    <row r="2520" spans="1:36" x14ac:dyDescent="0.25">
      <c r="A2520" s="22" t="s">
        <v>4309</v>
      </c>
      <c r="B2520" s="22">
        <v>0</v>
      </c>
      <c r="C2520" s="22"/>
      <c r="D2520" s="22"/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  <c r="O2520" s="22"/>
      <c r="P2520" s="22"/>
      <c r="Q2520" s="22"/>
      <c r="R2520" s="22"/>
      <c r="S2520" s="22"/>
      <c r="T2520" s="22"/>
      <c r="U2520" s="22"/>
      <c r="V2520" s="22"/>
      <c r="W2520" s="22"/>
      <c r="X2520" s="22"/>
      <c r="Y2520" s="22"/>
      <c r="Z2520" s="22"/>
      <c r="AA2520" s="22"/>
      <c r="AB2520" s="22"/>
      <c r="AC2520" s="22"/>
      <c r="AD2520" s="22"/>
      <c r="AE2520" s="22"/>
      <c r="AF2520" s="22"/>
      <c r="AG2520" s="22"/>
      <c r="AH2520" s="22"/>
      <c r="AI2520" s="22"/>
      <c r="AJ2520" s="22"/>
    </row>
    <row r="2521" spans="1:36" x14ac:dyDescent="0.25">
      <c r="A2521" s="22" t="s">
        <v>4310</v>
      </c>
      <c r="B2521" s="22">
        <v>0</v>
      </c>
      <c r="C2521" s="22"/>
      <c r="D2521" s="22"/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  <c r="O2521" s="22"/>
      <c r="P2521" s="22"/>
      <c r="Q2521" s="22"/>
      <c r="R2521" s="22"/>
      <c r="S2521" s="22"/>
      <c r="T2521" s="22"/>
      <c r="U2521" s="22"/>
      <c r="V2521" s="22"/>
      <c r="W2521" s="22"/>
      <c r="X2521" s="22"/>
      <c r="Y2521" s="22"/>
      <c r="Z2521" s="22"/>
      <c r="AA2521" s="22"/>
      <c r="AB2521" s="22"/>
      <c r="AC2521" s="22"/>
      <c r="AD2521" s="22"/>
      <c r="AE2521" s="22"/>
      <c r="AF2521" s="22"/>
      <c r="AG2521" s="22"/>
      <c r="AH2521" s="22"/>
      <c r="AI2521" s="22"/>
      <c r="AJ2521" s="22"/>
    </row>
    <row r="2522" spans="1:36" x14ac:dyDescent="0.25">
      <c r="A2522" s="22" t="s">
        <v>4311</v>
      </c>
      <c r="B2522" s="22">
        <v>0</v>
      </c>
      <c r="C2522" s="22"/>
      <c r="D2522" s="22"/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  <c r="O2522" s="22"/>
      <c r="P2522" s="22"/>
      <c r="Q2522" s="22"/>
      <c r="R2522" s="22"/>
      <c r="S2522" s="22"/>
      <c r="T2522" s="22"/>
      <c r="U2522" s="22"/>
      <c r="V2522" s="22"/>
      <c r="W2522" s="22"/>
      <c r="X2522" s="22"/>
      <c r="Y2522" s="22"/>
      <c r="Z2522" s="22"/>
      <c r="AA2522" s="22"/>
      <c r="AB2522" s="22"/>
      <c r="AC2522" s="22"/>
      <c r="AD2522" s="22"/>
      <c r="AE2522" s="22"/>
      <c r="AF2522" s="22"/>
      <c r="AG2522" s="22"/>
      <c r="AH2522" s="22"/>
      <c r="AI2522" s="22"/>
      <c r="AJ2522" s="22"/>
    </row>
    <row r="2523" spans="1:36" x14ac:dyDescent="0.25">
      <c r="A2523" s="22" t="s">
        <v>4312</v>
      </c>
      <c r="B2523" s="22">
        <v>0</v>
      </c>
      <c r="C2523" s="22"/>
      <c r="D2523" s="22"/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  <c r="O2523" s="22"/>
      <c r="P2523" s="22"/>
      <c r="Q2523" s="22"/>
      <c r="R2523" s="22"/>
      <c r="S2523" s="22"/>
      <c r="T2523" s="22"/>
      <c r="U2523" s="22"/>
      <c r="V2523" s="22"/>
      <c r="W2523" s="22"/>
      <c r="X2523" s="22"/>
      <c r="Y2523" s="22"/>
      <c r="Z2523" s="22"/>
      <c r="AA2523" s="22"/>
      <c r="AB2523" s="22"/>
      <c r="AC2523" s="22"/>
      <c r="AD2523" s="22"/>
      <c r="AE2523" s="22"/>
      <c r="AF2523" s="22"/>
      <c r="AG2523" s="22"/>
      <c r="AH2523" s="22"/>
      <c r="AI2523" s="22"/>
      <c r="AJ2523" s="22"/>
    </row>
    <row r="2524" spans="1:36" x14ac:dyDescent="0.25">
      <c r="A2524" s="22" t="s">
        <v>4313</v>
      </c>
      <c r="B2524" s="22">
        <v>0</v>
      </c>
      <c r="C2524" s="22"/>
      <c r="D2524" s="22"/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  <c r="O2524" s="22"/>
      <c r="P2524" s="22"/>
      <c r="Q2524" s="22"/>
      <c r="R2524" s="22"/>
      <c r="S2524" s="22"/>
      <c r="T2524" s="22"/>
      <c r="U2524" s="22"/>
      <c r="V2524" s="22"/>
      <c r="W2524" s="22"/>
      <c r="X2524" s="22"/>
      <c r="Y2524" s="22"/>
      <c r="Z2524" s="22"/>
      <c r="AA2524" s="22"/>
      <c r="AB2524" s="22"/>
      <c r="AC2524" s="22"/>
      <c r="AD2524" s="22"/>
      <c r="AE2524" s="22"/>
      <c r="AF2524" s="22"/>
      <c r="AG2524" s="22"/>
      <c r="AH2524" s="22"/>
      <c r="AI2524" s="22"/>
      <c r="AJ2524" s="22"/>
    </row>
    <row r="2525" spans="1:36" x14ac:dyDescent="0.25">
      <c r="A2525" s="22" t="s">
        <v>4314</v>
      </c>
      <c r="B2525" s="22">
        <v>0</v>
      </c>
      <c r="C2525" s="22"/>
      <c r="D2525" s="22"/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  <c r="O2525" s="22"/>
      <c r="P2525" s="22"/>
      <c r="Q2525" s="22"/>
      <c r="R2525" s="22"/>
      <c r="S2525" s="22"/>
      <c r="T2525" s="22"/>
      <c r="U2525" s="22"/>
      <c r="V2525" s="22"/>
      <c r="W2525" s="22"/>
      <c r="X2525" s="22"/>
      <c r="Y2525" s="22"/>
      <c r="Z2525" s="22"/>
      <c r="AA2525" s="22"/>
      <c r="AB2525" s="22"/>
      <c r="AC2525" s="22"/>
      <c r="AD2525" s="22"/>
      <c r="AE2525" s="22"/>
      <c r="AF2525" s="22"/>
      <c r="AG2525" s="22"/>
      <c r="AH2525" s="22"/>
      <c r="AI2525" s="22"/>
      <c r="AJ2525" s="22"/>
    </row>
    <row r="2526" spans="1:36" x14ac:dyDescent="0.25">
      <c r="A2526" s="22" t="s">
        <v>467</v>
      </c>
      <c r="B2526" s="22">
        <v>0</v>
      </c>
      <c r="C2526" s="22"/>
      <c r="D2526" s="22"/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  <c r="O2526" s="22"/>
      <c r="P2526" s="22"/>
      <c r="Q2526" s="22"/>
      <c r="R2526" s="22"/>
      <c r="S2526" s="22"/>
      <c r="T2526" s="22"/>
      <c r="U2526" s="22"/>
      <c r="V2526" s="22"/>
      <c r="W2526" s="22"/>
      <c r="X2526" s="22"/>
      <c r="Y2526" s="22"/>
      <c r="Z2526" s="22"/>
      <c r="AA2526" s="22"/>
      <c r="AB2526" s="22"/>
      <c r="AC2526" s="22"/>
      <c r="AD2526" s="22"/>
      <c r="AE2526" s="22"/>
      <c r="AF2526" s="22"/>
      <c r="AG2526" s="22"/>
      <c r="AH2526" s="22"/>
      <c r="AI2526" s="22"/>
      <c r="AJ2526" s="22"/>
    </row>
    <row r="2527" spans="1:36" x14ac:dyDescent="0.25">
      <c r="A2527" s="22" t="s">
        <v>3418</v>
      </c>
      <c r="B2527" s="22">
        <v>0</v>
      </c>
      <c r="C2527" s="22"/>
      <c r="D2527" s="22"/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  <c r="O2527" s="22"/>
      <c r="P2527" s="22"/>
      <c r="Q2527" s="22"/>
      <c r="R2527" s="22"/>
      <c r="S2527" s="22"/>
      <c r="T2527" s="22"/>
      <c r="U2527" s="22"/>
      <c r="V2527" s="22"/>
      <c r="W2527" s="22"/>
      <c r="X2527" s="22"/>
      <c r="Y2527" s="22"/>
      <c r="Z2527" s="22"/>
      <c r="AA2527" s="22"/>
      <c r="AB2527" s="22"/>
      <c r="AC2527" s="22"/>
      <c r="AD2527" s="22"/>
      <c r="AE2527" s="22"/>
      <c r="AF2527" s="22"/>
      <c r="AG2527" s="22"/>
      <c r="AH2527" s="22"/>
      <c r="AI2527" s="22"/>
      <c r="AJ2527" s="22"/>
    </row>
    <row r="2528" spans="1:36" x14ac:dyDescent="0.25">
      <c r="A2528" s="22" t="s">
        <v>3419</v>
      </c>
      <c r="B2528" s="22">
        <v>0</v>
      </c>
      <c r="C2528" s="22"/>
      <c r="D2528" s="22"/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  <c r="O2528" s="22"/>
      <c r="P2528" s="22"/>
      <c r="Q2528" s="22"/>
      <c r="R2528" s="22"/>
      <c r="S2528" s="22"/>
      <c r="T2528" s="22"/>
      <c r="U2528" s="22"/>
      <c r="V2528" s="22"/>
      <c r="W2528" s="22"/>
      <c r="X2528" s="22"/>
      <c r="Y2528" s="22"/>
      <c r="Z2528" s="22"/>
      <c r="AA2528" s="22"/>
      <c r="AB2528" s="22"/>
      <c r="AC2528" s="22"/>
      <c r="AD2528" s="22"/>
      <c r="AE2528" s="22"/>
      <c r="AF2528" s="22"/>
      <c r="AG2528" s="22"/>
      <c r="AH2528" s="22"/>
      <c r="AI2528" s="22"/>
      <c r="AJ2528" s="22"/>
    </row>
    <row r="2529" spans="1:36" x14ac:dyDescent="0.25">
      <c r="A2529" s="22" t="s">
        <v>3420</v>
      </c>
      <c r="B2529" s="22">
        <v>0</v>
      </c>
      <c r="C2529" s="22"/>
      <c r="D2529" s="22"/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  <c r="X2529" s="22"/>
      <c r="Y2529" s="22"/>
      <c r="Z2529" s="22"/>
      <c r="AA2529" s="22"/>
      <c r="AB2529" s="22"/>
      <c r="AC2529" s="22"/>
      <c r="AD2529" s="22"/>
      <c r="AE2529" s="22"/>
      <c r="AF2529" s="22"/>
      <c r="AG2529" s="22"/>
      <c r="AH2529" s="22"/>
      <c r="AI2529" s="22"/>
      <c r="AJ2529" s="22"/>
    </row>
    <row r="2530" spans="1:36" x14ac:dyDescent="0.25">
      <c r="A2530" s="22" t="s">
        <v>3421</v>
      </c>
      <c r="B2530" s="22">
        <v>0</v>
      </c>
      <c r="C2530" s="22"/>
      <c r="D2530" s="22"/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  <c r="O2530" s="22"/>
      <c r="P2530" s="22"/>
      <c r="Q2530" s="22"/>
      <c r="R2530" s="22"/>
      <c r="S2530" s="22"/>
      <c r="T2530" s="22"/>
      <c r="U2530" s="22"/>
      <c r="V2530" s="22"/>
      <c r="W2530" s="22"/>
      <c r="X2530" s="22"/>
      <c r="Y2530" s="22"/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</row>
    <row r="2531" spans="1:36" x14ac:dyDescent="0.25">
      <c r="A2531" s="22" t="s">
        <v>3422</v>
      </c>
      <c r="B2531" s="22">
        <v>0</v>
      </c>
      <c r="C2531" s="22"/>
      <c r="D2531" s="22"/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AF2531" s="22"/>
      <c r="AG2531" s="22"/>
      <c r="AH2531" s="22"/>
      <c r="AI2531" s="22"/>
      <c r="AJ2531" s="22"/>
    </row>
    <row r="2532" spans="1:36" x14ac:dyDescent="0.25">
      <c r="A2532" s="22" t="s">
        <v>3423</v>
      </c>
      <c r="B2532" s="22">
        <v>0</v>
      </c>
      <c r="C2532" s="22"/>
      <c r="D2532" s="22"/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  <c r="O2532" s="22"/>
      <c r="P2532" s="22"/>
      <c r="Q2532" s="22"/>
      <c r="R2532" s="22"/>
      <c r="S2532" s="22"/>
      <c r="T2532" s="22"/>
      <c r="U2532" s="22"/>
      <c r="V2532" s="22"/>
      <c r="W2532" s="22"/>
      <c r="X2532" s="22"/>
      <c r="Y2532" s="22"/>
      <c r="Z2532" s="22"/>
      <c r="AA2532" s="22"/>
      <c r="AB2532" s="22"/>
      <c r="AC2532" s="22"/>
      <c r="AD2532" s="22"/>
      <c r="AE2532" s="22"/>
      <c r="AF2532" s="22"/>
      <c r="AG2532" s="22"/>
      <c r="AH2532" s="22"/>
      <c r="AI2532" s="22"/>
      <c r="AJ2532" s="22"/>
    </row>
    <row r="2533" spans="1:36" x14ac:dyDescent="0.25">
      <c r="A2533" s="22" t="s">
        <v>3424</v>
      </c>
      <c r="B2533" s="22">
        <v>0</v>
      </c>
      <c r="C2533" s="22"/>
      <c r="D2533" s="22"/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  <c r="O2533" s="22"/>
      <c r="P2533" s="22"/>
      <c r="Q2533" s="22"/>
      <c r="R2533" s="22"/>
      <c r="S2533" s="22"/>
      <c r="T2533" s="22"/>
      <c r="U2533" s="22"/>
      <c r="V2533" s="22"/>
      <c r="W2533" s="22"/>
      <c r="X2533" s="22"/>
      <c r="Y2533" s="22"/>
      <c r="Z2533" s="22"/>
      <c r="AA2533" s="22"/>
      <c r="AB2533" s="22"/>
      <c r="AC2533" s="22"/>
      <c r="AD2533" s="22"/>
      <c r="AE2533" s="22"/>
      <c r="AF2533" s="22"/>
      <c r="AG2533" s="22"/>
      <c r="AH2533" s="22"/>
      <c r="AI2533" s="22"/>
      <c r="AJ2533" s="22"/>
    </row>
    <row r="2534" spans="1:36" x14ac:dyDescent="0.25">
      <c r="A2534" s="22" t="s">
        <v>4315</v>
      </c>
      <c r="B2534" s="22">
        <v>0</v>
      </c>
      <c r="C2534" s="22"/>
      <c r="D2534" s="22"/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  <c r="O2534" s="22"/>
      <c r="P2534" s="22"/>
      <c r="Q2534" s="22"/>
      <c r="R2534" s="22"/>
      <c r="S2534" s="22"/>
      <c r="T2534" s="22"/>
      <c r="U2534" s="22"/>
      <c r="V2534" s="22"/>
      <c r="W2534" s="22"/>
      <c r="X2534" s="22"/>
      <c r="Y2534" s="22"/>
      <c r="Z2534" s="22"/>
      <c r="AA2534" s="22"/>
      <c r="AB2534" s="22"/>
      <c r="AC2534" s="22"/>
      <c r="AD2534" s="22"/>
      <c r="AE2534" s="22"/>
      <c r="AF2534" s="22"/>
      <c r="AG2534" s="22"/>
      <c r="AH2534" s="22"/>
      <c r="AI2534" s="22"/>
      <c r="AJ2534" s="22"/>
    </row>
    <row r="2535" spans="1:36" x14ac:dyDescent="0.25">
      <c r="A2535" s="22" t="s">
        <v>4316</v>
      </c>
      <c r="B2535" s="22">
        <v>0</v>
      </c>
      <c r="C2535" s="22"/>
      <c r="D2535" s="22"/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  <c r="O2535" s="22"/>
      <c r="P2535" s="22"/>
      <c r="Q2535" s="22"/>
      <c r="R2535" s="22"/>
      <c r="S2535" s="22"/>
      <c r="T2535" s="22"/>
      <c r="U2535" s="22"/>
      <c r="V2535" s="22"/>
      <c r="W2535" s="22"/>
      <c r="X2535" s="22"/>
      <c r="Y2535" s="22"/>
      <c r="Z2535" s="22"/>
      <c r="AA2535" s="22"/>
      <c r="AB2535" s="22"/>
      <c r="AC2535" s="22"/>
      <c r="AD2535" s="22"/>
      <c r="AE2535" s="22"/>
      <c r="AF2535" s="22"/>
      <c r="AG2535" s="22"/>
      <c r="AH2535" s="22"/>
      <c r="AI2535" s="22"/>
      <c r="AJ2535" s="22"/>
    </row>
    <row r="2536" spans="1:36" x14ac:dyDescent="0.25">
      <c r="A2536" s="22" t="s">
        <v>4317</v>
      </c>
      <c r="B2536" s="22">
        <v>0</v>
      </c>
      <c r="C2536" s="22"/>
      <c r="D2536" s="22"/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  <c r="O2536" s="22"/>
      <c r="P2536" s="22"/>
      <c r="Q2536" s="22"/>
      <c r="R2536" s="22"/>
      <c r="S2536" s="22"/>
      <c r="T2536" s="22"/>
      <c r="U2536" s="22"/>
      <c r="V2536" s="22"/>
      <c r="W2536" s="22"/>
      <c r="X2536" s="22"/>
      <c r="Y2536" s="22"/>
      <c r="Z2536" s="22"/>
      <c r="AA2536" s="22"/>
      <c r="AB2536" s="22"/>
      <c r="AC2536" s="22"/>
      <c r="AD2536" s="22"/>
      <c r="AE2536" s="22"/>
      <c r="AF2536" s="22"/>
      <c r="AG2536" s="22"/>
      <c r="AH2536" s="22"/>
      <c r="AI2536" s="22"/>
      <c r="AJ2536" s="22"/>
    </row>
    <row r="2537" spans="1:36" x14ac:dyDescent="0.25">
      <c r="A2537" s="22" t="s">
        <v>4318</v>
      </c>
      <c r="B2537" s="22">
        <v>0</v>
      </c>
      <c r="C2537" s="22"/>
      <c r="D2537" s="22"/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  <c r="O2537" s="22"/>
      <c r="P2537" s="22"/>
      <c r="Q2537" s="22"/>
      <c r="R2537" s="22"/>
      <c r="S2537" s="22"/>
      <c r="T2537" s="22"/>
      <c r="U2537" s="22"/>
      <c r="V2537" s="22"/>
      <c r="W2537" s="22"/>
      <c r="X2537" s="22"/>
      <c r="Y2537" s="22"/>
      <c r="Z2537" s="22"/>
      <c r="AA2537" s="22"/>
      <c r="AB2537" s="22"/>
      <c r="AC2537" s="22"/>
      <c r="AD2537" s="22"/>
      <c r="AE2537" s="22"/>
      <c r="AF2537" s="22"/>
      <c r="AG2537" s="22"/>
      <c r="AH2537" s="22"/>
      <c r="AI2537" s="22"/>
      <c r="AJ2537" s="22"/>
    </row>
    <row r="2538" spans="1:36" x14ac:dyDescent="0.25">
      <c r="A2538" s="22" t="s">
        <v>4319</v>
      </c>
      <c r="B2538" s="22">
        <v>0</v>
      </c>
      <c r="C2538" s="22"/>
      <c r="D2538" s="22"/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  <c r="O2538" s="22"/>
      <c r="P2538" s="22"/>
      <c r="Q2538" s="22"/>
      <c r="R2538" s="22"/>
      <c r="S2538" s="22"/>
      <c r="T2538" s="22"/>
      <c r="U2538" s="22"/>
      <c r="V2538" s="22"/>
      <c r="W2538" s="22"/>
      <c r="X2538" s="22"/>
      <c r="Y2538" s="22"/>
      <c r="Z2538" s="22"/>
      <c r="AA2538" s="22"/>
      <c r="AB2538" s="22"/>
      <c r="AC2538" s="22"/>
      <c r="AD2538" s="22"/>
      <c r="AE2538" s="22"/>
      <c r="AF2538" s="22"/>
      <c r="AG2538" s="22"/>
      <c r="AH2538" s="22"/>
      <c r="AI2538" s="22"/>
      <c r="AJ2538" s="22"/>
    </row>
    <row r="2539" spans="1:36" x14ac:dyDescent="0.25">
      <c r="A2539" s="22" t="s">
        <v>4320</v>
      </c>
      <c r="B2539" s="22">
        <v>0</v>
      </c>
      <c r="C2539" s="22"/>
      <c r="D2539" s="22"/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  <c r="O2539" s="22"/>
      <c r="P2539" s="22"/>
      <c r="Q2539" s="22"/>
      <c r="R2539" s="22"/>
      <c r="S2539" s="22"/>
      <c r="T2539" s="22"/>
      <c r="U2539" s="22"/>
      <c r="V2539" s="22"/>
      <c r="W2539" s="22"/>
      <c r="X2539" s="22"/>
      <c r="Y2539" s="22"/>
      <c r="Z2539" s="22"/>
      <c r="AA2539" s="22"/>
      <c r="AB2539" s="22"/>
      <c r="AC2539" s="22"/>
      <c r="AD2539" s="22"/>
      <c r="AE2539" s="22"/>
      <c r="AF2539" s="22"/>
      <c r="AG2539" s="22"/>
      <c r="AH2539" s="22"/>
      <c r="AI2539" s="22"/>
      <c r="AJ2539" s="22"/>
    </row>
    <row r="2540" spans="1:36" x14ac:dyDescent="0.25">
      <c r="A2540" s="22" t="s">
        <v>4321</v>
      </c>
      <c r="B2540" s="22">
        <v>0</v>
      </c>
      <c r="C2540" s="22"/>
      <c r="D2540" s="22"/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  <c r="O2540" s="22"/>
      <c r="P2540" s="22"/>
      <c r="Q2540" s="22"/>
      <c r="R2540" s="22"/>
      <c r="S2540" s="22"/>
      <c r="T2540" s="22"/>
      <c r="U2540" s="22"/>
      <c r="V2540" s="22"/>
      <c r="W2540" s="22"/>
      <c r="X2540" s="22"/>
      <c r="Y2540" s="22"/>
      <c r="Z2540" s="22"/>
      <c r="AA2540" s="22"/>
      <c r="AB2540" s="22"/>
      <c r="AC2540" s="22"/>
      <c r="AD2540" s="22"/>
      <c r="AE2540" s="22"/>
      <c r="AF2540" s="22"/>
      <c r="AG2540" s="22"/>
      <c r="AH2540" s="22"/>
      <c r="AI2540" s="22"/>
      <c r="AJ2540" s="22"/>
    </row>
    <row r="2541" spans="1:36" x14ac:dyDescent="0.25">
      <c r="A2541" s="22" t="s">
        <v>4322</v>
      </c>
      <c r="B2541" s="22">
        <v>0</v>
      </c>
      <c r="C2541" s="22"/>
      <c r="D2541" s="22"/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  <c r="O2541" s="22"/>
      <c r="P2541" s="22"/>
      <c r="Q2541" s="22"/>
      <c r="R2541" s="22"/>
      <c r="S2541" s="22"/>
      <c r="T2541" s="22"/>
      <c r="U2541" s="22"/>
      <c r="V2541" s="22"/>
      <c r="W2541" s="22"/>
      <c r="X2541" s="22"/>
      <c r="Y2541" s="22"/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</row>
    <row r="2542" spans="1:36" x14ac:dyDescent="0.25">
      <c r="A2542" s="22" t="s">
        <v>4323</v>
      </c>
      <c r="B2542" s="22">
        <v>246</v>
      </c>
      <c r="C2542" s="22"/>
      <c r="D2542" s="22"/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  <c r="O2542" s="22"/>
      <c r="P2542" s="22"/>
      <c r="Q2542" s="22"/>
      <c r="R2542" s="22"/>
      <c r="S2542" s="22"/>
      <c r="T2542" s="22"/>
      <c r="U2542" s="22"/>
      <c r="V2542" s="22"/>
      <c r="W2542" s="22"/>
      <c r="X2542" s="22"/>
      <c r="Y2542" s="22"/>
      <c r="Z2542" s="22"/>
      <c r="AA2542" s="22"/>
      <c r="AB2542" s="22"/>
      <c r="AC2542" s="22"/>
      <c r="AD2542" s="22"/>
      <c r="AE2542" s="22"/>
      <c r="AF2542" s="22"/>
      <c r="AG2542" s="22"/>
      <c r="AH2542" s="22"/>
      <c r="AI2542" s="22"/>
      <c r="AJ2542" s="22"/>
    </row>
    <row r="2543" spans="1:36" x14ac:dyDescent="0.25">
      <c r="A2543" s="22" t="s">
        <v>4324</v>
      </c>
      <c r="B2543" s="22">
        <v>21</v>
      </c>
      <c r="C2543" s="22"/>
      <c r="D2543" s="22"/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  <c r="O2543" s="22"/>
      <c r="P2543" s="22"/>
      <c r="Q2543" s="22"/>
      <c r="R2543" s="22"/>
      <c r="S2543" s="22"/>
      <c r="T2543" s="22"/>
      <c r="U2543" s="22"/>
      <c r="V2543" s="22"/>
      <c r="W2543" s="22"/>
      <c r="X2543" s="22"/>
      <c r="Y2543" s="22"/>
      <c r="Z2543" s="22"/>
      <c r="AA2543" s="22"/>
      <c r="AB2543" s="22"/>
      <c r="AC2543" s="22"/>
      <c r="AD2543" s="22"/>
      <c r="AE2543" s="22"/>
      <c r="AF2543" s="22"/>
      <c r="AG2543" s="22"/>
      <c r="AH2543" s="22"/>
      <c r="AI2543" s="22"/>
      <c r="AJ2543" s="22"/>
    </row>
    <row r="2544" spans="1:36" x14ac:dyDescent="0.25">
      <c r="A2544" s="22" t="s">
        <v>4325</v>
      </c>
      <c r="B2544" s="22">
        <v>0</v>
      </c>
      <c r="C2544" s="22"/>
      <c r="D2544" s="22"/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  <c r="O2544" s="22"/>
      <c r="P2544" s="22"/>
      <c r="Q2544" s="22"/>
      <c r="R2544" s="22"/>
      <c r="S2544" s="22"/>
      <c r="T2544" s="22"/>
      <c r="U2544" s="22"/>
      <c r="V2544" s="22"/>
      <c r="W2544" s="22"/>
      <c r="X2544" s="22"/>
      <c r="Y2544" s="22"/>
      <c r="Z2544" s="22"/>
      <c r="AA2544" s="22"/>
      <c r="AB2544" s="22"/>
      <c r="AC2544" s="22"/>
      <c r="AD2544" s="22"/>
      <c r="AE2544" s="22"/>
      <c r="AF2544" s="22"/>
      <c r="AG2544" s="22"/>
      <c r="AH2544" s="22"/>
      <c r="AI2544" s="22"/>
      <c r="AJ2544" s="22"/>
    </row>
    <row r="2545" spans="1:36" x14ac:dyDescent="0.25">
      <c r="A2545" s="22" t="s">
        <v>4326</v>
      </c>
      <c r="B2545" s="22">
        <v>0</v>
      </c>
      <c r="C2545" s="22"/>
      <c r="D2545" s="22"/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  <c r="O2545" s="22"/>
      <c r="P2545" s="22"/>
      <c r="Q2545" s="22"/>
      <c r="R2545" s="22"/>
      <c r="S2545" s="22"/>
      <c r="T2545" s="22"/>
      <c r="U2545" s="22"/>
      <c r="V2545" s="22"/>
      <c r="W2545" s="22"/>
      <c r="X2545" s="22"/>
      <c r="Y2545" s="22"/>
      <c r="Z2545" s="22"/>
      <c r="AA2545" s="22"/>
      <c r="AB2545" s="22"/>
      <c r="AC2545" s="22"/>
      <c r="AD2545" s="22"/>
      <c r="AE2545" s="22"/>
      <c r="AF2545" s="22"/>
      <c r="AG2545" s="22"/>
      <c r="AH2545" s="22"/>
      <c r="AI2545" s="22"/>
      <c r="AJ2545" s="22"/>
    </row>
    <row r="2546" spans="1:36" x14ac:dyDescent="0.25">
      <c r="A2546" s="22" t="s">
        <v>4327</v>
      </c>
      <c r="B2546" s="22">
        <v>34</v>
      </c>
      <c r="C2546" s="22"/>
      <c r="D2546" s="22"/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  <c r="O2546" s="22"/>
      <c r="P2546" s="22"/>
      <c r="Q2546" s="22"/>
      <c r="R2546" s="22"/>
      <c r="S2546" s="22"/>
      <c r="T2546" s="22"/>
      <c r="U2546" s="22"/>
      <c r="V2546" s="22"/>
      <c r="W2546" s="22"/>
      <c r="X2546" s="22"/>
      <c r="Y2546" s="22"/>
      <c r="Z2546" s="22"/>
      <c r="AA2546" s="22"/>
      <c r="AB2546" s="22"/>
      <c r="AC2546" s="22"/>
      <c r="AD2546" s="22"/>
      <c r="AE2546" s="22"/>
      <c r="AF2546" s="22"/>
      <c r="AG2546" s="22"/>
      <c r="AH2546" s="22"/>
      <c r="AI2546" s="22"/>
      <c r="AJ2546" s="22"/>
    </row>
    <row r="2547" spans="1:36" x14ac:dyDescent="0.25">
      <c r="A2547" s="22" t="s">
        <v>4328</v>
      </c>
      <c r="B2547" s="22">
        <v>0</v>
      </c>
      <c r="C2547" s="22"/>
      <c r="D2547" s="22"/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  <c r="O2547" s="22"/>
      <c r="P2547" s="22"/>
      <c r="Q2547" s="22"/>
      <c r="R2547" s="22"/>
      <c r="S2547" s="22"/>
      <c r="T2547" s="22"/>
      <c r="U2547" s="22"/>
      <c r="V2547" s="22"/>
      <c r="W2547" s="22"/>
      <c r="X2547" s="22"/>
      <c r="Y2547" s="22"/>
      <c r="Z2547" s="22"/>
      <c r="AA2547" s="22"/>
      <c r="AB2547" s="22"/>
      <c r="AC2547" s="22"/>
      <c r="AD2547" s="22"/>
      <c r="AE2547" s="22"/>
      <c r="AF2547" s="22"/>
      <c r="AG2547" s="22"/>
      <c r="AH2547" s="22"/>
      <c r="AI2547" s="22"/>
      <c r="AJ2547" s="22"/>
    </row>
    <row r="2548" spans="1:36" x14ac:dyDescent="0.25">
      <c r="A2548" s="22" t="s">
        <v>4329</v>
      </c>
      <c r="B2548" s="22">
        <v>0</v>
      </c>
      <c r="C2548" s="22"/>
      <c r="D2548" s="22"/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  <c r="O2548" s="22"/>
      <c r="P2548" s="22"/>
      <c r="Q2548" s="22"/>
      <c r="R2548" s="22"/>
      <c r="S2548" s="22"/>
      <c r="T2548" s="22"/>
      <c r="U2548" s="22"/>
      <c r="V2548" s="22"/>
      <c r="W2548" s="22"/>
      <c r="X2548" s="22"/>
      <c r="Y2548" s="22"/>
      <c r="Z2548" s="22"/>
      <c r="AA2548" s="22"/>
      <c r="AB2548" s="22"/>
      <c r="AC2548" s="22"/>
      <c r="AD2548" s="22"/>
      <c r="AE2548" s="22"/>
      <c r="AF2548" s="22"/>
      <c r="AG2548" s="22"/>
      <c r="AH2548" s="22"/>
      <c r="AI2548" s="22"/>
      <c r="AJ2548" s="22"/>
    </row>
    <row r="2549" spans="1:36" x14ac:dyDescent="0.25">
      <c r="A2549" s="22" t="s">
        <v>4330</v>
      </c>
      <c r="B2549" s="22">
        <v>0</v>
      </c>
      <c r="C2549" s="22"/>
      <c r="D2549" s="22"/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  <c r="O2549" s="22"/>
      <c r="P2549" s="22"/>
      <c r="Q2549" s="22"/>
      <c r="R2549" s="22"/>
      <c r="S2549" s="22"/>
      <c r="T2549" s="22"/>
      <c r="U2549" s="22"/>
      <c r="V2549" s="22"/>
      <c r="W2549" s="22"/>
      <c r="X2549" s="22"/>
      <c r="Y2549" s="22"/>
      <c r="Z2549" s="22"/>
      <c r="AA2549" s="22"/>
      <c r="AB2549" s="22"/>
      <c r="AC2549" s="22"/>
      <c r="AD2549" s="22"/>
      <c r="AE2549" s="22"/>
      <c r="AF2549" s="22"/>
      <c r="AG2549" s="22"/>
      <c r="AH2549" s="22"/>
      <c r="AI2549" s="22"/>
      <c r="AJ2549" s="22"/>
    </row>
    <row r="2550" spans="1:36" x14ac:dyDescent="0.25">
      <c r="A2550" s="22" t="s">
        <v>4331</v>
      </c>
      <c r="B2550" s="22">
        <v>0</v>
      </c>
      <c r="C2550" s="22"/>
      <c r="D2550" s="22"/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  <c r="O2550" s="22"/>
      <c r="P2550" s="22"/>
      <c r="Q2550" s="22"/>
      <c r="R2550" s="22"/>
      <c r="S2550" s="22"/>
      <c r="T2550" s="22"/>
      <c r="U2550" s="22"/>
      <c r="V2550" s="22"/>
      <c r="W2550" s="22"/>
      <c r="X2550" s="22"/>
      <c r="Y2550" s="22"/>
      <c r="Z2550" s="22"/>
      <c r="AA2550" s="22"/>
      <c r="AB2550" s="22"/>
      <c r="AC2550" s="22"/>
      <c r="AD2550" s="22"/>
      <c r="AE2550" s="22"/>
      <c r="AF2550" s="22"/>
      <c r="AG2550" s="22"/>
      <c r="AH2550" s="22"/>
      <c r="AI2550" s="22"/>
      <c r="AJ2550" s="22"/>
    </row>
    <row r="2551" spans="1:36" x14ac:dyDescent="0.25">
      <c r="A2551" s="22" t="s">
        <v>4332</v>
      </c>
      <c r="B2551" s="22">
        <v>0</v>
      </c>
      <c r="C2551" s="22"/>
      <c r="D2551" s="22"/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  <c r="O2551" s="22"/>
      <c r="P2551" s="22"/>
      <c r="Q2551" s="22"/>
      <c r="R2551" s="22"/>
      <c r="S2551" s="22"/>
      <c r="T2551" s="22"/>
      <c r="U2551" s="22"/>
      <c r="V2551" s="22"/>
      <c r="W2551" s="22"/>
      <c r="X2551" s="22"/>
      <c r="Y2551" s="22"/>
      <c r="Z2551" s="22"/>
      <c r="AA2551" s="22"/>
      <c r="AB2551" s="22"/>
      <c r="AC2551" s="22"/>
      <c r="AD2551" s="22"/>
      <c r="AE2551" s="22"/>
      <c r="AF2551" s="22"/>
      <c r="AG2551" s="22"/>
      <c r="AH2551" s="22"/>
      <c r="AI2551" s="22"/>
      <c r="AJ2551" s="22"/>
    </row>
    <row r="2552" spans="1:36" x14ac:dyDescent="0.25">
      <c r="A2552" s="22" t="s">
        <v>4333</v>
      </c>
      <c r="B2552" s="22">
        <v>0</v>
      </c>
      <c r="C2552" s="22"/>
      <c r="D2552" s="22"/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  <c r="O2552" s="22"/>
      <c r="P2552" s="22"/>
      <c r="Q2552" s="22"/>
      <c r="R2552" s="22"/>
      <c r="S2552" s="22"/>
      <c r="T2552" s="22"/>
      <c r="U2552" s="22"/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</row>
    <row r="2553" spans="1:36" x14ac:dyDescent="0.25">
      <c r="A2553" s="22" t="s">
        <v>4334</v>
      </c>
      <c r="B2553" s="22">
        <v>0</v>
      </c>
      <c r="C2553" s="22"/>
      <c r="D2553" s="22"/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  <c r="O2553" s="22"/>
      <c r="P2553" s="22"/>
      <c r="Q2553" s="22"/>
      <c r="R2553" s="22"/>
      <c r="S2553" s="22"/>
      <c r="T2553" s="22"/>
      <c r="U2553" s="22"/>
      <c r="V2553" s="22"/>
      <c r="W2553" s="22"/>
      <c r="X2553" s="22"/>
      <c r="Y2553" s="22"/>
      <c r="Z2553" s="22"/>
      <c r="AA2553" s="22"/>
      <c r="AB2553" s="22"/>
      <c r="AC2553" s="22"/>
      <c r="AD2553" s="22"/>
      <c r="AE2553" s="22"/>
      <c r="AF2553" s="22"/>
      <c r="AG2553" s="22"/>
      <c r="AH2553" s="22"/>
      <c r="AI2553" s="22"/>
      <c r="AJ2553" s="22"/>
    </row>
    <row r="2554" spans="1:36" x14ac:dyDescent="0.25">
      <c r="A2554" s="22" t="s">
        <v>4335</v>
      </c>
      <c r="B2554" s="22">
        <v>0</v>
      </c>
      <c r="C2554" s="22"/>
      <c r="D2554" s="22"/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  <c r="O2554" s="22"/>
      <c r="P2554" s="22"/>
      <c r="Q2554" s="22"/>
      <c r="R2554" s="22"/>
      <c r="S2554" s="22"/>
      <c r="T2554" s="22"/>
      <c r="U2554" s="22"/>
      <c r="V2554" s="22"/>
      <c r="W2554" s="22"/>
      <c r="X2554" s="22"/>
      <c r="Y2554" s="22"/>
      <c r="Z2554" s="22"/>
      <c r="AA2554" s="22"/>
      <c r="AB2554" s="22"/>
      <c r="AC2554" s="22"/>
      <c r="AD2554" s="22"/>
      <c r="AE2554" s="22"/>
      <c r="AF2554" s="22"/>
      <c r="AG2554" s="22"/>
      <c r="AH2554" s="22"/>
      <c r="AI2554" s="22"/>
      <c r="AJ2554" s="22"/>
    </row>
    <row r="2555" spans="1:36" x14ac:dyDescent="0.25">
      <c r="A2555" s="22" t="s">
        <v>4336</v>
      </c>
      <c r="B2555" s="22">
        <v>0</v>
      </c>
      <c r="C2555" s="22"/>
      <c r="D2555" s="22"/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  <c r="O2555" s="22"/>
      <c r="P2555" s="22"/>
      <c r="Q2555" s="22"/>
      <c r="R2555" s="22"/>
      <c r="S2555" s="22"/>
      <c r="T2555" s="22"/>
      <c r="U2555" s="22"/>
      <c r="V2555" s="22"/>
      <c r="W2555" s="22"/>
      <c r="X2555" s="22"/>
      <c r="Y2555" s="22"/>
      <c r="Z2555" s="22"/>
      <c r="AA2555" s="22"/>
      <c r="AB2555" s="22"/>
      <c r="AC2555" s="22"/>
      <c r="AD2555" s="22"/>
      <c r="AE2555" s="22"/>
      <c r="AF2555" s="22"/>
      <c r="AG2555" s="22"/>
      <c r="AH2555" s="22"/>
      <c r="AI2555" s="22"/>
      <c r="AJ2555" s="22"/>
    </row>
    <row r="2556" spans="1:36" x14ac:dyDescent="0.25">
      <c r="A2556" s="22" t="s">
        <v>4337</v>
      </c>
      <c r="B2556" s="22">
        <v>0</v>
      </c>
      <c r="C2556" s="22"/>
      <c r="D2556" s="22"/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  <c r="O2556" s="22"/>
      <c r="P2556" s="22"/>
      <c r="Q2556" s="22"/>
      <c r="R2556" s="22"/>
      <c r="S2556" s="22"/>
      <c r="T2556" s="22"/>
      <c r="U2556" s="22"/>
      <c r="V2556" s="22"/>
      <c r="W2556" s="22"/>
      <c r="X2556" s="22"/>
      <c r="Y2556" s="22"/>
      <c r="Z2556" s="22"/>
      <c r="AA2556" s="22"/>
      <c r="AB2556" s="22"/>
      <c r="AC2556" s="22"/>
      <c r="AD2556" s="22"/>
      <c r="AE2556" s="22"/>
      <c r="AF2556" s="22"/>
      <c r="AG2556" s="22"/>
      <c r="AH2556" s="22"/>
      <c r="AI2556" s="22"/>
      <c r="AJ2556" s="22"/>
    </row>
    <row r="2557" spans="1:36" x14ac:dyDescent="0.25">
      <c r="A2557" s="22" t="s">
        <v>4338</v>
      </c>
      <c r="B2557" s="22">
        <v>0</v>
      </c>
      <c r="C2557" s="22"/>
      <c r="D2557" s="22"/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  <c r="O2557" s="22"/>
      <c r="P2557" s="22"/>
      <c r="Q2557" s="22"/>
      <c r="R2557" s="22"/>
      <c r="S2557" s="22"/>
      <c r="T2557" s="22"/>
      <c r="U2557" s="22"/>
      <c r="V2557" s="22"/>
      <c r="W2557" s="22"/>
      <c r="X2557" s="22"/>
      <c r="Y2557" s="22"/>
      <c r="Z2557" s="22"/>
      <c r="AA2557" s="22"/>
      <c r="AB2557" s="22"/>
      <c r="AC2557" s="22"/>
      <c r="AD2557" s="22"/>
      <c r="AE2557" s="22"/>
      <c r="AF2557" s="22"/>
      <c r="AG2557" s="22"/>
      <c r="AH2557" s="22"/>
      <c r="AI2557" s="22"/>
      <c r="AJ2557" s="22"/>
    </row>
    <row r="2558" spans="1:36" x14ac:dyDescent="0.25">
      <c r="A2558" s="22" t="s">
        <v>4339</v>
      </c>
      <c r="B2558" s="22">
        <v>63</v>
      </c>
      <c r="C2558" s="22"/>
      <c r="D2558" s="22"/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  <c r="O2558" s="22"/>
      <c r="P2558" s="22"/>
      <c r="Q2558" s="22"/>
      <c r="R2558" s="22"/>
      <c r="S2558" s="22"/>
      <c r="T2558" s="22"/>
      <c r="U2558" s="22"/>
      <c r="V2558" s="22"/>
      <c r="W2558" s="22"/>
      <c r="X2558" s="22"/>
      <c r="Y2558" s="22"/>
      <c r="Z2558" s="22"/>
      <c r="AA2558" s="22"/>
      <c r="AB2558" s="22"/>
      <c r="AC2558" s="22"/>
      <c r="AD2558" s="22"/>
      <c r="AE2558" s="22"/>
      <c r="AF2558" s="22"/>
      <c r="AG2558" s="22"/>
      <c r="AH2558" s="22"/>
      <c r="AI2558" s="22"/>
      <c r="AJ2558" s="22"/>
    </row>
    <row r="2559" spans="1:36" x14ac:dyDescent="0.25">
      <c r="A2559" s="22" t="s">
        <v>4340</v>
      </c>
      <c r="B2559" s="22">
        <v>51</v>
      </c>
      <c r="C2559" s="22"/>
      <c r="D2559" s="22"/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  <c r="O2559" s="22"/>
      <c r="P2559" s="22"/>
      <c r="Q2559" s="22"/>
      <c r="R2559" s="22"/>
      <c r="S2559" s="22"/>
      <c r="T2559" s="22"/>
      <c r="U2559" s="22"/>
      <c r="V2559" s="22"/>
      <c r="W2559" s="22"/>
      <c r="X2559" s="22"/>
      <c r="Y2559" s="22"/>
      <c r="Z2559" s="22"/>
      <c r="AA2559" s="22"/>
      <c r="AB2559" s="22"/>
      <c r="AC2559" s="22"/>
      <c r="AD2559" s="22"/>
      <c r="AE2559" s="22"/>
      <c r="AF2559" s="22"/>
      <c r="AG2559" s="22"/>
      <c r="AH2559" s="22"/>
      <c r="AI2559" s="22"/>
      <c r="AJ2559" s="22"/>
    </row>
    <row r="2560" spans="1:36" x14ac:dyDescent="0.25">
      <c r="A2560" s="22" t="s">
        <v>4341</v>
      </c>
      <c r="B2560" s="22">
        <v>0</v>
      </c>
      <c r="C2560" s="22"/>
      <c r="D2560" s="22"/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  <c r="O2560" s="22"/>
      <c r="P2560" s="22"/>
      <c r="Q2560" s="22"/>
      <c r="R2560" s="22"/>
      <c r="S2560" s="22"/>
      <c r="T2560" s="22"/>
      <c r="U2560" s="22"/>
      <c r="V2560" s="22"/>
      <c r="W2560" s="22"/>
      <c r="X2560" s="22"/>
      <c r="Y2560" s="22"/>
      <c r="Z2560" s="22"/>
      <c r="AA2560" s="22"/>
      <c r="AB2560" s="22"/>
      <c r="AC2560" s="22"/>
      <c r="AD2560" s="22"/>
      <c r="AE2560" s="22"/>
      <c r="AF2560" s="22"/>
      <c r="AG2560" s="22"/>
      <c r="AH2560" s="22"/>
      <c r="AI2560" s="22"/>
      <c r="AJ2560" s="22"/>
    </row>
    <row r="2561" spans="1:36" x14ac:dyDescent="0.25">
      <c r="A2561" s="22" t="s">
        <v>4342</v>
      </c>
      <c r="B2561" s="22">
        <v>0</v>
      </c>
      <c r="C2561" s="22"/>
      <c r="D2561" s="22"/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I2561" s="22"/>
      <c r="AJ2561" s="22"/>
    </row>
    <row r="2562" spans="1:36" x14ac:dyDescent="0.25">
      <c r="A2562" s="22" t="s">
        <v>4343</v>
      </c>
      <c r="B2562" s="22">
        <v>3</v>
      </c>
      <c r="C2562" s="22"/>
      <c r="D2562" s="22"/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  <c r="O2562" s="22"/>
      <c r="P2562" s="22"/>
      <c r="Q2562" s="22"/>
      <c r="R2562" s="22"/>
      <c r="S2562" s="22"/>
      <c r="T2562" s="22"/>
      <c r="U2562" s="22"/>
      <c r="V2562" s="22"/>
      <c r="W2562" s="22"/>
      <c r="X2562" s="22"/>
      <c r="Y2562" s="22"/>
      <c r="Z2562" s="22"/>
      <c r="AA2562" s="22"/>
      <c r="AB2562" s="22"/>
      <c r="AC2562" s="22"/>
      <c r="AD2562" s="22"/>
      <c r="AE2562" s="22"/>
      <c r="AF2562" s="22"/>
      <c r="AG2562" s="22"/>
      <c r="AH2562" s="22"/>
      <c r="AI2562" s="22"/>
      <c r="AJ2562" s="22"/>
    </row>
    <row r="2563" spans="1:36" x14ac:dyDescent="0.25">
      <c r="A2563" s="22" t="s">
        <v>4344</v>
      </c>
      <c r="B2563" s="22">
        <v>0</v>
      </c>
      <c r="C2563" s="22"/>
      <c r="D2563" s="22"/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  <c r="O2563" s="22"/>
      <c r="P2563" s="22"/>
      <c r="Q2563" s="22"/>
      <c r="R2563" s="22"/>
      <c r="S2563" s="22"/>
      <c r="T2563" s="22"/>
      <c r="U2563" s="22"/>
      <c r="V2563" s="22"/>
      <c r="W2563" s="22"/>
      <c r="X2563" s="22"/>
      <c r="Y2563" s="22"/>
      <c r="Z2563" s="22"/>
      <c r="AA2563" s="22"/>
      <c r="AB2563" s="22"/>
      <c r="AC2563" s="22"/>
      <c r="AD2563" s="22"/>
      <c r="AE2563" s="22"/>
      <c r="AF2563" s="22"/>
      <c r="AG2563" s="22"/>
      <c r="AH2563" s="22"/>
      <c r="AI2563" s="22"/>
      <c r="AJ2563" s="22"/>
    </row>
    <row r="2564" spans="1:36" x14ac:dyDescent="0.25">
      <c r="A2564" s="22" t="s">
        <v>4345</v>
      </c>
      <c r="B2564" s="22">
        <v>0</v>
      </c>
      <c r="C2564" s="22"/>
      <c r="D2564" s="22"/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  <c r="O2564" s="22"/>
      <c r="P2564" s="22"/>
      <c r="Q2564" s="22"/>
      <c r="R2564" s="22"/>
      <c r="S2564" s="22"/>
      <c r="T2564" s="22"/>
      <c r="U2564" s="22"/>
      <c r="V2564" s="22"/>
      <c r="W2564" s="22"/>
      <c r="X2564" s="22"/>
      <c r="Y2564" s="22"/>
      <c r="Z2564" s="22"/>
      <c r="AA2564" s="22"/>
      <c r="AB2564" s="22"/>
      <c r="AC2564" s="22"/>
      <c r="AD2564" s="22"/>
      <c r="AE2564" s="22"/>
      <c r="AF2564" s="22"/>
      <c r="AG2564" s="22"/>
      <c r="AH2564" s="22"/>
      <c r="AI2564" s="22"/>
      <c r="AJ2564" s="22"/>
    </row>
    <row r="2565" spans="1:36" x14ac:dyDescent="0.25">
      <c r="A2565" s="22" t="s">
        <v>4346</v>
      </c>
      <c r="B2565" s="22">
        <v>0</v>
      </c>
      <c r="C2565" s="22"/>
      <c r="D2565" s="22"/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  <c r="O2565" s="22"/>
      <c r="P2565" s="22"/>
      <c r="Q2565" s="22"/>
      <c r="R2565" s="22"/>
      <c r="S2565" s="22"/>
      <c r="T2565" s="22"/>
      <c r="U2565" s="22"/>
      <c r="V2565" s="22"/>
      <c r="W2565" s="22"/>
      <c r="X2565" s="22"/>
      <c r="Y2565" s="22"/>
      <c r="Z2565" s="22"/>
      <c r="AA2565" s="22"/>
      <c r="AB2565" s="22"/>
      <c r="AC2565" s="22"/>
      <c r="AD2565" s="22"/>
      <c r="AE2565" s="22"/>
      <c r="AF2565" s="22"/>
      <c r="AG2565" s="22"/>
      <c r="AH2565" s="22"/>
      <c r="AI2565" s="22"/>
      <c r="AJ2565" s="22"/>
    </row>
    <row r="2566" spans="1:36" x14ac:dyDescent="0.25">
      <c r="A2566" s="22" t="s">
        <v>4347</v>
      </c>
      <c r="B2566" s="22">
        <v>0</v>
      </c>
      <c r="C2566" s="22"/>
      <c r="D2566" s="22"/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  <c r="O2566" s="22"/>
      <c r="P2566" s="22"/>
      <c r="Q2566" s="22"/>
      <c r="R2566" s="22"/>
      <c r="S2566" s="22"/>
      <c r="T2566" s="22"/>
      <c r="U2566" s="22"/>
      <c r="V2566" s="22"/>
      <c r="W2566" s="22"/>
      <c r="X2566" s="22"/>
      <c r="Y2566" s="22"/>
      <c r="Z2566" s="22"/>
      <c r="AA2566" s="22"/>
      <c r="AB2566" s="22"/>
      <c r="AC2566" s="22"/>
      <c r="AD2566" s="22"/>
      <c r="AE2566" s="22"/>
      <c r="AF2566" s="22"/>
      <c r="AG2566" s="22"/>
      <c r="AH2566" s="22"/>
      <c r="AI2566" s="22"/>
      <c r="AJ2566" s="22"/>
    </row>
    <row r="2567" spans="1:36" x14ac:dyDescent="0.25">
      <c r="A2567" s="22" t="s">
        <v>4348</v>
      </c>
      <c r="B2567" s="22">
        <v>0</v>
      </c>
      <c r="C2567" s="22"/>
      <c r="D2567" s="22"/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  <c r="O2567" s="22"/>
      <c r="P2567" s="22"/>
      <c r="Q2567" s="22"/>
      <c r="R2567" s="22"/>
      <c r="S2567" s="22"/>
      <c r="T2567" s="22"/>
      <c r="U2567" s="22"/>
      <c r="V2567" s="22"/>
      <c r="W2567" s="22"/>
      <c r="X2567" s="22"/>
      <c r="Y2567" s="22"/>
      <c r="Z2567" s="22"/>
      <c r="AA2567" s="22"/>
      <c r="AB2567" s="22"/>
      <c r="AC2567" s="22"/>
      <c r="AD2567" s="22"/>
      <c r="AE2567" s="22"/>
      <c r="AF2567" s="22"/>
      <c r="AG2567" s="22"/>
      <c r="AH2567" s="22"/>
      <c r="AI2567" s="22"/>
      <c r="AJ2567" s="22"/>
    </row>
    <row r="2568" spans="1:36" x14ac:dyDescent="0.25">
      <c r="A2568" s="22" t="s">
        <v>4349</v>
      </c>
      <c r="B2568" s="22">
        <v>0</v>
      </c>
      <c r="C2568" s="22"/>
      <c r="D2568" s="22"/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  <c r="O2568" s="22"/>
      <c r="P2568" s="22"/>
      <c r="Q2568" s="22"/>
      <c r="R2568" s="22"/>
      <c r="S2568" s="22"/>
      <c r="T2568" s="22"/>
      <c r="U2568" s="22"/>
      <c r="V2568" s="22"/>
      <c r="W2568" s="22"/>
      <c r="X2568" s="22"/>
      <c r="Y2568" s="22"/>
      <c r="Z2568" s="22"/>
      <c r="AA2568" s="22"/>
      <c r="AB2568" s="22"/>
      <c r="AC2568" s="22"/>
      <c r="AD2568" s="22"/>
      <c r="AE2568" s="22"/>
      <c r="AF2568" s="22"/>
      <c r="AG2568" s="22"/>
      <c r="AH2568" s="22"/>
      <c r="AI2568" s="22"/>
      <c r="AJ2568" s="22"/>
    </row>
    <row r="2569" spans="1:36" x14ac:dyDescent="0.25">
      <c r="A2569" s="22" t="s">
        <v>4350</v>
      </c>
      <c r="B2569" s="22">
        <v>0</v>
      </c>
      <c r="C2569" s="22"/>
      <c r="D2569" s="22"/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  <c r="O2569" s="22"/>
      <c r="P2569" s="22"/>
      <c r="Q2569" s="22"/>
      <c r="R2569" s="22"/>
      <c r="S2569" s="22"/>
      <c r="T2569" s="22"/>
      <c r="U2569" s="22"/>
      <c r="V2569" s="22"/>
      <c r="W2569" s="22"/>
      <c r="X2569" s="22"/>
      <c r="Y2569" s="22"/>
      <c r="Z2569" s="22"/>
      <c r="AA2569" s="22"/>
      <c r="AB2569" s="22"/>
      <c r="AC2569" s="22"/>
      <c r="AD2569" s="22"/>
      <c r="AE2569" s="22"/>
      <c r="AF2569" s="22"/>
      <c r="AG2569" s="22"/>
      <c r="AH2569" s="22"/>
      <c r="AI2569" s="22"/>
      <c r="AJ2569" s="22"/>
    </row>
    <row r="2570" spans="1:36" x14ac:dyDescent="0.25">
      <c r="A2570" s="22" t="s">
        <v>4351</v>
      </c>
      <c r="B2570" s="22">
        <v>0</v>
      </c>
      <c r="C2570" s="22"/>
      <c r="D2570" s="22"/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  <c r="O2570" s="22"/>
      <c r="P2570" s="22"/>
      <c r="Q2570" s="22"/>
      <c r="R2570" s="22"/>
      <c r="S2570" s="22"/>
      <c r="T2570" s="22"/>
      <c r="U2570" s="22"/>
      <c r="V2570" s="22"/>
      <c r="W2570" s="22"/>
      <c r="X2570" s="22"/>
      <c r="Y2570" s="22"/>
      <c r="Z2570" s="22"/>
      <c r="AA2570" s="22"/>
      <c r="AB2570" s="22"/>
      <c r="AC2570" s="22"/>
      <c r="AD2570" s="22"/>
      <c r="AE2570" s="22"/>
      <c r="AF2570" s="22"/>
      <c r="AG2570" s="22"/>
      <c r="AH2570" s="22"/>
      <c r="AI2570" s="22"/>
      <c r="AJ2570" s="22"/>
    </row>
    <row r="2571" spans="1:36" x14ac:dyDescent="0.25">
      <c r="A2571" s="22" t="s">
        <v>4352</v>
      </c>
      <c r="B2571" s="22">
        <v>0</v>
      </c>
      <c r="C2571" s="22"/>
      <c r="D2571" s="22"/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  <c r="O2571" s="22"/>
      <c r="P2571" s="22"/>
      <c r="Q2571" s="22"/>
      <c r="R2571" s="22"/>
      <c r="S2571" s="22"/>
      <c r="T2571" s="22"/>
      <c r="U2571" s="22"/>
      <c r="V2571" s="22"/>
      <c r="W2571" s="22"/>
      <c r="X2571" s="22"/>
      <c r="Y2571" s="22"/>
      <c r="Z2571" s="22"/>
      <c r="AA2571" s="22"/>
      <c r="AB2571" s="22"/>
      <c r="AC2571" s="22"/>
      <c r="AD2571" s="22"/>
      <c r="AE2571" s="22"/>
      <c r="AF2571" s="22"/>
      <c r="AG2571" s="22"/>
      <c r="AH2571" s="22"/>
      <c r="AI2571" s="22"/>
      <c r="AJ2571" s="22"/>
    </row>
    <row r="2572" spans="1:36" x14ac:dyDescent="0.25">
      <c r="A2572" s="22" t="s">
        <v>4353</v>
      </c>
      <c r="B2572" s="22">
        <v>0</v>
      </c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  <c r="O2572" s="22"/>
      <c r="P2572" s="22"/>
      <c r="Q2572" s="22"/>
      <c r="R2572" s="22"/>
      <c r="S2572" s="22"/>
      <c r="T2572" s="22"/>
      <c r="U2572" s="22"/>
      <c r="V2572" s="22"/>
      <c r="W2572" s="22"/>
      <c r="X2572" s="22"/>
      <c r="Y2572" s="22"/>
      <c r="Z2572" s="22"/>
      <c r="AA2572" s="22"/>
      <c r="AB2572" s="22"/>
      <c r="AC2572" s="22"/>
      <c r="AD2572" s="22"/>
      <c r="AE2572" s="22"/>
      <c r="AF2572" s="22"/>
      <c r="AG2572" s="22"/>
      <c r="AH2572" s="22"/>
      <c r="AI2572" s="22"/>
      <c r="AJ2572" s="22"/>
    </row>
    <row r="2573" spans="1:36" x14ac:dyDescent="0.25">
      <c r="A2573" s="22" t="s">
        <v>4354</v>
      </c>
      <c r="B2573" s="22">
        <v>0</v>
      </c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  <c r="O2573" s="22"/>
      <c r="P2573" s="22"/>
      <c r="Q2573" s="22"/>
      <c r="R2573" s="22"/>
      <c r="S2573" s="22"/>
      <c r="T2573" s="22"/>
      <c r="U2573" s="22"/>
      <c r="V2573" s="22"/>
      <c r="W2573" s="22"/>
      <c r="X2573" s="22"/>
      <c r="Y2573" s="22"/>
      <c r="Z2573" s="22"/>
      <c r="AA2573" s="22"/>
      <c r="AB2573" s="22"/>
      <c r="AC2573" s="22"/>
      <c r="AD2573" s="22"/>
      <c r="AE2573" s="22"/>
      <c r="AF2573" s="22"/>
      <c r="AG2573" s="22"/>
      <c r="AH2573" s="22"/>
      <c r="AI2573" s="22"/>
      <c r="AJ2573" s="22"/>
    </row>
    <row r="2574" spans="1:36" x14ac:dyDescent="0.25">
      <c r="A2574" s="22" t="s">
        <v>4355</v>
      </c>
      <c r="B2574" s="22">
        <v>0</v>
      </c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X2574" s="22"/>
      <c r="Y2574" s="22"/>
      <c r="Z2574" s="22"/>
      <c r="AA2574" s="22"/>
      <c r="AB2574" s="22"/>
      <c r="AC2574" s="22"/>
      <c r="AD2574" s="22"/>
      <c r="AE2574" s="22"/>
      <c r="AF2574" s="22"/>
      <c r="AG2574" s="22"/>
      <c r="AH2574" s="22"/>
      <c r="AI2574" s="22"/>
      <c r="AJ2574" s="22"/>
    </row>
    <row r="2575" spans="1:36" x14ac:dyDescent="0.25">
      <c r="A2575" s="22" t="s">
        <v>4356</v>
      </c>
      <c r="B2575" s="22">
        <v>0</v>
      </c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  <c r="O2575" s="22"/>
      <c r="P2575" s="22"/>
      <c r="Q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</row>
    <row r="2576" spans="1:36" x14ac:dyDescent="0.25">
      <c r="A2576" s="22" t="s">
        <v>4357</v>
      </c>
      <c r="B2576" s="22">
        <v>0</v>
      </c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  <c r="O2576" s="22"/>
      <c r="P2576" s="22"/>
      <c r="Q2576" s="22"/>
      <c r="R2576" s="22"/>
      <c r="S2576" s="22"/>
      <c r="T2576" s="22"/>
      <c r="U2576" s="22"/>
      <c r="V2576" s="22"/>
      <c r="W2576" s="22"/>
      <c r="X2576" s="22"/>
      <c r="Y2576" s="22"/>
      <c r="Z2576" s="22"/>
      <c r="AA2576" s="22"/>
      <c r="AB2576" s="22"/>
      <c r="AC2576" s="22"/>
      <c r="AD2576" s="22"/>
      <c r="AE2576" s="22"/>
      <c r="AF2576" s="22"/>
      <c r="AG2576" s="22"/>
      <c r="AH2576" s="22"/>
      <c r="AI2576" s="22"/>
      <c r="AJ2576" s="22"/>
    </row>
    <row r="2577" spans="1:36" x14ac:dyDescent="0.25">
      <c r="A2577" s="22" t="s">
        <v>4358</v>
      </c>
      <c r="B2577" s="22">
        <v>0</v>
      </c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AD2577" s="22"/>
      <c r="AE2577" s="22"/>
      <c r="AF2577" s="22"/>
      <c r="AG2577" s="22"/>
      <c r="AH2577" s="22"/>
      <c r="AI2577" s="22"/>
      <c r="AJ2577" s="22"/>
    </row>
    <row r="2578" spans="1:36" x14ac:dyDescent="0.25">
      <c r="A2578" s="22" t="s">
        <v>4359</v>
      </c>
      <c r="B2578" s="22">
        <v>0</v>
      </c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  <c r="O2578" s="22"/>
      <c r="P2578" s="22"/>
      <c r="Q2578" s="22"/>
      <c r="R2578" s="22"/>
      <c r="S2578" s="22"/>
      <c r="T2578" s="22"/>
      <c r="U2578" s="22"/>
      <c r="V2578" s="22"/>
      <c r="W2578" s="22"/>
      <c r="X2578" s="22"/>
      <c r="Y2578" s="22"/>
      <c r="Z2578" s="22"/>
      <c r="AA2578" s="22"/>
      <c r="AB2578" s="22"/>
      <c r="AC2578" s="22"/>
      <c r="AD2578" s="22"/>
      <c r="AE2578" s="22"/>
      <c r="AF2578" s="22"/>
      <c r="AG2578" s="22"/>
      <c r="AH2578" s="22"/>
      <c r="AI2578" s="22"/>
      <c r="AJ2578" s="22"/>
    </row>
    <row r="2579" spans="1:36" x14ac:dyDescent="0.25">
      <c r="A2579" s="22" t="s">
        <v>4360</v>
      </c>
      <c r="B2579" s="22">
        <v>0</v>
      </c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  <c r="O2579" s="22"/>
      <c r="P2579" s="22"/>
      <c r="Q2579" s="22"/>
      <c r="R2579" s="22"/>
      <c r="S2579" s="22"/>
      <c r="T2579" s="22"/>
      <c r="U2579" s="22"/>
      <c r="V2579" s="22"/>
      <c r="W2579" s="22"/>
      <c r="X2579" s="22"/>
      <c r="Y2579" s="22"/>
      <c r="Z2579" s="22"/>
      <c r="AA2579" s="22"/>
      <c r="AB2579" s="22"/>
      <c r="AC2579" s="22"/>
      <c r="AD2579" s="22"/>
      <c r="AE2579" s="22"/>
      <c r="AF2579" s="22"/>
      <c r="AG2579" s="22"/>
      <c r="AH2579" s="22"/>
      <c r="AI2579" s="22"/>
      <c r="AJ2579" s="22"/>
    </row>
    <row r="2580" spans="1:36" x14ac:dyDescent="0.25">
      <c r="A2580" s="22" t="s">
        <v>4361</v>
      </c>
      <c r="B2580" s="22">
        <v>0</v>
      </c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  <c r="O2580" s="22"/>
      <c r="P2580" s="22"/>
      <c r="Q2580" s="22"/>
      <c r="R2580" s="22"/>
      <c r="S2580" s="22"/>
      <c r="T2580" s="22"/>
      <c r="U2580" s="22"/>
      <c r="V2580" s="22"/>
      <c r="W2580" s="22"/>
      <c r="X2580" s="22"/>
      <c r="Y2580" s="22"/>
      <c r="Z2580" s="22"/>
      <c r="AA2580" s="22"/>
      <c r="AB2580" s="22"/>
      <c r="AC2580" s="22"/>
      <c r="AD2580" s="22"/>
      <c r="AE2580" s="22"/>
      <c r="AF2580" s="22"/>
      <c r="AG2580" s="22"/>
      <c r="AH2580" s="22"/>
      <c r="AI2580" s="22"/>
      <c r="AJ2580" s="22"/>
    </row>
    <row r="2581" spans="1:36" x14ac:dyDescent="0.25">
      <c r="A2581" s="22" t="s">
        <v>4362</v>
      </c>
      <c r="B2581" s="22">
        <v>0</v>
      </c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  <c r="O2581" s="22"/>
      <c r="P2581" s="22"/>
      <c r="Q2581" s="22"/>
      <c r="R2581" s="22"/>
      <c r="S2581" s="22"/>
      <c r="T2581" s="22"/>
      <c r="U2581" s="22"/>
      <c r="V2581" s="22"/>
      <c r="W2581" s="22"/>
      <c r="X2581" s="22"/>
      <c r="Y2581" s="22"/>
      <c r="Z2581" s="22"/>
      <c r="AA2581" s="22"/>
      <c r="AB2581" s="22"/>
      <c r="AC2581" s="22"/>
      <c r="AD2581" s="22"/>
      <c r="AE2581" s="22"/>
      <c r="AF2581" s="22"/>
      <c r="AG2581" s="22"/>
      <c r="AH2581" s="22"/>
      <c r="AI2581" s="22"/>
      <c r="AJ2581" s="22"/>
    </row>
    <row r="2582" spans="1:36" x14ac:dyDescent="0.25">
      <c r="A2582" s="22" t="s">
        <v>4363</v>
      </c>
      <c r="B2582" s="22">
        <v>0</v>
      </c>
      <c r="C2582" s="22"/>
      <c r="D2582" s="22"/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  <c r="O2582" s="22"/>
      <c r="P2582" s="22"/>
      <c r="Q2582" s="22"/>
      <c r="R2582" s="22"/>
      <c r="S2582" s="22"/>
      <c r="T2582" s="22"/>
      <c r="U2582" s="22"/>
      <c r="V2582" s="22"/>
      <c r="W2582" s="22"/>
      <c r="X2582" s="22"/>
      <c r="Y2582" s="22"/>
      <c r="Z2582" s="22"/>
      <c r="AA2582" s="22"/>
      <c r="AB2582" s="22"/>
      <c r="AC2582" s="22"/>
      <c r="AD2582" s="22"/>
      <c r="AE2582" s="22"/>
      <c r="AF2582" s="22"/>
      <c r="AG2582" s="22"/>
      <c r="AH2582" s="22"/>
      <c r="AI2582" s="22"/>
      <c r="AJ2582" s="22"/>
    </row>
    <row r="2583" spans="1:36" x14ac:dyDescent="0.25">
      <c r="A2583" s="22" t="s">
        <v>4364</v>
      </c>
      <c r="B2583" s="22">
        <v>0</v>
      </c>
      <c r="C2583" s="22"/>
      <c r="D2583" s="22"/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  <c r="O2583" s="22"/>
      <c r="P2583" s="22"/>
      <c r="Q2583" s="22"/>
      <c r="R2583" s="22"/>
      <c r="S2583" s="22"/>
      <c r="T2583" s="22"/>
      <c r="U2583" s="22"/>
      <c r="V2583" s="22"/>
      <c r="W2583" s="22"/>
      <c r="X2583" s="22"/>
      <c r="Y2583" s="22"/>
      <c r="Z2583" s="22"/>
      <c r="AA2583" s="22"/>
      <c r="AB2583" s="22"/>
      <c r="AC2583" s="22"/>
      <c r="AD2583" s="22"/>
      <c r="AE2583" s="22"/>
      <c r="AF2583" s="22"/>
      <c r="AG2583" s="22"/>
      <c r="AH2583" s="22"/>
      <c r="AI2583" s="22"/>
      <c r="AJ2583" s="22"/>
    </row>
    <row r="2584" spans="1:36" x14ac:dyDescent="0.25">
      <c r="A2584" s="22" t="s">
        <v>4365</v>
      </c>
      <c r="B2584" s="22">
        <v>0</v>
      </c>
      <c r="C2584" s="22"/>
      <c r="D2584" s="22"/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  <c r="O2584" s="22"/>
      <c r="P2584" s="22"/>
      <c r="Q2584" s="22"/>
      <c r="R2584" s="22"/>
      <c r="S2584" s="22"/>
      <c r="T2584" s="22"/>
      <c r="U2584" s="22"/>
      <c r="V2584" s="22"/>
      <c r="W2584" s="22"/>
      <c r="X2584" s="22"/>
      <c r="Y2584" s="22"/>
      <c r="Z2584" s="22"/>
      <c r="AA2584" s="22"/>
      <c r="AB2584" s="22"/>
      <c r="AC2584" s="22"/>
      <c r="AD2584" s="22"/>
      <c r="AE2584" s="22"/>
      <c r="AF2584" s="22"/>
      <c r="AG2584" s="22"/>
      <c r="AH2584" s="22"/>
      <c r="AI2584" s="22"/>
      <c r="AJ2584" s="22"/>
    </row>
    <row r="2585" spans="1:36" x14ac:dyDescent="0.25">
      <c r="A2585" s="22" t="s">
        <v>4366</v>
      </c>
      <c r="B2585" s="22">
        <v>0</v>
      </c>
      <c r="C2585" s="22"/>
      <c r="D2585" s="22"/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  <c r="O2585" s="22"/>
      <c r="P2585" s="22"/>
      <c r="Q2585" s="22"/>
      <c r="R2585" s="22"/>
      <c r="S2585" s="22"/>
      <c r="T2585" s="22"/>
      <c r="U2585" s="22"/>
      <c r="V2585" s="22"/>
      <c r="W2585" s="22"/>
      <c r="X2585" s="22"/>
      <c r="Y2585" s="22"/>
      <c r="Z2585" s="22"/>
      <c r="AA2585" s="22"/>
      <c r="AB2585" s="22"/>
      <c r="AC2585" s="22"/>
      <c r="AD2585" s="22"/>
      <c r="AE2585" s="22"/>
      <c r="AF2585" s="22"/>
      <c r="AG2585" s="22"/>
      <c r="AH2585" s="22"/>
      <c r="AI2585" s="22"/>
      <c r="AJ2585" s="22"/>
    </row>
    <row r="2586" spans="1:36" x14ac:dyDescent="0.25">
      <c r="A2586" s="22" t="s">
        <v>4367</v>
      </c>
      <c r="B2586" s="22">
        <v>0</v>
      </c>
      <c r="C2586" s="22"/>
      <c r="D2586" s="22"/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  <c r="O2586" s="22"/>
      <c r="P2586" s="22"/>
      <c r="Q2586" s="22"/>
      <c r="R2586" s="22"/>
      <c r="S2586" s="22"/>
      <c r="T2586" s="22"/>
      <c r="U2586" s="22"/>
      <c r="V2586" s="22"/>
      <c r="W2586" s="22"/>
      <c r="X2586" s="22"/>
      <c r="Y2586" s="22"/>
      <c r="Z2586" s="22"/>
      <c r="AA2586" s="22"/>
      <c r="AB2586" s="22"/>
      <c r="AC2586" s="22"/>
      <c r="AD2586" s="22"/>
      <c r="AE2586" s="22"/>
      <c r="AF2586" s="22"/>
      <c r="AG2586" s="22"/>
      <c r="AH2586" s="22"/>
      <c r="AI2586" s="22"/>
      <c r="AJ2586" s="22"/>
    </row>
    <row r="2587" spans="1:36" x14ac:dyDescent="0.25">
      <c r="A2587" s="22" t="s">
        <v>4368</v>
      </c>
      <c r="B2587" s="22">
        <v>0</v>
      </c>
      <c r="C2587" s="22"/>
      <c r="D2587" s="22"/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  <c r="O2587" s="22"/>
      <c r="P2587" s="22"/>
      <c r="Q2587" s="22"/>
      <c r="R2587" s="22"/>
      <c r="S2587" s="22"/>
      <c r="T2587" s="22"/>
      <c r="U2587" s="22"/>
      <c r="V2587" s="22"/>
      <c r="W2587" s="22"/>
      <c r="X2587" s="22"/>
      <c r="Y2587" s="22"/>
      <c r="Z2587" s="22"/>
      <c r="AA2587" s="22"/>
      <c r="AB2587" s="22"/>
      <c r="AC2587" s="22"/>
      <c r="AD2587" s="22"/>
      <c r="AE2587" s="22"/>
      <c r="AF2587" s="22"/>
      <c r="AG2587" s="22"/>
      <c r="AH2587" s="22"/>
      <c r="AI2587" s="22"/>
      <c r="AJ2587" s="22"/>
    </row>
    <row r="2588" spans="1:36" x14ac:dyDescent="0.25">
      <c r="A2588" s="22" t="s">
        <v>4369</v>
      </c>
      <c r="B2588" s="22">
        <v>0</v>
      </c>
      <c r="C2588" s="22"/>
      <c r="D2588" s="22"/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  <c r="O2588" s="22"/>
      <c r="P2588" s="22"/>
      <c r="Q2588" s="22"/>
      <c r="R2588" s="22"/>
      <c r="S2588" s="22"/>
      <c r="T2588" s="22"/>
      <c r="U2588" s="22"/>
      <c r="V2588" s="22"/>
      <c r="W2588" s="22"/>
      <c r="X2588" s="22"/>
      <c r="Y2588" s="22"/>
      <c r="Z2588" s="22"/>
      <c r="AA2588" s="22"/>
      <c r="AB2588" s="22"/>
      <c r="AC2588" s="22"/>
      <c r="AD2588" s="22"/>
      <c r="AE2588" s="22"/>
      <c r="AF2588" s="22"/>
      <c r="AG2588" s="22"/>
      <c r="AH2588" s="22"/>
      <c r="AI2588" s="22"/>
      <c r="AJ2588" s="22"/>
    </row>
    <row r="2589" spans="1:36" x14ac:dyDescent="0.25">
      <c r="A2589" s="22" t="s">
        <v>4370</v>
      </c>
      <c r="B2589" s="22">
        <v>0</v>
      </c>
      <c r="C2589" s="22"/>
      <c r="D2589" s="22"/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  <c r="O2589" s="22"/>
      <c r="P2589" s="22"/>
      <c r="Q2589" s="22"/>
      <c r="R2589" s="22"/>
      <c r="S2589" s="22"/>
      <c r="T2589" s="22"/>
      <c r="U2589" s="22"/>
      <c r="V2589" s="22"/>
      <c r="W2589" s="22"/>
      <c r="X2589" s="22"/>
      <c r="Y2589" s="22"/>
      <c r="Z2589" s="22"/>
      <c r="AA2589" s="22"/>
      <c r="AB2589" s="22"/>
      <c r="AC2589" s="22"/>
      <c r="AD2589" s="22"/>
      <c r="AE2589" s="22"/>
      <c r="AF2589" s="22"/>
      <c r="AG2589" s="22"/>
      <c r="AH2589" s="22"/>
      <c r="AI2589" s="22"/>
      <c r="AJ2589" s="22"/>
    </row>
    <row r="2590" spans="1:36" x14ac:dyDescent="0.25">
      <c r="A2590" s="22" t="s">
        <v>4371</v>
      </c>
      <c r="B2590" s="22">
        <v>0</v>
      </c>
      <c r="C2590" s="22"/>
      <c r="D2590" s="22"/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  <c r="O2590" s="22"/>
      <c r="P2590" s="22"/>
      <c r="Q2590" s="22"/>
      <c r="R2590" s="22"/>
      <c r="S2590" s="22"/>
      <c r="T2590" s="22"/>
      <c r="U2590" s="22"/>
      <c r="V2590" s="22"/>
      <c r="W2590" s="22"/>
      <c r="X2590" s="22"/>
      <c r="Y2590" s="22"/>
      <c r="Z2590" s="22"/>
      <c r="AA2590" s="22"/>
      <c r="AB2590" s="22"/>
      <c r="AC2590" s="22"/>
      <c r="AD2590" s="22"/>
      <c r="AE2590" s="22"/>
      <c r="AF2590" s="22"/>
      <c r="AG2590" s="22"/>
      <c r="AH2590" s="22"/>
      <c r="AI2590" s="22"/>
      <c r="AJ2590" s="22"/>
    </row>
    <row r="2591" spans="1:36" x14ac:dyDescent="0.25">
      <c r="A2591" s="22" t="s">
        <v>4372</v>
      </c>
      <c r="B2591" s="22">
        <v>0</v>
      </c>
      <c r="C2591" s="22"/>
      <c r="D2591" s="22"/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  <c r="O2591" s="22"/>
      <c r="P2591" s="22"/>
      <c r="Q2591" s="22"/>
      <c r="R2591" s="22"/>
      <c r="S2591" s="22"/>
      <c r="T2591" s="22"/>
      <c r="U2591" s="22"/>
      <c r="V2591" s="22"/>
      <c r="W2591" s="22"/>
      <c r="X2591" s="22"/>
      <c r="Y2591" s="22"/>
      <c r="Z2591" s="22"/>
      <c r="AA2591" s="22"/>
      <c r="AB2591" s="22"/>
      <c r="AC2591" s="22"/>
      <c r="AD2591" s="22"/>
      <c r="AE2591" s="22"/>
      <c r="AF2591" s="22"/>
      <c r="AG2591" s="22"/>
      <c r="AH2591" s="22"/>
      <c r="AI2591" s="22"/>
      <c r="AJ2591" s="22"/>
    </row>
    <row r="2592" spans="1:36" x14ac:dyDescent="0.25">
      <c r="A2592" s="22" t="s">
        <v>4373</v>
      </c>
      <c r="B2592" s="22">
        <v>0</v>
      </c>
      <c r="C2592" s="22"/>
      <c r="D2592" s="22"/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  <c r="O2592" s="22"/>
      <c r="P2592" s="22"/>
      <c r="Q2592" s="22"/>
      <c r="R2592" s="22"/>
      <c r="S2592" s="22"/>
      <c r="T2592" s="22"/>
      <c r="U2592" s="22"/>
      <c r="V2592" s="22"/>
      <c r="W2592" s="22"/>
      <c r="X2592" s="22"/>
      <c r="Y2592" s="22"/>
      <c r="Z2592" s="22"/>
      <c r="AA2592" s="22"/>
      <c r="AB2592" s="22"/>
      <c r="AC2592" s="22"/>
      <c r="AD2592" s="22"/>
      <c r="AE2592" s="22"/>
      <c r="AF2592" s="22"/>
      <c r="AG2592" s="22"/>
      <c r="AH2592" s="22"/>
      <c r="AI2592" s="22"/>
      <c r="AJ2592" s="22"/>
    </row>
    <row r="2593" spans="1:36" x14ac:dyDescent="0.25">
      <c r="A2593" s="22" t="s">
        <v>4374</v>
      </c>
      <c r="B2593" s="22">
        <v>0</v>
      </c>
      <c r="C2593" s="22"/>
      <c r="D2593" s="22"/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  <c r="O2593" s="22"/>
      <c r="P2593" s="22"/>
      <c r="Q2593" s="22"/>
      <c r="R2593" s="22"/>
      <c r="S2593" s="22"/>
      <c r="T2593" s="22"/>
      <c r="U2593" s="22"/>
      <c r="V2593" s="22"/>
      <c r="W2593" s="22"/>
      <c r="X2593" s="22"/>
      <c r="Y2593" s="22"/>
      <c r="Z2593" s="22"/>
      <c r="AA2593" s="22"/>
      <c r="AB2593" s="22"/>
      <c r="AC2593" s="22"/>
      <c r="AD2593" s="22"/>
      <c r="AE2593" s="22"/>
      <c r="AF2593" s="22"/>
      <c r="AG2593" s="22"/>
      <c r="AH2593" s="22"/>
      <c r="AI2593" s="22"/>
      <c r="AJ2593" s="22"/>
    </row>
    <row r="2594" spans="1:36" x14ac:dyDescent="0.25">
      <c r="A2594" s="22" t="s">
        <v>4375</v>
      </c>
      <c r="B2594" s="22">
        <v>0</v>
      </c>
      <c r="C2594" s="22"/>
      <c r="D2594" s="22"/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  <c r="O2594" s="22"/>
      <c r="P2594" s="22"/>
      <c r="Q2594" s="22"/>
      <c r="R2594" s="22"/>
      <c r="S2594" s="22"/>
      <c r="T2594" s="22"/>
      <c r="U2594" s="22"/>
      <c r="V2594" s="22"/>
      <c r="W2594" s="22"/>
      <c r="X2594" s="22"/>
      <c r="Y2594" s="22"/>
      <c r="Z2594" s="22"/>
      <c r="AA2594" s="22"/>
      <c r="AB2594" s="22"/>
      <c r="AC2594" s="22"/>
      <c r="AD2594" s="22"/>
      <c r="AE2594" s="22"/>
      <c r="AF2594" s="22"/>
      <c r="AG2594" s="22"/>
      <c r="AH2594" s="22"/>
      <c r="AI2594" s="22"/>
      <c r="AJ2594" s="22"/>
    </row>
    <row r="2595" spans="1:36" x14ac:dyDescent="0.25">
      <c r="A2595" s="22" t="s">
        <v>4376</v>
      </c>
      <c r="B2595" s="22">
        <v>0</v>
      </c>
      <c r="C2595" s="22"/>
      <c r="D2595" s="22"/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  <c r="O2595" s="22"/>
      <c r="P2595" s="22"/>
      <c r="Q2595" s="22"/>
      <c r="R2595" s="22"/>
      <c r="S2595" s="22"/>
      <c r="T2595" s="22"/>
      <c r="U2595" s="22"/>
      <c r="V2595" s="22"/>
      <c r="W2595" s="22"/>
      <c r="X2595" s="22"/>
      <c r="Y2595" s="22"/>
      <c r="Z2595" s="22"/>
      <c r="AA2595" s="22"/>
      <c r="AB2595" s="22"/>
      <c r="AC2595" s="22"/>
      <c r="AD2595" s="22"/>
      <c r="AE2595" s="22"/>
      <c r="AF2595" s="22"/>
      <c r="AG2595" s="22"/>
      <c r="AH2595" s="22"/>
      <c r="AI2595" s="22"/>
      <c r="AJ2595" s="22"/>
    </row>
    <row r="2596" spans="1:36" x14ac:dyDescent="0.25">
      <c r="A2596" s="22" t="s">
        <v>4377</v>
      </c>
      <c r="B2596" s="22">
        <v>0</v>
      </c>
      <c r="C2596" s="22"/>
      <c r="D2596" s="22"/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  <c r="O2596" s="22"/>
      <c r="P2596" s="22"/>
      <c r="Q2596" s="22"/>
      <c r="R2596" s="22"/>
      <c r="S2596" s="22"/>
      <c r="T2596" s="22"/>
      <c r="U2596" s="22"/>
      <c r="V2596" s="22"/>
      <c r="W2596" s="22"/>
      <c r="X2596" s="22"/>
      <c r="Y2596" s="22"/>
      <c r="Z2596" s="22"/>
      <c r="AA2596" s="22"/>
      <c r="AB2596" s="22"/>
      <c r="AC2596" s="22"/>
      <c r="AD2596" s="22"/>
      <c r="AE2596" s="22"/>
      <c r="AF2596" s="22"/>
      <c r="AG2596" s="22"/>
      <c r="AH2596" s="22"/>
      <c r="AI2596" s="22"/>
      <c r="AJ2596" s="22"/>
    </row>
    <row r="2597" spans="1:36" x14ac:dyDescent="0.25">
      <c r="A2597" s="22" t="s">
        <v>4378</v>
      </c>
      <c r="B2597" s="22">
        <v>0</v>
      </c>
      <c r="C2597" s="22"/>
      <c r="D2597" s="22"/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  <c r="O2597" s="22"/>
      <c r="P2597" s="22"/>
      <c r="Q2597" s="22"/>
      <c r="R2597" s="22"/>
      <c r="S2597" s="22"/>
      <c r="T2597" s="22"/>
      <c r="U2597" s="22"/>
      <c r="V2597" s="22"/>
      <c r="W2597" s="22"/>
      <c r="X2597" s="22"/>
      <c r="Y2597" s="22"/>
      <c r="Z2597" s="22"/>
      <c r="AA2597" s="22"/>
      <c r="AB2597" s="22"/>
      <c r="AC2597" s="22"/>
      <c r="AD2597" s="22"/>
      <c r="AE2597" s="22"/>
      <c r="AF2597" s="22"/>
      <c r="AG2597" s="22"/>
      <c r="AH2597" s="22"/>
      <c r="AI2597" s="22"/>
      <c r="AJ2597" s="22"/>
    </row>
    <row r="2598" spans="1:36" x14ac:dyDescent="0.25">
      <c r="A2598" s="22" t="s">
        <v>468</v>
      </c>
      <c r="B2598" s="22">
        <v>0</v>
      </c>
      <c r="C2598" s="22"/>
      <c r="D2598" s="22"/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  <c r="O2598" s="22"/>
      <c r="P2598" s="22"/>
      <c r="Q2598" s="22"/>
      <c r="R2598" s="22"/>
      <c r="S2598" s="22"/>
      <c r="T2598" s="22"/>
      <c r="U2598" s="22"/>
      <c r="V2598" s="22"/>
      <c r="W2598" s="22"/>
      <c r="X2598" s="22"/>
      <c r="Y2598" s="22"/>
      <c r="Z2598" s="22"/>
      <c r="AA2598" s="22"/>
      <c r="AB2598" s="22"/>
      <c r="AC2598" s="22"/>
      <c r="AD2598" s="22"/>
      <c r="AE2598" s="22"/>
      <c r="AF2598" s="22"/>
      <c r="AG2598" s="22"/>
      <c r="AH2598" s="22"/>
      <c r="AI2598" s="22"/>
      <c r="AJ2598" s="22"/>
    </row>
    <row r="2599" spans="1:36" x14ac:dyDescent="0.25">
      <c r="A2599" s="22" t="s">
        <v>3425</v>
      </c>
      <c r="B2599" s="22">
        <v>0</v>
      </c>
      <c r="C2599" s="22"/>
      <c r="D2599" s="22"/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  <c r="O2599" s="22"/>
      <c r="P2599" s="22"/>
      <c r="Q2599" s="22"/>
      <c r="R2599" s="22"/>
      <c r="S2599" s="22"/>
      <c r="T2599" s="22"/>
      <c r="U2599" s="22"/>
      <c r="V2599" s="22"/>
      <c r="W2599" s="22"/>
      <c r="X2599" s="22"/>
      <c r="Y2599" s="22"/>
      <c r="Z2599" s="22"/>
      <c r="AA2599" s="22"/>
      <c r="AB2599" s="22"/>
      <c r="AC2599" s="22"/>
      <c r="AD2599" s="22"/>
      <c r="AE2599" s="22"/>
      <c r="AF2599" s="22"/>
      <c r="AG2599" s="22"/>
      <c r="AH2599" s="22"/>
      <c r="AI2599" s="22"/>
      <c r="AJ2599" s="22"/>
    </row>
    <row r="2600" spans="1:36" x14ac:dyDescent="0.25">
      <c r="A2600" s="22" t="s">
        <v>3426</v>
      </c>
      <c r="B2600" s="22">
        <v>0</v>
      </c>
      <c r="C2600" s="22"/>
      <c r="D2600" s="22"/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  <c r="O2600" s="22"/>
      <c r="P2600" s="22"/>
      <c r="Q2600" s="22"/>
      <c r="R2600" s="22"/>
      <c r="S2600" s="22"/>
      <c r="T2600" s="22"/>
      <c r="U2600" s="22"/>
      <c r="V2600" s="22"/>
      <c r="W2600" s="22"/>
      <c r="X2600" s="22"/>
      <c r="Y2600" s="22"/>
      <c r="Z2600" s="22"/>
      <c r="AA2600" s="22"/>
      <c r="AB2600" s="22"/>
      <c r="AC2600" s="22"/>
      <c r="AD2600" s="22"/>
      <c r="AE2600" s="22"/>
      <c r="AF2600" s="22"/>
      <c r="AG2600" s="22"/>
      <c r="AH2600" s="22"/>
      <c r="AI2600" s="22"/>
      <c r="AJ2600" s="22"/>
    </row>
    <row r="2601" spans="1:36" x14ac:dyDescent="0.25">
      <c r="A2601" s="22" t="s">
        <v>3427</v>
      </c>
      <c r="B2601" s="22">
        <v>0</v>
      </c>
      <c r="C2601" s="22"/>
      <c r="D2601" s="22"/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  <c r="O2601" s="22"/>
      <c r="P2601" s="22"/>
      <c r="Q2601" s="22"/>
      <c r="R2601" s="22"/>
      <c r="S2601" s="22"/>
      <c r="T2601" s="22"/>
      <c r="U2601" s="22"/>
      <c r="V2601" s="22"/>
      <c r="W2601" s="22"/>
      <c r="X2601" s="22"/>
      <c r="Y2601" s="22"/>
      <c r="Z2601" s="22"/>
      <c r="AA2601" s="22"/>
      <c r="AB2601" s="22"/>
      <c r="AC2601" s="22"/>
      <c r="AD2601" s="22"/>
      <c r="AE2601" s="22"/>
      <c r="AF2601" s="22"/>
      <c r="AG2601" s="22"/>
      <c r="AH2601" s="22"/>
      <c r="AI2601" s="22"/>
      <c r="AJ2601" s="22"/>
    </row>
    <row r="2602" spans="1:36" x14ac:dyDescent="0.25">
      <c r="A2602" s="22" t="s">
        <v>3428</v>
      </c>
      <c r="B2602" s="22">
        <v>0</v>
      </c>
      <c r="C2602" s="22"/>
      <c r="D2602" s="22"/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  <c r="O2602" s="22"/>
      <c r="P2602" s="22"/>
      <c r="Q2602" s="22"/>
      <c r="R2602" s="22"/>
      <c r="S2602" s="22"/>
      <c r="T2602" s="22"/>
      <c r="U2602" s="22"/>
      <c r="V2602" s="22"/>
      <c r="W2602" s="22"/>
      <c r="X2602" s="22"/>
      <c r="Y2602" s="22"/>
      <c r="Z2602" s="22"/>
      <c r="AA2602" s="22"/>
      <c r="AB2602" s="22"/>
      <c r="AC2602" s="22"/>
      <c r="AD2602" s="22"/>
      <c r="AE2602" s="22"/>
      <c r="AF2602" s="22"/>
      <c r="AG2602" s="22"/>
      <c r="AH2602" s="22"/>
      <c r="AI2602" s="22"/>
      <c r="AJ2602" s="22"/>
    </row>
    <row r="2603" spans="1:36" x14ac:dyDescent="0.25">
      <c r="A2603" s="22" t="s">
        <v>3429</v>
      </c>
      <c r="B2603" s="22">
        <v>0</v>
      </c>
      <c r="C2603" s="22"/>
      <c r="D2603" s="22"/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  <c r="O2603" s="22"/>
      <c r="P2603" s="22"/>
      <c r="Q2603" s="22"/>
      <c r="R2603" s="22"/>
      <c r="S2603" s="22"/>
      <c r="T2603" s="22"/>
      <c r="U2603" s="22"/>
      <c r="V2603" s="22"/>
      <c r="W2603" s="22"/>
      <c r="X2603" s="22"/>
      <c r="Y2603" s="22"/>
      <c r="Z2603" s="22"/>
      <c r="AA2603" s="22"/>
      <c r="AB2603" s="22"/>
      <c r="AC2603" s="22"/>
      <c r="AD2603" s="22"/>
      <c r="AE2603" s="22"/>
      <c r="AF2603" s="22"/>
      <c r="AG2603" s="22"/>
      <c r="AH2603" s="22"/>
      <c r="AI2603" s="22"/>
      <c r="AJ2603" s="22"/>
    </row>
    <row r="2604" spans="1:36" x14ac:dyDescent="0.25">
      <c r="A2604" s="22" t="s">
        <v>3430</v>
      </c>
      <c r="B2604" s="22">
        <v>0</v>
      </c>
      <c r="C2604" s="22"/>
      <c r="D2604" s="22"/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  <c r="O2604" s="22"/>
      <c r="P2604" s="22"/>
      <c r="Q2604" s="22"/>
      <c r="R2604" s="22"/>
      <c r="S2604" s="22"/>
      <c r="T2604" s="22"/>
      <c r="U2604" s="22"/>
      <c r="V2604" s="22"/>
      <c r="W2604" s="22"/>
      <c r="X2604" s="22"/>
      <c r="Y2604" s="22"/>
      <c r="Z2604" s="22"/>
      <c r="AA2604" s="22"/>
      <c r="AB2604" s="22"/>
      <c r="AC2604" s="22"/>
      <c r="AD2604" s="22"/>
      <c r="AE2604" s="22"/>
      <c r="AF2604" s="22"/>
      <c r="AG2604" s="22"/>
      <c r="AH2604" s="22"/>
      <c r="AI2604" s="22"/>
      <c r="AJ2604" s="22"/>
    </row>
    <row r="2605" spans="1:36" x14ac:dyDescent="0.25">
      <c r="A2605" s="22" t="s">
        <v>3431</v>
      </c>
      <c r="B2605" s="22">
        <v>0</v>
      </c>
      <c r="C2605" s="22"/>
      <c r="D2605" s="22"/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  <c r="O2605" s="22"/>
      <c r="P2605" s="22"/>
      <c r="Q2605" s="22"/>
      <c r="R2605" s="22"/>
      <c r="S2605" s="22"/>
      <c r="T2605" s="22"/>
      <c r="U2605" s="22"/>
      <c r="V2605" s="22"/>
      <c r="W2605" s="22"/>
      <c r="X2605" s="22"/>
      <c r="Y2605" s="22"/>
      <c r="Z2605" s="22"/>
      <c r="AA2605" s="22"/>
      <c r="AB2605" s="22"/>
      <c r="AC2605" s="22"/>
      <c r="AD2605" s="22"/>
      <c r="AE2605" s="22"/>
      <c r="AF2605" s="22"/>
      <c r="AG2605" s="22"/>
      <c r="AH2605" s="22"/>
      <c r="AI2605" s="22"/>
      <c r="AJ2605" s="22"/>
    </row>
    <row r="2606" spans="1:36" x14ac:dyDescent="0.25">
      <c r="A2606" s="22" t="s">
        <v>469</v>
      </c>
      <c r="B2606" s="22">
        <v>0</v>
      </c>
      <c r="C2606" s="22"/>
      <c r="D2606" s="22"/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  <c r="O2606" s="22"/>
      <c r="P2606" s="22"/>
      <c r="Q2606" s="22"/>
      <c r="R2606" s="22"/>
      <c r="S2606" s="22"/>
      <c r="T2606" s="22"/>
      <c r="U2606" s="22"/>
      <c r="V2606" s="22"/>
      <c r="W2606" s="22"/>
      <c r="X2606" s="22"/>
      <c r="Y2606" s="22"/>
      <c r="Z2606" s="22"/>
      <c r="AA2606" s="22"/>
      <c r="AB2606" s="22"/>
      <c r="AC2606" s="22"/>
      <c r="AD2606" s="22"/>
      <c r="AE2606" s="22"/>
      <c r="AF2606" s="22"/>
      <c r="AG2606" s="22"/>
      <c r="AH2606" s="22"/>
      <c r="AI2606" s="22"/>
      <c r="AJ2606" s="22"/>
    </row>
    <row r="2607" spans="1:36" x14ac:dyDescent="0.25">
      <c r="A2607" s="22" t="s">
        <v>3432</v>
      </c>
      <c r="B2607" s="22">
        <v>0</v>
      </c>
      <c r="C2607" s="22"/>
      <c r="D2607" s="22"/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  <c r="O2607" s="22"/>
      <c r="P2607" s="22"/>
      <c r="Q2607" s="22"/>
      <c r="R2607" s="22"/>
      <c r="S2607" s="22"/>
      <c r="T2607" s="22"/>
      <c r="U2607" s="22"/>
      <c r="V2607" s="22"/>
      <c r="W2607" s="22"/>
      <c r="X2607" s="22"/>
      <c r="Y2607" s="22"/>
      <c r="Z2607" s="22"/>
      <c r="AA2607" s="22"/>
      <c r="AB2607" s="22"/>
      <c r="AC2607" s="22"/>
      <c r="AD2607" s="22"/>
      <c r="AE2607" s="22"/>
      <c r="AF2607" s="22"/>
      <c r="AG2607" s="22"/>
      <c r="AH2607" s="22"/>
      <c r="AI2607" s="22"/>
      <c r="AJ2607" s="22"/>
    </row>
    <row r="2608" spans="1:36" x14ac:dyDescent="0.25">
      <c r="A2608" s="22" t="s">
        <v>3433</v>
      </c>
      <c r="B2608" s="22">
        <v>0</v>
      </c>
      <c r="C2608" s="22"/>
      <c r="D2608" s="22"/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  <c r="O2608" s="22"/>
      <c r="P2608" s="22"/>
      <c r="Q2608" s="22"/>
      <c r="R2608" s="22"/>
      <c r="S2608" s="22"/>
      <c r="T2608" s="22"/>
      <c r="U2608" s="22"/>
      <c r="V2608" s="22"/>
      <c r="W2608" s="22"/>
      <c r="X2608" s="22"/>
      <c r="Y2608" s="22"/>
      <c r="Z2608" s="22"/>
      <c r="AA2608" s="22"/>
      <c r="AB2608" s="22"/>
      <c r="AC2608" s="22"/>
      <c r="AD2608" s="22"/>
      <c r="AE2608" s="22"/>
      <c r="AF2608" s="22"/>
      <c r="AG2608" s="22"/>
      <c r="AH2608" s="22"/>
      <c r="AI2608" s="22"/>
      <c r="AJ2608" s="22"/>
    </row>
    <row r="2609" spans="1:36" x14ac:dyDescent="0.25">
      <c r="A2609" s="22" t="s">
        <v>3434</v>
      </c>
      <c r="B2609" s="22">
        <v>0</v>
      </c>
      <c r="C2609" s="22"/>
      <c r="D2609" s="22"/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  <c r="O2609" s="22"/>
      <c r="P2609" s="22"/>
      <c r="Q2609" s="22"/>
      <c r="R2609" s="22"/>
      <c r="S2609" s="22"/>
      <c r="T2609" s="22"/>
      <c r="U2609" s="22"/>
      <c r="V2609" s="22"/>
      <c r="W2609" s="22"/>
      <c r="X2609" s="22"/>
      <c r="Y2609" s="22"/>
      <c r="Z2609" s="22"/>
      <c r="AA2609" s="22"/>
      <c r="AB2609" s="22"/>
      <c r="AC2609" s="22"/>
      <c r="AD2609" s="22"/>
      <c r="AE2609" s="22"/>
      <c r="AF2609" s="22"/>
      <c r="AG2609" s="22"/>
      <c r="AH2609" s="22"/>
      <c r="AI2609" s="22"/>
      <c r="AJ2609" s="22"/>
    </row>
    <row r="2610" spans="1:36" x14ac:dyDescent="0.25">
      <c r="A2610" s="22" t="s">
        <v>3435</v>
      </c>
      <c r="B2610" s="22">
        <v>0</v>
      </c>
      <c r="C2610" s="22"/>
      <c r="D2610" s="22"/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  <c r="O2610" s="22"/>
      <c r="P2610" s="22"/>
      <c r="Q2610" s="22"/>
      <c r="R2610" s="22"/>
      <c r="S2610" s="22"/>
      <c r="T2610" s="22"/>
      <c r="U2610" s="22"/>
      <c r="V2610" s="22"/>
      <c r="W2610" s="22"/>
      <c r="X2610" s="22"/>
      <c r="Y2610" s="22"/>
      <c r="Z2610" s="22"/>
      <c r="AA2610" s="22"/>
      <c r="AB2610" s="22"/>
      <c r="AC2610" s="22"/>
      <c r="AD2610" s="22"/>
      <c r="AE2610" s="22"/>
      <c r="AF2610" s="22"/>
      <c r="AG2610" s="22"/>
      <c r="AH2610" s="22"/>
      <c r="AI2610" s="22"/>
      <c r="AJ2610" s="22"/>
    </row>
    <row r="2611" spans="1:36" x14ac:dyDescent="0.25">
      <c r="A2611" s="22" t="s">
        <v>3436</v>
      </c>
      <c r="B2611" s="22">
        <v>0</v>
      </c>
      <c r="C2611" s="22"/>
      <c r="D2611" s="22"/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  <c r="O2611" s="22"/>
      <c r="P2611" s="22"/>
      <c r="Q2611" s="22"/>
      <c r="R2611" s="22"/>
      <c r="S2611" s="22"/>
      <c r="T2611" s="22"/>
      <c r="U2611" s="22"/>
      <c r="V2611" s="22"/>
      <c r="W2611" s="22"/>
      <c r="X2611" s="22"/>
      <c r="Y2611" s="22"/>
      <c r="Z2611" s="22"/>
      <c r="AA2611" s="22"/>
      <c r="AB2611" s="22"/>
      <c r="AC2611" s="22"/>
      <c r="AD2611" s="22"/>
      <c r="AE2611" s="22"/>
      <c r="AF2611" s="22"/>
      <c r="AG2611" s="22"/>
      <c r="AH2611" s="22"/>
      <c r="AI2611" s="22"/>
      <c r="AJ2611" s="22"/>
    </row>
    <row r="2612" spans="1:36" x14ac:dyDescent="0.25">
      <c r="A2612" s="22" t="s">
        <v>3437</v>
      </c>
      <c r="B2612" s="22">
        <v>0</v>
      </c>
      <c r="C2612" s="22"/>
      <c r="D2612" s="22"/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  <c r="O2612" s="22"/>
      <c r="P2612" s="22"/>
      <c r="Q2612" s="22"/>
      <c r="R2612" s="22"/>
      <c r="S2612" s="22"/>
      <c r="T2612" s="22"/>
      <c r="U2612" s="22"/>
      <c r="V2612" s="22"/>
      <c r="W2612" s="22"/>
      <c r="X2612" s="22"/>
      <c r="Y2612" s="22"/>
      <c r="Z2612" s="22"/>
      <c r="AA2612" s="22"/>
      <c r="AB2612" s="22"/>
      <c r="AC2612" s="22"/>
      <c r="AD2612" s="22"/>
      <c r="AE2612" s="22"/>
      <c r="AF2612" s="22"/>
      <c r="AG2612" s="22"/>
      <c r="AH2612" s="22"/>
      <c r="AI2612" s="22"/>
      <c r="AJ2612" s="22"/>
    </row>
    <row r="2613" spans="1:36" x14ac:dyDescent="0.25">
      <c r="A2613" s="22" t="s">
        <v>3438</v>
      </c>
      <c r="B2613" s="22">
        <v>0</v>
      </c>
      <c r="C2613" s="22"/>
      <c r="D2613" s="22"/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  <c r="O2613" s="22"/>
      <c r="P2613" s="22"/>
      <c r="Q2613" s="22"/>
      <c r="R2613" s="22"/>
      <c r="S2613" s="22"/>
      <c r="T2613" s="22"/>
      <c r="U2613" s="22"/>
      <c r="V2613" s="22"/>
      <c r="W2613" s="22"/>
      <c r="X2613" s="22"/>
      <c r="Y2613" s="22"/>
      <c r="Z2613" s="22"/>
      <c r="AA2613" s="22"/>
      <c r="AB2613" s="22"/>
      <c r="AC2613" s="22"/>
      <c r="AD2613" s="22"/>
      <c r="AE2613" s="22"/>
      <c r="AF2613" s="22"/>
      <c r="AG2613" s="22"/>
      <c r="AH2613" s="22"/>
      <c r="AI2613" s="22"/>
      <c r="AJ2613" s="22"/>
    </row>
    <row r="2614" spans="1:36" x14ac:dyDescent="0.25">
      <c r="A2614" s="22" t="s">
        <v>912</v>
      </c>
      <c r="B2614" s="22">
        <v>64</v>
      </c>
      <c r="C2614" s="22"/>
      <c r="D2614" s="22"/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  <c r="O2614" s="22"/>
      <c r="P2614" s="22"/>
      <c r="Q2614" s="22"/>
      <c r="R2614" s="22"/>
      <c r="S2614" s="22"/>
      <c r="T2614" s="22"/>
      <c r="U2614" s="22"/>
      <c r="V2614" s="22"/>
      <c r="W2614" s="22"/>
      <c r="X2614" s="22"/>
      <c r="Y2614" s="22"/>
      <c r="Z2614" s="22"/>
      <c r="AA2614" s="22"/>
      <c r="AB2614" s="22"/>
      <c r="AC2614" s="22"/>
      <c r="AD2614" s="22"/>
      <c r="AE2614" s="22"/>
      <c r="AF2614" s="22"/>
      <c r="AG2614" s="22"/>
      <c r="AH2614" s="22"/>
      <c r="AI2614" s="22"/>
      <c r="AJ2614" s="22"/>
    </row>
    <row r="2615" spans="1:36" x14ac:dyDescent="0.25">
      <c r="A2615" s="22" t="s">
        <v>3439</v>
      </c>
      <c r="B2615" s="22">
        <v>0</v>
      </c>
      <c r="C2615" s="22"/>
      <c r="D2615" s="22"/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  <c r="O2615" s="22"/>
      <c r="P2615" s="22"/>
      <c r="Q2615" s="22"/>
      <c r="R2615" s="22"/>
      <c r="S2615" s="22"/>
      <c r="T2615" s="22"/>
      <c r="U2615" s="22"/>
      <c r="V2615" s="22"/>
      <c r="W2615" s="22"/>
      <c r="X2615" s="22"/>
      <c r="Y2615" s="22"/>
      <c r="Z2615" s="22"/>
      <c r="AA2615" s="22"/>
      <c r="AB2615" s="22"/>
      <c r="AC2615" s="22"/>
      <c r="AD2615" s="22"/>
      <c r="AE2615" s="22"/>
      <c r="AF2615" s="22"/>
      <c r="AG2615" s="22"/>
      <c r="AH2615" s="22"/>
      <c r="AI2615" s="22"/>
      <c r="AJ2615" s="22"/>
    </row>
    <row r="2616" spans="1:36" x14ac:dyDescent="0.25">
      <c r="A2616" s="22" t="s">
        <v>3440</v>
      </c>
      <c r="B2616" s="22">
        <v>0</v>
      </c>
      <c r="C2616" s="22"/>
      <c r="D2616" s="22"/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  <c r="O2616" s="22"/>
      <c r="P2616" s="22"/>
      <c r="Q2616" s="22"/>
      <c r="R2616" s="22"/>
      <c r="S2616" s="22"/>
      <c r="T2616" s="22"/>
      <c r="U2616" s="22"/>
      <c r="V2616" s="22"/>
      <c r="W2616" s="22"/>
      <c r="X2616" s="22"/>
      <c r="Y2616" s="22"/>
      <c r="Z2616" s="22"/>
      <c r="AA2616" s="22"/>
      <c r="AB2616" s="22"/>
      <c r="AC2616" s="22"/>
      <c r="AD2616" s="22"/>
      <c r="AE2616" s="22"/>
      <c r="AF2616" s="22"/>
      <c r="AG2616" s="22"/>
      <c r="AH2616" s="22"/>
      <c r="AI2616" s="22"/>
      <c r="AJ2616" s="22"/>
    </row>
    <row r="2617" spans="1:36" x14ac:dyDescent="0.25">
      <c r="A2617" s="22" t="s">
        <v>3441</v>
      </c>
      <c r="B2617" s="22">
        <v>0</v>
      </c>
      <c r="C2617" s="22"/>
      <c r="D2617" s="22"/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  <c r="O2617" s="22"/>
      <c r="P2617" s="22"/>
      <c r="Q2617" s="22"/>
      <c r="R2617" s="22"/>
      <c r="S2617" s="22"/>
      <c r="T2617" s="22"/>
      <c r="U2617" s="22"/>
      <c r="V2617" s="22"/>
      <c r="W2617" s="22"/>
      <c r="X2617" s="22"/>
      <c r="Y2617" s="22"/>
      <c r="Z2617" s="22"/>
      <c r="AA2617" s="22"/>
      <c r="AB2617" s="22"/>
      <c r="AC2617" s="22"/>
      <c r="AD2617" s="22"/>
      <c r="AE2617" s="22"/>
      <c r="AF2617" s="22"/>
      <c r="AG2617" s="22"/>
      <c r="AH2617" s="22"/>
      <c r="AI2617" s="22"/>
      <c r="AJ2617" s="22"/>
    </row>
    <row r="2618" spans="1:36" x14ac:dyDescent="0.25">
      <c r="A2618" s="22" t="s">
        <v>3442</v>
      </c>
      <c r="B2618" s="22">
        <v>0</v>
      </c>
      <c r="C2618" s="22"/>
      <c r="D2618" s="22"/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  <c r="O2618" s="22"/>
      <c r="P2618" s="22"/>
      <c r="Q2618" s="22"/>
      <c r="R2618" s="22"/>
      <c r="S2618" s="22"/>
      <c r="T2618" s="22"/>
      <c r="U2618" s="22"/>
      <c r="V2618" s="22"/>
      <c r="W2618" s="22"/>
      <c r="X2618" s="22"/>
      <c r="Y2618" s="22"/>
      <c r="Z2618" s="22"/>
      <c r="AA2618" s="22"/>
      <c r="AB2618" s="22"/>
      <c r="AC2618" s="22"/>
      <c r="AD2618" s="22"/>
      <c r="AE2618" s="22"/>
      <c r="AF2618" s="22"/>
      <c r="AG2618" s="22"/>
      <c r="AH2618" s="22"/>
      <c r="AI2618" s="22"/>
      <c r="AJ2618" s="22"/>
    </row>
    <row r="2619" spans="1:36" x14ac:dyDescent="0.25">
      <c r="A2619" s="22" t="s">
        <v>3443</v>
      </c>
      <c r="B2619" s="22">
        <v>0</v>
      </c>
      <c r="C2619" s="22"/>
      <c r="D2619" s="22"/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  <c r="O2619" s="22"/>
      <c r="P2619" s="22"/>
      <c r="Q2619" s="22"/>
      <c r="R2619" s="22"/>
      <c r="S2619" s="22"/>
      <c r="T2619" s="22"/>
      <c r="U2619" s="22"/>
      <c r="V2619" s="22"/>
      <c r="W2619" s="22"/>
      <c r="X2619" s="22"/>
      <c r="Y2619" s="22"/>
      <c r="Z2619" s="22"/>
      <c r="AA2619" s="22"/>
      <c r="AB2619" s="22"/>
      <c r="AC2619" s="22"/>
      <c r="AD2619" s="22"/>
      <c r="AE2619" s="22"/>
      <c r="AF2619" s="22"/>
      <c r="AG2619" s="22"/>
      <c r="AH2619" s="22"/>
      <c r="AI2619" s="22"/>
      <c r="AJ2619" s="22"/>
    </row>
    <row r="2620" spans="1:36" x14ac:dyDescent="0.25">
      <c r="A2620" s="22" t="s">
        <v>3444</v>
      </c>
      <c r="B2620" s="22">
        <v>0</v>
      </c>
      <c r="C2620" s="22"/>
      <c r="D2620" s="22"/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  <c r="O2620" s="22"/>
      <c r="P2620" s="22"/>
      <c r="Q2620" s="22"/>
      <c r="R2620" s="22"/>
      <c r="S2620" s="22"/>
      <c r="T2620" s="22"/>
      <c r="U2620" s="22"/>
      <c r="V2620" s="22"/>
      <c r="W2620" s="22"/>
      <c r="X2620" s="22"/>
      <c r="Y2620" s="22"/>
      <c r="Z2620" s="22"/>
      <c r="AA2620" s="22"/>
      <c r="AB2620" s="22"/>
      <c r="AC2620" s="22"/>
      <c r="AD2620" s="22"/>
      <c r="AE2620" s="22"/>
      <c r="AF2620" s="22"/>
      <c r="AG2620" s="22"/>
      <c r="AH2620" s="22"/>
      <c r="AI2620" s="22"/>
      <c r="AJ2620" s="22"/>
    </row>
    <row r="2621" spans="1:36" x14ac:dyDescent="0.25">
      <c r="A2621" s="22" t="s">
        <v>3445</v>
      </c>
      <c r="B2621" s="22">
        <v>0</v>
      </c>
      <c r="C2621" s="22"/>
      <c r="D2621" s="22"/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  <c r="O2621" s="22"/>
      <c r="P2621" s="22"/>
      <c r="Q2621" s="22"/>
      <c r="R2621" s="22"/>
      <c r="S2621" s="22"/>
      <c r="T2621" s="22"/>
      <c r="U2621" s="22"/>
      <c r="V2621" s="22"/>
      <c r="W2621" s="22"/>
      <c r="X2621" s="22"/>
      <c r="Y2621" s="22"/>
      <c r="Z2621" s="22"/>
      <c r="AA2621" s="22"/>
      <c r="AB2621" s="22"/>
      <c r="AC2621" s="22"/>
      <c r="AD2621" s="22"/>
      <c r="AE2621" s="22"/>
      <c r="AF2621" s="22"/>
      <c r="AG2621" s="22"/>
      <c r="AH2621" s="22"/>
      <c r="AI2621" s="22"/>
      <c r="AJ2621" s="22"/>
    </row>
    <row r="2622" spans="1:36" x14ac:dyDescent="0.25">
      <c r="A2622" s="22" t="s">
        <v>4379</v>
      </c>
      <c r="B2622" s="22">
        <v>0</v>
      </c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  <c r="O2622" s="22"/>
      <c r="P2622" s="22"/>
      <c r="Q2622" s="22"/>
      <c r="R2622" s="22"/>
      <c r="S2622" s="22"/>
      <c r="T2622" s="22"/>
      <c r="U2622" s="22"/>
      <c r="V2622" s="22"/>
      <c r="W2622" s="22"/>
      <c r="X2622" s="22"/>
      <c r="Y2622" s="22"/>
      <c r="Z2622" s="22"/>
      <c r="AA2622" s="22"/>
      <c r="AB2622" s="22"/>
      <c r="AC2622" s="22"/>
      <c r="AD2622" s="22"/>
      <c r="AE2622" s="22"/>
      <c r="AF2622" s="22"/>
      <c r="AG2622" s="22"/>
      <c r="AH2622" s="22"/>
      <c r="AI2622" s="22"/>
      <c r="AJ2622" s="22"/>
    </row>
    <row r="2623" spans="1:36" x14ac:dyDescent="0.25">
      <c r="A2623" s="22" t="s">
        <v>4380</v>
      </c>
      <c r="B2623" s="22">
        <v>0</v>
      </c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  <c r="O2623" s="22"/>
      <c r="P2623" s="22"/>
      <c r="Q2623" s="22"/>
      <c r="R2623" s="22"/>
      <c r="S2623" s="22"/>
      <c r="T2623" s="22"/>
      <c r="U2623" s="22"/>
      <c r="V2623" s="22"/>
      <c r="W2623" s="22"/>
      <c r="X2623" s="22"/>
      <c r="Y2623" s="22"/>
      <c r="Z2623" s="22"/>
      <c r="AA2623" s="22"/>
      <c r="AB2623" s="22"/>
      <c r="AC2623" s="22"/>
      <c r="AD2623" s="22"/>
      <c r="AE2623" s="22"/>
      <c r="AF2623" s="22"/>
      <c r="AG2623" s="22"/>
      <c r="AH2623" s="22"/>
      <c r="AI2623" s="22"/>
      <c r="AJ2623" s="22"/>
    </row>
    <row r="2624" spans="1:36" x14ac:dyDescent="0.25">
      <c r="A2624" s="22" t="s">
        <v>4381</v>
      </c>
      <c r="B2624" s="22">
        <v>0</v>
      </c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  <c r="O2624" s="22"/>
      <c r="P2624" s="22"/>
      <c r="Q2624" s="22"/>
      <c r="R2624" s="22"/>
      <c r="S2624" s="22"/>
      <c r="T2624" s="22"/>
      <c r="U2624" s="22"/>
      <c r="V2624" s="22"/>
      <c r="W2624" s="22"/>
      <c r="X2624" s="22"/>
      <c r="Y2624" s="22"/>
      <c r="Z2624" s="22"/>
      <c r="AA2624" s="22"/>
      <c r="AB2624" s="22"/>
      <c r="AC2624" s="22"/>
      <c r="AD2624" s="22"/>
      <c r="AE2624" s="22"/>
      <c r="AF2624" s="22"/>
      <c r="AG2624" s="22"/>
      <c r="AH2624" s="22"/>
      <c r="AI2624" s="22"/>
      <c r="AJ2624" s="22"/>
    </row>
    <row r="2625" spans="1:36" x14ac:dyDescent="0.25">
      <c r="A2625" s="22" t="s">
        <v>4382</v>
      </c>
      <c r="B2625" s="22">
        <v>0</v>
      </c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  <c r="O2625" s="22"/>
      <c r="P2625" s="22"/>
      <c r="Q2625" s="22"/>
      <c r="R2625" s="22"/>
      <c r="S2625" s="22"/>
      <c r="T2625" s="22"/>
      <c r="U2625" s="22"/>
      <c r="V2625" s="22"/>
      <c r="W2625" s="22"/>
      <c r="X2625" s="22"/>
      <c r="Y2625" s="22"/>
      <c r="Z2625" s="22"/>
      <c r="AA2625" s="22"/>
      <c r="AB2625" s="22"/>
      <c r="AC2625" s="22"/>
      <c r="AD2625" s="22"/>
      <c r="AE2625" s="22"/>
      <c r="AF2625" s="22"/>
      <c r="AG2625" s="22"/>
      <c r="AH2625" s="22"/>
      <c r="AI2625" s="22"/>
      <c r="AJ2625" s="22"/>
    </row>
    <row r="2626" spans="1:36" x14ac:dyDescent="0.25">
      <c r="A2626" s="22" t="s">
        <v>4383</v>
      </c>
      <c r="B2626" s="22">
        <v>0</v>
      </c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  <c r="O2626" s="22"/>
      <c r="P2626" s="22"/>
      <c r="Q2626" s="22"/>
      <c r="R2626" s="22"/>
      <c r="S2626" s="22"/>
      <c r="T2626" s="22"/>
      <c r="U2626" s="22"/>
      <c r="V2626" s="22"/>
      <c r="W2626" s="22"/>
      <c r="X2626" s="22"/>
      <c r="Y2626" s="22"/>
      <c r="Z2626" s="22"/>
      <c r="AA2626" s="22"/>
      <c r="AB2626" s="22"/>
      <c r="AC2626" s="22"/>
      <c r="AD2626" s="22"/>
      <c r="AE2626" s="22"/>
      <c r="AF2626" s="22"/>
      <c r="AG2626" s="22"/>
      <c r="AH2626" s="22"/>
      <c r="AI2626" s="22"/>
      <c r="AJ2626" s="22"/>
    </row>
    <row r="2627" spans="1:36" x14ac:dyDescent="0.25">
      <c r="A2627" s="22" t="s">
        <v>4384</v>
      </c>
      <c r="B2627" s="22">
        <v>0</v>
      </c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  <c r="O2627" s="22"/>
      <c r="P2627" s="22"/>
      <c r="Q2627" s="22"/>
      <c r="R2627" s="22"/>
      <c r="S2627" s="22"/>
      <c r="T2627" s="22"/>
      <c r="U2627" s="22"/>
      <c r="V2627" s="22"/>
      <c r="W2627" s="22"/>
      <c r="X2627" s="22"/>
      <c r="Y2627" s="22"/>
      <c r="Z2627" s="22"/>
      <c r="AA2627" s="22"/>
      <c r="AB2627" s="22"/>
      <c r="AC2627" s="22"/>
      <c r="AD2627" s="22"/>
      <c r="AE2627" s="22"/>
      <c r="AF2627" s="22"/>
      <c r="AG2627" s="22"/>
      <c r="AH2627" s="22"/>
      <c r="AI2627" s="22"/>
      <c r="AJ2627" s="22"/>
    </row>
    <row r="2628" spans="1:36" x14ac:dyDescent="0.25">
      <c r="A2628" s="22" t="s">
        <v>4385</v>
      </c>
      <c r="B2628" s="22">
        <v>0</v>
      </c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  <c r="O2628" s="22"/>
      <c r="P2628" s="22"/>
      <c r="Q2628" s="22"/>
      <c r="R2628" s="22"/>
      <c r="S2628" s="22"/>
      <c r="T2628" s="22"/>
      <c r="U2628" s="22"/>
      <c r="V2628" s="22"/>
      <c r="W2628" s="22"/>
      <c r="X2628" s="22"/>
      <c r="Y2628" s="22"/>
      <c r="Z2628" s="22"/>
      <c r="AA2628" s="22"/>
      <c r="AB2628" s="22"/>
      <c r="AC2628" s="22"/>
      <c r="AD2628" s="22"/>
      <c r="AE2628" s="22"/>
      <c r="AF2628" s="22"/>
      <c r="AG2628" s="22"/>
      <c r="AH2628" s="22"/>
      <c r="AI2628" s="22"/>
      <c r="AJ2628" s="22"/>
    </row>
    <row r="2629" spans="1:36" x14ac:dyDescent="0.25">
      <c r="A2629" s="22" t="s">
        <v>4386</v>
      </c>
      <c r="B2629" s="22">
        <v>0</v>
      </c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  <c r="O2629" s="22"/>
      <c r="P2629" s="22"/>
      <c r="Q2629" s="22"/>
      <c r="R2629" s="22"/>
      <c r="S2629" s="22"/>
      <c r="T2629" s="22"/>
      <c r="U2629" s="22"/>
      <c r="V2629" s="22"/>
      <c r="W2629" s="22"/>
      <c r="X2629" s="22"/>
      <c r="Y2629" s="22"/>
      <c r="Z2629" s="22"/>
      <c r="AA2629" s="22"/>
      <c r="AB2629" s="22"/>
      <c r="AC2629" s="22"/>
      <c r="AD2629" s="22"/>
      <c r="AE2629" s="22"/>
      <c r="AF2629" s="22"/>
      <c r="AG2629" s="22"/>
      <c r="AH2629" s="22"/>
      <c r="AI2629" s="22"/>
      <c r="AJ2629" s="22"/>
    </row>
    <row r="2630" spans="1:36" x14ac:dyDescent="0.25">
      <c r="A2630" s="22" t="s">
        <v>951</v>
      </c>
      <c r="B2630" s="22">
        <v>0</v>
      </c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  <c r="O2630" s="22"/>
      <c r="P2630" s="22"/>
      <c r="Q2630" s="22"/>
      <c r="R2630" s="22"/>
      <c r="S2630" s="22"/>
      <c r="T2630" s="22"/>
      <c r="U2630" s="22"/>
      <c r="V2630" s="22"/>
      <c r="W2630" s="22"/>
      <c r="X2630" s="22"/>
      <c r="Y2630" s="22"/>
      <c r="Z2630" s="22"/>
      <c r="AA2630" s="22"/>
      <c r="AB2630" s="22"/>
      <c r="AC2630" s="22"/>
      <c r="AD2630" s="22"/>
      <c r="AE2630" s="22"/>
      <c r="AF2630" s="22"/>
      <c r="AG2630" s="22"/>
      <c r="AH2630" s="22"/>
      <c r="AI2630" s="22"/>
      <c r="AJ2630" s="22"/>
    </row>
    <row r="2631" spans="1:36" x14ac:dyDescent="0.25">
      <c r="A2631" s="22" t="s">
        <v>3446</v>
      </c>
      <c r="B2631" s="22">
        <v>0</v>
      </c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  <c r="O2631" s="22"/>
      <c r="P2631" s="22"/>
      <c r="Q2631" s="22"/>
      <c r="R2631" s="22"/>
      <c r="S2631" s="22"/>
      <c r="T2631" s="22"/>
      <c r="U2631" s="22"/>
      <c r="V2631" s="22"/>
      <c r="W2631" s="22"/>
      <c r="X2631" s="22"/>
      <c r="Y2631" s="22"/>
      <c r="Z2631" s="22"/>
      <c r="AA2631" s="22"/>
      <c r="AB2631" s="22"/>
      <c r="AC2631" s="22"/>
      <c r="AD2631" s="22"/>
      <c r="AE2631" s="22"/>
      <c r="AF2631" s="22"/>
      <c r="AG2631" s="22"/>
      <c r="AH2631" s="22"/>
      <c r="AI2631" s="22"/>
      <c r="AJ2631" s="22"/>
    </row>
    <row r="2632" spans="1:36" x14ac:dyDescent="0.25">
      <c r="A2632" s="22" t="s">
        <v>3447</v>
      </c>
      <c r="B2632" s="22">
        <v>0</v>
      </c>
      <c r="C2632" s="22"/>
      <c r="D2632" s="22"/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  <c r="O2632" s="22"/>
      <c r="P2632" s="22"/>
      <c r="Q2632" s="22"/>
      <c r="R2632" s="22"/>
      <c r="S2632" s="22"/>
      <c r="T2632" s="22"/>
      <c r="U2632" s="22"/>
      <c r="V2632" s="22"/>
      <c r="W2632" s="22"/>
      <c r="X2632" s="22"/>
      <c r="Y2632" s="22"/>
      <c r="Z2632" s="22"/>
      <c r="AA2632" s="22"/>
      <c r="AB2632" s="22"/>
      <c r="AC2632" s="22"/>
      <c r="AD2632" s="22"/>
      <c r="AE2632" s="22"/>
      <c r="AF2632" s="22"/>
      <c r="AG2632" s="22"/>
      <c r="AH2632" s="22"/>
      <c r="AI2632" s="22"/>
      <c r="AJ2632" s="22"/>
    </row>
    <row r="2633" spans="1:36" x14ac:dyDescent="0.25">
      <c r="A2633" s="22" t="s">
        <v>3448</v>
      </c>
      <c r="B2633" s="22">
        <v>0</v>
      </c>
      <c r="C2633" s="22"/>
      <c r="D2633" s="22"/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  <c r="O2633" s="22"/>
      <c r="P2633" s="22"/>
      <c r="Q2633" s="22"/>
      <c r="R2633" s="22"/>
      <c r="S2633" s="22"/>
      <c r="T2633" s="22"/>
      <c r="U2633" s="22"/>
      <c r="V2633" s="22"/>
      <c r="W2633" s="22"/>
      <c r="X2633" s="22"/>
      <c r="Y2633" s="22"/>
      <c r="Z2633" s="22"/>
      <c r="AA2633" s="22"/>
      <c r="AB2633" s="22"/>
      <c r="AC2633" s="22"/>
      <c r="AD2633" s="22"/>
      <c r="AE2633" s="22"/>
      <c r="AF2633" s="22"/>
      <c r="AG2633" s="22"/>
      <c r="AH2633" s="22"/>
      <c r="AI2633" s="22"/>
      <c r="AJ2633" s="22"/>
    </row>
    <row r="2634" spans="1:36" x14ac:dyDescent="0.25">
      <c r="A2634" s="22" t="s">
        <v>3449</v>
      </c>
      <c r="B2634" s="22">
        <v>0</v>
      </c>
      <c r="C2634" s="22"/>
      <c r="D2634" s="22"/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  <c r="O2634" s="22"/>
      <c r="P2634" s="22"/>
      <c r="Q2634" s="22"/>
      <c r="R2634" s="22"/>
      <c r="S2634" s="22"/>
      <c r="T2634" s="22"/>
      <c r="U2634" s="22"/>
      <c r="V2634" s="22"/>
      <c r="W2634" s="22"/>
      <c r="X2634" s="22"/>
      <c r="Y2634" s="22"/>
      <c r="Z2634" s="22"/>
      <c r="AA2634" s="22"/>
      <c r="AB2634" s="22"/>
      <c r="AC2634" s="22"/>
      <c r="AD2634" s="22"/>
      <c r="AE2634" s="22"/>
      <c r="AF2634" s="22"/>
      <c r="AG2634" s="22"/>
      <c r="AH2634" s="22"/>
      <c r="AI2634" s="22"/>
      <c r="AJ2634" s="22"/>
    </row>
    <row r="2635" spans="1:36" x14ac:dyDescent="0.25">
      <c r="A2635" s="22" t="s">
        <v>3450</v>
      </c>
      <c r="B2635" s="22">
        <v>0</v>
      </c>
      <c r="C2635" s="22"/>
      <c r="D2635" s="22"/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  <c r="O2635" s="22"/>
      <c r="P2635" s="22"/>
      <c r="Q2635" s="22"/>
      <c r="R2635" s="22"/>
      <c r="S2635" s="22"/>
      <c r="T2635" s="22"/>
      <c r="U2635" s="22"/>
      <c r="V2635" s="22"/>
      <c r="W2635" s="22"/>
      <c r="X2635" s="22"/>
      <c r="Y2635" s="22"/>
      <c r="Z2635" s="22"/>
      <c r="AA2635" s="22"/>
      <c r="AB2635" s="22"/>
      <c r="AC2635" s="22"/>
      <c r="AD2635" s="22"/>
      <c r="AE2635" s="22"/>
      <c r="AF2635" s="22"/>
      <c r="AG2635" s="22"/>
      <c r="AH2635" s="22"/>
      <c r="AI2635" s="22"/>
      <c r="AJ2635" s="22"/>
    </row>
    <row r="2636" spans="1:36" x14ac:dyDescent="0.25">
      <c r="A2636" s="22" t="s">
        <v>3451</v>
      </c>
      <c r="B2636" s="22">
        <v>0</v>
      </c>
      <c r="C2636" s="22"/>
      <c r="D2636" s="22"/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  <c r="O2636" s="22"/>
      <c r="P2636" s="22"/>
      <c r="Q2636" s="22"/>
      <c r="R2636" s="22"/>
      <c r="S2636" s="22"/>
      <c r="T2636" s="22"/>
      <c r="U2636" s="22"/>
      <c r="V2636" s="22"/>
      <c r="W2636" s="22"/>
      <c r="X2636" s="22"/>
      <c r="Y2636" s="22"/>
      <c r="Z2636" s="22"/>
      <c r="AA2636" s="22"/>
      <c r="AB2636" s="22"/>
      <c r="AC2636" s="22"/>
      <c r="AD2636" s="22"/>
      <c r="AE2636" s="22"/>
      <c r="AF2636" s="22"/>
      <c r="AG2636" s="22"/>
      <c r="AH2636" s="22"/>
      <c r="AI2636" s="22"/>
      <c r="AJ2636" s="22"/>
    </row>
    <row r="2637" spans="1:36" x14ac:dyDescent="0.25">
      <c r="A2637" s="22" t="s">
        <v>3452</v>
      </c>
      <c r="B2637" s="22">
        <v>0</v>
      </c>
      <c r="C2637" s="22"/>
      <c r="D2637" s="22"/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  <c r="O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Z2637" s="22"/>
      <c r="AA2637" s="22"/>
      <c r="AB2637" s="22"/>
      <c r="AC2637" s="22"/>
      <c r="AD2637" s="22"/>
      <c r="AE2637" s="22"/>
      <c r="AF2637" s="22"/>
      <c r="AG2637" s="22"/>
      <c r="AH2637" s="22"/>
      <c r="AI2637" s="22"/>
      <c r="AJ2637" s="22"/>
    </row>
    <row r="2638" spans="1:36" x14ac:dyDescent="0.25">
      <c r="A2638" s="22" t="s">
        <v>4387</v>
      </c>
      <c r="B2638" s="22">
        <v>7</v>
      </c>
      <c r="C2638" s="22"/>
      <c r="D2638" s="22"/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  <c r="O2638" s="22"/>
      <c r="P2638" s="22"/>
      <c r="Q2638" s="22"/>
      <c r="R2638" s="22"/>
      <c r="S2638" s="22"/>
      <c r="T2638" s="22"/>
      <c r="U2638" s="22"/>
      <c r="V2638" s="22"/>
      <c r="W2638" s="22"/>
      <c r="X2638" s="22"/>
      <c r="Y2638" s="22"/>
      <c r="Z2638" s="22"/>
      <c r="AA2638" s="22"/>
      <c r="AB2638" s="22"/>
      <c r="AC2638" s="22"/>
      <c r="AD2638" s="22"/>
      <c r="AE2638" s="22"/>
      <c r="AF2638" s="22"/>
      <c r="AG2638" s="22"/>
      <c r="AH2638" s="22"/>
      <c r="AI2638" s="22"/>
      <c r="AJ2638" s="22"/>
    </row>
    <row r="2639" spans="1:36" x14ac:dyDescent="0.25">
      <c r="A2639" s="22" t="s">
        <v>4388</v>
      </c>
      <c r="B2639" s="22">
        <v>0</v>
      </c>
      <c r="C2639" s="22"/>
      <c r="D2639" s="22"/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  <c r="O2639" s="22"/>
      <c r="P2639" s="22"/>
      <c r="Q2639" s="22"/>
      <c r="R2639" s="22"/>
      <c r="S2639" s="22"/>
      <c r="T2639" s="22"/>
      <c r="U2639" s="22"/>
      <c r="V2639" s="22"/>
      <c r="W2639" s="22"/>
      <c r="X2639" s="22"/>
      <c r="Y2639" s="22"/>
      <c r="Z2639" s="22"/>
      <c r="AA2639" s="22"/>
      <c r="AB2639" s="22"/>
      <c r="AC2639" s="22"/>
      <c r="AD2639" s="22"/>
      <c r="AE2639" s="22"/>
      <c r="AF2639" s="22"/>
      <c r="AG2639" s="22"/>
      <c r="AH2639" s="22"/>
      <c r="AI2639" s="22"/>
      <c r="AJ2639" s="22"/>
    </row>
    <row r="2640" spans="1:36" x14ac:dyDescent="0.25">
      <c r="A2640" s="22" t="s">
        <v>4389</v>
      </c>
      <c r="B2640" s="22">
        <v>0</v>
      </c>
      <c r="C2640" s="22"/>
      <c r="D2640" s="22"/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  <c r="O2640" s="22"/>
      <c r="P2640" s="22"/>
      <c r="Q2640" s="22"/>
      <c r="R2640" s="22"/>
      <c r="S2640" s="22"/>
      <c r="T2640" s="22"/>
      <c r="U2640" s="22"/>
      <c r="V2640" s="22"/>
      <c r="W2640" s="22"/>
      <c r="X2640" s="22"/>
      <c r="Y2640" s="22"/>
      <c r="Z2640" s="22"/>
      <c r="AA2640" s="22"/>
      <c r="AB2640" s="22"/>
      <c r="AC2640" s="22"/>
      <c r="AD2640" s="22"/>
      <c r="AE2640" s="22"/>
      <c r="AF2640" s="22"/>
      <c r="AG2640" s="22"/>
      <c r="AH2640" s="22"/>
      <c r="AI2640" s="22"/>
      <c r="AJ2640" s="22"/>
    </row>
    <row r="2641" spans="1:36" x14ac:dyDescent="0.25">
      <c r="A2641" s="22" t="s">
        <v>4390</v>
      </c>
      <c r="B2641" s="22">
        <v>0</v>
      </c>
      <c r="C2641" s="22"/>
      <c r="D2641" s="22"/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  <c r="O2641" s="22"/>
      <c r="P2641" s="22"/>
      <c r="Q2641" s="22"/>
      <c r="R2641" s="22"/>
      <c r="S2641" s="22"/>
      <c r="T2641" s="22"/>
      <c r="U2641" s="22"/>
      <c r="V2641" s="22"/>
      <c r="W2641" s="22"/>
      <c r="X2641" s="22"/>
      <c r="Y2641" s="22"/>
      <c r="Z2641" s="22"/>
      <c r="AA2641" s="22"/>
      <c r="AB2641" s="22"/>
      <c r="AC2641" s="22"/>
      <c r="AD2641" s="22"/>
      <c r="AE2641" s="22"/>
      <c r="AF2641" s="22"/>
      <c r="AG2641" s="22"/>
      <c r="AH2641" s="22"/>
      <c r="AI2641" s="22"/>
      <c r="AJ2641" s="22"/>
    </row>
    <row r="2642" spans="1:36" x14ac:dyDescent="0.25">
      <c r="A2642" s="22" t="s">
        <v>4391</v>
      </c>
      <c r="B2642" s="22">
        <v>0</v>
      </c>
      <c r="C2642" s="22"/>
      <c r="D2642" s="22"/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  <c r="O2642" s="22"/>
      <c r="P2642" s="22"/>
      <c r="Q2642" s="22"/>
      <c r="R2642" s="22"/>
      <c r="S2642" s="22"/>
      <c r="T2642" s="22"/>
      <c r="U2642" s="22"/>
      <c r="V2642" s="22"/>
      <c r="W2642" s="22"/>
      <c r="X2642" s="22"/>
      <c r="Y2642" s="22"/>
      <c r="Z2642" s="22"/>
      <c r="AA2642" s="22"/>
      <c r="AB2642" s="22"/>
      <c r="AC2642" s="22"/>
      <c r="AD2642" s="22"/>
      <c r="AE2642" s="22"/>
      <c r="AF2642" s="22"/>
      <c r="AG2642" s="22"/>
      <c r="AH2642" s="22"/>
      <c r="AI2642" s="22"/>
      <c r="AJ2642" s="22"/>
    </row>
    <row r="2643" spans="1:36" x14ac:dyDescent="0.25">
      <c r="A2643" s="22" t="s">
        <v>4392</v>
      </c>
      <c r="B2643" s="22">
        <v>0</v>
      </c>
      <c r="C2643" s="22"/>
      <c r="D2643" s="22"/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  <c r="O2643" s="22"/>
      <c r="P2643" s="22"/>
      <c r="Q2643" s="22"/>
      <c r="R2643" s="22"/>
      <c r="S2643" s="22"/>
      <c r="T2643" s="22"/>
      <c r="U2643" s="22"/>
      <c r="V2643" s="22"/>
      <c r="W2643" s="22"/>
      <c r="X2643" s="22"/>
      <c r="Y2643" s="22"/>
      <c r="Z2643" s="22"/>
      <c r="AA2643" s="22"/>
      <c r="AB2643" s="22"/>
      <c r="AC2643" s="22"/>
      <c r="AD2643" s="22"/>
      <c r="AE2643" s="22"/>
      <c r="AF2643" s="22"/>
      <c r="AG2643" s="22"/>
      <c r="AH2643" s="22"/>
      <c r="AI2643" s="22"/>
      <c r="AJ2643" s="22"/>
    </row>
    <row r="2644" spans="1:36" x14ac:dyDescent="0.25">
      <c r="A2644" s="22" t="s">
        <v>4393</v>
      </c>
      <c r="B2644" s="22">
        <v>0</v>
      </c>
      <c r="C2644" s="22"/>
      <c r="D2644" s="22"/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  <c r="O2644" s="22"/>
      <c r="P2644" s="22"/>
      <c r="Q2644" s="22"/>
      <c r="R2644" s="22"/>
      <c r="S2644" s="22"/>
      <c r="T2644" s="22"/>
      <c r="U2644" s="22"/>
      <c r="V2644" s="22"/>
      <c r="W2644" s="22"/>
      <c r="X2644" s="22"/>
      <c r="Y2644" s="22"/>
      <c r="Z2644" s="22"/>
      <c r="AA2644" s="22"/>
      <c r="AB2644" s="22"/>
      <c r="AC2644" s="22"/>
      <c r="AD2644" s="22"/>
      <c r="AE2644" s="22"/>
      <c r="AF2644" s="22"/>
      <c r="AG2644" s="22"/>
      <c r="AH2644" s="22"/>
      <c r="AI2644" s="22"/>
      <c r="AJ2644" s="22"/>
    </row>
    <row r="2645" spans="1:36" x14ac:dyDescent="0.25">
      <c r="A2645" s="22" t="s">
        <v>4394</v>
      </c>
      <c r="B2645" s="22">
        <v>0</v>
      </c>
      <c r="C2645" s="22"/>
      <c r="D2645" s="22"/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  <c r="O2645" s="22"/>
      <c r="P2645" s="22"/>
      <c r="Q2645" s="22"/>
      <c r="R2645" s="22"/>
      <c r="S2645" s="22"/>
      <c r="T2645" s="22"/>
      <c r="U2645" s="22"/>
      <c r="V2645" s="22"/>
      <c r="W2645" s="22"/>
      <c r="X2645" s="22"/>
      <c r="Y2645" s="22"/>
      <c r="Z2645" s="22"/>
      <c r="AA2645" s="22"/>
      <c r="AB2645" s="22"/>
      <c r="AC2645" s="22"/>
      <c r="AD2645" s="22"/>
      <c r="AE2645" s="22"/>
      <c r="AF2645" s="22"/>
      <c r="AG2645" s="22"/>
      <c r="AH2645" s="22"/>
      <c r="AI2645" s="22"/>
      <c r="AJ2645" s="22"/>
    </row>
    <row r="2646" spans="1:36" x14ac:dyDescent="0.25">
      <c r="A2646" s="22" t="s">
        <v>470</v>
      </c>
      <c r="B2646" s="22">
        <v>77</v>
      </c>
      <c r="C2646" s="22"/>
      <c r="D2646" s="22"/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</row>
    <row r="2647" spans="1:36" x14ac:dyDescent="0.25">
      <c r="A2647" s="22" t="s">
        <v>3453</v>
      </c>
      <c r="B2647" s="22">
        <v>0</v>
      </c>
      <c r="C2647" s="22"/>
      <c r="D2647" s="22"/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  <c r="O2647" s="22"/>
      <c r="P2647" s="22"/>
      <c r="Q2647" s="22"/>
      <c r="R2647" s="22"/>
      <c r="S2647" s="22"/>
      <c r="T2647" s="22"/>
      <c r="U2647" s="22"/>
      <c r="V2647" s="22"/>
      <c r="W2647" s="22"/>
      <c r="X2647" s="22"/>
      <c r="Y2647" s="22"/>
      <c r="Z2647" s="22"/>
      <c r="AA2647" s="22"/>
      <c r="AB2647" s="22"/>
      <c r="AC2647" s="22"/>
      <c r="AD2647" s="22"/>
      <c r="AE2647" s="22"/>
      <c r="AF2647" s="22"/>
      <c r="AG2647" s="22"/>
      <c r="AH2647" s="22"/>
      <c r="AI2647" s="22"/>
      <c r="AJ2647" s="22"/>
    </row>
    <row r="2648" spans="1:36" x14ac:dyDescent="0.25">
      <c r="A2648" s="22" t="s">
        <v>3454</v>
      </c>
      <c r="B2648" s="22">
        <v>0</v>
      </c>
      <c r="C2648" s="22"/>
      <c r="D2648" s="22"/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  <c r="O2648" s="22"/>
      <c r="P2648" s="22"/>
      <c r="Q2648" s="22"/>
      <c r="R2648" s="22"/>
      <c r="S2648" s="22"/>
      <c r="T2648" s="22"/>
      <c r="U2648" s="22"/>
      <c r="V2648" s="22"/>
      <c r="W2648" s="22"/>
      <c r="X2648" s="22"/>
      <c r="Y2648" s="22"/>
      <c r="Z2648" s="22"/>
      <c r="AA2648" s="22"/>
      <c r="AB2648" s="22"/>
      <c r="AC2648" s="22"/>
      <c r="AD2648" s="22"/>
      <c r="AE2648" s="22"/>
      <c r="AF2648" s="22"/>
      <c r="AG2648" s="22"/>
      <c r="AH2648" s="22"/>
      <c r="AI2648" s="22"/>
      <c r="AJ2648" s="22"/>
    </row>
    <row r="2649" spans="1:36" x14ac:dyDescent="0.25">
      <c r="A2649" s="22" t="s">
        <v>3455</v>
      </c>
      <c r="B2649" s="22">
        <v>0</v>
      </c>
      <c r="C2649" s="22"/>
      <c r="D2649" s="22"/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  <c r="O2649" s="22"/>
      <c r="P2649" s="22"/>
      <c r="Q2649" s="22"/>
      <c r="R2649" s="22"/>
      <c r="S2649" s="22"/>
      <c r="T2649" s="22"/>
      <c r="U2649" s="22"/>
      <c r="V2649" s="22"/>
      <c r="W2649" s="22"/>
      <c r="X2649" s="22"/>
      <c r="Y2649" s="22"/>
      <c r="Z2649" s="22"/>
      <c r="AA2649" s="22"/>
      <c r="AB2649" s="22"/>
      <c r="AC2649" s="22"/>
      <c r="AD2649" s="22"/>
      <c r="AE2649" s="22"/>
      <c r="AF2649" s="22"/>
      <c r="AG2649" s="22"/>
      <c r="AH2649" s="22"/>
      <c r="AI2649" s="22"/>
      <c r="AJ2649" s="22"/>
    </row>
    <row r="2650" spans="1:36" x14ac:dyDescent="0.25">
      <c r="A2650" s="22" t="s">
        <v>3456</v>
      </c>
      <c r="B2650" s="22">
        <v>0</v>
      </c>
      <c r="C2650" s="22"/>
      <c r="D2650" s="22"/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  <c r="O2650" s="22"/>
      <c r="P2650" s="22"/>
      <c r="Q2650" s="22"/>
      <c r="R2650" s="22"/>
      <c r="S2650" s="22"/>
      <c r="T2650" s="22"/>
      <c r="U2650" s="22"/>
      <c r="V2650" s="22"/>
      <c r="W2650" s="22"/>
      <c r="X2650" s="22"/>
      <c r="Y2650" s="22"/>
      <c r="Z2650" s="22"/>
      <c r="AA2650" s="22"/>
      <c r="AB2650" s="22"/>
      <c r="AC2650" s="22"/>
      <c r="AD2650" s="22"/>
      <c r="AE2650" s="22"/>
      <c r="AF2650" s="22"/>
      <c r="AG2650" s="22"/>
      <c r="AH2650" s="22"/>
      <c r="AI2650" s="22"/>
      <c r="AJ2650" s="22"/>
    </row>
    <row r="2651" spans="1:36" x14ac:dyDescent="0.25">
      <c r="A2651" s="22" t="s">
        <v>3457</v>
      </c>
      <c r="B2651" s="22">
        <v>0</v>
      </c>
      <c r="C2651" s="22"/>
      <c r="D2651" s="22"/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  <c r="O2651" s="22"/>
      <c r="P2651" s="22"/>
      <c r="Q2651" s="22"/>
      <c r="R2651" s="22"/>
      <c r="S2651" s="22"/>
      <c r="T2651" s="22"/>
      <c r="U2651" s="22"/>
      <c r="V2651" s="22"/>
      <c r="W2651" s="22"/>
      <c r="X2651" s="22"/>
      <c r="Y2651" s="22"/>
      <c r="Z2651" s="22"/>
      <c r="AA2651" s="22"/>
      <c r="AB2651" s="22"/>
      <c r="AC2651" s="22"/>
      <c r="AD2651" s="22"/>
      <c r="AE2651" s="22"/>
      <c r="AF2651" s="22"/>
      <c r="AG2651" s="22"/>
      <c r="AH2651" s="22"/>
      <c r="AI2651" s="22"/>
      <c r="AJ2651" s="22"/>
    </row>
    <row r="2652" spans="1:36" x14ac:dyDescent="0.25">
      <c r="A2652" s="22" t="s">
        <v>3458</v>
      </c>
      <c r="B2652" s="22">
        <v>0</v>
      </c>
      <c r="C2652" s="22"/>
      <c r="D2652" s="22"/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  <c r="O2652" s="22"/>
      <c r="P2652" s="22"/>
      <c r="Q2652" s="22"/>
      <c r="R2652" s="22"/>
      <c r="S2652" s="22"/>
      <c r="T2652" s="22"/>
      <c r="U2652" s="22"/>
      <c r="V2652" s="22"/>
      <c r="W2652" s="22"/>
      <c r="X2652" s="22"/>
      <c r="Y2652" s="22"/>
      <c r="Z2652" s="22"/>
      <c r="AA2652" s="22"/>
      <c r="AB2652" s="22"/>
      <c r="AC2652" s="22"/>
      <c r="AD2652" s="22"/>
      <c r="AE2652" s="22"/>
      <c r="AF2652" s="22"/>
      <c r="AG2652" s="22"/>
      <c r="AH2652" s="22"/>
      <c r="AI2652" s="22"/>
      <c r="AJ2652" s="22"/>
    </row>
    <row r="2653" spans="1:36" x14ac:dyDescent="0.25">
      <c r="A2653" s="22" t="s">
        <v>3459</v>
      </c>
      <c r="B2653" s="22">
        <v>0</v>
      </c>
      <c r="C2653" s="22"/>
      <c r="D2653" s="22"/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  <c r="O2653" s="22"/>
      <c r="P2653" s="22"/>
      <c r="Q2653" s="22"/>
      <c r="R2653" s="22"/>
      <c r="S2653" s="22"/>
      <c r="T2653" s="22"/>
      <c r="U2653" s="22"/>
      <c r="V2653" s="22"/>
      <c r="W2653" s="22"/>
      <c r="X2653" s="22"/>
      <c r="Y2653" s="22"/>
      <c r="Z2653" s="22"/>
      <c r="AA2653" s="22"/>
      <c r="AB2653" s="22"/>
      <c r="AC2653" s="22"/>
      <c r="AD2653" s="22"/>
      <c r="AE2653" s="22"/>
      <c r="AF2653" s="22"/>
      <c r="AG2653" s="22"/>
      <c r="AH2653" s="22"/>
      <c r="AI2653" s="22"/>
      <c r="AJ2653" s="22"/>
    </row>
    <row r="2654" spans="1:36" x14ac:dyDescent="0.25">
      <c r="A2654" s="22" t="s">
        <v>471</v>
      </c>
      <c r="B2654" s="22">
        <v>0</v>
      </c>
      <c r="C2654" s="22"/>
      <c r="D2654" s="22"/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  <c r="O2654" s="22"/>
      <c r="P2654" s="22"/>
      <c r="Q2654" s="22"/>
      <c r="R2654" s="22"/>
      <c r="S2654" s="22"/>
      <c r="T2654" s="22"/>
      <c r="U2654" s="22"/>
      <c r="V2654" s="22"/>
      <c r="W2654" s="22"/>
      <c r="X2654" s="22"/>
      <c r="Y2654" s="22"/>
      <c r="Z2654" s="22"/>
      <c r="AA2654" s="22"/>
      <c r="AB2654" s="22"/>
      <c r="AC2654" s="22"/>
      <c r="AD2654" s="22"/>
      <c r="AE2654" s="22"/>
      <c r="AF2654" s="22"/>
      <c r="AG2654" s="22"/>
      <c r="AH2654" s="22"/>
      <c r="AI2654" s="22"/>
      <c r="AJ2654" s="22"/>
    </row>
    <row r="2655" spans="1:36" x14ac:dyDescent="0.25">
      <c r="A2655" s="22" t="s">
        <v>3460</v>
      </c>
      <c r="B2655" s="22">
        <v>0</v>
      </c>
      <c r="C2655" s="22"/>
      <c r="D2655" s="22"/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  <c r="O2655" s="22"/>
      <c r="P2655" s="22"/>
      <c r="Q2655" s="22"/>
      <c r="R2655" s="22"/>
      <c r="S2655" s="22"/>
      <c r="T2655" s="22"/>
      <c r="U2655" s="22"/>
      <c r="V2655" s="22"/>
      <c r="W2655" s="22"/>
      <c r="X2655" s="22"/>
      <c r="Y2655" s="22"/>
      <c r="Z2655" s="22"/>
      <c r="AA2655" s="22"/>
      <c r="AB2655" s="22"/>
      <c r="AC2655" s="22"/>
      <c r="AD2655" s="22"/>
      <c r="AE2655" s="22"/>
      <c r="AF2655" s="22"/>
      <c r="AG2655" s="22"/>
      <c r="AH2655" s="22"/>
      <c r="AI2655" s="22"/>
      <c r="AJ2655" s="22"/>
    </row>
    <row r="2656" spans="1:36" x14ac:dyDescent="0.25">
      <c r="A2656" s="22" t="s">
        <v>3461</v>
      </c>
      <c r="B2656" s="22">
        <v>0</v>
      </c>
      <c r="C2656" s="22"/>
      <c r="D2656" s="22"/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  <c r="O2656" s="22"/>
      <c r="P2656" s="22"/>
      <c r="Q2656" s="22"/>
      <c r="R2656" s="22"/>
      <c r="S2656" s="22"/>
      <c r="T2656" s="22"/>
      <c r="U2656" s="22"/>
      <c r="V2656" s="22"/>
      <c r="W2656" s="22"/>
      <c r="X2656" s="22"/>
      <c r="Y2656" s="22"/>
      <c r="Z2656" s="22"/>
      <c r="AA2656" s="22"/>
      <c r="AB2656" s="22"/>
      <c r="AC2656" s="22"/>
      <c r="AD2656" s="22"/>
      <c r="AE2656" s="22"/>
      <c r="AF2656" s="22"/>
      <c r="AG2656" s="22"/>
      <c r="AH2656" s="22"/>
      <c r="AI2656" s="22"/>
      <c r="AJ2656" s="22"/>
    </row>
    <row r="2657" spans="1:36" x14ac:dyDescent="0.25">
      <c r="A2657" s="22" t="s">
        <v>3462</v>
      </c>
      <c r="B2657" s="22">
        <v>0</v>
      </c>
      <c r="C2657" s="22"/>
      <c r="D2657" s="22"/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  <c r="O2657" s="22"/>
      <c r="P2657" s="22"/>
      <c r="Q2657" s="22"/>
      <c r="R2657" s="22"/>
      <c r="S2657" s="22"/>
      <c r="T2657" s="22"/>
      <c r="U2657" s="22"/>
      <c r="V2657" s="22"/>
      <c r="W2657" s="22"/>
      <c r="X2657" s="22"/>
      <c r="Y2657" s="22"/>
      <c r="Z2657" s="22"/>
      <c r="AA2657" s="22"/>
      <c r="AB2657" s="22"/>
      <c r="AC2657" s="22"/>
      <c r="AD2657" s="22"/>
      <c r="AE2657" s="22"/>
      <c r="AF2657" s="22"/>
      <c r="AG2657" s="22"/>
      <c r="AH2657" s="22"/>
      <c r="AI2657" s="22"/>
      <c r="AJ2657" s="22"/>
    </row>
    <row r="2658" spans="1:36" x14ac:dyDescent="0.25">
      <c r="A2658" s="22" t="s">
        <v>3463</v>
      </c>
      <c r="B2658" s="22">
        <v>0</v>
      </c>
      <c r="C2658" s="22"/>
      <c r="D2658" s="22"/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  <c r="O2658" s="22"/>
      <c r="P2658" s="22"/>
      <c r="Q2658" s="22"/>
      <c r="R2658" s="22"/>
      <c r="S2658" s="22"/>
      <c r="T2658" s="22"/>
      <c r="U2658" s="22"/>
      <c r="V2658" s="22"/>
      <c r="W2658" s="22"/>
      <c r="X2658" s="22"/>
      <c r="Y2658" s="22"/>
      <c r="Z2658" s="22"/>
      <c r="AA2658" s="22"/>
      <c r="AB2658" s="22"/>
      <c r="AC2658" s="22"/>
      <c r="AD2658" s="22"/>
      <c r="AE2658" s="22"/>
      <c r="AF2658" s="22"/>
      <c r="AG2658" s="22"/>
      <c r="AH2658" s="22"/>
      <c r="AI2658" s="22"/>
      <c r="AJ2658" s="22"/>
    </row>
    <row r="2659" spans="1:36" x14ac:dyDescent="0.25">
      <c r="A2659" s="22" t="s">
        <v>3464</v>
      </c>
      <c r="B2659" s="22">
        <v>0</v>
      </c>
      <c r="C2659" s="22"/>
      <c r="D2659" s="22"/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W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G2659" s="22"/>
      <c r="AH2659" s="22"/>
      <c r="AI2659" s="22"/>
      <c r="AJ2659" s="22"/>
    </row>
    <row r="2660" spans="1:36" x14ac:dyDescent="0.25">
      <c r="A2660" s="22" t="s">
        <v>3465</v>
      </c>
      <c r="B2660" s="22">
        <v>0</v>
      </c>
      <c r="C2660" s="22"/>
      <c r="D2660" s="22"/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  <c r="O2660" s="22"/>
      <c r="P2660" s="22"/>
      <c r="Q2660" s="22"/>
      <c r="R2660" s="22"/>
      <c r="S2660" s="22"/>
      <c r="T2660" s="22"/>
      <c r="U2660" s="22"/>
      <c r="V2660" s="22"/>
      <c r="W2660" s="22"/>
      <c r="X2660" s="22"/>
      <c r="Y2660" s="22"/>
      <c r="Z2660" s="22"/>
      <c r="AA2660" s="22"/>
      <c r="AB2660" s="22"/>
      <c r="AC2660" s="22"/>
      <c r="AD2660" s="22"/>
      <c r="AE2660" s="22"/>
      <c r="AF2660" s="22"/>
      <c r="AG2660" s="22"/>
      <c r="AH2660" s="22"/>
      <c r="AI2660" s="22"/>
      <c r="AJ2660" s="22"/>
    </row>
    <row r="2661" spans="1:36" x14ac:dyDescent="0.25">
      <c r="A2661" s="22" t="s">
        <v>3466</v>
      </c>
      <c r="B2661" s="22">
        <v>0</v>
      </c>
      <c r="C2661" s="22"/>
      <c r="D2661" s="22"/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  <c r="O2661" s="22"/>
      <c r="P2661" s="22"/>
      <c r="Q2661" s="22"/>
      <c r="R2661" s="22"/>
      <c r="S2661" s="22"/>
      <c r="T2661" s="22"/>
      <c r="U2661" s="22"/>
      <c r="V2661" s="22"/>
      <c r="W2661" s="22"/>
      <c r="X2661" s="22"/>
      <c r="Y2661" s="22"/>
      <c r="Z2661" s="22"/>
      <c r="AA2661" s="22"/>
      <c r="AB2661" s="22"/>
      <c r="AC2661" s="22"/>
      <c r="AD2661" s="22"/>
      <c r="AE2661" s="22"/>
      <c r="AF2661" s="22"/>
      <c r="AG2661" s="22"/>
      <c r="AH2661" s="22"/>
      <c r="AI2661" s="22"/>
      <c r="AJ2661" s="22"/>
    </row>
    <row r="2662" spans="1:36" x14ac:dyDescent="0.25">
      <c r="A2662" s="22" t="s">
        <v>4395</v>
      </c>
      <c r="B2662" s="22">
        <v>0</v>
      </c>
      <c r="C2662" s="22"/>
      <c r="D2662" s="22"/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  <c r="O2662" s="22"/>
      <c r="P2662" s="22"/>
      <c r="Q2662" s="22"/>
      <c r="R2662" s="22"/>
      <c r="S2662" s="22"/>
      <c r="T2662" s="22"/>
      <c r="U2662" s="22"/>
      <c r="V2662" s="22"/>
      <c r="W2662" s="22"/>
      <c r="X2662" s="22"/>
      <c r="Y2662" s="22"/>
      <c r="Z2662" s="22"/>
      <c r="AA2662" s="22"/>
      <c r="AB2662" s="22"/>
      <c r="AC2662" s="22"/>
      <c r="AD2662" s="22"/>
      <c r="AE2662" s="22"/>
      <c r="AF2662" s="22"/>
      <c r="AG2662" s="22"/>
      <c r="AH2662" s="22"/>
      <c r="AI2662" s="22"/>
      <c r="AJ2662" s="22"/>
    </row>
    <row r="2663" spans="1:36" x14ac:dyDescent="0.25">
      <c r="A2663" s="22" t="s">
        <v>4396</v>
      </c>
      <c r="B2663" s="22">
        <v>0</v>
      </c>
      <c r="C2663" s="22"/>
      <c r="D2663" s="22"/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  <c r="O2663" s="22"/>
      <c r="P2663" s="22"/>
      <c r="Q2663" s="22"/>
      <c r="R2663" s="22"/>
      <c r="S2663" s="22"/>
      <c r="T2663" s="22"/>
      <c r="U2663" s="22"/>
      <c r="V2663" s="22"/>
      <c r="W2663" s="22"/>
      <c r="X2663" s="22"/>
      <c r="Y2663" s="22"/>
      <c r="Z2663" s="22"/>
      <c r="AA2663" s="22"/>
      <c r="AB2663" s="22"/>
      <c r="AC2663" s="22"/>
      <c r="AD2663" s="22"/>
      <c r="AE2663" s="22"/>
      <c r="AF2663" s="22"/>
      <c r="AG2663" s="22"/>
      <c r="AH2663" s="22"/>
      <c r="AI2663" s="22"/>
      <c r="AJ2663" s="22"/>
    </row>
    <row r="2664" spans="1:36" x14ac:dyDescent="0.25">
      <c r="A2664" s="22" t="s">
        <v>4397</v>
      </c>
      <c r="B2664" s="22">
        <v>0</v>
      </c>
      <c r="C2664" s="22"/>
      <c r="D2664" s="22"/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  <c r="O2664" s="22"/>
      <c r="P2664" s="22"/>
      <c r="Q2664" s="22"/>
      <c r="R2664" s="22"/>
      <c r="S2664" s="22"/>
      <c r="T2664" s="22"/>
      <c r="U2664" s="22"/>
      <c r="V2664" s="22"/>
      <c r="W2664" s="22"/>
      <c r="X2664" s="22"/>
      <c r="Y2664" s="22"/>
      <c r="Z2664" s="22"/>
      <c r="AA2664" s="22"/>
      <c r="AB2664" s="22"/>
      <c r="AC2664" s="22"/>
      <c r="AD2664" s="22"/>
      <c r="AE2664" s="22"/>
      <c r="AF2664" s="22"/>
      <c r="AG2664" s="22"/>
      <c r="AH2664" s="22"/>
      <c r="AI2664" s="22"/>
      <c r="AJ2664" s="22"/>
    </row>
    <row r="2665" spans="1:36" x14ac:dyDescent="0.25">
      <c r="A2665" s="22" t="s">
        <v>4398</v>
      </c>
      <c r="B2665" s="22">
        <v>0</v>
      </c>
      <c r="C2665" s="22"/>
      <c r="D2665" s="22"/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  <c r="O2665" s="22"/>
      <c r="P2665" s="22"/>
      <c r="Q2665" s="22"/>
      <c r="R2665" s="22"/>
      <c r="S2665" s="22"/>
      <c r="T2665" s="22"/>
      <c r="U2665" s="22"/>
      <c r="V2665" s="22"/>
      <c r="W2665" s="22"/>
      <c r="X2665" s="22"/>
      <c r="Y2665" s="22"/>
      <c r="Z2665" s="22"/>
      <c r="AA2665" s="22"/>
      <c r="AB2665" s="22"/>
      <c r="AC2665" s="22"/>
      <c r="AD2665" s="22"/>
      <c r="AE2665" s="22"/>
      <c r="AF2665" s="22"/>
      <c r="AG2665" s="22"/>
      <c r="AH2665" s="22"/>
      <c r="AI2665" s="22"/>
      <c r="AJ2665" s="22"/>
    </row>
    <row r="2666" spans="1:36" x14ac:dyDescent="0.25">
      <c r="A2666" s="22" t="s">
        <v>4399</v>
      </c>
      <c r="B2666" s="22">
        <v>0</v>
      </c>
      <c r="C2666" s="22"/>
      <c r="D2666" s="22"/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  <c r="O2666" s="22"/>
      <c r="P2666" s="22"/>
      <c r="Q2666" s="22"/>
      <c r="R2666" s="22"/>
      <c r="S2666" s="22"/>
      <c r="T2666" s="22"/>
      <c r="U2666" s="22"/>
      <c r="V2666" s="22"/>
      <c r="W2666" s="22"/>
      <c r="X2666" s="22"/>
      <c r="Y2666" s="22"/>
      <c r="Z2666" s="22"/>
      <c r="AA2666" s="22"/>
      <c r="AB2666" s="22"/>
      <c r="AC2666" s="22"/>
      <c r="AD2666" s="22"/>
      <c r="AE2666" s="22"/>
      <c r="AF2666" s="22"/>
      <c r="AG2666" s="22"/>
      <c r="AH2666" s="22"/>
      <c r="AI2666" s="22"/>
      <c r="AJ2666" s="22"/>
    </row>
    <row r="2667" spans="1:36" x14ac:dyDescent="0.25">
      <c r="A2667" s="22" t="s">
        <v>4400</v>
      </c>
      <c r="B2667" s="22">
        <v>0</v>
      </c>
      <c r="C2667" s="22"/>
      <c r="D2667" s="22"/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  <c r="O2667" s="22"/>
      <c r="P2667" s="22"/>
      <c r="Q2667" s="22"/>
      <c r="R2667" s="22"/>
      <c r="S2667" s="22"/>
      <c r="T2667" s="22"/>
      <c r="U2667" s="22"/>
      <c r="V2667" s="22"/>
      <c r="W2667" s="22"/>
      <c r="X2667" s="22"/>
      <c r="Y2667" s="22"/>
      <c r="Z2667" s="22"/>
      <c r="AA2667" s="22"/>
      <c r="AB2667" s="22"/>
      <c r="AC2667" s="22"/>
      <c r="AD2667" s="22"/>
      <c r="AE2667" s="22"/>
      <c r="AF2667" s="22"/>
      <c r="AG2667" s="22"/>
      <c r="AH2667" s="22"/>
      <c r="AI2667" s="22"/>
      <c r="AJ2667" s="22"/>
    </row>
    <row r="2668" spans="1:36" x14ac:dyDescent="0.25">
      <c r="A2668" s="22" t="s">
        <v>4401</v>
      </c>
      <c r="B2668" s="22">
        <v>0</v>
      </c>
      <c r="C2668" s="22"/>
      <c r="D2668" s="22"/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  <c r="O2668" s="22"/>
      <c r="P2668" s="22"/>
      <c r="Q2668" s="22"/>
      <c r="R2668" s="22"/>
      <c r="S2668" s="22"/>
      <c r="T2668" s="22"/>
      <c r="U2668" s="22"/>
      <c r="V2668" s="22"/>
      <c r="W2668" s="22"/>
      <c r="X2668" s="22"/>
      <c r="Y2668" s="22"/>
      <c r="Z2668" s="22"/>
      <c r="AA2668" s="22"/>
      <c r="AB2668" s="22"/>
      <c r="AC2668" s="22"/>
      <c r="AD2668" s="22"/>
      <c r="AE2668" s="22"/>
      <c r="AF2668" s="22"/>
      <c r="AG2668" s="22"/>
      <c r="AH2668" s="22"/>
      <c r="AI2668" s="22"/>
      <c r="AJ2668" s="22"/>
    </row>
    <row r="2669" spans="1:36" x14ac:dyDescent="0.25">
      <c r="A2669" s="22" t="s">
        <v>4402</v>
      </c>
      <c r="B2669" s="22">
        <v>0</v>
      </c>
      <c r="C2669" s="22"/>
      <c r="D2669" s="22"/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  <c r="O2669" s="22"/>
      <c r="P2669" s="22"/>
      <c r="Q2669" s="22"/>
      <c r="R2669" s="22"/>
      <c r="S2669" s="22"/>
      <c r="T2669" s="22"/>
      <c r="U2669" s="22"/>
      <c r="V2669" s="22"/>
      <c r="W2669" s="22"/>
      <c r="X2669" s="22"/>
      <c r="Y2669" s="22"/>
      <c r="Z2669" s="22"/>
      <c r="AA2669" s="22"/>
      <c r="AB2669" s="22"/>
      <c r="AC2669" s="22"/>
      <c r="AD2669" s="22"/>
      <c r="AE2669" s="22"/>
      <c r="AF2669" s="22"/>
      <c r="AG2669" s="22"/>
      <c r="AH2669" s="22"/>
      <c r="AI2669" s="22"/>
      <c r="AJ2669" s="22"/>
    </row>
    <row r="2670" spans="1:36" x14ac:dyDescent="0.25">
      <c r="A2670" s="22" t="s">
        <v>473</v>
      </c>
      <c r="B2670" s="22">
        <v>0</v>
      </c>
      <c r="C2670" s="22"/>
      <c r="D2670" s="22"/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  <c r="O2670" s="22"/>
      <c r="P2670" s="22"/>
      <c r="Q2670" s="22"/>
      <c r="R2670" s="22"/>
      <c r="S2670" s="22"/>
      <c r="T2670" s="22"/>
      <c r="U2670" s="22"/>
      <c r="V2670" s="22"/>
      <c r="W2670" s="22"/>
      <c r="X2670" s="22"/>
      <c r="Y2670" s="22"/>
      <c r="Z2670" s="22"/>
      <c r="AA2670" s="22"/>
      <c r="AB2670" s="22"/>
      <c r="AC2670" s="22"/>
      <c r="AD2670" s="22"/>
      <c r="AE2670" s="22"/>
      <c r="AF2670" s="22"/>
      <c r="AG2670" s="22"/>
      <c r="AH2670" s="22"/>
      <c r="AI2670" s="22"/>
      <c r="AJ2670" s="22"/>
    </row>
    <row r="2671" spans="1:36" x14ac:dyDescent="0.25">
      <c r="A2671" s="22" t="s">
        <v>3467</v>
      </c>
      <c r="B2671" s="22">
        <v>0</v>
      </c>
      <c r="C2671" s="22"/>
      <c r="D2671" s="22"/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  <c r="O2671" s="22"/>
      <c r="P2671" s="22"/>
      <c r="Q2671" s="22"/>
      <c r="R2671" s="22"/>
      <c r="S2671" s="22"/>
      <c r="T2671" s="22"/>
      <c r="U2671" s="22"/>
      <c r="V2671" s="22"/>
      <c r="W2671" s="22"/>
      <c r="X2671" s="22"/>
      <c r="Y2671" s="22"/>
      <c r="Z2671" s="22"/>
      <c r="AA2671" s="22"/>
      <c r="AB2671" s="22"/>
      <c r="AC2671" s="22"/>
      <c r="AD2671" s="22"/>
      <c r="AE2671" s="22"/>
      <c r="AF2671" s="22"/>
      <c r="AG2671" s="22"/>
      <c r="AH2671" s="22"/>
      <c r="AI2671" s="22"/>
      <c r="AJ2671" s="22"/>
    </row>
    <row r="2672" spans="1:36" x14ac:dyDescent="0.25">
      <c r="A2672" s="22" t="s">
        <v>3468</v>
      </c>
      <c r="B2672" s="22">
        <v>0</v>
      </c>
      <c r="C2672" s="22"/>
      <c r="D2672" s="22"/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  <c r="O2672" s="22"/>
      <c r="P2672" s="22"/>
      <c r="Q2672" s="22"/>
      <c r="R2672" s="22"/>
      <c r="S2672" s="22"/>
      <c r="T2672" s="22"/>
      <c r="U2672" s="22"/>
      <c r="V2672" s="22"/>
      <c r="W2672" s="22"/>
      <c r="X2672" s="22"/>
      <c r="Y2672" s="22"/>
      <c r="Z2672" s="22"/>
      <c r="AA2672" s="22"/>
      <c r="AB2672" s="22"/>
      <c r="AC2672" s="22"/>
      <c r="AD2672" s="22"/>
      <c r="AE2672" s="22"/>
      <c r="AF2672" s="22"/>
      <c r="AG2672" s="22"/>
      <c r="AH2672" s="22"/>
      <c r="AI2672" s="22"/>
      <c r="AJ2672" s="22"/>
    </row>
    <row r="2673" spans="1:36" x14ac:dyDescent="0.25">
      <c r="A2673" s="22" t="s">
        <v>3469</v>
      </c>
      <c r="B2673" s="22">
        <v>0</v>
      </c>
      <c r="C2673" s="22"/>
      <c r="D2673" s="22"/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  <c r="O2673" s="22"/>
      <c r="P2673" s="22"/>
      <c r="Q2673" s="22"/>
      <c r="R2673" s="22"/>
      <c r="S2673" s="22"/>
      <c r="T2673" s="22"/>
      <c r="U2673" s="22"/>
      <c r="V2673" s="22"/>
      <c r="W2673" s="22"/>
      <c r="X2673" s="22"/>
      <c r="Y2673" s="22"/>
      <c r="Z2673" s="22"/>
      <c r="AA2673" s="22"/>
      <c r="AB2673" s="22"/>
      <c r="AC2673" s="22"/>
      <c r="AD2673" s="22"/>
      <c r="AE2673" s="22"/>
      <c r="AF2673" s="22"/>
      <c r="AG2673" s="22"/>
      <c r="AH2673" s="22"/>
      <c r="AI2673" s="22"/>
      <c r="AJ2673" s="22"/>
    </row>
    <row r="2674" spans="1:36" x14ac:dyDescent="0.25">
      <c r="A2674" s="22" t="s">
        <v>3470</v>
      </c>
      <c r="B2674" s="22">
        <v>0</v>
      </c>
      <c r="C2674" s="22"/>
      <c r="D2674" s="22"/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  <c r="O2674" s="22"/>
      <c r="P2674" s="22"/>
      <c r="Q2674" s="22"/>
      <c r="R2674" s="22"/>
      <c r="S2674" s="22"/>
      <c r="T2674" s="22"/>
      <c r="U2674" s="22"/>
      <c r="V2674" s="22"/>
      <c r="W2674" s="22"/>
      <c r="X2674" s="22"/>
      <c r="Y2674" s="22"/>
      <c r="Z2674" s="22"/>
      <c r="AA2674" s="22"/>
      <c r="AB2674" s="22"/>
      <c r="AC2674" s="22"/>
      <c r="AD2674" s="22"/>
      <c r="AE2674" s="22"/>
      <c r="AF2674" s="22"/>
      <c r="AG2674" s="22"/>
      <c r="AH2674" s="22"/>
      <c r="AI2674" s="22"/>
      <c r="AJ2674" s="22"/>
    </row>
    <row r="2675" spans="1:36" x14ac:dyDescent="0.25">
      <c r="A2675" s="22" t="s">
        <v>3471</v>
      </c>
      <c r="B2675" s="22">
        <v>0</v>
      </c>
      <c r="C2675" s="22"/>
      <c r="D2675" s="22"/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  <c r="O2675" s="22"/>
      <c r="P2675" s="22"/>
      <c r="Q2675" s="22"/>
      <c r="R2675" s="22"/>
      <c r="S2675" s="22"/>
      <c r="T2675" s="22"/>
      <c r="U2675" s="22"/>
      <c r="V2675" s="22"/>
      <c r="W2675" s="22"/>
      <c r="X2675" s="22"/>
      <c r="Y2675" s="22"/>
      <c r="Z2675" s="22"/>
      <c r="AA2675" s="22"/>
      <c r="AB2675" s="22"/>
      <c r="AC2675" s="22"/>
      <c r="AD2675" s="22"/>
      <c r="AE2675" s="22"/>
      <c r="AF2675" s="22"/>
      <c r="AG2675" s="22"/>
      <c r="AH2675" s="22"/>
      <c r="AI2675" s="22"/>
      <c r="AJ2675" s="22"/>
    </row>
    <row r="2676" spans="1:36" x14ac:dyDescent="0.25">
      <c r="A2676" s="22" t="s">
        <v>3472</v>
      </c>
      <c r="B2676" s="22">
        <v>0</v>
      </c>
      <c r="C2676" s="22"/>
      <c r="D2676" s="22"/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  <c r="O2676" s="22"/>
      <c r="P2676" s="22"/>
      <c r="Q2676" s="22"/>
      <c r="R2676" s="22"/>
      <c r="S2676" s="22"/>
      <c r="T2676" s="22"/>
      <c r="U2676" s="22"/>
      <c r="V2676" s="22"/>
      <c r="W2676" s="22"/>
      <c r="X2676" s="22"/>
      <c r="Y2676" s="22"/>
      <c r="Z2676" s="22"/>
      <c r="AA2676" s="22"/>
      <c r="AB2676" s="22"/>
      <c r="AC2676" s="22"/>
      <c r="AD2676" s="22"/>
      <c r="AE2676" s="22"/>
      <c r="AF2676" s="22"/>
      <c r="AG2676" s="22"/>
      <c r="AH2676" s="22"/>
      <c r="AI2676" s="22"/>
      <c r="AJ2676" s="22"/>
    </row>
    <row r="2677" spans="1:36" x14ac:dyDescent="0.25">
      <c r="A2677" s="22" t="s">
        <v>3473</v>
      </c>
      <c r="B2677" s="22">
        <v>0</v>
      </c>
      <c r="C2677" s="22"/>
      <c r="D2677" s="22"/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  <c r="O2677" s="22"/>
      <c r="P2677" s="22"/>
      <c r="Q2677" s="22"/>
      <c r="R2677" s="22"/>
      <c r="S2677" s="22"/>
      <c r="T2677" s="22"/>
      <c r="U2677" s="22"/>
      <c r="V2677" s="22"/>
      <c r="W2677" s="22"/>
      <c r="X2677" s="22"/>
      <c r="Y2677" s="22"/>
      <c r="Z2677" s="22"/>
      <c r="AA2677" s="22"/>
      <c r="AB2677" s="22"/>
      <c r="AC2677" s="22"/>
      <c r="AD2677" s="22"/>
      <c r="AE2677" s="22"/>
      <c r="AF2677" s="22"/>
      <c r="AG2677" s="22"/>
      <c r="AH2677" s="22"/>
      <c r="AI2677" s="22"/>
      <c r="AJ2677" s="22"/>
    </row>
    <row r="2678" spans="1:36" x14ac:dyDescent="0.25">
      <c r="A2678" s="22" t="s">
        <v>474</v>
      </c>
      <c r="B2678" s="22">
        <v>0</v>
      </c>
      <c r="C2678" s="22"/>
      <c r="D2678" s="22"/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  <c r="O2678" s="22"/>
      <c r="P2678" s="22"/>
      <c r="Q2678" s="22"/>
      <c r="R2678" s="22"/>
      <c r="S2678" s="22"/>
      <c r="T2678" s="22"/>
      <c r="U2678" s="22"/>
      <c r="V2678" s="22"/>
      <c r="W2678" s="22"/>
      <c r="X2678" s="22"/>
      <c r="Y2678" s="22"/>
      <c r="Z2678" s="22"/>
      <c r="AA2678" s="22"/>
      <c r="AB2678" s="22"/>
      <c r="AC2678" s="22"/>
      <c r="AD2678" s="22"/>
      <c r="AE2678" s="22"/>
      <c r="AF2678" s="22"/>
      <c r="AG2678" s="22"/>
      <c r="AH2678" s="22"/>
      <c r="AI2678" s="22"/>
      <c r="AJ2678" s="22"/>
    </row>
    <row r="2679" spans="1:36" x14ac:dyDescent="0.25">
      <c r="A2679" s="22" t="s">
        <v>3474</v>
      </c>
      <c r="B2679" s="22">
        <v>0</v>
      </c>
      <c r="C2679" s="22"/>
      <c r="D2679" s="22"/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  <c r="O2679" s="22"/>
      <c r="P2679" s="22"/>
      <c r="Q2679" s="22"/>
      <c r="R2679" s="22"/>
      <c r="S2679" s="22"/>
      <c r="T2679" s="22"/>
      <c r="U2679" s="22"/>
      <c r="V2679" s="22"/>
      <c r="W2679" s="22"/>
      <c r="X2679" s="22"/>
      <c r="Y2679" s="22"/>
      <c r="Z2679" s="22"/>
      <c r="AA2679" s="22"/>
      <c r="AB2679" s="22"/>
      <c r="AC2679" s="22"/>
      <c r="AD2679" s="22"/>
      <c r="AE2679" s="22"/>
      <c r="AF2679" s="22"/>
      <c r="AG2679" s="22"/>
      <c r="AH2679" s="22"/>
      <c r="AI2679" s="22"/>
      <c r="AJ2679" s="22"/>
    </row>
    <row r="2680" spans="1:36" x14ac:dyDescent="0.25">
      <c r="A2680" s="22" t="s">
        <v>3475</v>
      </c>
      <c r="B2680" s="22">
        <v>0</v>
      </c>
      <c r="C2680" s="22"/>
      <c r="D2680" s="22"/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  <c r="O2680" s="22"/>
      <c r="P2680" s="22"/>
      <c r="Q2680" s="22"/>
      <c r="R2680" s="22"/>
      <c r="S2680" s="22"/>
      <c r="T2680" s="22"/>
      <c r="U2680" s="22"/>
      <c r="V2680" s="22"/>
      <c r="W2680" s="22"/>
      <c r="X2680" s="22"/>
      <c r="Y2680" s="22"/>
      <c r="Z2680" s="22"/>
      <c r="AA2680" s="22"/>
      <c r="AB2680" s="22"/>
      <c r="AC2680" s="22"/>
      <c r="AD2680" s="22"/>
      <c r="AE2680" s="22"/>
      <c r="AF2680" s="22"/>
      <c r="AG2680" s="22"/>
      <c r="AH2680" s="22"/>
      <c r="AI2680" s="22"/>
      <c r="AJ2680" s="22"/>
    </row>
    <row r="2681" spans="1:36" x14ac:dyDescent="0.25">
      <c r="A2681" s="22" t="s">
        <v>3476</v>
      </c>
      <c r="B2681" s="22">
        <v>0</v>
      </c>
      <c r="C2681" s="22"/>
      <c r="D2681" s="22"/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  <c r="O2681" s="22"/>
      <c r="P2681" s="22"/>
      <c r="Q2681" s="22"/>
      <c r="R2681" s="22"/>
      <c r="S2681" s="22"/>
      <c r="T2681" s="22"/>
      <c r="U2681" s="22"/>
      <c r="V2681" s="22"/>
      <c r="W2681" s="22"/>
      <c r="X2681" s="22"/>
      <c r="Y2681" s="22"/>
      <c r="Z2681" s="22"/>
      <c r="AA2681" s="22"/>
      <c r="AB2681" s="22"/>
      <c r="AC2681" s="22"/>
      <c r="AD2681" s="22"/>
      <c r="AE2681" s="22"/>
      <c r="AF2681" s="22"/>
      <c r="AG2681" s="22"/>
      <c r="AH2681" s="22"/>
      <c r="AI2681" s="22"/>
      <c r="AJ2681" s="22"/>
    </row>
    <row r="2682" spans="1:36" x14ac:dyDescent="0.25">
      <c r="A2682" s="22" t="s">
        <v>3477</v>
      </c>
      <c r="B2682" s="22">
        <v>0</v>
      </c>
      <c r="C2682" s="22"/>
      <c r="D2682" s="22"/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  <c r="O2682" s="22"/>
      <c r="P2682" s="22"/>
      <c r="Q2682" s="22"/>
      <c r="R2682" s="22"/>
      <c r="S2682" s="22"/>
      <c r="T2682" s="22"/>
      <c r="U2682" s="22"/>
      <c r="V2682" s="22"/>
      <c r="W2682" s="22"/>
      <c r="X2682" s="22"/>
      <c r="Y2682" s="22"/>
      <c r="Z2682" s="22"/>
      <c r="AA2682" s="22"/>
      <c r="AB2682" s="22"/>
      <c r="AC2682" s="22"/>
      <c r="AD2682" s="22"/>
      <c r="AE2682" s="22"/>
      <c r="AF2682" s="22"/>
      <c r="AG2682" s="22"/>
      <c r="AH2682" s="22"/>
      <c r="AI2682" s="22"/>
      <c r="AJ2682" s="22"/>
    </row>
    <row r="2683" spans="1:36" x14ac:dyDescent="0.25">
      <c r="A2683" s="22" t="s">
        <v>3478</v>
      </c>
      <c r="B2683" s="22">
        <v>0</v>
      </c>
      <c r="C2683" s="22"/>
      <c r="D2683" s="22"/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  <c r="O2683" s="22"/>
      <c r="P2683" s="22"/>
      <c r="Q2683" s="22"/>
      <c r="R2683" s="22"/>
      <c r="S2683" s="22"/>
      <c r="T2683" s="22"/>
      <c r="U2683" s="22"/>
      <c r="V2683" s="22"/>
      <c r="W2683" s="22"/>
      <c r="X2683" s="22"/>
      <c r="Y2683" s="22"/>
      <c r="Z2683" s="22"/>
      <c r="AA2683" s="22"/>
      <c r="AB2683" s="22"/>
      <c r="AC2683" s="22"/>
      <c r="AD2683" s="22"/>
      <c r="AE2683" s="22"/>
      <c r="AF2683" s="22"/>
      <c r="AG2683" s="22"/>
      <c r="AH2683" s="22"/>
      <c r="AI2683" s="22"/>
      <c r="AJ2683" s="22"/>
    </row>
    <row r="2684" spans="1:36" x14ac:dyDescent="0.25">
      <c r="A2684" s="22" t="s">
        <v>3479</v>
      </c>
      <c r="B2684" s="22">
        <v>0</v>
      </c>
      <c r="C2684" s="22"/>
      <c r="D2684" s="22"/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  <c r="O2684" s="22"/>
      <c r="P2684" s="22"/>
      <c r="Q2684" s="22"/>
      <c r="R2684" s="22"/>
      <c r="S2684" s="22"/>
      <c r="T2684" s="22"/>
      <c r="U2684" s="22"/>
      <c r="V2684" s="22"/>
      <c r="W2684" s="22"/>
      <c r="X2684" s="22"/>
      <c r="Y2684" s="22"/>
      <c r="Z2684" s="22"/>
      <c r="AA2684" s="22"/>
      <c r="AB2684" s="22"/>
      <c r="AC2684" s="22"/>
      <c r="AD2684" s="22"/>
      <c r="AE2684" s="22"/>
      <c r="AF2684" s="22"/>
      <c r="AG2684" s="22"/>
      <c r="AH2684" s="22"/>
      <c r="AI2684" s="22"/>
      <c r="AJ2684" s="22"/>
    </row>
    <row r="2685" spans="1:36" x14ac:dyDescent="0.25">
      <c r="A2685" s="22" t="s">
        <v>3480</v>
      </c>
      <c r="B2685" s="22">
        <v>0</v>
      </c>
      <c r="C2685" s="22"/>
      <c r="D2685" s="22"/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  <c r="O2685" s="22"/>
      <c r="P2685" s="22"/>
      <c r="Q2685" s="22"/>
      <c r="R2685" s="22"/>
      <c r="S2685" s="22"/>
      <c r="T2685" s="22"/>
      <c r="U2685" s="22"/>
      <c r="V2685" s="22"/>
      <c r="W2685" s="22"/>
      <c r="X2685" s="22"/>
      <c r="Y2685" s="22"/>
      <c r="Z2685" s="22"/>
      <c r="AA2685" s="22"/>
      <c r="AB2685" s="22"/>
      <c r="AC2685" s="22"/>
      <c r="AD2685" s="22"/>
      <c r="AE2685" s="22"/>
      <c r="AF2685" s="22"/>
      <c r="AG2685" s="22"/>
      <c r="AH2685" s="22"/>
      <c r="AI2685" s="22"/>
      <c r="AJ2685" s="22"/>
    </row>
    <row r="2686" spans="1:36" x14ac:dyDescent="0.25">
      <c r="A2686" s="22" t="s">
        <v>475</v>
      </c>
      <c r="B2686" s="22">
        <v>65</v>
      </c>
      <c r="C2686" s="22"/>
      <c r="D2686" s="22"/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  <c r="O2686" s="22"/>
      <c r="P2686" s="22"/>
      <c r="Q2686" s="22"/>
      <c r="R2686" s="22"/>
      <c r="S2686" s="22"/>
      <c r="T2686" s="22"/>
      <c r="U2686" s="22"/>
      <c r="V2686" s="22"/>
      <c r="W2686" s="22"/>
      <c r="X2686" s="22"/>
      <c r="Y2686" s="22"/>
      <c r="Z2686" s="22"/>
      <c r="AA2686" s="22"/>
      <c r="AB2686" s="22"/>
      <c r="AC2686" s="22"/>
      <c r="AD2686" s="22"/>
      <c r="AE2686" s="22"/>
      <c r="AF2686" s="22"/>
      <c r="AG2686" s="22"/>
      <c r="AH2686" s="22"/>
      <c r="AI2686" s="22"/>
      <c r="AJ2686" s="22"/>
    </row>
    <row r="2687" spans="1:36" x14ac:dyDescent="0.25">
      <c r="A2687" s="22" t="s">
        <v>3481</v>
      </c>
      <c r="B2687" s="22">
        <v>0</v>
      </c>
      <c r="C2687" s="22"/>
      <c r="D2687" s="22"/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  <c r="O2687" s="22"/>
      <c r="P2687" s="22"/>
      <c r="Q2687" s="22"/>
      <c r="R2687" s="22"/>
      <c r="S2687" s="22"/>
      <c r="T2687" s="22"/>
      <c r="U2687" s="22"/>
      <c r="V2687" s="22"/>
      <c r="W2687" s="22"/>
      <c r="X2687" s="22"/>
      <c r="Y2687" s="22"/>
      <c r="Z2687" s="22"/>
      <c r="AA2687" s="22"/>
      <c r="AB2687" s="22"/>
      <c r="AC2687" s="22"/>
      <c r="AD2687" s="22"/>
      <c r="AE2687" s="22"/>
      <c r="AF2687" s="22"/>
      <c r="AG2687" s="22"/>
      <c r="AH2687" s="22"/>
      <c r="AI2687" s="22"/>
      <c r="AJ2687" s="22"/>
    </row>
    <row r="2688" spans="1:36" x14ac:dyDescent="0.25">
      <c r="A2688" s="22" t="s">
        <v>3482</v>
      </c>
      <c r="B2688" s="22">
        <v>0</v>
      </c>
      <c r="C2688" s="22"/>
      <c r="D2688" s="22"/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  <c r="O2688" s="22"/>
      <c r="P2688" s="22"/>
      <c r="Q2688" s="22"/>
      <c r="R2688" s="22"/>
      <c r="S2688" s="22"/>
      <c r="T2688" s="22"/>
      <c r="U2688" s="22"/>
      <c r="V2688" s="22"/>
      <c r="W2688" s="22"/>
      <c r="X2688" s="22"/>
      <c r="Y2688" s="22"/>
      <c r="Z2688" s="22"/>
      <c r="AA2688" s="22"/>
      <c r="AB2688" s="22"/>
      <c r="AC2688" s="22"/>
      <c r="AD2688" s="22"/>
      <c r="AE2688" s="22"/>
      <c r="AF2688" s="22"/>
      <c r="AG2688" s="22"/>
      <c r="AH2688" s="22"/>
      <c r="AI2688" s="22"/>
      <c r="AJ2688" s="22"/>
    </row>
    <row r="2689" spans="1:36" x14ac:dyDescent="0.25">
      <c r="A2689" s="22" t="s">
        <v>3483</v>
      </c>
      <c r="B2689" s="22">
        <v>0</v>
      </c>
      <c r="C2689" s="22"/>
      <c r="D2689" s="22"/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  <c r="O2689" s="22"/>
      <c r="P2689" s="22"/>
      <c r="Q2689" s="22"/>
      <c r="R2689" s="22"/>
      <c r="S2689" s="22"/>
      <c r="T2689" s="22"/>
      <c r="U2689" s="22"/>
      <c r="V2689" s="22"/>
      <c r="W2689" s="22"/>
      <c r="X2689" s="22"/>
      <c r="Y2689" s="22"/>
      <c r="Z2689" s="22"/>
      <c r="AA2689" s="22"/>
      <c r="AB2689" s="22"/>
      <c r="AC2689" s="22"/>
      <c r="AD2689" s="22"/>
      <c r="AE2689" s="22"/>
      <c r="AF2689" s="22"/>
      <c r="AG2689" s="22"/>
      <c r="AH2689" s="22"/>
      <c r="AI2689" s="22"/>
      <c r="AJ2689" s="22"/>
    </row>
    <row r="2690" spans="1:36" x14ac:dyDescent="0.25">
      <c r="A2690" s="22" t="s">
        <v>3484</v>
      </c>
      <c r="B2690" s="22">
        <v>0</v>
      </c>
      <c r="C2690" s="22"/>
      <c r="D2690" s="22"/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  <c r="O2690" s="22"/>
      <c r="P2690" s="22"/>
      <c r="Q2690" s="22"/>
      <c r="R2690" s="22"/>
      <c r="S2690" s="22"/>
      <c r="T2690" s="22"/>
      <c r="U2690" s="22"/>
      <c r="V2690" s="22"/>
      <c r="W2690" s="22"/>
      <c r="X2690" s="22"/>
      <c r="Y2690" s="22"/>
      <c r="Z2690" s="22"/>
      <c r="AA2690" s="22"/>
      <c r="AB2690" s="22"/>
      <c r="AC2690" s="22"/>
      <c r="AD2690" s="22"/>
      <c r="AE2690" s="22"/>
      <c r="AF2690" s="22"/>
      <c r="AG2690" s="22"/>
      <c r="AH2690" s="22"/>
      <c r="AI2690" s="22"/>
      <c r="AJ2690" s="22"/>
    </row>
    <row r="2691" spans="1:36" x14ac:dyDescent="0.25">
      <c r="A2691" s="22" t="s">
        <v>3485</v>
      </c>
      <c r="B2691" s="22">
        <v>0</v>
      </c>
      <c r="C2691" s="22"/>
      <c r="D2691" s="22"/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  <c r="O2691" s="22"/>
      <c r="P2691" s="22"/>
      <c r="Q2691" s="22"/>
      <c r="R2691" s="22"/>
      <c r="S2691" s="22"/>
      <c r="T2691" s="22"/>
      <c r="U2691" s="22"/>
      <c r="V2691" s="22"/>
      <c r="W2691" s="22"/>
      <c r="X2691" s="22"/>
      <c r="Y2691" s="22"/>
      <c r="Z2691" s="22"/>
      <c r="AA2691" s="22"/>
      <c r="AB2691" s="22"/>
      <c r="AC2691" s="22"/>
      <c r="AD2691" s="22"/>
      <c r="AE2691" s="22"/>
      <c r="AF2691" s="22"/>
      <c r="AG2691" s="22"/>
      <c r="AH2691" s="22"/>
      <c r="AI2691" s="22"/>
      <c r="AJ2691" s="22"/>
    </row>
    <row r="2692" spans="1:36" x14ac:dyDescent="0.25">
      <c r="A2692" s="22" t="s">
        <v>3486</v>
      </c>
      <c r="B2692" s="22">
        <v>0</v>
      </c>
      <c r="C2692" s="22"/>
      <c r="D2692" s="22"/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  <c r="O2692" s="22"/>
      <c r="P2692" s="22"/>
      <c r="Q2692" s="22"/>
      <c r="R2692" s="22"/>
      <c r="S2692" s="22"/>
      <c r="T2692" s="22"/>
      <c r="U2692" s="22"/>
      <c r="V2692" s="22"/>
      <c r="W2692" s="22"/>
      <c r="X2692" s="22"/>
      <c r="Y2692" s="22"/>
      <c r="Z2692" s="22"/>
      <c r="AA2692" s="22"/>
      <c r="AB2692" s="22"/>
      <c r="AC2692" s="22"/>
      <c r="AD2692" s="22"/>
      <c r="AE2692" s="22"/>
      <c r="AF2692" s="22"/>
      <c r="AG2692" s="22"/>
      <c r="AH2692" s="22"/>
      <c r="AI2692" s="22"/>
      <c r="AJ2692" s="22"/>
    </row>
    <row r="2693" spans="1:36" x14ac:dyDescent="0.25">
      <c r="A2693" s="22" t="s">
        <v>3487</v>
      </c>
      <c r="B2693" s="22">
        <v>0</v>
      </c>
      <c r="C2693" s="22"/>
      <c r="D2693" s="22"/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  <c r="O2693" s="22"/>
      <c r="P2693" s="22"/>
      <c r="Q2693" s="22"/>
      <c r="R2693" s="22"/>
      <c r="S2693" s="22"/>
      <c r="T2693" s="22"/>
      <c r="U2693" s="22"/>
      <c r="V2693" s="22"/>
      <c r="W2693" s="22"/>
      <c r="X2693" s="22"/>
      <c r="Y2693" s="22"/>
      <c r="Z2693" s="22"/>
      <c r="AA2693" s="22"/>
      <c r="AB2693" s="22"/>
      <c r="AC2693" s="22"/>
      <c r="AD2693" s="22"/>
      <c r="AE2693" s="22"/>
      <c r="AF2693" s="22"/>
      <c r="AG2693" s="22"/>
      <c r="AH2693" s="22"/>
      <c r="AI2693" s="22"/>
      <c r="AJ2693" s="22"/>
    </row>
    <row r="2694" spans="1:36" x14ac:dyDescent="0.25">
      <c r="A2694" s="22" t="s">
        <v>4403</v>
      </c>
      <c r="B2694" s="22">
        <v>0</v>
      </c>
      <c r="C2694" s="22"/>
      <c r="D2694" s="22"/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  <c r="O2694" s="22"/>
      <c r="P2694" s="22"/>
      <c r="Q2694" s="22"/>
      <c r="R2694" s="22"/>
      <c r="S2694" s="22"/>
      <c r="T2694" s="22"/>
      <c r="U2694" s="22"/>
      <c r="V2694" s="22"/>
      <c r="W2694" s="22"/>
      <c r="X2694" s="22"/>
      <c r="Y2694" s="22"/>
      <c r="Z2694" s="22"/>
      <c r="AA2694" s="22"/>
      <c r="AB2694" s="22"/>
      <c r="AC2694" s="22"/>
      <c r="AD2694" s="22"/>
      <c r="AE2694" s="22"/>
      <c r="AF2694" s="22"/>
      <c r="AG2694" s="22"/>
      <c r="AH2694" s="22"/>
      <c r="AI2694" s="22"/>
      <c r="AJ2694" s="22"/>
    </row>
    <row r="2695" spans="1:36" x14ac:dyDescent="0.25">
      <c r="A2695" s="22" t="s">
        <v>4404</v>
      </c>
      <c r="B2695" s="22">
        <v>0</v>
      </c>
      <c r="C2695" s="22"/>
      <c r="D2695" s="22"/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  <c r="O2695" s="22"/>
      <c r="P2695" s="22"/>
      <c r="Q2695" s="22"/>
      <c r="R2695" s="22"/>
      <c r="S2695" s="22"/>
      <c r="T2695" s="22"/>
      <c r="U2695" s="22"/>
      <c r="V2695" s="22"/>
      <c r="W2695" s="22"/>
      <c r="X2695" s="22"/>
      <c r="Y2695" s="22"/>
      <c r="Z2695" s="22"/>
      <c r="AA2695" s="22"/>
      <c r="AB2695" s="22"/>
      <c r="AC2695" s="22"/>
      <c r="AD2695" s="22"/>
      <c r="AE2695" s="22"/>
      <c r="AF2695" s="22"/>
      <c r="AG2695" s="22"/>
      <c r="AH2695" s="22"/>
      <c r="AI2695" s="22"/>
      <c r="AJ2695" s="22"/>
    </row>
    <row r="2696" spans="1:36" x14ac:dyDescent="0.25">
      <c r="A2696" s="22" t="s">
        <v>4405</v>
      </c>
      <c r="B2696" s="22">
        <v>0</v>
      </c>
      <c r="C2696" s="22"/>
      <c r="D2696" s="22"/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  <c r="O2696" s="22"/>
      <c r="P2696" s="22"/>
      <c r="Q2696" s="22"/>
      <c r="R2696" s="22"/>
      <c r="S2696" s="22"/>
      <c r="T2696" s="22"/>
      <c r="U2696" s="22"/>
      <c r="V2696" s="22"/>
      <c r="W2696" s="22"/>
      <c r="X2696" s="22"/>
      <c r="Y2696" s="22"/>
      <c r="Z2696" s="22"/>
      <c r="AA2696" s="22"/>
      <c r="AB2696" s="22"/>
      <c r="AC2696" s="22"/>
      <c r="AD2696" s="22"/>
      <c r="AE2696" s="22"/>
      <c r="AF2696" s="22"/>
      <c r="AG2696" s="22"/>
      <c r="AH2696" s="22"/>
      <c r="AI2696" s="22"/>
      <c r="AJ2696" s="22"/>
    </row>
    <row r="2697" spans="1:36" x14ac:dyDescent="0.25">
      <c r="A2697" s="22" t="s">
        <v>4406</v>
      </c>
      <c r="B2697" s="22">
        <v>0</v>
      </c>
      <c r="C2697" s="22"/>
      <c r="D2697" s="22"/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  <c r="O2697" s="22"/>
      <c r="P2697" s="22"/>
      <c r="Q2697" s="22"/>
      <c r="R2697" s="22"/>
      <c r="S2697" s="22"/>
      <c r="T2697" s="22"/>
      <c r="U2697" s="22"/>
      <c r="V2697" s="22"/>
      <c r="W2697" s="22"/>
      <c r="X2697" s="22"/>
      <c r="Y2697" s="22"/>
      <c r="Z2697" s="22"/>
      <c r="AA2697" s="22"/>
      <c r="AB2697" s="22"/>
      <c r="AC2697" s="22"/>
      <c r="AD2697" s="22"/>
      <c r="AE2697" s="22"/>
      <c r="AF2697" s="22"/>
      <c r="AG2697" s="22"/>
      <c r="AH2697" s="22"/>
      <c r="AI2697" s="22"/>
      <c r="AJ2697" s="22"/>
    </row>
    <row r="2698" spans="1:36" x14ac:dyDescent="0.25">
      <c r="A2698" s="22" t="s">
        <v>4407</v>
      </c>
      <c r="B2698" s="22">
        <v>0</v>
      </c>
      <c r="C2698" s="22"/>
      <c r="D2698" s="22"/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  <c r="O2698" s="22"/>
      <c r="P2698" s="22"/>
      <c r="Q2698" s="22"/>
      <c r="R2698" s="22"/>
      <c r="S2698" s="22"/>
      <c r="T2698" s="22"/>
      <c r="U2698" s="22"/>
      <c r="V2698" s="22"/>
      <c r="W2698" s="22"/>
      <c r="X2698" s="22"/>
      <c r="Y2698" s="22"/>
      <c r="Z2698" s="22"/>
      <c r="AA2698" s="22"/>
      <c r="AB2698" s="22"/>
      <c r="AC2698" s="22"/>
      <c r="AD2698" s="22"/>
      <c r="AE2698" s="22"/>
      <c r="AF2698" s="22"/>
      <c r="AG2698" s="22"/>
      <c r="AH2698" s="22"/>
      <c r="AI2698" s="22"/>
      <c r="AJ2698" s="22"/>
    </row>
    <row r="2699" spans="1:36" x14ac:dyDescent="0.25">
      <c r="A2699" s="22" t="s">
        <v>4408</v>
      </c>
      <c r="B2699" s="22">
        <v>0</v>
      </c>
      <c r="C2699" s="22"/>
      <c r="D2699" s="22"/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  <c r="O2699" s="22"/>
      <c r="P2699" s="22"/>
      <c r="Q2699" s="22"/>
      <c r="R2699" s="22"/>
      <c r="S2699" s="22"/>
      <c r="T2699" s="22"/>
      <c r="U2699" s="22"/>
      <c r="V2699" s="22"/>
      <c r="W2699" s="22"/>
      <c r="X2699" s="22"/>
      <c r="Y2699" s="22"/>
      <c r="Z2699" s="22"/>
      <c r="AA2699" s="22"/>
      <c r="AB2699" s="22"/>
      <c r="AC2699" s="22"/>
      <c r="AD2699" s="22"/>
      <c r="AE2699" s="22"/>
      <c r="AF2699" s="22"/>
      <c r="AG2699" s="22"/>
      <c r="AH2699" s="22"/>
      <c r="AI2699" s="22"/>
      <c r="AJ2699" s="22"/>
    </row>
    <row r="2700" spans="1:36" x14ac:dyDescent="0.25">
      <c r="A2700" s="22" t="s">
        <v>4409</v>
      </c>
      <c r="B2700" s="22">
        <v>0</v>
      </c>
      <c r="C2700" s="22"/>
      <c r="D2700" s="22"/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  <c r="O2700" s="22"/>
      <c r="P2700" s="22"/>
      <c r="Q2700" s="22"/>
      <c r="R2700" s="22"/>
      <c r="S2700" s="22"/>
      <c r="T2700" s="22"/>
      <c r="U2700" s="22"/>
      <c r="V2700" s="22"/>
      <c r="W2700" s="22"/>
      <c r="X2700" s="22"/>
      <c r="Y2700" s="22"/>
      <c r="Z2700" s="22"/>
      <c r="AA2700" s="22"/>
      <c r="AB2700" s="22"/>
      <c r="AC2700" s="22"/>
      <c r="AD2700" s="22"/>
      <c r="AE2700" s="22"/>
      <c r="AF2700" s="22"/>
      <c r="AG2700" s="22"/>
      <c r="AH2700" s="22"/>
      <c r="AI2700" s="22"/>
      <c r="AJ2700" s="22"/>
    </row>
    <row r="2701" spans="1:36" x14ac:dyDescent="0.25">
      <c r="A2701" s="22" t="s">
        <v>4410</v>
      </c>
      <c r="B2701" s="22">
        <v>0</v>
      </c>
      <c r="C2701" s="22"/>
      <c r="D2701" s="22"/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  <c r="O2701" s="22"/>
      <c r="P2701" s="22"/>
      <c r="Q2701" s="22"/>
      <c r="R2701" s="22"/>
      <c r="S2701" s="22"/>
      <c r="T2701" s="22"/>
      <c r="U2701" s="22"/>
      <c r="V2701" s="22"/>
      <c r="W2701" s="22"/>
      <c r="X2701" s="22"/>
      <c r="Y2701" s="22"/>
      <c r="Z2701" s="22"/>
      <c r="AA2701" s="22"/>
      <c r="AB2701" s="22"/>
      <c r="AC2701" s="22"/>
      <c r="AD2701" s="22"/>
      <c r="AE2701" s="22"/>
      <c r="AF2701" s="22"/>
      <c r="AG2701" s="22"/>
      <c r="AH2701" s="22"/>
      <c r="AI2701" s="22"/>
      <c r="AJ2701" s="22"/>
    </row>
    <row r="2702" spans="1:36" x14ac:dyDescent="0.25">
      <c r="A2702" s="22" t="s">
        <v>476</v>
      </c>
      <c r="B2702" s="22">
        <v>0</v>
      </c>
      <c r="C2702" s="22"/>
      <c r="D2702" s="22"/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  <c r="O2702" s="22"/>
      <c r="P2702" s="22"/>
      <c r="Q2702" s="22"/>
      <c r="R2702" s="22"/>
      <c r="S2702" s="22"/>
      <c r="T2702" s="22"/>
      <c r="U2702" s="22"/>
      <c r="V2702" s="22"/>
      <c r="W2702" s="22"/>
      <c r="X2702" s="22"/>
      <c r="Y2702" s="22"/>
      <c r="Z2702" s="22"/>
      <c r="AA2702" s="22"/>
      <c r="AB2702" s="22"/>
      <c r="AC2702" s="22"/>
      <c r="AD2702" s="22"/>
      <c r="AE2702" s="22"/>
      <c r="AF2702" s="22"/>
      <c r="AG2702" s="22"/>
      <c r="AH2702" s="22"/>
      <c r="AI2702" s="22"/>
      <c r="AJ2702" s="22"/>
    </row>
    <row r="2703" spans="1:36" x14ac:dyDescent="0.25">
      <c r="A2703" s="22" t="s">
        <v>3488</v>
      </c>
      <c r="B2703" s="22">
        <v>0</v>
      </c>
      <c r="C2703" s="22"/>
      <c r="D2703" s="22"/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  <c r="O2703" s="22"/>
      <c r="P2703" s="22"/>
      <c r="Q2703" s="22"/>
      <c r="R2703" s="22"/>
      <c r="S2703" s="22"/>
      <c r="T2703" s="22"/>
      <c r="U2703" s="22"/>
      <c r="V2703" s="22"/>
      <c r="W2703" s="22"/>
      <c r="X2703" s="22"/>
      <c r="Y2703" s="22"/>
      <c r="Z2703" s="22"/>
      <c r="AA2703" s="22"/>
      <c r="AB2703" s="22"/>
      <c r="AC2703" s="22"/>
      <c r="AD2703" s="22"/>
      <c r="AE2703" s="22"/>
      <c r="AF2703" s="22"/>
      <c r="AG2703" s="22"/>
      <c r="AH2703" s="22"/>
      <c r="AI2703" s="22"/>
      <c r="AJ2703" s="22"/>
    </row>
    <row r="2704" spans="1:36" x14ac:dyDescent="0.25">
      <c r="A2704" s="22" t="s">
        <v>3489</v>
      </c>
      <c r="B2704" s="22">
        <v>0</v>
      </c>
      <c r="C2704" s="22"/>
      <c r="D2704" s="22"/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  <c r="O2704" s="22"/>
      <c r="P2704" s="22"/>
      <c r="Q2704" s="22"/>
      <c r="R2704" s="22"/>
      <c r="S2704" s="22"/>
      <c r="T2704" s="22"/>
      <c r="U2704" s="22"/>
      <c r="V2704" s="22"/>
      <c r="W2704" s="22"/>
      <c r="X2704" s="22"/>
      <c r="Y2704" s="22"/>
      <c r="Z2704" s="22"/>
      <c r="AA2704" s="22"/>
      <c r="AB2704" s="22"/>
      <c r="AC2704" s="22"/>
      <c r="AD2704" s="22"/>
      <c r="AE2704" s="22"/>
      <c r="AF2704" s="22"/>
      <c r="AG2704" s="22"/>
      <c r="AH2704" s="22"/>
      <c r="AI2704" s="22"/>
      <c r="AJ2704" s="22"/>
    </row>
    <row r="2705" spans="1:36" x14ac:dyDescent="0.25">
      <c r="A2705" s="22" t="s">
        <v>3490</v>
      </c>
      <c r="B2705" s="22">
        <v>0</v>
      </c>
      <c r="C2705" s="22"/>
      <c r="D2705" s="22"/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  <c r="O2705" s="22"/>
      <c r="P2705" s="22"/>
      <c r="Q2705" s="22"/>
      <c r="R2705" s="22"/>
      <c r="S2705" s="22"/>
      <c r="T2705" s="22"/>
      <c r="U2705" s="22"/>
      <c r="V2705" s="22"/>
      <c r="W2705" s="22"/>
      <c r="X2705" s="22"/>
      <c r="Y2705" s="22"/>
      <c r="Z2705" s="22"/>
      <c r="AA2705" s="22"/>
      <c r="AB2705" s="22"/>
      <c r="AC2705" s="22"/>
      <c r="AD2705" s="22"/>
      <c r="AE2705" s="22"/>
      <c r="AF2705" s="22"/>
      <c r="AG2705" s="22"/>
      <c r="AH2705" s="22"/>
      <c r="AI2705" s="22"/>
      <c r="AJ2705" s="22"/>
    </row>
    <row r="2706" spans="1:36" x14ac:dyDescent="0.25">
      <c r="A2706" s="22" t="s">
        <v>3491</v>
      </c>
      <c r="B2706" s="22">
        <v>0</v>
      </c>
      <c r="C2706" s="22"/>
      <c r="D2706" s="22"/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  <c r="O2706" s="22"/>
      <c r="P2706" s="22"/>
      <c r="Q2706" s="22"/>
      <c r="R2706" s="22"/>
      <c r="S2706" s="22"/>
      <c r="T2706" s="22"/>
      <c r="U2706" s="22"/>
      <c r="V2706" s="22"/>
      <c r="W2706" s="22"/>
      <c r="X2706" s="22"/>
      <c r="Y2706" s="22"/>
      <c r="Z2706" s="22"/>
      <c r="AA2706" s="22"/>
      <c r="AB2706" s="22"/>
      <c r="AC2706" s="22"/>
      <c r="AD2706" s="22"/>
      <c r="AE2706" s="22"/>
      <c r="AF2706" s="22"/>
      <c r="AG2706" s="22"/>
      <c r="AH2706" s="22"/>
      <c r="AI2706" s="22"/>
      <c r="AJ2706" s="22"/>
    </row>
    <row r="2707" spans="1:36" x14ac:dyDescent="0.25">
      <c r="A2707" s="22" t="s">
        <v>3492</v>
      </c>
      <c r="B2707" s="22">
        <v>0</v>
      </c>
      <c r="C2707" s="22"/>
      <c r="D2707" s="22"/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  <c r="O2707" s="22"/>
      <c r="P2707" s="22"/>
      <c r="Q2707" s="22"/>
      <c r="R2707" s="22"/>
      <c r="S2707" s="22"/>
      <c r="T2707" s="22"/>
      <c r="U2707" s="22"/>
      <c r="V2707" s="22"/>
      <c r="W2707" s="22"/>
      <c r="X2707" s="22"/>
      <c r="Y2707" s="22"/>
      <c r="Z2707" s="22"/>
      <c r="AA2707" s="22"/>
      <c r="AB2707" s="22"/>
      <c r="AC2707" s="22"/>
      <c r="AD2707" s="22"/>
      <c r="AE2707" s="22"/>
      <c r="AF2707" s="22"/>
      <c r="AG2707" s="22"/>
      <c r="AH2707" s="22"/>
      <c r="AI2707" s="22"/>
      <c r="AJ2707" s="22"/>
    </row>
    <row r="2708" spans="1:36" x14ac:dyDescent="0.25">
      <c r="A2708" s="22" t="s">
        <v>3493</v>
      </c>
      <c r="B2708" s="22">
        <v>0</v>
      </c>
      <c r="C2708" s="22"/>
      <c r="D2708" s="22"/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  <c r="O2708" s="22"/>
      <c r="P2708" s="22"/>
      <c r="Q2708" s="22"/>
      <c r="R2708" s="22"/>
      <c r="S2708" s="22"/>
      <c r="T2708" s="22"/>
      <c r="U2708" s="22"/>
      <c r="V2708" s="22"/>
      <c r="W2708" s="22"/>
      <c r="X2708" s="22"/>
      <c r="Y2708" s="22"/>
      <c r="Z2708" s="22"/>
      <c r="AA2708" s="22"/>
      <c r="AB2708" s="22"/>
      <c r="AC2708" s="22"/>
      <c r="AD2708" s="22"/>
      <c r="AE2708" s="22"/>
      <c r="AF2708" s="22"/>
      <c r="AG2708" s="22"/>
      <c r="AH2708" s="22"/>
      <c r="AI2708" s="22"/>
      <c r="AJ2708" s="22"/>
    </row>
    <row r="2709" spans="1:36" x14ac:dyDescent="0.25">
      <c r="A2709" s="22" t="s">
        <v>3494</v>
      </c>
      <c r="B2709" s="22">
        <v>0</v>
      </c>
      <c r="C2709" s="22"/>
      <c r="D2709" s="22"/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  <c r="O2709" s="22"/>
      <c r="P2709" s="22"/>
      <c r="Q2709" s="22"/>
      <c r="R2709" s="22"/>
      <c r="S2709" s="22"/>
      <c r="T2709" s="22"/>
      <c r="U2709" s="22"/>
      <c r="V2709" s="22"/>
      <c r="W2709" s="22"/>
      <c r="X2709" s="22"/>
      <c r="Y2709" s="22"/>
      <c r="Z2709" s="22"/>
      <c r="AA2709" s="22"/>
      <c r="AB2709" s="22"/>
      <c r="AC2709" s="22"/>
      <c r="AD2709" s="22"/>
      <c r="AE2709" s="22"/>
      <c r="AF2709" s="22"/>
      <c r="AG2709" s="22"/>
      <c r="AH2709" s="22"/>
      <c r="AI2709" s="22"/>
      <c r="AJ2709" s="22"/>
    </row>
    <row r="2710" spans="1:36" x14ac:dyDescent="0.25">
      <c r="A2710" s="22" t="s">
        <v>477</v>
      </c>
      <c r="B2710" s="22">
        <v>0</v>
      </c>
      <c r="C2710" s="22"/>
      <c r="D2710" s="22"/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  <c r="O2710" s="22"/>
      <c r="P2710" s="22"/>
      <c r="Q2710" s="22"/>
      <c r="R2710" s="22"/>
      <c r="S2710" s="22"/>
      <c r="T2710" s="22"/>
      <c r="U2710" s="22"/>
      <c r="V2710" s="22"/>
      <c r="W2710" s="22"/>
      <c r="X2710" s="22"/>
      <c r="Y2710" s="22"/>
      <c r="Z2710" s="22"/>
      <c r="AA2710" s="22"/>
      <c r="AB2710" s="22"/>
      <c r="AC2710" s="22"/>
      <c r="AD2710" s="22"/>
      <c r="AE2710" s="22"/>
      <c r="AF2710" s="22"/>
      <c r="AG2710" s="22"/>
      <c r="AH2710" s="22"/>
      <c r="AI2710" s="22"/>
      <c r="AJ2710" s="22"/>
    </row>
    <row r="2711" spans="1:36" x14ac:dyDescent="0.25">
      <c r="A2711" s="22" t="s">
        <v>3495</v>
      </c>
      <c r="B2711" s="22">
        <v>0</v>
      </c>
      <c r="C2711" s="22"/>
      <c r="D2711" s="22"/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  <c r="O2711" s="22"/>
      <c r="P2711" s="22"/>
      <c r="Q2711" s="22"/>
      <c r="R2711" s="22"/>
      <c r="S2711" s="22"/>
      <c r="T2711" s="22"/>
      <c r="U2711" s="22"/>
      <c r="V2711" s="22"/>
      <c r="W2711" s="22"/>
      <c r="X2711" s="22"/>
      <c r="Y2711" s="22"/>
      <c r="Z2711" s="22"/>
      <c r="AA2711" s="22"/>
      <c r="AB2711" s="22"/>
      <c r="AC2711" s="22"/>
      <c r="AD2711" s="22"/>
      <c r="AE2711" s="22"/>
      <c r="AF2711" s="22"/>
      <c r="AG2711" s="22"/>
      <c r="AH2711" s="22"/>
      <c r="AI2711" s="22"/>
      <c r="AJ2711" s="22"/>
    </row>
    <row r="2712" spans="1:36" x14ac:dyDescent="0.25">
      <c r="A2712" s="22" t="s">
        <v>3496</v>
      </c>
      <c r="B2712" s="22">
        <v>0</v>
      </c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  <c r="O2712" s="22"/>
      <c r="P2712" s="22"/>
      <c r="Q2712" s="22"/>
      <c r="R2712" s="22"/>
      <c r="S2712" s="22"/>
      <c r="T2712" s="22"/>
      <c r="U2712" s="22"/>
      <c r="V2712" s="22"/>
      <c r="W2712" s="22"/>
      <c r="X2712" s="22"/>
      <c r="Y2712" s="22"/>
      <c r="Z2712" s="22"/>
      <c r="AA2712" s="22"/>
      <c r="AB2712" s="22"/>
      <c r="AC2712" s="22"/>
      <c r="AD2712" s="22"/>
      <c r="AE2712" s="22"/>
      <c r="AF2712" s="22"/>
      <c r="AG2712" s="22"/>
      <c r="AH2712" s="22"/>
      <c r="AI2712" s="22"/>
      <c r="AJ2712" s="22"/>
    </row>
    <row r="2713" spans="1:36" x14ac:dyDescent="0.25">
      <c r="A2713" s="22" t="s">
        <v>3497</v>
      </c>
      <c r="B2713" s="22">
        <v>0</v>
      </c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  <c r="O2713" s="22"/>
      <c r="P2713" s="22"/>
      <c r="Q2713" s="22"/>
      <c r="R2713" s="22"/>
      <c r="S2713" s="22"/>
      <c r="T2713" s="22"/>
      <c r="U2713" s="22"/>
      <c r="V2713" s="22"/>
      <c r="W2713" s="22"/>
      <c r="X2713" s="22"/>
      <c r="Y2713" s="22"/>
      <c r="Z2713" s="22"/>
      <c r="AA2713" s="22"/>
      <c r="AB2713" s="22"/>
      <c r="AC2713" s="22"/>
      <c r="AD2713" s="22"/>
      <c r="AE2713" s="22"/>
      <c r="AF2713" s="22"/>
      <c r="AG2713" s="22"/>
      <c r="AH2713" s="22"/>
      <c r="AI2713" s="22"/>
      <c r="AJ2713" s="22"/>
    </row>
    <row r="2714" spans="1:36" x14ac:dyDescent="0.25">
      <c r="A2714" s="22" t="s">
        <v>3498</v>
      </c>
      <c r="B2714" s="22">
        <v>0</v>
      </c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  <c r="O2714" s="22"/>
      <c r="P2714" s="22"/>
      <c r="Q2714" s="22"/>
      <c r="R2714" s="22"/>
      <c r="S2714" s="22"/>
      <c r="T2714" s="22"/>
      <c r="U2714" s="22"/>
      <c r="V2714" s="22"/>
      <c r="W2714" s="22"/>
      <c r="X2714" s="22"/>
      <c r="Y2714" s="22"/>
      <c r="Z2714" s="22"/>
      <c r="AA2714" s="22"/>
      <c r="AB2714" s="22"/>
      <c r="AC2714" s="22"/>
      <c r="AD2714" s="22"/>
      <c r="AE2714" s="22"/>
      <c r="AF2714" s="22"/>
      <c r="AG2714" s="22"/>
      <c r="AH2714" s="22"/>
      <c r="AI2714" s="22"/>
      <c r="AJ2714" s="22"/>
    </row>
    <row r="2715" spans="1:36" x14ac:dyDescent="0.25">
      <c r="A2715" s="22" t="s">
        <v>3499</v>
      </c>
      <c r="B2715" s="22">
        <v>0</v>
      </c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  <c r="O2715" s="22"/>
      <c r="P2715" s="22"/>
      <c r="Q2715" s="22"/>
      <c r="R2715" s="22"/>
      <c r="S2715" s="22"/>
      <c r="T2715" s="22"/>
      <c r="U2715" s="22"/>
      <c r="V2715" s="22"/>
      <c r="W2715" s="22"/>
      <c r="X2715" s="22"/>
      <c r="Y2715" s="22"/>
      <c r="Z2715" s="22"/>
      <c r="AA2715" s="22"/>
      <c r="AB2715" s="22"/>
      <c r="AC2715" s="22"/>
      <c r="AD2715" s="22"/>
      <c r="AE2715" s="22"/>
      <c r="AF2715" s="22"/>
      <c r="AG2715" s="22"/>
      <c r="AH2715" s="22"/>
      <c r="AI2715" s="22"/>
      <c r="AJ2715" s="22"/>
    </row>
    <row r="2716" spans="1:36" x14ac:dyDescent="0.25">
      <c r="A2716" s="22" t="s">
        <v>3500</v>
      </c>
      <c r="B2716" s="22">
        <v>0</v>
      </c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  <c r="O2716" s="22"/>
      <c r="P2716" s="22"/>
      <c r="Q2716" s="22"/>
      <c r="R2716" s="22"/>
      <c r="S2716" s="22"/>
      <c r="T2716" s="22"/>
      <c r="U2716" s="22"/>
      <c r="V2716" s="22"/>
      <c r="W2716" s="22"/>
      <c r="X2716" s="22"/>
      <c r="Y2716" s="22"/>
      <c r="Z2716" s="22"/>
      <c r="AA2716" s="22"/>
      <c r="AB2716" s="22"/>
      <c r="AC2716" s="22"/>
      <c r="AD2716" s="22"/>
      <c r="AE2716" s="22"/>
      <c r="AF2716" s="22"/>
      <c r="AG2716" s="22"/>
      <c r="AH2716" s="22"/>
      <c r="AI2716" s="22"/>
      <c r="AJ2716" s="22"/>
    </row>
    <row r="2717" spans="1:36" x14ac:dyDescent="0.25">
      <c r="A2717" s="22" t="s">
        <v>3501</v>
      </c>
      <c r="B2717" s="22">
        <v>0</v>
      </c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  <c r="O2717" s="22"/>
      <c r="P2717" s="22"/>
      <c r="Q2717" s="22"/>
      <c r="R2717" s="22"/>
      <c r="S2717" s="22"/>
      <c r="T2717" s="22"/>
      <c r="U2717" s="22"/>
      <c r="V2717" s="22"/>
      <c r="W2717" s="22"/>
      <c r="X2717" s="22"/>
      <c r="Y2717" s="22"/>
      <c r="Z2717" s="22"/>
      <c r="AA2717" s="22"/>
      <c r="AB2717" s="22"/>
      <c r="AC2717" s="22"/>
      <c r="AD2717" s="22"/>
      <c r="AE2717" s="22"/>
      <c r="AF2717" s="22"/>
      <c r="AG2717" s="22"/>
      <c r="AH2717" s="22"/>
      <c r="AI2717" s="22"/>
      <c r="AJ2717" s="22"/>
    </row>
    <row r="2718" spans="1:36" x14ac:dyDescent="0.25">
      <c r="A2718" s="22" t="s">
        <v>478</v>
      </c>
      <c r="B2718" s="22">
        <v>200</v>
      </c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  <c r="O2718" s="22"/>
      <c r="P2718" s="22"/>
      <c r="Q2718" s="22"/>
      <c r="R2718" s="22"/>
      <c r="S2718" s="22"/>
      <c r="T2718" s="22"/>
      <c r="U2718" s="22"/>
      <c r="V2718" s="22"/>
      <c r="W2718" s="22"/>
      <c r="X2718" s="22"/>
      <c r="Y2718" s="22"/>
      <c r="Z2718" s="22"/>
      <c r="AA2718" s="22"/>
      <c r="AB2718" s="22"/>
      <c r="AC2718" s="22"/>
      <c r="AD2718" s="22"/>
      <c r="AE2718" s="22"/>
      <c r="AF2718" s="22"/>
      <c r="AG2718" s="22"/>
      <c r="AH2718" s="22"/>
      <c r="AI2718" s="22"/>
      <c r="AJ2718" s="22"/>
    </row>
    <row r="2719" spans="1:36" x14ac:dyDescent="0.25">
      <c r="A2719" s="22" t="s">
        <v>3502</v>
      </c>
      <c r="B2719" s="22">
        <v>230</v>
      </c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  <c r="O2719" s="22"/>
      <c r="P2719" s="22"/>
      <c r="Q2719" s="22"/>
      <c r="R2719" s="22"/>
      <c r="S2719" s="22"/>
      <c r="T2719" s="22"/>
      <c r="U2719" s="22"/>
      <c r="V2719" s="22"/>
      <c r="W2719" s="22"/>
      <c r="X2719" s="22"/>
      <c r="Y2719" s="22"/>
      <c r="Z2719" s="22"/>
      <c r="AA2719" s="22"/>
      <c r="AB2719" s="22"/>
      <c r="AC2719" s="22"/>
      <c r="AD2719" s="22"/>
      <c r="AE2719" s="22"/>
      <c r="AF2719" s="22"/>
      <c r="AG2719" s="22"/>
      <c r="AH2719" s="22"/>
      <c r="AI2719" s="22"/>
      <c r="AJ2719" s="22"/>
    </row>
    <row r="2720" spans="1:36" x14ac:dyDescent="0.25">
      <c r="A2720" s="22" t="s">
        <v>3503</v>
      </c>
      <c r="B2720" s="22">
        <v>0</v>
      </c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  <c r="O2720" s="22"/>
      <c r="P2720" s="22"/>
      <c r="Q2720" s="22"/>
      <c r="R2720" s="22"/>
      <c r="S2720" s="22"/>
      <c r="T2720" s="22"/>
      <c r="U2720" s="22"/>
      <c r="V2720" s="22"/>
      <c r="W2720" s="22"/>
      <c r="X2720" s="22"/>
      <c r="Y2720" s="22"/>
      <c r="Z2720" s="22"/>
      <c r="AA2720" s="22"/>
      <c r="AB2720" s="22"/>
      <c r="AC2720" s="22"/>
      <c r="AD2720" s="22"/>
      <c r="AE2720" s="22"/>
      <c r="AF2720" s="22"/>
      <c r="AG2720" s="22"/>
      <c r="AH2720" s="22"/>
      <c r="AI2720" s="22"/>
      <c r="AJ2720" s="22"/>
    </row>
    <row r="2721" spans="1:36" x14ac:dyDescent="0.25">
      <c r="A2721" s="22" t="s">
        <v>3504</v>
      </c>
      <c r="B2721" s="22">
        <v>0</v>
      </c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  <c r="O2721" s="22"/>
      <c r="P2721" s="22"/>
      <c r="Q2721" s="22"/>
      <c r="R2721" s="22"/>
      <c r="S2721" s="22"/>
      <c r="T2721" s="22"/>
      <c r="U2721" s="22"/>
      <c r="V2721" s="22"/>
      <c r="W2721" s="22"/>
      <c r="X2721" s="22"/>
      <c r="Y2721" s="22"/>
      <c r="Z2721" s="22"/>
      <c r="AA2721" s="22"/>
      <c r="AB2721" s="22"/>
      <c r="AC2721" s="22"/>
      <c r="AD2721" s="22"/>
      <c r="AE2721" s="22"/>
      <c r="AF2721" s="22"/>
      <c r="AG2721" s="22"/>
      <c r="AH2721" s="22"/>
      <c r="AI2721" s="22"/>
      <c r="AJ2721" s="22"/>
    </row>
    <row r="2722" spans="1:36" x14ac:dyDescent="0.25">
      <c r="A2722" s="22" t="s">
        <v>3505</v>
      </c>
      <c r="B2722" s="22">
        <v>1</v>
      </c>
      <c r="C2722" s="22"/>
      <c r="D2722" s="22"/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  <c r="O2722" s="22"/>
      <c r="P2722" s="22"/>
      <c r="Q2722" s="22"/>
      <c r="R2722" s="22"/>
      <c r="S2722" s="22"/>
      <c r="T2722" s="22"/>
      <c r="U2722" s="22"/>
      <c r="V2722" s="22"/>
      <c r="W2722" s="22"/>
      <c r="X2722" s="22"/>
      <c r="Y2722" s="22"/>
      <c r="Z2722" s="22"/>
      <c r="AA2722" s="22"/>
      <c r="AB2722" s="22"/>
      <c r="AC2722" s="22"/>
      <c r="AD2722" s="22"/>
      <c r="AE2722" s="22"/>
      <c r="AF2722" s="22"/>
      <c r="AG2722" s="22"/>
      <c r="AH2722" s="22"/>
      <c r="AI2722" s="22"/>
      <c r="AJ2722" s="22"/>
    </row>
    <row r="2723" spans="1:36" x14ac:dyDescent="0.25">
      <c r="A2723" s="22" t="s">
        <v>3506</v>
      </c>
      <c r="B2723" s="22">
        <v>0</v>
      </c>
      <c r="C2723" s="22"/>
      <c r="D2723" s="22"/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  <c r="O2723" s="22"/>
      <c r="P2723" s="22"/>
      <c r="Q2723" s="22"/>
      <c r="R2723" s="22"/>
      <c r="S2723" s="22"/>
      <c r="T2723" s="22"/>
      <c r="U2723" s="22"/>
      <c r="V2723" s="22"/>
      <c r="W2723" s="22"/>
      <c r="X2723" s="22"/>
      <c r="Y2723" s="22"/>
      <c r="Z2723" s="22"/>
      <c r="AA2723" s="22"/>
      <c r="AB2723" s="22"/>
      <c r="AC2723" s="22"/>
      <c r="AD2723" s="22"/>
      <c r="AE2723" s="22"/>
      <c r="AF2723" s="22"/>
      <c r="AG2723" s="22"/>
      <c r="AH2723" s="22"/>
      <c r="AI2723" s="22"/>
      <c r="AJ2723" s="22"/>
    </row>
    <row r="2724" spans="1:36" x14ac:dyDescent="0.25">
      <c r="A2724" s="22" t="s">
        <v>3507</v>
      </c>
      <c r="B2724" s="22">
        <v>0</v>
      </c>
      <c r="C2724" s="22"/>
      <c r="D2724" s="22"/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  <c r="O2724" s="22"/>
      <c r="P2724" s="22"/>
      <c r="Q2724" s="22"/>
      <c r="R2724" s="22"/>
      <c r="S2724" s="22"/>
      <c r="T2724" s="22"/>
      <c r="U2724" s="22"/>
      <c r="V2724" s="22"/>
      <c r="W2724" s="22"/>
      <c r="X2724" s="22"/>
      <c r="Y2724" s="22"/>
      <c r="Z2724" s="22"/>
      <c r="AA2724" s="22"/>
      <c r="AB2724" s="22"/>
      <c r="AC2724" s="22"/>
      <c r="AD2724" s="22"/>
      <c r="AE2724" s="22"/>
      <c r="AF2724" s="22"/>
      <c r="AG2724" s="22"/>
      <c r="AH2724" s="22"/>
      <c r="AI2724" s="22"/>
      <c r="AJ2724" s="22"/>
    </row>
    <row r="2725" spans="1:36" x14ac:dyDescent="0.25">
      <c r="A2725" s="22" t="s">
        <v>3508</v>
      </c>
      <c r="B2725" s="22">
        <v>0</v>
      </c>
      <c r="C2725" s="22"/>
      <c r="D2725" s="22"/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  <c r="O2725" s="22"/>
      <c r="P2725" s="22"/>
      <c r="Q2725" s="22"/>
      <c r="R2725" s="22"/>
      <c r="S2725" s="22"/>
      <c r="T2725" s="22"/>
      <c r="U2725" s="22"/>
      <c r="V2725" s="22"/>
      <c r="W2725" s="22"/>
      <c r="X2725" s="22"/>
      <c r="Y2725" s="22"/>
      <c r="Z2725" s="22"/>
      <c r="AA2725" s="22"/>
      <c r="AB2725" s="22"/>
      <c r="AC2725" s="22"/>
      <c r="AD2725" s="22"/>
      <c r="AE2725" s="22"/>
      <c r="AF2725" s="22"/>
      <c r="AG2725" s="22"/>
      <c r="AH2725" s="22"/>
      <c r="AI2725" s="22"/>
      <c r="AJ2725" s="22"/>
    </row>
    <row r="2726" spans="1:36" x14ac:dyDescent="0.25">
      <c r="A2726" s="22" t="s">
        <v>4411</v>
      </c>
      <c r="B2726" s="22">
        <v>120</v>
      </c>
      <c r="C2726" s="22"/>
      <c r="D2726" s="22"/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  <c r="O2726" s="22"/>
      <c r="P2726" s="22"/>
      <c r="Q2726" s="22"/>
      <c r="R2726" s="22"/>
      <c r="S2726" s="22"/>
      <c r="T2726" s="22"/>
      <c r="U2726" s="22"/>
      <c r="V2726" s="22"/>
      <c r="W2726" s="22"/>
      <c r="X2726" s="22"/>
      <c r="Y2726" s="22"/>
      <c r="Z2726" s="22"/>
      <c r="AA2726" s="22"/>
      <c r="AB2726" s="22"/>
      <c r="AC2726" s="22"/>
      <c r="AD2726" s="22"/>
      <c r="AE2726" s="22"/>
      <c r="AF2726" s="22"/>
      <c r="AG2726" s="22"/>
      <c r="AH2726" s="22"/>
      <c r="AI2726" s="22"/>
      <c r="AJ2726" s="22"/>
    </row>
    <row r="2727" spans="1:36" x14ac:dyDescent="0.25">
      <c r="A2727" s="22" t="s">
        <v>4412</v>
      </c>
      <c r="B2727" s="22">
        <v>0</v>
      </c>
      <c r="C2727" s="22"/>
      <c r="D2727" s="22"/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  <c r="O2727" s="22"/>
      <c r="P2727" s="22"/>
      <c r="Q2727" s="22"/>
      <c r="R2727" s="22"/>
      <c r="S2727" s="22"/>
      <c r="T2727" s="22"/>
      <c r="U2727" s="22"/>
      <c r="V2727" s="22"/>
      <c r="W2727" s="22"/>
      <c r="X2727" s="22"/>
      <c r="Y2727" s="22"/>
      <c r="Z2727" s="22"/>
      <c r="AA2727" s="22"/>
      <c r="AB2727" s="22"/>
      <c r="AC2727" s="22"/>
      <c r="AD2727" s="22"/>
      <c r="AE2727" s="22"/>
      <c r="AF2727" s="22"/>
      <c r="AG2727" s="22"/>
      <c r="AH2727" s="22"/>
      <c r="AI2727" s="22"/>
      <c r="AJ2727" s="22"/>
    </row>
    <row r="2728" spans="1:36" x14ac:dyDescent="0.25">
      <c r="A2728" s="22" t="s">
        <v>4413</v>
      </c>
      <c r="B2728" s="22">
        <v>0</v>
      </c>
      <c r="C2728" s="22"/>
      <c r="D2728" s="22"/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  <c r="O2728" s="22"/>
      <c r="P2728" s="22"/>
      <c r="Q2728" s="22"/>
      <c r="R2728" s="22"/>
      <c r="S2728" s="22"/>
      <c r="T2728" s="22"/>
      <c r="U2728" s="22"/>
      <c r="V2728" s="22"/>
      <c r="W2728" s="22"/>
      <c r="X2728" s="22"/>
      <c r="Y2728" s="22"/>
      <c r="Z2728" s="22"/>
      <c r="AA2728" s="22"/>
      <c r="AB2728" s="22"/>
      <c r="AC2728" s="22"/>
      <c r="AD2728" s="22"/>
      <c r="AE2728" s="22"/>
      <c r="AF2728" s="22"/>
      <c r="AG2728" s="22"/>
      <c r="AH2728" s="22"/>
      <c r="AI2728" s="22"/>
      <c r="AJ2728" s="22"/>
    </row>
    <row r="2729" spans="1:36" x14ac:dyDescent="0.25">
      <c r="A2729" s="22" t="s">
        <v>4414</v>
      </c>
      <c r="B2729" s="22">
        <v>0</v>
      </c>
      <c r="C2729" s="22"/>
      <c r="D2729" s="22"/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  <c r="O2729" s="22"/>
      <c r="P2729" s="22"/>
      <c r="Q2729" s="22"/>
      <c r="R2729" s="22"/>
      <c r="S2729" s="22"/>
      <c r="T2729" s="22"/>
      <c r="U2729" s="22"/>
      <c r="V2729" s="22"/>
      <c r="W2729" s="22"/>
      <c r="X2729" s="22"/>
      <c r="Y2729" s="22"/>
      <c r="Z2729" s="22"/>
      <c r="AA2729" s="22"/>
      <c r="AB2729" s="22"/>
      <c r="AC2729" s="22"/>
      <c r="AD2729" s="22"/>
      <c r="AE2729" s="22"/>
      <c r="AF2729" s="22"/>
      <c r="AG2729" s="22"/>
      <c r="AH2729" s="22"/>
      <c r="AI2729" s="22"/>
      <c r="AJ2729" s="22"/>
    </row>
    <row r="2730" spans="1:36" x14ac:dyDescent="0.25">
      <c r="A2730" s="22" t="s">
        <v>4415</v>
      </c>
      <c r="B2730" s="22">
        <v>0</v>
      </c>
      <c r="C2730" s="22"/>
      <c r="D2730" s="22"/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22"/>
      <c r="AA2730" s="22"/>
      <c r="AB2730" s="22"/>
      <c r="AC2730" s="22"/>
      <c r="AD2730" s="22"/>
      <c r="AE2730" s="22"/>
      <c r="AF2730" s="22"/>
      <c r="AG2730" s="22"/>
      <c r="AH2730" s="22"/>
      <c r="AI2730" s="22"/>
      <c r="AJ2730" s="22"/>
    </row>
    <row r="2731" spans="1:36" x14ac:dyDescent="0.25">
      <c r="A2731" s="22" t="s">
        <v>4416</v>
      </c>
      <c r="B2731" s="22">
        <v>0</v>
      </c>
      <c r="C2731" s="22"/>
      <c r="D2731" s="22"/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  <c r="O2731" s="22"/>
      <c r="P2731" s="22"/>
      <c r="Q2731" s="22"/>
      <c r="R2731" s="22"/>
      <c r="S2731" s="22"/>
      <c r="T2731" s="22"/>
      <c r="U2731" s="22"/>
      <c r="V2731" s="22"/>
      <c r="W2731" s="22"/>
      <c r="X2731" s="22"/>
      <c r="Y2731" s="22"/>
      <c r="Z2731" s="22"/>
      <c r="AA2731" s="22"/>
      <c r="AB2731" s="22"/>
      <c r="AC2731" s="22"/>
      <c r="AD2731" s="22"/>
      <c r="AE2731" s="22"/>
      <c r="AF2731" s="22"/>
      <c r="AG2731" s="22"/>
      <c r="AH2731" s="22"/>
      <c r="AI2731" s="22"/>
      <c r="AJ2731" s="22"/>
    </row>
    <row r="2732" spans="1:36" x14ac:dyDescent="0.25">
      <c r="A2732" s="22" t="s">
        <v>4417</v>
      </c>
      <c r="B2732" s="22">
        <v>0</v>
      </c>
      <c r="C2732" s="22"/>
      <c r="D2732" s="22"/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  <c r="O2732" s="22"/>
      <c r="P2732" s="22"/>
      <c r="Q2732" s="22"/>
      <c r="R2732" s="22"/>
      <c r="S2732" s="22"/>
      <c r="T2732" s="22"/>
      <c r="U2732" s="22"/>
      <c r="V2732" s="22"/>
      <c r="W2732" s="22"/>
      <c r="X2732" s="22"/>
      <c r="Y2732" s="22"/>
      <c r="Z2732" s="22"/>
      <c r="AA2732" s="22"/>
      <c r="AB2732" s="22"/>
      <c r="AC2732" s="22"/>
      <c r="AD2732" s="22"/>
      <c r="AE2732" s="22"/>
      <c r="AF2732" s="22"/>
      <c r="AG2732" s="22"/>
      <c r="AH2732" s="22"/>
      <c r="AI2732" s="22"/>
      <c r="AJ2732" s="22"/>
    </row>
    <row r="2733" spans="1:36" x14ac:dyDescent="0.25">
      <c r="A2733" s="22" t="s">
        <v>4418</v>
      </c>
      <c r="B2733" s="22">
        <v>0</v>
      </c>
      <c r="C2733" s="22"/>
      <c r="D2733" s="22"/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22"/>
      <c r="X2733" s="22"/>
      <c r="Y2733" s="22"/>
      <c r="Z2733" s="22"/>
      <c r="AA2733" s="22"/>
      <c r="AB2733" s="22"/>
      <c r="AC2733" s="22"/>
      <c r="AD2733" s="22"/>
      <c r="AE2733" s="22"/>
      <c r="AF2733" s="22"/>
      <c r="AG2733" s="22"/>
      <c r="AH2733" s="22"/>
      <c r="AI2733" s="22"/>
      <c r="AJ2733" s="22"/>
    </row>
    <row r="2734" spans="1:36" x14ac:dyDescent="0.25">
      <c r="A2734" s="22" t="s">
        <v>479</v>
      </c>
      <c r="B2734" s="22">
        <v>0</v>
      </c>
      <c r="C2734" s="22"/>
      <c r="D2734" s="22"/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  <c r="O2734" s="22"/>
      <c r="P2734" s="22"/>
      <c r="Q2734" s="22"/>
      <c r="R2734" s="22"/>
      <c r="S2734" s="22"/>
      <c r="T2734" s="22"/>
      <c r="U2734" s="22"/>
      <c r="V2734" s="22"/>
      <c r="W2734" s="22"/>
      <c r="X2734" s="22"/>
      <c r="Y2734" s="22"/>
      <c r="Z2734" s="22"/>
      <c r="AA2734" s="22"/>
      <c r="AB2734" s="22"/>
      <c r="AC2734" s="22"/>
      <c r="AD2734" s="22"/>
      <c r="AE2734" s="22"/>
      <c r="AF2734" s="22"/>
      <c r="AG2734" s="22"/>
      <c r="AH2734" s="22"/>
      <c r="AI2734" s="22"/>
      <c r="AJ2734" s="22"/>
    </row>
    <row r="2735" spans="1:36" x14ac:dyDescent="0.25">
      <c r="A2735" s="22" t="s">
        <v>3509</v>
      </c>
      <c r="B2735" s="22">
        <v>0</v>
      </c>
      <c r="C2735" s="22"/>
      <c r="D2735" s="22"/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  <c r="O2735" s="22"/>
      <c r="P2735" s="22"/>
      <c r="Q2735" s="22"/>
      <c r="R2735" s="22"/>
      <c r="S2735" s="22"/>
      <c r="T2735" s="22"/>
      <c r="U2735" s="22"/>
      <c r="V2735" s="22"/>
      <c r="W2735" s="22"/>
      <c r="X2735" s="22"/>
      <c r="Y2735" s="22"/>
      <c r="Z2735" s="22"/>
      <c r="AA2735" s="22"/>
      <c r="AB2735" s="22"/>
      <c r="AC2735" s="22"/>
      <c r="AD2735" s="22"/>
      <c r="AE2735" s="22"/>
      <c r="AF2735" s="22"/>
      <c r="AG2735" s="22"/>
      <c r="AH2735" s="22"/>
      <c r="AI2735" s="22"/>
      <c r="AJ2735" s="22"/>
    </row>
    <row r="2736" spans="1:36" x14ac:dyDescent="0.25">
      <c r="A2736" s="22" t="s">
        <v>3510</v>
      </c>
      <c r="B2736" s="22">
        <v>0</v>
      </c>
      <c r="C2736" s="22"/>
      <c r="D2736" s="22"/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  <c r="O2736" s="22"/>
      <c r="P2736" s="22"/>
      <c r="Q2736" s="22"/>
      <c r="R2736" s="22"/>
      <c r="S2736" s="22"/>
      <c r="T2736" s="22"/>
      <c r="U2736" s="22"/>
      <c r="V2736" s="22"/>
      <c r="W2736" s="22"/>
      <c r="X2736" s="22"/>
      <c r="Y2736" s="22"/>
      <c r="Z2736" s="22"/>
      <c r="AA2736" s="22"/>
      <c r="AB2736" s="22"/>
      <c r="AC2736" s="22"/>
      <c r="AD2736" s="22"/>
      <c r="AE2736" s="22"/>
      <c r="AF2736" s="22"/>
      <c r="AG2736" s="22"/>
      <c r="AH2736" s="22"/>
      <c r="AI2736" s="22"/>
      <c r="AJ2736" s="22"/>
    </row>
    <row r="2737" spans="1:36" x14ac:dyDescent="0.25">
      <c r="A2737" s="22" t="s">
        <v>3511</v>
      </c>
      <c r="B2737" s="22">
        <v>0</v>
      </c>
      <c r="C2737" s="22"/>
      <c r="D2737" s="22"/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  <c r="O2737" s="22"/>
      <c r="P2737" s="22"/>
      <c r="Q2737" s="22"/>
      <c r="R2737" s="22"/>
      <c r="S2737" s="22"/>
      <c r="T2737" s="22"/>
      <c r="U2737" s="22"/>
      <c r="V2737" s="22"/>
      <c r="W2737" s="22"/>
      <c r="X2737" s="22"/>
      <c r="Y2737" s="22"/>
      <c r="Z2737" s="22"/>
      <c r="AA2737" s="22"/>
      <c r="AB2737" s="22"/>
      <c r="AC2737" s="22"/>
      <c r="AD2737" s="22"/>
      <c r="AE2737" s="22"/>
      <c r="AF2737" s="22"/>
      <c r="AG2737" s="22"/>
      <c r="AH2737" s="22"/>
      <c r="AI2737" s="22"/>
      <c r="AJ2737" s="22"/>
    </row>
    <row r="2738" spans="1:36" x14ac:dyDescent="0.25">
      <c r="A2738" s="22" t="s">
        <v>3512</v>
      </c>
      <c r="B2738" s="22">
        <v>0</v>
      </c>
      <c r="C2738" s="22"/>
      <c r="D2738" s="22"/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  <c r="O2738" s="22"/>
      <c r="P2738" s="22"/>
      <c r="Q2738" s="22"/>
      <c r="R2738" s="22"/>
      <c r="S2738" s="22"/>
      <c r="T2738" s="22"/>
      <c r="U2738" s="22"/>
      <c r="V2738" s="22"/>
      <c r="W2738" s="22"/>
      <c r="X2738" s="22"/>
      <c r="Y2738" s="22"/>
      <c r="Z2738" s="22"/>
      <c r="AA2738" s="22"/>
      <c r="AB2738" s="22"/>
      <c r="AC2738" s="22"/>
      <c r="AD2738" s="22"/>
      <c r="AE2738" s="22"/>
      <c r="AF2738" s="22"/>
      <c r="AG2738" s="22"/>
      <c r="AH2738" s="22"/>
      <c r="AI2738" s="22"/>
      <c r="AJ2738" s="22"/>
    </row>
    <row r="2739" spans="1:36" x14ac:dyDescent="0.25">
      <c r="A2739" s="22" t="s">
        <v>3513</v>
      </c>
      <c r="B2739" s="22">
        <v>0</v>
      </c>
      <c r="C2739" s="22"/>
      <c r="D2739" s="22"/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  <c r="O2739" s="22"/>
      <c r="P2739" s="22"/>
      <c r="Q2739" s="22"/>
      <c r="R2739" s="22"/>
      <c r="S2739" s="22"/>
      <c r="T2739" s="22"/>
      <c r="U2739" s="22"/>
      <c r="V2739" s="22"/>
      <c r="W2739" s="22"/>
      <c r="X2739" s="22"/>
      <c r="Y2739" s="22"/>
      <c r="Z2739" s="22"/>
      <c r="AA2739" s="22"/>
      <c r="AB2739" s="22"/>
      <c r="AC2739" s="22"/>
      <c r="AD2739" s="22"/>
      <c r="AE2739" s="22"/>
      <c r="AF2739" s="22"/>
      <c r="AG2739" s="22"/>
      <c r="AH2739" s="22"/>
      <c r="AI2739" s="22"/>
      <c r="AJ2739" s="22"/>
    </row>
    <row r="2740" spans="1:36" x14ac:dyDescent="0.25">
      <c r="A2740" s="22" t="s">
        <v>3514</v>
      </c>
      <c r="B2740" s="22">
        <v>0</v>
      </c>
      <c r="C2740" s="22"/>
      <c r="D2740" s="22"/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  <c r="O2740" s="22"/>
      <c r="P2740" s="22"/>
      <c r="Q2740" s="22"/>
      <c r="R2740" s="22"/>
      <c r="S2740" s="22"/>
      <c r="T2740" s="22"/>
      <c r="U2740" s="22"/>
      <c r="V2740" s="22"/>
      <c r="W2740" s="22"/>
      <c r="X2740" s="22"/>
      <c r="Y2740" s="22"/>
      <c r="Z2740" s="22"/>
      <c r="AA2740" s="22"/>
      <c r="AB2740" s="22"/>
      <c r="AC2740" s="22"/>
      <c r="AD2740" s="22"/>
      <c r="AE2740" s="22"/>
      <c r="AF2740" s="22"/>
      <c r="AG2740" s="22"/>
      <c r="AH2740" s="22"/>
      <c r="AI2740" s="22"/>
      <c r="AJ2740" s="22"/>
    </row>
    <row r="2741" spans="1:36" x14ac:dyDescent="0.25">
      <c r="A2741" s="22" t="s">
        <v>3515</v>
      </c>
      <c r="B2741" s="22">
        <v>0</v>
      </c>
      <c r="C2741" s="22"/>
      <c r="D2741" s="22"/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  <c r="O2741" s="22"/>
      <c r="P2741" s="22"/>
      <c r="Q2741" s="22"/>
      <c r="R2741" s="22"/>
      <c r="S2741" s="22"/>
      <c r="T2741" s="22"/>
      <c r="U2741" s="22"/>
      <c r="V2741" s="22"/>
      <c r="W2741" s="22"/>
      <c r="X2741" s="22"/>
      <c r="Y2741" s="22"/>
      <c r="Z2741" s="22"/>
      <c r="AA2741" s="22"/>
      <c r="AB2741" s="22"/>
      <c r="AC2741" s="22"/>
      <c r="AD2741" s="22"/>
      <c r="AE2741" s="22"/>
      <c r="AF2741" s="22"/>
      <c r="AG2741" s="22"/>
      <c r="AH2741" s="22"/>
      <c r="AI2741" s="22"/>
      <c r="AJ2741" s="22"/>
    </row>
    <row r="2742" spans="1:36" x14ac:dyDescent="0.25">
      <c r="A2742" s="22" t="s">
        <v>480</v>
      </c>
      <c r="B2742" s="22">
        <v>109</v>
      </c>
      <c r="C2742" s="22"/>
      <c r="D2742" s="22"/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  <c r="O2742" s="22"/>
      <c r="P2742" s="22"/>
      <c r="Q2742" s="22"/>
      <c r="R2742" s="22"/>
      <c r="S2742" s="22"/>
      <c r="T2742" s="22"/>
      <c r="U2742" s="22"/>
      <c r="V2742" s="22"/>
      <c r="W2742" s="22"/>
      <c r="X2742" s="22"/>
      <c r="Y2742" s="22"/>
      <c r="Z2742" s="22"/>
      <c r="AA2742" s="22"/>
      <c r="AB2742" s="22"/>
      <c r="AC2742" s="22"/>
      <c r="AD2742" s="22"/>
      <c r="AE2742" s="22"/>
      <c r="AF2742" s="22"/>
      <c r="AG2742" s="22"/>
      <c r="AH2742" s="22"/>
      <c r="AI2742" s="22"/>
      <c r="AJ2742" s="22"/>
    </row>
    <row r="2743" spans="1:36" x14ac:dyDescent="0.25">
      <c r="A2743" s="22" t="s">
        <v>3516</v>
      </c>
      <c r="B2743" s="22">
        <v>56</v>
      </c>
      <c r="C2743" s="22"/>
      <c r="D2743" s="22"/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  <c r="O2743" s="22"/>
      <c r="P2743" s="22"/>
      <c r="Q2743" s="22"/>
      <c r="R2743" s="22"/>
      <c r="S2743" s="22"/>
      <c r="T2743" s="22"/>
      <c r="U2743" s="22"/>
      <c r="V2743" s="22"/>
      <c r="W2743" s="22"/>
      <c r="X2743" s="22"/>
      <c r="Y2743" s="22"/>
      <c r="Z2743" s="22"/>
      <c r="AA2743" s="22"/>
      <c r="AB2743" s="22"/>
      <c r="AC2743" s="22"/>
      <c r="AD2743" s="22"/>
      <c r="AE2743" s="22"/>
      <c r="AF2743" s="22"/>
      <c r="AG2743" s="22"/>
      <c r="AH2743" s="22"/>
      <c r="AI2743" s="22"/>
      <c r="AJ2743" s="22"/>
    </row>
    <row r="2744" spans="1:36" x14ac:dyDescent="0.25">
      <c r="A2744" s="22" t="s">
        <v>3517</v>
      </c>
      <c r="B2744" s="22">
        <v>0</v>
      </c>
      <c r="C2744" s="22"/>
      <c r="D2744" s="22"/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  <c r="O2744" s="22"/>
      <c r="P2744" s="22"/>
      <c r="Q2744" s="22"/>
      <c r="R2744" s="22"/>
      <c r="S2744" s="22"/>
      <c r="T2744" s="22"/>
      <c r="U2744" s="22"/>
      <c r="V2744" s="22"/>
      <c r="W2744" s="22"/>
      <c r="X2744" s="22"/>
      <c r="Y2744" s="22"/>
      <c r="Z2744" s="22"/>
      <c r="AA2744" s="22"/>
      <c r="AB2744" s="22"/>
      <c r="AC2744" s="22"/>
      <c r="AD2744" s="22"/>
      <c r="AE2744" s="22"/>
      <c r="AF2744" s="22"/>
      <c r="AG2744" s="22"/>
      <c r="AH2744" s="22"/>
      <c r="AI2744" s="22"/>
      <c r="AJ2744" s="22"/>
    </row>
    <row r="2745" spans="1:36" x14ac:dyDescent="0.25">
      <c r="A2745" s="22" t="s">
        <v>3518</v>
      </c>
      <c r="B2745" s="22">
        <v>0</v>
      </c>
      <c r="C2745" s="22"/>
      <c r="D2745" s="22"/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  <c r="O2745" s="22"/>
      <c r="P2745" s="22"/>
      <c r="Q2745" s="22"/>
      <c r="R2745" s="22"/>
      <c r="S2745" s="22"/>
      <c r="T2745" s="22"/>
      <c r="U2745" s="22"/>
      <c r="V2745" s="22"/>
      <c r="W2745" s="22"/>
      <c r="X2745" s="22"/>
      <c r="Y2745" s="22"/>
      <c r="Z2745" s="22"/>
      <c r="AA2745" s="22"/>
      <c r="AB2745" s="22"/>
      <c r="AC2745" s="22"/>
      <c r="AD2745" s="22"/>
      <c r="AE2745" s="22"/>
      <c r="AF2745" s="22"/>
      <c r="AG2745" s="22"/>
      <c r="AH2745" s="22"/>
      <c r="AI2745" s="22"/>
      <c r="AJ2745" s="22"/>
    </row>
    <row r="2746" spans="1:36" x14ac:dyDescent="0.25">
      <c r="A2746" s="22" t="s">
        <v>3519</v>
      </c>
      <c r="B2746" s="22">
        <v>4</v>
      </c>
      <c r="C2746" s="22"/>
      <c r="D2746" s="22"/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  <c r="O2746" s="22"/>
      <c r="P2746" s="22"/>
      <c r="Q2746" s="22"/>
      <c r="R2746" s="22"/>
      <c r="S2746" s="22"/>
      <c r="T2746" s="22"/>
      <c r="U2746" s="22"/>
      <c r="V2746" s="22"/>
      <c r="W2746" s="22"/>
      <c r="X2746" s="22"/>
      <c r="Y2746" s="22"/>
      <c r="Z2746" s="22"/>
      <c r="AA2746" s="22"/>
      <c r="AB2746" s="22"/>
      <c r="AC2746" s="22"/>
      <c r="AD2746" s="22"/>
      <c r="AE2746" s="22"/>
      <c r="AF2746" s="22"/>
      <c r="AG2746" s="22"/>
      <c r="AH2746" s="22"/>
      <c r="AI2746" s="22"/>
      <c r="AJ2746" s="22"/>
    </row>
    <row r="2747" spans="1:36" x14ac:dyDescent="0.25">
      <c r="A2747" s="22" t="s">
        <v>3520</v>
      </c>
      <c r="B2747" s="22">
        <v>0</v>
      </c>
      <c r="C2747" s="22"/>
      <c r="D2747" s="22"/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  <c r="O2747" s="22"/>
      <c r="P2747" s="22"/>
      <c r="Q2747" s="22"/>
      <c r="R2747" s="22"/>
      <c r="S2747" s="22"/>
      <c r="T2747" s="22"/>
      <c r="U2747" s="22"/>
      <c r="V2747" s="22"/>
      <c r="W2747" s="22"/>
      <c r="X2747" s="22"/>
      <c r="Y2747" s="22"/>
      <c r="Z2747" s="22"/>
      <c r="AA2747" s="22"/>
      <c r="AB2747" s="22"/>
      <c r="AC2747" s="22"/>
      <c r="AD2747" s="22"/>
      <c r="AE2747" s="22"/>
      <c r="AF2747" s="22"/>
      <c r="AG2747" s="22"/>
      <c r="AH2747" s="22"/>
      <c r="AI2747" s="22"/>
      <c r="AJ2747" s="22"/>
    </row>
    <row r="2748" spans="1:36" x14ac:dyDescent="0.25">
      <c r="A2748" s="22" t="s">
        <v>3521</v>
      </c>
      <c r="B2748" s="22">
        <v>0</v>
      </c>
      <c r="C2748" s="22"/>
      <c r="D2748" s="22"/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  <c r="O2748" s="22"/>
      <c r="P2748" s="22"/>
      <c r="Q2748" s="22"/>
      <c r="R2748" s="22"/>
      <c r="S2748" s="22"/>
      <c r="T2748" s="22"/>
      <c r="U2748" s="22"/>
      <c r="V2748" s="22"/>
      <c r="W2748" s="22"/>
      <c r="X2748" s="22"/>
      <c r="Y2748" s="22"/>
      <c r="Z2748" s="22"/>
      <c r="AA2748" s="22"/>
      <c r="AB2748" s="22"/>
      <c r="AC2748" s="22"/>
      <c r="AD2748" s="22"/>
      <c r="AE2748" s="22"/>
      <c r="AF2748" s="22"/>
      <c r="AG2748" s="22"/>
      <c r="AH2748" s="22"/>
      <c r="AI2748" s="22"/>
      <c r="AJ2748" s="22"/>
    </row>
    <row r="2749" spans="1:36" x14ac:dyDescent="0.25">
      <c r="A2749" s="22" t="s">
        <v>3522</v>
      </c>
      <c r="B2749" s="22">
        <v>0</v>
      </c>
      <c r="C2749" s="22"/>
      <c r="D2749" s="22"/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  <c r="O2749" s="22"/>
      <c r="P2749" s="22"/>
      <c r="Q2749" s="22"/>
      <c r="R2749" s="22"/>
      <c r="S2749" s="22"/>
      <c r="T2749" s="22"/>
      <c r="U2749" s="22"/>
      <c r="V2749" s="22"/>
      <c r="W2749" s="22"/>
      <c r="X2749" s="22"/>
      <c r="Y2749" s="22"/>
      <c r="Z2749" s="22"/>
      <c r="AA2749" s="22"/>
      <c r="AB2749" s="22"/>
      <c r="AC2749" s="22"/>
      <c r="AD2749" s="22"/>
      <c r="AE2749" s="22"/>
      <c r="AF2749" s="22"/>
      <c r="AG2749" s="22"/>
      <c r="AH2749" s="22"/>
      <c r="AI2749" s="22"/>
      <c r="AJ2749" s="22"/>
    </row>
    <row r="2750" spans="1:36" x14ac:dyDescent="0.25">
      <c r="A2750" s="22" t="s">
        <v>481</v>
      </c>
      <c r="B2750" s="22">
        <v>8</v>
      </c>
      <c r="C2750" s="22"/>
      <c r="D2750" s="22"/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  <c r="O2750" s="22"/>
      <c r="P2750" s="22"/>
      <c r="Q2750" s="22"/>
      <c r="R2750" s="22"/>
      <c r="S2750" s="22"/>
      <c r="T2750" s="22"/>
      <c r="U2750" s="22"/>
      <c r="V2750" s="22"/>
      <c r="W2750" s="22"/>
      <c r="X2750" s="22"/>
      <c r="Y2750" s="22"/>
      <c r="Z2750" s="22"/>
      <c r="AA2750" s="22"/>
      <c r="AB2750" s="22"/>
      <c r="AC2750" s="22"/>
      <c r="AD2750" s="22"/>
      <c r="AE2750" s="22"/>
      <c r="AF2750" s="22"/>
      <c r="AG2750" s="22"/>
      <c r="AH2750" s="22"/>
      <c r="AI2750" s="22"/>
      <c r="AJ2750" s="22"/>
    </row>
    <row r="2751" spans="1:36" x14ac:dyDescent="0.25">
      <c r="A2751" s="22" t="s">
        <v>3523</v>
      </c>
      <c r="B2751" s="22">
        <v>0</v>
      </c>
      <c r="C2751" s="22"/>
      <c r="D2751" s="22"/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  <c r="O2751" s="22"/>
      <c r="P2751" s="22"/>
      <c r="Q2751" s="22"/>
      <c r="R2751" s="22"/>
      <c r="S2751" s="22"/>
      <c r="T2751" s="22"/>
      <c r="U2751" s="22"/>
      <c r="V2751" s="22"/>
      <c r="W2751" s="22"/>
      <c r="X2751" s="22"/>
      <c r="Y2751" s="22"/>
      <c r="Z2751" s="22"/>
      <c r="AA2751" s="22"/>
      <c r="AB2751" s="22"/>
      <c r="AC2751" s="22"/>
      <c r="AD2751" s="22"/>
      <c r="AE2751" s="22"/>
      <c r="AF2751" s="22"/>
      <c r="AG2751" s="22"/>
      <c r="AH2751" s="22"/>
      <c r="AI2751" s="22"/>
      <c r="AJ2751" s="22"/>
    </row>
    <row r="2752" spans="1:36" x14ac:dyDescent="0.25">
      <c r="A2752" s="22" t="s">
        <v>3524</v>
      </c>
      <c r="B2752" s="22">
        <v>0</v>
      </c>
      <c r="C2752" s="22"/>
      <c r="D2752" s="22"/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  <c r="O2752" s="22"/>
      <c r="P2752" s="22"/>
      <c r="Q2752" s="22"/>
      <c r="R2752" s="22"/>
      <c r="S2752" s="22"/>
      <c r="T2752" s="22"/>
      <c r="U2752" s="22"/>
      <c r="V2752" s="22"/>
      <c r="W2752" s="22"/>
      <c r="X2752" s="22"/>
      <c r="Y2752" s="22"/>
      <c r="Z2752" s="22"/>
      <c r="AA2752" s="22"/>
      <c r="AB2752" s="22"/>
      <c r="AC2752" s="22"/>
      <c r="AD2752" s="22"/>
      <c r="AE2752" s="22"/>
      <c r="AF2752" s="22"/>
      <c r="AG2752" s="22"/>
      <c r="AH2752" s="22"/>
      <c r="AI2752" s="22"/>
      <c r="AJ2752" s="22"/>
    </row>
    <row r="2753" spans="1:36" x14ac:dyDescent="0.25">
      <c r="A2753" s="22" t="s">
        <v>3525</v>
      </c>
      <c r="B2753" s="22">
        <v>0</v>
      </c>
      <c r="C2753" s="22"/>
      <c r="D2753" s="22"/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  <c r="O2753" s="22"/>
      <c r="P2753" s="22"/>
      <c r="Q2753" s="22"/>
      <c r="R2753" s="22"/>
      <c r="S2753" s="22"/>
      <c r="T2753" s="22"/>
      <c r="U2753" s="22"/>
      <c r="V2753" s="22"/>
      <c r="W2753" s="22"/>
      <c r="X2753" s="22"/>
      <c r="Y2753" s="22"/>
      <c r="Z2753" s="22"/>
      <c r="AA2753" s="22"/>
      <c r="AB2753" s="22"/>
      <c r="AC2753" s="22"/>
      <c r="AD2753" s="22"/>
      <c r="AE2753" s="22"/>
      <c r="AF2753" s="22"/>
      <c r="AG2753" s="22"/>
      <c r="AH2753" s="22"/>
      <c r="AI2753" s="22"/>
      <c r="AJ2753" s="22"/>
    </row>
    <row r="2754" spans="1:36" x14ac:dyDescent="0.25">
      <c r="A2754" s="22" t="s">
        <v>3526</v>
      </c>
      <c r="B2754" s="22">
        <v>0</v>
      </c>
      <c r="C2754" s="22"/>
      <c r="D2754" s="22"/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  <c r="O2754" s="22"/>
      <c r="P2754" s="22"/>
      <c r="Q2754" s="22"/>
      <c r="R2754" s="22"/>
      <c r="S2754" s="22"/>
      <c r="T2754" s="22"/>
      <c r="U2754" s="22"/>
      <c r="V2754" s="22"/>
      <c r="W2754" s="22"/>
      <c r="X2754" s="22"/>
      <c r="Y2754" s="22"/>
      <c r="Z2754" s="22"/>
      <c r="AA2754" s="22"/>
      <c r="AB2754" s="22"/>
      <c r="AC2754" s="22"/>
      <c r="AD2754" s="22"/>
      <c r="AE2754" s="22"/>
      <c r="AF2754" s="22"/>
      <c r="AG2754" s="22"/>
      <c r="AH2754" s="22"/>
      <c r="AI2754" s="22"/>
      <c r="AJ2754" s="22"/>
    </row>
    <row r="2755" spans="1:36" x14ac:dyDescent="0.25">
      <c r="A2755" s="22" t="s">
        <v>3527</v>
      </c>
      <c r="B2755" s="22">
        <v>0</v>
      </c>
      <c r="C2755" s="22"/>
      <c r="D2755" s="22"/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  <c r="O2755" s="22"/>
      <c r="P2755" s="22"/>
      <c r="Q2755" s="22"/>
      <c r="R2755" s="22"/>
      <c r="S2755" s="22"/>
      <c r="T2755" s="22"/>
      <c r="U2755" s="22"/>
      <c r="V2755" s="22"/>
      <c r="W2755" s="22"/>
      <c r="X2755" s="22"/>
      <c r="Y2755" s="22"/>
      <c r="Z2755" s="22"/>
      <c r="AA2755" s="22"/>
      <c r="AB2755" s="22"/>
      <c r="AC2755" s="22"/>
      <c r="AD2755" s="22"/>
      <c r="AE2755" s="22"/>
      <c r="AF2755" s="22"/>
      <c r="AG2755" s="22"/>
      <c r="AH2755" s="22"/>
      <c r="AI2755" s="22"/>
      <c r="AJ2755" s="22"/>
    </row>
    <row r="2756" spans="1:36" x14ac:dyDescent="0.25">
      <c r="A2756" s="22" t="s">
        <v>3528</v>
      </c>
      <c r="B2756" s="22">
        <v>0</v>
      </c>
      <c r="C2756" s="22"/>
      <c r="D2756" s="22"/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  <c r="O2756" s="22"/>
      <c r="P2756" s="22"/>
      <c r="Q2756" s="22"/>
      <c r="R2756" s="22"/>
      <c r="S2756" s="22"/>
      <c r="T2756" s="22"/>
      <c r="U2756" s="22"/>
      <c r="V2756" s="22"/>
      <c r="W2756" s="22"/>
      <c r="X2756" s="22"/>
      <c r="Y2756" s="22"/>
      <c r="Z2756" s="22"/>
      <c r="AA2756" s="22"/>
      <c r="AB2756" s="22"/>
      <c r="AC2756" s="22"/>
      <c r="AD2756" s="22"/>
      <c r="AE2756" s="22"/>
      <c r="AF2756" s="22"/>
      <c r="AG2756" s="22"/>
      <c r="AH2756" s="22"/>
      <c r="AI2756" s="22"/>
      <c r="AJ2756" s="22"/>
    </row>
    <row r="2757" spans="1:36" x14ac:dyDescent="0.25">
      <c r="A2757" s="22" t="s">
        <v>3529</v>
      </c>
      <c r="B2757" s="22">
        <v>0</v>
      </c>
      <c r="C2757" s="22"/>
      <c r="D2757" s="22"/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  <c r="O2757" s="22"/>
      <c r="P2757" s="22"/>
      <c r="Q2757" s="22"/>
      <c r="R2757" s="22"/>
      <c r="S2757" s="22"/>
      <c r="T2757" s="22"/>
      <c r="U2757" s="22"/>
      <c r="V2757" s="22"/>
      <c r="W2757" s="22"/>
      <c r="X2757" s="22"/>
      <c r="Y2757" s="22"/>
      <c r="Z2757" s="22"/>
      <c r="AA2757" s="22"/>
      <c r="AB2757" s="22"/>
      <c r="AC2757" s="22"/>
      <c r="AD2757" s="22"/>
      <c r="AE2757" s="22"/>
      <c r="AF2757" s="22"/>
      <c r="AG2757" s="22"/>
      <c r="AH2757" s="22"/>
      <c r="AI2757" s="22"/>
      <c r="AJ2757" s="22"/>
    </row>
    <row r="2758" spans="1:36" x14ac:dyDescent="0.25">
      <c r="A2758" s="22" t="s">
        <v>4419</v>
      </c>
      <c r="B2758" s="22">
        <v>11</v>
      </c>
      <c r="C2758" s="22"/>
      <c r="D2758" s="22"/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  <c r="O2758" s="22"/>
      <c r="P2758" s="22"/>
      <c r="Q2758" s="22"/>
      <c r="R2758" s="22"/>
      <c r="S2758" s="22"/>
      <c r="T2758" s="22"/>
      <c r="U2758" s="22"/>
      <c r="V2758" s="22"/>
      <c r="W2758" s="22"/>
      <c r="X2758" s="22"/>
      <c r="Y2758" s="22"/>
      <c r="Z2758" s="22"/>
      <c r="AA2758" s="22"/>
      <c r="AB2758" s="22"/>
      <c r="AC2758" s="22"/>
      <c r="AD2758" s="22"/>
      <c r="AE2758" s="22"/>
      <c r="AF2758" s="22"/>
      <c r="AG2758" s="22"/>
      <c r="AH2758" s="22"/>
      <c r="AI2758" s="22"/>
      <c r="AJ2758" s="22"/>
    </row>
    <row r="2759" spans="1:36" x14ac:dyDescent="0.25">
      <c r="A2759" s="22" t="s">
        <v>4420</v>
      </c>
      <c r="B2759" s="22">
        <v>10</v>
      </c>
      <c r="C2759" s="22"/>
      <c r="D2759" s="22"/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  <c r="O2759" s="22"/>
      <c r="P2759" s="22"/>
      <c r="Q2759" s="22"/>
      <c r="R2759" s="22"/>
      <c r="S2759" s="22"/>
      <c r="T2759" s="22"/>
      <c r="U2759" s="22"/>
      <c r="V2759" s="22"/>
      <c r="W2759" s="22"/>
      <c r="X2759" s="22"/>
      <c r="Y2759" s="22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</row>
    <row r="2760" spans="1:36" x14ac:dyDescent="0.25">
      <c r="A2760" s="22" t="s">
        <v>4421</v>
      </c>
      <c r="B2760" s="22">
        <v>0</v>
      </c>
      <c r="C2760" s="22"/>
      <c r="D2760" s="22"/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  <c r="O2760" s="22"/>
      <c r="P2760" s="22"/>
      <c r="Q2760" s="22"/>
      <c r="R2760" s="22"/>
      <c r="S2760" s="22"/>
      <c r="T2760" s="22"/>
      <c r="U2760" s="22"/>
      <c r="V2760" s="22"/>
      <c r="W2760" s="22"/>
      <c r="X2760" s="22"/>
      <c r="Y2760" s="22"/>
      <c r="Z2760" s="22"/>
      <c r="AA2760" s="22"/>
      <c r="AB2760" s="22"/>
      <c r="AC2760" s="22"/>
      <c r="AD2760" s="22"/>
      <c r="AE2760" s="22"/>
      <c r="AF2760" s="22"/>
      <c r="AG2760" s="22"/>
      <c r="AH2760" s="22"/>
      <c r="AI2760" s="22"/>
      <c r="AJ2760" s="22"/>
    </row>
    <row r="2761" spans="1:36" x14ac:dyDescent="0.25">
      <c r="A2761" s="22" t="s">
        <v>4422</v>
      </c>
      <c r="B2761" s="22">
        <v>0</v>
      </c>
      <c r="C2761" s="22"/>
      <c r="D2761" s="22"/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  <c r="O2761" s="22"/>
      <c r="P2761" s="22"/>
      <c r="Q2761" s="22"/>
      <c r="R2761" s="22"/>
      <c r="S2761" s="22"/>
      <c r="T2761" s="22"/>
      <c r="U2761" s="22"/>
      <c r="V2761" s="22"/>
      <c r="W2761" s="22"/>
      <c r="X2761" s="22"/>
      <c r="Y2761" s="22"/>
      <c r="Z2761" s="22"/>
      <c r="AA2761" s="22"/>
      <c r="AB2761" s="22"/>
      <c r="AC2761" s="22"/>
      <c r="AD2761" s="22"/>
      <c r="AE2761" s="22"/>
      <c r="AF2761" s="22"/>
      <c r="AG2761" s="22"/>
      <c r="AH2761" s="22"/>
      <c r="AI2761" s="22"/>
      <c r="AJ2761" s="22"/>
    </row>
    <row r="2762" spans="1:36" x14ac:dyDescent="0.25">
      <c r="A2762" s="22" t="s">
        <v>4423</v>
      </c>
      <c r="B2762" s="22">
        <v>0</v>
      </c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  <c r="O2762" s="22"/>
      <c r="P2762" s="22"/>
      <c r="Q2762" s="22"/>
      <c r="R2762" s="22"/>
      <c r="S2762" s="22"/>
      <c r="T2762" s="22"/>
      <c r="U2762" s="22"/>
      <c r="V2762" s="22"/>
      <c r="W2762" s="22"/>
      <c r="X2762" s="22"/>
      <c r="Y2762" s="22"/>
      <c r="Z2762" s="22"/>
      <c r="AA2762" s="22"/>
      <c r="AB2762" s="22"/>
      <c r="AC2762" s="22"/>
      <c r="AD2762" s="22"/>
      <c r="AE2762" s="22"/>
      <c r="AF2762" s="22"/>
      <c r="AG2762" s="22"/>
      <c r="AH2762" s="22"/>
      <c r="AI2762" s="22"/>
      <c r="AJ2762" s="22"/>
    </row>
    <row r="2763" spans="1:36" x14ac:dyDescent="0.25">
      <c r="A2763" s="22" t="s">
        <v>4424</v>
      </c>
      <c r="B2763" s="22">
        <v>0</v>
      </c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  <c r="O2763" s="22"/>
      <c r="P2763" s="22"/>
      <c r="Q2763" s="22"/>
      <c r="R2763" s="22"/>
      <c r="S2763" s="22"/>
      <c r="T2763" s="22"/>
      <c r="U2763" s="22"/>
      <c r="V2763" s="22"/>
      <c r="W2763" s="22"/>
      <c r="X2763" s="22"/>
      <c r="Y2763" s="22"/>
      <c r="Z2763" s="22"/>
      <c r="AA2763" s="22"/>
      <c r="AB2763" s="22"/>
      <c r="AC2763" s="22"/>
      <c r="AD2763" s="22"/>
      <c r="AE2763" s="22"/>
      <c r="AF2763" s="22"/>
      <c r="AG2763" s="22"/>
      <c r="AH2763" s="22"/>
      <c r="AI2763" s="22"/>
      <c r="AJ2763" s="22"/>
    </row>
    <row r="2764" spans="1:36" x14ac:dyDescent="0.25">
      <c r="A2764" s="22" t="s">
        <v>4425</v>
      </c>
      <c r="B2764" s="22">
        <v>0</v>
      </c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  <c r="O2764" s="22"/>
      <c r="P2764" s="22"/>
      <c r="Q2764" s="22"/>
      <c r="R2764" s="22"/>
      <c r="S2764" s="22"/>
      <c r="T2764" s="22"/>
      <c r="U2764" s="22"/>
      <c r="V2764" s="22"/>
      <c r="W2764" s="22"/>
      <c r="X2764" s="22"/>
      <c r="Y2764" s="22"/>
      <c r="Z2764" s="22"/>
      <c r="AA2764" s="22"/>
      <c r="AB2764" s="22"/>
      <c r="AC2764" s="22"/>
      <c r="AD2764" s="22"/>
      <c r="AE2764" s="22"/>
      <c r="AF2764" s="22"/>
      <c r="AG2764" s="22"/>
      <c r="AH2764" s="22"/>
      <c r="AI2764" s="22"/>
      <c r="AJ2764" s="22"/>
    </row>
    <row r="2765" spans="1:36" x14ac:dyDescent="0.25">
      <c r="A2765" s="22" t="s">
        <v>4426</v>
      </c>
      <c r="B2765" s="22">
        <v>0</v>
      </c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  <c r="O2765" s="22"/>
      <c r="P2765" s="22"/>
      <c r="Q2765" s="22"/>
      <c r="R2765" s="22"/>
      <c r="S2765" s="22"/>
      <c r="T2765" s="22"/>
      <c r="U2765" s="22"/>
      <c r="V2765" s="22"/>
      <c r="W2765" s="22"/>
      <c r="X2765" s="22"/>
      <c r="Y2765" s="22"/>
      <c r="Z2765" s="22"/>
      <c r="AA2765" s="22"/>
      <c r="AB2765" s="22"/>
      <c r="AC2765" s="22"/>
      <c r="AD2765" s="22"/>
      <c r="AE2765" s="22"/>
      <c r="AF2765" s="22"/>
      <c r="AG2765" s="22"/>
      <c r="AH2765" s="22"/>
      <c r="AI2765" s="22"/>
      <c r="AJ2765" s="22"/>
    </row>
    <row r="2766" spans="1:36" x14ac:dyDescent="0.25">
      <c r="A2766" s="22" t="s">
        <v>5809</v>
      </c>
      <c r="B2766" s="22">
        <v>10</v>
      </c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  <c r="O2766" s="22"/>
      <c r="P2766" s="22"/>
      <c r="Q2766" s="22"/>
      <c r="R2766" s="22"/>
      <c r="S2766" s="22"/>
      <c r="T2766" s="22"/>
      <c r="U2766" s="22"/>
      <c r="V2766" s="22"/>
      <c r="W2766" s="22"/>
      <c r="X2766" s="22"/>
      <c r="Y2766" s="22"/>
      <c r="Z2766" s="22"/>
      <c r="AA2766" s="22"/>
      <c r="AB2766" s="22"/>
      <c r="AC2766" s="22"/>
      <c r="AD2766" s="22"/>
      <c r="AE2766" s="22"/>
      <c r="AF2766" s="22"/>
      <c r="AG2766" s="22"/>
      <c r="AH2766" s="22"/>
      <c r="AI2766" s="22"/>
      <c r="AJ2766" s="22"/>
    </row>
    <row r="2767" spans="1:36" x14ac:dyDescent="0.25">
      <c r="A2767" s="22" t="s">
        <v>5810</v>
      </c>
      <c r="B2767" s="22">
        <v>0</v>
      </c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  <c r="O2767" s="22"/>
      <c r="P2767" s="22"/>
      <c r="Q2767" s="22"/>
      <c r="R2767" s="22"/>
      <c r="S2767" s="22"/>
      <c r="T2767" s="22"/>
      <c r="U2767" s="22"/>
      <c r="V2767" s="22"/>
      <c r="W2767" s="22"/>
      <c r="X2767" s="22"/>
      <c r="Y2767" s="22"/>
      <c r="Z2767" s="22"/>
      <c r="AA2767" s="22"/>
      <c r="AB2767" s="22"/>
      <c r="AC2767" s="22"/>
      <c r="AD2767" s="22"/>
      <c r="AE2767" s="22"/>
      <c r="AF2767" s="22"/>
      <c r="AG2767" s="22"/>
      <c r="AH2767" s="22"/>
      <c r="AI2767" s="22"/>
      <c r="AJ2767" s="22"/>
    </row>
    <row r="2768" spans="1:36" x14ac:dyDescent="0.25">
      <c r="A2768" s="22" t="s">
        <v>5811</v>
      </c>
      <c r="B2768" s="22">
        <v>0</v>
      </c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  <c r="O2768" s="22"/>
      <c r="P2768" s="22"/>
      <c r="Q2768" s="22"/>
      <c r="R2768" s="22"/>
      <c r="S2768" s="22"/>
      <c r="T2768" s="22"/>
      <c r="U2768" s="22"/>
      <c r="V2768" s="22"/>
      <c r="W2768" s="22"/>
      <c r="X2768" s="22"/>
      <c r="Y2768" s="22"/>
      <c r="Z2768" s="22"/>
      <c r="AA2768" s="22"/>
      <c r="AB2768" s="22"/>
      <c r="AC2768" s="22"/>
      <c r="AD2768" s="22"/>
      <c r="AE2768" s="22"/>
      <c r="AF2768" s="22"/>
      <c r="AG2768" s="22"/>
      <c r="AH2768" s="22"/>
      <c r="AI2768" s="22"/>
      <c r="AJ2768" s="22"/>
    </row>
    <row r="2769" spans="1:36" x14ac:dyDescent="0.25">
      <c r="A2769" s="22" t="s">
        <v>5812</v>
      </c>
      <c r="B2769" s="22">
        <v>0</v>
      </c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  <c r="O2769" s="22"/>
      <c r="P2769" s="22"/>
      <c r="Q2769" s="22"/>
      <c r="R2769" s="22"/>
      <c r="S2769" s="22"/>
      <c r="T2769" s="22"/>
      <c r="U2769" s="22"/>
      <c r="V2769" s="22"/>
      <c r="W2769" s="22"/>
      <c r="X2769" s="22"/>
      <c r="Y2769" s="22"/>
      <c r="Z2769" s="22"/>
      <c r="AA2769" s="22"/>
      <c r="AB2769" s="22"/>
      <c r="AC2769" s="22"/>
      <c r="AD2769" s="22"/>
      <c r="AE2769" s="22"/>
      <c r="AF2769" s="22"/>
      <c r="AG2769" s="22"/>
      <c r="AH2769" s="22"/>
      <c r="AI2769" s="22"/>
      <c r="AJ2769" s="22"/>
    </row>
    <row r="2770" spans="1:36" x14ac:dyDescent="0.25">
      <c r="A2770" s="22" t="s">
        <v>5813</v>
      </c>
      <c r="B2770" s="22">
        <v>4</v>
      </c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  <c r="O2770" s="22"/>
      <c r="P2770" s="22"/>
      <c r="Q2770" s="22"/>
      <c r="R2770" s="22"/>
      <c r="S2770" s="22"/>
      <c r="T2770" s="22"/>
      <c r="U2770" s="22"/>
      <c r="V2770" s="22"/>
      <c r="W2770" s="22"/>
      <c r="X2770" s="22"/>
      <c r="Y2770" s="22"/>
      <c r="Z2770" s="22"/>
      <c r="AA2770" s="22"/>
      <c r="AB2770" s="22"/>
      <c r="AC2770" s="22"/>
      <c r="AD2770" s="22"/>
      <c r="AE2770" s="22"/>
      <c r="AF2770" s="22"/>
      <c r="AG2770" s="22"/>
      <c r="AH2770" s="22"/>
      <c r="AI2770" s="22"/>
      <c r="AJ2770" s="22"/>
    </row>
    <row r="2771" spans="1:36" x14ac:dyDescent="0.25">
      <c r="A2771" s="22" t="s">
        <v>5814</v>
      </c>
      <c r="B2771" s="22">
        <v>0</v>
      </c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  <c r="O2771" s="22"/>
      <c r="P2771" s="22"/>
      <c r="Q2771" s="22"/>
      <c r="R2771" s="22"/>
      <c r="S2771" s="22"/>
      <c r="T2771" s="22"/>
      <c r="U2771" s="22"/>
      <c r="V2771" s="22"/>
      <c r="W2771" s="22"/>
      <c r="X2771" s="22"/>
      <c r="Y2771" s="22"/>
      <c r="Z2771" s="22"/>
      <c r="AA2771" s="22"/>
      <c r="AB2771" s="22"/>
      <c r="AC2771" s="22"/>
      <c r="AD2771" s="22"/>
      <c r="AE2771" s="22"/>
      <c r="AF2771" s="22"/>
      <c r="AG2771" s="22"/>
      <c r="AH2771" s="22"/>
      <c r="AI2771" s="22"/>
      <c r="AJ2771" s="22"/>
    </row>
    <row r="2772" spans="1:36" x14ac:dyDescent="0.25">
      <c r="A2772" s="22" t="s">
        <v>5815</v>
      </c>
      <c r="B2772" s="22">
        <v>0</v>
      </c>
      <c r="C2772" s="22"/>
      <c r="D2772" s="22"/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  <c r="O2772" s="22"/>
      <c r="P2772" s="22"/>
      <c r="Q2772" s="22"/>
      <c r="R2772" s="22"/>
      <c r="S2772" s="22"/>
      <c r="T2772" s="22"/>
      <c r="U2772" s="22"/>
      <c r="V2772" s="22"/>
      <c r="W2772" s="22"/>
      <c r="X2772" s="22"/>
      <c r="Y2772" s="22"/>
      <c r="Z2772" s="22"/>
      <c r="AA2772" s="22"/>
      <c r="AB2772" s="22"/>
      <c r="AC2772" s="22"/>
      <c r="AD2772" s="22"/>
      <c r="AE2772" s="22"/>
      <c r="AF2772" s="22"/>
      <c r="AG2772" s="22"/>
      <c r="AH2772" s="22"/>
      <c r="AI2772" s="22"/>
      <c r="AJ2772" s="22"/>
    </row>
    <row r="2773" spans="1:36" x14ac:dyDescent="0.25">
      <c r="A2773" s="22" t="s">
        <v>5816</v>
      </c>
      <c r="B2773" s="22">
        <v>0</v>
      </c>
      <c r="C2773" s="22"/>
      <c r="D2773" s="22"/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  <c r="O2773" s="22"/>
      <c r="P2773" s="22"/>
      <c r="Q2773" s="22"/>
      <c r="R2773" s="22"/>
      <c r="S2773" s="22"/>
      <c r="T2773" s="22"/>
      <c r="U2773" s="22"/>
      <c r="V2773" s="22"/>
      <c r="W2773" s="22"/>
      <c r="X2773" s="22"/>
      <c r="Y2773" s="22"/>
      <c r="Z2773" s="22"/>
      <c r="AA2773" s="22"/>
      <c r="AB2773" s="22"/>
      <c r="AC2773" s="22"/>
      <c r="AD2773" s="22"/>
      <c r="AE2773" s="22"/>
      <c r="AF2773" s="22"/>
      <c r="AG2773" s="22"/>
      <c r="AH2773" s="22"/>
      <c r="AI2773" s="22"/>
      <c r="AJ2773" s="22"/>
    </row>
    <row r="2774" spans="1:36" x14ac:dyDescent="0.25">
      <c r="A2774" s="22" t="s">
        <v>4427</v>
      </c>
      <c r="B2774" s="22">
        <v>62</v>
      </c>
      <c r="C2774" s="22"/>
      <c r="D2774" s="22"/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  <c r="O2774" s="22"/>
      <c r="P2774" s="22"/>
      <c r="Q2774" s="22"/>
      <c r="R2774" s="22"/>
      <c r="S2774" s="22"/>
      <c r="T2774" s="22"/>
      <c r="U2774" s="22"/>
      <c r="V2774" s="22"/>
      <c r="W2774" s="22"/>
      <c r="X2774" s="22"/>
      <c r="Y2774" s="22"/>
      <c r="Z2774" s="22"/>
      <c r="AA2774" s="22"/>
      <c r="AB2774" s="22"/>
      <c r="AC2774" s="22"/>
      <c r="AD2774" s="22"/>
      <c r="AE2774" s="22"/>
      <c r="AF2774" s="22"/>
      <c r="AG2774" s="22"/>
      <c r="AH2774" s="22"/>
      <c r="AI2774" s="22"/>
      <c r="AJ2774" s="22"/>
    </row>
    <row r="2775" spans="1:36" x14ac:dyDescent="0.25">
      <c r="A2775" s="22" t="s">
        <v>4428</v>
      </c>
      <c r="B2775" s="22">
        <v>119</v>
      </c>
      <c r="C2775" s="22"/>
      <c r="D2775" s="22"/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  <c r="O2775" s="22"/>
      <c r="P2775" s="22"/>
      <c r="Q2775" s="22"/>
      <c r="R2775" s="22"/>
      <c r="S2775" s="22"/>
      <c r="T2775" s="22"/>
      <c r="U2775" s="22"/>
      <c r="V2775" s="22"/>
      <c r="W2775" s="22"/>
      <c r="X2775" s="22"/>
      <c r="Y2775" s="22"/>
      <c r="Z2775" s="22"/>
      <c r="AA2775" s="22"/>
      <c r="AB2775" s="22"/>
      <c r="AC2775" s="22"/>
      <c r="AD2775" s="22"/>
      <c r="AE2775" s="22"/>
      <c r="AF2775" s="22"/>
      <c r="AG2775" s="22"/>
      <c r="AH2775" s="22"/>
      <c r="AI2775" s="22"/>
      <c r="AJ2775" s="22"/>
    </row>
    <row r="2776" spans="1:36" x14ac:dyDescent="0.25">
      <c r="A2776" s="22" t="s">
        <v>4429</v>
      </c>
      <c r="B2776" s="22">
        <v>0</v>
      </c>
      <c r="C2776" s="22"/>
      <c r="D2776" s="22"/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  <c r="O2776" s="22"/>
      <c r="P2776" s="22"/>
      <c r="Q2776" s="22"/>
      <c r="R2776" s="22"/>
      <c r="S2776" s="22"/>
      <c r="T2776" s="22"/>
      <c r="U2776" s="22"/>
      <c r="V2776" s="22"/>
      <c r="W2776" s="22"/>
      <c r="X2776" s="22"/>
      <c r="Y2776" s="22"/>
      <c r="Z2776" s="22"/>
      <c r="AA2776" s="22"/>
      <c r="AB2776" s="22"/>
      <c r="AC2776" s="22"/>
      <c r="AD2776" s="22"/>
      <c r="AE2776" s="22"/>
      <c r="AF2776" s="22"/>
      <c r="AG2776" s="22"/>
      <c r="AH2776" s="22"/>
      <c r="AI2776" s="22"/>
      <c r="AJ2776" s="22"/>
    </row>
    <row r="2777" spans="1:36" x14ac:dyDescent="0.25">
      <c r="A2777" s="22" t="s">
        <v>4430</v>
      </c>
      <c r="B2777" s="22">
        <v>0</v>
      </c>
      <c r="C2777" s="22"/>
      <c r="D2777" s="22"/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  <c r="O2777" s="22"/>
      <c r="P2777" s="22"/>
      <c r="Q2777" s="22"/>
      <c r="R2777" s="22"/>
      <c r="S2777" s="22"/>
      <c r="T2777" s="22"/>
      <c r="U2777" s="22"/>
      <c r="V2777" s="22"/>
      <c r="W2777" s="22"/>
      <c r="X2777" s="22"/>
      <c r="Y2777" s="22"/>
      <c r="Z2777" s="22"/>
      <c r="AA2777" s="22"/>
      <c r="AB2777" s="22"/>
      <c r="AC2777" s="22"/>
      <c r="AD2777" s="22"/>
      <c r="AE2777" s="22"/>
      <c r="AF2777" s="22"/>
      <c r="AG2777" s="22"/>
      <c r="AH2777" s="22"/>
      <c r="AI2777" s="22"/>
      <c r="AJ2777" s="22"/>
    </row>
    <row r="2778" spans="1:36" x14ac:dyDescent="0.25">
      <c r="A2778" s="22" t="s">
        <v>4431</v>
      </c>
      <c r="B2778" s="22">
        <v>0</v>
      </c>
      <c r="C2778" s="22"/>
      <c r="D2778" s="22"/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  <c r="O2778" s="22"/>
      <c r="P2778" s="22"/>
      <c r="Q2778" s="22"/>
      <c r="R2778" s="22"/>
      <c r="S2778" s="22"/>
      <c r="T2778" s="22"/>
      <c r="U2778" s="22"/>
      <c r="V2778" s="22"/>
      <c r="W2778" s="22"/>
      <c r="X2778" s="22"/>
      <c r="Y2778" s="22"/>
      <c r="Z2778" s="22"/>
      <c r="AA2778" s="22"/>
      <c r="AB2778" s="22"/>
      <c r="AC2778" s="22"/>
      <c r="AD2778" s="22"/>
      <c r="AE2778" s="22"/>
      <c r="AF2778" s="22"/>
      <c r="AG2778" s="22"/>
      <c r="AH2778" s="22"/>
      <c r="AI2778" s="22"/>
      <c r="AJ2778" s="22"/>
    </row>
    <row r="2779" spans="1:36" x14ac:dyDescent="0.25">
      <c r="A2779" s="22" t="s">
        <v>4432</v>
      </c>
      <c r="B2779" s="22">
        <v>0</v>
      </c>
      <c r="C2779" s="22"/>
      <c r="D2779" s="22"/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  <c r="O2779" s="22"/>
      <c r="P2779" s="22"/>
      <c r="Q2779" s="22"/>
      <c r="R2779" s="22"/>
      <c r="S2779" s="22"/>
      <c r="T2779" s="22"/>
      <c r="U2779" s="22"/>
      <c r="V2779" s="22"/>
      <c r="W2779" s="22"/>
      <c r="X2779" s="22"/>
      <c r="Y2779" s="22"/>
      <c r="Z2779" s="22"/>
      <c r="AA2779" s="22"/>
      <c r="AB2779" s="22"/>
      <c r="AC2779" s="22"/>
      <c r="AD2779" s="22"/>
      <c r="AE2779" s="22"/>
      <c r="AF2779" s="22"/>
      <c r="AG2779" s="22"/>
      <c r="AH2779" s="22"/>
      <c r="AI2779" s="22"/>
      <c r="AJ2779" s="22"/>
    </row>
    <row r="2780" spans="1:36" x14ac:dyDescent="0.25">
      <c r="A2780" s="22" t="s">
        <v>4433</v>
      </c>
      <c r="B2780" s="22">
        <v>0</v>
      </c>
      <c r="C2780" s="22"/>
      <c r="D2780" s="22"/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  <c r="O2780" s="22"/>
      <c r="P2780" s="22"/>
      <c r="Q2780" s="22"/>
      <c r="R2780" s="22"/>
      <c r="S2780" s="22"/>
      <c r="T2780" s="22"/>
      <c r="U2780" s="22"/>
      <c r="V2780" s="22"/>
      <c r="W2780" s="22"/>
      <c r="X2780" s="22"/>
      <c r="Y2780" s="22"/>
      <c r="Z2780" s="22"/>
      <c r="AA2780" s="22"/>
      <c r="AB2780" s="22"/>
      <c r="AC2780" s="22"/>
      <c r="AD2780" s="22"/>
      <c r="AE2780" s="22"/>
      <c r="AF2780" s="22"/>
      <c r="AG2780" s="22"/>
      <c r="AH2780" s="22"/>
      <c r="AI2780" s="22"/>
      <c r="AJ2780" s="22"/>
    </row>
    <row r="2781" spans="1:36" x14ac:dyDescent="0.25">
      <c r="A2781" s="22" t="s">
        <v>4434</v>
      </c>
      <c r="B2781" s="22">
        <v>0</v>
      </c>
      <c r="C2781" s="22"/>
      <c r="D2781" s="22"/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  <c r="O2781" s="22"/>
      <c r="P2781" s="22"/>
      <c r="Q2781" s="22"/>
      <c r="R2781" s="22"/>
      <c r="S2781" s="22"/>
      <c r="T2781" s="22"/>
      <c r="U2781" s="22"/>
      <c r="V2781" s="22"/>
      <c r="W2781" s="22"/>
      <c r="X2781" s="22"/>
      <c r="Y2781" s="22"/>
      <c r="Z2781" s="22"/>
      <c r="AA2781" s="22"/>
      <c r="AB2781" s="22"/>
      <c r="AC2781" s="22"/>
      <c r="AD2781" s="22"/>
      <c r="AE2781" s="22"/>
      <c r="AF2781" s="22"/>
      <c r="AG2781" s="22"/>
      <c r="AH2781" s="22"/>
      <c r="AI2781" s="22"/>
      <c r="AJ2781" s="22"/>
    </row>
    <row r="2782" spans="1:36" x14ac:dyDescent="0.25">
      <c r="A2782" s="22" t="s">
        <v>5817</v>
      </c>
      <c r="B2782" s="22">
        <v>9</v>
      </c>
      <c r="C2782" s="22"/>
      <c r="D2782" s="22"/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  <c r="O2782" s="22"/>
      <c r="P2782" s="22"/>
      <c r="Q2782" s="22"/>
      <c r="R2782" s="22"/>
      <c r="S2782" s="22"/>
      <c r="T2782" s="22"/>
      <c r="U2782" s="22"/>
      <c r="V2782" s="22"/>
      <c r="W2782" s="22"/>
      <c r="X2782" s="22"/>
      <c r="Y2782" s="22"/>
      <c r="Z2782" s="22"/>
      <c r="AA2782" s="22"/>
      <c r="AB2782" s="22"/>
      <c r="AC2782" s="22"/>
      <c r="AD2782" s="22"/>
      <c r="AE2782" s="22"/>
      <c r="AF2782" s="22"/>
      <c r="AG2782" s="22"/>
      <c r="AH2782" s="22"/>
      <c r="AI2782" s="22"/>
      <c r="AJ2782" s="22"/>
    </row>
    <row r="2783" spans="1:36" x14ac:dyDescent="0.25">
      <c r="A2783" s="22" t="s">
        <v>5818</v>
      </c>
      <c r="B2783" s="22">
        <v>0</v>
      </c>
      <c r="C2783" s="22"/>
      <c r="D2783" s="22"/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  <c r="O2783" s="22"/>
      <c r="P2783" s="22"/>
      <c r="Q2783" s="22"/>
      <c r="R2783" s="22"/>
      <c r="S2783" s="22"/>
      <c r="T2783" s="22"/>
      <c r="U2783" s="22"/>
      <c r="V2783" s="22"/>
      <c r="W2783" s="22"/>
      <c r="X2783" s="22"/>
      <c r="Y2783" s="22"/>
      <c r="Z2783" s="22"/>
      <c r="AA2783" s="22"/>
      <c r="AB2783" s="22"/>
      <c r="AC2783" s="22"/>
      <c r="AD2783" s="22"/>
      <c r="AE2783" s="22"/>
      <c r="AF2783" s="22"/>
      <c r="AG2783" s="22"/>
      <c r="AH2783" s="22"/>
      <c r="AI2783" s="22"/>
      <c r="AJ2783" s="22"/>
    </row>
    <row r="2784" spans="1:36" x14ac:dyDescent="0.25">
      <c r="A2784" s="22" t="s">
        <v>5819</v>
      </c>
      <c r="B2784" s="22">
        <v>0</v>
      </c>
      <c r="C2784" s="22"/>
      <c r="D2784" s="22"/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  <c r="O2784" s="22"/>
      <c r="P2784" s="22"/>
      <c r="Q2784" s="22"/>
      <c r="R2784" s="22"/>
      <c r="S2784" s="22"/>
      <c r="T2784" s="22"/>
      <c r="U2784" s="22"/>
      <c r="V2784" s="22"/>
      <c r="W2784" s="22"/>
      <c r="X2784" s="22"/>
      <c r="Y2784" s="22"/>
      <c r="Z2784" s="22"/>
      <c r="AA2784" s="22"/>
      <c r="AB2784" s="22"/>
      <c r="AC2784" s="22"/>
      <c r="AD2784" s="22"/>
      <c r="AE2784" s="22"/>
      <c r="AF2784" s="22"/>
      <c r="AG2784" s="22"/>
      <c r="AH2784" s="22"/>
      <c r="AI2784" s="22"/>
      <c r="AJ2784" s="22"/>
    </row>
    <row r="2785" spans="1:36" x14ac:dyDescent="0.25">
      <c r="A2785" s="22" t="s">
        <v>5820</v>
      </c>
      <c r="B2785" s="22">
        <v>0</v>
      </c>
      <c r="C2785" s="22"/>
      <c r="D2785" s="22"/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  <c r="O2785" s="22"/>
      <c r="P2785" s="22"/>
      <c r="Q2785" s="22"/>
      <c r="R2785" s="22"/>
      <c r="S2785" s="22"/>
      <c r="T2785" s="22"/>
      <c r="U2785" s="22"/>
      <c r="V2785" s="22"/>
      <c r="W2785" s="22"/>
      <c r="X2785" s="22"/>
      <c r="Y2785" s="22"/>
      <c r="Z2785" s="22"/>
      <c r="AA2785" s="22"/>
      <c r="AB2785" s="22"/>
      <c r="AC2785" s="22"/>
      <c r="AD2785" s="22"/>
      <c r="AE2785" s="22"/>
      <c r="AF2785" s="22"/>
      <c r="AG2785" s="22"/>
      <c r="AH2785" s="22"/>
      <c r="AI2785" s="22"/>
      <c r="AJ2785" s="22"/>
    </row>
    <row r="2786" spans="1:36" x14ac:dyDescent="0.25">
      <c r="A2786" s="22" t="s">
        <v>5821</v>
      </c>
      <c r="B2786" s="22">
        <v>0</v>
      </c>
      <c r="C2786" s="22"/>
      <c r="D2786" s="22"/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  <c r="O2786" s="22"/>
      <c r="P2786" s="22"/>
      <c r="Q2786" s="22"/>
      <c r="R2786" s="22"/>
      <c r="S2786" s="22"/>
      <c r="T2786" s="22"/>
      <c r="U2786" s="22"/>
      <c r="V2786" s="22"/>
      <c r="W2786" s="22"/>
      <c r="X2786" s="22"/>
      <c r="Y2786" s="22"/>
      <c r="Z2786" s="22"/>
      <c r="AA2786" s="22"/>
      <c r="AB2786" s="22"/>
      <c r="AC2786" s="22"/>
      <c r="AD2786" s="22"/>
      <c r="AE2786" s="22"/>
      <c r="AF2786" s="22"/>
      <c r="AG2786" s="22"/>
      <c r="AH2786" s="22"/>
      <c r="AI2786" s="22"/>
      <c r="AJ2786" s="22"/>
    </row>
    <row r="2787" spans="1:36" x14ac:dyDescent="0.25">
      <c r="A2787" s="22" t="s">
        <v>5822</v>
      </c>
      <c r="B2787" s="22">
        <v>0</v>
      </c>
      <c r="C2787" s="22"/>
      <c r="D2787" s="22"/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  <c r="O2787" s="22"/>
      <c r="P2787" s="22"/>
      <c r="Q2787" s="22"/>
      <c r="R2787" s="22"/>
      <c r="S2787" s="22"/>
      <c r="T2787" s="22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22"/>
      <c r="AI2787" s="22"/>
      <c r="AJ2787" s="22"/>
    </row>
    <row r="2788" spans="1:36" x14ac:dyDescent="0.25">
      <c r="A2788" s="22" t="s">
        <v>5823</v>
      </c>
      <c r="B2788" s="22">
        <v>0</v>
      </c>
      <c r="C2788" s="22"/>
      <c r="D2788" s="22"/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  <c r="O2788" s="22"/>
      <c r="P2788" s="22"/>
      <c r="Q2788" s="22"/>
      <c r="R2788" s="22"/>
      <c r="S2788" s="22"/>
      <c r="T2788" s="22"/>
      <c r="U2788" s="22"/>
      <c r="V2788" s="22"/>
      <c r="W2788" s="22"/>
      <c r="X2788" s="22"/>
      <c r="Y2788" s="22"/>
      <c r="Z2788" s="22"/>
      <c r="AA2788" s="22"/>
      <c r="AB2788" s="22"/>
      <c r="AC2788" s="22"/>
      <c r="AD2788" s="22"/>
      <c r="AE2788" s="22"/>
      <c r="AF2788" s="22"/>
      <c r="AG2788" s="22"/>
      <c r="AH2788" s="22"/>
      <c r="AI2788" s="22"/>
      <c r="AJ2788" s="22"/>
    </row>
    <row r="2789" spans="1:36" x14ac:dyDescent="0.25">
      <c r="A2789" s="22" t="s">
        <v>5824</v>
      </c>
      <c r="B2789" s="22">
        <v>0</v>
      </c>
      <c r="C2789" s="22"/>
      <c r="D2789" s="22"/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  <c r="O2789" s="22"/>
      <c r="P2789" s="22"/>
      <c r="Q2789" s="22"/>
      <c r="R2789" s="22"/>
      <c r="S2789" s="22"/>
      <c r="T2789" s="22"/>
      <c r="U2789" s="22"/>
      <c r="V2789" s="22"/>
      <c r="W2789" s="22"/>
      <c r="X2789" s="22"/>
      <c r="Y2789" s="22"/>
      <c r="Z2789" s="22"/>
      <c r="AA2789" s="22"/>
      <c r="AB2789" s="22"/>
      <c r="AC2789" s="22"/>
      <c r="AD2789" s="22"/>
      <c r="AE2789" s="22"/>
      <c r="AF2789" s="22"/>
      <c r="AG2789" s="22"/>
      <c r="AH2789" s="22"/>
      <c r="AI2789" s="22"/>
      <c r="AJ2789" s="22"/>
    </row>
    <row r="2790" spans="1:36" x14ac:dyDescent="0.25">
      <c r="A2790" s="22" t="s">
        <v>4435</v>
      </c>
      <c r="B2790" s="22">
        <v>230</v>
      </c>
      <c r="C2790" s="22"/>
      <c r="D2790" s="22"/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  <c r="O2790" s="22"/>
      <c r="P2790" s="22"/>
      <c r="Q2790" s="22"/>
      <c r="R2790" s="22"/>
      <c r="S2790" s="22"/>
      <c r="T2790" s="22"/>
      <c r="U2790" s="22"/>
      <c r="V2790" s="22"/>
      <c r="W2790" s="22"/>
      <c r="X2790" s="22"/>
      <c r="Y2790" s="22"/>
      <c r="Z2790" s="22"/>
      <c r="AA2790" s="22"/>
      <c r="AB2790" s="22"/>
      <c r="AC2790" s="22"/>
      <c r="AD2790" s="22"/>
      <c r="AE2790" s="22"/>
      <c r="AF2790" s="22"/>
      <c r="AG2790" s="22"/>
      <c r="AH2790" s="22"/>
      <c r="AI2790" s="22"/>
      <c r="AJ2790" s="22"/>
    </row>
    <row r="2791" spans="1:36" x14ac:dyDescent="0.25">
      <c r="A2791" s="22" t="s">
        <v>4436</v>
      </c>
      <c r="B2791" s="22">
        <v>52</v>
      </c>
      <c r="C2791" s="22"/>
      <c r="D2791" s="22"/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  <c r="O2791" s="22"/>
      <c r="P2791" s="22"/>
      <c r="Q2791" s="22"/>
      <c r="R2791" s="22"/>
      <c r="S2791" s="22"/>
      <c r="T2791" s="22"/>
      <c r="U2791" s="22"/>
      <c r="V2791" s="22"/>
      <c r="W2791" s="22"/>
      <c r="X2791" s="22"/>
      <c r="Y2791" s="22"/>
      <c r="Z2791" s="22"/>
      <c r="AA2791" s="22"/>
      <c r="AB2791" s="22"/>
      <c r="AC2791" s="22"/>
      <c r="AD2791" s="22"/>
      <c r="AE2791" s="22"/>
      <c r="AF2791" s="22"/>
      <c r="AG2791" s="22"/>
      <c r="AH2791" s="22"/>
      <c r="AI2791" s="22"/>
      <c r="AJ2791" s="22"/>
    </row>
    <row r="2792" spans="1:36" x14ac:dyDescent="0.25">
      <c r="A2792" s="22" t="s">
        <v>4437</v>
      </c>
      <c r="B2792" s="22">
        <v>0</v>
      </c>
      <c r="C2792" s="22"/>
      <c r="D2792" s="22"/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  <c r="O2792" s="22"/>
      <c r="P2792" s="22"/>
      <c r="Q2792" s="22"/>
      <c r="R2792" s="22"/>
      <c r="S2792" s="22"/>
      <c r="T2792" s="22"/>
      <c r="U2792" s="22"/>
      <c r="V2792" s="22"/>
      <c r="W2792" s="22"/>
      <c r="X2792" s="22"/>
      <c r="Y2792" s="22"/>
      <c r="Z2792" s="22"/>
      <c r="AA2792" s="22"/>
      <c r="AB2792" s="22"/>
      <c r="AC2792" s="22"/>
      <c r="AD2792" s="22"/>
      <c r="AE2792" s="22"/>
      <c r="AF2792" s="22"/>
      <c r="AG2792" s="22"/>
      <c r="AH2792" s="22"/>
      <c r="AI2792" s="22"/>
      <c r="AJ2792" s="22"/>
    </row>
    <row r="2793" spans="1:36" x14ac:dyDescent="0.25">
      <c r="A2793" s="22" t="s">
        <v>4438</v>
      </c>
      <c r="B2793" s="22">
        <v>0</v>
      </c>
      <c r="C2793" s="22"/>
      <c r="D2793" s="22"/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  <c r="O2793" s="22"/>
      <c r="P2793" s="22"/>
      <c r="Q2793" s="22"/>
      <c r="R2793" s="22"/>
      <c r="S2793" s="22"/>
      <c r="T2793" s="22"/>
      <c r="U2793" s="22"/>
      <c r="V2793" s="22"/>
      <c r="W2793" s="22"/>
      <c r="X2793" s="22"/>
      <c r="Y2793" s="22"/>
      <c r="Z2793" s="22"/>
      <c r="AA2793" s="22"/>
      <c r="AB2793" s="22"/>
      <c r="AC2793" s="22"/>
      <c r="AD2793" s="22"/>
      <c r="AE2793" s="22"/>
      <c r="AF2793" s="22"/>
      <c r="AG2793" s="22"/>
      <c r="AH2793" s="22"/>
      <c r="AI2793" s="22"/>
      <c r="AJ2793" s="22"/>
    </row>
    <row r="2794" spans="1:36" x14ac:dyDescent="0.25">
      <c r="A2794" s="22" t="s">
        <v>4439</v>
      </c>
      <c r="B2794" s="22">
        <v>10</v>
      </c>
      <c r="C2794" s="22"/>
      <c r="D2794" s="22"/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  <c r="O2794" s="22"/>
      <c r="P2794" s="22"/>
      <c r="Q2794" s="22"/>
      <c r="R2794" s="22"/>
      <c r="S2794" s="22"/>
      <c r="T2794" s="22"/>
      <c r="U2794" s="22"/>
      <c r="V2794" s="22"/>
      <c r="W2794" s="22"/>
      <c r="X2794" s="22"/>
      <c r="Y2794" s="22"/>
      <c r="Z2794" s="22"/>
      <c r="AA2794" s="22"/>
      <c r="AB2794" s="22"/>
      <c r="AC2794" s="22"/>
      <c r="AD2794" s="22"/>
      <c r="AE2794" s="22"/>
      <c r="AF2794" s="22"/>
      <c r="AG2794" s="22"/>
      <c r="AH2794" s="22"/>
      <c r="AI2794" s="22"/>
      <c r="AJ2794" s="22"/>
    </row>
    <row r="2795" spans="1:36" x14ac:dyDescent="0.25">
      <c r="A2795" s="22" t="s">
        <v>4440</v>
      </c>
      <c r="B2795" s="22">
        <v>0</v>
      </c>
      <c r="C2795" s="22"/>
      <c r="D2795" s="22"/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  <c r="O2795" s="22"/>
      <c r="P2795" s="22"/>
      <c r="Q2795" s="22"/>
      <c r="R2795" s="22"/>
      <c r="S2795" s="22"/>
      <c r="T2795" s="22"/>
      <c r="U2795" s="22"/>
      <c r="V2795" s="22"/>
      <c r="W2795" s="22"/>
      <c r="X2795" s="22"/>
      <c r="Y2795" s="22"/>
      <c r="Z2795" s="22"/>
      <c r="AA2795" s="22"/>
      <c r="AB2795" s="22"/>
      <c r="AC2795" s="22"/>
      <c r="AD2795" s="22"/>
      <c r="AE2795" s="22"/>
      <c r="AF2795" s="22"/>
      <c r="AG2795" s="22"/>
      <c r="AH2795" s="22"/>
      <c r="AI2795" s="22"/>
      <c r="AJ2795" s="22"/>
    </row>
    <row r="2796" spans="1:36" x14ac:dyDescent="0.25">
      <c r="A2796" s="22" t="s">
        <v>4441</v>
      </c>
      <c r="B2796" s="22">
        <v>0</v>
      </c>
      <c r="C2796" s="22"/>
      <c r="D2796" s="22"/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  <c r="O2796" s="22"/>
      <c r="P2796" s="22"/>
      <c r="Q2796" s="22"/>
      <c r="R2796" s="22"/>
      <c r="S2796" s="22"/>
      <c r="T2796" s="22"/>
      <c r="U2796" s="22"/>
      <c r="V2796" s="22"/>
      <c r="W2796" s="22"/>
      <c r="X2796" s="22"/>
      <c r="Y2796" s="22"/>
      <c r="Z2796" s="22"/>
      <c r="AA2796" s="22"/>
      <c r="AB2796" s="22"/>
      <c r="AC2796" s="22"/>
      <c r="AD2796" s="22"/>
      <c r="AE2796" s="22"/>
      <c r="AF2796" s="22"/>
      <c r="AG2796" s="22"/>
      <c r="AH2796" s="22"/>
      <c r="AI2796" s="22"/>
      <c r="AJ2796" s="22"/>
    </row>
    <row r="2797" spans="1:36" x14ac:dyDescent="0.25">
      <c r="A2797" s="22" t="s">
        <v>4442</v>
      </c>
      <c r="B2797" s="22">
        <v>0</v>
      </c>
      <c r="C2797" s="22"/>
      <c r="D2797" s="22"/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  <c r="O2797" s="22"/>
      <c r="P2797" s="22"/>
      <c r="Q2797" s="22"/>
      <c r="R2797" s="22"/>
      <c r="S2797" s="22"/>
      <c r="T2797" s="22"/>
      <c r="U2797" s="22"/>
      <c r="V2797" s="22"/>
      <c r="W2797" s="22"/>
      <c r="X2797" s="22"/>
      <c r="Y2797" s="22"/>
      <c r="Z2797" s="22"/>
      <c r="AA2797" s="22"/>
      <c r="AB2797" s="22"/>
      <c r="AC2797" s="22"/>
      <c r="AD2797" s="22"/>
      <c r="AE2797" s="22"/>
      <c r="AF2797" s="22"/>
      <c r="AG2797" s="22"/>
      <c r="AH2797" s="22"/>
      <c r="AI2797" s="22"/>
      <c r="AJ2797" s="22"/>
    </row>
    <row r="2798" spans="1:36" x14ac:dyDescent="0.25">
      <c r="A2798" s="22" t="s">
        <v>5825</v>
      </c>
      <c r="B2798" s="22">
        <v>55</v>
      </c>
      <c r="C2798" s="22"/>
      <c r="D2798" s="22"/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  <c r="O2798" s="22"/>
      <c r="P2798" s="22"/>
      <c r="Q2798" s="22"/>
      <c r="R2798" s="22"/>
      <c r="S2798" s="22"/>
      <c r="T2798" s="22"/>
      <c r="U2798" s="22"/>
      <c r="V2798" s="22"/>
      <c r="W2798" s="22"/>
      <c r="X2798" s="22"/>
      <c r="Y2798" s="22"/>
      <c r="Z2798" s="22"/>
      <c r="AA2798" s="22"/>
      <c r="AB2798" s="22"/>
      <c r="AC2798" s="22"/>
      <c r="AD2798" s="22"/>
      <c r="AE2798" s="22"/>
      <c r="AF2798" s="22"/>
      <c r="AG2798" s="22"/>
      <c r="AH2798" s="22"/>
      <c r="AI2798" s="22"/>
      <c r="AJ2798" s="22"/>
    </row>
    <row r="2799" spans="1:36" x14ac:dyDescent="0.25">
      <c r="A2799" s="22" t="s">
        <v>5826</v>
      </c>
      <c r="B2799" s="22">
        <v>1</v>
      </c>
      <c r="C2799" s="22"/>
      <c r="D2799" s="22"/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  <c r="O2799" s="22"/>
      <c r="P2799" s="22"/>
      <c r="Q2799" s="22"/>
      <c r="R2799" s="22"/>
      <c r="S2799" s="22"/>
      <c r="T2799" s="22"/>
      <c r="U2799" s="22"/>
      <c r="V2799" s="22"/>
      <c r="W2799" s="22"/>
      <c r="X2799" s="22"/>
      <c r="Y2799" s="22"/>
      <c r="Z2799" s="22"/>
      <c r="AA2799" s="22"/>
      <c r="AB2799" s="22"/>
      <c r="AC2799" s="22"/>
      <c r="AD2799" s="22"/>
      <c r="AE2799" s="22"/>
      <c r="AF2799" s="22"/>
      <c r="AG2799" s="22"/>
      <c r="AH2799" s="22"/>
      <c r="AI2799" s="22"/>
      <c r="AJ2799" s="22"/>
    </row>
    <row r="2800" spans="1:36" x14ac:dyDescent="0.25">
      <c r="A2800" s="22" t="s">
        <v>5827</v>
      </c>
      <c r="B2800" s="22">
        <v>0</v>
      </c>
      <c r="C2800" s="22"/>
      <c r="D2800" s="22"/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  <c r="O2800" s="22"/>
      <c r="P2800" s="22"/>
      <c r="Q2800" s="22"/>
      <c r="R2800" s="22"/>
      <c r="S2800" s="22"/>
      <c r="T2800" s="22"/>
      <c r="U2800" s="22"/>
      <c r="V2800" s="22"/>
      <c r="W2800" s="22"/>
      <c r="X2800" s="22"/>
      <c r="Y2800" s="22"/>
      <c r="Z2800" s="22"/>
      <c r="AA2800" s="22"/>
      <c r="AB2800" s="22"/>
      <c r="AC2800" s="22"/>
      <c r="AD2800" s="22"/>
      <c r="AE2800" s="22"/>
      <c r="AF2800" s="22"/>
      <c r="AG2800" s="22"/>
      <c r="AH2800" s="22"/>
      <c r="AI2800" s="22"/>
      <c r="AJ2800" s="22"/>
    </row>
    <row r="2801" spans="1:36" x14ac:dyDescent="0.25">
      <c r="A2801" s="22" t="s">
        <v>5828</v>
      </c>
      <c r="B2801" s="22">
        <v>0</v>
      </c>
      <c r="C2801" s="22"/>
      <c r="D2801" s="22"/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  <c r="O2801" s="22"/>
      <c r="P2801" s="22"/>
      <c r="Q2801" s="22"/>
      <c r="R2801" s="22"/>
      <c r="S2801" s="22"/>
      <c r="T2801" s="22"/>
      <c r="U2801" s="22"/>
      <c r="V2801" s="22"/>
      <c r="W2801" s="22"/>
      <c r="X2801" s="22"/>
      <c r="Y2801" s="22"/>
      <c r="Z2801" s="22"/>
      <c r="AA2801" s="22"/>
      <c r="AB2801" s="22"/>
      <c r="AC2801" s="22"/>
      <c r="AD2801" s="22"/>
      <c r="AE2801" s="22"/>
      <c r="AF2801" s="22"/>
      <c r="AG2801" s="22"/>
      <c r="AH2801" s="22"/>
      <c r="AI2801" s="22"/>
      <c r="AJ2801" s="22"/>
    </row>
    <row r="2802" spans="1:36" x14ac:dyDescent="0.25">
      <c r="A2802" s="22" t="s">
        <v>5829</v>
      </c>
      <c r="B2802" s="22">
        <v>0</v>
      </c>
      <c r="C2802" s="22"/>
      <c r="D2802" s="22"/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  <c r="O2802" s="22"/>
      <c r="P2802" s="22"/>
      <c r="Q2802" s="22"/>
      <c r="R2802" s="22"/>
      <c r="S2802" s="22"/>
      <c r="T2802" s="22"/>
      <c r="U2802" s="22"/>
      <c r="V2802" s="22"/>
      <c r="W2802" s="22"/>
      <c r="X2802" s="22"/>
      <c r="Y2802" s="22"/>
      <c r="Z2802" s="22"/>
      <c r="AA2802" s="22"/>
      <c r="AB2802" s="22"/>
      <c r="AC2802" s="22"/>
      <c r="AD2802" s="22"/>
      <c r="AE2802" s="22"/>
      <c r="AF2802" s="22"/>
      <c r="AG2802" s="22"/>
      <c r="AH2802" s="22"/>
      <c r="AI2802" s="22"/>
      <c r="AJ2802" s="22"/>
    </row>
    <row r="2803" spans="1:36" x14ac:dyDescent="0.25">
      <c r="A2803" s="22" t="s">
        <v>5830</v>
      </c>
      <c r="B2803" s="22">
        <v>0</v>
      </c>
      <c r="C2803" s="22"/>
      <c r="D2803" s="22"/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  <c r="O2803" s="22"/>
      <c r="P2803" s="22"/>
      <c r="Q2803" s="22"/>
      <c r="R2803" s="22"/>
      <c r="S2803" s="22"/>
      <c r="T2803" s="22"/>
      <c r="U2803" s="22"/>
      <c r="V2803" s="22"/>
      <c r="W2803" s="22"/>
      <c r="X2803" s="22"/>
      <c r="Y2803" s="22"/>
      <c r="Z2803" s="22"/>
      <c r="AA2803" s="22"/>
      <c r="AB2803" s="22"/>
      <c r="AC2803" s="22"/>
      <c r="AD2803" s="22"/>
      <c r="AE2803" s="22"/>
      <c r="AF2803" s="22"/>
      <c r="AG2803" s="22"/>
      <c r="AH2803" s="22"/>
      <c r="AI2803" s="22"/>
      <c r="AJ2803" s="22"/>
    </row>
    <row r="2804" spans="1:36" x14ac:dyDescent="0.25">
      <c r="A2804" s="22" t="s">
        <v>5831</v>
      </c>
      <c r="B2804" s="22">
        <v>0</v>
      </c>
      <c r="C2804" s="22"/>
      <c r="D2804" s="22"/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  <c r="O2804" s="22"/>
      <c r="P2804" s="22"/>
      <c r="Q2804" s="22"/>
      <c r="R2804" s="22"/>
      <c r="S2804" s="22"/>
      <c r="T2804" s="22"/>
      <c r="U2804" s="22"/>
      <c r="V2804" s="22"/>
      <c r="W2804" s="22"/>
      <c r="X2804" s="22"/>
      <c r="Y2804" s="22"/>
      <c r="Z2804" s="22"/>
      <c r="AA2804" s="22"/>
      <c r="AB2804" s="22"/>
      <c r="AC2804" s="22"/>
      <c r="AD2804" s="22"/>
      <c r="AE2804" s="22"/>
      <c r="AF2804" s="22"/>
      <c r="AG2804" s="22"/>
      <c r="AH2804" s="22"/>
      <c r="AI2804" s="22"/>
      <c r="AJ2804" s="22"/>
    </row>
    <row r="2805" spans="1:36" x14ac:dyDescent="0.25">
      <c r="A2805" s="22" t="s">
        <v>5832</v>
      </c>
      <c r="B2805" s="22">
        <v>0</v>
      </c>
      <c r="C2805" s="22"/>
      <c r="D2805" s="22"/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  <c r="O2805" s="22"/>
      <c r="P2805" s="22"/>
      <c r="Q2805" s="22"/>
      <c r="R2805" s="22"/>
      <c r="S2805" s="22"/>
      <c r="T2805" s="22"/>
      <c r="U2805" s="22"/>
      <c r="V2805" s="22"/>
      <c r="W2805" s="22"/>
      <c r="X2805" s="22"/>
      <c r="Y2805" s="22"/>
      <c r="Z2805" s="22"/>
      <c r="AA2805" s="22"/>
      <c r="AB2805" s="22"/>
      <c r="AC2805" s="22"/>
      <c r="AD2805" s="22"/>
      <c r="AE2805" s="22"/>
      <c r="AF2805" s="22"/>
      <c r="AG2805" s="22"/>
      <c r="AH2805" s="22"/>
      <c r="AI2805" s="22"/>
      <c r="AJ2805" s="22"/>
    </row>
    <row r="2806" spans="1:36" x14ac:dyDescent="0.25">
      <c r="A2806" s="22" t="s">
        <v>482</v>
      </c>
      <c r="B2806" s="22">
        <v>0</v>
      </c>
      <c r="C2806" s="22"/>
      <c r="D2806" s="22"/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  <c r="O2806" s="22"/>
      <c r="P2806" s="22"/>
      <c r="Q2806" s="22"/>
      <c r="R2806" s="22"/>
      <c r="S2806" s="22"/>
      <c r="T2806" s="22"/>
      <c r="U2806" s="22"/>
      <c r="V2806" s="22"/>
      <c r="W2806" s="22"/>
      <c r="X2806" s="22"/>
      <c r="Y2806" s="22"/>
      <c r="Z2806" s="22"/>
      <c r="AA2806" s="22"/>
      <c r="AB2806" s="22"/>
      <c r="AC2806" s="22"/>
      <c r="AD2806" s="22"/>
      <c r="AE2806" s="22"/>
      <c r="AF2806" s="22"/>
      <c r="AG2806" s="22"/>
      <c r="AH2806" s="22"/>
      <c r="AI2806" s="22"/>
      <c r="AJ2806" s="22"/>
    </row>
    <row r="2807" spans="1:36" x14ac:dyDescent="0.25">
      <c r="A2807" s="22" t="s">
        <v>3530</v>
      </c>
      <c r="B2807" s="22">
        <v>0</v>
      </c>
      <c r="C2807" s="22"/>
      <c r="D2807" s="22"/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  <c r="O2807" s="22"/>
      <c r="P2807" s="22"/>
      <c r="Q2807" s="22"/>
      <c r="R2807" s="22"/>
      <c r="S2807" s="22"/>
      <c r="T2807" s="22"/>
      <c r="U2807" s="22"/>
      <c r="V2807" s="22"/>
      <c r="W2807" s="22"/>
      <c r="X2807" s="22"/>
      <c r="Y2807" s="22"/>
      <c r="Z2807" s="22"/>
      <c r="AA2807" s="22"/>
      <c r="AB2807" s="22"/>
      <c r="AC2807" s="22"/>
      <c r="AD2807" s="22"/>
      <c r="AE2807" s="22"/>
      <c r="AF2807" s="22"/>
      <c r="AG2807" s="22"/>
      <c r="AH2807" s="22"/>
      <c r="AI2807" s="22"/>
      <c r="AJ2807" s="22"/>
    </row>
    <row r="2808" spans="1:36" x14ac:dyDescent="0.25">
      <c r="A2808" s="22" t="s">
        <v>3531</v>
      </c>
      <c r="B2808" s="22">
        <v>0</v>
      </c>
      <c r="C2808" s="22"/>
      <c r="D2808" s="22"/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  <c r="O2808" s="22"/>
      <c r="P2808" s="22"/>
      <c r="Q2808" s="22"/>
      <c r="R2808" s="22"/>
      <c r="S2808" s="22"/>
      <c r="T2808" s="22"/>
      <c r="U2808" s="22"/>
      <c r="V2808" s="22"/>
      <c r="W2808" s="22"/>
      <c r="X2808" s="22"/>
      <c r="Y2808" s="22"/>
      <c r="Z2808" s="22"/>
      <c r="AA2808" s="22"/>
      <c r="AB2808" s="22"/>
      <c r="AC2808" s="22"/>
      <c r="AD2808" s="22"/>
      <c r="AE2808" s="22"/>
      <c r="AF2808" s="22"/>
      <c r="AG2808" s="22"/>
      <c r="AH2808" s="22"/>
      <c r="AI2808" s="22"/>
      <c r="AJ2808" s="22"/>
    </row>
    <row r="2809" spans="1:36" x14ac:dyDescent="0.25">
      <c r="A2809" s="22" t="s">
        <v>3532</v>
      </c>
      <c r="B2809" s="22">
        <v>0</v>
      </c>
      <c r="C2809" s="22"/>
      <c r="D2809" s="22"/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22"/>
      <c r="AD2809" s="22"/>
      <c r="AE2809" s="22"/>
      <c r="AF2809" s="22"/>
      <c r="AG2809" s="22"/>
      <c r="AH2809" s="22"/>
      <c r="AI2809" s="22"/>
      <c r="AJ2809" s="22"/>
    </row>
    <row r="2810" spans="1:36" x14ac:dyDescent="0.25">
      <c r="A2810" s="22" t="s">
        <v>3533</v>
      </c>
      <c r="B2810" s="22">
        <v>0</v>
      </c>
      <c r="C2810" s="22"/>
      <c r="D2810" s="22"/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  <c r="O2810" s="22"/>
      <c r="P2810" s="22"/>
      <c r="Q2810" s="22"/>
      <c r="R2810" s="22"/>
      <c r="S2810" s="22"/>
      <c r="T2810" s="22"/>
      <c r="U2810" s="22"/>
      <c r="V2810" s="22"/>
      <c r="W2810" s="22"/>
      <c r="X2810" s="22"/>
      <c r="Y2810" s="22"/>
      <c r="Z2810" s="22"/>
      <c r="AA2810" s="22"/>
      <c r="AB2810" s="22"/>
      <c r="AC2810" s="22"/>
      <c r="AD2810" s="22"/>
      <c r="AE2810" s="22"/>
      <c r="AF2810" s="22"/>
      <c r="AG2810" s="22"/>
      <c r="AH2810" s="22"/>
      <c r="AI2810" s="22"/>
      <c r="AJ2810" s="22"/>
    </row>
    <row r="2811" spans="1:36" x14ac:dyDescent="0.25">
      <c r="A2811" s="22" t="s">
        <v>3534</v>
      </c>
      <c r="B2811" s="22">
        <v>0</v>
      </c>
      <c r="C2811" s="22"/>
      <c r="D2811" s="22"/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  <c r="O2811" s="22"/>
      <c r="P2811" s="22"/>
      <c r="Q2811" s="22"/>
      <c r="R2811" s="22"/>
      <c r="S2811" s="22"/>
      <c r="T2811" s="22"/>
      <c r="U2811" s="22"/>
      <c r="V2811" s="22"/>
      <c r="W2811" s="22"/>
      <c r="X2811" s="22"/>
      <c r="Y2811" s="22"/>
      <c r="Z2811" s="22"/>
      <c r="AA2811" s="22"/>
      <c r="AB2811" s="22"/>
      <c r="AC2811" s="22"/>
      <c r="AD2811" s="22"/>
      <c r="AE2811" s="22"/>
      <c r="AF2811" s="22"/>
      <c r="AG2811" s="22"/>
      <c r="AH2811" s="22"/>
      <c r="AI2811" s="22"/>
      <c r="AJ2811" s="22"/>
    </row>
    <row r="2812" spans="1:36" x14ac:dyDescent="0.25">
      <c r="A2812" s="22" t="s">
        <v>3535</v>
      </c>
      <c r="B2812" s="22">
        <v>0</v>
      </c>
      <c r="C2812" s="22"/>
      <c r="D2812" s="22"/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  <c r="O2812" s="22"/>
      <c r="P2812" s="22"/>
      <c r="Q2812" s="22"/>
      <c r="R2812" s="22"/>
      <c r="S2812" s="22"/>
      <c r="T2812" s="22"/>
      <c r="U2812" s="22"/>
      <c r="V2812" s="22"/>
      <c r="W2812" s="22"/>
      <c r="X2812" s="22"/>
      <c r="Y2812" s="22"/>
      <c r="Z2812" s="22"/>
      <c r="AA2812" s="22"/>
      <c r="AB2812" s="22"/>
      <c r="AC2812" s="22"/>
      <c r="AD2812" s="22"/>
      <c r="AE2812" s="22"/>
      <c r="AF2812" s="22"/>
      <c r="AG2812" s="22"/>
      <c r="AH2812" s="22"/>
      <c r="AI2812" s="22"/>
      <c r="AJ2812" s="22"/>
    </row>
    <row r="2813" spans="1:36" x14ac:dyDescent="0.25">
      <c r="A2813" s="22" t="s">
        <v>3536</v>
      </c>
      <c r="B2813" s="22">
        <v>0</v>
      </c>
      <c r="C2813" s="22"/>
      <c r="D2813" s="22"/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  <c r="O2813" s="22"/>
      <c r="P2813" s="22"/>
      <c r="Q2813" s="22"/>
      <c r="R2813" s="22"/>
      <c r="S2813" s="22"/>
      <c r="T2813" s="22"/>
      <c r="U2813" s="22"/>
      <c r="V2813" s="22"/>
      <c r="W2813" s="22"/>
      <c r="X2813" s="22"/>
      <c r="Y2813" s="22"/>
      <c r="Z2813" s="22"/>
      <c r="AA2813" s="22"/>
      <c r="AB2813" s="22"/>
      <c r="AC2813" s="22"/>
      <c r="AD2813" s="22"/>
      <c r="AE2813" s="22"/>
      <c r="AF2813" s="22"/>
      <c r="AG2813" s="22"/>
      <c r="AH2813" s="22"/>
      <c r="AI2813" s="22"/>
      <c r="AJ2813" s="22"/>
    </row>
    <row r="2814" spans="1:36" x14ac:dyDescent="0.25">
      <c r="A2814" s="22" t="s">
        <v>484</v>
      </c>
      <c r="B2814" s="22">
        <v>28</v>
      </c>
      <c r="C2814" s="22"/>
      <c r="D2814" s="22"/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  <c r="O2814" s="22"/>
      <c r="P2814" s="22"/>
      <c r="Q2814" s="22"/>
      <c r="R2814" s="22"/>
      <c r="S2814" s="22"/>
      <c r="T2814" s="22"/>
      <c r="U2814" s="22"/>
      <c r="V2814" s="22"/>
      <c r="W2814" s="22"/>
      <c r="X2814" s="22"/>
      <c r="Y2814" s="22"/>
      <c r="Z2814" s="22"/>
      <c r="AA2814" s="22"/>
      <c r="AB2814" s="22"/>
      <c r="AC2814" s="22"/>
      <c r="AD2814" s="22"/>
      <c r="AE2814" s="22"/>
      <c r="AF2814" s="22"/>
      <c r="AG2814" s="22"/>
      <c r="AH2814" s="22"/>
      <c r="AI2814" s="22"/>
      <c r="AJ2814" s="22"/>
    </row>
    <row r="2815" spans="1:36" x14ac:dyDescent="0.25">
      <c r="A2815" s="22" t="s">
        <v>4443</v>
      </c>
      <c r="B2815" s="22">
        <v>0</v>
      </c>
      <c r="C2815" s="22"/>
      <c r="D2815" s="22"/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  <c r="O2815" s="22"/>
      <c r="P2815" s="22"/>
      <c r="Q2815" s="22"/>
      <c r="R2815" s="22"/>
      <c r="S2815" s="22"/>
      <c r="T2815" s="22"/>
      <c r="U2815" s="22"/>
      <c r="V2815" s="22"/>
      <c r="W2815" s="22"/>
      <c r="X2815" s="22"/>
      <c r="Y2815" s="22"/>
      <c r="Z2815" s="22"/>
      <c r="AA2815" s="22"/>
      <c r="AB2815" s="22"/>
      <c r="AC2815" s="22"/>
      <c r="AD2815" s="22"/>
      <c r="AE2815" s="22"/>
      <c r="AF2815" s="22"/>
      <c r="AG2815" s="22"/>
      <c r="AH2815" s="22"/>
      <c r="AI2815" s="22"/>
      <c r="AJ2815" s="22"/>
    </row>
    <row r="2816" spans="1:36" x14ac:dyDescent="0.25">
      <c r="A2816" s="22" t="s">
        <v>4444</v>
      </c>
      <c r="B2816" s="22">
        <v>0</v>
      </c>
      <c r="C2816" s="22"/>
      <c r="D2816" s="22"/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  <c r="O2816" s="22"/>
      <c r="P2816" s="22"/>
      <c r="Q2816" s="22"/>
      <c r="R2816" s="22"/>
      <c r="S2816" s="22"/>
      <c r="T2816" s="22"/>
      <c r="U2816" s="22"/>
      <c r="V2816" s="22"/>
      <c r="W2816" s="22"/>
      <c r="X2816" s="22"/>
      <c r="Y2816" s="22"/>
      <c r="Z2816" s="22"/>
      <c r="AA2816" s="22"/>
      <c r="AB2816" s="22"/>
      <c r="AC2816" s="22"/>
      <c r="AD2816" s="22"/>
      <c r="AE2816" s="22"/>
      <c r="AF2816" s="22"/>
      <c r="AG2816" s="22"/>
      <c r="AH2816" s="22"/>
      <c r="AI2816" s="22"/>
      <c r="AJ2816" s="22"/>
    </row>
    <row r="2817" spans="1:36" x14ac:dyDescent="0.25">
      <c r="A2817" s="22" t="s">
        <v>4445</v>
      </c>
      <c r="B2817" s="22">
        <v>0</v>
      </c>
      <c r="C2817" s="22"/>
      <c r="D2817" s="22"/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  <c r="O2817" s="22"/>
      <c r="P2817" s="22"/>
      <c r="Q2817" s="22"/>
      <c r="R2817" s="22"/>
      <c r="S2817" s="22"/>
      <c r="T2817" s="22"/>
      <c r="U2817" s="22"/>
      <c r="V2817" s="22"/>
      <c r="W2817" s="22"/>
      <c r="X2817" s="22"/>
      <c r="Y2817" s="22"/>
      <c r="Z2817" s="22"/>
      <c r="AA2817" s="22"/>
      <c r="AB2817" s="22"/>
      <c r="AC2817" s="22"/>
      <c r="AD2817" s="22"/>
      <c r="AE2817" s="22"/>
      <c r="AF2817" s="22"/>
      <c r="AG2817" s="22"/>
      <c r="AH2817" s="22"/>
      <c r="AI2817" s="22"/>
      <c r="AJ2817" s="22"/>
    </row>
    <row r="2818" spans="1:36" x14ac:dyDescent="0.25">
      <c r="A2818" s="22" t="s">
        <v>4446</v>
      </c>
      <c r="B2818" s="22">
        <v>207</v>
      </c>
      <c r="C2818" s="22"/>
      <c r="D2818" s="22"/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  <c r="O2818" s="22"/>
      <c r="P2818" s="22"/>
      <c r="Q2818" s="22"/>
      <c r="R2818" s="22"/>
      <c r="S2818" s="22"/>
      <c r="T2818" s="22"/>
      <c r="U2818" s="22"/>
      <c r="V2818" s="22"/>
      <c r="W2818" s="22"/>
      <c r="X2818" s="22"/>
      <c r="Y2818" s="22"/>
      <c r="Z2818" s="22"/>
      <c r="AA2818" s="22"/>
      <c r="AB2818" s="22"/>
      <c r="AC2818" s="22"/>
      <c r="AD2818" s="22"/>
      <c r="AE2818" s="22"/>
      <c r="AF2818" s="22"/>
      <c r="AG2818" s="22"/>
      <c r="AH2818" s="22"/>
      <c r="AI2818" s="22"/>
      <c r="AJ2818" s="22"/>
    </row>
    <row r="2819" spans="1:36" x14ac:dyDescent="0.25">
      <c r="A2819" s="22" t="s">
        <v>4447</v>
      </c>
      <c r="B2819" s="22">
        <v>0</v>
      </c>
      <c r="C2819" s="22"/>
      <c r="D2819" s="22"/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  <c r="O2819" s="22"/>
      <c r="P2819" s="22"/>
      <c r="Q2819" s="22"/>
      <c r="R2819" s="22"/>
      <c r="S2819" s="22"/>
      <c r="T2819" s="22"/>
      <c r="U2819" s="22"/>
      <c r="V2819" s="22"/>
      <c r="W2819" s="22"/>
      <c r="X2819" s="22"/>
      <c r="Y2819" s="22"/>
      <c r="Z2819" s="22"/>
      <c r="AA2819" s="22"/>
      <c r="AB2819" s="22"/>
      <c r="AC2819" s="22"/>
      <c r="AD2819" s="22"/>
      <c r="AE2819" s="22"/>
      <c r="AF2819" s="22"/>
      <c r="AG2819" s="22"/>
      <c r="AH2819" s="22"/>
      <c r="AI2819" s="22"/>
      <c r="AJ2819" s="22"/>
    </row>
    <row r="2820" spans="1:36" x14ac:dyDescent="0.25">
      <c r="A2820" s="22" t="s">
        <v>4448</v>
      </c>
      <c r="B2820" s="22">
        <v>0</v>
      </c>
      <c r="C2820" s="22"/>
      <c r="D2820" s="22"/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  <c r="O2820" s="22"/>
      <c r="P2820" s="22"/>
      <c r="Q2820" s="22"/>
      <c r="R2820" s="22"/>
      <c r="S2820" s="22"/>
      <c r="T2820" s="22"/>
      <c r="U2820" s="22"/>
      <c r="V2820" s="22"/>
      <c r="W2820" s="22"/>
      <c r="X2820" s="22"/>
      <c r="Y2820" s="22"/>
      <c r="Z2820" s="22"/>
      <c r="AA2820" s="22"/>
      <c r="AB2820" s="22"/>
      <c r="AC2820" s="22"/>
      <c r="AD2820" s="22"/>
      <c r="AE2820" s="22"/>
      <c r="AF2820" s="22"/>
      <c r="AG2820" s="22"/>
      <c r="AH2820" s="22"/>
      <c r="AI2820" s="22"/>
      <c r="AJ2820" s="22"/>
    </row>
    <row r="2821" spans="1:36" x14ac:dyDescent="0.25">
      <c r="A2821" s="22" t="s">
        <v>4449</v>
      </c>
      <c r="B2821" s="22">
        <v>0</v>
      </c>
      <c r="C2821" s="22"/>
      <c r="D2821" s="22"/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  <c r="O2821" s="22"/>
      <c r="P2821" s="22"/>
      <c r="Q2821" s="22"/>
      <c r="R2821" s="22"/>
      <c r="S2821" s="22"/>
      <c r="T2821" s="22"/>
      <c r="U2821" s="22"/>
      <c r="V2821" s="22"/>
      <c r="W2821" s="22"/>
      <c r="X2821" s="22"/>
      <c r="Y2821" s="22"/>
      <c r="Z2821" s="22"/>
      <c r="AA2821" s="22"/>
      <c r="AB2821" s="22"/>
      <c r="AC2821" s="22"/>
      <c r="AD2821" s="22"/>
      <c r="AE2821" s="22"/>
      <c r="AF2821" s="22"/>
      <c r="AG2821" s="22"/>
      <c r="AH2821" s="22"/>
      <c r="AI2821" s="22"/>
      <c r="AJ2821" s="22"/>
    </row>
    <row r="2822" spans="1:36" x14ac:dyDescent="0.25">
      <c r="A2822" s="22" t="s">
        <v>485</v>
      </c>
      <c r="B2822" s="22">
        <v>6</v>
      </c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  <c r="O2822" s="22"/>
      <c r="P2822" s="22"/>
      <c r="Q2822" s="22"/>
      <c r="R2822" s="22"/>
      <c r="S2822" s="22"/>
      <c r="T2822" s="22"/>
      <c r="U2822" s="22"/>
      <c r="V2822" s="22"/>
      <c r="W2822" s="22"/>
      <c r="X2822" s="22"/>
      <c r="Y2822" s="22"/>
      <c r="Z2822" s="22"/>
      <c r="AA2822" s="22"/>
      <c r="AB2822" s="22"/>
      <c r="AC2822" s="22"/>
      <c r="AD2822" s="22"/>
      <c r="AE2822" s="22"/>
      <c r="AF2822" s="22"/>
      <c r="AG2822" s="22"/>
      <c r="AH2822" s="22"/>
      <c r="AI2822" s="22"/>
      <c r="AJ2822" s="22"/>
    </row>
    <row r="2823" spans="1:36" x14ac:dyDescent="0.25">
      <c r="A2823" s="22" t="s">
        <v>3537</v>
      </c>
      <c r="B2823" s="22">
        <v>0</v>
      </c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  <c r="O2823" s="22"/>
      <c r="P2823" s="22"/>
      <c r="Q2823" s="22"/>
      <c r="R2823" s="22"/>
      <c r="S2823" s="22"/>
      <c r="T2823" s="22"/>
      <c r="U2823" s="22"/>
      <c r="V2823" s="22"/>
      <c r="W2823" s="22"/>
      <c r="X2823" s="22"/>
      <c r="Y2823" s="22"/>
      <c r="Z2823" s="22"/>
      <c r="AA2823" s="22"/>
      <c r="AB2823" s="22"/>
      <c r="AC2823" s="22"/>
      <c r="AD2823" s="22"/>
      <c r="AE2823" s="22"/>
      <c r="AF2823" s="22"/>
      <c r="AG2823" s="22"/>
      <c r="AH2823" s="22"/>
      <c r="AI2823" s="22"/>
      <c r="AJ2823" s="22"/>
    </row>
    <row r="2824" spans="1:36" x14ac:dyDescent="0.25">
      <c r="A2824" s="22" t="s">
        <v>3538</v>
      </c>
      <c r="B2824" s="22">
        <v>0</v>
      </c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  <c r="O2824" s="22"/>
      <c r="P2824" s="22"/>
      <c r="Q2824" s="22"/>
      <c r="R2824" s="22"/>
      <c r="S2824" s="22"/>
      <c r="T2824" s="22"/>
      <c r="U2824" s="22"/>
      <c r="V2824" s="22"/>
      <c r="W2824" s="22"/>
      <c r="X2824" s="22"/>
      <c r="Y2824" s="22"/>
      <c r="Z2824" s="22"/>
      <c r="AA2824" s="22"/>
      <c r="AB2824" s="22"/>
      <c r="AC2824" s="22"/>
      <c r="AD2824" s="22"/>
      <c r="AE2824" s="22"/>
      <c r="AF2824" s="22"/>
      <c r="AG2824" s="22"/>
      <c r="AH2824" s="22"/>
      <c r="AI2824" s="22"/>
      <c r="AJ2824" s="22"/>
    </row>
    <row r="2825" spans="1:36" x14ac:dyDescent="0.25">
      <c r="A2825" s="22" t="s">
        <v>3539</v>
      </c>
      <c r="B2825" s="22">
        <v>0</v>
      </c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  <c r="O2825" s="22"/>
      <c r="P2825" s="22"/>
      <c r="Q2825" s="22"/>
      <c r="R2825" s="22"/>
      <c r="S2825" s="22"/>
      <c r="T2825" s="22"/>
      <c r="U2825" s="22"/>
      <c r="V2825" s="22"/>
      <c r="W2825" s="22"/>
      <c r="X2825" s="22"/>
      <c r="Y2825" s="22"/>
      <c r="Z2825" s="22"/>
      <c r="AA2825" s="22"/>
      <c r="AB2825" s="22"/>
      <c r="AC2825" s="22"/>
      <c r="AD2825" s="22"/>
      <c r="AE2825" s="22"/>
      <c r="AF2825" s="22"/>
      <c r="AG2825" s="22"/>
      <c r="AH2825" s="22"/>
      <c r="AI2825" s="22"/>
      <c r="AJ2825" s="22"/>
    </row>
    <row r="2826" spans="1:36" x14ac:dyDescent="0.25">
      <c r="A2826" s="22" t="s">
        <v>3540</v>
      </c>
      <c r="B2826" s="22">
        <v>168</v>
      </c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  <c r="O2826" s="22"/>
      <c r="P2826" s="22"/>
      <c r="Q2826" s="22"/>
      <c r="R2826" s="22"/>
      <c r="S2826" s="22"/>
      <c r="T2826" s="22"/>
      <c r="U2826" s="22"/>
      <c r="V2826" s="22"/>
      <c r="W2826" s="22"/>
      <c r="X2826" s="22"/>
      <c r="Y2826" s="22"/>
      <c r="Z2826" s="22"/>
      <c r="AA2826" s="22"/>
      <c r="AB2826" s="22"/>
      <c r="AC2826" s="22"/>
      <c r="AD2826" s="22"/>
      <c r="AE2826" s="22"/>
      <c r="AF2826" s="22"/>
      <c r="AG2826" s="22"/>
      <c r="AH2826" s="22"/>
      <c r="AI2826" s="22"/>
      <c r="AJ2826" s="22"/>
    </row>
    <row r="2827" spans="1:36" x14ac:dyDescent="0.25">
      <c r="A2827" s="22" t="s">
        <v>3541</v>
      </c>
      <c r="B2827" s="22">
        <v>0</v>
      </c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  <c r="O2827" s="22"/>
      <c r="P2827" s="22"/>
      <c r="Q2827" s="22"/>
      <c r="R2827" s="22"/>
      <c r="S2827" s="22"/>
      <c r="T2827" s="22"/>
      <c r="U2827" s="22"/>
      <c r="V2827" s="22"/>
      <c r="W2827" s="22"/>
      <c r="X2827" s="22"/>
      <c r="Y2827" s="22"/>
      <c r="Z2827" s="22"/>
      <c r="AA2827" s="22"/>
      <c r="AB2827" s="22"/>
      <c r="AC2827" s="22"/>
      <c r="AD2827" s="22"/>
      <c r="AE2827" s="22"/>
      <c r="AF2827" s="22"/>
      <c r="AG2827" s="22"/>
      <c r="AH2827" s="22"/>
      <c r="AI2827" s="22"/>
      <c r="AJ2827" s="22"/>
    </row>
    <row r="2828" spans="1:36" x14ac:dyDescent="0.25">
      <c r="A2828" s="22" t="s">
        <v>3542</v>
      </c>
      <c r="B2828" s="22">
        <v>0</v>
      </c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  <c r="O2828" s="22"/>
      <c r="P2828" s="22"/>
      <c r="Q2828" s="22"/>
      <c r="R2828" s="22"/>
      <c r="S2828" s="22"/>
      <c r="T2828" s="22"/>
      <c r="U2828" s="22"/>
      <c r="V2828" s="22"/>
      <c r="W2828" s="22"/>
      <c r="X2828" s="22"/>
      <c r="Y2828" s="22"/>
      <c r="Z2828" s="22"/>
      <c r="AA2828" s="22"/>
      <c r="AB2828" s="22"/>
      <c r="AC2828" s="22"/>
      <c r="AD2828" s="22"/>
      <c r="AE2828" s="22"/>
      <c r="AF2828" s="22"/>
      <c r="AG2828" s="22"/>
      <c r="AH2828" s="22"/>
      <c r="AI2828" s="22"/>
      <c r="AJ2828" s="22"/>
    </row>
    <row r="2829" spans="1:36" x14ac:dyDescent="0.25">
      <c r="A2829" s="22" t="s">
        <v>3543</v>
      </c>
      <c r="B2829" s="22">
        <v>0</v>
      </c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  <c r="O2829" s="22"/>
      <c r="P2829" s="22"/>
      <c r="Q2829" s="22"/>
      <c r="R2829" s="22"/>
      <c r="S2829" s="22"/>
      <c r="T2829" s="22"/>
      <c r="U2829" s="22"/>
      <c r="V2829" s="22"/>
      <c r="W2829" s="22"/>
      <c r="X2829" s="22"/>
      <c r="Y2829" s="22"/>
      <c r="Z2829" s="22"/>
      <c r="AA2829" s="22"/>
      <c r="AB2829" s="22"/>
      <c r="AC2829" s="22"/>
      <c r="AD2829" s="22"/>
      <c r="AE2829" s="22"/>
      <c r="AF2829" s="22"/>
      <c r="AG2829" s="22"/>
      <c r="AH2829" s="22"/>
      <c r="AI2829" s="22"/>
      <c r="AJ2829" s="22"/>
    </row>
    <row r="2830" spans="1:36" x14ac:dyDescent="0.25">
      <c r="A2830" s="22" t="s">
        <v>487</v>
      </c>
      <c r="B2830" s="22">
        <v>145</v>
      </c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  <c r="O2830" s="22"/>
      <c r="P2830" s="22"/>
      <c r="Q2830" s="22"/>
      <c r="R2830" s="22"/>
      <c r="S2830" s="22"/>
      <c r="T2830" s="22"/>
      <c r="U2830" s="22"/>
      <c r="V2830" s="22"/>
      <c r="W2830" s="22"/>
      <c r="X2830" s="22"/>
      <c r="Y2830" s="22"/>
      <c r="Z2830" s="22"/>
      <c r="AA2830" s="22"/>
      <c r="AB2830" s="22"/>
      <c r="AC2830" s="22"/>
      <c r="AD2830" s="22"/>
      <c r="AE2830" s="22"/>
      <c r="AF2830" s="22"/>
      <c r="AG2830" s="22"/>
      <c r="AH2830" s="22"/>
      <c r="AI2830" s="22"/>
      <c r="AJ2830" s="22"/>
    </row>
    <row r="2831" spans="1:36" x14ac:dyDescent="0.25">
      <c r="A2831" s="22" t="s">
        <v>3544</v>
      </c>
      <c r="B2831" s="22">
        <v>0</v>
      </c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  <c r="O2831" s="22"/>
      <c r="P2831" s="22"/>
      <c r="Q2831" s="22"/>
      <c r="R2831" s="22"/>
      <c r="S2831" s="22"/>
      <c r="T2831" s="22"/>
      <c r="U2831" s="22"/>
      <c r="V2831" s="22"/>
      <c r="W2831" s="22"/>
      <c r="X2831" s="22"/>
      <c r="Y2831" s="22"/>
      <c r="Z2831" s="22"/>
      <c r="AA2831" s="22"/>
      <c r="AB2831" s="22"/>
      <c r="AC2831" s="22"/>
      <c r="AD2831" s="22"/>
      <c r="AE2831" s="22"/>
      <c r="AF2831" s="22"/>
      <c r="AG2831" s="22"/>
      <c r="AH2831" s="22"/>
      <c r="AI2831" s="22"/>
      <c r="AJ2831" s="22"/>
    </row>
    <row r="2832" spans="1:36" x14ac:dyDescent="0.25">
      <c r="A2832" s="22" t="s">
        <v>3545</v>
      </c>
      <c r="B2832" s="22">
        <v>0</v>
      </c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  <c r="O2832" s="22"/>
      <c r="P2832" s="22"/>
      <c r="Q2832" s="22"/>
      <c r="R2832" s="22"/>
      <c r="S2832" s="22"/>
      <c r="T2832" s="22"/>
      <c r="U2832" s="22"/>
      <c r="V2832" s="22"/>
      <c r="W2832" s="22"/>
      <c r="X2832" s="22"/>
      <c r="Y2832" s="22"/>
      <c r="Z2832" s="22"/>
      <c r="AA2832" s="22"/>
      <c r="AB2832" s="22"/>
      <c r="AC2832" s="22"/>
      <c r="AD2832" s="22"/>
      <c r="AE2832" s="22"/>
      <c r="AF2832" s="22"/>
      <c r="AG2832" s="22"/>
      <c r="AH2832" s="22"/>
      <c r="AI2832" s="22"/>
      <c r="AJ2832" s="22"/>
    </row>
    <row r="2833" spans="1:36" x14ac:dyDescent="0.25">
      <c r="A2833" s="22" t="s">
        <v>3546</v>
      </c>
      <c r="B2833" s="22">
        <v>0</v>
      </c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  <c r="O2833" s="22"/>
      <c r="P2833" s="22"/>
      <c r="Q2833" s="22"/>
      <c r="R2833" s="22"/>
      <c r="S2833" s="22"/>
      <c r="T2833" s="22"/>
      <c r="U2833" s="22"/>
      <c r="V2833" s="22"/>
      <c r="W2833" s="22"/>
      <c r="X2833" s="22"/>
      <c r="Y2833" s="22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</row>
    <row r="2834" spans="1:36" x14ac:dyDescent="0.25">
      <c r="A2834" s="22" t="s">
        <v>3547</v>
      </c>
      <c r="B2834" s="22">
        <v>1325</v>
      </c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  <c r="O2834" s="22"/>
      <c r="P2834" s="22"/>
      <c r="Q2834" s="22"/>
      <c r="R2834" s="22"/>
      <c r="S2834" s="22"/>
      <c r="T2834" s="22"/>
      <c r="U2834" s="22"/>
      <c r="V2834" s="22"/>
      <c r="W2834" s="22"/>
      <c r="X2834" s="22"/>
      <c r="Y2834" s="22"/>
      <c r="Z2834" s="22"/>
      <c r="AA2834" s="22"/>
      <c r="AB2834" s="22"/>
      <c r="AC2834" s="22"/>
      <c r="AD2834" s="22"/>
      <c r="AE2834" s="22"/>
      <c r="AF2834" s="22"/>
      <c r="AG2834" s="22"/>
      <c r="AH2834" s="22"/>
      <c r="AI2834" s="22"/>
      <c r="AJ2834" s="22"/>
    </row>
    <row r="2835" spans="1:36" x14ac:dyDescent="0.25">
      <c r="A2835" s="22" t="s">
        <v>3548</v>
      </c>
      <c r="B2835" s="22">
        <v>0</v>
      </c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  <c r="O2835" s="22"/>
      <c r="P2835" s="22"/>
      <c r="Q2835" s="22"/>
      <c r="R2835" s="22"/>
      <c r="S2835" s="22"/>
      <c r="T2835" s="22"/>
      <c r="U2835" s="22"/>
      <c r="V2835" s="22"/>
      <c r="W2835" s="22"/>
      <c r="X2835" s="22"/>
      <c r="Y2835" s="22"/>
      <c r="Z2835" s="22"/>
      <c r="AA2835" s="22"/>
      <c r="AB2835" s="22"/>
      <c r="AC2835" s="22"/>
      <c r="AD2835" s="22"/>
      <c r="AE2835" s="22"/>
      <c r="AF2835" s="22"/>
      <c r="AG2835" s="22"/>
      <c r="AH2835" s="22"/>
      <c r="AI2835" s="22"/>
      <c r="AJ2835" s="22"/>
    </row>
    <row r="2836" spans="1:36" x14ac:dyDescent="0.25">
      <c r="A2836" s="22" t="s">
        <v>3549</v>
      </c>
      <c r="B2836" s="22">
        <v>0</v>
      </c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  <c r="O2836" s="22"/>
      <c r="P2836" s="22"/>
      <c r="Q2836" s="22"/>
      <c r="R2836" s="22"/>
      <c r="S2836" s="22"/>
      <c r="T2836" s="22"/>
      <c r="U2836" s="22"/>
      <c r="V2836" s="22"/>
      <c r="W2836" s="22"/>
      <c r="X2836" s="22"/>
      <c r="Y2836" s="22"/>
      <c r="Z2836" s="22"/>
      <c r="AA2836" s="22"/>
      <c r="AB2836" s="22"/>
      <c r="AC2836" s="22"/>
      <c r="AD2836" s="22"/>
      <c r="AE2836" s="22"/>
      <c r="AF2836" s="22"/>
      <c r="AG2836" s="22"/>
      <c r="AH2836" s="22"/>
      <c r="AI2836" s="22"/>
      <c r="AJ2836" s="22"/>
    </row>
    <row r="2837" spans="1:36" x14ac:dyDescent="0.25">
      <c r="A2837" s="22" t="s">
        <v>3550</v>
      </c>
      <c r="B2837" s="22">
        <v>0</v>
      </c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  <c r="O2837" s="22"/>
      <c r="P2837" s="22"/>
      <c r="Q2837" s="22"/>
      <c r="R2837" s="22"/>
      <c r="S2837" s="22"/>
      <c r="T2837" s="22"/>
      <c r="U2837" s="22"/>
      <c r="V2837" s="22"/>
      <c r="W2837" s="22"/>
      <c r="X2837" s="22"/>
      <c r="Y2837" s="22"/>
      <c r="Z2837" s="22"/>
      <c r="AA2837" s="22"/>
      <c r="AB2837" s="22"/>
      <c r="AC2837" s="22"/>
      <c r="AD2837" s="22"/>
      <c r="AE2837" s="22"/>
      <c r="AF2837" s="22"/>
      <c r="AG2837" s="22"/>
      <c r="AH2837" s="22"/>
      <c r="AI2837" s="22"/>
      <c r="AJ2837" s="22"/>
    </row>
    <row r="2838" spans="1:36" x14ac:dyDescent="0.25">
      <c r="A2838" s="22" t="s">
        <v>507</v>
      </c>
      <c r="B2838" s="22">
        <v>167</v>
      </c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  <c r="O2838" s="22"/>
      <c r="P2838" s="22"/>
      <c r="Q2838" s="22"/>
      <c r="R2838" s="22"/>
      <c r="S2838" s="22"/>
      <c r="T2838" s="22"/>
      <c r="U2838" s="22"/>
      <c r="V2838" s="22"/>
      <c r="W2838" s="22"/>
      <c r="X2838" s="22"/>
      <c r="Y2838" s="22"/>
      <c r="Z2838" s="22"/>
      <c r="AA2838" s="22"/>
      <c r="AB2838" s="22"/>
      <c r="AC2838" s="22"/>
      <c r="AD2838" s="22"/>
      <c r="AE2838" s="22"/>
      <c r="AF2838" s="22"/>
      <c r="AG2838" s="22"/>
      <c r="AH2838" s="22"/>
      <c r="AI2838" s="22"/>
      <c r="AJ2838" s="22"/>
    </row>
    <row r="2839" spans="1:36" x14ac:dyDescent="0.25">
      <c r="A2839" s="22" t="s">
        <v>3551</v>
      </c>
      <c r="B2839" s="22">
        <v>0</v>
      </c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  <c r="O2839" s="22"/>
      <c r="P2839" s="22"/>
      <c r="Q2839" s="22"/>
      <c r="R2839" s="22"/>
      <c r="S2839" s="22"/>
      <c r="T2839" s="22"/>
      <c r="U2839" s="22"/>
      <c r="V2839" s="22"/>
      <c r="W2839" s="22"/>
      <c r="X2839" s="22"/>
      <c r="Y2839" s="22"/>
      <c r="Z2839" s="22"/>
      <c r="AA2839" s="22"/>
      <c r="AB2839" s="22"/>
      <c r="AC2839" s="22"/>
      <c r="AD2839" s="22"/>
      <c r="AE2839" s="22"/>
      <c r="AF2839" s="22"/>
      <c r="AG2839" s="22"/>
      <c r="AH2839" s="22"/>
      <c r="AI2839" s="22"/>
      <c r="AJ2839" s="22"/>
    </row>
    <row r="2840" spans="1:36" x14ac:dyDescent="0.25">
      <c r="A2840" s="22" t="s">
        <v>3552</v>
      </c>
      <c r="B2840" s="22">
        <v>0</v>
      </c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  <c r="O2840" s="22"/>
      <c r="P2840" s="22"/>
      <c r="Q2840" s="22"/>
      <c r="R2840" s="22"/>
      <c r="S2840" s="22"/>
      <c r="T2840" s="22"/>
      <c r="U2840" s="22"/>
      <c r="V2840" s="22"/>
      <c r="W2840" s="22"/>
      <c r="X2840" s="22"/>
      <c r="Y2840" s="22"/>
      <c r="Z2840" s="22"/>
      <c r="AA2840" s="22"/>
      <c r="AB2840" s="22"/>
      <c r="AC2840" s="22"/>
      <c r="AD2840" s="22"/>
      <c r="AE2840" s="22"/>
      <c r="AF2840" s="22"/>
      <c r="AG2840" s="22"/>
      <c r="AH2840" s="22"/>
      <c r="AI2840" s="22"/>
      <c r="AJ2840" s="22"/>
    </row>
    <row r="2841" spans="1:36" x14ac:dyDescent="0.25">
      <c r="A2841" s="22" t="s">
        <v>3553</v>
      </c>
      <c r="B2841" s="22">
        <v>0</v>
      </c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  <c r="O2841" s="22"/>
      <c r="P2841" s="22"/>
      <c r="Q2841" s="22"/>
      <c r="R2841" s="22"/>
      <c r="S2841" s="22"/>
      <c r="T2841" s="22"/>
      <c r="U2841" s="22"/>
      <c r="V2841" s="22"/>
      <c r="W2841" s="22"/>
      <c r="X2841" s="22"/>
      <c r="Y2841" s="22"/>
      <c r="Z2841" s="22"/>
      <c r="AA2841" s="22"/>
      <c r="AB2841" s="22"/>
      <c r="AC2841" s="22"/>
      <c r="AD2841" s="22"/>
      <c r="AE2841" s="22"/>
      <c r="AF2841" s="22"/>
      <c r="AG2841" s="22"/>
      <c r="AH2841" s="22"/>
      <c r="AI2841" s="22"/>
      <c r="AJ2841" s="22"/>
    </row>
    <row r="2842" spans="1:36" x14ac:dyDescent="0.25">
      <c r="A2842" s="22" t="s">
        <v>3554</v>
      </c>
      <c r="B2842" s="22">
        <v>997</v>
      </c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  <c r="O2842" s="22"/>
      <c r="P2842" s="22"/>
      <c r="Q2842" s="22"/>
      <c r="R2842" s="22"/>
      <c r="S2842" s="22"/>
      <c r="T2842" s="22"/>
      <c r="U2842" s="22"/>
      <c r="V2842" s="22"/>
      <c r="W2842" s="22"/>
      <c r="X2842" s="22"/>
      <c r="Y2842" s="22"/>
      <c r="Z2842" s="22"/>
      <c r="AA2842" s="22"/>
      <c r="AB2842" s="22"/>
      <c r="AC2842" s="22"/>
      <c r="AD2842" s="22"/>
      <c r="AE2842" s="22"/>
      <c r="AF2842" s="22"/>
      <c r="AG2842" s="22"/>
      <c r="AH2842" s="22"/>
      <c r="AI2842" s="22"/>
      <c r="AJ2842" s="22"/>
    </row>
    <row r="2843" spans="1:36" x14ac:dyDescent="0.25">
      <c r="A2843" s="22" t="s">
        <v>3555</v>
      </c>
      <c r="B2843" s="22">
        <v>0</v>
      </c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  <c r="O2843" s="22"/>
      <c r="P2843" s="22"/>
      <c r="Q2843" s="22"/>
      <c r="R2843" s="22"/>
      <c r="S2843" s="22"/>
      <c r="T2843" s="22"/>
      <c r="U2843" s="22"/>
      <c r="V2843" s="22"/>
      <c r="W2843" s="22"/>
      <c r="X2843" s="22"/>
      <c r="Y2843" s="22"/>
      <c r="Z2843" s="22"/>
      <c r="AA2843" s="22"/>
      <c r="AB2843" s="22"/>
      <c r="AC2843" s="22"/>
      <c r="AD2843" s="22"/>
      <c r="AE2843" s="22"/>
      <c r="AF2843" s="22"/>
      <c r="AG2843" s="22"/>
      <c r="AH2843" s="22"/>
      <c r="AI2843" s="22"/>
      <c r="AJ2843" s="22"/>
    </row>
    <row r="2844" spans="1:36" x14ac:dyDescent="0.25">
      <c r="A2844" s="22" t="s">
        <v>3556</v>
      </c>
      <c r="B2844" s="22">
        <v>0</v>
      </c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  <c r="O2844" s="22"/>
      <c r="P2844" s="22"/>
      <c r="Q2844" s="22"/>
      <c r="R2844" s="22"/>
      <c r="S2844" s="22"/>
      <c r="T2844" s="22"/>
      <c r="U2844" s="22"/>
      <c r="V2844" s="22"/>
      <c r="W2844" s="22"/>
      <c r="X2844" s="22"/>
      <c r="Y2844" s="22"/>
      <c r="Z2844" s="22"/>
      <c r="AA2844" s="22"/>
      <c r="AB2844" s="22"/>
      <c r="AC2844" s="22"/>
      <c r="AD2844" s="22"/>
      <c r="AE2844" s="22"/>
      <c r="AF2844" s="22"/>
      <c r="AG2844" s="22"/>
      <c r="AH2844" s="22"/>
      <c r="AI2844" s="22"/>
      <c r="AJ2844" s="22"/>
    </row>
    <row r="2845" spans="1:36" x14ac:dyDescent="0.25">
      <c r="A2845" s="22" t="s">
        <v>3557</v>
      </c>
      <c r="B2845" s="22">
        <v>0</v>
      </c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  <c r="O2845" s="22"/>
      <c r="P2845" s="22"/>
      <c r="Q2845" s="22"/>
      <c r="R2845" s="22"/>
      <c r="S2845" s="22"/>
      <c r="T2845" s="22"/>
      <c r="U2845" s="22"/>
      <c r="V2845" s="22"/>
      <c r="W2845" s="22"/>
      <c r="X2845" s="22"/>
      <c r="Y2845" s="22"/>
      <c r="Z2845" s="22"/>
      <c r="AA2845" s="22"/>
      <c r="AB2845" s="22"/>
      <c r="AC2845" s="22"/>
      <c r="AD2845" s="22"/>
      <c r="AE2845" s="22"/>
      <c r="AF2845" s="22"/>
      <c r="AG2845" s="22"/>
      <c r="AH2845" s="22"/>
      <c r="AI2845" s="22"/>
      <c r="AJ2845" s="22"/>
    </row>
    <row r="2846" spans="1:36" x14ac:dyDescent="0.25">
      <c r="A2846" s="22" t="s">
        <v>511</v>
      </c>
      <c r="B2846" s="22">
        <v>94</v>
      </c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  <c r="O2846" s="22"/>
      <c r="P2846" s="22"/>
      <c r="Q2846" s="22"/>
      <c r="R2846" s="22"/>
      <c r="S2846" s="22"/>
      <c r="T2846" s="22"/>
      <c r="U2846" s="22"/>
      <c r="V2846" s="22"/>
      <c r="W2846" s="22"/>
      <c r="X2846" s="22"/>
      <c r="Y2846" s="22"/>
      <c r="Z2846" s="22"/>
      <c r="AA2846" s="22"/>
      <c r="AB2846" s="22"/>
      <c r="AC2846" s="22"/>
      <c r="AD2846" s="22"/>
      <c r="AE2846" s="22"/>
      <c r="AF2846" s="22"/>
      <c r="AG2846" s="22"/>
      <c r="AH2846" s="22"/>
      <c r="AI2846" s="22"/>
      <c r="AJ2846" s="22"/>
    </row>
    <row r="2847" spans="1:36" x14ac:dyDescent="0.25">
      <c r="A2847" s="22" t="s">
        <v>3558</v>
      </c>
      <c r="B2847" s="22">
        <v>0</v>
      </c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  <c r="O2847" s="22"/>
      <c r="P2847" s="22"/>
      <c r="Q2847" s="22"/>
      <c r="R2847" s="22"/>
      <c r="S2847" s="22"/>
      <c r="T2847" s="22"/>
      <c r="U2847" s="22"/>
      <c r="V2847" s="22"/>
      <c r="W2847" s="22"/>
      <c r="X2847" s="22"/>
      <c r="Y2847" s="22"/>
      <c r="Z2847" s="22"/>
      <c r="AA2847" s="22"/>
      <c r="AB2847" s="22"/>
      <c r="AC2847" s="22"/>
      <c r="AD2847" s="22"/>
      <c r="AE2847" s="22"/>
      <c r="AF2847" s="22"/>
      <c r="AG2847" s="22"/>
      <c r="AH2847" s="22"/>
      <c r="AI2847" s="22"/>
      <c r="AJ2847" s="22"/>
    </row>
    <row r="2848" spans="1:36" x14ac:dyDescent="0.25">
      <c r="A2848" s="22" t="s">
        <v>3559</v>
      </c>
      <c r="B2848" s="22">
        <v>0</v>
      </c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  <c r="O2848" s="22"/>
      <c r="P2848" s="22"/>
      <c r="Q2848" s="22"/>
      <c r="R2848" s="22"/>
      <c r="S2848" s="22"/>
      <c r="T2848" s="22"/>
      <c r="U2848" s="22"/>
      <c r="V2848" s="22"/>
      <c r="W2848" s="22"/>
      <c r="X2848" s="22"/>
      <c r="Y2848" s="22"/>
      <c r="Z2848" s="22"/>
      <c r="AA2848" s="22"/>
      <c r="AB2848" s="22"/>
      <c r="AC2848" s="22"/>
      <c r="AD2848" s="22"/>
      <c r="AE2848" s="22"/>
      <c r="AF2848" s="22"/>
      <c r="AG2848" s="22"/>
      <c r="AH2848" s="22"/>
      <c r="AI2848" s="22"/>
      <c r="AJ2848" s="22"/>
    </row>
    <row r="2849" spans="1:36" x14ac:dyDescent="0.25">
      <c r="A2849" s="22" t="s">
        <v>3560</v>
      </c>
      <c r="B2849" s="22">
        <v>0</v>
      </c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  <c r="O2849" s="22"/>
      <c r="P2849" s="22"/>
      <c r="Q2849" s="22"/>
      <c r="R2849" s="22"/>
      <c r="S2849" s="22"/>
      <c r="T2849" s="22"/>
      <c r="U2849" s="22"/>
      <c r="V2849" s="22"/>
      <c r="W2849" s="22"/>
      <c r="X2849" s="22"/>
      <c r="Y2849" s="22"/>
      <c r="Z2849" s="22"/>
      <c r="AA2849" s="22"/>
      <c r="AB2849" s="22"/>
      <c r="AC2849" s="22"/>
      <c r="AD2849" s="22"/>
      <c r="AE2849" s="22"/>
      <c r="AF2849" s="22"/>
      <c r="AG2849" s="22"/>
      <c r="AH2849" s="22"/>
      <c r="AI2849" s="22"/>
      <c r="AJ2849" s="22"/>
    </row>
    <row r="2850" spans="1:36" x14ac:dyDescent="0.25">
      <c r="A2850" s="22" t="s">
        <v>3561</v>
      </c>
      <c r="B2850" s="22">
        <v>848</v>
      </c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  <c r="O2850" s="22"/>
      <c r="P2850" s="22"/>
      <c r="Q2850" s="22"/>
      <c r="R2850" s="22"/>
      <c r="S2850" s="22"/>
      <c r="T2850" s="22"/>
      <c r="U2850" s="22"/>
      <c r="V2850" s="22"/>
      <c r="W2850" s="22"/>
      <c r="X2850" s="22"/>
      <c r="Y2850" s="22"/>
      <c r="Z2850" s="22"/>
      <c r="AA2850" s="22"/>
      <c r="AB2850" s="22"/>
      <c r="AC2850" s="22"/>
      <c r="AD2850" s="22"/>
      <c r="AE2850" s="22"/>
      <c r="AF2850" s="22"/>
      <c r="AG2850" s="22"/>
      <c r="AH2850" s="22"/>
      <c r="AI2850" s="22"/>
      <c r="AJ2850" s="22"/>
    </row>
    <row r="2851" spans="1:36" x14ac:dyDescent="0.25">
      <c r="A2851" s="22" t="s">
        <v>3562</v>
      </c>
      <c r="B2851" s="22">
        <v>0</v>
      </c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  <c r="O2851" s="22"/>
      <c r="P2851" s="22"/>
      <c r="Q2851" s="22"/>
      <c r="R2851" s="22"/>
      <c r="S2851" s="22"/>
      <c r="T2851" s="22"/>
      <c r="U2851" s="22"/>
      <c r="V2851" s="22"/>
      <c r="W2851" s="22"/>
      <c r="X2851" s="22"/>
      <c r="Y2851" s="22"/>
      <c r="Z2851" s="22"/>
      <c r="AA2851" s="22"/>
      <c r="AB2851" s="22"/>
      <c r="AC2851" s="22"/>
      <c r="AD2851" s="22"/>
      <c r="AE2851" s="22"/>
      <c r="AF2851" s="22"/>
      <c r="AG2851" s="22"/>
      <c r="AH2851" s="22"/>
      <c r="AI2851" s="22"/>
      <c r="AJ2851" s="22"/>
    </row>
    <row r="2852" spans="1:36" x14ac:dyDescent="0.25">
      <c r="A2852" s="22" t="s">
        <v>3563</v>
      </c>
      <c r="B2852" s="22">
        <v>0</v>
      </c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  <c r="O2852" s="22"/>
      <c r="P2852" s="22"/>
      <c r="Q2852" s="22"/>
      <c r="R2852" s="22"/>
      <c r="S2852" s="22"/>
      <c r="T2852" s="22"/>
      <c r="U2852" s="22"/>
      <c r="V2852" s="22"/>
      <c r="W2852" s="22"/>
      <c r="X2852" s="22"/>
      <c r="Y2852" s="22"/>
      <c r="Z2852" s="22"/>
      <c r="AA2852" s="22"/>
      <c r="AB2852" s="22"/>
      <c r="AC2852" s="22"/>
      <c r="AD2852" s="22"/>
      <c r="AE2852" s="22"/>
      <c r="AF2852" s="22"/>
      <c r="AG2852" s="22"/>
      <c r="AH2852" s="22"/>
      <c r="AI2852" s="22"/>
      <c r="AJ2852" s="22"/>
    </row>
    <row r="2853" spans="1:36" x14ac:dyDescent="0.25">
      <c r="A2853" s="22" t="s">
        <v>3564</v>
      </c>
      <c r="B2853" s="22">
        <v>0</v>
      </c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  <c r="O2853" s="22"/>
      <c r="P2853" s="22"/>
      <c r="Q2853" s="22"/>
      <c r="R2853" s="22"/>
      <c r="S2853" s="22"/>
      <c r="T2853" s="22"/>
      <c r="U2853" s="22"/>
      <c r="V2853" s="22"/>
      <c r="W2853" s="22"/>
      <c r="X2853" s="22"/>
      <c r="Y2853" s="22"/>
      <c r="Z2853" s="22"/>
      <c r="AA2853" s="22"/>
      <c r="AB2853" s="22"/>
      <c r="AC2853" s="22"/>
      <c r="AD2853" s="22"/>
      <c r="AE2853" s="22"/>
      <c r="AF2853" s="22"/>
      <c r="AG2853" s="22"/>
      <c r="AH2853" s="22"/>
      <c r="AI2853" s="22"/>
      <c r="AJ2853" s="22"/>
    </row>
    <row r="2854" spans="1:36" x14ac:dyDescent="0.25">
      <c r="A2854" s="22" t="s">
        <v>512</v>
      </c>
      <c r="B2854" s="22">
        <v>0</v>
      </c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  <c r="O2854" s="22"/>
      <c r="P2854" s="22"/>
      <c r="Q2854" s="22"/>
      <c r="R2854" s="22"/>
      <c r="S2854" s="22"/>
      <c r="T2854" s="22"/>
      <c r="U2854" s="22"/>
      <c r="V2854" s="22"/>
      <c r="W2854" s="22"/>
      <c r="X2854" s="22"/>
      <c r="Y2854" s="22"/>
      <c r="Z2854" s="22"/>
      <c r="AA2854" s="22"/>
      <c r="AB2854" s="22"/>
      <c r="AC2854" s="22"/>
      <c r="AD2854" s="22"/>
      <c r="AE2854" s="22"/>
      <c r="AF2854" s="22"/>
      <c r="AG2854" s="22"/>
      <c r="AH2854" s="22"/>
      <c r="AI2854" s="22"/>
      <c r="AJ2854" s="22"/>
    </row>
    <row r="2855" spans="1:36" x14ac:dyDescent="0.25">
      <c r="A2855" s="22" t="s">
        <v>3565</v>
      </c>
      <c r="B2855" s="22">
        <v>0</v>
      </c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  <c r="O2855" s="22"/>
      <c r="P2855" s="22"/>
      <c r="Q2855" s="22"/>
      <c r="R2855" s="22"/>
      <c r="S2855" s="22"/>
      <c r="T2855" s="22"/>
      <c r="U2855" s="22"/>
      <c r="V2855" s="22"/>
      <c r="W2855" s="22"/>
      <c r="X2855" s="22"/>
      <c r="Y2855" s="22"/>
      <c r="Z2855" s="22"/>
      <c r="AA2855" s="22"/>
      <c r="AB2855" s="22"/>
      <c r="AC2855" s="22"/>
      <c r="AD2855" s="22"/>
      <c r="AE2855" s="22"/>
      <c r="AF2855" s="22"/>
      <c r="AG2855" s="22"/>
      <c r="AH2855" s="22"/>
      <c r="AI2855" s="22"/>
      <c r="AJ2855" s="22"/>
    </row>
    <row r="2856" spans="1:36" x14ac:dyDescent="0.25">
      <c r="A2856" s="22" t="s">
        <v>3566</v>
      </c>
      <c r="B2856" s="22">
        <v>0</v>
      </c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  <c r="O2856" s="22"/>
      <c r="P2856" s="22"/>
      <c r="Q2856" s="22"/>
      <c r="R2856" s="22"/>
      <c r="S2856" s="22"/>
      <c r="T2856" s="22"/>
      <c r="U2856" s="22"/>
      <c r="V2856" s="22"/>
      <c r="W2856" s="22"/>
      <c r="X2856" s="22"/>
      <c r="Y2856" s="22"/>
      <c r="Z2856" s="22"/>
      <c r="AA2856" s="22"/>
      <c r="AB2856" s="22"/>
      <c r="AC2856" s="22"/>
      <c r="AD2856" s="22"/>
      <c r="AE2856" s="22"/>
      <c r="AF2856" s="22"/>
      <c r="AG2856" s="22"/>
      <c r="AH2856" s="22"/>
      <c r="AI2856" s="22"/>
      <c r="AJ2856" s="22"/>
    </row>
    <row r="2857" spans="1:36" x14ac:dyDescent="0.25">
      <c r="A2857" s="22" t="s">
        <v>3567</v>
      </c>
      <c r="B2857" s="22">
        <v>0</v>
      </c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  <c r="O2857" s="22"/>
      <c r="P2857" s="22"/>
      <c r="Q2857" s="22"/>
      <c r="R2857" s="22"/>
      <c r="S2857" s="22"/>
      <c r="T2857" s="22"/>
      <c r="U2857" s="22"/>
      <c r="V2857" s="22"/>
      <c r="W2857" s="22"/>
      <c r="X2857" s="22"/>
      <c r="Y2857" s="22"/>
      <c r="Z2857" s="22"/>
      <c r="AA2857" s="22"/>
      <c r="AB2857" s="22"/>
      <c r="AC2857" s="22"/>
      <c r="AD2857" s="22"/>
      <c r="AE2857" s="22"/>
      <c r="AF2857" s="22"/>
      <c r="AG2857" s="22"/>
      <c r="AH2857" s="22"/>
      <c r="AI2857" s="22"/>
      <c r="AJ2857" s="22"/>
    </row>
    <row r="2858" spans="1:36" x14ac:dyDescent="0.25">
      <c r="A2858" s="22" t="s">
        <v>3568</v>
      </c>
      <c r="B2858" s="22">
        <v>0</v>
      </c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  <c r="O2858" s="22"/>
      <c r="P2858" s="22"/>
      <c r="Q2858" s="22"/>
      <c r="R2858" s="22"/>
      <c r="S2858" s="22"/>
      <c r="T2858" s="22"/>
      <c r="U2858" s="22"/>
      <c r="V2858" s="22"/>
      <c r="W2858" s="22"/>
      <c r="X2858" s="22"/>
      <c r="Y2858" s="22"/>
      <c r="Z2858" s="22"/>
      <c r="AA2858" s="22"/>
      <c r="AB2858" s="22"/>
      <c r="AC2858" s="22"/>
      <c r="AD2858" s="22"/>
      <c r="AE2858" s="22"/>
      <c r="AF2858" s="22"/>
      <c r="AG2858" s="22"/>
      <c r="AH2858" s="22"/>
      <c r="AI2858" s="22"/>
      <c r="AJ2858" s="22"/>
    </row>
    <row r="2859" spans="1:36" x14ac:dyDescent="0.25">
      <c r="A2859" s="22" t="s">
        <v>3569</v>
      </c>
      <c r="B2859" s="22">
        <v>0</v>
      </c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  <c r="O2859" s="22"/>
      <c r="P2859" s="22"/>
      <c r="Q2859" s="22"/>
      <c r="R2859" s="22"/>
      <c r="S2859" s="22"/>
      <c r="T2859" s="22"/>
      <c r="U2859" s="22"/>
      <c r="V2859" s="22"/>
      <c r="W2859" s="22"/>
      <c r="X2859" s="22"/>
      <c r="Y2859" s="22"/>
      <c r="Z2859" s="22"/>
      <c r="AA2859" s="22"/>
      <c r="AB2859" s="22"/>
      <c r="AC2859" s="22"/>
      <c r="AD2859" s="22"/>
      <c r="AE2859" s="22"/>
      <c r="AF2859" s="22"/>
      <c r="AG2859" s="22"/>
      <c r="AH2859" s="22"/>
      <c r="AI2859" s="22"/>
      <c r="AJ2859" s="22"/>
    </row>
    <row r="2860" spans="1:36" x14ac:dyDescent="0.25">
      <c r="A2860" s="22" t="s">
        <v>3570</v>
      </c>
      <c r="B2860" s="22">
        <v>0</v>
      </c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  <c r="O2860" s="22"/>
      <c r="P2860" s="22"/>
      <c r="Q2860" s="22"/>
      <c r="R2860" s="22"/>
      <c r="S2860" s="22"/>
      <c r="T2860" s="22"/>
      <c r="U2860" s="22"/>
      <c r="V2860" s="22"/>
      <c r="W2860" s="22"/>
      <c r="X2860" s="22"/>
      <c r="Y2860" s="22"/>
      <c r="Z2860" s="22"/>
      <c r="AA2860" s="22"/>
      <c r="AB2860" s="22"/>
      <c r="AC2860" s="22"/>
      <c r="AD2860" s="22"/>
      <c r="AE2860" s="22"/>
      <c r="AF2860" s="22"/>
      <c r="AG2860" s="22"/>
      <c r="AH2860" s="22"/>
      <c r="AI2860" s="22"/>
      <c r="AJ2860" s="22"/>
    </row>
    <row r="2861" spans="1:36" x14ac:dyDescent="0.25">
      <c r="A2861" s="22" t="s">
        <v>3571</v>
      </c>
      <c r="B2861" s="22">
        <v>0</v>
      </c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  <c r="O2861" s="22"/>
      <c r="P2861" s="22"/>
      <c r="Q2861" s="22"/>
      <c r="R2861" s="22"/>
      <c r="S2861" s="22"/>
      <c r="T2861" s="22"/>
      <c r="U2861" s="22"/>
      <c r="V2861" s="22"/>
      <c r="W2861" s="22"/>
      <c r="X2861" s="22"/>
      <c r="Y2861" s="22"/>
      <c r="Z2861" s="22"/>
      <c r="AA2861" s="22"/>
      <c r="AB2861" s="22"/>
      <c r="AC2861" s="22"/>
      <c r="AD2861" s="22"/>
      <c r="AE2861" s="22"/>
      <c r="AF2861" s="22"/>
      <c r="AG2861" s="22"/>
      <c r="AH2861" s="22"/>
      <c r="AI2861" s="22"/>
      <c r="AJ2861" s="22"/>
    </row>
    <row r="2862" spans="1:36" x14ac:dyDescent="0.25">
      <c r="A2862" s="22" t="s">
        <v>518</v>
      </c>
      <c r="B2862" s="22">
        <v>4521</v>
      </c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  <c r="O2862" s="22"/>
      <c r="P2862" s="22"/>
      <c r="Q2862" s="22"/>
      <c r="R2862" s="22"/>
      <c r="S2862" s="22"/>
      <c r="T2862" s="22"/>
      <c r="U2862" s="22"/>
      <c r="V2862" s="22"/>
      <c r="W2862" s="22"/>
      <c r="X2862" s="22"/>
      <c r="Y2862" s="22"/>
      <c r="Z2862" s="22"/>
      <c r="AA2862" s="22"/>
      <c r="AB2862" s="22"/>
      <c r="AC2862" s="22"/>
      <c r="AD2862" s="22"/>
      <c r="AE2862" s="22"/>
      <c r="AF2862" s="22"/>
      <c r="AG2862" s="22"/>
      <c r="AH2862" s="22"/>
      <c r="AI2862" s="22"/>
      <c r="AJ2862" s="22"/>
    </row>
    <row r="2863" spans="1:36" x14ac:dyDescent="0.25">
      <c r="A2863" s="22" t="s">
        <v>3572</v>
      </c>
      <c r="B2863" s="22">
        <v>0</v>
      </c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  <c r="O2863" s="22"/>
      <c r="P2863" s="22"/>
      <c r="Q2863" s="22"/>
      <c r="R2863" s="22"/>
      <c r="S2863" s="22"/>
      <c r="T2863" s="22"/>
      <c r="U2863" s="22"/>
      <c r="V2863" s="22"/>
      <c r="W2863" s="22"/>
      <c r="X2863" s="22"/>
      <c r="Y2863" s="22"/>
      <c r="Z2863" s="22"/>
      <c r="AA2863" s="22"/>
      <c r="AB2863" s="22"/>
      <c r="AC2863" s="22"/>
      <c r="AD2863" s="22"/>
      <c r="AE2863" s="22"/>
      <c r="AF2863" s="22"/>
      <c r="AG2863" s="22"/>
      <c r="AH2863" s="22"/>
      <c r="AI2863" s="22"/>
      <c r="AJ2863" s="22"/>
    </row>
    <row r="2864" spans="1:36" x14ac:dyDescent="0.25">
      <c r="A2864" s="22" t="s">
        <v>3573</v>
      </c>
      <c r="B2864" s="22">
        <v>0</v>
      </c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  <c r="O2864" s="22"/>
      <c r="P2864" s="22"/>
      <c r="Q2864" s="22"/>
      <c r="R2864" s="22"/>
      <c r="S2864" s="22"/>
      <c r="T2864" s="22"/>
      <c r="U2864" s="22"/>
      <c r="V2864" s="22"/>
      <c r="W2864" s="22"/>
      <c r="X2864" s="22"/>
      <c r="Y2864" s="22"/>
      <c r="Z2864" s="22"/>
      <c r="AA2864" s="22"/>
      <c r="AB2864" s="22"/>
      <c r="AC2864" s="22"/>
      <c r="AD2864" s="22"/>
      <c r="AE2864" s="22"/>
      <c r="AF2864" s="22"/>
      <c r="AG2864" s="22"/>
      <c r="AH2864" s="22"/>
      <c r="AI2864" s="22"/>
      <c r="AJ2864" s="22"/>
    </row>
    <row r="2865" spans="1:36" x14ac:dyDescent="0.25">
      <c r="A2865" s="22" t="s">
        <v>3574</v>
      </c>
      <c r="B2865" s="22">
        <v>0</v>
      </c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  <c r="O2865" s="22"/>
      <c r="P2865" s="22"/>
      <c r="Q2865" s="22"/>
      <c r="R2865" s="22"/>
      <c r="S2865" s="22"/>
      <c r="T2865" s="22"/>
      <c r="U2865" s="22"/>
      <c r="V2865" s="22"/>
      <c r="W2865" s="22"/>
      <c r="X2865" s="22"/>
      <c r="Y2865" s="22"/>
      <c r="Z2865" s="22"/>
      <c r="AA2865" s="22"/>
      <c r="AB2865" s="22"/>
      <c r="AC2865" s="22"/>
      <c r="AD2865" s="22"/>
      <c r="AE2865" s="22"/>
      <c r="AF2865" s="22"/>
      <c r="AG2865" s="22"/>
      <c r="AH2865" s="22"/>
      <c r="AI2865" s="22"/>
      <c r="AJ2865" s="22"/>
    </row>
    <row r="2866" spans="1:36" x14ac:dyDescent="0.25">
      <c r="A2866" s="22" t="s">
        <v>3575</v>
      </c>
      <c r="B2866" s="22">
        <v>17</v>
      </c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  <c r="O2866" s="22"/>
      <c r="P2866" s="22"/>
      <c r="Q2866" s="22"/>
      <c r="R2866" s="22"/>
      <c r="S2866" s="22"/>
      <c r="T2866" s="22"/>
      <c r="U2866" s="22"/>
      <c r="V2866" s="22"/>
      <c r="W2866" s="22"/>
      <c r="X2866" s="22"/>
      <c r="Y2866" s="22"/>
      <c r="Z2866" s="22"/>
      <c r="AA2866" s="22"/>
      <c r="AB2866" s="22"/>
      <c r="AC2866" s="22"/>
      <c r="AD2866" s="22"/>
      <c r="AE2866" s="22"/>
      <c r="AF2866" s="22"/>
      <c r="AG2866" s="22"/>
      <c r="AH2866" s="22"/>
      <c r="AI2866" s="22"/>
      <c r="AJ2866" s="22"/>
    </row>
    <row r="2867" spans="1:36" x14ac:dyDescent="0.25">
      <c r="A2867" s="22" t="s">
        <v>3576</v>
      </c>
      <c r="B2867" s="22">
        <v>0</v>
      </c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  <c r="O2867" s="22"/>
      <c r="P2867" s="22"/>
      <c r="Q2867" s="22"/>
      <c r="R2867" s="22"/>
      <c r="S2867" s="22"/>
      <c r="T2867" s="22"/>
      <c r="U2867" s="22"/>
      <c r="V2867" s="22"/>
      <c r="W2867" s="22"/>
      <c r="X2867" s="22"/>
      <c r="Y2867" s="22"/>
      <c r="Z2867" s="22"/>
      <c r="AA2867" s="22"/>
      <c r="AB2867" s="22"/>
      <c r="AC2867" s="22"/>
      <c r="AD2867" s="22"/>
      <c r="AE2867" s="22"/>
      <c r="AF2867" s="22"/>
      <c r="AG2867" s="22"/>
      <c r="AH2867" s="22"/>
      <c r="AI2867" s="22"/>
      <c r="AJ2867" s="22"/>
    </row>
    <row r="2868" spans="1:36" x14ac:dyDescent="0.25">
      <c r="A2868" s="22" t="s">
        <v>3577</v>
      </c>
      <c r="B2868" s="22">
        <v>0</v>
      </c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  <c r="O2868" s="22"/>
      <c r="P2868" s="22"/>
      <c r="Q2868" s="22"/>
      <c r="R2868" s="22"/>
      <c r="S2868" s="22"/>
      <c r="T2868" s="22"/>
      <c r="U2868" s="22"/>
      <c r="V2868" s="22"/>
      <c r="W2868" s="22"/>
      <c r="X2868" s="22"/>
      <c r="Y2868" s="22"/>
      <c r="Z2868" s="22"/>
      <c r="AA2868" s="22"/>
      <c r="AB2868" s="22"/>
      <c r="AC2868" s="22"/>
      <c r="AD2868" s="22"/>
      <c r="AE2868" s="22"/>
      <c r="AF2868" s="22"/>
      <c r="AG2868" s="22"/>
      <c r="AH2868" s="22"/>
      <c r="AI2868" s="22"/>
      <c r="AJ2868" s="22"/>
    </row>
    <row r="2869" spans="1:36" x14ac:dyDescent="0.25">
      <c r="A2869" s="22" t="s">
        <v>3578</v>
      </c>
      <c r="B2869" s="22">
        <v>0</v>
      </c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  <c r="O2869" s="22"/>
      <c r="P2869" s="22"/>
      <c r="Q2869" s="22"/>
      <c r="R2869" s="22"/>
      <c r="S2869" s="22"/>
      <c r="T2869" s="22"/>
      <c r="U2869" s="22"/>
      <c r="V2869" s="22"/>
      <c r="W2869" s="22"/>
      <c r="X2869" s="22"/>
      <c r="Y2869" s="22"/>
      <c r="Z2869" s="22"/>
      <c r="AA2869" s="22"/>
      <c r="AB2869" s="22"/>
      <c r="AC2869" s="22"/>
      <c r="AD2869" s="22"/>
      <c r="AE2869" s="22"/>
      <c r="AF2869" s="22"/>
      <c r="AG2869" s="22"/>
      <c r="AH2869" s="22"/>
      <c r="AI2869" s="22"/>
      <c r="AJ2869" s="22"/>
    </row>
    <row r="2870" spans="1:36" x14ac:dyDescent="0.25">
      <c r="A2870" s="22" t="s">
        <v>521</v>
      </c>
      <c r="B2870" s="22">
        <v>2530</v>
      </c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  <c r="O2870" s="22"/>
      <c r="P2870" s="22"/>
      <c r="Q2870" s="22"/>
      <c r="R2870" s="22"/>
      <c r="S2870" s="22"/>
      <c r="T2870" s="22"/>
      <c r="U2870" s="22"/>
      <c r="V2870" s="22"/>
      <c r="W2870" s="22"/>
      <c r="X2870" s="22"/>
      <c r="Y2870" s="22"/>
      <c r="Z2870" s="22"/>
      <c r="AA2870" s="22"/>
      <c r="AB2870" s="22"/>
      <c r="AC2870" s="22"/>
      <c r="AD2870" s="22"/>
      <c r="AE2870" s="22"/>
      <c r="AF2870" s="22"/>
      <c r="AG2870" s="22"/>
      <c r="AH2870" s="22"/>
      <c r="AI2870" s="22"/>
      <c r="AJ2870" s="22"/>
    </row>
    <row r="2871" spans="1:36" x14ac:dyDescent="0.25">
      <c r="A2871" s="22" t="s">
        <v>3579</v>
      </c>
      <c r="B2871" s="22">
        <v>117</v>
      </c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  <c r="O2871" s="22"/>
      <c r="P2871" s="22"/>
      <c r="Q2871" s="22"/>
      <c r="R2871" s="22"/>
      <c r="S2871" s="22"/>
      <c r="T2871" s="22"/>
      <c r="U2871" s="22"/>
      <c r="V2871" s="22"/>
      <c r="W2871" s="22"/>
      <c r="X2871" s="22"/>
      <c r="Y2871" s="22"/>
      <c r="Z2871" s="22"/>
      <c r="AA2871" s="22"/>
      <c r="AB2871" s="22"/>
      <c r="AC2871" s="22"/>
      <c r="AD2871" s="22"/>
      <c r="AE2871" s="22"/>
      <c r="AF2871" s="22"/>
      <c r="AG2871" s="22"/>
      <c r="AH2871" s="22"/>
      <c r="AI2871" s="22"/>
      <c r="AJ2871" s="22"/>
    </row>
    <row r="2872" spans="1:36" x14ac:dyDescent="0.25">
      <c r="A2872" s="22" t="s">
        <v>3580</v>
      </c>
      <c r="B2872" s="22">
        <v>0</v>
      </c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  <c r="O2872" s="22"/>
      <c r="P2872" s="22"/>
      <c r="Q2872" s="22"/>
      <c r="R2872" s="22"/>
      <c r="S2872" s="22"/>
      <c r="T2872" s="22"/>
      <c r="U2872" s="22"/>
      <c r="V2872" s="22"/>
      <c r="W2872" s="22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</row>
    <row r="2873" spans="1:36" x14ac:dyDescent="0.25">
      <c r="A2873" s="22" t="s">
        <v>3581</v>
      </c>
      <c r="B2873" s="22">
        <v>0</v>
      </c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22"/>
      <c r="X2873" s="22"/>
      <c r="Y2873" s="22"/>
      <c r="Z2873" s="22"/>
      <c r="AA2873" s="22"/>
      <c r="AB2873" s="22"/>
      <c r="AC2873" s="22"/>
      <c r="AD2873" s="22"/>
      <c r="AE2873" s="22"/>
      <c r="AF2873" s="22"/>
      <c r="AG2873" s="22"/>
      <c r="AH2873" s="22"/>
      <c r="AI2873" s="22"/>
      <c r="AJ2873" s="22"/>
    </row>
    <row r="2874" spans="1:36" x14ac:dyDescent="0.25">
      <c r="A2874" s="22" t="s">
        <v>3582</v>
      </c>
      <c r="B2874" s="22">
        <v>21</v>
      </c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  <c r="O2874" s="22"/>
      <c r="P2874" s="22"/>
      <c r="Q2874" s="22"/>
      <c r="R2874" s="22"/>
      <c r="S2874" s="22"/>
      <c r="T2874" s="22"/>
      <c r="U2874" s="22"/>
      <c r="V2874" s="22"/>
      <c r="W2874" s="22"/>
      <c r="X2874" s="22"/>
      <c r="Y2874" s="22"/>
      <c r="Z2874" s="22"/>
      <c r="AA2874" s="22"/>
      <c r="AB2874" s="22"/>
      <c r="AC2874" s="22"/>
      <c r="AD2874" s="22"/>
      <c r="AE2874" s="22"/>
      <c r="AF2874" s="22"/>
      <c r="AG2874" s="22"/>
      <c r="AH2874" s="22"/>
      <c r="AI2874" s="22"/>
      <c r="AJ2874" s="22"/>
    </row>
    <row r="2875" spans="1:36" x14ac:dyDescent="0.25">
      <c r="A2875" s="22" t="s">
        <v>3583</v>
      </c>
      <c r="B2875" s="22">
        <v>0</v>
      </c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  <c r="O2875" s="22"/>
      <c r="P2875" s="22"/>
      <c r="Q2875" s="22"/>
      <c r="R2875" s="22"/>
      <c r="S2875" s="22"/>
      <c r="T2875" s="22"/>
      <c r="U2875" s="22"/>
      <c r="V2875" s="22"/>
      <c r="W2875" s="22"/>
      <c r="X2875" s="22"/>
      <c r="Y2875" s="22"/>
      <c r="Z2875" s="22"/>
      <c r="AA2875" s="22"/>
      <c r="AB2875" s="22"/>
      <c r="AC2875" s="22"/>
      <c r="AD2875" s="22"/>
      <c r="AE2875" s="22"/>
      <c r="AF2875" s="22"/>
      <c r="AG2875" s="22"/>
      <c r="AH2875" s="22"/>
      <c r="AI2875" s="22"/>
      <c r="AJ2875" s="22"/>
    </row>
    <row r="2876" spans="1:36" x14ac:dyDescent="0.25">
      <c r="A2876" s="22" t="s">
        <v>3584</v>
      </c>
      <c r="B2876" s="22">
        <v>0</v>
      </c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  <c r="O2876" s="22"/>
      <c r="P2876" s="22"/>
      <c r="Q2876" s="22"/>
      <c r="R2876" s="22"/>
      <c r="S2876" s="22"/>
      <c r="T2876" s="22"/>
      <c r="U2876" s="22"/>
      <c r="V2876" s="22"/>
      <c r="W2876" s="22"/>
      <c r="X2876" s="22"/>
      <c r="Y2876" s="22"/>
      <c r="Z2876" s="22"/>
      <c r="AA2876" s="22"/>
      <c r="AB2876" s="22"/>
      <c r="AC2876" s="22"/>
      <c r="AD2876" s="22"/>
      <c r="AE2876" s="22"/>
      <c r="AF2876" s="22"/>
      <c r="AG2876" s="22"/>
      <c r="AH2876" s="22"/>
      <c r="AI2876" s="22"/>
      <c r="AJ2876" s="22"/>
    </row>
    <row r="2877" spans="1:36" x14ac:dyDescent="0.25">
      <c r="A2877" s="22" t="s">
        <v>3585</v>
      </c>
      <c r="B2877" s="22">
        <v>0</v>
      </c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  <c r="O2877" s="22"/>
      <c r="P2877" s="22"/>
      <c r="Q2877" s="22"/>
      <c r="R2877" s="22"/>
      <c r="S2877" s="22"/>
      <c r="T2877" s="22"/>
      <c r="U2877" s="22"/>
      <c r="V2877" s="22"/>
      <c r="W2877" s="22"/>
      <c r="X2877" s="22"/>
      <c r="Y2877" s="22"/>
      <c r="Z2877" s="22"/>
      <c r="AA2877" s="22"/>
      <c r="AB2877" s="22"/>
      <c r="AC2877" s="22"/>
      <c r="AD2877" s="22"/>
      <c r="AE2877" s="22"/>
      <c r="AF2877" s="22"/>
      <c r="AG2877" s="22"/>
      <c r="AH2877" s="22"/>
      <c r="AI2877" s="22"/>
      <c r="AJ2877" s="22"/>
    </row>
    <row r="2878" spans="1:36" x14ac:dyDescent="0.25">
      <c r="A2878" s="22" t="s">
        <v>524</v>
      </c>
      <c r="B2878" s="22">
        <v>4326</v>
      </c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  <c r="O2878" s="22"/>
      <c r="P2878" s="22"/>
      <c r="Q2878" s="22"/>
      <c r="R2878" s="22"/>
      <c r="S2878" s="22"/>
      <c r="T2878" s="22"/>
      <c r="U2878" s="22"/>
      <c r="V2878" s="22"/>
      <c r="W2878" s="22"/>
      <c r="X2878" s="22"/>
      <c r="Y2878" s="22"/>
      <c r="Z2878" s="22"/>
      <c r="AA2878" s="22"/>
      <c r="AB2878" s="22"/>
      <c r="AC2878" s="22"/>
      <c r="AD2878" s="22"/>
      <c r="AE2878" s="22"/>
      <c r="AF2878" s="22"/>
      <c r="AG2878" s="22"/>
      <c r="AH2878" s="22"/>
      <c r="AI2878" s="22"/>
      <c r="AJ2878" s="22"/>
    </row>
    <row r="2879" spans="1:36" x14ac:dyDescent="0.25">
      <c r="A2879" s="22" t="s">
        <v>3586</v>
      </c>
      <c r="B2879" s="22">
        <v>12</v>
      </c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  <c r="O2879" s="22"/>
      <c r="P2879" s="22"/>
      <c r="Q2879" s="22"/>
      <c r="R2879" s="22"/>
      <c r="S2879" s="22"/>
      <c r="T2879" s="22"/>
      <c r="U2879" s="22"/>
      <c r="V2879" s="22"/>
      <c r="W2879" s="22"/>
      <c r="X2879" s="22"/>
      <c r="Y2879" s="22"/>
      <c r="Z2879" s="22"/>
      <c r="AA2879" s="22"/>
      <c r="AB2879" s="22"/>
      <c r="AC2879" s="22"/>
      <c r="AD2879" s="22"/>
      <c r="AE2879" s="22"/>
      <c r="AF2879" s="22"/>
      <c r="AG2879" s="22"/>
      <c r="AH2879" s="22"/>
      <c r="AI2879" s="22"/>
      <c r="AJ2879" s="22"/>
    </row>
    <row r="2880" spans="1:36" x14ac:dyDescent="0.25">
      <c r="A2880" s="22" t="s">
        <v>3587</v>
      </c>
      <c r="B2880" s="22">
        <v>0</v>
      </c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  <c r="O2880" s="22"/>
      <c r="P2880" s="22"/>
      <c r="Q2880" s="22"/>
      <c r="R2880" s="22"/>
      <c r="S2880" s="22"/>
      <c r="T2880" s="22"/>
      <c r="U2880" s="22"/>
      <c r="V2880" s="22"/>
      <c r="W2880" s="22"/>
      <c r="X2880" s="22"/>
      <c r="Y2880" s="22"/>
      <c r="Z2880" s="22"/>
      <c r="AA2880" s="22"/>
      <c r="AB2880" s="22"/>
      <c r="AC2880" s="22"/>
      <c r="AD2880" s="22"/>
      <c r="AE2880" s="22"/>
      <c r="AF2880" s="22"/>
      <c r="AG2880" s="22"/>
      <c r="AH2880" s="22"/>
      <c r="AI2880" s="22"/>
      <c r="AJ2880" s="22"/>
    </row>
    <row r="2881" spans="1:36" x14ac:dyDescent="0.25">
      <c r="A2881" s="22" t="s">
        <v>3588</v>
      </c>
      <c r="B2881" s="22">
        <v>0</v>
      </c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  <c r="O2881" s="22"/>
      <c r="P2881" s="22"/>
      <c r="Q2881" s="22"/>
      <c r="R2881" s="22"/>
      <c r="S2881" s="22"/>
      <c r="T2881" s="22"/>
      <c r="U2881" s="22"/>
      <c r="V2881" s="22"/>
      <c r="W2881" s="22"/>
      <c r="X2881" s="22"/>
      <c r="Y2881" s="22"/>
      <c r="Z2881" s="22"/>
      <c r="AA2881" s="22"/>
      <c r="AB2881" s="22"/>
      <c r="AC2881" s="22"/>
      <c r="AD2881" s="22"/>
      <c r="AE2881" s="22"/>
      <c r="AF2881" s="22"/>
      <c r="AG2881" s="22"/>
      <c r="AH2881" s="22"/>
      <c r="AI2881" s="22"/>
      <c r="AJ2881" s="22"/>
    </row>
    <row r="2882" spans="1:36" x14ac:dyDescent="0.25">
      <c r="A2882" s="22" t="s">
        <v>3589</v>
      </c>
      <c r="B2882" s="22">
        <v>36</v>
      </c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  <c r="O2882" s="22"/>
      <c r="P2882" s="22"/>
      <c r="Q2882" s="22"/>
      <c r="R2882" s="22"/>
      <c r="S2882" s="22"/>
      <c r="T2882" s="22"/>
      <c r="U2882" s="22"/>
      <c r="V2882" s="22"/>
      <c r="W2882" s="22"/>
      <c r="X2882" s="22"/>
      <c r="Y2882" s="22"/>
      <c r="Z2882" s="22"/>
      <c r="AA2882" s="22"/>
      <c r="AB2882" s="22"/>
      <c r="AC2882" s="22"/>
      <c r="AD2882" s="22"/>
      <c r="AE2882" s="22"/>
      <c r="AF2882" s="22"/>
      <c r="AG2882" s="22"/>
      <c r="AH2882" s="22"/>
      <c r="AI2882" s="22"/>
      <c r="AJ2882" s="22"/>
    </row>
    <row r="2883" spans="1:36" x14ac:dyDescent="0.25">
      <c r="A2883" s="22" t="s">
        <v>3590</v>
      </c>
      <c r="B2883" s="22">
        <v>0</v>
      </c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  <c r="O2883" s="22"/>
      <c r="P2883" s="22"/>
      <c r="Q2883" s="22"/>
      <c r="R2883" s="22"/>
      <c r="S2883" s="22"/>
      <c r="T2883" s="22"/>
      <c r="U2883" s="22"/>
      <c r="V2883" s="22"/>
      <c r="W2883" s="22"/>
      <c r="X2883" s="22"/>
      <c r="Y2883" s="22"/>
      <c r="Z2883" s="22"/>
      <c r="AA2883" s="22"/>
      <c r="AB2883" s="22"/>
      <c r="AC2883" s="22"/>
      <c r="AD2883" s="22"/>
      <c r="AE2883" s="22"/>
      <c r="AF2883" s="22"/>
      <c r="AG2883" s="22"/>
      <c r="AH2883" s="22"/>
      <c r="AI2883" s="22"/>
      <c r="AJ2883" s="22"/>
    </row>
    <row r="2884" spans="1:36" x14ac:dyDescent="0.25">
      <c r="A2884" s="22" t="s">
        <v>3591</v>
      </c>
      <c r="B2884" s="22">
        <v>0</v>
      </c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  <c r="O2884" s="22"/>
      <c r="P2884" s="22"/>
      <c r="Q2884" s="22"/>
      <c r="R2884" s="22"/>
      <c r="S2884" s="22"/>
      <c r="T2884" s="22"/>
      <c r="U2884" s="22"/>
      <c r="V2884" s="22"/>
      <c r="W2884" s="22"/>
      <c r="X2884" s="22"/>
      <c r="Y2884" s="22"/>
      <c r="Z2884" s="22"/>
      <c r="AA2884" s="22"/>
      <c r="AB2884" s="22"/>
      <c r="AC2884" s="22"/>
      <c r="AD2884" s="22"/>
      <c r="AE2884" s="22"/>
      <c r="AF2884" s="22"/>
      <c r="AG2884" s="22"/>
      <c r="AH2884" s="22"/>
      <c r="AI2884" s="22"/>
      <c r="AJ2884" s="22"/>
    </row>
    <row r="2885" spans="1:36" x14ac:dyDescent="0.25">
      <c r="A2885" s="22" t="s">
        <v>3592</v>
      </c>
      <c r="B2885" s="22">
        <v>0</v>
      </c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  <c r="O2885" s="22"/>
      <c r="P2885" s="22"/>
      <c r="Q2885" s="22"/>
      <c r="R2885" s="22"/>
      <c r="S2885" s="22"/>
      <c r="T2885" s="22"/>
      <c r="U2885" s="22"/>
      <c r="V2885" s="22"/>
      <c r="W2885" s="22"/>
      <c r="X2885" s="22"/>
      <c r="Y2885" s="22"/>
      <c r="Z2885" s="22"/>
      <c r="AA2885" s="22"/>
      <c r="AB2885" s="22"/>
      <c r="AC2885" s="22"/>
      <c r="AD2885" s="22"/>
      <c r="AE2885" s="22"/>
      <c r="AF2885" s="22"/>
      <c r="AG2885" s="22"/>
      <c r="AH2885" s="22"/>
      <c r="AI2885" s="22"/>
      <c r="AJ2885" s="22"/>
    </row>
    <row r="2886" spans="1:36" x14ac:dyDescent="0.25">
      <c r="A2886" s="22" t="s">
        <v>527</v>
      </c>
      <c r="B2886" s="22">
        <v>2354</v>
      </c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  <c r="O2886" s="22"/>
      <c r="P2886" s="22"/>
      <c r="Q2886" s="22"/>
      <c r="R2886" s="22"/>
      <c r="S2886" s="22"/>
      <c r="T2886" s="22"/>
      <c r="U2886" s="22"/>
      <c r="V2886" s="22"/>
      <c r="W2886" s="22"/>
      <c r="X2886" s="22"/>
      <c r="Y2886" s="22"/>
      <c r="Z2886" s="22"/>
      <c r="AA2886" s="22"/>
      <c r="AB2886" s="22"/>
      <c r="AC2886" s="22"/>
      <c r="AD2886" s="22"/>
      <c r="AE2886" s="22"/>
      <c r="AF2886" s="22"/>
      <c r="AG2886" s="22"/>
      <c r="AH2886" s="22"/>
      <c r="AI2886" s="22"/>
      <c r="AJ2886" s="22"/>
    </row>
    <row r="2887" spans="1:36" x14ac:dyDescent="0.25">
      <c r="A2887" s="22" t="s">
        <v>3593</v>
      </c>
      <c r="B2887" s="22">
        <v>54</v>
      </c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  <c r="O2887" s="22"/>
      <c r="P2887" s="22"/>
      <c r="Q2887" s="22"/>
      <c r="R2887" s="22"/>
      <c r="S2887" s="22"/>
      <c r="T2887" s="22"/>
      <c r="U2887" s="22"/>
      <c r="V2887" s="22"/>
      <c r="W2887" s="22"/>
      <c r="X2887" s="22"/>
      <c r="Y2887" s="22"/>
      <c r="Z2887" s="22"/>
      <c r="AA2887" s="22"/>
      <c r="AB2887" s="22"/>
      <c r="AC2887" s="22"/>
      <c r="AD2887" s="22"/>
      <c r="AE2887" s="22"/>
      <c r="AF2887" s="22"/>
      <c r="AG2887" s="22"/>
      <c r="AH2887" s="22"/>
      <c r="AI2887" s="22"/>
      <c r="AJ2887" s="22"/>
    </row>
    <row r="2888" spans="1:36" x14ac:dyDescent="0.25">
      <c r="A2888" s="22" t="s">
        <v>3594</v>
      </c>
      <c r="B2888" s="22">
        <v>0</v>
      </c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  <c r="O2888" s="22"/>
      <c r="P2888" s="22"/>
      <c r="Q2888" s="22"/>
      <c r="R2888" s="22"/>
      <c r="S2888" s="22"/>
      <c r="T2888" s="22"/>
      <c r="U2888" s="22"/>
      <c r="V2888" s="22"/>
      <c r="W2888" s="22"/>
      <c r="X2888" s="22"/>
      <c r="Y2888" s="22"/>
      <c r="Z2888" s="22"/>
      <c r="AA2888" s="22"/>
      <c r="AB2888" s="22"/>
      <c r="AC2888" s="22"/>
      <c r="AD2888" s="22"/>
      <c r="AE2888" s="22"/>
      <c r="AF2888" s="22"/>
      <c r="AG2888" s="22"/>
      <c r="AH2888" s="22"/>
      <c r="AI2888" s="22"/>
      <c r="AJ2888" s="22"/>
    </row>
    <row r="2889" spans="1:36" x14ac:dyDescent="0.25">
      <c r="A2889" s="22" t="s">
        <v>3595</v>
      </c>
      <c r="B2889" s="22">
        <v>0</v>
      </c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  <c r="O2889" s="22"/>
      <c r="P2889" s="22"/>
      <c r="Q2889" s="22"/>
      <c r="R2889" s="22"/>
      <c r="S2889" s="22"/>
      <c r="T2889" s="22"/>
      <c r="U2889" s="22"/>
      <c r="V2889" s="22"/>
      <c r="W2889" s="22"/>
      <c r="X2889" s="22"/>
      <c r="Y2889" s="22"/>
      <c r="Z2889" s="22"/>
      <c r="AA2889" s="22"/>
      <c r="AB2889" s="22"/>
      <c r="AC2889" s="22"/>
      <c r="AD2889" s="22"/>
      <c r="AE2889" s="22"/>
      <c r="AF2889" s="22"/>
      <c r="AG2889" s="22"/>
      <c r="AH2889" s="22"/>
      <c r="AI2889" s="22"/>
      <c r="AJ2889" s="22"/>
    </row>
    <row r="2890" spans="1:36" x14ac:dyDescent="0.25">
      <c r="A2890" s="22" t="s">
        <v>3596</v>
      </c>
      <c r="B2890" s="22">
        <v>18</v>
      </c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  <c r="O2890" s="22"/>
      <c r="P2890" s="22"/>
      <c r="Q2890" s="22"/>
      <c r="R2890" s="22"/>
      <c r="S2890" s="22"/>
      <c r="T2890" s="22"/>
      <c r="U2890" s="22"/>
      <c r="V2890" s="22"/>
      <c r="W2890" s="22"/>
      <c r="X2890" s="22"/>
      <c r="Y2890" s="22"/>
      <c r="Z2890" s="22"/>
      <c r="AA2890" s="22"/>
      <c r="AB2890" s="22"/>
      <c r="AC2890" s="22"/>
      <c r="AD2890" s="22"/>
      <c r="AE2890" s="22"/>
      <c r="AF2890" s="22"/>
      <c r="AG2890" s="22"/>
      <c r="AH2890" s="22"/>
      <c r="AI2890" s="22"/>
      <c r="AJ2890" s="22"/>
    </row>
    <row r="2891" spans="1:36" x14ac:dyDescent="0.25">
      <c r="A2891" s="22" t="s">
        <v>3597</v>
      </c>
      <c r="B2891" s="22">
        <v>0</v>
      </c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  <c r="O2891" s="22"/>
      <c r="P2891" s="22"/>
      <c r="Q2891" s="22"/>
      <c r="R2891" s="22"/>
      <c r="S2891" s="22"/>
      <c r="T2891" s="22"/>
      <c r="U2891" s="22"/>
      <c r="V2891" s="22"/>
      <c r="W2891" s="22"/>
      <c r="X2891" s="22"/>
      <c r="Y2891" s="22"/>
      <c r="Z2891" s="22"/>
      <c r="AA2891" s="22"/>
      <c r="AB2891" s="22"/>
      <c r="AC2891" s="22"/>
      <c r="AD2891" s="22"/>
      <c r="AE2891" s="22"/>
      <c r="AF2891" s="22"/>
      <c r="AG2891" s="22"/>
      <c r="AH2891" s="22"/>
      <c r="AI2891" s="22"/>
      <c r="AJ2891" s="22"/>
    </row>
    <row r="2892" spans="1:36" x14ac:dyDescent="0.25">
      <c r="A2892" s="22" t="s">
        <v>3598</v>
      </c>
      <c r="B2892" s="22">
        <v>0</v>
      </c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  <c r="O2892" s="22"/>
      <c r="P2892" s="22"/>
      <c r="Q2892" s="22"/>
      <c r="R2892" s="22"/>
      <c r="S2892" s="22"/>
      <c r="T2892" s="22"/>
      <c r="U2892" s="22"/>
      <c r="V2892" s="22"/>
      <c r="W2892" s="22"/>
      <c r="X2892" s="22"/>
      <c r="Y2892" s="22"/>
      <c r="Z2892" s="22"/>
      <c r="AA2892" s="22"/>
      <c r="AB2892" s="22"/>
      <c r="AC2892" s="22"/>
      <c r="AD2892" s="22"/>
      <c r="AE2892" s="22"/>
      <c r="AF2892" s="22"/>
      <c r="AG2892" s="22"/>
      <c r="AH2892" s="22"/>
      <c r="AI2892" s="22"/>
      <c r="AJ2892" s="22"/>
    </row>
    <row r="2893" spans="1:36" x14ac:dyDescent="0.25">
      <c r="A2893" s="22" t="s">
        <v>3599</v>
      </c>
      <c r="B2893" s="22">
        <v>0</v>
      </c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  <c r="O2893" s="22"/>
      <c r="P2893" s="22"/>
      <c r="Q2893" s="22"/>
      <c r="R2893" s="22"/>
      <c r="S2893" s="22"/>
      <c r="T2893" s="22"/>
      <c r="U2893" s="22"/>
      <c r="V2893" s="22"/>
      <c r="W2893" s="22"/>
      <c r="X2893" s="22"/>
      <c r="Y2893" s="22"/>
      <c r="Z2893" s="22"/>
      <c r="AA2893" s="22"/>
      <c r="AB2893" s="22"/>
      <c r="AC2893" s="22"/>
      <c r="AD2893" s="22"/>
      <c r="AE2893" s="22"/>
      <c r="AF2893" s="22"/>
      <c r="AG2893" s="22"/>
      <c r="AH2893" s="22"/>
      <c r="AI2893" s="22"/>
      <c r="AJ2893" s="22"/>
    </row>
    <row r="2894" spans="1:36" x14ac:dyDescent="0.25">
      <c r="A2894" s="22" t="s">
        <v>530</v>
      </c>
      <c r="B2894" s="22">
        <v>0</v>
      </c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  <c r="O2894" s="22"/>
      <c r="P2894" s="22"/>
      <c r="Q2894" s="22"/>
      <c r="R2894" s="22"/>
      <c r="S2894" s="22"/>
      <c r="T2894" s="22"/>
      <c r="U2894" s="22"/>
      <c r="V2894" s="22"/>
      <c r="W2894" s="22"/>
      <c r="X2894" s="22"/>
      <c r="Y2894" s="22"/>
      <c r="Z2894" s="22"/>
      <c r="AA2894" s="22"/>
      <c r="AB2894" s="22"/>
      <c r="AC2894" s="22"/>
      <c r="AD2894" s="22"/>
      <c r="AE2894" s="22"/>
      <c r="AF2894" s="22"/>
      <c r="AG2894" s="22"/>
      <c r="AH2894" s="22"/>
      <c r="AI2894" s="22"/>
      <c r="AJ2894" s="22"/>
    </row>
    <row r="2895" spans="1:36" x14ac:dyDescent="0.25">
      <c r="A2895" s="22" t="s">
        <v>3600</v>
      </c>
      <c r="B2895" s="22">
        <v>0</v>
      </c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  <c r="O2895" s="22"/>
      <c r="P2895" s="22"/>
      <c r="Q2895" s="22"/>
      <c r="R2895" s="22"/>
      <c r="S2895" s="22"/>
      <c r="T2895" s="22"/>
      <c r="U2895" s="22"/>
      <c r="V2895" s="22"/>
      <c r="W2895" s="22"/>
      <c r="X2895" s="22"/>
      <c r="Y2895" s="22"/>
      <c r="Z2895" s="22"/>
      <c r="AA2895" s="22"/>
      <c r="AB2895" s="22"/>
      <c r="AC2895" s="22"/>
      <c r="AD2895" s="22"/>
      <c r="AE2895" s="22"/>
      <c r="AF2895" s="22"/>
      <c r="AG2895" s="22"/>
      <c r="AH2895" s="22"/>
      <c r="AI2895" s="22"/>
      <c r="AJ2895" s="22"/>
    </row>
    <row r="2896" spans="1:36" x14ac:dyDescent="0.25">
      <c r="A2896" s="22" t="s">
        <v>3601</v>
      </c>
      <c r="B2896" s="22">
        <v>0</v>
      </c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  <c r="O2896" s="22"/>
      <c r="P2896" s="22"/>
      <c r="Q2896" s="22"/>
      <c r="R2896" s="22"/>
      <c r="S2896" s="22"/>
      <c r="T2896" s="22"/>
      <c r="U2896" s="22"/>
      <c r="V2896" s="22"/>
      <c r="W2896" s="22"/>
      <c r="X2896" s="22"/>
      <c r="Y2896" s="22"/>
      <c r="Z2896" s="22"/>
      <c r="AA2896" s="22"/>
      <c r="AB2896" s="22"/>
      <c r="AC2896" s="22"/>
      <c r="AD2896" s="22"/>
      <c r="AE2896" s="22"/>
      <c r="AF2896" s="22"/>
      <c r="AG2896" s="22"/>
      <c r="AH2896" s="22"/>
      <c r="AI2896" s="22"/>
      <c r="AJ2896" s="22"/>
    </row>
    <row r="2897" spans="1:36" x14ac:dyDescent="0.25">
      <c r="A2897" s="22" t="s">
        <v>3602</v>
      </c>
      <c r="B2897" s="22">
        <v>0</v>
      </c>
      <c r="C2897" s="22"/>
      <c r="D2897" s="22"/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  <c r="O2897" s="22"/>
      <c r="P2897" s="22"/>
      <c r="Q2897" s="22"/>
      <c r="R2897" s="22"/>
      <c r="S2897" s="22"/>
      <c r="T2897" s="22"/>
      <c r="U2897" s="22"/>
      <c r="V2897" s="22"/>
      <c r="W2897" s="22"/>
      <c r="X2897" s="22"/>
      <c r="Y2897" s="22"/>
      <c r="Z2897" s="22"/>
      <c r="AA2897" s="22"/>
      <c r="AB2897" s="22"/>
      <c r="AC2897" s="22"/>
      <c r="AD2897" s="22"/>
      <c r="AE2897" s="22"/>
      <c r="AF2897" s="22"/>
      <c r="AG2897" s="22"/>
      <c r="AH2897" s="22"/>
      <c r="AI2897" s="22"/>
      <c r="AJ2897" s="22"/>
    </row>
    <row r="2898" spans="1:36" x14ac:dyDescent="0.25">
      <c r="A2898" s="22" t="s">
        <v>3603</v>
      </c>
      <c r="B2898" s="22">
        <v>0</v>
      </c>
      <c r="C2898" s="22"/>
      <c r="D2898" s="22"/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  <c r="O2898" s="22"/>
      <c r="P2898" s="22"/>
      <c r="Q2898" s="22"/>
      <c r="R2898" s="22"/>
      <c r="S2898" s="22"/>
      <c r="T2898" s="22"/>
      <c r="U2898" s="22"/>
      <c r="V2898" s="22"/>
      <c r="W2898" s="22"/>
      <c r="X2898" s="22"/>
      <c r="Y2898" s="22"/>
      <c r="Z2898" s="22"/>
      <c r="AA2898" s="22"/>
      <c r="AB2898" s="22"/>
      <c r="AC2898" s="22"/>
      <c r="AD2898" s="22"/>
      <c r="AE2898" s="22"/>
      <c r="AF2898" s="22"/>
      <c r="AG2898" s="22"/>
      <c r="AH2898" s="22"/>
      <c r="AI2898" s="22"/>
      <c r="AJ2898" s="22"/>
    </row>
    <row r="2899" spans="1:36" x14ac:dyDescent="0.25">
      <c r="A2899" s="22" t="s">
        <v>3604</v>
      </c>
      <c r="B2899" s="22">
        <v>0</v>
      </c>
      <c r="C2899" s="22"/>
      <c r="D2899" s="22"/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  <c r="O2899" s="22"/>
      <c r="P2899" s="22"/>
      <c r="Q2899" s="22"/>
      <c r="R2899" s="22"/>
      <c r="S2899" s="22"/>
      <c r="T2899" s="22"/>
      <c r="U2899" s="22"/>
      <c r="V2899" s="22"/>
      <c r="W2899" s="22"/>
      <c r="X2899" s="22"/>
      <c r="Y2899" s="22"/>
      <c r="Z2899" s="22"/>
      <c r="AA2899" s="22"/>
      <c r="AB2899" s="22"/>
      <c r="AC2899" s="22"/>
      <c r="AD2899" s="22"/>
      <c r="AE2899" s="22"/>
      <c r="AF2899" s="22"/>
      <c r="AG2899" s="22"/>
      <c r="AH2899" s="22"/>
      <c r="AI2899" s="22"/>
      <c r="AJ2899" s="22"/>
    </row>
    <row r="2900" spans="1:36" x14ac:dyDescent="0.25">
      <c r="A2900" s="22" t="s">
        <v>3605</v>
      </c>
      <c r="B2900" s="22">
        <v>0</v>
      </c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  <c r="O2900" s="22"/>
      <c r="P2900" s="22"/>
      <c r="Q2900" s="22"/>
      <c r="R2900" s="22"/>
      <c r="S2900" s="22"/>
      <c r="T2900" s="22"/>
      <c r="U2900" s="22"/>
      <c r="V2900" s="22"/>
      <c r="W2900" s="22"/>
      <c r="X2900" s="22"/>
      <c r="Y2900" s="22"/>
      <c r="Z2900" s="22"/>
      <c r="AA2900" s="22"/>
      <c r="AB2900" s="22"/>
      <c r="AC2900" s="22"/>
      <c r="AD2900" s="22"/>
      <c r="AE2900" s="22"/>
      <c r="AF2900" s="22"/>
      <c r="AG2900" s="22"/>
      <c r="AH2900" s="22"/>
      <c r="AI2900" s="22"/>
      <c r="AJ2900" s="22"/>
    </row>
    <row r="2901" spans="1:36" x14ac:dyDescent="0.25">
      <c r="A2901" s="22" t="s">
        <v>3606</v>
      </c>
      <c r="B2901" s="22">
        <v>0</v>
      </c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  <c r="O2901" s="22"/>
      <c r="P2901" s="22"/>
      <c r="Q2901" s="22"/>
      <c r="R2901" s="22"/>
      <c r="S2901" s="22"/>
      <c r="T2901" s="22"/>
      <c r="U2901" s="22"/>
      <c r="V2901" s="22"/>
      <c r="W2901" s="22"/>
      <c r="X2901" s="22"/>
      <c r="Y2901" s="22"/>
      <c r="Z2901" s="22"/>
      <c r="AA2901" s="22"/>
      <c r="AB2901" s="22"/>
      <c r="AC2901" s="22"/>
      <c r="AD2901" s="22"/>
      <c r="AE2901" s="22"/>
      <c r="AF2901" s="22"/>
      <c r="AG2901" s="22"/>
      <c r="AH2901" s="22"/>
      <c r="AI2901" s="22"/>
      <c r="AJ2901" s="22"/>
    </row>
    <row r="2902" spans="1:36" x14ac:dyDescent="0.25">
      <c r="A2902" s="22" t="s">
        <v>2066</v>
      </c>
      <c r="B2902" s="22">
        <v>42</v>
      </c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  <c r="O2902" s="22"/>
      <c r="P2902" s="22"/>
      <c r="Q2902" s="22"/>
      <c r="R2902" s="22"/>
      <c r="S2902" s="22"/>
      <c r="T2902" s="22"/>
      <c r="U2902" s="22"/>
      <c r="V2902" s="22"/>
      <c r="W2902" s="22"/>
      <c r="X2902" s="22"/>
      <c r="Y2902" s="22"/>
      <c r="Z2902" s="22"/>
      <c r="AA2902" s="22"/>
      <c r="AB2902" s="22"/>
      <c r="AC2902" s="22"/>
      <c r="AD2902" s="22"/>
      <c r="AE2902" s="22"/>
      <c r="AF2902" s="22"/>
      <c r="AG2902" s="22"/>
      <c r="AH2902" s="22"/>
      <c r="AI2902" s="22"/>
      <c r="AJ2902" s="22"/>
    </row>
    <row r="2903" spans="1:36" x14ac:dyDescent="0.25">
      <c r="A2903" s="22" t="s">
        <v>3607</v>
      </c>
      <c r="B2903" s="22">
        <v>0</v>
      </c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  <c r="O2903" s="22"/>
      <c r="P2903" s="22"/>
      <c r="Q2903" s="22"/>
      <c r="R2903" s="22"/>
      <c r="S2903" s="22"/>
      <c r="T2903" s="22"/>
      <c r="U2903" s="22"/>
      <c r="V2903" s="22"/>
      <c r="W2903" s="22"/>
      <c r="X2903" s="22"/>
      <c r="Y2903" s="22"/>
      <c r="Z2903" s="22"/>
      <c r="AA2903" s="22"/>
      <c r="AB2903" s="22"/>
      <c r="AC2903" s="22"/>
      <c r="AD2903" s="22"/>
      <c r="AE2903" s="22"/>
      <c r="AF2903" s="22"/>
      <c r="AG2903" s="22"/>
      <c r="AH2903" s="22"/>
      <c r="AI2903" s="22"/>
      <c r="AJ2903" s="22"/>
    </row>
    <row r="2904" spans="1:36" x14ac:dyDescent="0.25">
      <c r="A2904" s="22" t="s">
        <v>3608</v>
      </c>
      <c r="B2904" s="22">
        <v>0</v>
      </c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  <c r="O2904" s="22"/>
      <c r="P2904" s="22"/>
      <c r="Q2904" s="22"/>
      <c r="R2904" s="22"/>
      <c r="S2904" s="22"/>
      <c r="T2904" s="22"/>
      <c r="U2904" s="22"/>
      <c r="V2904" s="22"/>
      <c r="W2904" s="22"/>
      <c r="X2904" s="22"/>
      <c r="Y2904" s="22"/>
      <c r="Z2904" s="22"/>
      <c r="AA2904" s="22"/>
      <c r="AB2904" s="22"/>
      <c r="AC2904" s="22"/>
      <c r="AD2904" s="22"/>
      <c r="AE2904" s="22"/>
      <c r="AF2904" s="22"/>
      <c r="AG2904" s="22"/>
      <c r="AH2904" s="22"/>
      <c r="AI2904" s="22"/>
      <c r="AJ2904" s="22"/>
    </row>
    <row r="2905" spans="1:36" x14ac:dyDescent="0.25">
      <c r="A2905" s="22" t="s">
        <v>3609</v>
      </c>
      <c r="B2905" s="22">
        <v>0</v>
      </c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  <c r="O2905" s="22"/>
      <c r="P2905" s="22"/>
      <c r="Q2905" s="22"/>
      <c r="R2905" s="22"/>
      <c r="S2905" s="22"/>
      <c r="T2905" s="22"/>
      <c r="U2905" s="22"/>
      <c r="V2905" s="22"/>
      <c r="W2905" s="22"/>
      <c r="X2905" s="22"/>
      <c r="Y2905" s="22"/>
      <c r="Z2905" s="22"/>
      <c r="AA2905" s="22"/>
      <c r="AB2905" s="22"/>
      <c r="AC2905" s="22"/>
      <c r="AD2905" s="22"/>
      <c r="AE2905" s="22"/>
      <c r="AF2905" s="22"/>
      <c r="AG2905" s="22"/>
      <c r="AH2905" s="22"/>
      <c r="AI2905" s="22"/>
      <c r="AJ2905" s="22"/>
    </row>
    <row r="2906" spans="1:36" x14ac:dyDescent="0.25">
      <c r="A2906" s="22" t="s">
        <v>3610</v>
      </c>
      <c r="B2906" s="22">
        <v>1</v>
      </c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  <c r="O2906" s="22"/>
      <c r="P2906" s="22"/>
      <c r="Q2906" s="22"/>
      <c r="R2906" s="22"/>
      <c r="S2906" s="22"/>
      <c r="T2906" s="22"/>
      <c r="U2906" s="22"/>
      <c r="V2906" s="22"/>
      <c r="W2906" s="22"/>
      <c r="X2906" s="22"/>
      <c r="Y2906" s="22"/>
      <c r="Z2906" s="22"/>
      <c r="AA2906" s="22"/>
      <c r="AB2906" s="22"/>
      <c r="AC2906" s="22"/>
      <c r="AD2906" s="22"/>
      <c r="AE2906" s="22"/>
      <c r="AF2906" s="22"/>
      <c r="AG2906" s="22"/>
      <c r="AH2906" s="22"/>
      <c r="AI2906" s="22"/>
      <c r="AJ2906" s="22"/>
    </row>
    <row r="2907" spans="1:36" x14ac:dyDescent="0.25">
      <c r="A2907" s="22" t="s">
        <v>3611</v>
      </c>
      <c r="B2907" s="22">
        <v>0</v>
      </c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  <c r="O2907" s="22"/>
      <c r="P2907" s="22"/>
      <c r="Q2907" s="22"/>
      <c r="R2907" s="22"/>
      <c r="S2907" s="22"/>
      <c r="T2907" s="22"/>
      <c r="U2907" s="22"/>
      <c r="V2907" s="22"/>
      <c r="W2907" s="22"/>
      <c r="X2907" s="22"/>
      <c r="Y2907" s="22"/>
      <c r="Z2907" s="22"/>
      <c r="AA2907" s="22"/>
      <c r="AB2907" s="22"/>
      <c r="AC2907" s="22"/>
      <c r="AD2907" s="22"/>
      <c r="AE2907" s="22"/>
      <c r="AF2907" s="22"/>
      <c r="AG2907" s="22"/>
      <c r="AH2907" s="22"/>
      <c r="AI2907" s="22"/>
      <c r="AJ2907" s="22"/>
    </row>
    <row r="2908" spans="1:36" x14ac:dyDescent="0.25">
      <c r="A2908" s="22" t="s">
        <v>3612</v>
      </c>
      <c r="B2908" s="22">
        <v>0</v>
      </c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  <c r="O2908" s="22"/>
      <c r="P2908" s="22"/>
      <c r="Q2908" s="22"/>
      <c r="R2908" s="22"/>
      <c r="S2908" s="22"/>
      <c r="T2908" s="22"/>
      <c r="U2908" s="22"/>
      <c r="V2908" s="22"/>
      <c r="W2908" s="22"/>
      <c r="X2908" s="22"/>
      <c r="Y2908" s="22"/>
      <c r="Z2908" s="22"/>
      <c r="AA2908" s="22"/>
      <c r="AB2908" s="22"/>
      <c r="AC2908" s="22"/>
      <c r="AD2908" s="22"/>
      <c r="AE2908" s="22"/>
      <c r="AF2908" s="22"/>
      <c r="AG2908" s="22"/>
      <c r="AH2908" s="22"/>
      <c r="AI2908" s="22"/>
      <c r="AJ2908" s="22"/>
    </row>
    <row r="2909" spans="1:36" x14ac:dyDescent="0.25">
      <c r="A2909" s="22" t="s">
        <v>3613</v>
      </c>
      <c r="B2909" s="22">
        <v>0</v>
      </c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  <c r="O2909" s="22"/>
      <c r="P2909" s="22"/>
      <c r="Q2909" s="22"/>
      <c r="R2909" s="22"/>
      <c r="S2909" s="22"/>
      <c r="T2909" s="22"/>
      <c r="U2909" s="22"/>
      <c r="V2909" s="22"/>
      <c r="W2909" s="22"/>
      <c r="X2909" s="22"/>
      <c r="Y2909" s="22"/>
      <c r="Z2909" s="22"/>
      <c r="AA2909" s="22"/>
      <c r="AB2909" s="22"/>
      <c r="AC2909" s="22"/>
      <c r="AD2909" s="22"/>
      <c r="AE2909" s="22"/>
      <c r="AF2909" s="22"/>
      <c r="AG2909" s="22"/>
      <c r="AH2909" s="22"/>
      <c r="AI2909" s="22"/>
      <c r="AJ2909" s="22"/>
    </row>
    <row r="2910" spans="1:36" x14ac:dyDescent="0.25">
      <c r="A2910" s="22" t="s">
        <v>2069</v>
      </c>
      <c r="B2910" s="22">
        <v>482</v>
      </c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  <c r="O2910" s="22"/>
      <c r="P2910" s="22"/>
      <c r="Q2910" s="22"/>
      <c r="R2910" s="22"/>
      <c r="S2910" s="22"/>
      <c r="T2910" s="22"/>
      <c r="U2910" s="22"/>
      <c r="V2910" s="22"/>
      <c r="W2910" s="22"/>
      <c r="X2910" s="22"/>
      <c r="Y2910" s="22"/>
      <c r="Z2910" s="22"/>
      <c r="AA2910" s="22"/>
      <c r="AB2910" s="22"/>
      <c r="AC2910" s="22"/>
      <c r="AD2910" s="22"/>
      <c r="AE2910" s="22"/>
      <c r="AF2910" s="22"/>
      <c r="AG2910" s="22"/>
      <c r="AH2910" s="22"/>
      <c r="AI2910" s="22"/>
      <c r="AJ2910" s="22"/>
    </row>
    <row r="2911" spans="1:36" x14ac:dyDescent="0.25">
      <c r="A2911" s="22" t="s">
        <v>3614</v>
      </c>
      <c r="B2911" s="22">
        <v>0</v>
      </c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  <c r="O2911" s="22"/>
      <c r="P2911" s="22"/>
      <c r="Q2911" s="22"/>
      <c r="R2911" s="22"/>
      <c r="S2911" s="22"/>
      <c r="T2911" s="22"/>
      <c r="U2911" s="22"/>
      <c r="V2911" s="22"/>
      <c r="W2911" s="22"/>
      <c r="X2911" s="22"/>
      <c r="Y2911" s="22"/>
      <c r="Z2911" s="22"/>
      <c r="AA2911" s="22"/>
      <c r="AB2911" s="22"/>
      <c r="AC2911" s="22"/>
      <c r="AD2911" s="22"/>
      <c r="AE2911" s="22"/>
      <c r="AF2911" s="22"/>
      <c r="AG2911" s="22"/>
      <c r="AH2911" s="22"/>
      <c r="AI2911" s="22"/>
      <c r="AJ2911" s="22"/>
    </row>
    <row r="2912" spans="1:36" x14ac:dyDescent="0.25">
      <c r="A2912" s="22" t="s">
        <v>3615</v>
      </c>
      <c r="B2912" s="22">
        <v>0</v>
      </c>
      <c r="C2912" s="22"/>
      <c r="D2912" s="22"/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  <c r="O2912" s="22"/>
      <c r="P2912" s="22"/>
      <c r="Q2912" s="22"/>
      <c r="R2912" s="22"/>
      <c r="S2912" s="22"/>
      <c r="T2912" s="22"/>
      <c r="U2912" s="22"/>
      <c r="V2912" s="22"/>
      <c r="W2912" s="22"/>
      <c r="X2912" s="22"/>
      <c r="Y2912" s="22"/>
      <c r="Z2912" s="22"/>
      <c r="AA2912" s="22"/>
      <c r="AB2912" s="22"/>
      <c r="AC2912" s="22"/>
      <c r="AD2912" s="22"/>
      <c r="AE2912" s="22"/>
      <c r="AF2912" s="22"/>
      <c r="AG2912" s="22"/>
      <c r="AH2912" s="22"/>
      <c r="AI2912" s="22"/>
      <c r="AJ2912" s="22"/>
    </row>
    <row r="2913" spans="1:36" x14ac:dyDescent="0.25">
      <c r="A2913" s="22" t="s">
        <v>3616</v>
      </c>
      <c r="B2913" s="22">
        <v>0</v>
      </c>
      <c r="C2913" s="22"/>
      <c r="D2913" s="22"/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  <c r="O2913" s="22"/>
      <c r="P2913" s="22"/>
      <c r="Q2913" s="22"/>
      <c r="R2913" s="22"/>
      <c r="S2913" s="22"/>
      <c r="T2913" s="22"/>
      <c r="U2913" s="22"/>
      <c r="V2913" s="22"/>
      <c r="W2913" s="22"/>
      <c r="X2913" s="22"/>
      <c r="Y2913" s="22"/>
      <c r="Z2913" s="22"/>
      <c r="AA2913" s="22"/>
      <c r="AB2913" s="22"/>
      <c r="AC2913" s="22"/>
      <c r="AD2913" s="22"/>
      <c r="AE2913" s="22"/>
      <c r="AF2913" s="22"/>
      <c r="AG2913" s="22"/>
      <c r="AH2913" s="22"/>
      <c r="AI2913" s="22"/>
      <c r="AJ2913" s="22"/>
    </row>
    <row r="2914" spans="1:36" x14ac:dyDescent="0.25">
      <c r="A2914" s="22" t="s">
        <v>3617</v>
      </c>
      <c r="B2914" s="22">
        <v>0</v>
      </c>
      <c r="C2914" s="22"/>
      <c r="D2914" s="22"/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  <c r="O2914" s="22"/>
      <c r="P2914" s="22"/>
      <c r="Q2914" s="22"/>
      <c r="R2914" s="22"/>
      <c r="S2914" s="22"/>
      <c r="T2914" s="22"/>
      <c r="U2914" s="22"/>
      <c r="V2914" s="22"/>
      <c r="W2914" s="22"/>
      <c r="X2914" s="22"/>
      <c r="Y2914" s="22"/>
      <c r="Z2914" s="22"/>
      <c r="AA2914" s="22"/>
      <c r="AB2914" s="22"/>
      <c r="AC2914" s="22"/>
      <c r="AD2914" s="22"/>
      <c r="AE2914" s="22"/>
      <c r="AF2914" s="22"/>
      <c r="AG2914" s="22"/>
      <c r="AH2914" s="22"/>
      <c r="AI2914" s="22"/>
      <c r="AJ2914" s="22"/>
    </row>
    <row r="2915" spans="1:36" x14ac:dyDescent="0.25">
      <c r="A2915" s="22" t="s">
        <v>3618</v>
      </c>
      <c r="B2915" s="22">
        <v>0</v>
      </c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  <c r="O2915" s="22"/>
      <c r="P2915" s="22"/>
      <c r="Q2915" s="22"/>
      <c r="R2915" s="22"/>
      <c r="S2915" s="22"/>
      <c r="T2915" s="22"/>
      <c r="U2915" s="22"/>
      <c r="V2915" s="22"/>
      <c r="W2915" s="22"/>
      <c r="X2915" s="22"/>
      <c r="Y2915" s="22"/>
      <c r="Z2915" s="22"/>
      <c r="AA2915" s="22"/>
      <c r="AB2915" s="22"/>
      <c r="AC2915" s="22"/>
      <c r="AD2915" s="22"/>
      <c r="AE2915" s="22"/>
      <c r="AF2915" s="22"/>
      <c r="AG2915" s="22"/>
      <c r="AH2915" s="22"/>
      <c r="AI2915" s="22"/>
      <c r="AJ2915" s="22"/>
    </row>
    <row r="2916" spans="1:36" x14ac:dyDescent="0.25">
      <c r="A2916" s="22" t="s">
        <v>3619</v>
      </c>
      <c r="B2916" s="22">
        <v>0</v>
      </c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  <c r="O2916" s="22"/>
      <c r="P2916" s="22"/>
      <c r="Q2916" s="22"/>
      <c r="R2916" s="22"/>
      <c r="S2916" s="22"/>
      <c r="T2916" s="22"/>
      <c r="U2916" s="22"/>
      <c r="V2916" s="22"/>
      <c r="W2916" s="22"/>
      <c r="X2916" s="22"/>
      <c r="Y2916" s="22"/>
      <c r="Z2916" s="22"/>
      <c r="AA2916" s="22"/>
      <c r="AB2916" s="22"/>
      <c r="AC2916" s="22"/>
      <c r="AD2916" s="22"/>
      <c r="AE2916" s="22"/>
      <c r="AF2916" s="22"/>
      <c r="AG2916" s="22"/>
      <c r="AH2916" s="22"/>
      <c r="AI2916" s="22"/>
      <c r="AJ2916" s="22"/>
    </row>
    <row r="2917" spans="1:36" x14ac:dyDescent="0.25">
      <c r="A2917" s="22" t="s">
        <v>3620</v>
      </c>
      <c r="B2917" s="22">
        <v>0</v>
      </c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  <c r="O2917" s="22"/>
      <c r="P2917" s="22"/>
      <c r="Q2917" s="22"/>
      <c r="R2917" s="22"/>
      <c r="S2917" s="22"/>
      <c r="T2917" s="22"/>
      <c r="U2917" s="22"/>
      <c r="V2917" s="22"/>
      <c r="W2917" s="22"/>
      <c r="X2917" s="22"/>
      <c r="Y2917" s="22"/>
      <c r="Z2917" s="22"/>
      <c r="AA2917" s="22"/>
      <c r="AB2917" s="22"/>
      <c r="AC2917" s="22"/>
      <c r="AD2917" s="22"/>
      <c r="AE2917" s="22"/>
      <c r="AF2917" s="22"/>
      <c r="AG2917" s="22"/>
      <c r="AH2917" s="22"/>
      <c r="AI2917" s="22"/>
      <c r="AJ2917" s="22"/>
    </row>
    <row r="2918" spans="1:36" x14ac:dyDescent="0.25">
      <c r="A2918" s="22" t="s">
        <v>2072</v>
      </c>
      <c r="B2918" s="22">
        <v>604</v>
      </c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  <c r="O2918" s="22"/>
      <c r="P2918" s="22"/>
      <c r="Q2918" s="22"/>
      <c r="R2918" s="22"/>
      <c r="S2918" s="22"/>
      <c r="T2918" s="22"/>
      <c r="U2918" s="22"/>
      <c r="V2918" s="22"/>
      <c r="W2918" s="22"/>
      <c r="X2918" s="22"/>
      <c r="Y2918" s="22"/>
      <c r="Z2918" s="22"/>
      <c r="AA2918" s="22"/>
      <c r="AB2918" s="22"/>
      <c r="AC2918" s="22"/>
      <c r="AD2918" s="22"/>
      <c r="AE2918" s="22"/>
      <c r="AF2918" s="22"/>
      <c r="AG2918" s="22"/>
      <c r="AH2918" s="22"/>
      <c r="AI2918" s="22"/>
      <c r="AJ2918" s="22"/>
    </row>
    <row r="2919" spans="1:36" x14ac:dyDescent="0.25">
      <c r="A2919" s="22" t="s">
        <v>3621</v>
      </c>
      <c r="B2919" s="22">
        <v>0</v>
      </c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  <c r="O2919" s="22"/>
      <c r="P2919" s="22"/>
      <c r="Q2919" s="22"/>
      <c r="R2919" s="22"/>
      <c r="S2919" s="22"/>
      <c r="T2919" s="22"/>
      <c r="U2919" s="22"/>
      <c r="V2919" s="22"/>
      <c r="W2919" s="22"/>
      <c r="X2919" s="22"/>
      <c r="Y2919" s="22"/>
      <c r="Z2919" s="22"/>
      <c r="AA2919" s="22"/>
      <c r="AB2919" s="22"/>
      <c r="AC2919" s="22"/>
      <c r="AD2919" s="22"/>
      <c r="AE2919" s="22"/>
      <c r="AF2919" s="22"/>
      <c r="AG2919" s="22"/>
      <c r="AH2919" s="22"/>
      <c r="AI2919" s="22"/>
      <c r="AJ2919" s="22"/>
    </row>
    <row r="2920" spans="1:36" x14ac:dyDescent="0.25">
      <c r="A2920" s="22" t="s">
        <v>3622</v>
      </c>
      <c r="B2920" s="22">
        <v>0</v>
      </c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  <c r="O2920" s="22"/>
      <c r="P2920" s="22"/>
      <c r="Q2920" s="22"/>
      <c r="R2920" s="22"/>
      <c r="S2920" s="22"/>
      <c r="T2920" s="22"/>
      <c r="U2920" s="22"/>
      <c r="V2920" s="22"/>
      <c r="W2920" s="22"/>
      <c r="X2920" s="22"/>
      <c r="Y2920" s="22"/>
      <c r="Z2920" s="22"/>
      <c r="AA2920" s="22"/>
      <c r="AB2920" s="22"/>
      <c r="AC2920" s="22"/>
      <c r="AD2920" s="22"/>
      <c r="AE2920" s="22"/>
      <c r="AF2920" s="22"/>
      <c r="AG2920" s="22"/>
      <c r="AH2920" s="22"/>
      <c r="AI2920" s="22"/>
      <c r="AJ2920" s="22"/>
    </row>
    <row r="2921" spans="1:36" x14ac:dyDescent="0.25">
      <c r="A2921" s="22" t="s">
        <v>3623</v>
      </c>
      <c r="B2921" s="22">
        <v>0</v>
      </c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  <c r="O2921" s="22"/>
      <c r="P2921" s="22"/>
      <c r="Q2921" s="22"/>
      <c r="R2921" s="22"/>
      <c r="S2921" s="22"/>
      <c r="T2921" s="22"/>
      <c r="U2921" s="22"/>
      <c r="V2921" s="22"/>
      <c r="W2921" s="22"/>
      <c r="X2921" s="22"/>
      <c r="Y2921" s="22"/>
      <c r="Z2921" s="22"/>
      <c r="AA2921" s="22"/>
      <c r="AB2921" s="22"/>
      <c r="AC2921" s="22"/>
      <c r="AD2921" s="22"/>
      <c r="AE2921" s="22"/>
      <c r="AF2921" s="22"/>
      <c r="AG2921" s="22"/>
      <c r="AH2921" s="22"/>
      <c r="AI2921" s="22"/>
      <c r="AJ2921" s="22"/>
    </row>
    <row r="2922" spans="1:36" x14ac:dyDescent="0.25">
      <c r="A2922" s="22" t="s">
        <v>3624</v>
      </c>
      <c r="B2922" s="22">
        <v>4</v>
      </c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  <c r="O2922" s="22"/>
      <c r="P2922" s="22"/>
      <c r="Q2922" s="22"/>
      <c r="R2922" s="22"/>
      <c r="S2922" s="22"/>
      <c r="T2922" s="22"/>
      <c r="U2922" s="22"/>
      <c r="V2922" s="22"/>
      <c r="W2922" s="22"/>
      <c r="X2922" s="22"/>
      <c r="Y2922" s="22"/>
      <c r="Z2922" s="22"/>
      <c r="AA2922" s="22"/>
      <c r="AB2922" s="22"/>
      <c r="AC2922" s="22"/>
      <c r="AD2922" s="22"/>
      <c r="AE2922" s="22"/>
      <c r="AF2922" s="22"/>
      <c r="AG2922" s="22"/>
      <c r="AH2922" s="22"/>
      <c r="AI2922" s="22"/>
      <c r="AJ2922" s="22"/>
    </row>
    <row r="2923" spans="1:36" x14ac:dyDescent="0.25">
      <c r="A2923" s="22" t="s">
        <v>3625</v>
      </c>
      <c r="B2923" s="22">
        <v>0</v>
      </c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  <c r="O2923" s="22"/>
      <c r="P2923" s="22"/>
      <c r="Q2923" s="22"/>
      <c r="R2923" s="22"/>
      <c r="S2923" s="22"/>
      <c r="T2923" s="22"/>
      <c r="U2923" s="22"/>
      <c r="V2923" s="22"/>
      <c r="W2923" s="22"/>
      <c r="X2923" s="22"/>
      <c r="Y2923" s="22"/>
      <c r="Z2923" s="22"/>
      <c r="AA2923" s="22"/>
      <c r="AB2923" s="22"/>
      <c r="AC2923" s="22"/>
      <c r="AD2923" s="22"/>
      <c r="AE2923" s="22"/>
      <c r="AF2923" s="22"/>
      <c r="AG2923" s="22"/>
      <c r="AH2923" s="22"/>
      <c r="AI2923" s="22"/>
      <c r="AJ2923" s="22"/>
    </row>
    <row r="2924" spans="1:36" x14ac:dyDescent="0.25">
      <c r="A2924" s="22" t="s">
        <v>3626</v>
      </c>
      <c r="B2924" s="22">
        <v>0</v>
      </c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  <c r="O2924" s="22"/>
      <c r="P2924" s="22"/>
      <c r="Q2924" s="22"/>
      <c r="R2924" s="22"/>
      <c r="S2924" s="22"/>
      <c r="T2924" s="22"/>
      <c r="U2924" s="22"/>
      <c r="V2924" s="22"/>
      <c r="W2924" s="22"/>
      <c r="X2924" s="22"/>
      <c r="Y2924" s="22"/>
      <c r="Z2924" s="22"/>
      <c r="AA2924" s="22"/>
      <c r="AB2924" s="22"/>
      <c r="AC2924" s="22"/>
      <c r="AD2924" s="22"/>
      <c r="AE2924" s="22"/>
      <c r="AF2924" s="22"/>
      <c r="AG2924" s="22"/>
      <c r="AH2924" s="22"/>
      <c r="AI2924" s="22"/>
      <c r="AJ2924" s="22"/>
    </row>
    <row r="2925" spans="1:36" x14ac:dyDescent="0.25">
      <c r="A2925" s="22" t="s">
        <v>3627</v>
      </c>
      <c r="B2925" s="22">
        <v>0</v>
      </c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  <c r="O2925" s="22"/>
      <c r="P2925" s="22"/>
      <c r="Q2925" s="22"/>
      <c r="R2925" s="22"/>
      <c r="S2925" s="22"/>
      <c r="T2925" s="22"/>
      <c r="U2925" s="22"/>
      <c r="V2925" s="22"/>
      <c r="W2925" s="22"/>
      <c r="X2925" s="22"/>
      <c r="Y2925" s="22"/>
      <c r="Z2925" s="22"/>
      <c r="AA2925" s="22"/>
      <c r="AB2925" s="22"/>
      <c r="AC2925" s="22"/>
      <c r="AD2925" s="22"/>
      <c r="AE2925" s="22"/>
      <c r="AF2925" s="22"/>
      <c r="AG2925" s="22"/>
      <c r="AH2925" s="22"/>
      <c r="AI2925" s="22"/>
      <c r="AJ2925" s="22"/>
    </row>
    <row r="2926" spans="1:36" x14ac:dyDescent="0.25">
      <c r="A2926" s="22" t="s">
        <v>2075</v>
      </c>
      <c r="B2926" s="22">
        <v>458</v>
      </c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  <c r="O2926" s="22"/>
      <c r="P2926" s="22"/>
      <c r="Q2926" s="22"/>
      <c r="R2926" s="22"/>
      <c r="S2926" s="22"/>
      <c r="T2926" s="22"/>
      <c r="U2926" s="22"/>
      <c r="V2926" s="22"/>
      <c r="W2926" s="22"/>
      <c r="X2926" s="22"/>
      <c r="Y2926" s="22"/>
      <c r="Z2926" s="22"/>
      <c r="AA2926" s="22"/>
      <c r="AB2926" s="22"/>
      <c r="AC2926" s="22"/>
      <c r="AD2926" s="22"/>
      <c r="AE2926" s="22"/>
      <c r="AF2926" s="22"/>
      <c r="AG2926" s="22"/>
      <c r="AH2926" s="22"/>
      <c r="AI2926" s="22"/>
      <c r="AJ2926" s="22"/>
    </row>
    <row r="2927" spans="1:36" x14ac:dyDescent="0.25">
      <c r="A2927" s="22" t="s">
        <v>3628</v>
      </c>
      <c r="B2927" s="22">
        <v>0</v>
      </c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  <c r="O2927" s="22"/>
      <c r="P2927" s="22"/>
      <c r="Q2927" s="22"/>
      <c r="R2927" s="22"/>
      <c r="S2927" s="22"/>
      <c r="T2927" s="22"/>
      <c r="U2927" s="22"/>
      <c r="V2927" s="22"/>
      <c r="W2927" s="22"/>
      <c r="X2927" s="22"/>
      <c r="Y2927" s="22"/>
      <c r="Z2927" s="22"/>
      <c r="AA2927" s="22"/>
      <c r="AB2927" s="22"/>
      <c r="AC2927" s="22"/>
      <c r="AD2927" s="22"/>
      <c r="AE2927" s="22"/>
      <c r="AF2927" s="22"/>
      <c r="AG2927" s="22"/>
      <c r="AH2927" s="22"/>
      <c r="AI2927" s="22"/>
      <c r="AJ2927" s="22"/>
    </row>
    <row r="2928" spans="1:36" x14ac:dyDescent="0.25">
      <c r="A2928" s="22" t="s">
        <v>3629</v>
      </c>
      <c r="B2928" s="22">
        <v>0</v>
      </c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  <c r="O2928" s="22"/>
      <c r="P2928" s="22"/>
      <c r="Q2928" s="22"/>
      <c r="R2928" s="22"/>
      <c r="S2928" s="22"/>
      <c r="T2928" s="22"/>
      <c r="U2928" s="22"/>
      <c r="V2928" s="22"/>
      <c r="W2928" s="22"/>
      <c r="X2928" s="22"/>
      <c r="Y2928" s="22"/>
      <c r="Z2928" s="22"/>
      <c r="AA2928" s="22"/>
      <c r="AB2928" s="22"/>
      <c r="AC2928" s="22"/>
      <c r="AD2928" s="22"/>
      <c r="AE2928" s="22"/>
      <c r="AF2928" s="22"/>
      <c r="AG2928" s="22"/>
      <c r="AH2928" s="22"/>
      <c r="AI2928" s="22"/>
      <c r="AJ2928" s="22"/>
    </row>
    <row r="2929" spans="1:36" x14ac:dyDescent="0.25">
      <c r="A2929" s="22" t="s">
        <v>3630</v>
      </c>
      <c r="B2929" s="22">
        <v>0</v>
      </c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  <c r="O2929" s="22"/>
      <c r="P2929" s="22"/>
      <c r="Q2929" s="22"/>
      <c r="R2929" s="22"/>
      <c r="S2929" s="22"/>
      <c r="T2929" s="22"/>
      <c r="U2929" s="22"/>
      <c r="V2929" s="22"/>
      <c r="W2929" s="22"/>
      <c r="X2929" s="22"/>
      <c r="Y2929" s="22"/>
      <c r="Z2929" s="22"/>
      <c r="AA2929" s="22"/>
      <c r="AB2929" s="22"/>
      <c r="AC2929" s="22"/>
      <c r="AD2929" s="22"/>
      <c r="AE2929" s="22"/>
      <c r="AF2929" s="22"/>
      <c r="AG2929" s="22"/>
      <c r="AH2929" s="22"/>
      <c r="AI2929" s="22"/>
      <c r="AJ2929" s="22"/>
    </row>
    <row r="2930" spans="1:36" x14ac:dyDescent="0.25">
      <c r="A2930" s="22" t="s">
        <v>3631</v>
      </c>
      <c r="B2930" s="22">
        <v>2</v>
      </c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  <c r="O2930" s="22"/>
      <c r="P2930" s="22"/>
      <c r="Q2930" s="22"/>
      <c r="R2930" s="22"/>
      <c r="S2930" s="22"/>
      <c r="T2930" s="22"/>
      <c r="U2930" s="22"/>
      <c r="V2930" s="22"/>
      <c r="W2930" s="22"/>
      <c r="X2930" s="22"/>
      <c r="Y2930" s="22"/>
      <c r="Z2930" s="22"/>
      <c r="AA2930" s="22"/>
      <c r="AB2930" s="22"/>
      <c r="AC2930" s="22"/>
      <c r="AD2930" s="22"/>
      <c r="AE2930" s="22"/>
      <c r="AF2930" s="22"/>
      <c r="AG2930" s="22"/>
      <c r="AH2930" s="22"/>
      <c r="AI2930" s="22"/>
      <c r="AJ2930" s="22"/>
    </row>
    <row r="2931" spans="1:36" x14ac:dyDescent="0.25">
      <c r="A2931" s="22" t="s">
        <v>3632</v>
      </c>
      <c r="B2931" s="22">
        <v>0</v>
      </c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  <c r="O2931" s="22"/>
      <c r="P2931" s="22"/>
      <c r="Q2931" s="22"/>
      <c r="R2931" s="22"/>
      <c r="S2931" s="22"/>
      <c r="T2931" s="22"/>
      <c r="U2931" s="22"/>
      <c r="V2931" s="22"/>
      <c r="W2931" s="22"/>
      <c r="X2931" s="22"/>
      <c r="Y2931" s="22"/>
      <c r="Z2931" s="22"/>
      <c r="AA2931" s="22"/>
      <c r="AB2931" s="22"/>
      <c r="AC2931" s="22"/>
      <c r="AD2931" s="22"/>
      <c r="AE2931" s="22"/>
      <c r="AF2931" s="22"/>
      <c r="AG2931" s="22"/>
      <c r="AH2931" s="22"/>
      <c r="AI2931" s="22"/>
      <c r="AJ2931" s="22"/>
    </row>
    <row r="2932" spans="1:36" x14ac:dyDescent="0.25">
      <c r="A2932" s="22" t="s">
        <v>3633</v>
      </c>
      <c r="B2932" s="22">
        <v>0</v>
      </c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  <c r="O2932" s="22"/>
      <c r="P2932" s="22"/>
      <c r="Q2932" s="22"/>
      <c r="R2932" s="22"/>
      <c r="S2932" s="22"/>
      <c r="T2932" s="22"/>
      <c r="U2932" s="22"/>
      <c r="V2932" s="22"/>
      <c r="W2932" s="22"/>
      <c r="X2932" s="22"/>
      <c r="Y2932" s="22"/>
      <c r="Z2932" s="22"/>
      <c r="AA2932" s="22"/>
      <c r="AB2932" s="22"/>
      <c r="AC2932" s="22"/>
      <c r="AD2932" s="22"/>
      <c r="AE2932" s="22"/>
      <c r="AF2932" s="22"/>
      <c r="AG2932" s="22"/>
      <c r="AH2932" s="22"/>
      <c r="AI2932" s="22"/>
      <c r="AJ2932" s="22"/>
    </row>
    <row r="2933" spans="1:36" x14ac:dyDescent="0.25">
      <c r="A2933" s="22" t="s">
        <v>3634</v>
      </c>
      <c r="B2933" s="22">
        <v>0</v>
      </c>
      <c r="C2933" s="22"/>
      <c r="D2933" s="22"/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  <c r="O2933" s="22"/>
      <c r="P2933" s="22"/>
      <c r="Q2933" s="22"/>
      <c r="R2933" s="22"/>
      <c r="S2933" s="22"/>
      <c r="T2933" s="22"/>
      <c r="U2933" s="22"/>
      <c r="V2933" s="22"/>
      <c r="W2933" s="22"/>
      <c r="X2933" s="22"/>
      <c r="Y2933" s="22"/>
      <c r="Z2933" s="22"/>
      <c r="AA2933" s="22"/>
      <c r="AB2933" s="22"/>
      <c r="AC2933" s="22"/>
      <c r="AD2933" s="22"/>
      <c r="AE2933" s="22"/>
      <c r="AF2933" s="22"/>
      <c r="AG2933" s="22"/>
      <c r="AH2933" s="22"/>
      <c r="AI2933" s="22"/>
      <c r="AJ2933" s="22"/>
    </row>
    <row r="2934" spans="1:36" x14ac:dyDescent="0.25">
      <c r="A2934" s="22" t="s">
        <v>2078</v>
      </c>
      <c r="B2934" s="22">
        <v>0</v>
      </c>
      <c r="C2934" s="22"/>
      <c r="D2934" s="22"/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  <c r="O2934" s="22"/>
      <c r="P2934" s="22"/>
      <c r="Q2934" s="22"/>
      <c r="R2934" s="22"/>
      <c r="S2934" s="22"/>
      <c r="T2934" s="22"/>
      <c r="U2934" s="22"/>
      <c r="V2934" s="22"/>
      <c r="W2934" s="22"/>
      <c r="X2934" s="22"/>
      <c r="Y2934" s="22"/>
      <c r="Z2934" s="22"/>
      <c r="AA2934" s="22"/>
      <c r="AB2934" s="22"/>
      <c r="AC2934" s="22"/>
      <c r="AD2934" s="22"/>
      <c r="AE2934" s="22"/>
      <c r="AF2934" s="22"/>
      <c r="AG2934" s="22"/>
      <c r="AH2934" s="22"/>
      <c r="AI2934" s="22"/>
      <c r="AJ2934" s="22"/>
    </row>
    <row r="2935" spans="1:36" x14ac:dyDescent="0.25">
      <c r="A2935" s="22" t="s">
        <v>5353</v>
      </c>
      <c r="B2935" s="22">
        <v>0</v>
      </c>
      <c r="C2935" s="22"/>
      <c r="D2935" s="22"/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  <c r="O2935" s="22"/>
      <c r="P2935" s="22"/>
      <c r="Q2935" s="22"/>
      <c r="R2935" s="22"/>
      <c r="S2935" s="22"/>
      <c r="T2935" s="22"/>
      <c r="U2935" s="22"/>
      <c r="V2935" s="22"/>
      <c r="W2935" s="22"/>
      <c r="X2935" s="22"/>
      <c r="Y2935" s="22"/>
      <c r="Z2935" s="22"/>
      <c r="AA2935" s="22"/>
      <c r="AB2935" s="22"/>
      <c r="AC2935" s="22"/>
      <c r="AD2935" s="22"/>
      <c r="AE2935" s="22"/>
      <c r="AF2935" s="22"/>
      <c r="AG2935" s="22"/>
      <c r="AH2935" s="22"/>
      <c r="AI2935" s="22"/>
      <c r="AJ2935" s="22"/>
    </row>
    <row r="2936" spans="1:36" x14ac:dyDescent="0.25">
      <c r="A2936" s="22" t="s">
        <v>5354</v>
      </c>
      <c r="B2936" s="22">
        <v>0</v>
      </c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  <c r="O2936" s="22"/>
      <c r="P2936" s="22"/>
      <c r="Q2936" s="22"/>
      <c r="R2936" s="22"/>
      <c r="S2936" s="22"/>
      <c r="T2936" s="22"/>
      <c r="U2936" s="22"/>
      <c r="V2936" s="22"/>
      <c r="W2936" s="22"/>
      <c r="X2936" s="22"/>
      <c r="Y2936" s="22"/>
      <c r="Z2936" s="22"/>
      <c r="AA2936" s="22"/>
      <c r="AB2936" s="22"/>
      <c r="AC2936" s="22"/>
      <c r="AD2936" s="22"/>
      <c r="AE2936" s="22"/>
      <c r="AF2936" s="22"/>
      <c r="AG2936" s="22"/>
      <c r="AH2936" s="22"/>
      <c r="AI2936" s="22"/>
      <c r="AJ2936" s="22"/>
    </row>
    <row r="2937" spans="1:36" x14ac:dyDescent="0.25">
      <c r="A2937" s="22" t="s">
        <v>5355</v>
      </c>
      <c r="B2937" s="22">
        <v>0</v>
      </c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  <c r="O2937" s="22"/>
      <c r="P2937" s="22"/>
      <c r="Q2937" s="22"/>
      <c r="R2937" s="22"/>
      <c r="S2937" s="22"/>
      <c r="T2937" s="22"/>
      <c r="U2937" s="22"/>
      <c r="V2937" s="22"/>
      <c r="W2937" s="22"/>
      <c r="X2937" s="22"/>
      <c r="Y2937" s="22"/>
      <c r="Z2937" s="22"/>
      <c r="AA2937" s="22"/>
      <c r="AB2937" s="22"/>
      <c r="AC2937" s="22"/>
      <c r="AD2937" s="22"/>
      <c r="AE2937" s="22"/>
      <c r="AF2937" s="22"/>
      <c r="AG2937" s="22"/>
      <c r="AH2937" s="22"/>
      <c r="AI2937" s="22"/>
      <c r="AJ2937" s="22"/>
    </row>
    <row r="2938" spans="1:36" x14ac:dyDescent="0.25">
      <c r="A2938" s="22" t="s">
        <v>5356</v>
      </c>
      <c r="B2938" s="22">
        <v>0</v>
      </c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  <c r="O2938" s="22"/>
      <c r="P2938" s="22"/>
      <c r="Q2938" s="22"/>
      <c r="R2938" s="22"/>
      <c r="S2938" s="22"/>
      <c r="T2938" s="22"/>
      <c r="U2938" s="22"/>
      <c r="V2938" s="22"/>
      <c r="W2938" s="22"/>
      <c r="X2938" s="22"/>
      <c r="Y2938" s="22"/>
      <c r="Z2938" s="22"/>
      <c r="AA2938" s="22"/>
      <c r="AB2938" s="22"/>
      <c r="AC2938" s="22"/>
      <c r="AD2938" s="22"/>
      <c r="AE2938" s="22"/>
      <c r="AF2938" s="22"/>
      <c r="AG2938" s="22"/>
      <c r="AH2938" s="22"/>
      <c r="AI2938" s="22"/>
      <c r="AJ2938" s="22"/>
    </row>
    <row r="2939" spans="1:36" x14ac:dyDescent="0.25">
      <c r="A2939" s="22" t="s">
        <v>5357</v>
      </c>
      <c r="B2939" s="22">
        <v>0</v>
      </c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  <c r="O2939" s="22"/>
      <c r="P2939" s="22"/>
      <c r="Q2939" s="22"/>
      <c r="R2939" s="22"/>
      <c r="S2939" s="22"/>
      <c r="T2939" s="22"/>
      <c r="U2939" s="22"/>
      <c r="V2939" s="22"/>
      <c r="W2939" s="22"/>
      <c r="X2939" s="22"/>
      <c r="Y2939" s="22"/>
      <c r="Z2939" s="22"/>
      <c r="AA2939" s="22"/>
      <c r="AB2939" s="22"/>
      <c r="AC2939" s="22"/>
      <c r="AD2939" s="22"/>
      <c r="AE2939" s="22"/>
      <c r="AF2939" s="22"/>
      <c r="AG2939" s="22"/>
      <c r="AH2939" s="22"/>
      <c r="AI2939" s="22"/>
      <c r="AJ2939" s="22"/>
    </row>
    <row r="2940" spans="1:36" x14ac:dyDescent="0.25">
      <c r="A2940" s="22" t="s">
        <v>5358</v>
      </c>
      <c r="B2940" s="22">
        <v>0</v>
      </c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22"/>
      <c r="AD2940" s="22"/>
      <c r="AE2940" s="22"/>
      <c r="AF2940" s="22"/>
      <c r="AG2940" s="22"/>
      <c r="AH2940" s="22"/>
      <c r="AI2940" s="22"/>
      <c r="AJ2940" s="22"/>
    </row>
    <row r="2941" spans="1:36" x14ac:dyDescent="0.25">
      <c r="A2941" s="22" t="s">
        <v>5359</v>
      </c>
      <c r="B2941" s="22">
        <v>0</v>
      </c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  <c r="O2941" s="22"/>
      <c r="P2941" s="22"/>
      <c r="Q2941" s="22"/>
      <c r="R2941" s="22"/>
      <c r="S2941" s="22"/>
      <c r="T2941" s="22"/>
      <c r="U2941" s="22"/>
      <c r="V2941" s="22"/>
      <c r="W2941" s="22"/>
      <c r="X2941" s="22"/>
      <c r="Y2941" s="22"/>
      <c r="Z2941" s="22"/>
      <c r="AA2941" s="22"/>
      <c r="AB2941" s="22"/>
      <c r="AC2941" s="22"/>
      <c r="AD2941" s="22"/>
      <c r="AE2941" s="22"/>
      <c r="AF2941" s="22"/>
      <c r="AG2941" s="22"/>
      <c r="AH2941" s="22"/>
      <c r="AI2941" s="22"/>
      <c r="AJ2941" s="22"/>
    </row>
    <row r="2942" spans="1:36" x14ac:dyDescent="0.25">
      <c r="A2942" s="22" t="s">
        <v>2081</v>
      </c>
      <c r="B2942" s="22">
        <v>75</v>
      </c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  <c r="O2942" s="22"/>
      <c r="P2942" s="22"/>
      <c r="Q2942" s="22"/>
      <c r="R2942" s="22"/>
      <c r="S2942" s="22"/>
      <c r="T2942" s="22"/>
      <c r="U2942" s="22"/>
      <c r="V2942" s="22"/>
      <c r="W2942" s="22"/>
      <c r="X2942" s="22"/>
      <c r="Y2942" s="22"/>
      <c r="Z2942" s="22"/>
      <c r="AA2942" s="22"/>
      <c r="AB2942" s="22"/>
      <c r="AC2942" s="22"/>
      <c r="AD2942" s="22"/>
      <c r="AE2942" s="22"/>
      <c r="AF2942" s="22"/>
      <c r="AG2942" s="22"/>
      <c r="AH2942" s="22"/>
      <c r="AI2942" s="22"/>
      <c r="AJ2942" s="22"/>
    </row>
    <row r="2943" spans="1:36" x14ac:dyDescent="0.25">
      <c r="A2943" s="22" t="s">
        <v>3635</v>
      </c>
      <c r="B2943" s="22">
        <v>0</v>
      </c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  <c r="O2943" s="22"/>
      <c r="P2943" s="22"/>
      <c r="Q2943" s="22"/>
      <c r="R2943" s="22"/>
      <c r="S2943" s="22"/>
      <c r="T2943" s="22"/>
      <c r="U2943" s="22"/>
      <c r="V2943" s="22"/>
      <c r="W2943" s="22"/>
      <c r="X2943" s="22"/>
      <c r="Y2943" s="22"/>
      <c r="Z2943" s="22"/>
      <c r="AA2943" s="22"/>
      <c r="AB2943" s="22"/>
      <c r="AC2943" s="22"/>
      <c r="AD2943" s="22"/>
      <c r="AE2943" s="22"/>
      <c r="AF2943" s="22"/>
      <c r="AG2943" s="22"/>
      <c r="AH2943" s="22"/>
      <c r="AI2943" s="22"/>
      <c r="AJ2943" s="22"/>
    </row>
    <row r="2944" spans="1:36" x14ac:dyDescent="0.25">
      <c r="A2944" s="22" t="s">
        <v>3636</v>
      </c>
      <c r="B2944" s="22">
        <v>0</v>
      </c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  <c r="O2944" s="22"/>
      <c r="P2944" s="22"/>
      <c r="Q2944" s="22"/>
      <c r="R2944" s="22"/>
      <c r="S2944" s="22"/>
      <c r="T2944" s="22"/>
      <c r="U2944" s="22"/>
      <c r="V2944" s="22"/>
      <c r="W2944" s="22"/>
      <c r="X2944" s="22"/>
      <c r="Y2944" s="22"/>
      <c r="Z2944" s="22"/>
      <c r="AA2944" s="22"/>
      <c r="AB2944" s="22"/>
      <c r="AC2944" s="22"/>
      <c r="AD2944" s="22"/>
      <c r="AE2944" s="22"/>
      <c r="AF2944" s="22"/>
      <c r="AG2944" s="22"/>
      <c r="AH2944" s="22"/>
      <c r="AI2944" s="22"/>
      <c r="AJ2944" s="22"/>
    </row>
    <row r="2945" spans="1:36" x14ac:dyDescent="0.25">
      <c r="A2945" s="22" t="s">
        <v>3637</v>
      </c>
      <c r="B2945" s="22">
        <v>0</v>
      </c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  <c r="O2945" s="22"/>
      <c r="P2945" s="22"/>
      <c r="Q2945" s="22"/>
      <c r="R2945" s="22"/>
      <c r="S2945" s="22"/>
      <c r="T2945" s="22"/>
      <c r="U2945" s="22"/>
      <c r="V2945" s="22"/>
      <c r="W2945" s="22"/>
      <c r="X2945" s="22"/>
      <c r="Y2945" s="22"/>
      <c r="Z2945" s="22"/>
      <c r="AA2945" s="22"/>
      <c r="AB2945" s="22"/>
      <c r="AC2945" s="22"/>
      <c r="AD2945" s="22"/>
      <c r="AE2945" s="22"/>
      <c r="AF2945" s="22"/>
      <c r="AG2945" s="22"/>
      <c r="AH2945" s="22"/>
      <c r="AI2945" s="22"/>
      <c r="AJ2945" s="22"/>
    </row>
    <row r="2946" spans="1:36" x14ac:dyDescent="0.25">
      <c r="A2946" s="22" t="s">
        <v>3638</v>
      </c>
      <c r="B2946" s="22">
        <v>0</v>
      </c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  <c r="O2946" s="22"/>
      <c r="P2946" s="22"/>
      <c r="Q2946" s="22"/>
      <c r="R2946" s="22"/>
      <c r="S2946" s="22"/>
      <c r="T2946" s="22"/>
      <c r="U2946" s="22"/>
      <c r="V2946" s="22"/>
      <c r="W2946" s="22"/>
      <c r="X2946" s="22"/>
      <c r="Y2946" s="22"/>
      <c r="Z2946" s="22"/>
      <c r="AA2946" s="22"/>
      <c r="AB2946" s="22"/>
      <c r="AC2946" s="22"/>
      <c r="AD2946" s="22"/>
      <c r="AE2946" s="22"/>
      <c r="AF2946" s="22"/>
      <c r="AG2946" s="22"/>
      <c r="AH2946" s="22"/>
      <c r="AI2946" s="22"/>
      <c r="AJ2946" s="22"/>
    </row>
    <row r="2947" spans="1:36" x14ac:dyDescent="0.25">
      <c r="A2947" s="22" t="s">
        <v>3639</v>
      </c>
      <c r="B2947" s="22">
        <v>0</v>
      </c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  <c r="O2947" s="22"/>
      <c r="P2947" s="22"/>
      <c r="Q2947" s="22"/>
      <c r="R2947" s="22"/>
      <c r="S2947" s="22"/>
      <c r="T2947" s="22"/>
      <c r="U2947" s="22"/>
      <c r="V2947" s="22"/>
      <c r="W2947" s="22"/>
      <c r="X2947" s="22"/>
      <c r="Y2947" s="22"/>
      <c r="Z2947" s="22"/>
      <c r="AA2947" s="22"/>
      <c r="AB2947" s="22"/>
      <c r="AC2947" s="22"/>
      <c r="AD2947" s="22"/>
      <c r="AE2947" s="22"/>
      <c r="AF2947" s="22"/>
      <c r="AG2947" s="22"/>
      <c r="AH2947" s="22"/>
      <c r="AI2947" s="22"/>
      <c r="AJ2947" s="22"/>
    </row>
    <row r="2948" spans="1:36" x14ac:dyDescent="0.25">
      <c r="A2948" s="22" t="s">
        <v>3640</v>
      </c>
      <c r="B2948" s="22">
        <v>0</v>
      </c>
      <c r="C2948" s="22"/>
      <c r="D2948" s="22"/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  <c r="O2948" s="22"/>
      <c r="P2948" s="22"/>
      <c r="Q2948" s="22"/>
      <c r="R2948" s="22"/>
      <c r="S2948" s="22"/>
      <c r="T2948" s="22"/>
      <c r="U2948" s="22"/>
      <c r="V2948" s="22"/>
      <c r="W2948" s="22"/>
      <c r="X2948" s="22"/>
      <c r="Y2948" s="22"/>
      <c r="Z2948" s="22"/>
      <c r="AA2948" s="22"/>
      <c r="AB2948" s="22"/>
      <c r="AC2948" s="22"/>
      <c r="AD2948" s="22"/>
      <c r="AE2948" s="22"/>
      <c r="AF2948" s="22"/>
      <c r="AG2948" s="22"/>
      <c r="AH2948" s="22"/>
      <c r="AI2948" s="22"/>
      <c r="AJ2948" s="22"/>
    </row>
    <row r="2949" spans="1:36" x14ac:dyDescent="0.25">
      <c r="A2949" s="22" t="s">
        <v>3641</v>
      </c>
      <c r="B2949" s="22">
        <v>0</v>
      </c>
      <c r="C2949" s="22"/>
      <c r="D2949" s="22"/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  <c r="O2949" s="22"/>
      <c r="P2949" s="22"/>
      <c r="Q2949" s="22"/>
      <c r="R2949" s="22"/>
      <c r="S2949" s="22"/>
      <c r="T2949" s="22"/>
      <c r="U2949" s="22"/>
      <c r="V2949" s="22"/>
      <c r="W2949" s="22"/>
      <c r="X2949" s="22"/>
      <c r="Y2949" s="22"/>
      <c r="Z2949" s="22"/>
      <c r="AA2949" s="22"/>
      <c r="AB2949" s="22"/>
      <c r="AC2949" s="22"/>
      <c r="AD2949" s="22"/>
      <c r="AE2949" s="22"/>
      <c r="AF2949" s="22"/>
      <c r="AG2949" s="22"/>
      <c r="AH2949" s="22"/>
      <c r="AI2949" s="22"/>
      <c r="AJ2949" s="22"/>
    </row>
    <row r="2950" spans="1:36" x14ac:dyDescent="0.25">
      <c r="A2950" s="22" t="s">
        <v>2084</v>
      </c>
      <c r="B2950" s="22">
        <v>17</v>
      </c>
      <c r="C2950" s="22"/>
      <c r="D2950" s="22"/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  <c r="O2950" s="22"/>
      <c r="P2950" s="22"/>
      <c r="Q2950" s="22"/>
      <c r="R2950" s="22"/>
      <c r="S2950" s="22"/>
      <c r="T2950" s="22"/>
      <c r="U2950" s="22"/>
      <c r="V2950" s="22"/>
      <c r="W2950" s="22"/>
      <c r="X2950" s="22"/>
      <c r="Y2950" s="22"/>
      <c r="Z2950" s="22"/>
      <c r="AA2950" s="22"/>
      <c r="AB2950" s="22"/>
      <c r="AC2950" s="22"/>
      <c r="AD2950" s="22"/>
      <c r="AE2950" s="22"/>
      <c r="AF2950" s="22"/>
      <c r="AG2950" s="22"/>
      <c r="AH2950" s="22"/>
      <c r="AI2950" s="22"/>
      <c r="AJ2950" s="22"/>
    </row>
    <row r="2951" spans="1:36" x14ac:dyDescent="0.25">
      <c r="A2951" s="22" t="s">
        <v>3642</v>
      </c>
      <c r="B2951" s="22">
        <v>0</v>
      </c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  <c r="O2951" s="22"/>
      <c r="P2951" s="22"/>
      <c r="Q2951" s="22"/>
      <c r="R2951" s="22"/>
      <c r="S2951" s="22"/>
      <c r="T2951" s="22"/>
      <c r="U2951" s="22"/>
      <c r="V2951" s="22"/>
      <c r="W2951" s="22"/>
      <c r="X2951" s="22"/>
      <c r="Y2951" s="22"/>
      <c r="Z2951" s="22"/>
      <c r="AA2951" s="22"/>
      <c r="AB2951" s="22"/>
      <c r="AC2951" s="22"/>
      <c r="AD2951" s="22"/>
      <c r="AE2951" s="22"/>
      <c r="AF2951" s="22"/>
      <c r="AG2951" s="22"/>
      <c r="AH2951" s="22"/>
      <c r="AI2951" s="22"/>
      <c r="AJ2951" s="22"/>
    </row>
    <row r="2952" spans="1:36" x14ac:dyDescent="0.25">
      <c r="A2952" s="22" t="s">
        <v>3643</v>
      </c>
      <c r="B2952" s="22">
        <v>0</v>
      </c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  <c r="O2952" s="22"/>
      <c r="P2952" s="22"/>
      <c r="Q2952" s="22"/>
      <c r="R2952" s="22"/>
      <c r="S2952" s="22"/>
      <c r="T2952" s="22"/>
      <c r="U2952" s="22"/>
      <c r="V2952" s="22"/>
      <c r="W2952" s="22"/>
      <c r="X2952" s="22"/>
      <c r="Y2952" s="22"/>
      <c r="Z2952" s="22"/>
      <c r="AA2952" s="22"/>
      <c r="AB2952" s="22"/>
      <c r="AC2952" s="22"/>
      <c r="AD2952" s="22"/>
      <c r="AE2952" s="22"/>
      <c r="AF2952" s="22"/>
      <c r="AG2952" s="22"/>
      <c r="AH2952" s="22"/>
      <c r="AI2952" s="22"/>
      <c r="AJ2952" s="22"/>
    </row>
    <row r="2953" spans="1:36" x14ac:dyDescent="0.25">
      <c r="A2953" s="22" t="s">
        <v>3644</v>
      </c>
      <c r="B2953" s="22">
        <v>0</v>
      </c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  <c r="O2953" s="22"/>
      <c r="P2953" s="22"/>
      <c r="Q2953" s="22"/>
      <c r="R2953" s="22"/>
      <c r="S2953" s="22"/>
      <c r="T2953" s="22"/>
      <c r="U2953" s="22"/>
      <c r="V2953" s="22"/>
      <c r="W2953" s="22"/>
      <c r="X2953" s="22"/>
      <c r="Y2953" s="22"/>
      <c r="Z2953" s="22"/>
      <c r="AA2953" s="22"/>
      <c r="AB2953" s="22"/>
      <c r="AC2953" s="22"/>
      <c r="AD2953" s="22"/>
      <c r="AE2953" s="22"/>
      <c r="AF2953" s="22"/>
      <c r="AG2953" s="22"/>
      <c r="AH2953" s="22"/>
      <c r="AI2953" s="22"/>
      <c r="AJ2953" s="22"/>
    </row>
    <row r="2954" spans="1:36" x14ac:dyDescent="0.25">
      <c r="A2954" s="22" t="s">
        <v>3645</v>
      </c>
      <c r="B2954" s="22">
        <v>0</v>
      </c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  <c r="O2954" s="22"/>
      <c r="P2954" s="22"/>
      <c r="Q2954" s="22"/>
      <c r="R2954" s="22"/>
      <c r="S2954" s="22"/>
      <c r="T2954" s="22"/>
      <c r="U2954" s="22"/>
      <c r="V2954" s="22"/>
      <c r="W2954" s="22"/>
      <c r="X2954" s="22"/>
      <c r="Y2954" s="22"/>
      <c r="Z2954" s="22"/>
      <c r="AA2954" s="22"/>
      <c r="AB2954" s="22"/>
      <c r="AC2954" s="22"/>
      <c r="AD2954" s="22"/>
      <c r="AE2954" s="22"/>
      <c r="AF2954" s="22"/>
      <c r="AG2954" s="22"/>
      <c r="AH2954" s="22"/>
      <c r="AI2954" s="22"/>
      <c r="AJ2954" s="22"/>
    </row>
    <row r="2955" spans="1:36" x14ac:dyDescent="0.25">
      <c r="A2955" s="22" t="s">
        <v>3646</v>
      </c>
      <c r="B2955" s="22">
        <v>0</v>
      </c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  <c r="O2955" s="22"/>
      <c r="P2955" s="22"/>
      <c r="Q2955" s="22"/>
      <c r="R2955" s="22"/>
      <c r="S2955" s="22"/>
      <c r="T2955" s="22"/>
      <c r="U2955" s="22"/>
      <c r="V2955" s="22"/>
      <c r="W2955" s="22"/>
      <c r="X2955" s="22"/>
      <c r="Y2955" s="22"/>
      <c r="Z2955" s="22"/>
      <c r="AA2955" s="22"/>
      <c r="AB2955" s="22"/>
      <c r="AC2955" s="22"/>
      <c r="AD2955" s="22"/>
      <c r="AE2955" s="22"/>
      <c r="AF2955" s="22"/>
      <c r="AG2955" s="22"/>
      <c r="AH2955" s="22"/>
      <c r="AI2955" s="22"/>
      <c r="AJ2955" s="22"/>
    </row>
    <row r="2956" spans="1:36" x14ac:dyDescent="0.25">
      <c r="A2956" s="22" t="s">
        <v>3647</v>
      </c>
      <c r="B2956" s="22">
        <v>0</v>
      </c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  <c r="O2956" s="22"/>
      <c r="P2956" s="22"/>
      <c r="Q2956" s="22"/>
      <c r="R2956" s="22"/>
      <c r="S2956" s="22"/>
      <c r="T2956" s="22"/>
      <c r="U2956" s="22"/>
      <c r="V2956" s="22"/>
      <c r="W2956" s="22"/>
      <c r="X2956" s="22"/>
      <c r="Y2956" s="22"/>
      <c r="Z2956" s="22"/>
      <c r="AA2956" s="22"/>
      <c r="AB2956" s="22"/>
      <c r="AC2956" s="22"/>
      <c r="AD2956" s="22"/>
      <c r="AE2956" s="22"/>
      <c r="AF2956" s="22"/>
      <c r="AG2956" s="22"/>
      <c r="AH2956" s="22"/>
      <c r="AI2956" s="22"/>
      <c r="AJ2956" s="22"/>
    </row>
    <row r="2957" spans="1:36" x14ac:dyDescent="0.25">
      <c r="A2957" s="22" t="s">
        <v>3648</v>
      </c>
      <c r="B2957" s="22">
        <v>0</v>
      </c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  <c r="O2957" s="22"/>
      <c r="P2957" s="22"/>
      <c r="Q2957" s="22"/>
      <c r="R2957" s="22"/>
      <c r="S2957" s="22"/>
      <c r="T2957" s="22"/>
      <c r="U2957" s="22"/>
      <c r="V2957" s="22"/>
      <c r="W2957" s="22"/>
      <c r="X2957" s="22"/>
      <c r="Y2957" s="22"/>
      <c r="Z2957" s="22"/>
      <c r="AA2957" s="22"/>
      <c r="AB2957" s="22"/>
      <c r="AC2957" s="22"/>
      <c r="AD2957" s="22"/>
      <c r="AE2957" s="22"/>
      <c r="AF2957" s="22"/>
      <c r="AG2957" s="22"/>
      <c r="AH2957" s="22"/>
      <c r="AI2957" s="22"/>
      <c r="AJ2957" s="22"/>
    </row>
    <row r="2958" spans="1:36" x14ac:dyDescent="0.25">
      <c r="A2958" s="22" t="s">
        <v>5360</v>
      </c>
      <c r="B2958" s="22">
        <v>3</v>
      </c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  <c r="O2958" s="22"/>
      <c r="P2958" s="22"/>
      <c r="Q2958" s="22"/>
      <c r="R2958" s="22"/>
      <c r="S2958" s="22"/>
      <c r="T2958" s="22"/>
      <c r="U2958" s="22"/>
      <c r="V2958" s="22"/>
      <c r="W2958" s="22"/>
      <c r="X2958" s="22"/>
      <c r="Y2958" s="22"/>
      <c r="Z2958" s="22"/>
      <c r="AA2958" s="22"/>
      <c r="AB2958" s="22"/>
      <c r="AC2958" s="22"/>
      <c r="AD2958" s="22"/>
      <c r="AE2958" s="22"/>
      <c r="AF2958" s="22"/>
      <c r="AG2958" s="22"/>
      <c r="AH2958" s="22"/>
      <c r="AI2958" s="22"/>
      <c r="AJ2958" s="22"/>
    </row>
    <row r="2959" spans="1:36" x14ac:dyDescent="0.25">
      <c r="A2959" s="22" t="s">
        <v>5361</v>
      </c>
      <c r="B2959" s="22">
        <v>0</v>
      </c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  <c r="O2959" s="22"/>
      <c r="P2959" s="22"/>
      <c r="Q2959" s="22"/>
      <c r="R2959" s="22"/>
      <c r="S2959" s="22"/>
      <c r="T2959" s="22"/>
      <c r="U2959" s="22"/>
      <c r="V2959" s="22"/>
      <c r="W2959" s="22"/>
      <c r="X2959" s="22"/>
      <c r="Y2959" s="22"/>
      <c r="Z2959" s="22"/>
      <c r="AA2959" s="22"/>
      <c r="AB2959" s="22"/>
      <c r="AC2959" s="22"/>
      <c r="AD2959" s="22"/>
      <c r="AE2959" s="22"/>
      <c r="AF2959" s="22"/>
      <c r="AG2959" s="22"/>
      <c r="AH2959" s="22"/>
      <c r="AI2959" s="22"/>
      <c r="AJ2959" s="22"/>
    </row>
    <row r="2960" spans="1:36" x14ac:dyDescent="0.25">
      <c r="A2960" s="22" t="s">
        <v>5362</v>
      </c>
      <c r="B2960" s="22">
        <v>0</v>
      </c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  <c r="O2960" s="22"/>
      <c r="P2960" s="22"/>
      <c r="Q2960" s="22"/>
      <c r="R2960" s="22"/>
      <c r="S2960" s="22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22"/>
      <c r="AD2960" s="22"/>
      <c r="AE2960" s="22"/>
      <c r="AF2960" s="22"/>
      <c r="AG2960" s="22"/>
      <c r="AH2960" s="22"/>
      <c r="AI2960" s="22"/>
      <c r="AJ2960" s="22"/>
    </row>
    <row r="2961" spans="1:36" x14ac:dyDescent="0.25">
      <c r="A2961" s="22" t="s">
        <v>5363</v>
      </c>
      <c r="B2961" s="22">
        <v>0</v>
      </c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  <c r="O2961" s="22"/>
      <c r="P2961" s="22"/>
      <c r="Q2961" s="22"/>
      <c r="R2961" s="22"/>
      <c r="S2961" s="22"/>
      <c r="T2961" s="22"/>
      <c r="U2961" s="22"/>
      <c r="V2961" s="22"/>
      <c r="W2961" s="22"/>
      <c r="X2961" s="22"/>
      <c r="Y2961" s="22"/>
      <c r="Z2961" s="22"/>
      <c r="AA2961" s="22"/>
      <c r="AB2961" s="22"/>
      <c r="AC2961" s="22"/>
      <c r="AD2961" s="22"/>
      <c r="AE2961" s="22"/>
      <c r="AF2961" s="22"/>
      <c r="AG2961" s="22"/>
      <c r="AH2961" s="22"/>
      <c r="AI2961" s="22"/>
      <c r="AJ2961" s="22"/>
    </row>
    <row r="2962" spans="1:36" x14ac:dyDescent="0.25">
      <c r="A2962" s="22" t="s">
        <v>5364</v>
      </c>
      <c r="B2962" s="22">
        <v>0</v>
      </c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  <c r="O2962" s="22"/>
      <c r="P2962" s="22"/>
      <c r="Q2962" s="22"/>
      <c r="R2962" s="22"/>
      <c r="S2962" s="22"/>
      <c r="T2962" s="22"/>
      <c r="U2962" s="22"/>
      <c r="V2962" s="22"/>
      <c r="W2962" s="22"/>
      <c r="X2962" s="22"/>
      <c r="Y2962" s="22"/>
      <c r="Z2962" s="22"/>
      <c r="AA2962" s="22"/>
      <c r="AB2962" s="22"/>
      <c r="AC2962" s="22"/>
      <c r="AD2962" s="22"/>
      <c r="AE2962" s="22"/>
      <c r="AF2962" s="22"/>
      <c r="AG2962" s="22"/>
      <c r="AH2962" s="22"/>
      <c r="AI2962" s="22"/>
      <c r="AJ2962" s="22"/>
    </row>
    <row r="2963" spans="1:36" x14ac:dyDescent="0.25">
      <c r="A2963" s="22" t="s">
        <v>5365</v>
      </c>
      <c r="B2963" s="22">
        <v>0</v>
      </c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  <c r="O2963" s="22"/>
      <c r="P2963" s="22"/>
      <c r="Q2963" s="22"/>
      <c r="R2963" s="22"/>
      <c r="S2963" s="22"/>
      <c r="T2963" s="22"/>
      <c r="U2963" s="22"/>
      <c r="V2963" s="22"/>
      <c r="W2963" s="22"/>
      <c r="X2963" s="22"/>
      <c r="Y2963" s="22"/>
      <c r="Z2963" s="22"/>
      <c r="AA2963" s="22"/>
      <c r="AB2963" s="22"/>
      <c r="AC2963" s="22"/>
      <c r="AD2963" s="22"/>
      <c r="AE2963" s="22"/>
      <c r="AF2963" s="22"/>
      <c r="AG2963" s="22"/>
      <c r="AH2963" s="22"/>
      <c r="AI2963" s="22"/>
      <c r="AJ2963" s="22"/>
    </row>
    <row r="2964" spans="1:36" x14ac:dyDescent="0.25">
      <c r="A2964" s="22" t="s">
        <v>5366</v>
      </c>
      <c r="B2964" s="22">
        <v>0</v>
      </c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  <c r="O2964" s="22"/>
      <c r="P2964" s="22"/>
      <c r="Q2964" s="22"/>
      <c r="R2964" s="22"/>
      <c r="S2964" s="22"/>
      <c r="T2964" s="22"/>
      <c r="U2964" s="22"/>
      <c r="V2964" s="22"/>
      <c r="W2964" s="22"/>
      <c r="X2964" s="22"/>
      <c r="Y2964" s="22"/>
      <c r="Z2964" s="22"/>
      <c r="AA2964" s="22"/>
      <c r="AB2964" s="22"/>
      <c r="AC2964" s="22"/>
      <c r="AD2964" s="22"/>
      <c r="AE2964" s="22"/>
      <c r="AF2964" s="22"/>
      <c r="AG2964" s="22"/>
      <c r="AH2964" s="22"/>
      <c r="AI2964" s="22"/>
      <c r="AJ2964" s="22"/>
    </row>
    <row r="2965" spans="1:36" x14ac:dyDescent="0.25">
      <c r="A2965" s="22" t="s">
        <v>5367</v>
      </c>
      <c r="B2965" s="22">
        <v>0</v>
      </c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  <c r="O2965" s="22"/>
      <c r="P2965" s="22"/>
      <c r="Q2965" s="22"/>
      <c r="R2965" s="22"/>
      <c r="S2965" s="22"/>
      <c r="T2965" s="22"/>
      <c r="U2965" s="22"/>
      <c r="V2965" s="22"/>
      <c r="W2965" s="22"/>
      <c r="X2965" s="22"/>
      <c r="Y2965" s="22"/>
      <c r="Z2965" s="22"/>
      <c r="AA2965" s="22"/>
      <c r="AB2965" s="22"/>
      <c r="AC2965" s="22"/>
      <c r="AD2965" s="22"/>
      <c r="AE2965" s="22"/>
      <c r="AF2965" s="22"/>
      <c r="AG2965" s="22"/>
      <c r="AH2965" s="22"/>
      <c r="AI2965" s="22"/>
      <c r="AJ2965" s="22"/>
    </row>
    <row r="2966" spans="1:36" x14ac:dyDescent="0.25">
      <c r="A2966" s="22" t="s">
        <v>2087</v>
      </c>
      <c r="B2966" s="22">
        <v>0</v>
      </c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  <c r="O2966" s="22"/>
      <c r="P2966" s="22"/>
      <c r="Q2966" s="22"/>
      <c r="R2966" s="22"/>
      <c r="S2966" s="22"/>
      <c r="T2966" s="22"/>
      <c r="U2966" s="22"/>
      <c r="V2966" s="22"/>
      <c r="W2966" s="22"/>
      <c r="X2966" s="22"/>
      <c r="Y2966" s="22"/>
      <c r="Z2966" s="22"/>
      <c r="AA2966" s="22"/>
      <c r="AB2966" s="22"/>
      <c r="AC2966" s="22"/>
      <c r="AD2966" s="22"/>
      <c r="AE2966" s="22"/>
      <c r="AF2966" s="22"/>
      <c r="AG2966" s="22"/>
      <c r="AH2966" s="22"/>
      <c r="AI2966" s="22"/>
      <c r="AJ2966" s="22"/>
    </row>
    <row r="2967" spans="1:36" x14ac:dyDescent="0.25">
      <c r="A2967" s="22" t="s">
        <v>5368</v>
      </c>
      <c r="B2967" s="22">
        <v>0</v>
      </c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  <c r="O2967" s="22"/>
      <c r="P2967" s="22"/>
      <c r="Q2967" s="22"/>
      <c r="R2967" s="22"/>
      <c r="S2967" s="22"/>
      <c r="T2967" s="22"/>
      <c r="U2967" s="22"/>
      <c r="V2967" s="22"/>
      <c r="W2967" s="22"/>
      <c r="X2967" s="22"/>
      <c r="Y2967" s="22"/>
      <c r="Z2967" s="22"/>
      <c r="AA2967" s="22"/>
      <c r="AB2967" s="22"/>
      <c r="AC2967" s="22"/>
      <c r="AD2967" s="22"/>
      <c r="AE2967" s="22"/>
      <c r="AF2967" s="22"/>
      <c r="AG2967" s="22"/>
      <c r="AH2967" s="22"/>
      <c r="AI2967" s="22"/>
      <c r="AJ2967" s="22"/>
    </row>
    <row r="2968" spans="1:36" x14ac:dyDescent="0.25">
      <c r="A2968" s="22" t="s">
        <v>5369</v>
      </c>
      <c r="B2968" s="22">
        <v>0</v>
      </c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  <c r="O2968" s="22"/>
      <c r="P2968" s="22"/>
      <c r="Q2968" s="22"/>
      <c r="R2968" s="22"/>
      <c r="S2968" s="22"/>
      <c r="T2968" s="22"/>
      <c r="U2968" s="22"/>
      <c r="V2968" s="22"/>
      <c r="W2968" s="22"/>
      <c r="X2968" s="22"/>
      <c r="Y2968" s="22"/>
      <c r="Z2968" s="22"/>
      <c r="AA2968" s="22"/>
      <c r="AB2968" s="22"/>
      <c r="AC2968" s="22"/>
      <c r="AD2968" s="22"/>
      <c r="AE2968" s="22"/>
      <c r="AF2968" s="22"/>
      <c r="AG2968" s="22"/>
      <c r="AH2968" s="22"/>
      <c r="AI2968" s="22"/>
      <c r="AJ2968" s="22"/>
    </row>
    <row r="2969" spans="1:36" x14ac:dyDescent="0.25">
      <c r="A2969" s="22" t="s">
        <v>5370</v>
      </c>
      <c r="B2969" s="22">
        <v>0</v>
      </c>
      <c r="C2969" s="22"/>
      <c r="D2969" s="22"/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  <c r="O2969" s="22"/>
      <c r="P2969" s="22"/>
      <c r="Q2969" s="22"/>
      <c r="R2969" s="22"/>
      <c r="S2969" s="22"/>
      <c r="T2969" s="22"/>
      <c r="U2969" s="22"/>
      <c r="V2969" s="22"/>
      <c r="W2969" s="22"/>
      <c r="X2969" s="22"/>
      <c r="Y2969" s="22"/>
      <c r="Z2969" s="22"/>
      <c r="AA2969" s="22"/>
      <c r="AB2969" s="22"/>
      <c r="AC2969" s="22"/>
      <c r="AD2969" s="22"/>
      <c r="AE2969" s="22"/>
      <c r="AF2969" s="22"/>
      <c r="AG2969" s="22"/>
      <c r="AH2969" s="22"/>
      <c r="AI2969" s="22"/>
      <c r="AJ2969" s="22"/>
    </row>
    <row r="2970" spans="1:36" x14ac:dyDescent="0.25">
      <c r="A2970" s="22" t="s">
        <v>5371</v>
      </c>
      <c r="B2970" s="22">
        <v>0</v>
      </c>
      <c r="C2970" s="22"/>
      <c r="D2970" s="22"/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  <c r="O2970" s="22"/>
      <c r="P2970" s="22"/>
      <c r="Q2970" s="22"/>
      <c r="R2970" s="22"/>
      <c r="S2970" s="22"/>
      <c r="T2970" s="22"/>
      <c r="U2970" s="22"/>
      <c r="V2970" s="22"/>
      <c r="W2970" s="22"/>
      <c r="X2970" s="22"/>
      <c r="Y2970" s="22"/>
      <c r="Z2970" s="22"/>
      <c r="AA2970" s="22"/>
      <c r="AB2970" s="22"/>
      <c r="AC2970" s="22"/>
      <c r="AD2970" s="22"/>
      <c r="AE2970" s="22"/>
      <c r="AF2970" s="22"/>
      <c r="AG2970" s="22"/>
      <c r="AH2970" s="22"/>
      <c r="AI2970" s="22"/>
      <c r="AJ2970" s="22"/>
    </row>
    <row r="2971" spans="1:36" x14ac:dyDescent="0.25">
      <c r="A2971" s="22" t="s">
        <v>5372</v>
      </c>
      <c r="B2971" s="22">
        <v>0</v>
      </c>
      <c r="C2971" s="22"/>
      <c r="D2971" s="22"/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  <c r="O2971" s="22"/>
      <c r="P2971" s="22"/>
      <c r="Q2971" s="22"/>
      <c r="R2971" s="22"/>
      <c r="S2971" s="22"/>
      <c r="T2971" s="22"/>
      <c r="U2971" s="22"/>
      <c r="V2971" s="22"/>
      <c r="W2971" s="22"/>
      <c r="X2971" s="22"/>
      <c r="Y2971" s="22"/>
      <c r="Z2971" s="22"/>
      <c r="AA2971" s="22"/>
      <c r="AB2971" s="22"/>
      <c r="AC2971" s="22"/>
      <c r="AD2971" s="22"/>
      <c r="AE2971" s="22"/>
      <c r="AF2971" s="22"/>
      <c r="AG2971" s="22"/>
      <c r="AH2971" s="22"/>
      <c r="AI2971" s="22"/>
      <c r="AJ2971" s="22"/>
    </row>
    <row r="2972" spans="1:36" x14ac:dyDescent="0.25">
      <c r="A2972" s="22" t="s">
        <v>5373</v>
      </c>
      <c r="B2972" s="22">
        <v>0</v>
      </c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  <c r="O2972" s="22"/>
      <c r="P2972" s="22"/>
      <c r="Q2972" s="22"/>
      <c r="R2972" s="22"/>
      <c r="S2972" s="22"/>
      <c r="T2972" s="22"/>
      <c r="U2972" s="22"/>
      <c r="V2972" s="22"/>
      <c r="W2972" s="22"/>
      <c r="X2972" s="22"/>
      <c r="Y2972" s="22"/>
      <c r="Z2972" s="22"/>
      <c r="AA2972" s="22"/>
      <c r="AB2972" s="22"/>
      <c r="AC2972" s="22"/>
      <c r="AD2972" s="22"/>
      <c r="AE2972" s="22"/>
      <c r="AF2972" s="22"/>
      <c r="AG2972" s="22"/>
      <c r="AH2972" s="22"/>
      <c r="AI2972" s="22"/>
      <c r="AJ2972" s="22"/>
    </row>
    <row r="2973" spans="1:36" x14ac:dyDescent="0.25">
      <c r="A2973" s="22" t="s">
        <v>5374</v>
      </c>
      <c r="B2973" s="22">
        <v>0</v>
      </c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  <c r="O2973" s="22"/>
      <c r="P2973" s="22"/>
      <c r="Q2973" s="22"/>
      <c r="R2973" s="22"/>
      <c r="S2973" s="22"/>
      <c r="T2973" s="22"/>
      <c r="U2973" s="22"/>
      <c r="V2973" s="22"/>
      <c r="W2973" s="22"/>
      <c r="X2973" s="22"/>
      <c r="Y2973" s="22"/>
      <c r="Z2973" s="22"/>
      <c r="AA2973" s="22"/>
      <c r="AB2973" s="22"/>
      <c r="AC2973" s="22"/>
      <c r="AD2973" s="22"/>
      <c r="AE2973" s="22"/>
      <c r="AF2973" s="22"/>
      <c r="AG2973" s="22"/>
      <c r="AH2973" s="22"/>
      <c r="AI2973" s="22"/>
      <c r="AJ2973" s="22"/>
    </row>
    <row r="2974" spans="1:36" x14ac:dyDescent="0.25">
      <c r="A2974" s="22" t="s">
        <v>2090</v>
      </c>
      <c r="B2974" s="22">
        <v>1</v>
      </c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  <c r="O2974" s="22"/>
      <c r="P2974" s="22"/>
      <c r="Q2974" s="22"/>
      <c r="R2974" s="22"/>
      <c r="S2974" s="22"/>
      <c r="T2974" s="22"/>
      <c r="U2974" s="22"/>
      <c r="V2974" s="22"/>
      <c r="W2974" s="22"/>
      <c r="X2974" s="22"/>
      <c r="Y2974" s="22"/>
      <c r="Z2974" s="22"/>
      <c r="AA2974" s="22"/>
      <c r="AB2974" s="22"/>
      <c r="AC2974" s="22"/>
      <c r="AD2974" s="22"/>
      <c r="AE2974" s="22"/>
      <c r="AF2974" s="22"/>
      <c r="AG2974" s="22"/>
      <c r="AH2974" s="22"/>
      <c r="AI2974" s="22"/>
      <c r="AJ2974" s="22"/>
    </row>
    <row r="2975" spans="1:36" x14ac:dyDescent="0.25">
      <c r="A2975" s="22" t="s">
        <v>3649</v>
      </c>
      <c r="B2975" s="22">
        <v>0</v>
      </c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  <c r="O2975" s="22"/>
      <c r="P2975" s="22"/>
      <c r="Q2975" s="22"/>
      <c r="R2975" s="22"/>
      <c r="S2975" s="22"/>
      <c r="T2975" s="22"/>
      <c r="U2975" s="22"/>
      <c r="V2975" s="22"/>
      <c r="W2975" s="22"/>
      <c r="X2975" s="22"/>
      <c r="Y2975" s="22"/>
      <c r="Z2975" s="22"/>
      <c r="AA2975" s="22"/>
      <c r="AB2975" s="22"/>
      <c r="AC2975" s="22"/>
      <c r="AD2975" s="22"/>
      <c r="AE2975" s="22"/>
      <c r="AF2975" s="22"/>
      <c r="AG2975" s="22"/>
      <c r="AH2975" s="22"/>
      <c r="AI2975" s="22"/>
      <c r="AJ2975" s="22"/>
    </row>
    <row r="2976" spans="1:36" x14ac:dyDescent="0.25">
      <c r="A2976" s="22" t="s">
        <v>3650</v>
      </c>
      <c r="B2976" s="22">
        <v>0</v>
      </c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  <c r="O2976" s="22"/>
      <c r="P2976" s="22"/>
      <c r="Q2976" s="22"/>
      <c r="R2976" s="22"/>
      <c r="S2976" s="22"/>
      <c r="T2976" s="22"/>
      <c r="U2976" s="22"/>
      <c r="V2976" s="22"/>
      <c r="W2976" s="22"/>
      <c r="X2976" s="22"/>
      <c r="Y2976" s="22"/>
      <c r="Z2976" s="22"/>
      <c r="AA2976" s="22"/>
      <c r="AB2976" s="22"/>
      <c r="AC2976" s="22"/>
      <c r="AD2976" s="22"/>
      <c r="AE2976" s="22"/>
      <c r="AF2976" s="22"/>
      <c r="AG2976" s="22"/>
      <c r="AH2976" s="22"/>
      <c r="AI2976" s="22"/>
      <c r="AJ2976" s="22"/>
    </row>
    <row r="2977" spans="1:36" x14ac:dyDescent="0.25">
      <c r="A2977" s="22" t="s">
        <v>3651</v>
      </c>
      <c r="B2977" s="22">
        <v>0</v>
      </c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  <c r="O2977" s="22"/>
      <c r="P2977" s="22"/>
      <c r="Q2977" s="22"/>
      <c r="R2977" s="22"/>
      <c r="S2977" s="22"/>
      <c r="T2977" s="22"/>
      <c r="U2977" s="22"/>
      <c r="V2977" s="22"/>
      <c r="W2977" s="22"/>
      <c r="X2977" s="22"/>
      <c r="Y2977" s="22"/>
      <c r="Z2977" s="22"/>
      <c r="AA2977" s="22"/>
      <c r="AB2977" s="22"/>
      <c r="AC2977" s="22"/>
      <c r="AD2977" s="22"/>
      <c r="AE2977" s="22"/>
      <c r="AF2977" s="22"/>
      <c r="AG2977" s="22"/>
      <c r="AH2977" s="22"/>
      <c r="AI2977" s="22"/>
      <c r="AJ2977" s="22"/>
    </row>
    <row r="2978" spans="1:36" x14ac:dyDescent="0.25">
      <c r="A2978" s="22" t="s">
        <v>3652</v>
      </c>
      <c r="B2978" s="22">
        <v>0</v>
      </c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</row>
    <row r="2979" spans="1:36" x14ac:dyDescent="0.25">
      <c r="A2979" s="22" t="s">
        <v>3653</v>
      </c>
      <c r="B2979" s="22">
        <v>0</v>
      </c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  <c r="O2979" s="22"/>
      <c r="P2979" s="22"/>
      <c r="Q2979" s="22"/>
      <c r="R2979" s="22"/>
      <c r="S2979" s="22"/>
      <c r="T2979" s="22"/>
      <c r="U2979" s="22"/>
      <c r="V2979" s="22"/>
      <c r="W2979" s="22"/>
      <c r="X2979" s="22"/>
      <c r="Y2979" s="22"/>
      <c r="Z2979" s="22"/>
      <c r="AA2979" s="22"/>
      <c r="AB2979" s="22"/>
      <c r="AC2979" s="22"/>
      <c r="AD2979" s="22"/>
      <c r="AE2979" s="22"/>
      <c r="AF2979" s="22"/>
      <c r="AG2979" s="22"/>
      <c r="AH2979" s="22"/>
      <c r="AI2979" s="22"/>
      <c r="AJ2979" s="22"/>
    </row>
    <row r="2980" spans="1:36" x14ac:dyDescent="0.25">
      <c r="A2980" s="22" t="s">
        <v>3654</v>
      </c>
      <c r="B2980" s="22">
        <v>0</v>
      </c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  <c r="O2980" s="22"/>
      <c r="P2980" s="22"/>
      <c r="Q2980" s="22"/>
      <c r="R2980" s="22"/>
      <c r="S2980" s="22"/>
      <c r="T2980" s="22"/>
      <c r="U2980" s="22"/>
      <c r="V2980" s="22"/>
      <c r="W2980" s="22"/>
      <c r="X2980" s="22"/>
      <c r="Y2980" s="22"/>
      <c r="Z2980" s="22"/>
      <c r="AA2980" s="22"/>
      <c r="AB2980" s="22"/>
      <c r="AC2980" s="22"/>
      <c r="AD2980" s="22"/>
      <c r="AE2980" s="22"/>
      <c r="AF2980" s="22"/>
      <c r="AG2980" s="22"/>
      <c r="AH2980" s="22"/>
      <c r="AI2980" s="22"/>
      <c r="AJ2980" s="22"/>
    </row>
    <row r="2981" spans="1:36" x14ac:dyDescent="0.25">
      <c r="A2981" s="22" t="s">
        <v>3655</v>
      </c>
      <c r="B2981" s="22">
        <v>0</v>
      </c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  <c r="O2981" s="22"/>
      <c r="P2981" s="22"/>
      <c r="Q2981" s="22"/>
      <c r="R2981" s="22"/>
      <c r="S2981" s="22"/>
      <c r="T2981" s="22"/>
      <c r="U2981" s="22"/>
      <c r="V2981" s="22"/>
      <c r="W2981" s="22"/>
      <c r="X2981" s="22"/>
      <c r="Y2981" s="22"/>
      <c r="Z2981" s="22"/>
      <c r="AA2981" s="22"/>
      <c r="AB2981" s="22"/>
      <c r="AC2981" s="22"/>
      <c r="AD2981" s="22"/>
      <c r="AE2981" s="22"/>
      <c r="AF2981" s="22"/>
      <c r="AG2981" s="22"/>
      <c r="AH2981" s="22"/>
      <c r="AI2981" s="22"/>
      <c r="AJ2981" s="22"/>
    </row>
    <row r="2982" spans="1:36" x14ac:dyDescent="0.25">
      <c r="A2982" s="22" t="s">
        <v>2093</v>
      </c>
      <c r="B2982" s="22">
        <v>0</v>
      </c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  <c r="O2982" s="22"/>
      <c r="P2982" s="22"/>
      <c r="Q2982" s="22"/>
      <c r="R2982" s="22"/>
      <c r="S2982" s="22"/>
      <c r="T2982" s="22"/>
      <c r="U2982" s="22"/>
      <c r="V2982" s="22"/>
      <c r="W2982" s="22"/>
      <c r="X2982" s="22"/>
      <c r="Y2982" s="22"/>
      <c r="Z2982" s="22"/>
      <c r="AA2982" s="22"/>
      <c r="AB2982" s="22"/>
      <c r="AC2982" s="22"/>
      <c r="AD2982" s="22"/>
      <c r="AE2982" s="22"/>
      <c r="AF2982" s="22"/>
      <c r="AG2982" s="22"/>
      <c r="AH2982" s="22"/>
      <c r="AI2982" s="22"/>
      <c r="AJ2982" s="22"/>
    </row>
    <row r="2983" spans="1:36" x14ac:dyDescent="0.25">
      <c r="A2983" s="22" t="s">
        <v>3656</v>
      </c>
      <c r="B2983" s="22">
        <v>0</v>
      </c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  <c r="O2983" s="22"/>
      <c r="P2983" s="22"/>
      <c r="Q2983" s="22"/>
      <c r="R2983" s="22"/>
      <c r="S2983" s="22"/>
      <c r="T2983" s="22"/>
      <c r="U2983" s="22"/>
      <c r="V2983" s="22"/>
      <c r="W2983" s="22"/>
      <c r="X2983" s="22"/>
      <c r="Y2983" s="22"/>
      <c r="Z2983" s="22"/>
      <c r="AA2983" s="22"/>
      <c r="AB2983" s="22"/>
      <c r="AC2983" s="22"/>
      <c r="AD2983" s="22"/>
      <c r="AE2983" s="22"/>
      <c r="AF2983" s="22"/>
      <c r="AG2983" s="22"/>
      <c r="AH2983" s="22"/>
      <c r="AI2983" s="22"/>
      <c r="AJ2983" s="22"/>
    </row>
    <row r="2984" spans="1:36" x14ac:dyDescent="0.25">
      <c r="A2984" s="22" t="s">
        <v>3657</v>
      </c>
      <c r="B2984" s="22">
        <v>0</v>
      </c>
      <c r="C2984" s="22"/>
      <c r="D2984" s="22"/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  <c r="O2984" s="22"/>
      <c r="P2984" s="22"/>
      <c r="Q2984" s="22"/>
      <c r="R2984" s="22"/>
      <c r="S2984" s="22"/>
      <c r="T2984" s="22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</row>
    <row r="2985" spans="1:36" x14ac:dyDescent="0.25">
      <c r="A2985" s="22" t="s">
        <v>3658</v>
      </c>
      <c r="B2985" s="22">
        <v>0</v>
      </c>
      <c r="C2985" s="22"/>
      <c r="D2985" s="22"/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  <c r="O2985" s="22"/>
      <c r="P2985" s="22"/>
      <c r="Q2985" s="22"/>
      <c r="R2985" s="22"/>
      <c r="S2985" s="22"/>
      <c r="T2985" s="22"/>
      <c r="U2985" s="22"/>
      <c r="V2985" s="22"/>
      <c r="W2985" s="22"/>
      <c r="X2985" s="22"/>
      <c r="Y2985" s="22"/>
      <c r="Z2985" s="22"/>
      <c r="AA2985" s="22"/>
      <c r="AB2985" s="22"/>
      <c r="AC2985" s="22"/>
      <c r="AD2985" s="22"/>
      <c r="AE2985" s="22"/>
      <c r="AF2985" s="22"/>
      <c r="AG2985" s="22"/>
      <c r="AH2985" s="22"/>
      <c r="AI2985" s="22"/>
      <c r="AJ2985" s="22"/>
    </row>
    <row r="2986" spans="1:36" x14ac:dyDescent="0.25">
      <c r="A2986" s="22" t="s">
        <v>3659</v>
      </c>
      <c r="B2986" s="22">
        <v>0</v>
      </c>
      <c r="C2986" s="22"/>
      <c r="D2986" s="22"/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  <c r="O2986" s="22"/>
      <c r="P2986" s="22"/>
      <c r="Q2986" s="22"/>
      <c r="R2986" s="22"/>
      <c r="S2986" s="22"/>
      <c r="T2986" s="22"/>
      <c r="U2986" s="22"/>
      <c r="V2986" s="22"/>
      <c r="W2986" s="22"/>
      <c r="X2986" s="22"/>
      <c r="Y2986" s="22"/>
      <c r="Z2986" s="22"/>
      <c r="AA2986" s="22"/>
      <c r="AB2986" s="22"/>
      <c r="AC2986" s="22"/>
      <c r="AD2986" s="22"/>
      <c r="AE2986" s="22"/>
      <c r="AF2986" s="22"/>
      <c r="AG2986" s="22"/>
      <c r="AH2986" s="22"/>
      <c r="AI2986" s="22"/>
      <c r="AJ2986" s="22"/>
    </row>
    <row r="2987" spans="1:36" x14ac:dyDescent="0.25">
      <c r="A2987" s="22" t="s">
        <v>3660</v>
      </c>
      <c r="B2987" s="22">
        <v>0</v>
      </c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  <c r="O2987" s="22"/>
      <c r="P2987" s="22"/>
      <c r="Q2987" s="22"/>
      <c r="R2987" s="22"/>
      <c r="S2987" s="22"/>
      <c r="T2987" s="22"/>
      <c r="U2987" s="22"/>
      <c r="V2987" s="22"/>
      <c r="W2987" s="22"/>
      <c r="X2987" s="22"/>
      <c r="Y2987" s="22"/>
      <c r="Z2987" s="22"/>
      <c r="AA2987" s="22"/>
      <c r="AB2987" s="22"/>
      <c r="AC2987" s="22"/>
      <c r="AD2987" s="22"/>
      <c r="AE2987" s="22"/>
      <c r="AF2987" s="22"/>
      <c r="AG2987" s="22"/>
      <c r="AH2987" s="22"/>
      <c r="AI2987" s="22"/>
      <c r="AJ2987" s="22"/>
    </row>
    <row r="2988" spans="1:36" x14ac:dyDescent="0.25">
      <c r="A2988" s="22" t="s">
        <v>3661</v>
      </c>
      <c r="B2988" s="22">
        <v>0</v>
      </c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  <c r="O2988" s="22"/>
      <c r="P2988" s="22"/>
      <c r="Q2988" s="22"/>
      <c r="R2988" s="22"/>
      <c r="S2988" s="22"/>
      <c r="T2988" s="22"/>
      <c r="U2988" s="22"/>
      <c r="V2988" s="22"/>
      <c r="W2988" s="22"/>
      <c r="X2988" s="22"/>
      <c r="Y2988" s="22"/>
      <c r="Z2988" s="22"/>
      <c r="AA2988" s="22"/>
      <c r="AB2988" s="22"/>
      <c r="AC2988" s="22"/>
      <c r="AD2988" s="22"/>
      <c r="AE2988" s="22"/>
      <c r="AF2988" s="22"/>
      <c r="AG2988" s="22"/>
      <c r="AH2988" s="22"/>
      <c r="AI2988" s="22"/>
      <c r="AJ2988" s="22"/>
    </row>
    <row r="2989" spans="1:36" x14ac:dyDescent="0.25">
      <c r="A2989" s="22" t="s">
        <v>3662</v>
      </c>
      <c r="B2989" s="22">
        <v>0</v>
      </c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  <c r="O2989" s="22"/>
      <c r="P2989" s="22"/>
      <c r="Q2989" s="22"/>
      <c r="R2989" s="22"/>
      <c r="S2989" s="22"/>
      <c r="T2989" s="22"/>
      <c r="U2989" s="22"/>
      <c r="V2989" s="22"/>
      <c r="W2989" s="22"/>
      <c r="X2989" s="22"/>
      <c r="Y2989" s="22"/>
      <c r="Z2989" s="22"/>
      <c r="AA2989" s="22"/>
      <c r="AB2989" s="22"/>
      <c r="AC2989" s="22"/>
      <c r="AD2989" s="22"/>
      <c r="AE2989" s="22"/>
      <c r="AF2989" s="22"/>
      <c r="AG2989" s="22"/>
      <c r="AH2989" s="22"/>
      <c r="AI2989" s="22"/>
      <c r="AJ2989" s="22"/>
    </row>
    <row r="2990" spans="1:36" x14ac:dyDescent="0.25">
      <c r="A2990" s="22" t="s">
        <v>2096</v>
      </c>
      <c r="B2990" s="22">
        <v>12</v>
      </c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  <c r="O2990" s="22"/>
      <c r="P2990" s="22"/>
      <c r="Q2990" s="22"/>
      <c r="R2990" s="22"/>
      <c r="S2990" s="22"/>
      <c r="T2990" s="22"/>
      <c r="U2990" s="22"/>
      <c r="V2990" s="22"/>
      <c r="W2990" s="22"/>
      <c r="X2990" s="22"/>
      <c r="Y2990" s="22"/>
      <c r="Z2990" s="22"/>
      <c r="AA2990" s="22"/>
      <c r="AB2990" s="22"/>
      <c r="AC2990" s="22"/>
      <c r="AD2990" s="22"/>
      <c r="AE2990" s="22"/>
      <c r="AF2990" s="22"/>
      <c r="AG2990" s="22"/>
      <c r="AH2990" s="22"/>
      <c r="AI2990" s="22"/>
      <c r="AJ2990" s="22"/>
    </row>
    <row r="2991" spans="1:36" x14ac:dyDescent="0.25">
      <c r="A2991" s="22" t="s">
        <v>3663</v>
      </c>
      <c r="B2991" s="22">
        <v>0</v>
      </c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  <c r="O2991" s="22"/>
      <c r="P2991" s="22"/>
      <c r="Q2991" s="22"/>
      <c r="R2991" s="22"/>
      <c r="S2991" s="22"/>
      <c r="T2991" s="22"/>
      <c r="U2991" s="22"/>
      <c r="V2991" s="22"/>
      <c r="W2991" s="22"/>
      <c r="X2991" s="22"/>
      <c r="Y2991" s="22"/>
      <c r="Z2991" s="22"/>
      <c r="AA2991" s="22"/>
      <c r="AB2991" s="22"/>
      <c r="AC2991" s="22"/>
      <c r="AD2991" s="22"/>
      <c r="AE2991" s="22"/>
      <c r="AF2991" s="22"/>
      <c r="AG2991" s="22"/>
      <c r="AH2991" s="22"/>
      <c r="AI2991" s="22"/>
      <c r="AJ2991" s="22"/>
    </row>
    <row r="2992" spans="1:36" x14ac:dyDescent="0.25">
      <c r="A2992" s="22" t="s">
        <v>3664</v>
      </c>
      <c r="B2992" s="22">
        <v>0</v>
      </c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  <c r="O2992" s="22"/>
      <c r="P2992" s="22"/>
      <c r="Q2992" s="22"/>
      <c r="R2992" s="22"/>
      <c r="S2992" s="22"/>
      <c r="T2992" s="22"/>
      <c r="U2992" s="22"/>
      <c r="V2992" s="22"/>
      <c r="W2992" s="22"/>
      <c r="X2992" s="22"/>
      <c r="Y2992" s="22"/>
      <c r="Z2992" s="22"/>
      <c r="AA2992" s="22"/>
      <c r="AB2992" s="22"/>
      <c r="AC2992" s="22"/>
      <c r="AD2992" s="22"/>
      <c r="AE2992" s="22"/>
      <c r="AF2992" s="22"/>
      <c r="AG2992" s="22"/>
      <c r="AH2992" s="22"/>
      <c r="AI2992" s="22"/>
      <c r="AJ2992" s="22"/>
    </row>
    <row r="2993" spans="1:36" x14ac:dyDescent="0.25">
      <c r="A2993" s="22" t="s">
        <v>3665</v>
      </c>
      <c r="B2993" s="22">
        <v>0</v>
      </c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  <c r="O2993" s="22"/>
      <c r="P2993" s="22"/>
      <c r="Q2993" s="22"/>
      <c r="R2993" s="22"/>
      <c r="S2993" s="22"/>
      <c r="T2993" s="22"/>
      <c r="U2993" s="22"/>
      <c r="V2993" s="22"/>
      <c r="W2993" s="22"/>
      <c r="X2993" s="22"/>
      <c r="Y2993" s="22"/>
      <c r="Z2993" s="22"/>
      <c r="AA2993" s="22"/>
      <c r="AB2993" s="22"/>
      <c r="AC2993" s="22"/>
      <c r="AD2993" s="22"/>
      <c r="AE2993" s="22"/>
      <c r="AF2993" s="22"/>
      <c r="AG2993" s="22"/>
      <c r="AH2993" s="22"/>
      <c r="AI2993" s="22"/>
      <c r="AJ2993" s="22"/>
    </row>
    <row r="2994" spans="1:36" x14ac:dyDescent="0.25">
      <c r="A2994" s="22" t="s">
        <v>3666</v>
      </c>
      <c r="B2994" s="22">
        <v>0</v>
      </c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  <c r="O2994" s="22"/>
      <c r="P2994" s="22"/>
      <c r="Q2994" s="22"/>
      <c r="R2994" s="22"/>
      <c r="S2994" s="22"/>
      <c r="T2994" s="22"/>
      <c r="U2994" s="22"/>
      <c r="V2994" s="22"/>
      <c r="W2994" s="22"/>
      <c r="X2994" s="22"/>
      <c r="Y2994" s="22"/>
      <c r="Z2994" s="22"/>
      <c r="AA2994" s="22"/>
      <c r="AB2994" s="22"/>
      <c r="AC2994" s="22"/>
      <c r="AD2994" s="22"/>
      <c r="AE2994" s="22"/>
      <c r="AF2994" s="22"/>
      <c r="AG2994" s="22"/>
      <c r="AH2994" s="22"/>
      <c r="AI2994" s="22"/>
      <c r="AJ2994" s="22"/>
    </row>
    <row r="2995" spans="1:36" x14ac:dyDescent="0.25">
      <c r="A2995" s="22" t="s">
        <v>3667</v>
      </c>
      <c r="B2995" s="22">
        <v>0</v>
      </c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  <c r="O2995" s="22"/>
      <c r="P2995" s="22"/>
      <c r="Q2995" s="22"/>
      <c r="R2995" s="22"/>
      <c r="S2995" s="22"/>
      <c r="T2995" s="22"/>
      <c r="U2995" s="22"/>
      <c r="V2995" s="22"/>
      <c r="W2995" s="22"/>
      <c r="X2995" s="22"/>
      <c r="Y2995" s="22"/>
      <c r="Z2995" s="22"/>
      <c r="AA2995" s="22"/>
      <c r="AB2995" s="22"/>
      <c r="AC2995" s="22"/>
      <c r="AD2995" s="22"/>
      <c r="AE2995" s="22"/>
      <c r="AF2995" s="22"/>
      <c r="AG2995" s="22"/>
      <c r="AH2995" s="22"/>
      <c r="AI2995" s="22"/>
      <c r="AJ2995" s="22"/>
    </row>
    <row r="2996" spans="1:36" x14ac:dyDescent="0.25">
      <c r="A2996" s="22" t="s">
        <v>3668</v>
      </c>
      <c r="B2996" s="22">
        <v>0</v>
      </c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  <c r="O2996" s="22"/>
      <c r="P2996" s="22"/>
      <c r="Q2996" s="22"/>
      <c r="R2996" s="22"/>
      <c r="S2996" s="22"/>
      <c r="T2996" s="22"/>
      <c r="U2996" s="22"/>
      <c r="V2996" s="22"/>
      <c r="W2996" s="22"/>
      <c r="X2996" s="22"/>
      <c r="Y2996" s="22"/>
      <c r="Z2996" s="22"/>
      <c r="AA2996" s="22"/>
      <c r="AB2996" s="22"/>
      <c r="AC2996" s="22"/>
      <c r="AD2996" s="22"/>
      <c r="AE2996" s="22"/>
      <c r="AF2996" s="22"/>
      <c r="AG2996" s="22"/>
      <c r="AH2996" s="22"/>
      <c r="AI2996" s="22"/>
      <c r="AJ2996" s="22"/>
    </row>
    <row r="2997" spans="1:36" x14ac:dyDescent="0.25">
      <c r="A2997" s="22" t="s">
        <v>3669</v>
      </c>
      <c r="B2997" s="22">
        <v>0</v>
      </c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22"/>
      <c r="AA2997" s="22"/>
      <c r="AB2997" s="22"/>
      <c r="AC2997" s="22"/>
      <c r="AD2997" s="22"/>
      <c r="AE2997" s="22"/>
      <c r="AF2997" s="22"/>
      <c r="AG2997" s="22"/>
      <c r="AH2997" s="22"/>
      <c r="AI2997" s="22"/>
      <c r="AJ2997" s="22"/>
    </row>
    <row r="2998" spans="1:36" x14ac:dyDescent="0.25">
      <c r="A2998" s="22" t="s">
        <v>2099</v>
      </c>
      <c r="B2998" s="22">
        <v>31</v>
      </c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  <c r="O2998" s="22"/>
      <c r="P2998" s="22"/>
      <c r="Q2998" s="22"/>
      <c r="R2998" s="22"/>
      <c r="S2998" s="22"/>
      <c r="T2998" s="22"/>
      <c r="U2998" s="22"/>
      <c r="V2998" s="22"/>
      <c r="W2998" s="22"/>
      <c r="X2998" s="22"/>
      <c r="Y2998" s="22"/>
      <c r="Z2998" s="22"/>
      <c r="AA2998" s="22"/>
      <c r="AB2998" s="22"/>
      <c r="AC2998" s="22"/>
      <c r="AD2998" s="22"/>
      <c r="AE2998" s="22"/>
      <c r="AF2998" s="22"/>
      <c r="AG2998" s="22"/>
      <c r="AH2998" s="22"/>
      <c r="AI2998" s="22"/>
      <c r="AJ2998" s="22"/>
    </row>
    <row r="2999" spans="1:36" x14ac:dyDescent="0.25">
      <c r="A2999" s="22" t="s">
        <v>3670</v>
      </c>
      <c r="B2999" s="22">
        <v>0</v>
      </c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  <c r="O2999" s="22"/>
      <c r="P2999" s="22"/>
      <c r="Q2999" s="22"/>
      <c r="R2999" s="22"/>
      <c r="S2999" s="22"/>
      <c r="T2999" s="22"/>
      <c r="U2999" s="22"/>
      <c r="V2999" s="22"/>
      <c r="W2999" s="22"/>
      <c r="X2999" s="22"/>
      <c r="Y2999" s="22"/>
      <c r="Z2999" s="22"/>
      <c r="AA2999" s="22"/>
      <c r="AB2999" s="22"/>
      <c r="AC2999" s="22"/>
      <c r="AD2999" s="22"/>
      <c r="AE2999" s="22"/>
      <c r="AF2999" s="22"/>
      <c r="AG2999" s="22"/>
      <c r="AH2999" s="22"/>
      <c r="AI2999" s="22"/>
      <c r="AJ2999" s="22"/>
    </row>
    <row r="3000" spans="1:36" x14ac:dyDescent="0.25">
      <c r="A3000" s="22" t="s">
        <v>3671</v>
      </c>
      <c r="B3000" s="22">
        <v>0</v>
      </c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  <c r="O3000" s="22"/>
      <c r="P3000" s="22"/>
      <c r="Q3000" s="22"/>
      <c r="R3000" s="22"/>
      <c r="S3000" s="22"/>
      <c r="T3000" s="22"/>
      <c r="U3000" s="22"/>
      <c r="V3000" s="22"/>
      <c r="W3000" s="22"/>
      <c r="X3000" s="22"/>
      <c r="Y3000" s="22"/>
      <c r="Z3000" s="22"/>
      <c r="AA3000" s="22"/>
      <c r="AB3000" s="22"/>
      <c r="AC3000" s="22"/>
      <c r="AD3000" s="22"/>
      <c r="AE3000" s="22"/>
      <c r="AF3000" s="22"/>
      <c r="AG3000" s="22"/>
      <c r="AH3000" s="22"/>
      <c r="AI3000" s="22"/>
      <c r="AJ3000" s="22"/>
    </row>
    <row r="3001" spans="1:36" x14ac:dyDescent="0.25">
      <c r="A3001" s="22" t="s">
        <v>3672</v>
      </c>
      <c r="B3001" s="22">
        <v>0</v>
      </c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  <c r="M3001" s="22"/>
      <c r="N3001" s="22"/>
      <c r="O3001" s="22"/>
      <c r="P3001" s="22"/>
      <c r="Q3001" s="22"/>
      <c r="R3001" s="22"/>
      <c r="S3001" s="22"/>
      <c r="T3001" s="22"/>
      <c r="U3001" s="22"/>
      <c r="V3001" s="22"/>
      <c r="W3001" s="22"/>
      <c r="X3001" s="22"/>
      <c r="Y3001" s="22"/>
      <c r="Z3001" s="22"/>
      <c r="AA3001" s="22"/>
      <c r="AB3001" s="22"/>
      <c r="AC3001" s="22"/>
      <c r="AD3001" s="22"/>
      <c r="AE3001" s="22"/>
      <c r="AF3001" s="22"/>
      <c r="AG3001" s="22"/>
      <c r="AH3001" s="22"/>
      <c r="AI3001" s="22"/>
      <c r="AJ3001" s="22"/>
    </row>
    <row r="3002" spans="1:36" x14ac:dyDescent="0.25">
      <c r="A3002" s="22" t="s">
        <v>3673</v>
      </c>
      <c r="B3002" s="22">
        <v>0</v>
      </c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  <c r="M3002" s="22"/>
      <c r="N3002" s="22"/>
      <c r="O3002" s="22"/>
      <c r="P3002" s="22"/>
      <c r="Q3002" s="22"/>
      <c r="R3002" s="22"/>
      <c r="S3002" s="22"/>
      <c r="T3002" s="22"/>
      <c r="U3002" s="22"/>
      <c r="V3002" s="22"/>
      <c r="W3002" s="22"/>
      <c r="X3002" s="22"/>
      <c r="Y3002" s="22"/>
      <c r="Z3002" s="22"/>
      <c r="AA3002" s="22"/>
      <c r="AB3002" s="22"/>
      <c r="AC3002" s="22"/>
      <c r="AD3002" s="22"/>
      <c r="AE3002" s="22"/>
      <c r="AF3002" s="22"/>
      <c r="AG3002" s="22"/>
      <c r="AH3002" s="22"/>
      <c r="AI3002" s="22"/>
      <c r="AJ3002" s="22"/>
    </row>
    <row r="3003" spans="1:36" x14ac:dyDescent="0.25">
      <c r="A3003" s="22" t="s">
        <v>3674</v>
      </c>
      <c r="B3003" s="22">
        <v>0</v>
      </c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  <c r="M3003" s="22"/>
      <c r="N3003" s="22"/>
      <c r="O3003" s="22"/>
      <c r="P3003" s="22"/>
      <c r="Q3003" s="22"/>
      <c r="R3003" s="22"/>
      <c r="S3003" s="22"/>
      <c r="T3003" s="22"/>
      <c r="U3003" s="22"/>
      <c r="V3003" s="22"/>
      <c r="W3003" s="22"/>
      <c r="X3003" s="22"/>
      <c r="Y3003" s="22"/>
      <c r="Z3003" s="22"/>
      <c r="AA3003" s="22"/>
      <c r="AB3003" s="22"/>
      <c r="AC3003" s="22"/>
      <c r="AD3003" s="22"/>
      <c r="AE3003" s="22"/>
      <c r="AF3003" s="22"/>
      <c r="AG3003" s="22"/>
      <c r="AH3003" s="22"/>
      <c r="AI3003" s="22"/>
      <c r="AJ3003" s="22"/>
    </row>
    <row r="3004" spans="1:36" x14ac:dyDescent="0.25">
      <c r="A3004" s="22" t="s">
        <v>3675</v>
      </c>
      <c r="B3004" s="22">
        <v>0</v>
      </c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  <c r="M3004" s="22"/>
      <c r="N3004" s="22"/>
      <c r="O3004" s="22"/>
      <c r="P3004" s="22"/>
      <c r="Q3004" s="22"/>
      <c r="R3004" s="22"/>
      <c r="S3004" s="22"/>
      <c r="T3004" s="22"/>
      <c r="U3004" s="22"/>
      <c r="V3004" s="22"/>
      <c r="W3004" s="22"/>
      <c r="X3004" s="22"/>
      <c r="Y3004" s="22"/>
      <c r="Z3004" s="22"/>
      <c r="AA3004" s="22"/>
      <c r="AB3004" s="22"/>
      <c r="AC3004" s="22"/>
      <c r="AD3004" s="22"/>
      <c r="AE3004" s="22"/>
      <c r="AF3004" s="22"/>
      <c r="AG3004" s="22"/>
      <c r="AH3004" s="22"/>
      <c r="AI3004" s="22"/>
      <c r="AJ3004" s="22"/>
    </row>
    <row r="3005" spans="1:36" x14ac:dyDescent="0.25">
      <c r="A3005" s="22" t="s">
        <v>3676</v>
      </c>
      <c r="B3005" s="22">
        <v>0</v>
      </c>
      <c r="C3005" s="22"/>
      <c r="D3005" s="22"/>
      <c r="E3005" s="22"/>
      <c r="F3005" s="22"/>
      <c r="G3005" s="22"/>
      <c r="H3005" s="22"/>
      <c r="I3005" s="22"/>
      <c r="J3005" s="22"/>
      <c r="K3005" s="22"/>
      <c r="L3005" s="22"/>
      <c r="M3005" s="22"/>
      <c r="N3005" s="22"/>
      <c r="O3005" s="22"/>
      <c r="P3005" s="22"/>
      <c r="Q3005" s="22"/>
      <c r="R3005" s="22"/>
      <c r="S3005" s="22"/>
      <c r="T3005" s="22"/>
      <c r="U3005" s="22"/>
      <c r="V3005" s="22"/>
      <c r="W3005" s="22"/>
      <c r="X3005" s="22"/>
      <c r="Y3005" s="22"/>
      <c r="Z3005" s="22"/>
      <c r="AA3005" s="22"/>
      <c r="AB3005" s="22"/>
      <c r="AC3005" s="22"/>
      <c r="AD3005" s="22"/>
      <c r="AE3005" s="22"/>
      <c r="AF3005" s="22"/>
      <c r="AG3005" s="22"/>
      <c r="AH3005" s="22"/>
      <c r="AI3005" s="22"/>
      <c r="AJ3005" s="22"/>
    </row>
    <row r="3006" spans="1:36" x14ac:dyDescent="0.25">
      <c r="A3006" s="22" t="s">
        <v>2102</v>
      </c>
      <c r="B3006" s="22">
        <v>61</v>
      </c>
      <c r="C3006" s="22"/>
      <c r="D3006" s="22"/>
      <c r="E3006" s="22"/>
      <c r="F3006" s="22"/>
      <c r="G3006" s="22"/>
      <c r="H3006" s="22"/>
      <c r="I3006" s="22"/>
      <c r="J3006" s="22"/>
      <c r="K3006" s="22"/>
      <c r="L3006" s="22"/>
      <c r="M3006" s="22"/>
      <c r="N3006" s="22"/>
      <c r="O3006" s="22"/>
      <c r="P3006" s="22"/>
      <c r="Q3006" s="22"/>
      <c r="R3006" s="22"/>
      <c r="S3006" s="22"/>
      <c r="T3006" s="22"/>
      <c r="U3006" s="22"/>
      <c r="V3006" s="22"/>
      <c r="W3006" s="22"/>
      <c r="X3006" s="22"/>
      <c r="Y3006" s="22"/>
      <c r="Z3006" s="22"/>
      <c r="AA3006" s="22"/>
      <c r="AB3006" s="22"/>
      <c r="AC3006" s="22"/>
      <c r="AD3006" s="22"/>
      <c r="AE3006" s="22"/>
      <c r="AF3006" s="22"/>
      <c r="AG3006" s="22"/>
      <c r="AH3006" s="22"/>
      <c r="AI3006" s="22"/>
      <c r="AJ3006" s="22"/>
    </row>
    <row r="3007" spans="1:36" x14ac:dyDescent="0.25">
      <c r="A3007" s="22" t="s">
        <v>3677</v>
      </c>
      <c r="B3007" s="22">
        <v>0</v>
      </c>
      <c r="C3007" s="22"/>
      <c r="D3007" s="22"/>
      <c r="E3007" s="22"/>
      <c r="F3007" s="22"/>
      <c r="G3007" s="22"/>
      <c r="H3007" s="22"/>
      <c r="I3007" s="22"/>
      <c r="J3007" s="22"/>
      <c r="K3007" s="22"/>
      <c r="L3007" s="22"/>
      <c r="M3007" s="22"/>
      <c r="N3007" s="22"/>
      <c r="O3007" s="22"/>
      <c r="P3007" s="22"/>
      <c r="Q3007" s="22"/>
      <c r="R3007" s="22"/>
      <c r="S3007" s="22"/>
      <c r="T3007" s="22"/>
      <c r="U3007" s="22"/>
      <c r="V3007" s="22"/>
      <c r="W3007" s="22"/>
      <c r="X3007" s="22"/>
      <c r="Y3007" s="22"/>
      <c r="Z3007" s="22"/>
      <c r="AA3007" s="22"/>
      <c r="AB3007" s="22"/>
      <c r="AC3007" s="22"/>
      <c r="AD3007" s="22"/>
      <c r="AE3007" s="22"/>
      <c r="AF3007" s="22"/>
      <c r="AG3007" s="22"/>
      <c r="AH3007" s="22"/>
      <c r="AI3007" s="22"/>
      <c r="AJ3007" s="22"/>
    </row>
    <row r="3008" spans="1:36" x14ac:dyDescent="0.25">
      <c r="A3008" s="22" t="s">
        <v>3678</v>
      </c>
      <c r="B3008" s="22">
        <v>0</v>
      </c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  <c r="M3008" s="22"/>
      <c r="N3008" s="22"/>
      <c r="O3008" s="22"/>
      <c r="P3008" s="22"/>
      <c r="Q3008" s="22"/>
      <c r="R3008" s="22"/>
      <c r="S3008" s="22"/>
      <c r="T3008" s="22"/>
      <c r="U3008" s="22"/>
      <c r="V3008" s="22"/>
      <c r="W3008" s="22"/>
      <c r="X3008" s="22"/>
      <c r="Y3008" s="22"/>
      <c r="Z3008" s="22"/>
      <c r="AA3008" s="22"/>
      <c r="AB3008" s="22"/>
      <c r="AC3008" s="22"/>
      <c r="AD3008" s="22"/>
      <c r="AE3008" s="22"/>
      <c r="AF3008" s="22"/>
      <c r="AG3008" s="22"/>
      <c r="AH3008" s="22"/>
      <c r="AI3008" s="22"/>
      <c r="AJ3008" s="22"/>
    </row>
    <row r="3009" spans="1:36" x14ac:dyDescent="0.25">
      <c r="A3009" s="22" t="s">
        <v>3679</v>
      </c>
      <c r="B3009" s="22">
        <v>0</v>
      </c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  <c r="M3009" s="22"/>
      <c r="N3009" s="22"/>
      <c r="O3009" s="22"/>
      <c r="P3009" s="22"/>
      <c r="Q3009" s="22"/>
      <c r="R3009" s="22"/>
      <c r="S3009" s="22"/>
      <c r="T3009" s="22"/>
      <c r="U3009" s="22"/>
      <c r="V3009" s="22"/>
      <c r="W3009" s="22"/>
      <c r="X3009" s="22"/>
      <c r="Y3009" s="22"/>
      <c r="Z3009" s="22"/>
      <c r="AA3009" s="22"/>
      <c r="AB3009" s="22"/>
      <c r="AC3009" s="22"/>
      <c r="AD3009" s="22"/>
      <c r="AE3009" s="22"/>
      <c r="AF3009" s="22"/>
      <c r="AG3009" s="22"/>
      <c r="AH3009" s="22"/>
      <c r="AI3009" s="22"/>
      <c r="AJ3009" s="22"/>
    </row>
    <row r="3010" spans="1:36" x14ac:dyDescent="0.25">
      <c r="A3010" s="22" t="s">
        <v>3680</v>
      </c>
      <c r="B3010" s="22">
        <v>0</v>
      </c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  <c r="M3010" s="22"/>
      <c r="N3010" s="22"/>
      <c r="O3010" s="22"/>
      <c r="P3010" s="22"/>
      <c r="Q3010" s="22"/>
      <c r="R3010" s="22"/>
      <c r="S3010" s="22"/>
      <c r="T3010" s="22"/>
      <c r="U3010" s="22"/>
      <c r="V3010" s="22"/>
      <c r="W3010" s="22"/>
      <c r="X3010" s="22"/>
      <c r="Y3010" s="22"/>
      <c r="Z3010" s="22"/>
      <c r="AA3010" s="22"/>
      <c r="AB3010" s="22"/>
      <c r="AC3010" s="22"/>
      <c r="AD3010" s="22"/>
      <c r="AE3010" s="22"/>
      <c r="AF3010" s="22"/>
      <c r="AG3010" s="22"/>
      <c r="AH3010" s="22"/>
      <c r="AI3010" s="22"/>
      <c r="AJ3010" s="22"/>
    </row>
    <row r="3011" spans="1:36" x14ac:dyDescent="0.25">
      <c r="A3011" s="22" t="s">
        <v>3681</v>
      </c>
      <c r="B3011" s="22">
        <v>0</v>
      </c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  <c r="M3011" s="22"/>
      <c r="N3011" s="22"/>
      <c r="O3011" s="22"/>
      <c r="P3011" s="22"/>
      <c r="Q3011" s="22"/>
      <c r="R3011" s="22"/>
      <c r="S3011" s="22"/>
      <c r="T3011" s="22"/>
      <c r="U3011" s="22"/>
      <c r="V3011" s="22"/>
      <c r="W3011" s="22"/>
      <c r="X3011" s="22"/>
      <c r="Y3011" s="22"/>
      <c r="Z3011" s="22"/>
      <c r="AA3011" s="22"/>
      <c r="AB3011" s="22"/>
      <c r="AC3011" s="22"/>
      <c r="AD3011" s="22"/>
      <c r="AE3011" s="22"/>
      <c r="AF3011" s="22"/>
      <c r="AG3011" s="22"/>
      <c r="AH3011" s="22"/>
      <c r="AI3011" s="22"/>
      <c r="AJ3011" s="22"/>
    </row>
    <row r="3012" spans="1:36" x14ac:dyDescent="0.25">
      <c r="A3012" s="22" t="s">
        <v>3682</v>
      </c>
      <c r="B3012" s="22">
        <v>0</v>
      </c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  <c r="M3012" s="22"/>
      <c r="N3012" s="22"/>
      <c r="O3012" s="22"/>
      <c r="P3012" s="22"/>
      <c r="Q3012" s="22"/>
      <c r="R3012" s="22"/>
      <c r="S3012" s="22"/>
      <c r="T3012" s="22"/>
      <c r="U3012" s="22"/>
      <c r="V3012" s="22"/>
      <c r="W3012" s="22"/>
      <c r="X3012" s="22"/>
      <c r="Y3012" s="22"/>
      <c r="Z3012" s="22"/>
      <c r="AA3012" s="22"/>
      <c r="AB3012" s="22"/>
      <c r="AC3012" s="22"/>
      <c r="AD3012" s="22"/>
      <c r="AE3012" s="22"/>
      <c r="AF3012" s="22"/>
      <c r="AG3012" s="22"/>
      <c r="AH3012" s="22"/>
      <c r="AI3012" s="22"/>
      <c r="AJ3012" s="22"/>
    </row>
    <row r="3013" spans="1:36" x14ac:dyDescent="0.25">
      <c r="A3013" s="22" t="s">
        <v>3683</v>
      </c>
      <c r="B3013" s="22">
        <v>0</v>
      </c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  <c r="M3013" s="22"/>
      <c r="N3013" s="22"/>
      <c r="O3013" s="22"/>
      <c r="P3013" s="22"/>
      <c r="Q3013" s="22"/>
      <c r="R3013" s="22"/>
      <c r="S3013" s="22"/>
      <c r="T3013" s="22"/>
      <c r="U3013" s="22"/>
      <c r="V3013" s="22"/>
      <c r="W3013" s="22"/>
      <c r="X3013" s="22"/>
      <c r="Y3013" s="22"/>
      <c r="Z3013" s="22"/>
      <c r="AA3013" s="22"/>
      <c r="AB3013" s="22"/>
      <c r="AC3013" s="22"/>
      <c r="AD3013" s="22"/>
      <c r="AE3013" s="22"/>
      <c r="AF3013" s="22"/>
      <c r="AG3013" s="22"/>
      <c r="AH3013" s="22"/>
      <c r="AI3013" s="22"/>
      <c r="AJ3013" s="22"/>
    </row>
    <row r="3014" spans="1:36" x14ac:dyDescent="0.25">
      <c r="A3014" s="22" t="s">
        <v>2105</v>
      </c>
      <c r="B3014" s="22">
        <v>0</v>
      </c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  <c r="M3014" s="22"/>
      <c r="N3014" s="22"/>
      <c r="O3014" s="22"/>
      <c r="P3014" s="22"/>
      <c r="Q3014" s="22"/>
      <c r="R3014" s="22"/>
      <c r="S3014" s="22"/>
      <c r="T3014" s="22"/>
      <c r="U3014" s="22"/>
      <c r="V3014" s="22"/>
      <c r="W3014" s="22"/>
      <c r="X3014" s="22"/>
      <c r="Y3014" s="22"/>
      <c r="Z3014" s="22"/>
      <c r="AA3014" s="22"/>
      <c r="AB3014" s="22"/>
      <c r="AC3014" s="22"/>
      <c r="AD3014" s="22"/>
      <c r="AE3014" s="22"/>
      <c r="AF3014" s="22"/>
      <c r="AG3014" s="22"/>
      <c r="AH3014" s="22"/>
      <c r="AI3014" s="22"/>
      <c r="AJ3014" s="22"/>
    </row>
    <row r="3015" spans="1:36" x14ac:dyDescent="0.25">
      <c r="A3015" s="22" t="s">
        <v>5375</v>
      </c>
      <c r="B3015" s="22">
        <v>0</v>
      </c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  <c r="M3015" s="22"/>
      <c r="N3015" s="22"/>
      <c r="O3015" s="22"/>
      <c r="P3015" s="22"/>
      <c r="Q3015" s="22"/>
      <c r="R3015" s="22"/>
      <c r="S3015" s="22"/>
      <c r="T3015" s="22"/>
      <c r="U3015" s="22"/>
      <c r="V3015" s="22"/>
      <c r="W3015" s="22"/>
      <c r="X3015" s="22"/>
      <c r="Y3015" s="22"/>
      <c r="Z3015" s="22"/>
      <c r="AA3015" s="22"/>
      <c r="AB3015" s="22"/>
      <c r="AC3015" s="22"/>
      <c r="AD3015" s="22"/>
      <c r="AE3015" s="22"/>
      <c r="AF3015" s="22"/>
      <c r="AG3015" s="22"/>
      <c r="AH3015" s="22"/>
      <c r="AI3015" s="22"/>
      <c r="AJ3015" s="22"/>
    </row>
    <row r="3016" spans="1:36" x14ac:dyDescent="0.25">
      <c r="A3016" s="22" t="s">
        <v>5376</v>
      </c>
      <c r="B3016" s="22">
        <v>0</v>
      </c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  <c r="M3016" s="22"/>
      <c r="N3016" s="22"/>
      <c r="O3016" s="22"/>
      <c r="P3016" s="22"/>
      <c r="Q3016" s="22"/>
      <c r="R3016" s="22"/>
      <c r="S3016" s="22"/>
      <c r="T3016" s="22"/>
      <c r="U3016" s="22"/>
      <c r="V3016" s="22"/>
      <c r="W3016" s="22"/>
      <c r="X3016" s="22"/>
      <c r="Y3016" s="22"/>
      <c r="Z3016" s="22"/>
      <c r="AA3016" s="22"/>
      <c r="AB3016" s="22"/>
      <c r="AC3016" s="22"/>
      <c r="AD3016" s="22"/>
      <c r="AE3016" s="22"/>
      <c r="AF3016" s="22"/>
      <c r="AG3016" s="22"/>
      <c r="AH3016" s="22"/>
      <c r="AI3016" s="22"/>
      <c r="AJ3016" s="22"/>
    </row>
    <row r="3017" spans="1:36" x14ac:dyDescent="0.25">
      <c r="A3017" s="22" t="s">
        <v>5377</v>
      </c>
      <c r="B3017" s="22">
        <v>0</v>
      </c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  <c r="T3017" s="22"/>
      <c r="U3017" s="22"/>
      <c r="V3017" s="22"/>
      <c r="W3017" s="22"/>
      <c r="X3017" s="22"/>
      <c r="Y3017" s="22"/>
      <c r="Z3017" s="22"/>
      <c r="AA3017" s="22"/>
      <c r="AB3017" s="22"/>
      <c r="AC3017" s="22"/>
      <c r="AD3017" s="22"/>
      <c r="AE3017" s="22"/>
      <c r="AF3017" s="22"/>
      <c r="AG3017" s="22"/>
      <c r="AH3017" s="22"/>
      <c r="AI3017" s="22"/>
      <c r="AJ3017" s="22"/>
    </row>
    <row r="3018" spans="1:36" x14ac:dyDescent="0.25">
      <c r="A3018" s="22" t="s">
        <v>5378</v>
      </c>
      <c r="B3018" s="22">
        <v>0</v>
      </c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  <c r="M3018" s="22"/>
      <c r="N3018" s="22"/>
      <c r="O3018" s="22"/>
      <c r="P3018" s="22"/>
      <c r="Q3018" s="22"/>
      <c r="R3018" s="22"/>
      <c r="S3018" s="22"/>
      <c r="T3018" s="22"/>
      <c r="U3018" s="22"/>
      <c r="V3018" s="22"/>
      <c r="W3018" s="22"/>
      <c r="X3018" s="22"/>
      <c r="Y3018" s="22"/>
      <c r="Z3018" s="22"/>
      <c r="AA3018" s="22"/>
      <c r="AB3018" s="22"/>
      <c r="AC3018" s="22"/>
      <c r="AD3018" s="22"/>
      <c r="AE3018" s="22"/>
      <c r="AF3018" s="22"/>
      <c r="AG3018" s="22"/>
      <c r="AH3018" s="22"/>
      <c r="AI3018" s="22"/>
      <c r="AJ3018" s="22"/>
    </row>
    <row r="3019" spans="1:36" x14ac:dyDescent="0.25">
      <c r="A3019" s="22" t="s">
        <v>5379</v>
      </c>
      <c r="B3019" s="22">
        <v>0</v>
      </c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  <c r="M3019" s="22"/>
      <c r="N3019" s="22"/>
      <c r="O3019" s="22"/>
      <c r="P3019" s="22"/>
      <c r="Q3019" s="22"/>
      <c r="R3019" s="22"/>
      <c r="S3019" s="22"/>
      <c r="T3019" s="22"/>
      <c r="U3019" s="22"/>
      <c r="V3019" s="22"/>
      <c r="W3019" s="22"/>
      <c r="X3019" s="22"/>
      <c r="Y3019" s="22"/>
      <c r="Z3019" s="22"/>
      <c r="AA3019" s="22"/>
      <c r="AB3019" s="22"/>
      <c r="AC3019" s="22"/>
      <c r="AD3019" s="22"/>
      <c r="AE3019" s="22"/>
      <c r="AF3019" s="22"/>
      <c r="AG3019" s="22"/>
      <c r="AH3019" s="22"/>
      <c r="AI3019" s="22"/>
      <c r="AJ3019" s="22"/>
    </row>
    <row r="3020" spans="1:36" x14ac:dyDescent="0.25">
      <c r="A3020" s="22" t="s">
        <v>5380</v>
      </c>
      <c r="B3020" s="22">
        <v>0</v>
      </c>
      <c r="C3020" s="22"/>
      <c r="D3020" s="22"/>
      <c r="E3020" s="22"/>
      <c r="F3020" s="22"/>
      <c r="G3020" s="22"/>
      <c r="H3020" s="22"/>
      <c r="I3020" s="22"/>
      <c r="J3020" s="22"/>
      <c r="K3020" s="22"/>
      <c r="L3020" s="22"/>
      <c r="M3020" s="22"/>
      <c r="N3020" s="22"/>
      <c r="O3020" s="22"/>
      <c r="P3020" s="22"/>
      <c r="Q3020" s="22"/>
      <c r="R3020" s="22"/>
      <c r="S3020" s="22"/>
      <c r="T3020" s="22"/>
      <c r="U3020" s="22"/>
      <c r="V3020" s="22"/>
      <c r="W3020" s="22"/>
      <c r="X3020" s="22"/>
      <c r="Y3020" s="22"/>
      <c r="Z3020" s="22"/>
      <c r="AA3020" s="22"/>
      <c r="AB3020" s="22"/>
      <c r="AC3020" s="22"/>
      <c r="AD3020" s="22"/>
      <c r="AE3020" s="22"/>
      <c r="AF3020" s="22"/>
      <c r="AG3020" s="22"/>
      <c r="AH3020" s="22"/>
      <c r="AI3020" s="22"/>
      <c r="AJ3020" s="22"/>
    </row>
    <row r="3021" spans="1:36" x14ac:dyDescent="0.25">
      <c r="A3021" s="22" t="s">
        <v>5381</v>
      </c>
      <c r="B3021" s="22">
        <v>0</v>
      </c>
      <c r="C3021" s="22"/>
      <c r="D3021" s="22"/>
      <c r="E3021" s="22"/>
      <c r="F3021" s="22"/>
      <c r="G3021" s="22"/>
      <c r="H3021" s="22"/>
      <c r="I3021" s="22"/>
      <c r="J3021" s="22"/>
      <c r="K3021" s="22"/>
      <c r="L3021" s="22"/>
      <c r="M3021" s="22"/>
      <c r="N3021" s="22"/>
      <c r="O3021" s="22"/>
      <c r="P3021" s="22"/>
      <c r="Q3021" s="22"/>
      <c r="R3021" s="22"/>
      <c r="S3021" s="22"/>
      <c r="T3021" s="22"/>
      <c r="U3021" s="22"/>
      <c r="V3021" s="22"/>
      <c r="W3021" s="22"/>
      <c r="X3021" s="22"/>
      <c r="Y3021" s="22"/>
      <c r="Z3021" s="22"/>
      <c r="AA3021" s="22"/>
      <c r="AB3021" s="22"/>
      <c r="AC3021" s="22"/>
      <c r="AD3021" s="22"/>
      <c r="AE3021" s="22"/>
      <c r="AF3021" s="22"/>
      <c r="AG3021" s="22"/>
      <c r="AH3021" s="22"/>
      <c r="AI3021" s="22"/>
      <c r="AJ3021" s="22"/>
    </row>
    <row r="3022" spans="1:36" x14ac:dyDescent="0.25">
      <c r="A3022" s="22" t="s">
        <v>2108</v>
      </c>
      <c r="B3022" s="22">
        <v>1140</v>
      </c>
      <c r="C3022" s="22"/>
      <c r="D3022" s="22"/>
      <c r="E3022" s="22"/>
      <c r="F3022" s="22"/>
      <c r="G3022" s="22"/>
      <c r="H3022" s="22"/>
      <c r="I3022" s="22"/>
      <c r="J3022" s="22"/>
      <c r="K3022" s="22"/>
      <c r="L3022" s="22"/>
      <c r="M3022" s="22"/>
      <c r="N3022" s="22"/>
      <c r="O3022" s="22"/>
      <c r="P3022" s="22"/>
      <c r="Q3022" s="22"/>
      <c r="R3022" s="22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22"/>
      <c r="AC3022" s="22"/>
      <c r="AD3022" s="22"/>
      <c r="AE3022" s="22"/>
      <c r="AF3022" s="22"/>
      <c r="AG3022" s="22"/>
      <c r="AH3022" s="22"/>
      <c r="AI3022" s="22"/>
      <c r="AJ3022" s="22"/>
    </row>
    <row r="3023" spans="1:36" x14ac:dyDescent="0.25">
      <c r="A3023" s="22" t="s">
        <v>3684</v>
      </c>
      <c r="B3023" s="22">
        <v>2</v>
      </c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  <c r="M3023" s="22"/>
      <c r="N3023" s="22"/>
      <c r="O3023" s="22"/>
      <c r="P3023" s="22"/>
      <c r="Q3023" s="22"/>
      <c r="R3023" s="22"/>
      <c r="S3023" s="22"/>
      <c r="T3023" s="22"/>
      <c r="U3023" s="22"/>
      <c r="V3023" s="22"/>
      <c r="W3023" s="22"/>
      <c r="X3023" s="22"/>
      <c r="Y3023" s="22"/>
      <c r="Z3023" s="22"/>
      <c r="AA3023" s="22"/>
      <c r="AB3023" s="22"/>
      <c r="AC3023" s="22"/>
      <c r="AD3023" s="22"/>
      <c r="AE3023" s="22"/>
      <c r="AF3023" s="22"/>
      <c r="AG3023" s="22"/>
      <c r="AH3023" s="22"/>
      <c r="AI3023" s="22"/>
      <c r="AJ3023" s="22"/>
    </row>
    <row r="3024" spans="1:36" x14ac:dyDescent="0.25">
      <c r="A3024" s="22" t="s">
        <v>3685</v>
      </c>
      <c r="B3024" s="22">
        <v>0</v>
      </c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  <c r="M3024" s="22"/>
      <c r="N3024" s="22"/>
      <c r="O3024" s="22"/>
      <c r="P3024" s="22"/>
      <c r="Q3024" s="22"/>
      <c r="R3024" s="22"/>
      <c r="S3024" s="22"/>
      <c r="T3024" s="22"/>
      <c r="U3024" s="22"/>
      <c r="V3024" s="22"/>
      <c r="W3024" s="22"/>
      <c r="X3024" s="22"/>
      <c r="Y3024" s="22"/>
      <c r="Z3024" s="22"/>
      <c r="AA3024" s="22"/>
      <c r="AB3024" s="22"/>
      <c r="AC3024" s="22"/>
      <c r="AD3024" s="22"/>
      <c r="AE3024" s="22"/>
      <c r="AF3024" s="22"/>
      <c r="AG3024" s="22"/>
      <c r="AH3024" s="22"/>
      <c r="AI3024" s="22"/>
      <c r="AJ3024" s="22"/>
    </row>
    <row r="3025" spans="1:36" x14ac:dyDescent="0.25">
      <c r="A3025" s="22" t="s">
        <v>3686</v>
      </c>
      <c r="B3025" s="22">
        <v>0</v>
      </c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  <c r="M3025" s="22"/>
      <c r="N3025" s="22"/>
      <c r="O3025" s="22"/>
      <c r="P3025" s="22"/>
      <c r="Q3025" s="22"/>
      <c r="R3025" s="22"/>
      <c r="S3025" s="22"/>
      <c r="T3025" s="22"/>
      <c r="U3025" s="22"/>
      <c r="V3025" s="22"/>
      <c r="W3025" s="22"/>
      <c r="X3025" s="22"/>
      <c r="Y3025" s="22"/>
      <c r="Z3025" s="22"/>
      <c r="AA3025" s="22"/>
      <c r="AB3025" s="22"/>
      <c r="AC3025" s="22"/>
      <c r="AD3025" s="22"/>
      <c r="AE3025" s="22"/>
      <c r="AF3025" s="22"/>
      <c r="AG3025" s="22"/>
      <c r="AH3025" s="22"/>
      <c r="AI3025" s="22"/>
      <c r="AJ3025" s="22"/>
    </row>
    <row r="3026" spans="1:36" x14ac:dyDescent="0.25">
      <c r="A3026" s="22" t="s">
        <v>3687</v>
      </c>
      <c r="B3026" s="22">
        <v>4</v>
      </c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22"/>
      <c r="AD3026" s="22"/>
      <c r="AE3026" s="22"/>
      <c r="AF3026" s="22"/>
      <c r="AG3026" s="22"/>
      <c r="AH3026" s="22"/>
      <c r="AI3026" s="22"/>
      <c r="AJ3026" s="22"/>
    </row>
    <row r="3027" spans="1:36" x14ac:dyDescent="0.25">
      <c r="A3027" s="22" t="s">
        <v>3688</v>
      </c>
      <c r="B3027" s="22">
        <v>0</v>
      </c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  <c r="M3027" s="22"/>
      <c r="N3027" s="22"/>
      <c r="O3027" s="22"/>
      <c r="P3027" s="22"/>
      <c r="Q3027" s="22"/>
      <c r="R3027" s="22"/>
      <c r="S3027" s="22"/>
      <c r="T3027" s="22"/>
      <c r="U3027" s="22"/>
      <c r="V3027" s="22"/>
      <c r="W3027" s="22"/>
      <c r="X3027" s="22"/>
      <c r="Y3027" s="22"/>
      <c r="Z3027" s="22"/>
      <c r="AA3027" s="22"/>
      <c r="AB3027" s="22"/>
      <c r="AC3027" s="22"/>
      <c r="AD3027" s="22"/>
      <c r="AE3027" s="22"/>
      <c r="AF3027" s="22"/>
      <c r="AG3027" s="22"/>
      <c r="AH3027" s="22"/>
      <c r="AI3027" s="22"/>
      <c r="AJ3027" s="22"/>
    </row>
    <row r="3028" spans="1:36" x14ac:dyDescent="0.25">
      <c r="A3028" s="22" t="s">
        <v>3689</v>
      </c>
      <c r="B3028" s="22">
        <v>0</v>
      </c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  <c r="M3028" s="22"/>
      <c r="N3028" s="22"/>
      <c r="O3028" s="22"/>
      <c r="P3028" s="22"/>
      <c r="Q3028" s="22"/>
      <c r="R3028" s="22"/>
      <c r="S3028" s="22"/>
      <c r="T3028" s="22"/>
      <c r="U3028" s="22"/>
      <c r="V3028" s="22"/>
      <c r="W3028" s="22"/>
      <c r="X3028" s="22"/>
      <c r="Y3028" s="22"/>
      <c r="Z3028" s="22"/>
      <c r="AA3028" s="22"/>
      <c r="AB3028" s="22"/>
      <c r="AC3028" s="22"/>
      <c r="AD3028" s="22"/>
      <c r="AE3028" s="22"/>
      <c r="AF3028" s="22"/>
      <c r="AG3028" s="22"/>
      <c r="AH3028" s="22"/>
      <c r="AI3028" s="22"/>
      <c r="AJ3028" s="22"/>
    </row>
    <row r="3029" spans="1:36" x14ac:dyDescent="0.25">
      <c r="A3029" s="22" t="s">
        <v>3690</v>
      </c>
      <c r="B3029" s="22">
        <v>0</v>
      </c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  <c r="M3029" s="22"/>
      <c r="N3029" s="22"/>
      <c r="O3029" s="22"/>
      <c r="P3029" s="22"/>
      <c r="Q3029" s="22"/>
      <c r="R3029" s="22"/>
      <c r="S3029" s="22"/>
      <c r="T3029" s="22"/>
      <c r="U3029" s="22"/>
      <c r="V3029" s="22"/>
      <c r="W3029" s="22"/>
      <c r="X3029" s="22"/>
      <c r="Y3029" s="22"/>
      <c r="Z3029" s="22"/>
      <c r="AA3029" s="22"/>
      <c r="AB3029" s="22"/>
      <c r="AC3029" s="22"/>
      <c r="AD3029" s="22"/>
      <c r="AE3029" s="22"/>
      <c r="AF3029" s="22"/>
      <c r="AG3029" s="22"/>
      <c r="AH3029" s="22"/>
      <c r="AI3029" s="22"/>
      <c r="AJ3029" s="22"/>
    </row>
    <row r="3030" spans="1:36" x14ac:dyDescent="0.25">
      <c r="A3030" s="22" t="s">
        <v>2111</v>
      </c>
      <c r="B3030" s="22">
        <v>26</v>
      </c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  <c r="M3030" s="22"/>
      <c r="N3030" s="22"/>
      <c r="O3030" s="22"/>
      <c r="P3030" s="22"/>
      <c r="Q3030" s="22"/>
      <c r="R3030" s="22"/>
      <c r="S3030" s="22"/>
      <c r="T3030" s="22"/>
      <c r="U3030" s="22"/>
      <c r="V3030" s="22"/>
      <c r="W3030" s="22"/>
      <c r="X3030" s="22"/>
      <c r="Y3030" s="22"/>
      <c r="Z3030" s="22"/>
      <c r="AA3030" s="22"/>
      <c r="AB3030" s="22"/>
      <c r="AC3030" s="22"/>
      <c r="AD3030" s="22"/>
      <c r="AE3030" s="22"/>
      <c r="AF3030" s="22"/>
      <c r="AG3030" s="22"/>
      <c r="AH3030" s="22"/>
      <c r="AI3030" s="22"/>
      <c r="AJ3030" s="22"/>
    </row>
    <row r="3031" spans="1:36" x14ac:dyDescent="0.25">
      <c r="A3031" s="22" t="s">
        <v>3691</v>
      </c>
      <c r="B3031" s="22">
        <v>0</v>
      </c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  <c r="M3031" s="22"/>
      <c r="N3031" s="22"/>
      <c r="O3031" s="22"/>
      <c r="P3031" s="22"/>
      <c r="Q3031" s="22"/>
      <c r="R3031" s="22"/>
      <c r="S3031" s="22"/>
      <c r="T3031" s="22"/>
      <c r="U3031" s="22"/>
      <c r="V3031" s="22"/>
      <c r="W3031" s="22"/>
      <c r="X3031" s="22"/>
      <c r="Y3031" s="22"/>
      <c r="Z3031" s="22"/>
      <c r="AA3031" s="22"/>
      <c r="AB3031" s="22"/>
      <c r="AC3031" s="22"/>
      <c r="AD3031" s="22"/>
      <c r="AE3031" s="22"/>
      <c r="AF3031" s="22"/>
      <c r="AG3031" s="22"/>
      <c r="AH3031" s="22"/>
      <c r="AI3031" s="22"/>
      <c r="AJ3031" s="22"/>
    </row>
    <row r="3032" spans="1:36" x14ac:dyDescent="0.25">
      <c r="A3032" s="22" t="s">
        <v>3692</v>
      </c>
      <c r="B3032" s="22">
        <v>0</v>
      </c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  <c r="M3032" s="22"/>
      <c r="N3032" s="22"/>
      <c r="O3032" s="22"/>
      <c r="P3032" s="22"/>
      <c r="Q3032" s="22"/>
      <c r="R3032" s="22"/>
      <c r="S3032" s="22"/>
      <c r="T3032" s="22"/>
      <c r="U3032" s="22"/>
      <c r="V3032" s="22"/>
      <c r="W3032" s="22"/>
      <c r="X3032" s="22"/>
      <c r="Y3032" s="22"/>
      <c r="Z3032" s="22"/>
      <c r="AA3032" s="22"/>
      <c r="AB3032" s="22"/>
      <c r="AC3032" s="22"/>
      <c r="AD3032" s="22"/>
      <c r="AE3032" s="22"/>
      <c r="AF3032" s="22"/>
      <c r="AG3032" s="22"/>
      <c r="AH3032" s="22"/>
      <c r="AI3032" s="22"/>
      <c r="AJ3032" s="22"/>
    </row>
    <row r="3033" spans="1:36" x14ac:dyDescent="0.25">
      <c r="A3033" s="22" t="s">
        <v>3693</v>
      </c>
      <c r="B3033" s="22">
        <v>0</v>
      </c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  <c r="M3033" s="22"/>
      <c r="N3033" s="22"/>
      <c r="O3033" s="22"/>
      <c r="P3033" s="22"/>
      <c r="Q3033" s="22"/>
      <c r="R3033" s="22"/>
      <c r="S3033" s="22"/>
      <c r="T3033" s="22"/>
      <c r="U3033" s="22"/>
      <c r="V3033" s="22"/>
      <c r="W3033" s="22"/>
      <c r="X3033" s="22"/>
      <c r="Y3033" s="22"/>
      <c r="Z3033" s="22"/>
      <c r="AA3033" s="22"/>
      <c r="AB3033" s="22"/>
      <c r="AC3033" s="22"/>
      <c r="AD3033" s="22"/>
      <c r="AE3033" s="22"/>
      <c r="AF3033" s="22"/>
      <c r="AG3033" s="22"/>
      <c r="AH3033" s="22"/>
      <c r="AI3033" s="22"/>
      <c r="AJ3033" s="22"/>
    </row>
    <row r="3034" spans="1:36" x14ac:dyDescent="0.25">
      <c r="A3034" s="22" t="s">
        <v>3694</v>
      </c>
      <c r="B3034" s="22">
        <v>0</v>
      </c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  <c r="M3034" s="22"/>
      <c r="N3034" s="22"/>
      <c r="O3034" s="22"/>
      <c r="P3034" s="22"/>
      <c r="Q3034" s="22"/>
      <c r="R3034" s="22"/>
      <c r="S3034" s="22"/>
      <c r="T3034" s="22"/>
      <c r="U3034" s="22"/>
      <c r="V3034" s="22"/>
      <c r="W3034" s="22"/>
      <c r="X3034" s="22"/>
      <c r="Y3034" s="22"/>
      <c r="Z3034" s="22"/>
      <c r="AA3034" s="22"/>
      <c r="AB3034" s="22"/>
      <c r="AC3034" s="22"/>
      <c r="AD3034" s="22"/>
      <c r="AE3034" s="22"/>
      <c r="AF3034" s="22"/>
      <c r="AG3034" s="22"/>
      <c r="AH3034" s="22"/>
      <c r="AI3034" s="22"/>
      <c r="AJ3034" s="22"/>
    </row>
    <row r="3035" spans="1:36" x14ac:dyDescent="0.25">
      <c r="A3035" s="22" t="s">
        <v>3695</v>
      </c>
      <c r="B3035" s="22">
        <v>0</v>
      </c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  <c r="M3035" s="22"/>
      <c r="N3035" s="22"/>
      <c r="O3035" s="22"/>
      <c r="P3035" s="22"/>
      <c r="Q3035" s="22"/>
      <c r="R3035" s="22"/>
      <c r="S3035" s="22"/>
      <c r="T3035" s="22"/>
      <c r="U3035" s="22"/>
      <c r="V3035" s="22"/>
      <c r="W3035" s="22"/>
      <c r="X3035" s="22"/>
      <c r="Y3035" s="22"/>
      <c r="Z3035" s="22"/>
      <c r="AA3035" s="22"/>
      <c r="AB3035" s="22"/>
      <c r="AC3035" s="22"/>
      <c r="AD3035" s="22"/>
      <c r="AE3035" s="22"/>
      <c r="AF3035" s="22"/>
      <c r="AG3035" s="22"/>
      <c r="AH3035" s="22"/>
      <c r="AI3035" s="22"/>
      <c r="AJ3035" s="22"/>
    </row>
    <row r="3036" spans="1:36" x14ac:dyDescent="0.25">
      <c r="A3036" s="22" t="s">
        <v>3696</v>
      </c>
      <c r="B3036" s="22">
        <v>0</v>
      </c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  <c r="M3036" s="22"/>
      <c r="N3036" s="22"/>
      <c r="O3036" s="22"/>
      <c r="P3036" s="22"/>
      <c r="Q3036" s="22"/>
      <c r="R3036" s="22"/>
      <c r="S3036" s="22"/>
      <c r="T3036" s="22"/>
      <c r="U3036" s="22"/>
      <c r="V3036" s="22"/>
      <c r="W3036" s="22"/>
      <c r="X3036" s="22"/>
      <c r="Y3036" s="22"/>
      <c r="Z3036" s="22"/>
      <c r="AA3036" s="22"/>
      <c r="AB3036" s="22"/>
      <c r="AC3036" s="22"/>
      <c r="AD3036" s="22"/>
      <c r="AE3036" s="22"/>
      <c r="AF3036" s="22"/>
      <c r="AG3036" s="22"/>
      <c r="AH3036" s="22"/>
      <c r="AI3036" s="22"/>
      <c r="AJ3036" s="22"/>
    </row>
    <row r="3037" spans="1:36" x14ac:dyDescent="0.25">
      <c r="A3037" s="22" t="s">
        <v>3697</v>
      </c>
      <c r="B3037" s="22">
        <v>0</v>
      </c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  <c r="M3037" s="22"/>
      <c r="N3037" s="22"/>
      <c r="O3037" s="22"/>
      <c r="P3037" s="22"/>
      <c r="Q3037" s="22"/>
      <c r="R3037" s="22"/>
      <c r="S3037" s="22"/>
      <c r="T3037" s="22"/>
      <c r="U3037" s="22"/>
      <c r="V3037" s="22"/>
      <c r="W3037" s="22"/>
      <c r="X3037" s="22"/>
      <c r="Y3037" s="22"/>
      <c r="Z3037" s="22"/>
      <c r="AA3037" s="22"/>
      <c r="AB3037" s="22"/>
      <c r="AC3037" s="22"/>
      <c r="AD3037" s="22"/>
      <c r="AE3037" s="22"/>
      <c r="AF3037" s="22"/>
      <c r="AG3037" s="22"/>
      <c r="AH3037" s="22"/>
      <c r="AI3037" s="22"/>
      <c r="AJ3037" s="22"/>
    </row>
    <row r="3038" spans="1:36" x14ac:dyDescent="0.25">
      <c r="A3038" s="22" t="s">
        <v>5382</v>
      </c>
      <c r="B3038" s="22">
        <v>539</v>
      </c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  <c r="M3038" s="22"/>
      <c r="N3038" s="22"/>
      <c r="O3038" s="22"/>
      <c r="P3038" s="22"/>
      <c r="Q3038" s="22"/>
      <c r="R3038" s="22"/>
      <c r="S3038" s="22"/>
      <c r="T3038" s="22"/>
      <c r="U3038" s="22"/>
      <c r="V3038" s="22"/>
      <c r="W3038" s="22"/>
      <c r="X3038" s="22"/>
      <c r="Y3038" s="22"/>
      <c r="Z3038" s="22"/>
      <c r="AA3038" s="22"/>
      <c r="AB3038" s="22"/>
      <c r="AC3038" s="22"/>
      <c r="AD3038" s="22"/>
      <c r="AE3038" s="22"/>
      <c r="AF3038" s="22"/>
      <c r="AG3038" s="22"/>
      <c r="AH3038" s="22"/>
      <c r="AI3038" s="22"/>
      <c r="AJ3038" s="22"/>
    </row>
    <row r="3039" spans="1:36" x14ac:dyDescent="0.25">
      <c r="A3039" s="22" t="s">
        <v>5383</v>
      </c>
      <c r="B3039" s="22">
        <v>0</v>
      </c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  <c r="M3039" s="22"/>
      <c r="N3039" s="22"/>
      <c r="O3039" s="22"/>
      <c r="P3039" s="22"/>
      <c r="Q3039" s="22"/>
      <c r="R3039" s="22"/>
      <c r="S3039" s="22"/>
      <c r="T3039" s="22"/>
      <c r="U3039" s="22"/>
      <c r="V3039" s="22"/>
      <c r="W3039" s="22"/>
      <c r="X3039" s="22"/>
      <c r="Y3039" s="22"/>
      <c r="Z3039" s="22"/>
      <c r="AA3039" s="22"/>
      <c r="AB3039" s="22"/>
      <c r="AC3039" s="22"/>
      <c r="AD3039" s="22"/>
      <c r="AE3039" s="22"/>
      <c r="AF3039" s="22"/>
      <c r="AG3039" s="22"/>
      <c r="AH3039" s="22"/>
      <c r="AI3039" s="22"/>
      <c r="AJ3039" s="22"/>
    </row>
    <row r="3040" spans="1:36" x14ac:dyDescent="0.25">
      <c r="A3040" s="22" t="s">
        <v>5384</v>
      </c>
      <c r="B3040" s="22">
        <v>0</v>
      </c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  <c r="M3040" s="22"/>
      <c r="N3040" s="22"/>
      <c r="O3040" s="22"/>
      <c r="P3040" s="22"/>
      <c r="Q3040" s="22"/>
      <c r="R3040" s="22"/>
      <c r="S3040" s="22"/>
      <c r="T3040" s="22"/>
      <c r="U3040" s="22"/>
      <c r="V3040" s="22"/>
      <c r="W3040" s="22"/>
      <c r="X3040" s="22"/>
      <c r="Y3040" s="22"/>
      <c r="Z3040" s="22"/>
      <c r="AA3040" s="22"/>
      <c r="AB3040" s="22"/>
      <c r="AC3040" s="22"/>
      <c r="AD3040" s="22"/>
      <c r="AE3040" s="22"/>
      <c r="AF3040" s="22"/>
      <c r="AG3040" s="22"/>
      <c r="AH3040" s="22"/>
      <c r="AI3040" s="22"/>
      <c r="AJ3040" s="22"/>
    </row>
    <row r="3041" spans="1:36" x14ac:dyDescent="0.25">
      <c r="A3041" s="22" t="s">
        <v>5385</v>
      </c>
      <c r="B3041" s="22">
        <v>0</v>
      </c>
      <c r="C3041" s="22"/>
      <c r="D3041" s="22"/>
      <c r="E3041" s="22"/>
      <c r="F3041" s="22"/>
      <c r="G3041" s="22"/>
      <c r="H3041" s="22"/>
      <c r="I3041" s="22"/>
      <c r="J3041" s="22"/>
      <c r="K3041" s="22"/>
      <c r="L3041" s="22"/>
      <c r="M3041" s="22"/>
      <c r="N3041" s="22"/>
      <c r="O3041" s="22"/>
      <c r="P3041" s="22"/>
      <c r="Q3041" s="22"/>
      <c r="R3041" s="22"/>
      <c r="S3041" s="22"/>
      <c r="T3041" s="22"/>
      <c r="U3041" s="22"/>
      <c r="V3041" s="22"/>
      <c r="W3041" s="22"/>
      <c r="X3041" s="22"/>
      <c r="Y3041" s="22"/>
      <c r="Z3041" s="22"/>
      <c r="AA3041" s="22"/>
      <c r="AB3041" s="22"/>
      <c r="AC3041" s="22"/>
      <c r="AD3041" s="22"/>
      <c r="AE3041" s="22"/>
      <c r="AF3041" s="22"/>
      <c r="AG3041" s="22"/>
      <c r="AH3041" s="22"/>
      <c r="AI3041" s="22"/>
      <c r="AJ3041" s="22"/>
    </row>
    <row r="3042" spans="1:36" x14ac:dyDescent="0.25">
      <c r="A3042" s="22" t="s">
        <v>5386</v>
      </c>
      <c r="B3042" s="22">
        <v>11</v>
      </c>
      <c r="C3042" s="22"/>
      <c r="D3042" s="22"/>
      <c r="E3042" s="22"/>
      <c r="F3042" s="22"/>
      <c r="G3042" s="22"/>
      <c r="H3042" s="22"/>
      <c r="I3042" s="22"/>
      <c r="J3042" s="22"/>
      <c r="K3042" s="22"/>
      <c r="L3042" s="22"/>
      <c r="M3042" s="22"/>
      <c r="N3042" s="22"/>
      <c r="O3042" s="22"/>
      <c r="P3042" s="22"/>
      <c r="Q3042" s="22"/>
      <c r="R3042" s="22"/>
      <c r="S3042" s="22"/>
      <c r="T3042" s="22"/>
      <c r="U3042" s="22"/>
      <c r="V3042" s="22"/>
      <c r="W3042" s="22"/>
      <c r="X3042" s="22"/>
      <c r="Y3042" s="22"/>
      <c r="Z3042" s="22"/>
      <c r="AA3042" s="22"/>
      <c r="AB3042" s="22"/>
      <c r="AC3042" s="22"/>
      <c r="AD3042" s="22"/>
      <c r="AE3042" s="22"/>
      <c r="AF3042" s="22"/>
      <c r="AG3042" s="22"/>
      <c r="AH3042" s="22"/>
      <c r="AI3042" s="22"/>
      <c r="AJ3042" s="22"/>
    </row>
    <row r="3043" spans="1:36" x14ac:dyDescent="0.25">
      <c r="A3043" s="22" t="s">
        <v>5387</v>
      </c>
      <c r="B3043" s="22">
        <v>0</v>
      </c>
      <c r="C3043" s="22"/>
      <c r="D3043" s="22"/>
      <c r="E3043" s="22"/>
      <c r="F3043" s="22"/>
      <c r="G3043" s="22"/>
      <c r="H3043" s="22"/>
      <c r="I3043" s="22"/>
      <c r="J3043" s="22"/>
      <c r="K3043" s="22"/>
      <c r="L3043" s="22"/>
      <c r="M3043" s="22"/>
      <c r="N3043" s="22"/>
      <c r="O3043" s="22"/>
      <c r="P3043" s="22"/>
      <c r="Q3043" s="22"/>
      <c r="R3043" s="22"/>
      <c r="S3043" s="22"/>
      <c r="T3043" s="22"/>
      <c r="U3043" s="22"/>
      <c r="V3043" s="22"/>
      <c r="W3043" s="22"/>
      <c r="X3043" s="22"/>
      <c r="Y3043" s="22"/>
      <c r="Z3043" s="22"/>
      <c r="AA3043" s="22"/>
      <c r="AB3043" s="22"/>
      <c r="AC3043" s="22"/>
      <c r="AD3043" s="22"/>
      <c r="AE3043" s="22"/>
      <c r="AF3043" s="22"/>
      <c r="AG3043" s="22"/>
      <c r="AH3043" s="22"/>
      <c r="AI3043" s="22"/>
      <c r="AJ3043" s="22"/>
    </row>
    <row r="3044" spans="1:36" x14ac:dyDescent="0.25">
      <c r="A3044" s="22" t="s">
        <v>5388</v>
      </c>
      <c r="B3044" s="22">
        <v>0</v>
      </c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  <c r="M3044" s="22"/>
      <c r="N3044" s="22"/>
      <c r="O3044" s="22"/>
      <c r="P3044" s="22"/>
      <c r="Q3044" s="22"/>
      <c r="R3044" s="22"/>
      <c r="S3044" s="22"/>
      <c r="T3044" s="22"/>
      <c r="U3044" s="22"/>
      <c r="V3044" s="22"/>
      <c r="W3044" s="22"/>
      <c r="X3044" s="22"/>
      <c r="Y3044" s="22"/>
      <c r="Z3044" s="22"/>
      <c r="AA3044" s="22"/>
      <c r="AB3044" s="22"/>
      <c r="AC3044" s="22"/>
      <c r="AD3044" s="22"/>
      <c r="AE3044" s="22"/>
      <c r="AF3044" s="22"/>
      <c r="AG3044" s="22"/>
      <c r="AH3044" s="22"/>
      <c r="AI3044" s="22"/>
      <c r="AJ3044" s="22"/>
    </row>
    <row r="3045" spans="1:36" x14ac:dyDescent="0.25">
      <c r="A3045" s="22" t="s">
        <v>5389</v>
      </c>
      <c r="B3045" s="22">
        <v>0</v>
      </c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  <c r="M3045" s="22"/>
      <c r="N3045" s="22"/>
      <c r="O3045" s="22"/>
      <c r="P3045" s="22"/>
      <c r="Q3045" s="22"/>
      <c r="R3045" s="22"/>
      <c r="S3045" s="22"/>
      <c r="T3045" s="22"/>
      <c r="U3045" s="22"/>
      <c r="V3045" s="22"/>
      <c r="W3045" s="22"/>
      <c r="X3045" s="22"/>
      <c r="Y3045" s="22"/>
      <c r="Z3045" s="22"/>
      <c r="AA3045" s="22"/>
      <c r="AB3045" s="22"/>
      <c r="AC3045" s="22"/>
      <c r="AD3045" s="22"/>
      <c r="AE3045" s="22"/>
      <c r="AF3045" s="22"/>
      <c r="AG3045" s="22"/>
      <c r="AH3045" s="22"/>
      <c r="AI3045" s="22"/>
      <c r="AJ3045" s="22"/>
    </row>
    <row r="3046" spans="1:36" x14ac:dyDescent="0.25">
      <c r="A3046" s="22" t="s">
        <v>2115</v>
      </c>
      <c r="B3046" s="22">
        <v>111</v>
      </c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  <c r="M3046" s="22"/>
      <c r="N3046" s="22"/>
      <c r="O3046" s="22"/>
      <c r="P3046" s="22"/>
      <c r="Q3046" s="22"/>
      <c r="R3046" s="22"/>
      <c r="S3046" s="22"/>
      <c r="T3046" s="22"/>
      <c r="U3046" s="22"/>
      <c r="V3046" s="22"/>
      <c r="W3046" s="22"/>
      <c r="X3046" s="22"/>
      <c r="Y3046" s="22"/>
      <c r="Z3046" s="22"/>
      <c r="AA3046" s="22"/>
      <c r="AB3046" s="22"/>
      <c r="AC3046" s="22"/>
      <c r="AD3046" s="22"/>
      <c r="AE3046" s="22"/>
      <c r="AF3046" s="22"/>
      <c r="AG3046" s="22"/>
      <c r="AH3046" s="22"/>
      <c r="AI3046" s="22"/>
      <c r="AJ3046" s="22"/>
    </row>
    <row r="3047" spans="1:36" x14ac:dyDescent="0.25">
      <c r="A3047" s="22" t="s">
        <v>5390</v>
      </c>
      <c r="B3047" s="22">
        <v>3</v>
      </c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  <c r="M3047" s="22"/>
      <c r="N3047" s="22"/>
      <c r="O3047" s="22"/>
      <c r="P3047" s="22"/>
      <c r="Q3047" s="22"/>
      <c r="R3047" s="22"/>
      <c r="S3047" s="22"/>
      <c r="T3047" s="22"/>
      <c r="U3047" s="22"/>
      <c r="V3047" s="22"/>
      <c r="W3047" s="22"/>
      <c r="X3047" s="22"/>
      <c r="Y3047" s="22"/>
      <c r="Z3047" s="22"/>
      <c r="AA3047" s="22"/>
      <c r="AB3047" s="22"/>
      <c r="AC3047" s="22"/>
      <c r="AD3047" s="22"/>
      <c r="AE3047" s="22"/>
      <c r="AF3047" s="22"/>
      <c r="AG3047" s="22"/>
      <c r="AH3047" s="22"/>
      <c r="AI3047" s="22"/>
      <c r="AJ3047" s="22"/>
    </row>
    <row r="3048" spans="1:36" x14ac:dyDescent="0.25">
      <c r="A3048" s="22" t="s">
        <v>5391</v>
      </c>
      <c r="B3048" s="22">
        <v>0</v>
      </c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  <c r="M3048" s="22"/>
      <c r="N3048" s="22"/>
      <c r="O3048" s="22"/>
      <c r="P3048" s="22"/>
      <c r="Q3048" s="22"/>
      <c r="R3048" s="22"/>
      <c r="S3048" s="22"/>
      <c r="T3048" s="22"/>
      <c r="U3048" s="22"/>
      <c r="V3048" s="22"/>
      <c r="W3048" s="22"/>
      <c r="X3048" s="22"/>
      <c r="Y3048" s="22"/>
      <c r="Z3048" s="22"/>
      <c r="AA3048" s="22"/>
      <c r="AB3048" s="22"/>
      <c r="AC3048" s="22"/>
      <c r="AD3048" s="22"/>
      <c r="AE3048" s="22"/>
      <c r="AF3048" s="22"/>
      <c r="AG3048" s="22"/>
      <c r="AH3048" s="22"/>
      <c r="AI3048" s="22"/>
      <c r="AJ3048" s="22"/>
    </row>
    <row r="3049" spans="1:36" x14ac:dyDescent="0.25">
      <c r="A3049" s="22" t="s">
        <v>5392</v>
      </c>
      <c r="B3049" s="22">
        <v>0</v>
      </c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  <c r="M3049" s="22"/>
      <c r="N3049" s="22"/>
      <c r="O3049" s="22"/>
      <c r="P3049" s="22"/>
      <c r="Q3049" s="22"/>
      <c r="R3049" s="22"/>
      <c r="S3049" s="22"/>
      <c r="T3049" s="22"/>
      <c r="U3049" s="22"/>
      <c r="V3049" s="22"/>
      <c r="W3049" s="22"/>
      <c r="X3049" s="22"/>
      <c r="Y3049" s="22"/>
      <c r="Z3049" s="22"/>
      <c r="AA3049" s="22"/>
      <c r="AB3049" s="22"/>
      <c r="AC3049" s="22"/>
      <c r="AD3049" s="22"/>
      <c r="AE3049" s="22"/>
      <c r="AF3049" s="22"/>
      <c r="AG3049" s="22"/>
      <c r="AH3049" s="22"/>
      <c r="AI3049" s="22"/>
      <c r="AJ3049" s="22"/>
    </row>
    <row r="3050" spans="1:36" x14ac:dyDescent="0.25">
      <c r="A3050" s="22" t="s">
        <v>5393</v>
      </c>
      <c r="B3050" s="22">
        <v>2</v>
      </c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  <c r="M3050" s="22"/>
      <c r="N3050" s="22"/>
      <c r="O3050" s="22"/>
      <c r="P3050" s="22"/>
      <c r="Q3050" s="22"/>
      <c r="R3050" s="22"/>
      <c r="S3050" s="22"/>
      <c r="T3050" s="22"/>
      <c r="U3050" s="22"/>
      <c r="V3050" s="22"/>
      <c r="W3050" s="22"/>
      <c r="X3050" s="22"/>
      <c r="Y3050" s="22"/>
      <c r="Z3050" s="22"/>
      <c r="AA3050" s="22"/>
      <c r="AB3050" s="22"/>
      <c r="AC3050" s="22"/>
      <c r="AD3050" s="22"/>
      <c r="AE3050" s="22"/>
      <c r="AF3050" s="22"/>
      <c r="AG3050" s="22"/>
      <c r="AH3050" s="22"/>
      <c r="AI3050" s="22"/>
      <c r="AJ3050" s="22"/>
    </row>
    <row r="3051" spans="1:36" x14ac:dyDescent="0.25">
      <c r="A3051" s="22" t="s">
        <v>5394</v>
      </c>
      <c r="B3051" s="22">
        <v>0</v>
      </c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  <c r="M3051" s="22"/>
      <c r="N3051" s="22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22"/>
      <c r="AA3051" s="22"/>
      <c r="AB3051" s="22"/>
      <c r="AC3051" s="22"/>
      <c r="AD3051" s="22"/>
      <c r="AE3051" s="22"/>
      <c r="AF3051" s="22"/>
      <c r="AG3051" s="22"/>
      <c r="AH3051" s="22"/>
      <c r="AI3051" s="22"/>
      <c r="AJ3051" s="22"/>
    </row>
    <row r="3052" spans="1:36" x14ac:dyDescent="0.25">
      <c r="A3052" s="22" t="s">
        <v>5395</v>
      </c>
      <c r="B3052" s="22">
        <v>0</v>
      </c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  <c r="M3052" s="22"/>
      <c r="N3052" s="22"/>
      <c r="O3052" s="22"/>
      <c r="P3052" s="22"/>
      <c r="Q3052" s="22"/>
      <c r="R3052" s="22"/>
      <c r="S3052" s="22"/>
      <c r="T3052" s="22"/>
      <c r="U3052" s="22"/>
      <c r="V3052" s="22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</row>
    <row r="3053" spans="1:36" x14ac:dyDescent="0.25">
      <c r="A3053" s="22" t="s">
        <v>5396</v>
      </c>
      <c r="B3053" s="22">
        <v>0</v>
      </c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  <c r="M3053" s="22"/>
      <c r="N3053" s="22"/>
      <c r="O3053" s="22"/>
      <c r="P3053" s="22"/>
      <c r="Q3053" s="22"/>
      <c r="R3053" s="22"/>
      <c r="S3053" s="22"/>
      <c r="T3053" s="22"/>
      <c r="U3053" s="22"/>
      <c r="V3053" s="22"/>
      <c r="W3053" s="22"/>
      <c r="X3053" s="22"/>
      <c r="Y3053" s="22"/>
      <c r="Z3053" s="22"/>
      <c r="AA3053" s="22"/>
      <c r="AB3053" s="22"/>
      <c r="AC3053" s="22"/>
      <c r="AD3053" s="22"/>
      <c r="AE3053" s="22"/>
      <c r="AF3053" s="22"/>
      <c r="AG3053" s="22"/>
      <c r="AH3053" s="22"/>
      <c r="AI3053" s="22"/>
      <c r="AJ3053" s="22"/>
    </row>
    <row r="3054" spans="1:36" x14ac:dyDescent="0.25">
      <c r="A3054" s="22" t="s">
        <v>2118</v>
      </c>
      <c r="B3054" s="22">
        <v>1063</v>
      </c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  <c r="M3054" s="22"/>
      <c r="N3054" s="22"/>
      <c r="O3054" s="22"/>
      <c r="P3054" s="22"/>
      <c r="Q3054" s="22"/>
      <c r="R3054" s="22"/>
      <c r="S3054" s="22"/>
      <c r="T3054" s="22"/>
      <c r="U3054" s="22"/>
      <c r="V3054" s="22"/>
      <c r="W3054" s="22"/>
      <c r="X3054" s="22"/>
      <c r="Y3054" s="22"/>
      <c r="Z3054" s="22"/>
      <c r="AA3054" s="22"/>
      <c r="AB3054" s="22"/>
      <c r="AC3054" s="22"/>
      <c r="AD3054" s="22"/>
      <c r="AE3054" s="22"/>
      <c r="AF3054" s="22"/>
      <c r="AG3054" s="22"/>
      <c r="AH3054" s="22"/>
      <c r="AI3054" s="22"/>
      <c r="AJ3054" s="22"/>
    </row>
    <row r="3055" spans="1:36" x14ac:dyDescent="0.25">
      <c r="A3055" s="22" t="s">
        <v>3698</v>
      </c>
      <c r="B3055" s="22">
        <v>0</v>
      </c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  <c r="M3055" s="22"/>
      <c r="N3055" s="22"/>
      <c r="O3055" s="22"/>
      <c r="P3055" s="22"/>
      <c r="Q3055" s="22"/>
      <c r="R3055" s="22"/>
      <c r="S3055" s="22"/>
      <c r="T3055" s="22"/>
      <c r="U3055" s="22"/>
      <c r="V3055" s="22"/>
      <c r="W3055" s="22"/>
      <c r="X3055" s="22"/>
      <c r="Y3055" s="22"/>
      <c r="Z3055" s="22"/>
      <c r="AA3055" s="22"/>
      <c r="AB3055" s="22"/>
      <c r="AC3055" s="22"/>
      <c r="AD3055" s="22"/>
      <c r="AE3055" s="22"/>
      <c r="AF3055" s="22"/>
      <c r="AG3055" s="22"/>
      <c r="AH3055" s="22"/>
      <c r="AI3055" s="22"/>
      <c r="AJ3055" s="22"/>
    </row>
    <row r="3056" spans="1:36" x14ac:dyDescent="0.25">
      <c r="A3056" s="22" t="s">
        <v>3699</v>
      </c>
      <c r="B3056" s="22">
        <v>0</v>
      </c>
      <c r="C3056" s="22"/>
      <c r="D3056" s="22"/>
      <c r="E3056" s="22"/>
      <c r="F3056" s="22"/>
      <c r="G3056" s="22"/>
      <c r="H3056" s="22"/>
      <c r="I3056" s="22"/>
      <c r="J3056" s="22"/>
      <c r="K3056" s="22"/>
      <c r="L3056" s="22"/>
      <c r="M3056" s="22"/>
      <c r="N3056" s="22"/>
      <c r="O3056" s="22"/>
      <c r="P3056" s="22"/>
      <c r="Q3056" s="22"/>
      <c r="R3056" s="22"/>
      <c r="S3056" s="22"/>
      <c r="T3056" s="22"/>
      <c r="U3056" s="22"/>
      <c r="V3056" s="22"/>
      <c r="W3056" s="22"/>
      <c r="X3056" s="22"/>
      <c r="Y3056" s="22"/>
      <c r="Z3056" s="22"/>
      <c r="AA3056" s="22"/>
      <c r="AB3056" s="22"/>
      <c r="AC3056" s="22"/>
      <c r="AD3056" s="22"/>
      <c r="AE3056" s="22"/>
      <c r="AF3056" s="22"/>
      <c r="AG3056" s="22"/>
      <c r="AH3056" s="22"/>
      <c r="AI3056" s="22"/>
      <c r="AJ3056" s="22"/>
    </row>
    <row r="3057" spans="1:36" x14ac:dyDescent="0.25">
      <c r="A3057" s="22" t="s">
        <v>3700</v>
      </c>
      <c r="B3057" s="22">
        <v>0</v>
      </c>
      <c r="C3057" s="22"/>
      <c r="D3057" s="22"/>
      <c r="E3057" s="22"/>
      <c r="F3057" s="22"/>
      <c r="G3057" s="22"/>
      <c r="H3057" s="22"/>
      <c r="I3057" s="22"/>
      <c r="J3057" s="22"/>
      <c r="K3057" s="22"/>
      <c r="L3057" s="22"/>
      <c r="M3057" s="22"/>
      <c r="N3057" s="22"/>
      <c r="O3057" s="22"/>
      <c r="P3057" s="22"/>
      <c r="Q3057" s="22"/>
      <c r="R3057" s="22"/>
      <c r="S3057" s="22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22"/>
      <c r="AI3057" s="22"/>
      <c r="AJ3057" s="22"/>
    </row>
    <row r="3058" spans="1:36" x14ac:dyDescent="0.25">
      <c r="A3058" s="22" t="s">
        <v>3701</v>
      </c>
      <c r="B3058" s="22">
        <v>11</v>
      </c>
      <c r="C3058" s="22"/>
      <c r="D3058" s="22"/>
      <c r="E3058" s="22"/>
      <c r="F3058" s="22"/>
      <c r="G3058" s="22"/>
      <c r="H3058" s="22"/>
      <c r="I3058" s="22"/>
      <c r="J3058" s="22"/>
      <c r="K3058" s="22"/>
      <c r="L3058" s="22"/>
      <c r="M3058" s="22"/>
      <c r="N3058" s="22"/>
      <c r="O3058" s="22"/>
      <c r="P3058" s="22"/>
      <c r="Q3058" s="22"/>
      <c r="R3058" s="22"/>
      <c r="S3058" s="22"/>
      <c r="T3058" s="22"/>
      <c r="U3058" s="22"/>
      <c r="V3058" s="22"/>
      <c r="W3058" s="22"/>
      <c r="X3058" s="22"/>
      <c r="Y3058" s="22"/>
      <c r="Z3058" s="22"/>
      <c r="AA3058" s="22"/>
      <c r="AB3058" s="22"/>
      <c r="AC3058" s="22"/>
      <c r="AD3058" s="22"/>
      <c r="AE3058" s="22"/>
      <c r="AF3058" s="22"/>
      <c r="AG3058" s="22"/>
      <c r="AH3058" s="22"/>
      <c r="AI3058" s="22"/>
      <c r="AJ3058" s="22"/>
    </row>
    <row r="3059" spans="1:36" x14ac:dyDescent="0.25">
      <c r="A3059" s="22" t="s">
        <v>3702</v>
      </c>
      <c r="B3059" s="22">
        <v>0</v>
      </c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  <c r="M3059" s="22"/>
      <c r="N3059" s="22"/>
      <c r="O3059" s="22"/>
      <c r="P3059" s="22"/>
      <c r="Q3059" s="22"/>
      <c r="R3059" s="22"/>
      <c r="S3059" s="22"/>
      <c r="T3059" s="22"/>
      <c r="U3059" s="22"/>
      <c r="V3059" s="22"/>
      <c r="W3059" s="22"/>
      <c r="X3059" s="22"/>
      <c r="Y3059" s="22"/>
      <c r="Z3059" s="22"/>
      <c r="AA3059" s="22"/>
      <c r="AB3059" s="22"/>
      <c r="AC3059" s="22"/>
      <c r="AD3059" s="22"/>
      <c r="AE3059" s="22"/>
      <c r="AF3059" s="22"/>
      <c r="AG3059" s="22"/>
      <c r="AH3059" s="22"/>
      <c r="AI3059" s="22"/>
      <c r="AJ3059" s="22"/>
    </row>
    <row r="3060" spans="1:36" x14ac:dyDescent="0.25">
      <c r="A3060" s="22" t="s">
        <v>3703</v>
      </c>
      <c r="B3060" s="22">
        <v>0</v>
      </c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  <c r="M3060" s="22"/>
      <c r="N3060" s="22"/>
      <c r="O3060" s="22"/>
      <c r="P3060" s="22"/>
      <c r="Q3060" s="22"/>
      <c r="R3060" s="22"/>
      <c r="S3060" s="22"/>
      <c r="T3060" s="22"/>
      <c r="U3060" s="22"/>
      <c r="V3060" s="22"/>
      <c r="W3060" s="22"/>
      <c r="X3060" s="22"/>
      <c r="Y3060" s="22"/>
      <c r="Z3060" s="22"/>
      <c r="AA3060" s="22"/>
      <c r="AB3060" s="22"/>
      <c r="AC3060" s="22"/>
      <c r="AD3060" s="22"/>
      <c r="AE3060" s="22"/>
      <c r="AF3060" s="22"/>
      <c r="AG3060" s="22"/>
      <c r="AH3060" s="22"/>
      <c r="AI3060" s="22"/>
      <c r="AJ3060" s="22"/>
    </row>
    <row r="3061" spans="1:36" x14ac:dyDescent="0.25">
      <c r="A3061" s="22" t="s">
        <v>3704</v>
      </c>
      <c r="B3061" s="22">
        <v>0</v>
      </c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22"/>
      <c r="AC3061" s="22"/>
      <c r="AD3061" s="22"/>
      <c r="AE3061" s="22"/>
      <c r="AF3061" s="22"/>
      <c r="AG3061" s="22"/>
      <c r="AH3061" s="22"/>
      <c r="AI3061" s="22"/>
      <c r="AJ3061" s="22"/>
    </row>
    <row r="3062" spans="1:36" x14ac:dyDescent="0.25">
      <c r="A3062" s="22" t="s">
        <v>2121</v>
      </c>
      <c r="B3062" s="22">
        <v>0</v>
      </c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  <c r="M3062" s="22"/>
      <c r="N3062" s="22"/>
      <c r="O3062" s="22"/>
      <c r="P3062" s="22"/>
      <c r="Q3062" s="22"/>
      <c r="R3062" s="22"/>
      <c r="S3062" s="22"/>
      <c r="T3062" s="22"/>
      <c r="U3062" s="22"/>
      <c r="V3062" s="22"/>
      <c r="W3062" s="22"/>
      <c r="X3062" s="22"/>
      <c r="Y3062" s="22"/>
      <c r="Z3062" s="22"/>
      <c r="AA3062" s="22"/>
      <c r="AB3062" s="22"/>
      <c r="AC3062" s="22"/>
      <c r="AD3062" s="22"/>
      <c r="AE3062" s="22"/>
      <c r="AF3062" s="22"/>
      <c r="AG3062" s="22"/>
      <c r="AH3062" s="22"/>
      <c r="AI3062" s="22"/>
      <c r="AJ3062" s="22"/>
    </row>
    <row r="3063" spans="1:36" x14ac:dyDescent="0.25">
      <c r="A3063" s="22" t="s">
        <v>3705</v>
      </c>
      <c r="B3063" s="22">
        <v>0</v>
      </c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  <c r="M3063" s="22"/>
      <c r="N3063" s="22"/>
      <c r="O3063" s="22"/>
      <c r="P3063" s="22"/>
      <c r="Q3063" s="22"/>
      <c r="R3063" s="22"/>
      <c r="S3063" s="22"/>
      <c r="T3063" s="22"/>
      <c r="U3063" s="22"/>
      <c r="V3063" s="22"/>
      <c r="W3063" s="22"/>
      <c r="X3063" s="22"/>
      <c r="Y3063" s="22"/>
      <c r="Z3063" s="22"/>
      <c r="AA3063" s="22"/>
      <c r="AB3063" s="22"/>
      <c r="AC3063" s="22"/>
      <c r="AD3063" s="22"/>
      <c r="AE3063" s="22"/>
      <c r="AF3063" s="22"/>
      <c r="AG3063" s="22"/>
      <c r="AH3063" s="22"/>
      <c r="AI3063" s="22"/>
      <c r="AJ3063" s="22"/>
    </row>
    <row r="3064" spans="1:36" x14ac:dyDescent="0.25">
      <c r="A3064" s="22" t="s">
        <v>3706</v>
      </c>
      <c r="B3064" s="22">
        <v>0</v>
      </c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  <c r="M3064" s="22"/>
      <c r="N3064" s="22"/>
      <c r="O3064" s="22"/>
      <c r="P3064" s="22"/>
      <c r="Q3064" s="22"/>
      <c r="R3064" s="22"/>
      <c r="S3064" s="22"/>
      <c r="T3064" s="22"/>
      <c r="U3064" s="22"/>
      <c r="V3064" s="22"/>
      <c r="W3064" s="22"/>
      <c r="X3064" s="22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22"/>
    </row>
    <row r="3065" spans="1:36" x14ac:dyDescent="0.25">
      <c r="A3065" s="22" t="s">
        <v>3707</v>
      </c>
      <c r="B3065" s="22">
        <v>0</v>
      </c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  <c r="M3065" s="22"/>
      <c r="N3065" s="22"/>
      <c r="O3065" s="22"/>
      <c r="P3065" s="22"/>
      <c r="Q3065" s="22"/>
      <c r="R3065" s="22"/>
      <c r="S3065" s="22"/>
      <c r="T3065" s="22"/>
      <c r="U3065" s="22"/>
      <c r="V3065" s="22"/>
      <c r="W3065" s="22"/>
      <c r="X3065" s="22"/>
      <c r="Y3065" s="22"/>
      <c r="Z3065" s="22"/>
      <c r="AA3065" s="22"/>
      <c r="AB3065" s="22"/>
      <c r="AC3065" s="22"/>
      <c r="AD3065" s="22"/>
      <c r="AE3065" s="22"/>
      <c r="AF3065" s="22"/>
      <c r="AG3065" s="22"/>
      <c r="AH3065" s="22"/>
      <c r="AI3065" s="22"/>
      <c r="AJ3065" s="22"/>
    </row>
    <row r="3066" spans="1:36" x14ac:dyDescent="0.25">
      <c r="A3066" s="22" t="s">
        <v>3708</v>
      </c>
      <c r="B3066" s="22">
        <v>0</v>
      </c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  <c r="M3066" s="22"/>
      <c r="N3066" s="22"/>
      <c r="O3066" s="22"/>
      <c r="P3066" s="22"/>
      <c r="Q3066" s="22"/>
      <c r="R3066" s="22"/>
      <c r="S3066" s="22"/>
      <c r="T3066" s="22"/>
      <c r="U3066" s="22"/>
      <c r="V3066" s="22"/>
      <c r="W3066" s="22"/>
      <c r="X3066" s="22"/>
      <c r="Y3066" s="22"/>
      <c r="Z3066" s="22"/>
      <c r="AA3066" s="22"/>
      <c r="AB3066" s="22"/>
      <c r="AC3066" s="22"/>
      <c r="AD3066" s="22"/>
      <c r="AE3066" s="22"/>
      <c r="AF3066" s="22"/>
      <c r="AG3066" s="22"/>
      <c r="AH3066" s="22"/>
      <c r="AI3066" s="22"/>
      <c r="AJ3066" s="22"/>
    </row>
    <row r="3067" spans="1:36" x14ac:dyDescent="0.25">
      <c r="A3067" s="22" t="s">
        <v>3709</v>
      </c>
      <c r="B3067" s="22">
        <v>0</v>
      </c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  <c r="M3067" s="22"/>
      <c r="N3067" s="22"/>
      <c r="O3067" s="22"/>
      <c r="P3067" s="22"/>
      <c r="Q3067" s="22"/>
      <c r="R3067" s="22"/>
      <c r="S3067" s="22"/>
      <c r="T3067" s="22"/>
      <c r="U3067" s="22"/>
      <c r="V3067" s="22"/>
      <c r="W3067" s="22"/>
      <c r="X3067" s="22"/>
      <c r="Y3067" s="22"/>
      <c r="Z3067" s="22"/>
      <c r="AA3067" s="22"/>
      <c r="AB3067" s="22"/>
      <c r="AC3067" s="22"/>
      <c r="AD3067" s="22"/>
      <c r="AE3067" s="22"/>
      <c r="AF3067" s="22"/>
      <c r="AG3067" s="22"/>
      <c r="AH3067" s="22"/>
      <c r="AI3067" s="22"/>
      <c r="AJ3067" s="22"/>
    </row>
    <row r="3068" spans="1:36" x14ac:dyDescent="0.25">
      <c r="A3068" s="22" t="s">
        <v>3710</v>
      </c>
      <c r="B3068" s="22">
        <v>0</v>
      </c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  <c r="M3068" s="22"/>
      <c r="N3068" s="22"/>
      <c r="O3068" s="22"/>
      <c r="P3068" s="22"/>
      <c r="Q3068" s="22"/>
      <c r="R3068" s="22"/>
      <c r="S3068" s="22"/>
      <c r="T3068" s="22"/>
      <c r="U3068" s="22"/>
      <c r="V3068" s="22"/>
      <c r="W3068" s="22"/>
      <c r="X3068" s="22"/>
      <c r="Y3068" s="22"/>
      <c r="Z3068" s="22"/>
      <c r="AA3068" s="22"/>
      <c r="AB3068" s="22"/>
      <c r="AC3068" s="22"/>
      <c r="AD3068" s="22"/>
      <c r="AE3068" s="22"/>
      <c r="AF3068" s="22"/>
      <c r="AG3068" s="22"/>
      <c r="AH3068" s="22"/>
      <c r="AI3068" s="22"/>
      <c r="AJ3068" s="22"/>
    </row>
    <row r="3069" spans="1:36" x14ac:dyDescent="0.25">
      <c r="A3069" s="22" t="s">
        <v>3711</v>
      </c>
      <c r="B3069" s="22">
        <v>0</v>
      </c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  <c r="M3069" s="22"/>
      <c r="N3069" s="22"/>
      <c r="O3069" s="22"/>
      <c r="P3069" s="22"/>
      <c r="Q3069" s="22"/>
      <c r="R3069" s="22"/>
      <c r="S3069" s="22"/>
      <c r="T3069" s="22"/>
      <c r="U3069" s="22"/>
      <c r="V3069" s="22"/>
      <c r="W3069" s="22"/>
      <c r="X3069" s="22"/>
      <c r="Y3069" s="22"/>
      <c r="Z3069" s="22"/>
      <c r="AA3069" s="22"/>
      <c r="AB3069" s="22"/>
      <c r="AC3069" s="22"/>
      <c r="AD3069" s="22"/>
      <c r="AE3069" s="22"/>
      <c r="AF3069" s="22"/>
      <c r="AG3069" s="22"/>
      <c r="AH3069" s="22"/>
      <c r="AI3069" s="22"/>
      <c r="AJ3069" s="22"/>
    </row>
    <row r="3070" spans="1:36" x14ac:dyDescent="0.25">
      <c r="A3070" s="22" t="s">
        <v>671</v>
      </c>
      <c r="B3070" s="22">
        <v>15</v>
      </c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  <c r="M3070" s="22"/>
      <c r="N3070" s="22"/>
      <c r="O3070" s="22"/>
      <c r="P3070" s="22"/>
      <c r="Q3070" s="22"/>
      <c r="R3070" s="22"/>
      <c r="S3070" s="22"/>
      <c r="T3070" s="22"/>
      <c r="U3070" s="22"/>
      <c r="V3070" s="22"/>
      <c r="W3070" s="22"/>
      <c r="X3070" s="22"/>
      <c r="Y3070" s="22"/>
      <c r="Z3070" s="22"/>
      <c r="AA3070" s="22"/>
      <c r="AB3070" s="22"/>
      <c r="AC3070" s="22"/>
      <c r="AD3070" s="22"/>
      <c r="AE3070" s="22"/>
      <c r="AF3070" s="22"/>
      <c r="AG3070" s="22"/>
      <c r="AH3070" s="22"/>
      <c r="AI3070" s="22"/>
      <c r="AJ3070" s="22"/>
    </row>
    <row r="3071" spans="1:36" x14ac:dyDescent="0.25">
      <c r="A3071" s="22" t="s">
        <v>3712</v>
      </c>
      <c r="B3071" s="22">
        <v>0</v>
      </c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  <c r="M3071" s="22"/>
      <c r="N3071" s="22"/>
      <c r="O3071" s="22"/>
      <c r="P3071" s="22"/>
      <c r="Q3071" s="22"/>
      <c r="R3071" s="22"/>
      <c r="S3071" s="22"/>
      <c r="T3071" s="22"/>
      <c r="U3071" s="22"/>
      <c r="V3071" s="22"/>
      <c r="W3071" s="22"/>
      <c r="X3071" s="22"/>
      <c r="Y3071" s="22"/>
      <c r="Z3071" s="22"/>
      <c r="AA3071" s="22"/>
      <c r="AB3071" s="22"/>
      <c r="AC3071" s="22"/>
      <c r="AD3071" s="22"/>
      <c r="AE3071" s="22"/>
      <c r="AF3071" s="22"/>
      <c r="AG3071" s="22"/>
      <c r="AH3071" s="22"/>
      <c r="AI3071" s="22"/>
      <c r="AJ3071" s="22"/>
    </row>
    <row r="3072" spans="1:36" x14ac:dyDescent="0.25">
      <c r="A3072" s="22" t="s">
        <v>3713</v>
      </c>
      <c r="B3072" s="22">
        <v>0</v>
      </c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  <c r="M3072" s="22"/>
      <c r="N3072" s="22"/>
      <c r="O3072" s="22"/>
      <c r="P3072" s="22"/>
      <c r="Q3072" s="22"/>
      <c r="R3072" s="22"/>
      <c r="S3072" s="22"/>
      <c r="T3072" s="22"/>
      <c r="U3072" s="22"/>
      <c r="V3072" s="22"/>
      <c r="W3072" s="22"/>
      <c r="X3072" s="22"/>
      <c r="Y3072" s="22"/>
      <c r="Z3072" s="22"/>
      <c r="AA3072" s="22"/>
      <c r="AB3072" s="22"/>
      <c r="AC3072" s="22"/>
      <c r="AD3072" s="22"/>
      <c r="AE3072" s="22"/>
      <c r="AF3072" s="22"/>
      <c r="AG3072" s="22"/>
      <c r="AH3072" s="22"/>
      <c r="AI3072" s="22"/>
      <c r="AJ3072" s="22"/>
    </row>
    <row r="3073" spans="1:36" x14ac:dyDescent="0.25">
      <c r="A3073" s="22" t="s">
        <v>3714</v>
      </c>
      <c r="B3073" s="22">
        <v>0</v>
      </c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  <c r="M3073" s="22"/>
      <c r="N3073" s="22"/>
      <c r="O3073" s="22"/>
      <c r="P3073" s="22"/>
      <c r="Q3073" s="22"/>
      <c r="R3073" s="22"/>
      <c r="S3073" s="22"/>
      <c r="T3073" s="22"/>
      <c r="U3073" s="22"/>
      <c r="V3073" s="22"/>
      <c r="W3073" s="22"/>
      <c r="X3073" s="22"/>
      <c r="Y3073" s="22"/>
      <c r="Z3073" s="22"/>
      <c r="AA3073" s="22"/>
      <c r="AB3073" s="22"/>
      <c r="AC3073" s="22"/>
      <c r="AD3073" s="22"/>
      <c r="AE3073" s="22"/>
      <c r="AF3073" s="22"/>
      <c r="AG3073" s="22"/>
      <c r="AH3073" s="22"/>
      <c r="AI3073" s="22"/>
      <c r="AJ3073" s="22"/>
    </row>
    <row r="3074" spans="1:36" x14ac:dyDescent="0.25">
      <c r="A3074" s="22" t="s">
        <v>3715</v>
      </c>
      <c r="B3074" s="22">
        <v>0</v>
      </c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  <c r="M3074" s="22"/>
      <c r="N3074" s="22"/>
      <c r="O3074" s="22"/>
      <c r="P3074" s="22"/>
      <c r="Q3074" s="22"/>
      <c r="R3074" s="22"/>
      <c r="S3074" s="22"/>
      <c r="T3074" s="22"/>
      <c r="U3074" s="22"/>
      <c r="V3074" s="22"/>
      <c r="W3074" s="22"/>
      <c r="X3074" s="22"/>
      <c r="Y3074" s="22"/>
      <c r="Z3074" s="22"/>
      <c r="AA3074" s="22"/>
      <c r="AB3074" s="22"/>
      <c r="AC3074" s="22"/>
      <c r="AD3074" s="22"/>
      <c r="AE3074" s="22"/>
      <c r="AF3074" s="22"/>
      <c r="AG3074" s="22"/>
      <c r="AH3074" s="22"/>
      <c r="AI3074" s="22"/>
      <c r="AJ3074" s="22"/>
    </row>
    <row r="3075" spans="1:36" x14ac:dyDescent="0.25">
      <c r="A3075" s="22" t="s">
        <v>3716</v>
      </c>
      <c r="B3075" s="22">
        <v>0</v>
      </c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  <c r="M3075" s="22"/>
      <c r="N3075" s="22"/>
      <c r="O3075" s="22"/>
      <c r="P3075" s="22"/>
      <c r="Q3075" s="22"/>
      <c r="R3075" s="22"/>
      <c r="S3075" s="22"/>
      <c r="T3075" s="22"/>
      <c r="U3075" s="22"/>
      <c r="V3075" s="22"/>
      <c r="W3075" s="22"/>
      <c r="X3075" s="22"/>
      <c r="Y3075" s="22"/>
      <c r="Z3075" s="22"/>
      <c r="AA3075" s="22"/>
      <c r="AB3075" s="22"/>
      <c r="AC3075" s="22"/>
      <c r="AD3075" s="22"/>
      <c r="AE3075" s="22"/>
      <c r="AF3075" s="22"/>
      <c r="AG3075" s="22"/>
      <c r="AH3075" s="22"/>
      <c r="AI3075" s="22"/>
      <c r="AJ3075" s="22"/>
    </row>
    <row r="3076" spans="1:36" x14ac:dyDescent="0.25">
      <c r="A3076" s="22" t="s">
        <v>3717</v>
      </c>
      <c r="B3076" s="22">
        <v>0</v>
      </c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  <c r="M3076" s="22"/>
      <c r="N3076" s="22"/>
      <c r="O3076" s="22"/>
      <c r="P3076" s="22"/>
      <c r="Q3076" s="22"/>
      <c r="R3076" s="22"/>
      <c r="S3076" s="22"/>
      <c r="T3076" s="22"/>
      <c r="U3076" s="22"/>
      <c r="V3076" s="22"/>
      <c r="W3076" s="22"/>
      <c r="X3076" s="22"/>
      <c r="Y3076" s="22"/>
      <c r="Z3076" s="22"/>
      <c r="AA3076" s="22"/>
      <c r="AB3076" s="22"/>
      <c r="AC3076" s="22"/>
      <c r="AD3076" s="22"/>
      <c r="AE3076" s="22"/>
      <c r="AF3076" s="22"/>
      <c r="AG3076" s="22"/>
      <c r="AH3076" s="22"/>
      <c r="AI3076" s="22"/>
      <c r="AJ3076" s="22"/>
    </row>
    <row r="3077" spans="1:36" x14ac:dyDescent="0.25">
      <c r="A3077" s="22" t="s">
        <v>3718</v>
      </c>
      <c r="B3077" s="22">
        <v>0</v>
      </c>
      <c r="C3077" s="22"/>
      <c r="D3077" s="22"/>
      <c r="E3077" s="22"/>
      <c r="F3077" s="22"/>
      <c r="G3077" s="22"/>
      <c r="H3077" s="22"/>
      <c r="I3077" s="22"/>
      <c r="J3077" s="22"/>
      <c r="K3077" s="22"/>
      <c r="L3077" s="22"/>
      <c r="M3077" s="22"/>
      <c r="N3077" s="22"/>
      <c r="O3077" s="22"/>
      <c r="P3077" s="22"/>
      <c r="Q3077" s="22"/>
      <c r="R3077" s="22"/>
      <c r="S3077" s="22"/>
      <c r="T3077" s="22"/>
      <c r="U3077" s="22"/>
      <c r="V3077" s="22"/>
      <c r="W3077" s="22"/>
      <c r="X3077" s="22"/>
      <c r="Y3077" s="22"/>
      <c r="Z3077" s="22"/>
      <c r="AA3077" s="22"/>
      <c r="AB3077" s="22"/>
      <c r="AC3077" s="22"/>
      <c r="AD3077" s="22"/>
      <c r="AE3077" s="22"/>
      <c r="AF3077" s="22"/>
      <c r="AG3077" s="22"/>
      <c r="AH3077" s="22"/>
      <c r="AI3077" s="22"/>
      <c r="AJ3077" s="22"/>
    </row>
    <row r="3078" spans="1:36" x14ac:dyDescent="0.25">
      <c r="A3078" s="22" t="s">
        <v>675</v>
      </c>
      <c r="B3078" s="22">
        <v>3</v>
      </c>
      <c r="C3078" s="22"/>
      <c r="D3078" s="22"/>
      <c r="E3078" s="22"/>
      <c r="F3078" s="22"/>
      <c r="G3078" s="22"/>
      <c r="H3078" s="22"/>
      <c r="I3078" s="22"/>
      <c r="J3078" s="22"/>
      <c r="K3078" s="22"/>
      <c r="L3078" s="22"/>
      <c r="M3078" s="22"/>
      <c r="N3078" s="22"/>
      <c r="O3078" s="22"/>
      <c r="P3078" s="22"/>
      <c r="Q3078" s="22"/>
      <c r="R3078" s="22"/>
      <c r="S3078" s="22"/>
      <c r="T3078" s="22"/>
      <c r="U3078" s="22"/>
      <c r="V3078" s="22"/>
      <c r="W3078" s="22"/>
      <c r="X3078" s="22"/>
      <c r="Y3078" s="22"/>
      <c r="Z3078" s="22"/>
      <c r="AA3078" s="22"/>
      <c r="AB3078" s="22"/>
      <c r="AC3078" s="22"/>
      <c r="AD3078" s="22"/>
      <c r="AE3078" s="22"/>
      <c r="AF3078" s="22"/>
      <c r="AG3078" s="22"/>
      <c r="AH3078" s="22"/>
      <c r="AI3078" s="22"/>
      <c r="AJ3078" s="22"/>
    </row>
    <row r="3079" spans="1:36" x14ac:dyDescent="0.25">
      <c r="A3079" s="22" t="s">
        <v>3719</v>
      </c>
      <c r="B3079" s="22">
        <v>0</v>
      </c>
      <c r="C3079" s="22"/>
      <c r="D3079" s="22"/>
      <c r="E3079" s="22"/>
      <c r="F3079" s="22"/>
      <c r="G3079" s="22"/>
      <c r="H3079" s="22"/>
      <c r="I3079" s="22"/>
      <c r="J3079" s="22"/>
      <c r="K3079" s="22"/>
      <c r="L3079" s="22"/>
      <c r="M3079" s="22"/>
      <c r="N3079" s="22"/>
      <c r="O3079" s="22"/>
      <c r="P3079" s="22"/>
      <c r="Q3079" s="22"/>
      <c r="R3079" s="22"/>
      <c r="S3079" s="22"/>
      <c r="T3079" s="22"/>
      <c r="U3079" s="22"/>
      <c r="V3079" s="22"/>
      <c r="W3079" s="22"/>
      <c r="X3079" s="22"/>
      <c r="Y3079" s="22"/>
      <c r="Z3079" s="22"/>
      <c r="AA3079" s="22"/>
      <c r="AB3079" s="22"/>
      <c r="AC3079" s="22"/>
      <c r="AD3079" s="22"/>
      <c r="AE3079" s="22"/>
      <c r="AF3079" s="22"/>
      <c r="AG3079" s="22"/>
      <c r="AH3079" s="22"/>
      <c r="AI3079" s="22"/>
      <c r="AJ3079" s="22"/>
    </row>
    <row r="3080" spans="1:36" x14ac:dyDescent="0.25">
      <c r="A3080" s="22" t="s">
        <v>3720</v>
      </c>
      <c r="B3080" s="22">
        <v>0</v>
      </c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  <c r="M3080" s="22"/>
      <c r="N3080" s="22"/>
      <c r="O3080" s="22"/>
      <c r="P3080" s="22"/>
      <c r="Q3080" s="22"/>
      <c r="R3080" s="22"/>
      <c r="S3080" s="22"/>
      <c r="T3080" s="22"/>
      <c r="U3080" s="22"/>
      <c r="V3080" s="22"/>
      <c r="W3080" s="22"/>
      <c r="X3080" s="22"/>
      <c r="Y3080" s="22"/>
      <c r="Z3080" s="22"/>
      <c r="AA3080" s="22"/>
      <c r="AB3080" s="22"/>
      <c r="AC3080" s="22"/>
      <c r="AD3080" s="22"/>
      <c r="AE3080" s="22"/>
      <c r="AF3080" s="22"/>
      <c r="AG3080" s="22"/>
      <c r="AH3080" s="22"/>
      <c r="AI3080" s="22"/>
      <c r="AJ3080" s="22"/>
    </row>
    <row r="3081" spans="1:36" x14ac:dyDescent="0.25">
      <c r="A3081" s="22" t="s">
        <v>3721</v>
      </c>
      <c r="B3081" s="22">
        <v>0</v>
      </c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  <c r="M3081" s="22"/>
      <c r="N3081" s="22"/>
      <c r="O3081" s="22"/>
      <c r="P3081" s="22"/>
      <c r="Q3081" s="22"/>
      <c r="R3081" s="22"/>
      <c r="S3081" s="22"/>
      <c r="T3081" s="22"/>
      <c r="U3081" s="22"/>
      <c r="V3081" s="22"/>
      <c r="W3081" s="22"/>
      <c r="X3081" s="22"/>
      <c r="Y3081" s="22"/>
      <c r="Z3081" s="22"/>
      <c r="AA3081" s="22"/>
      <c r="AB3081" s="22"/>
      <c r="AC3081" s="22"/>
      <c r="AD3081" s="22"/>
      <c r="AE3081" s="22"/>
      <c r="AF3081" s="22"/>
      <c r="AG3081" s="22"/>
      <c r="AH3081" s="22"/>
      <c r="AI3081" s="22"/>
      <c r="AJ3081" s="22"/>
    </row>
    <row r="3082" spans="1:36" x14ac:dyDescent="0.25">
      <c r="A3082" s="22" t="s">
        <v>3722</v>
      </c>
      <c r="B3082" s="22">
        <v>0</v>
      </c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  <c r="M3082" s="22"/>
      <c r="N3082" s="22"/>
      <c r="O3082" s="22"/>
      <c r="P3082" s="22"/>
      <c r="Q3082" s="22"/>
      <c r="R3082" s="22"/>
      <c r="S3082" s="22"/>
      <c r="T3082" s="22"/>
      <c r="U3082" s="22"/>
      <c r="V3082" s="22"/>
      <c r="W3082" s="22"/>
      <c r="X3082" s="22"/>
      <c r="Y3082" s="22"/>
      <c r="Z3082" s="22"/>
      <c r="AA3082" s="22"/>
      <c r="AB3082" s="22"/>
      <c r="AC3082" s="22"/>
      <c r="AD3082" s="22"/>
      <c r="AE3082" s="22"/>
      <c r="AF3082" s="22"/>
      <c r="AG3082" s="22"/>
      <c r="AH3082" s="22"/>
      <c r="AI3082" s="22"/>
      <c r="AJ3082" s="22"/>
    </row>
    <row r="3083" spans="1:36" x14ac:dyDescent="0.25">
      <c r="A3083" s="22" t="s">
        <v>3723</v>
      </c>
      <c r="B3083" s="22">
        <v>0</v>
      </c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  <c r="M3083" s="22"/>
      <c r="N3083" s="22"/>
      <c r="O3083" s="22"/>
      <c r="P3083" s="22"/>
      <c r="Q3083" s="22"/>
      <c r="R3083" s="22"/>
      <c r="S3083" s="22"/>
      <c r="T3083" s="22"/>
      <c r="U3083" s="22"/>
      <c r="V3083" s="22"/>
      <c r="W3083" s="22"/>
      <c r="X3083" s="22"/>
      <c r="Y3083" s="22"/>
      <c r="Z3083" s="22"/>
      <c r="AA3083" s="22"/>
      <c r="AB3083" s="22"/>
      <c r="AC3083" s="22"/>
      <c r="AD3083" s="22"/>
      <c r="AE3083" s="22"/>
      <c r="AF3083" s="22"/>
      <c r="AG3083" s="22"/>
      <c r="AH3083" s="22"/>
      <c r="AI3083" s="22"/>
      <c r="AJ3083" s="22"/>
    </row>
    <row r="3084" spans="1:36" x14ac:dyDescent="0.25">
      <c r="A3084" s="22" t="s">
        <v>3724</v>
      </c>
      <c r="B3084" s="22">
        <v>0</v>
      </c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  <c r="M3084" s="22"/>
      <c r="N3084" s="22"/>
      <c r="O3084" s="22"/>
      <c r="P3084" s="22"/>
      <c r="Q3084" s="22"/>
      <c r="R3084" s="22"/>
      <c r="S3084" s="22"/>
      <c r="T3084" s="22"/>
      <c r="U3084" s="22"/>
      <c r="V3084" s="22"/>
      <c r="W3084" s="22"/>
      <c r="X3084" s="22"/>
      <c r="Y3084" s="22"/>
      <c r="Z3084" s="22"/>
      <c r="AA3084" s="22"/>
      <c r="AB3084" s="22"/>
      <c r="AC3084" s="22"/>
      <c r="AD3084" s="22"/>
      <c r="AE3084" s="22"/>
      <c r="AF3084" s="22"/>
      <c r="AG3084" s="22"/>
      <c r="AH3084" s="22"/>
      <c r="AI3084" s="22"/>
      <c r="AJ3084" s="22"/>
    </row>
    <row r="3085" spans="1:36" x14ac:dyDescent="0.25">
      <c r="A3085" s="22" t="s">
        <v>3725</v>
      </c>
      <c r="B3085" s="22">
        <v>0</v>
      </c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  <c r="M3085" s="22"/>
      <c r="N3085" s="22"/>
      <c r="O3085" s="22"/>
      <c r="P3085" s="22"/>
      <c r="Q3085" s="22"/>
      <c r="R3085" s="22"/>
      <c r="S3085" s="22"/>
      <c r="T3085" s="22"/>
      <c r="U3085" s="22"/>
      <c r="V3085" s="22"/>
      <c r="W3085" s="22"/>
      <c r="X3085" s="22"/>
      <c r="Y3085" s="22"/>
      <c r="Z3085" s="22"/>
      <c r="AA3085" s="22"/>
      <c r="AB3085" s="22"/>
      <c r="AC3085" s="22"/>
      <c r="AD3085" s="22"/>
      <c r="AE3085" s="22"/>
      <c r="AF3085" s="22"/>
      <c r="AG3085" s="22"/>
      <c r="AH3085" s="22"/>
      <c r="AI3085" s="22"/>
      <c r="AJ3085" s="22"/>
    </row>
    <row r="3086" spans="1:36" x14ac:dyDescent="0.25">
      <c r="A3086" s="22" t="s">
        <v>674</v>
      </c>
      <c r="B3086" s="22">
        <v>32</v>
      </c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  <c r="M3086" s="22"/>
      <c r="N3086" s="22"/>
      <c r="O3086" s="22"/>
      <c r="P3086" s="22"/>
      <c r="Q3086" s="22"/>
      <c r="R3086" s="22"/>
      <c r="S3086" s="22"/>
      <c r="T3086" s="22"/>
      <c r="U3086" s="22"/>
      <c r="V3086" s="22"/>
      <c r="W3086" s="22"/>
      <c r="X3086" s="22"/>
      <c r="Y3086" s="22"/>
      <c r="Z3086" s="22"/>
      <c r="AA3086" s="22"/>
      <c r="AB3086" s="22"/>
      <c r="AC3086" s="22"/>
      <c r="AD3086" s="22"/>
      <c r="AE3086" s="22"/>
      <c r="AF3086" s="22"/>
      <c r="AG3086" s="22"/>
      <c r="AH3086" s="22"/>
      <c r="AI3086" s="22"/>
      <c r="AJ3086" s="22"/>
    </row>
    <row r="3087" spans="1:36" x14ac:dyDescent="0.25">
      <c r="A3087" s="22" t="s">
        <v>3726</v>
      </c>
      <c r="B3087" s="22">
        <v>0</v>
      </c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  <c r="M3087" s="22"/>
      <c r="N3087" s="22"/>
      <c r="O3087" s="22"/>
      <c r="P3087" s="22"/>
      <c r="Q3087" s="22"/>
      <c r="R3087" s="22"/>
      <c r="S3087" s="22"/>
      <c r="T3087" s="22"/>
      <c r="U3087" s="22"/>
      <c r="V3087" s="22"/>
      <c r="W3087" s="22"/>
      <c r="X3087" s="22"/>
      <c r="Y3087" s="22"/>
      <c r="Z3087" s="22"/>
      <c r="AA3087" s="22"/>
      <c r="AB3087" s="22"/>
      <c r="AC3087" s="22"/>
      <c r="AD3087" s="22"/>
      <c r="AE3087" s="22"/>
      <c r="AF3087" s="22"/>
      <c r="AG3087" s="22"/>
      <c r="AH3087" s="22"/>
      <c r="AI3087" s="22"/>
      <c r="AJ3087" s="22"/>
    </row>
    <row r="3088" spans="1:36" x14ac:dyDescent="0.25">
      <c r="A3088" s="22" t="s">
        <v>3727</v>
      </c>
      <c r="B3088" s="22">
        <v>0</v>
      </c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  <c r="M3088" s="22"/>
      <c r="N3088" s="22"/>
      <c r="O3088" s="22"/>
      <c r="P3088" s="22"/>
      <c r="Q3088" s="22"/>
      <c r="R3088" s="22"/>
      <c r="S3088" s="22"/>
      <c r="T3088" s="22"/>
      <c r="U3088" s="22"/>
      <c r="V3088" s="22"/>
      <c r="W3088" s="22"/>
      <c r="X3088" s="22"/>
      <c r="Y3088" s="22"/>
      <c r="Z3088" s="22"/>
      <c r="AA3088" s="22"/>
      <c r="AB3088" s="22"/>
      <c r="AC3088" s="22"/>
      <c r="AD3088" s="22"/>
      <c r="AE3088" s="22"/>
      <c r="AF3088" s="22"/>
      <c r="AG3088" s="22"/>
      <c r="AH3088" s="22"/>
      <c r="AI3088" s="22"/>
      <c r="AJ3088" s="22"/>
    </row>
    <row r="3089" spans="1:36" x14ac:dyDescent="0.25">
      <c r="A3089" s="22" t="s">
        <v>3728</v>
      </c>
      <c r="B3089" s="22">
        <v>0</v>
      </c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  <c r="M3089" s="22"/>
      <c r="N3089" s="22"/>
      <c r="O3089" s="22"/>
      <c r="P3089" s="22"/>
      <c r="Q3089" s="22"/>
      <c r="R3089" s="22"/>
      <c r="S3089" s="22"/>
      <c r="T3089" s="22"/>
      <c r="U3089" s="22"/>
      <c r="V3089" s="22"/>
      <c r="W3089" s="22"/>
      <c r="X3089" s="22"/>
      <c r="Y3089" s="22"/>
      <c r="Z3089" s="22"/>
      <c r="AA3089" s="22"/>
      <c r="AB3089" s="22"/>
      <c r="AC3089" s="22"/>
      <c r="AD3089" s="22"/>
      <c r="AE3089" s="22"/>
      <c r="AF3089" s="22"/>
      <c r="AG3089" s="22"/>
      <c r="AH3089" s="22"/>
      <c r="AI3089" s="22"/>
      <c r="AJ3089" s="22"/>
    </row>
    <row r="3090" spans="1:36" x14ac:dyDescent="0.25">
      <c r="A3090" s="22" t="s">
        <v>3729</v>
      </c>
      <c r="B3090" s="22">
        <v>0</v>
      </c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  <c r="M3090" s="22"/>
      <c r="N3090" s="22"/>
      <c r="O3090" s="22"/>
      <c r="P3090" s="22"/>
      <c r="Q3090" s="22"/>
      <c r="R3090" s="22"/>
      <c r="S3090" s="22"/>
      <c r="T3090" s="22"/>
      <c r="U3090" s="22"/>
      <c r="V3090" s="22"/>
      <c r="W3090" s="22"/>
      <c r="X3090" s="22"/>
      <c r="Y3090" s="22"/>
      <c r="Z3090" s="22"/>
      <c r="AA3090" s="22"/>
      <c r="AB3090" s="22"/>
      <c r="AC3090" s="22"/>
      <c r="AD3090" s="22"/>
      <c r="AE3090" s="22"/>
      <c r="AF3090" s="22"/>
      <c r="AG3090" s="22"/>
      <c r="AH3090" s="22"/>
      <c r="AI3090" s="22"/>
      <c r="AJ3090" s="22"/>
    </row>
    <row r="3091" spans="1:36" x14ac:dyDescent="0.25">
      <c r="A3091" s="22" t="s">
        <v>3730</v>
      </c>
      <c r="B3091" s="22">
        <v>0</v>
      </c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  <c r="M3091" s="22"/>
      <c r="N3091" s="22"/>
      <c r="O3091" s="22"/>
      <c r="P3091" s="22"/>
      <c r="Q3091" s="22"/>
      <c r="R3091" s="22"/>
      <c r="S3091" s="22"/>
      <c r="T3091" s="22"/>
      <c r="U3091" s="22"/>
      <c r="V3091" s="22"/>
      <c r="W3091" s="22"/>
      <c r="X3091" s="22"/>
      <c r="Y3091" s="22"/>
      <c r="Z3091" s="22"/>
      <c r="AA3091" s="22"/>
      <c r="AB3091" s="22"/>
      <c r="AC3091" s="22"/>
      <c r="AD3091" s="22"/>
      <c r="AE3091" s="22"/>
      <c r="AF3091" s="22"/>
      <c r="AG3091" s="22"/>
      <c r="AH3091" s="22"/>
      <c r="AI3091" s="22"/>
      <c r="AJ3091" s="22"/>
    </row>
    <row r="3092" spans="1:36" x14ac:dyDescent="0.25">
      <c r="A3092" s="22" t="s">
        <v>3731</v>
      </c>
      <c r="B3092" s="22">
        <v>0</v>
      </c>
      <c r="C3092" s="22"/>
      <c r="D3092" s="22"/>
      <c r="E3092" s="22"/>
      <c r="F3092" s="22"/>
      <c r="G3092" s="22"/>
      <c r="H3092" s="22"/>
      <c r="I3092" s="22"/>
      <c r="J3092" s="22"/>
      <c r="K3092" s="22"/>
      <c r="L3092" s="22"/>
      <c r="M3092" s="22"/>
      <c r="N3092" s="22"/>
      <c r="O3092" s="22"/>
      <c r="P3092" s="22"/>
      <c r="Q3092" s="22"/>
      <c r="R3092" s="22"/>
      <c r="S3092" s="22"/>
      <c r="T3092" s="22"/>
      <c r="U3092" s="22"/>
      <c r="V3092" s="22"/>
      <c r="W3092" s="22"/>
      <c r="X3092" s="22"/>
      <c r="Y3092" s="22"/>
      <c r="Z3092" s="22"/>
      <c r="AA3092" s="22"/>
      <c r="AB3092" s="22"/>
      <c r="AC3092" s="22"/>
      <c r="AD3092" s="22"/>
      <c r="AE3092" s="22"/>
      <c r="AF3092" s="22"/>
      <c r="AG3092" s="22"/>
      <c r="AH3092" s="22"/>
      <c r="AI3092" s="22"/>
      <c r="AJ3092" s="22"/>
    </row>
    <row r="3093" spans="1:36" x14ac:dyDescent="0.25">
      <c r="A3093" s="22" t="s">
        <v>3732</v>
      </c>
      <c r="B3093" s="22">
        <v>0</v>
      </c>
      <c r="C3093" s="22"/>
      <c r="D3093" s="22"/>
      <c r="E3093" s="22"/>
      <c r="F3093" s="22"/>
      <c r="G3093" s="22"/>
      <c r="H3093" s="22"/>
      <c r="I3093" s="22"/>
      <c r="J3093" s="22"/>
      <c r="K3093" s="22"/>
      <c r="L3093" s="22"/>
      <c r="M3093" s="22"/>
      <c r="N3093" s="22"/>
      <c r="O3093" s="22"/>
      <c r="P3093" s="22"/>
      <c r="Q3093" s="22"/>
      <c r="R3093" s="22"/>
      <c r="S3093" s="22"/>
      <c r="T3093" s="22"/>
      <c r="U3093" s="22"/>
      <c r="V3093" s="22"/>
      <c r="W3093" s="22"/>
      <c r="X3093" s="22"/>
      <c r="Y3093" s="22"/>
      <c r="Z3093" s="22"/>
      <c r="AA3093" s="22"/>
      <c r="AB3093" s="22"/>
      <c r="AC3093" s="22"/>
      <c r="AD3093" s="22"/>
      <c r="AE3093" s="22"/>
      <c r="AF3093" s="22"/>
      <c r="AG3093" s="22"/>
      <c r="AH3093" s="22"/>
      <c r="AI3093" s="22"/>
      <c r="AJ3093" s="22"/>
    </row>
    <row r="3094" spans="1:36" x14ac:dyDescent="0.25">
      <c r="A3094" s="22" t="s">
        <v>679</v>
      </c>
      <c r="B3094" s="22">
        <v>8</v>
      </c>
      <c r="C3094" s="22"/>
      <c r="D3094" s="22"/>
      <c r="E3094" s="22"/>
      <c r="F3094" s="22"/>
      <c r="G3094" s="22"/>
      <c r="H3094" s="22"/>
      <c r="I3094" s="22"/>
      <c r="J3094" s="22"/>
      <c r="K3094" s="22"/>
      <c r="L3094" s="22"/>
      <c r="M3094" s="22"/>
      <c r="N3094" s="22"/>
      <c r="O3094" s="22"/>
      <c r="P3094" s="22"/>
      <c r="Q3094" s="22"/>
      <c r="R3094" s="22"/>
      <c r="S3094" s="22"/>
      <c r="T3094" s="22"/>
      <c r="U3094" s="22"/>
      <c r="V3094" s="22"/>
      <c r="W3094" s="22"/>
      <c r="X3094" s="22"/>
      <c r="Y3094" s="22"/>
      <c r="Z3094" s="22"/>
      <c r="AA3094" s="22"/>
      <c r="AB3094" s="22"/>
      <c r="AC3094" s="22"/>
      <c r="AD3094" s="22"/>
      <c r="AE3094" s="22"/>
      <c r="AF3094" s="22"/>
      <c r="AG3094" s="22"/>
      <c r="AH3094" s="22"/>
      <c r="AI3094" s="22"/>
      <c r="AJ3094" s="22"/>
    </row>
    <row r="3095" spans="1:36" x14ac:dyDescent="0.25">
      <c r="A3095" s="22" t="s">
        <v>5397</v>
      </c>
      <c r="B3095" s="22">
        <v>0</v>
      </c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  <c r="M3095" s="22"/>
      <c r="N3095" s="22"/>
      <c r="O3095" s="22"/>
      <c r="P3095" s="22"/>
      <c r="Q3095" s="22"/>
      <c r="R3095" s="22"/>
      <c r="S3095" s="22"/>
      <c r="T3095" s="22"/>
      <c r="U3095" s="22"/>
      <c r="V3095" s="22"/>
      <c r="W3095" s="22"/>
      <c r="X3095" s="22"/>
      <c r="Y3095" s="22"/>
      <c r="Z3095" s="22"/>
      <c r="AA3095" s="22"/>
      <c r="AB3095" s="22"/>
      <c r="AC3095" s="22"/>
      <c r="AD3095" s="22"/>
      <c r="AE3095" s="22"/>
      <c r="AF3095" s="22"/>
      <c r="AG3095" s="22"/>
      <c r="AH3095" s="22"/>
      <c r="AI3095" s="22"/>
      <c r="AJ3095" s="22"/>
    </row>
    <row r="3096" spans="1:36" x14ac:dyDescent="0.25">
      <c r="A3096" s="22" t="s">
        <v>5398</v>
      </c>
      <c r="B3096" s="22">
        <v>0</v>
      </c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  <c r="M3096" s="22"/>
      <c r="N3096" s="22"/>
      <c r="O3096" s="22"/>
      <c r="P3096" s="22"/>
      <c r="Q3096" s="22"/>
      <c r="R3096" s="22"/>
      <c r="S3096" s="22"/>
      <c r="T3096" s="22"/>
      <c r="U3096" s="22"/>
      <c r="V3096" s="22"/>
      <c r="W3096" s="22"/>
      <c r="X3096" s="22"/>
      <c r="Y3096" s="22"/>
      <c r="Z3096" s="22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</row>
    <row r="3097" spans="1:36" x14ac:dyDescent="0.25">
      <c r="A3097" s="22" t="s">
        <v>5399</v>
      </c>
      <c r="B3097" s="22">
        <v>0</v>
      </c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  <c r="M3097" s="22"/>
      <c r="N3097" s="22"/>
      <c r="O3097" s="22"/>
      <c r="P3097" s="22"/>
      <c r="Q3097" s="22"/>
      <c r="R3097" s="22"/>
      <c r="S3097" s="22"/>
      <c r="T3097" s="22"/>
      <c r="U3097" s="22"/>
      <c r="V3097" s="22"/>
      <c r="W3097" s="22"/>
      <c r="X3097" s="22"/>
      <c r="Y3097" s="22"/>
      <c r="Z3097" s="22"/>
      <c r="AA3097" s="22"/>
      <c r="AB3097" s="22"/>
      <c r="AC3097" s="22"/>
      <c r="AD3097" s="22"/>
      <c r="AE3097" s="22"/>
      <c r="AF3097" s="22"/>
      <c r="AG3097" s="22"/>
      <c r="AH3097" s="22"/>
      <c r="AI3097" s="22"/>
      <c r="AJ3097" s="22"/>
    </row>
    <row r="3098" spans="1:36" x14ac:dyDescent="0.25">
      <c r="A3098" s="22" t="s">
        <v>5400</v>
      </c>
      <c r="B3098" s="22">
        <v>0</v>
      </c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  <c r="M3098" s="22"/>
      <c r="N3098" s="22"/>
      <c r="O3098" s="22"/>
      <c r="P3098" s="22"/>
      <c r="Q3098" s="22"/>
      <c r="R3098" s="22"/>
      <c r="S3098" s="22"/>
      <c r="T3098" s="22"/>
      <c r="U3098" s="22"/>
      <c r="V3098" s="22"/>
      <c r="W3098" s="22"/>
      <c r="X3098" s="22"/>
      <c r="Y3098" s="22"/>
      <c r="Z3098" s="22"/>
      <c r="AA3098" s="22"/>
      <c r="AB3098" s="22"/>
      <c r="AC3098" s="22"/>
      <c r="AD3098" s="22"/>
      <c r="AE3098" s="22"/>
      <c r="AF3098" s="22"/>
      <c r="AG3098" s="22"/>
      <c r="AH3098" s="22"/>
      <c r="AI3098" s="22"/>
      <c r="AJ3098" s="22"/>
    </row>
    <row r="3099" spans="1:36" x14ac:dyDescent="0.25">
      <c r="A3099" s="22" t="s">
        <v>5401</v>
      </c>
      <c r="B3099" s="22">
        <v>0</v>
      </c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  <c r="M3099" s="22"/>
      <c r="N3099" s="22"/>
      <c r="O3099" s="22"/>
      <c r="P3099" s="22"/>
      <c r="Q3099" s="22"/>
      <c r="R3099" s="22"/>
      <c r="S3099" s="22"/>
      <c r="T3099" s="22"/>
      <c r="U3099" s="22"/>
      <c r="V3099" s="22"/>
      <c r="W3099" s="22"/>
      <c r="X3099" s="22"/>
      <c r="Y3099" s="22"/>
      <c r="Z3099" s="22"/>
      <c r="AA3099" s="22"/>
      <c r="AB3099" s="22"/>
      <c r="AC3099" s="22"/>
      <c r="AD3099" s="22"/>
      <c r="AE3099" s="22"/>
      <c r="AF3099" s="22"/>
      <c r="AG3099" s="22"/>
      <c r="AH3099" s="22"/>
      <c r="AI3099" s="22"/>
      <c r="AJ3099" s="22"/>
    </row>
    <row r="3100" spans="1:36" x14ac:dyDescent="0.25">
      <c r="A3100" s="22" t="s">
        <v>5402</v>
      </c>
      <c r="B3100" s="22">
        <v>0</v>
      </c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  <c r="M3100" s="22"/>
      <c r="N3100" s="22"/>
      <c r="O3100" s="22"/>
      <c r="P3100" s="22"/>
      <c r="Q3100" s="22"/>
      <c r="R3100" s="22"/>
      <c r="S3100" s="22"/>
      <c r="T3100" s="22"/>
      <c r="U3100" s="22"/>
      <c r="V3100" s="22"/>
      <c r="W3100" s="22"/>
      <c r="X3100" s="22"/>
      <c r="Y3100" s="22"/>
      <c r="Z3100" s="22"/>
      <c r="AA3100" s="22"/>
      <c r="AB3100" s="22"/>
      <c r="AC3100" s="22"/>
      <c r="AD3100" s="22"/>
      <c r="AE3100" s="22"/>
      <c r="AF3100" s="22"/>
      <c r="AG3100" s="22"/>
      <c r="AH3100" s="22"/>
      <c r="AI3100" s="22"/>
      <c r="AJ3100" s="22"/>
    </row>
    <row r="3101" spans="1:36" x14ac:dyDescent="0.25">
      <c r="A3101" s="22" t="s">
        <v>5403</v>
      </c>
      <c r="B3101" s="22">
        <v>0</v>
      </c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  <c r="M3101" s="22"/>
      <c r="N3101" s="22"/>
      <c r="O3101" s="22"/>
      <c r="P3101" s="22"/>
      <c r="Q3101" s="22"/>
      <c r="R3101" s="22"/>
      <c r="S3101" s="22"/>
      <c r="T3101" s="22"/>
      <c r="U3101" s="22"/>
      <c r="V3101" s="22"/>
      <c r="W3101" s="22"/>
      <c r="X3101" s="22"/>
      <c r="Y3101" s="22"/>
      <c r="Z3101" s="22"/>
      <c r="AA3101" s="22"/>
      <c r="AB3101" s="22"/>
      <c r="AC3101" s="22"/>
      <c r="AD3101" s="22"/>
      <c r="AE3101" s="22"/>
      <c r="AF3101" s="22"/>
      <c r="AG3101" s="22"/>
      <c r="AH3101" s="22"/>
      <c r="AI3101" s="22"/>
      <c r="AJ3101" s="22"/>
    </row>
    <row r="3102" spans="1:36" x14ac:dyDescent="0.25">
      <c r="A3102" s="22" t="s">
        <v>678</v>
      </c>
      <c r="B3102" s="22">
        <v>86</v>
      </c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  <c r="M3102" s="22"/>
      <c r="N3102" s="22"/>
      <c r="O3102" s="22"/>
      <c r="P3102" s="22"/>
      <c r="Q3102" s="22"/>
      <c r="R3102" s="22"/>
      <c r="S3102" s="22"/>
      <c r="T3102" s="22"/>
      <c r="U3102" s="22"/>
      <c r="V3102" s="22"/>
      <c r="W3102" s="22"/>
      <c r="X3102" s="22"/>
      <c r="Y3102" s="22"/>
      <c r="Z3102" s="22"/>
      <c r="AA3102" s="22"/>
      <c r="AB3102" s="22"/>
      <c r="AC3102" s="22"/>
      <c r="AD3102" s="22"/>
      <c r="AE3102" s="22"/>
      <c r="AF3102" s="22"/>
      <c r="AG3102" s="22"/>
      <c r="AH3102" s="22"/>
      <c r="AI3102" s="22"/>
      <c r="AJ3102" s="22"/>
    </row>
    <row r="3103" spans="1:36" x14ac:dyDescent="0.25">
      <c r="A3103" s="22" t="s">
        <v>3733</v>
      </c>
      <c r="B3103" s="22">
        <v>0</v>
      </c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  <c r="M3103" s="22"/>
      <c r="N3103" s="22"/>
      <c r="O3103" s="22"/>
      <c r="P3103" s="22"/>
      <c r="Q3103" s="22"/>
      <c r="R3103" s="22"/>
      <c r="S3103" s="22"/>
      <c r="T3103" s="22"/>
      <c r="U3103" s="22"/>
      <c r="V3103" s="22"/>
      <c r="W3103" s="22"/>
      <c r="X3103" s="22"/>
      <c r="Y3103" s="22"/>
      <c r="Z3103" s="22"/>
      <c r="AA3103" s="22"/>
      <c r="AB3103" s="22"/>
      <c r="AC3103" s="22"/>
      <c r="AD3103" s="22"/>
      <c r="AE3103" s="22"/>
      <c r="AF3103" s="22"/>
      <c r="AG3103" s="22"/>
      <c r="AH3103" s="22"/>
      <c r="AI3103" s="22"/>
      <c r="AJ3103" s="22"/>
    </row>
    <row r="3104" spans="1:36" x14ac:dyDescent="0.25">
      <c r="A3104" s="22" t="s">
        <v>3734</v>
      </c>
      <c r="B3104" s="22">
        <v>0</v>
      </c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  <c r="M3104" s="22"/>
      <c r="N3104" s="22"/>
      <c r="O3104" s="22"/>
      <c r="P3104" s="22"/>
      <c r="Q3104" s="22"/>
      <c r="R3104" s="22"/>
      <c r="S3104" s="22"/>
      <c r="T3104" s="22"/>
      <c r="U3104" s="22"/>
      <c r="V3104" s="22"/>
      <c r="W3104" s="22"/>
      <c r="X3104" s="22"/>
      <c r="Y3104" s="22"/>
      <c r="Z3104" s="22"/>
      <c r="AA3104" s="22"/>
      <c r="AB3104" s="22"/>
      <c r="AC3104" s="22"/>
      <c r="AD3104" s="22"/>
      <c r="AE3104" s="22"/>
      <c r="AF3104" s="22"/>
      <c r="AG3104" s="22"/>
      <c r="AH3104" s="22"/>
      <c r="AI3104" s="22"/>
      <c r="AJ3104" s="22"/>
    </row>
    <row r="3105" spans="1:36" x14ac:dyDescent="0.25">
      <c r="A3105" s="22" t="s">
        <v>3735</v>
      </c>
      <c r="B3105" s="22">
        <v>0</v>
      </c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  <c r="M3105" s="22"/>
      <c r="N3105" s="22"/>
      <c r="O3105" s="22"/>
      <c r="P3105" s="22"/>
      <c r="Q3105" s="22"/>
      <c r="R3105" s="22"/>
      <c r="S3105" s="22"/>
      <c r="T3105" s="22"/>
      <c r="U3105" s="22"/>
      <c r="V3105" s="22"/>
      <c r="W3105" s="22"/>
      <c r="X3105" s="22"/>
      <c r="Y3105" s="22"/>
      <c r="Z3105" s="22"/>
      <c r="AA3105" s="22"/>
      <c r="AB3105" s="22"/>
      <c r="AC3105" s="22"/>
      <c r="AD3105" s="22"/>
      <c r="AE3105" s="22"/>
      <c r="AF3105" s="22"/>
      <c r="AG3105" s="22"/>
      <c r="AH3105" s="22"/>
      <c r="AI3105" s="22"/>
      <c r="AJ3105" s="22"/>
    </row>
    <row r="3106" spans="1:36" x14ac:dyDescent="0.25">
      <c r="A3106" s="22" t="s">
        <v>3736</v>
      </c>
      <c r="B3106" s="22">
        <v>2</v>
      </c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  <c r="M3106" s="22"/>
      <c r="N3106" s="22"/>
      <c r="O3106" s="22"/>
      <c r="P3106" s="22"/>
      <c r="Q3106" s="22"/>
      <c r="R3106" s="22"/>
      <c r="S3106" s="22"/>
      <c r="T3106" s="22"/>
      <c r="U3106" s="22"/>
      <c r="V3106" s="22"/>
      <c r="W3106" s="22"/>
      <c r="X3106" s="22"/>
      <c r="Y3106" s="22"/>
      <c r="Z3106" s="22"/>
      <c r="AA3106" s="22"/>
      <c r="AB3106" s="22"/>
      <c r="AC3106" s="22"/>
      <c r="AD3106" s="22"/>
      <c r="AE3106" s="22"/>
      <c r="AF3106" s="22"/>
      <c r="AG3106" s="22"/>
      <c r="AH3106" s="22"/>
      <c r="AI3106" s="22"/>
      <c r="AJ3106" s="22"/>
    </row>
    <row r="3107" spans="1:36" x14ac:dyDescent="0.25">
      <c r="A3107" s="22" t="s">
        <v>3737</v>
      </c>
      <c r="B3107" s="22">
        <v>0</v>
      </c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  <c r="M3107" s="22"/>
      <c r="N3107" s="22"/>
      <c r="O3107" s="22"/>
      <c r="P3107" s="22"/>
      <c r="Q3107" s="22"/>
      <c r="R3107" s="22"/>
      <c r="S3107" s="22"/>
      <c r="T3107" s="22"/>
      <c r="U3107" s="22"/>
      <c r="V3107" s="22"/>
      <c r="W3107" s="22"/>
      <c r="X3107" s="22"/>
      <c r="Y3107" s="22"/>
      <c r="Z3107" s="22"/>
      <c r="AA3107" s="22"/>
      <c r="AB3107" s="22"/>
      <c r="AC3107" s="22"/>
      <c r="AD3107" s="22"/>
      <c r="AE3107" s="22"/>
      <c r="AF3107" s="22"/>
      <c r="AG3107" s="22"/>
      <c r="AH3107" s="22"/>
      <c r="AI3107" s="22"/>
      <c r="AJ3107" s="22"/>
    </row>
    <row r="3108" spans="1:36" x14ac:dyDescent="0.25">
      <c r="A3108" s="22" t="s">
        <v>3738</v>
      </c>
      <c r="B3108" s="22">
        <v>0</v>
      </c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  <c r="M3108" s="22"/>
      <c r="N3108" s="22"/>
      <c r="O3108" s="22"/>
      <c r="P3108" s="22"/>
      <c r="Q3108" s="22"/>
      <c r="R3108" s="22"/>
      <c r="S3108" s="22"/>
      <c r="T3108" s="22"/>
      <c r="U3108" s="22"/>
      <c r="V3108" s="22"/>
      <c r="W3108" s="22"/>
      <c r="X3108" s="22"/>
      <c r="Y3108" s="22"/>
      <c r="Z3108" s="22"/>
      <c r="AA3108" s="22"/>
      <c r="AB3108" s="22"/>
      <c r="AC3108" s="22"/>
      <c r="AD3108" s="22"/>
      <c r="AE3108" s="22"/>
      <c r="AF3108" s="22"/>
      <c r="AG3108" s="22"/>
      <c r="AH3108" s="22"/>
      <c r="AI3108" s="22"/>
      <c r="AJ3108" s="22"/>
    </row>
    <row r="3109" spans="1:36" x14ac:dyDescent="0.25">
      <c r="A3109" s="22" t="s">
        <v>3739</v>
      </c>
      <c r="B3109" s="22">
        <v>0</v>
      </c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  <c r="M3109" s="22"/>
      <c r="N3109" s="22"/>
      <c r="O3109" s="22"/>
      <c r="P3109" s="22"/>
      <c r="Q3109" s="22"/>
      <c r="R3109" s="22"/>
      <c r="S3109" s="22"/>
      <c r="T3109" s="22"/>
      <c r="U3109" s="22"/>
      <c r="V3109" s="22"/>
      <c r="W3109" s="22"/>
      <c r="X3109" s="22"/>
      <c r="Y3109" s="22"/>
      <c r="Z3109" s="22"/>
      <c r="AA3109" s="22"/>
      <c r="AB3109" s="22"/>
      <c r="AC3109" s="22"/>
      <c r="AD3109" s="22"/>
      <c r="AE3109" s="22"/>
      <c r="AF3109" s="22"/>
      <c r="AG3109" s="22"/>
      <c r="AH3109" s="22"/>
      <c r="AI3109" s="22"/>
      <c r="AJ3109" s="22"/>
    </row>
    <row r="3110" spans="1:36" x14ac:dyDescent="0.25">
      <c r="A3110" s="22" t="s">
        <v>683</v>
      </c>
      <c r="B3110" s="22">
        <v>874</v>
      </c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  <c r="M3110" s="22"/>
      <c r="N3110" s="22"/>
      <c r="O3110" s="22"/>
      <c r="P3110" s="22"/>
      <c r="Q3110" s="22"/>
      <c r="R3110" s="22"/>
      <c r="S3110" s="22"/>
      <c r="T3110" s="22"/>
      <c r="U3110" s="22"/>
      <c r="V3110" s="22"/>
      <c r="W3110" s="22"/>
      <c r="X3110" s="22"/>
      <c r="Y3110" s="22"/>
      <c r="Z3110" s="22"/>
      <c r="AA3110" s="22"/>
      <c r="AB3110" s="22"/>
      <c r="AC3110" s="22"/>
      <c r="AD3110" s="22"/>
      <c r="AE3110" s="22"/>
      <c r="AF3110" s="22"/>
      <c r="AG3110" s="22"/>
      <c r="AH3110" s="22"/>
      <c r="AI3110" s="22"/>
      <c r="AJ3110" s="22"/>
    </row>
    <row r="3111" spans="1:36" x14ac:dyDescent="0.25">
      <c r="A3111" s="22" t="s">
        <v>5404</v>
      </c>
      <c r="B3111" s="22">
        <v>118</v>
      </c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  <c r="M3111" s="22"/>
      <c r="N3111" s="22"/>
      <c r="O3111" s="22"/>
      <c r="P3111" s="22"/>
      <c r="Q3111" s="22"/>
      <c r="R3111" s="22"/>
      <c r="S3111" s="22"/>
      <c r="T3111" s="22"/>
      <c r="U3111" s="22"/>
      <c r="V3111" s="22"/>
      <c r="W3111" s="22"/>
      <c r="X3111" s="22"/>
      <c r="Y3111" s="22"/>
      <c r="Z3111" s="22"/>
      <c r="AA3111" s="22"/>
      <c r="AB3111" s="22"/>
      <c r="AC3111" s="22"/>
      <c r="AD3111" s="22"/>
      <c r="AE3111" s="22"/>
      <c r="AF3111" s="22"/>
      <c r="AG3111" s="22"/>
      <c r="AH3111" s="22"/>
      <c r="AI3111" s="22"/>
      <c r="AJ3111" s="22"/>
    </row>
    <row r="3112" spans="1:36" x14ac:dyDescent="0.25">
      <c r="A3112" s="22" t="s">
        <v>5405</v>
      </c>
      <c r="B3112" s="22">
        <v>0</v>
      </c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  <c r="M3112" s="22"/>
      <c r="N3112" s="22"/>
      <c r="O3112" s="22"/>
      <c r="P3112" s="22"/>
      <c r="Q3112" s="22"/>
      <c r="R3112" s="22"/>
      <c r="S3112" s="22"/>
      <c r="T3112" s="22"/>
      <c r="U3112" s="22"/>
      <c r="V3112" s="22"/>
      <c r="W3112" s="22"/>
      <c r="X3112" s="22"/>
      <c r="Y3112" s="22"/>
      <c r="Z3112" s="22"/>
      <c r="AA3112" s="22"/>
      <c r="AB3112" s="22"/>
      <c r="AC3112" s="22"/>
      <c r="AD3112" s="22"/>
      <c r="AE3112" s="22"/>
      <c r="AF3112" s="22"/>
      <c r="AG3112" s="22"/>
      <c r="AH3112" s="22"/>
      <c r="AI3112" s="22"/>
      <c r="AJ3112" s="22"/>
    </row>
    <row r="3113" spans="1:36" x14ac:dyDescent="0.25">
      <c r="A3113" s="22" t="s">
        <v>5406</v>
      </c>
      <c r="B3113" s="22">
        <v>0</v>
      </c>
      <c r="C3113" s="22"/>
      <c r="D3113" s="22"/>
      <c r="E3113" s="22"/>
      <c r="F3113" s="22"/>
      <c r="G3113" s="22"/>
      <c r="H3113" s="22"/>
      <c r="I3113" s="22"/>
      <c r="J3113" s="22"/>
      <c r="K3113" s="22"/>
      <c r="L3113" s="22"/>
      <c r="M3113" s="22"/>
      <c r="N3113" s="22"/>
      <c r="O3113" s="22"/>
      <c r="P3113" s="22"/>
      <c r="Q3113" s="22"/>
      <c r="R3113" s="22"/>
      <c r="S3113" s="22"/>
      <c r="T3113" s="22"/>
      <c r="U3113" s="22"/>
      <c r="V3113" s="22"/>
      <c r="W3113" s="22"/>
      <c r="X3113" s="22"/>
      <c r="Y3113" s="22"/>
      <c r="Z3113" s="22"/>
      <c r="AA3113" s="22"/>
      <c r="AB3113" s="22"/>
      <c r="AC3113" s="22"/>
      <c r="AD3113" s="22"/>
      <c r="AE3113" s="22"/>
      <c r="AF3113" s="22"/>
      <c r="AG3113" s="22"/>
      <c r="AH3113" s="22"/>
      <c r="AI3113" s="22"/>
      <c r="AJ3113" s="22"/>
    </row>
    <row r="3114" spans="1:36" x14ac:dyDescent="0.25">
      <c r="A3114" s="22" t="s">
        <v>5407</v>
      </c>
      <c r="B3114" s="22">
        <v>5</v>
      </c>
      <c r="C3114" s="22"/>
      <c r="D3114" s="22"/>
      <c r="E3114" s="22"/>
      <c r="F3114" s="22"/>
      <c r="G3114" s="22"/>
      <c r="H3114" s="22"/>
      <c r="I3114" s="22"/>
      <c r="J3114" s="22"/>
      <c r="K3114" s="22"/>
      <c r="L3114" s="22"/>
      <c r="M3114" s="22"/>
      <c r="N3114" s="22"/>
      <c r="O3114" s="22"/>
      <c r="P3114" s="22"/>
      <c r="Q3114" s="22"/>
      <c r="R3114" s="22"/>
      <c r="S3114" s="22"/>
      <c r="T3114" s="22"/>
      <c r="U3114" s="22"/>
      <c r="V3114" s="22"/>
      <c r="W3114" s="22"/>
      <c r="X3114" s="22"/>
      <c r="Y3114" s="22"/>
      <c r="Z3114" s="22"/>
      <c r="AA3114" s="22"/>
      <c r="AB3114" s="22"/>
      <c r="AC3114" s="22"/>
      <c r="AD3114" s="22"/>
      <c r="AE3114" s="22"/>
      <c r="AF3114" s="22"/>
      <c r="AG3114" s="22"/>
      <c r="AH3114" s="22"/>
      <c r="AI3114" s="22"/>
      <c r="AJ3114" s="22"/>
    </row>
    <row r="3115" spans="1:36" x14ac:dyDescent="0.25">
      <c r="A3115" s="22" t="s">
        <v>5408</v>
      </c>
      <c r="B3115" s="22">
        <v>0</v>
      </c>
      <c r="C3115" s="22"/>
      <c r="D3115" s="22"/>
      <c r="E3115" s="22"/>
      <c r="F3115" s="22"/>
      <c r="G3115" s="22"/>
      <c r="H3115" s="22"/>
      <c r="I3115" s="22"/>
      <c r="J3115" s="22"/>
      <c r="K3115" s="22"/>
      <c r="L3115" s="22"/>
      <c r="M3115" s="22"/>
      <c r="N3115" s="22"/>
      <c r="O3115" s="22"/>
      <c r="P3115" s="22"/>
      <c r="Q3115" s="22"/>
      <c r="R3115" s="22"/>
      <c r="S3115" s="22"/>
      <c r="T3115" s="22"/>
      <c r="U3115" s="22"/>
      <c r="V3115" s="22"/>
      <c r="W3115" s="22"/>
      <c r="X3115" s="22"/>
      <c r="Y3115" s="22"/>
      <c r="Z3115" s="22"/>
      <c r="AA3115" s="22"/>
      <c r="AB3115" s="22"/>
      <c r="AC3115" s="22"/>
      <c r="AD3115" s="22"/>
      <c r="AE3115" s="22"/>
      <c r="AF3115" s="22"/>
      <c r="AG3115" s="22"/>
      <c r="AH3115" s="22"/>
      <c r="AI3115" s="22"/>
      <c r="AJ3115" s="22"/>
    </row>
    <row r="3116" spans="1:36" x14ac:dyDescent="0.25">
      <c r="A3116" s="22" t="s">
        <v>5409</v>
      </c>
      <c r="B3116" s="22">
        <v>0</v>
      </c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  <c r="M3116" s="22"/>
      <c r="N3116" s="22"/>
      <c r="O3116" s="22"/>
      <c r="P3116" s="22"/>
      <c r="Q3116" s="22"/>
      <c r="R3116" s="22"/>
      <c r="S3116" s="22"/>
      <c r="T3116" s="22"/>
      <c r="U3116" s="22"/>
      <c r="V3116" s="22"/>
      <c r="W3116" s="22"/>
      <c r="X3116" s="22"/>
      <c r="Y3116" s="22"/>
      <c r="Z3116" s="22"/>
      <c r="AA3116" s="22"/>
      <c r="AB3116" s="22"/>
      <c r="AC3116" s="22"/>
      <c r="AD3116" s="22"/>
      <c r="AE3116" s="22"/>
      <c r="AF3116" s="22"/>
      <c r="AG3116" s="22"/>
      <c r="AH3116" s="22"/>
      <c r="AI3116" s="22"/>
      <c r="AJ3116" s="22"/>
    </row>
    <row r="3117" spans="1:36" x14ac:dyDescent="0.25">
      <c r="A3117" s="22" t="s">
        <v>5410</v>
      </c>
      <c r="B3117" s="22">
        <v>0</v>
      </c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  <c r="M3117" s="22"/>
      <c r="N3117" s="22"/>
      <c r="O3117" s="22"/>
      <c r="P3117" s="22"/>
      <c r="Q3117" s="22"/>
      <c r="R3117" s="22"/>
      <c r="S3117" s="22"/>
      <c r="T3117" s="22"/>
      <c r="U3117" s="22"/>
      <c r="V3117" s="22"/>
      <c r="W3117" s="22"/>
      <c r="X3117" s="22"/>
      <c r="Y3117" s="22"/>
      <c r="Z3117" s="22"/>
      <c r="AA3117" s="22"/>
      <c r="AB3117" s="22"/>
      <c r="AC3117" s="22"/>
      <c r="AD3117" s="22"/>
      <c r="AE3117" s="22"/>
      <c r="AF3117" s="22"/>
      <c r="AG3117" s="22"/>
      <c r="AH3117" s="22"/>
      <c r="AI3117" s="22"/>
      <c r="AJ3117" s="22"/>
    </row>
    <row r="3118" spans="1:36" x14ac:dyDescent="0.25">
      <c r="A3118" s="22" t="s">
        <v>5411</v>
      </c>
      <c r="B3118" s="22">
        <v>166</v>
      </c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  <c r="M3118" s="22"/>
      <c r="N3118" s="22"/>
      <c r="O3118" s="22"/>
      <c r="P3118" s="22"/>
      <c r="Q3118" s="22"/>
      <c r="R3118" s="22"/>
      <c r="S3118" s="22"/>
      <c r="T3118" s="22"/>
      <c r="U3118" s="22"/>
      <c r="V3118" s="22"/>
      <c r="W3118" s="22"/>
      <c r="X3118" s="22"/>
      <c r="Y3118" s="22"/>
      <c r="Z3118" s="22"/>
      <c r="AA3118" s="22"/>
      <c r="AB3118" s="22"/>
      <c r="AC3118" s="22"/>
      <c r="AD3118" s="22"/>
      <c r="AE3118" s="22"/>
      <c r="AF3118" s="22"/>
      <c r="AG3118" s="22"/>
      <c r="AH3118" s="22"/>
      <c r="AI3118" s="22"/>
      <c r="AJ3118" s="22"/>
    </row>
    <row r="3119" spans="1:36" x14ac:dyDescent="0.25">
      <c r="A3119" s="22" t="s">
        <v>5412</v>
      </c>
      <c r="B3119" s="22">
        <v>0</v>
      </c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  <c r="M3119" s="22"/>
      <c r="N3119" s="22"/>
      <c r="O3119" s="22"/>
      <c r="P3119" s="22"/>
      <c r="Q3119" s="22"/>
      <c r="R3119" s="22"/>
      <c r="S3119" s="22"/>
      <c r="T3119" s="22"/>
      <c r="U3119" s="22"/>
      <c r="V3119" s="22"/>
      <c r="W3119" s="22"/>
      <c r="X3119" s="22"/>
      <c r="Y3119" s="22"/>
      <c r="Z3119" s="22"/>
      <c r="AA3119" s="22"/>
      <c r="AB3119" s="22"/>
      <c r="AC3119" s="22"/>
      <c r="AD3119" s="22"/>
      <c r="AE3119" s="22"/>
      <c r="AF3119" s="22"/>
      <c r="AG3119" s="22"/>
      <c r="AH3119" s="22"/>
      <c r="AI3119" s="22"/>
      <c r="AJ3119" s="22"/>
    </row>
    <row r="3120" spans="1:36" x14ac:dyDescent="0.25">
      <c r="A3120" s="22" t="s">
        <v>5413</v>
      </c>
      <c r="B3120" s="22">
        <v>0</v>
      </c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  <c r="M3120" s="22"/>
      <c r="N3120" s="22"/>
      <c r="O3120" s="22"/>
      <c r="P3120" s="22"/>
      <c r="Q3120" s="22"/>
      <c r="R3120" s="22"/>
      <c r="S3120" s="22"/>
      <c r="T3120" s="22"/>
      <c r="U3120" s="22"/>
      <c r="V3120" s="22"/>
      <c r="W3120" s="22"/>
      <c r="X3120" s="22"/>
      <c r="Y3120" s="22"/>
      <c r="Z3120" s="22"/>
      <c r="AA3120" s="22"/>
      <c r="AB3120" s="22"/>
      <c r="AC3120" s="22"/>
      <c r="AD3120" s="22"/>
      <c r="AE3120" s="22"/>
      <c r="AF3120" s="22"/>
      <c r="AG3120" s="22"/>
      <c r="AH3120" s="22"/>
      <c r="AI3120" s="22"/>
      <c r="AJ3120" s="22"/>
    </row>
    <row r="3121" spans="1:36" x14ac:dyDescent="0.25">
      <c r="A3121" s="22" t="s">
        <v>5414</v>
      </c>
      <c r="B3121" s="22">
        <v>0</v>
      </c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  <c r="M3121" s="22"/>
      <c r="N3121" s="22"/>
      <c r="O3121" s="22"/>
      <c r="P3121" s="22"/>
      <c r="Q3121" s="22"/>
      <c r="R3121" s="22"/>
      <c r="S3121" s="22"/>
      <c r="T3121" s="22"/>
      <c r="U3121" s="22"/>
      <c r="V3121" s="22"/>
      <c r="W3121" s="22"/>
      <c r="X3121" s="22"/>
      <c r="Y3121" s="22"/>
      <c r="Z3121" s="22"/>
      <c r="AA3121" s="22"/>
      <c r="AB3121" s="22"/>
      <c r="AC3121" s="22"/>
      <c r="AD3121" s="22"/>
      <c r="AE3121" s="22"/>
      <c r="AF3121" s="22"/>
      <c r="AG3121" s="22"/>
      <c r="AH3121" s="22"/>
      <c r="AI3121" s="22"/>
      <c r="AJ3121" s="22"/>
    </row>
    <row r="3122" spans="1:36" x14ac:dyDescent="0.25">
      <c r="A3122" s="22" t="s">
        <v>5415</v>
      </c>
      <c r="B3122" s="22">
        <v>5</v>
      </c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  <c r="M3122" s="22"/>
      <c r="N3122" s="22"/>
      <c r="O3122" s="22"/>
      <c r="P3122" s="22"/>
      <c r="Q3122" s="22"/>
      <c r="R3122" s="22"/>
      <c r="S3122" s="22"/>
      <c r="T3122" s="22"/>
      <c r="U3122" s="22"/>
      <c r="V3122" s="22"/>
      <c r="W3122" s="22"/>
      <c r="X3122" s="22"/>
      <c r="Y3122" s="22"/>
      <c r="Z3122" s="22"/>
      <c r="AA3122" s="22"/>
      <c r="AB3122" s="22"/>
      <c r="AC3122" s="22"/>
      <c r="AD3122" s="22"/>
      <c r="AE3122" s="22"/>
      <c r="AF3122" s="22"/>
      <c r="AG3122" s="22"/>
      <c r="AH3122" s="22"/>
      <c r="AI3122" s="22"/>
      <c r="AJ3122" s="22"/>
    </row>
    <row r="3123" spans="1:36" x14ac:dyDescent="0.25">
      <c r="A3123" s="22" t="s">
        <v>5416</v>
      </c>
      <c r="B3123" s="22">
        <v>0</v>
      </c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  <c r="M3123" s="22"/>
      <c r="N3123" s="22"/>
      <c r="O3123" s="22"/>
      <c r="P3123" s="22"/>
      <c r="Q3123" s="22"/>
      <c r="R3123" s="22"/>
      <c r="S3123" s="22"/>
      <c r="T3123" s="22"/>
      <c r="U3123" s="22"/>
      <c r="V3123" s="22"/>
      <c r="W3123" s="22"/>
      <c r="X3123" s="22"/>
      <c r="Y3123" s="22"/>
      <c r="Z3123" s="22"/>
      <c r="AA3123" s="22"/>
      <c r="AB3123" s="22"/>
      <c r="AC3123" s="22"/>
      <c r="AD3123" s="22"/>
      <c r="AE3123" s="22"/>
      <c r="AF3123" s="22"/>
      <c r="AG3123" s="22"/>
      <c r="AH3123" s="22"/>
      <c r="AI3123" s="22"/>
      <c r="AJ3123" s="22"/>
    </row>
    <row r="3124" spans="1:36" x14ac:dyDescent="0.25">
      <c r="A3124" s="22" t="s">
        <v>5417</v>
      </c>
      <c r="B3124" s="22">
        <v>0</v>
      </c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  <c r="M3124" s="22"/>
      <c r="N3124" s="22"/>
      <c r="O3124" s="22"/>
      <c r="P3124" s="22"/>
      <c r="Q3124" s="22"/>
      <c r="R3124" s="22"/>
      <c r="S3124" s="22"/>
      <c r="T3124" s="22"/>
      <c r="U3124" s="22"/>
      <c r="V3124" s="22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22"/>
      <c r="AH3124" s="22"/>
      <c r="AI3124" s="22"/>
      <c r="AJ3124" s="22"/>
    </row>
    <row r="3125" spans="1:36" x14ac:dyDescent="0.25">
      <c r="A3125" s="22" t="s">
        <v>5418</v>
      </c>
      <c r="B3125" s="22">
        <v>0</v>
      </c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  <c r="M3125" s="22"/>
      <c r="N3125" s="22"/>
      <c r="O3125" s="22"/>
      <c r="P3125" s="22"/>
      <c r="Q3125" s="22"/>
      <c r="R3125" s="22"/>
      <c r="S3125" s="22"/>
      <c r="T3125" s="22"/>
      <c r="U3125" s="22"/>
      <c r="V3125" s="22"/>
      <c r="W3125" s="22"/>
      <c r="X3125" s="22"/>
      <c r="Y3125" s="22"/>
      <c r="Z3125" s="22"/>
      <c r="AA3125" s="22"/>
      <c r="AB3125" s="22"/>
      <c r="AC3125" s="22"/>
      <c r="AD3125" s="22"/>
      <c r="AE3125" s="22"/>
      <c r="AF3125" s="22"/>
      <c r="AG3125" s="22"/>
      <c r="AH3125" s="22"/>
      <c r="AI3125" s="22"/>
      <c r="AJ3125" s="22"/>
    </row>
    <row r="3126" spans="1:36" x14ac:dyDescent="0.25">
      <c r="A3126" s="22" t="s">
        <v>5419</v>
      </c>
      <c r="B3126" s="22">
        <v>0</v>
      </c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  <c r="M3126" s="22"/>
      <c r="N3126" s="22"/>
      <c r="O3126" s="22"/>
      <c r="P3126" s="22"/>
      <c r="Q3126" s="22"/>
      <c r="R3126" s="22"/>
      <c r="S3126" s="22"/>
      <c r="T3126" s="22"/>
      <c r="U3126" s="22"/>
      <c r="V3126" s="22"/>
      <c r="W3126" s="22"/>
      <c r="X3126" s="22"/>
      <c r="Y3126" s="22"/>
      <c r="Z3126" s="22"/>
      <c r="AA3126" s="22"/>
      <c r="AB3126" s="22"/>
      <c r="AC3126" s="22"/>
      <c r="AD3126" s="22"/>
      <c r="AE3126" s="22"/>
      <c r="AF3126" s="22"/>
      <c r="AG3126" s="22"/>
      <c r="AH3126" s="22"/>
      <c r="AI3126" s="22"/>
      <c r="AJ3126" s="22"/>
    </row>
    <row r="3127" spans="1:36" x14ac:dyDescent="0.25">
      <c r="A3127" s="22" t="s">
        <v>5420</v>
      </c>
      <c r="B3127" s="22">
        <v>0</v>
      </c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  <c r="M3127" s="22"/>
      <c r="N3127" s="22"/>
      <c r="O3127" s="22"/>
      <c r="P3127" s="22"/>
      <c r="Q3127" s="22"/>
      <c r="R3127" s="22"/>
      <c r="S3127" s="22"/>
      <c r="T3127" s="22"/>
      <c r="U3127" s="22"/>
      <c r="V3127" s="22"/>
      <c r="W3127" s="22"/>
      <c r="X3127" s="22"/>
      <c r="Y3127" s="22"/>
      <c r="Z3127" s="22"/>
      <c r="AA3127" s="22"/>
      <c r="AB3127" s="22"/>
      <c r="AC3127" s="22"/>
      <c r="AD3127" s="22"/>
      <c r="AE3127" s="22"/>
      <c r="AF3127" s="22"/>
      <c r="AG3127" s="22"/>
      <c r="AH3127" s="22"/>
      <c r="AI3127" s="22"/>
      <c r="AJ3127" s="22"/>
    </row>
    <row r="3128" spans="1:36" x14ac:dyDescent="0.25">
      <c r="A3128" s="22" t="s">
        <v>5421</v>
      </c>
      <c r="B3128" s="22">
        <v>0</v>
      </c>
      <c r="C3128" s="22"/>
      <c r="D3128" s="22"/>
      <c r="E3128" s="22"/>
      <c r="F3128" s="22"/>
      <c r="G3128" s="22"/>
      <c r="H3128" s="22"/>
      <c r="I3128" s="22"/>
      <c r="J3128" s="22"/>
      <c r="K3128" s="22"/>
      <c r="L3128" s="22"/>
      <c r="M3128" s="22"/>
      <c r="N3128" s="22"/>
      <c r="O3128" s="22"/>
      <c r="P3128" s="22"/>
      <c r="Q3128" s="22"/>
      <c r="R3128" s="22"/>
      <c r="S3128" s="22"/>
      <c r="T3128" s="22"/>
      <c r="U3128" s="22"/>
      <c r="V3128" s="22"/>
      <c r="W3128" s="22"/>
      <c r="X3128" s="22"/>
      <c r="Y3128" s="22"/>
      <c r="Z3128" s="22"/>
      <c r="AA3128" s="22"/>
      <c r="AB3128" s="22"/>
      <c r="AC3128" s="22"/>
      <c r="AD3128" s="22"/>
      <c r="AE3128" s="22"/>
      <c r="AF3128" s="22"/>
      <c r="AG3128" s="22"/>
      <c r="AH3128" s="22"/>
      <c r="AI3128" s="22"/>
      <c r="AJ3128" s="22"/>
    </row>
    <row r="3129" spans="1:36" x14ac:dyDescent="0.25">
      <c r="A3129" s="22" t="s">
        <v>5422</v>
      </c>
      <c r="B3129" s="22">
        <v>0</v>
      </c>
      <c r="C3129" s="22"/>
      <c r="D3129" s="22"/>
      <c r="E3129" s="22"/>
      <c r="F3129" s="22"/>
      <c r="G3129" s="22"/>
      <c r="H3129" s="22"/>
      <c r="I3129" s="22"/>
      <c r="J3129" s="22"/>
      <c r="K3129" s="22"/>
      <c r="L3129" s="22"/>
      <c r="M3129" s="22"/>
      <c r="N3129" s="22"/>
      <c r="O3129" s="22"/>
      <c r="P3129" s="22"/>
      <c r="Q3129" s="22"/>
      <c r="R3129" s="22"/>
      <c r="S3129" s="22"/>
      <c r="T3129" s="22"/>
      <c r="U3129" s="22"/>
      <c r="V3129" s="22"/>
      <c r="W3129" s="22"/>
      <c r="X3129" s="22"/>
      <c r="Y3129" s="22"/>
      <c r="Z3129" s="22"/>
      <c r="AA3129" s="22"/>
      <c r="AB3129" s="22"/>
      <c r="AC3129" s="22"/>
      <c r="AD3129" s="22"/>
      <c r="AE3129" s="22"/>
      <c r="AF3129" s="22"/>
      <c r="AG3129" s="22"/>
      <c r="AH3129" s="22"/>
      <c r="AI3129" s="22"/>
      <c r="AJ3129" s="22"/>
    </row>
    <row r="3130" spans="1:36" x14ac:dyDescent="0.25">
      <c r="A3130" s="22" t="s">
        <v>5423</v>
      </c>
      <c r="B3130" s="22">
        <v>0</v>
      </c>
      <c r="C3130" s="22"/>
      <c r="D3130" s="22"/>
      <c r="E3130" s="22"/>
      <c r="F3130" s="22"/>
      <c r="G3130" s="22"/>
      <c r="H3130" s="22"/>
      <c r="I3130" s="22"/>
      <c r="J3130" s="22"/>
      <c r="K3130" s="22"/>
      <c r="L3130" s="22"/>
      <c r="M3130" s="22"/>
      <c r="N3130" s="22"/>
      <c r="O3130" s="22"/>
      <c r="P3130" s="22"/>
      <c r="Q3130" s="22"/>
      <c r="R3130" s="22"/>
      <c r="S3130" s="22"/>
      <c r="T3130" s="22"/>
      <c r="U3130" s="22"/>
      <c r="V3130" s="22"/>
      <c r="W3130" s="22"/>
      <c r="X3130" s="22"/>
      <c r="Y3130" s="22"/>
      <c r="Z3130" s="22"/>
      <c r="AA3130" s="22"/>
      <c r="AB3130" s="22"/>
      <c r="AC3130" s="22"/>
      <c r="AD3130" s="22"/>
      <c r="AE3130" s="22"/>
      <c r="AF3130" s="22"/>
      <c r="AG3130" s="22"/>
      <c r="AH3130" s="22"/>
      <c r="AI3130" s="22"/>
      <c r="AJ3130" s="22"/>
    </row>
    <row r="3131" spans="1:36" x14ac:dyDescent="0.25">
      <c r="A3131" s="22" t="s">
        <v>5424</v>
      </c>
      <c r="B3131" s="22">
        <v>0</v>
      </c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  <c r="M3131" s="22"/>
      <c r="N3131" s="22"/>
      <c r="O3131" s="22"/>
      <c r="P3131" s="22"/>
      <c r="Q3131" s="22"/>
      <c r="R3131" s="22"/>
      <c r="S3131" s="22"/>
      <c r="T3131" s="22"/>
      <c r="U3131" s="22"/>
      <c r="V3131" s="22"/>
      <c r="W3131" s="22"/>
      <c r="X3131" s="22"/>
      <c r="Y3131" s="22"/>
      <c r="Z3131" s="22"/>
      <c r="AA3131" s="22"/>
      <c r="AB3131" s="22"/>
      <c r="AC3131" s="22"/>
      <c r="AD3131" s="22"/>
      <c r="AE3131" s="22"/>
      <c r="AF3131" s="22"/>
      <c r="AG3131" s="22"/>
      <c r="AH3131" s="22"/>
      <c r="AI3131" s="22"/>
      <c r="AJ3131" s="22"/>
    </row>
    <row r="3132" spans="1:36" x14ac:dyDescent="0.25">
      <c r="A3132" s="22" t="s">
        <v>5425</v>
      </c>
      <c r="B3132" s="22">
        <v>0</v>
      </c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  <c r="M3132" s="22"/>
      <c r="N3132" s="22"/>
      <c r="O3132" s="22"/>
      <c r="P3132" s="22"/>
      <c r="Q3132" s="22"/>
      <c r="R3132" s="22"/>
      <c r="S3132" s="22"/>
      <c r="T3132" s="22"/>
      <c r="U3132" s="22"/>
      <c r="V3132" s="22"/>
      <c r="W3132" s="22"/>
      <c r="X3132" s="22"/>
      <c r="Y3132" s="22"/>
      <c r="Z3132" s="22"/>
      <c r="AA3132" s="22"/>
      <c r="AB3132" s="22"/>
      <c r="AC3132" s="22"/>
      <c r="AD3132" s="22"/>
      <c r="AE3132" s="22"/>
      <c r="AF3132" s="22"/>
      <c r="AG3132" s="22"/>
      <c r="AH3132" s="22"/>
      <c r="AI3132" s="22"/>
      <c r="AJ3132" s="22"/>
    </row>
    <row r="3133" spans="1:36" x14ac:dyDescent="0.25">
      <c r="A3133" s="22" t="s">
        <v>5426</v>
      </c>
      <c r="B3133" s="22">
        <v>0</v>
      </c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  <c r="M3133" s="22"/>
      <c r="N3133" s="22"/>
      <c r="O3133" s="22"/>
      <c r="P3133" s="22"/>
      <c r="Q3133" s="22"/>
      <c r="R3133" s="22"/>
      <c r="S3133" s="22"/>
      <c r="T3133" s="22"/>
      <c r="U3133" s="22"/>
      <c r="V3133" s="22"/>
      <c r="W3133" s="22"/>
      <c r="X3133" s="22"/>
      <c r="Y3133" s="22"/>
      <c r="Z3133" s="22"/>
      <c r="AA3133" s="22"/>
      <c r="AB3133" s="22"/>
      <c r="AC3133" s="22"/>
      <c r="AD3133" s="22"/>
      <c r="AE3133" s="22"/>
      <c r="AF3133" s="22"/>
      <c r="AG3133" s="22"/>
      <c r="AH3133" s="22"/>
      <c r="AI3133" s="22"/>
      <c r="AJ3133" s="22"/>
    </row>
    <row r="3134" spans="1:36" x14ac:dyDescent="0.25">
      <c r="A3134" s="22" t="s">
        <v>685</v>
      </c>
      <c r="B3134" s="22">
        <v>273</v>
      </c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  <c r="M3134" s="22"/>
      <c r="N3134" s="22"/>
      <c r="O3134" s="22"/>
      <c r="P3134" s="22"/>
      <c r="Q3134" s="22"/>
      <c r="R3134" s="22"/>
      <c r="S3134" s="22"/>
      <c r="T3134" s="22"/>
      <c r="U3134" s="22"/>
      <c r="V3134" s="22"/>
      <c r="W3134" s="22"/>
      <c r="X3134" s="22"/>
      <c r="Y3134" s="22"/>
      <c r="Z3134" s="22"/>
      <c r="AA3134" s="22"/>
      <c r="AB3134" s="22"/>
      <c r="AC3134" s="22"/>
      <c r="AD3134" s="22"/>
      <c r="AE3134" s="22"/>
      <c r="AF3134" s="22"/>
      <c r="AG3134" s="22"/>
      <c r="AH3134" s="22"/>
      <c r="AI3134" s="22"/>
      <c r="AJ3134" s="22"/>
    </row>
    <row r="3135" spans="1:36" x14ac:dyDescent="0.25">
      <c r="A3135" s="22" t="s">
        <v>3740</v>
      </c>
      <c r="B3135" s="22">
        <v>0</v>
      </c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  <c r="M3135" s="22"/>
      <c r="N3135" s="22"/>
      <c r="O3135" s="22"/>
      <c r="P3135" s="22"/>
      <c r="Q3135" s="22"/>
      <c r="R3135" s="22"/>
      <c r="S3135" s="22"/>
      <c r="T3135" s="22"/>
      <c r="U3135" s="22"/>
      <c r="V3135" s="22"/>
      <c r="W3135" s="22"/>
      <c r="X3135" s="22"/>
      <c r="Y3135" s="22"/>
      <c r="Z3135" s="22"/>
      <c r="AA3135" s="22"/>
      <c r="AB3135" s="22"/>
      <c r="AC3135" s="22"/>
      <c r="AD3135" s="22"/>
      <c r="AE3135" s="22"/>
      <c r="AF3135" s="22"/>
      <c r="AG3135" s="22"/>
      <c r="AH3135" s="22"/>
      <c r="AI3135" s="22"/>
      <c r="AJ3135" s="22"/>
    </row>
    <row r="3136" spans="1:36" x14ac:dyDescent="0.25">
      <c r="A3136" s="22" t="s">
        <v>3741</v>
      </c>
      <c r="B3136" s="22">
        <v>0</v>
      </c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  <c r="M3136" s="22"/>
      <c r="N3136" s="22"/>
      <c r="O3136" s="22"/>
      <c r="P3136" s="22"/>
      <c r="Q3136" s="22"/>
      <c r="R3136" s="22"/>
      <c r="S3136" s="22"/>
      <c r="T3136" s="22"/>
      <c r="U3136" s="22"/>
      <c r="V3136" s="22"/>
      <c r="W3136" s="22"/>
      <c r="X3136" s="22"/>
      <c r="Y3136" s="22"/>
      <c r="Z3136" s="22"/>
      <c r="AA3136" s="22"/>
      <c r="AB3136" s="22"/>
      <c r="AC3136" s="22"/>
      <c r="AD3136" s="22"/>
      <c r="AE3136" s="22"/>
      <c r="AF3136" s="22"/>
      <c r="AG3136" s="22"/>
      <c r="AH3136" s="22"/>
      <c r="AI3136" s="22"/>
      <c r="AJ3136" s="22"/>
    </row>
    <row r="3137" spans="1:36" x14ac:dyDescent="0.25">
      <c r="A3137" s="22" t="s">
        <v>3742</v>
      </c>
      <c r="B3137" s="22">
        <v>0</v>
      </c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  <c r="M3137" s="22"/>
      <c r="N3137" s="22"/>
      <c r="O3137" s="22"/>
      <c r="P3137" s="22"/>
      <c r="Q3137" s="22"/>
      <c r="R3137" s="22"/>
      <c r="S3137" s="22"/>
      <c r="T3137" s="22"/>
      <c r="U3137" s="22"/>
      <c r="V3137" s="22"/>
      <c r="W3137" s="22"/>
      <c r="X3137" s="22"/>
      <c r="Y3137" s="22"/>
      <c r="Z3137" s="22"/>
      <c r="AA3137" s="22"/>
      <c r="AB3137" s="22"/>
      <c r="AC3137" s="22"/>
      <c r="AD3137" s="22"/>
      <c r="AE3137" s="22"/>
      <c r="AF3137" s="22"/>
      <c r="AG3137" s="22"/>
      <c r="AH3137" s="22"/>
      <c r="AI3137" s="22"/>
      <c r="AJ3137" s="22"/>
    </row>
    <row r="3138" spans="1:36" x14ac:dyDescent="0.25">
      <c r="A3138" s="22" t="s">
        <v>3743</v>
      </c>
      <c r="B3138" s="22">
        <v>1</v>
      </c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  <c r="M3138" s="22"/>
      <c r="N3138" s="22"/>
      <c r="O3138" s="22"/>
      <c r="P3138" s="22"/>
      <c r="Q3138" s="22"/>
      <c r="R3138" s="22"/>
      <c r="S3138" s="22"/>
      <c r="T3138" s="22"/>
      <c r="U3138" s="22"/>
      <c r="V3138" s="22"/>
      <c r="W3138" s="22"/>
      <c r="X3138" s="22"/>
      <c r="Y3138" s="22"/>
      <c r="Z3138" s="22"/>
      <c r="AA3138" s="22"/>
      <c r="AB3138" s="22"/>
      <c r="AC3138" s="22"/>
      <c r="AD3138" s="22"/>
      <c r="AE3138" s="22"/>
      <c r="AF3138" s="22"/>
      <c r="AG3138" s="22"/>
      <c r="AH3138" s="22"/>
      <c r="AI3138" s="22"/>
      <c r="AJ3138" s="22"/>
    </row>
    <row r="3139" spans="1:36" x14ac:dyDescent="0.25">
      <c r="A3139" s="22" t="s">
        <v>3744</v>
      </c>
      <c r="B3139" s="22">
        <v>0</v>
      </c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  <c r="M3139" s="22"/>
      <c r="N3139" s="22"/>
      <c r="O3139" s="22"/>
      <c r="P3139" s="22"/>
      <c r="Q3139" s="22"/>
      <c r="R3139" s="22"/>
      <c r="S3139" s="22"/>
      <c r="T3139" s="22"/>
      <c r="U3139" s="22"/>
      <c r="V3139" s="22"/>
      <c r="W3139" s="22"/>
      <c r="X3139" s="22"/>
      <c r="Y3139" s="22"/>
      <c r="Z3139" s="22"/>
      <c r="AA3139" s="22"/>
      <c r="AB3139" s="22"/>
      <c r="AC3139" s="22"/>
      <c r="AD3139" s="22"/>
      <c r="AE3139" s="22"/>
      <c r="AF3139" s="22"/>
      <c r="AG3139" s="22"/>
      <c r="AH3139" s="22"/>
      <c r="AI3139" s="22"/>
      <c r="AJ3139" s="22"/>
    </row>
    <row r="3140" spans="1:36" x14ac:dyDescent="0.25">
      <c r="A3140" s="22" t="s">
        <v>3745</v>
      </c>
      <c r="B3140" s="22">
        <v>0</v>
      </c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  <c r="M3140" s="22"/>
      <c r="N3140" s="22"/>
      <c r="O3140" s="22"/>
      <c r="P3140" s="22"/>
      <c r="Q3140" s="22"/>
      <c r="R3140" s="22"/>
      <c r="S3140" s="22"/>
      <c r="T3140" s="22"/>
      <c r="U3140" s="22"/>
      <c r="V3140" s="22"/>
      <c r="W3140" s="22"/>
      <c r="X3140" s="22"/>
      <c r="Y3140" s="22"/>
      <c r="Z3140" s="22"/>
      <c r="AA3140" s="22"/>
      <c r="AB3140" s="22"/>
      <c r="AC3140" s="22"/>
      <c r="AD3140" s="22"/>
      <c r="AE3140" s="22"/>
      <c r="AF3140" s="22"/>
      <c r="AG3140" s="22"/>
      <c r="AH3140" s="22"/>
      <c r="AI3140" s="22"/>
      <c r="AJ3140" s="22"/>
    </row>
    <row r="3141" spans="1:36" x14ac:dyDescent="0.25">
      <c r="A3141" s="22" t="s">
        <v>3746</v>
      </c>
      <c r="B3141" s="22">
        <v>0</v>
      </c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  <c r="M3141" s="22"/>
      <c r="N3141" s="22"/>
      <c r="O3141" s="22"/>
      <c r="P3141" s="22"/>
      <c r="Q3141" s="22"/>
      <c r="R3141" s="22"/>
      <c r="S3141" s="22"/>
      <c r="T3141" s="22"/>
      <c r="U3141" s="22"/>
      <c r="V3141" s="22"/>
      <c r="W3141" s="22"/>
      <c r="X3141" s="22"/>
      <c r="Y3141" s="22"/>
      <c r="Z3141" s="22"/>
      <c r="AA3141" s="22"/>
      <c r="AB3141" s="22"/>
      <c r="AC3141" s="22"/>
      <c r="AD3141" s="22"/>
      <c r="AE3141" s="22"/>
      <c r="AF3141" s="22"/>
      <c r="AG3141" s="22"/>
      <c r="AH3141" s="22"/>
      <c r="AI3141" s="22"/>
      <c r="AJ3141" s="22"/>
    </row>
    <row r="3142" spans="1:36" x14ac:dyDescent="0.25">
      <c r="A3142" s="22" t="s">
        <v>687</v>
      </c>
      <c r="B3142" s="22">
        <v>99</v>
      </c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  <c r="M3142" s="22"/>
      <c r="N3142" s="22"/>
      <c r="O3142" s="22"/>
      <c r="P3142" s="22"/>
      <c r="Q3142" s="22"/>
      <c r="R3142" s="22"/>
      <c r="S3142" s="22"/>
      <c r="T3142" s="22"/>
      <c r="U3142" s="22"/>
      <c r="V3142" s="22"/>
      <c r="W3142" s="22"/>
      <c r="X3142" s="22"/>
      <c r="Y3142" s="22"/>
      <c r="Z3142" s="22"/>
      <c r="AA3142" s="22"/>
      <c r="AB3142" s="22"/>
      <c r="AC3142" s="22"/>
      <c r="AD3142" s="22"/>
      <c r="AE3142" s="22"/>
      <c r="AF3142" s="22"/>
      <c r="AG3142" s="22"/>
      <c r="AH3142" s="22"/>
      <c r="AI3142" s="22"/>
      <c r="AJ3142" s="22"/>
    </row>
    <row r="3143" spans="1:36" x14ac:dyDescent="0.25">
      <c r="A3143" s="22" t="s">
        <v>3747</v>
      </c>
      <c r="B3143" s="22">
        <v>0</v>
      </c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  <c r="M3143" s="22"/>
      <c r="N3143" s="22"/>
      <c r="O3143" s="22"/>
      <c r="P3143" s="22"/>
      <c r="Q3143" s="22"/>
      <c r="R3143" s="22"/>
      <c r="S3143" s="22"/>
      <c r="T3143" s="22"/>
      <c r="U3143" s="22"/>
      <c r="V3143" s="22"/>
      <c r="W3143" s="22"/>
      <c r="X3143" s="22"/>
      <c r="Y3143" s="22"/>
      <c r="Z3143" s="22"/>
      <c r="AA3143" s="22"/>
      <c r="AB3143" s="22"/>
      <c r="AC3143" s="22"/>
      <c r="AD3143" s="22"/>
      <c r="AE3143" s="22"/>
      <c r="AF3143" s="22"/>
      <c r="AG3143" s="22"/>
      <c r="AH3143" s="22"/>
      <c r="AI3143" s="22"/>
      <c r="AJ3143" s="22"/>
    </row>
    <row r="3144" spans="1:36" x14ac:dyDescent="0.25">
      <c r="A3144" s="22" t="s">
        <v>3748</v>
      </c>
      <c r="B3144" s="22">
        <v>0</v>
      </c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  <c r="M3144" s="22"/>
      <c r="N3144" s="22"/>
      <c r="O3144" s="22"/>
      <c r="P3144" s="22"/>
      <c r="Q3144" s="22"/>
      <c r="R3144" s="22"/>
      <c r="S3144" s="22"/>
      <c r="T3144" s="22"/>
      <c r="U3144" s="22"/>
      <c r="V3144" s="22"/>
      <c r="W3144" s="22"/>
      <c r="X3144" s="22"/>
      <c r="Y3144" s="22"/>
      <c r="Z3144" s="22"/>
      <c r="AA3144" s="22"/>
      <c r="AB3144" s="22"/>
      <c r="AC3144" s="22"/>
      <c r="AD3144" s="22"/>
      <c r="AE3144" s="22"/>
      <c r="AF3144" s="22"/>
      <c r="AG3144" s="22"/>
      <c r="AH3144" s="22"/>
      <c r="AI3144" s="22"/>
      <c r="AJ3144" s="22"/>
    </row>
    <row r="3145" spans="1:36" x14ac:dyDescent="0.25">
      <c r="A3145" s="22" t="s">
        <v>3749</v>
      </c>
      <c r="B3145" s="22">
        <v>0</v>
      </c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  <c r="M3145" s="22"/>
      <c r="N3145" s="22"/>
      <c r="O3145" s="22"/>
      <c r="P3145" s="22"/>
      <c r="Q3145" s="22"/>
      <c r="R3145" s="22"/>
      <c r="S3145" s="22"/>
      <c r="T3145" s="22"/>
      <c r="U3145" s="22"/>
      <c r="V3145" s="22"/>
      <c r="W3145" s="22"/>
      <c r="X3145" s="22"/>
      <c r="Y3145" s="22"/>
      <c r="Z3145" s="22"/>
      <c r="AA3145" s="22"/>
      <c r="AB3145" s="22"/>
      <c r="AC3145" s="22"/>
      <c r="AD3145" s="22"/>
      <c r="AE3145" s="22"/>
      <c r="AF3145" s="22"/>
      <c r="AG3145" s="22"/>
      <c r="AH3145" s="22"/>
      <c r="AI3145" s="22"/>
      <c r="AJ3145" s="22"/>
    </row>
    <row r="3146" spans="1:36" x14ac:dyDescent="0.25">
      <c r="A3146" s="22" t="s">
        <v>3750</v>
      </c>
      <c r="B3146" s="22">
        <v>0</v>
      </c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  <c r="M3146" s="22"/>
      <c r="N3146" s="22"/>
      <c r="O3146" s="22"/>
      <c r="P3146" s="22"/>
      <c r="Q3146" s="22"/>
      <c r="R3146" s="22"/>
      <c r="S3146" s="22"/>
      <c r="T3146" s="22"/>
      <c r="U3146" s="22"/>
      <c r="V3146" s="22"/>
      <c r="W3146" s="22"/>
      <c r="X3146" s="22"/>
      <c r="Y3146" s="22"/>
      <c r="Z3146" s="22"/>
      <c r="AA3146" s="22"/>
      <c r="AB3146" s="22"/>
      <c r="AC3146" s="22"/>
      <c r="AD3146" s="22"/>
      <c r="AE3146" s="22"/>
      <c r="AF3146" s="22"/>
      <c r="AG3146" s="22"/>
      <c r="AH3146" s="22"/>
      <c r="AI3146" s="22"/>
      <c r="AJ3146" s="22"/>
    </row>
    <row r="3147" spans="1:36" x14ac:dyDescent="0.25">
      <c r="A3147" s="22" t="s">
        <v>3751</v>
      </c>
      <c r="B3147" s="22">
        <v>0</v>
      </c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  <c r="M3147" s="22"/>
      <c r="N3147" s="22"/>
      <c r="O3147" s="22"/>
      <c r="P3147" s="22"/>
      <c r="Q3147" s="22"/>
      <c r="R3147" s="22"/>
      <c r="S3147" s="22"/>
      <c r="T3147" s="22"/>
      <c r="U3147" s="22"/>
      <c r="V3147" s="22"/>
      <c r="W3147" s="22"/>
      <c r="X3147" s="22"/>
      <c r="Y3147" s="22"/>
      <c r="Z3147" s="22"/>
      <c r="AA3147" s="22"/>
      <c r="AB3147" s="22"/>
      <c r="AC3147" s="22"/>
      <c r="AD3147" s="22"/>
      <c r="AE3147" s="22"/>
      <c r="AF3147" s="22"/>
      <c r="AG3147" s="22"/>
      <c r="AH3147" s="22"/>
      <c r="AI3147" s="22"/>
      <c r="AJ3147" s="22"/>
    </row>
    <row r="3148" spans="1:36" x14ac:dyDescent="0.25">
      <c r="A3148" s="22" t="s">
        <v>3752</v>
      </c>
      <c r="B3148" s="22">
        <v>0</v>
      </c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  <c r="M3148" s="22"/>
      <c r="N3148" s="22"/>
      <c r="O3148" s="22"/>
      <c r="P3148" s="22"/>
      <c r="Q3148" s="22"/>
      <c r="R3148" s="22"/>
      <c r="S3148" s="22"/>
      <c r="T3148" s="22"/>
      <c r="U3148" s="22"/>
      <c r="V3148" s="22"/>
      <c r="W3148" s="22"/>
      <c r="X3148" s="22"/>
      <c r="Y3148" s="22"/>
      <c r="Z3148" s="22"/>
      <c r="AA3148" s="22"/>
      <c r="AB3148" s="22"/>
      <c r="AC3148" s="22"/>
      <c r="AD3148" s="22"/>
      <c r="AE3148" s="22"/>
      <c r="AF3148" s="22"/>
      <c r="AG3148" s="22"/>
      <c r="AH3148" s="22"/>
      <c r="AI3148" s="22"/>
      <c r="AJ3148" s="22"/>
    </row>
    <row r="3149" spans="1:36" x14ac:dyDescent="0.25">
      <c r="A3149" s="22" t="s">
        <v>3753</v>
      </c>
      <c r="B3149" s="22">
        <v>0</v>
      </c>
      <c r="C3149" s="22"/>
      <c r="D3149" s="22"/>
      <c r="E3149" s="22"/>
      <c r="F3149" s="22"/>
      <c r="G3149" s="22"/>
      <c r="H3149" s="22"/>
      <c r="I3149" s="22"/>
      <c r="J3149" s="22"/>
      <c r="K3149" s="22"/>
      <c r="L3149" s="22"/>
      <c r="M3149" s="22"/>
      <c r="N3149" s="22"/>
      <c r="O3149" s="22"/>
      <c r="P3149" s="22"/>
      <c r="Q3149" s="22"/>
      <c r="R3149" s="22"/>
      <c r="S3149" s="22"/>
      <c r="T3149" s="22"/>
      <c r="U3149" s="22"/>
      <c r="V3149" s="22"/>
      <c r="W3149" s="22"/>
      <c r="X3149" s="22"/>
      <c r="Y3149" s="22"/>
      <c r="Z3149" s="22"/>
      <c r="AA3149" s="22"/>
      <c r="AB3149" s="22"/>
      <c r="AC3149" s="22"/>
      <c r="AD3149" s="22"/>
      <c r="AE3149" s="22"/>
      <c r="AF3149" s="22"/>
      <c r="AG3149" s="22"/>
      <c r="AH3149" s="22"/>
      <c r="AI3149" s="22"/>
      <c r="AJ3149" s="22"/>
    </row>
    <row r="3150" spans="1:36" x14ac:dyDescent="0.25">
      <c r="A3150" s="22" t="s">
        <v>689</v>
      </c>
      <c r="B3150" s="22">
        <v>189</v>
      </c>
      <c r="C3150" s="22"/>
      <c r="D3150" s="22"/>
      <c r="E3150" s="22"/>
      <c r="F3150" s="22"/>
      <c r="G3150" s="22"/>
      <c r="H3150" s="22"/>
      <c r="I3150" s="22"/>
      <c r="J3150" s="22"/>
      <c r="K3150" s="22"/>
      <c r="L3150" s="22"/>
      <c r="M3150" s="22"/>
      <c r="N3150" s="22"/>
      <c r="O3150" s="22"/>
      <c r="P3150" s="22"/>
      <c r="Q3150" s="22"/>
      <c r="R3150" s="22"/>
      <c r="S3150" s="22"/>
      <c r="T3150" s="22"/>
      <c r="U3150" s="22"/>
      <c r="V3150" s="22"/>
      <c r="W3150" s="22"/>
      <c r="X3150" s="22"/>
      <c r="Y3150" s="22"/>
      <c r="Z3150" s="22"/>
      <c r="AA3150" s="22"/>
      <c r="AB3150" s="22"/>
      <c r="AC3150" s="22"/>
      <c r="AD3150" s="22"/>
      <c r="AE3150" s="22"/>
      <c r="AF3150" s="22"/>
      <c r="AG3150" s="22"/>
      <c r="AH3150" s="22"/>
      <c r="AI3150" s="22"/>
      <c r="AJ3150" s="22"/>
    </row>
    <row r="3151" spans="1:36" x14ac:dyDescent="0.25">
      <c r="A3151" s="22" t="s">
        <v>3754</v>
      </c>
      <c r="B3151" s="22">
        <v>0</v>
      </c>
      <c r="C3151" s="22"/>
      <c r="D3151" s="22"/>
      <c r="E3151" s="22"/>
      <c r="F3151" s="22"/>
      <c r="G3151" s="22"/>
      <c r="H3151" s="22"/>
      <c r="I3151" s="22"/>
      <c r="J3151" s="22"/>
      <c r="K3151" s="22"/>
      <c r="L3151" s="22"/>
      <c r="M3151" s="22"/>
      <c r="N3151" s="22"/>
      <c r="O3151" s="22"/>
      <c r="P3151" s="22"/>
      <c r="Q3151" s="22"/>
      <c r="R3151" s="22"/>
      <c r="S3151" s="22"/>
      <c r="T3151" s="22"/>
      <c r="U3151" s="22"/>
      <c r="V3151" s="22"/>
      <c r="W3151" s="22"/>
      <c r="X3151" s="22"/>
      <c r="Y3151" s="22"/>
      <c r="Z3151" s="22"/>
      <c r="AA3151" s="22"/>
      <c r="AB3151" s="22"/>
      <c r="AC3151" s="22"/>
      <c r="AD3151" s="22"/>
      <c r="AE3151" s="22"/>
      <c r="AF3151" s="22"/>
      <c r="AG3151" s="22"/>
      <c r="AH3151" s="22"/>
      <c r="AI3151" s="22"/>
      <c r="AJ3151" s="22"/>
    </row>
    <row r="3152" spans="1:36" x14ac:dyDescent="0.25">
      <c r="A3152" s="22" t="s">
        <v>3755</v>
      </c>
      <c r="B3152" s="22">
        <v>0</v>
      </c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  <c r="M3152" s="22"/>
      <c r="N3152" s="22"/>
      <c r="O3152" s="22"/>
      <c r="P3152" s="22"/>
      <c r="Q3152" s="22"/>
      <c r="R3152" s="22"/>
      <c r="S3152" s="22"/>
      <c r="T3152" s="22"/>
      <c r="U3152" s="22"/>
      <c r="V3152" s="22"/>
      <c r="W3152" s="22"/>
      <c r="X3152" s="22"/>
      <c r="Y3152" s="22"/>
      <c r="Z3152" s="22"/>
      <c r="AA3152" s="22"/>
      <c r="AB3152" s="22"/>
      <c r="AC3152" s="22"/>
      <c r="AD3152" s="22"/>
      <c r="AE3152" s="22"/>
      <c r="AF3152" s="22"/>
      <c r="AG3152" s="22"/>
      <c r="AH3152" s="22"/>
      <c r="AI3152" s="22"/>
      <c r="AJ3152" s="22"/>
    </row>
    <row r="3153" spans="1:36" x14ac:dyDescent="0.25">
      <c r="A3153" s="22" t="s">
        <v>3756</v>
      </c>
      <c r="B3153" s="22">
        <v>0</v>
      </c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  <c r="M3153" s="22"/>
      <c r="N3153" s="22"/>
      <c r="O3153" s="22"/>
      <c r="P3153" s="22"/>
      <c r="Q3153" s="22"/>
      <c r="R3153" s="22"/>
      <c r="S3153" s="22"/>
      <c r="T3153" s="22"/>
      <c r="U3153" s="22"/>
      <c r="V3153" s="22"/>
      <c r="W3153" s="22"/>
      <c r="X3153" s="22"/>
      <c r="Y3153" s="22"/>
      <c r="Z3153" s="22"/>
      <c r="AA3153" s="22"/>
      <c r="AB3153" s="22"/>
      <c r="AC3153" s="22"/>
      <c r="AD3153" s="22"/>
      <c r="AE3153" s="22"/>
      <c r="AF3153" s="22"/>
      <c r="AG3153" s="22"/>
      <c r="AH3153" s="22"/>
      <c r="AI3153" s="22"/>
      <c r="AJ3153" s="22"/>
    </row>
    <row r="3154" spans="1:36" x14ac:dyDescent="0.25">
      <c r="A3154" s="22" t="s">
        <v>3757</v>
      </c>
      <c r="B3154" s="22">
        <v>0</v>
      </c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  <c r="M3154" s="22"/>
      <c r="N3154" s="22"/>
      <c r="O3154" s="22"/>
      <c r="P3154" s="22"/>
      <c r="Q3154" s="22"/>
      <c r="R3154" s="22"/>
      <c r="S3154" s="22"/>
      <c r="T3154" s="22"/>
      <c r="U3154" s="22"/>
      <c r="V3154" s="22"/>
      <c r="W3154" s="22"/>
      <c r="X3154" s="22"/>
      <c r="Y3154" s="22"/>
      <c r="Z3154" s="22"/>
      <c r="AA3154" s="22"/>
      <c r="AB3154" s="22"/>
      <c r="AC3154" s="22"/>
      <c r="AD3154" s="22"/>
      <c r="AE3154" s="22"/>
      <c r="AF3154" s="22"/>
      <c r="AG3154" s="22"/>
      <c r="AH3154" s="22"/>
      <c r="AI3154" s="22"/>
      <c r="AJ3154" s="22"/>
    </row>
    <row r="3155" spans="1:36" x14ac:dyDescent="0.25">
      <c r="A3155" s="22" t="s">
        <v>3758</v>
      </c>
      <c r="B3155" s="22">
        <v>0</v>
      </c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  <c r="M3155" s="22"/>
      <c r="N3155" s="22"/>
      <c r="O3155" s="22"/>
      <c r="P3155" s="22"/>
      <c r="Q3155" s="22"/>
      <c r="R3155" s="22"/>
      <c r="S3155" s="22"/>
      <c r="T3155" s="22"/>
      <c r="U3155" s="22"/>
      <c r="V3155" s="22"/>
      <c r="W3155" s="22"/>
      <c r="X3155" s="22"/>
      <c r="Y3155" s="22"/>
      <c r="Z3155" s="22"/>
      <c r="AA3155" s="22"/>
      <c r="AB3155" s="22"/>
      <c r="AC3155" s="22"/>
      <c r="AD3155" s="22"/>
      <c r="AE3155" s="22"/>
      <c r="AF3155" s="22"/>
      <c r="AG3155" s="22"/>
      <c r="AH3155" s="22"/>
      <c r="AI3155" s="22"/>
      <c r="AJ3155" s="22"/>
    </row>
    <row r="3156" spans="1:36" x14ac:dyDescent="0.25">
      <c r="A3156" s="22" t="s">
        <v>3759</v>
      </c>
      <c r="B3156" s="22">
        <v>0</v>
      </c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  <c r="M3156" s="22"/>
      <c r="N3156" s="22"/>
      <c r="O3156" s="22"/>
      <c r="P3156" s="22"/>
      <c r="Q3156" s="22"/>
      <c r="R3156" s="22"/>
      <c r="S3156" s="22"/>
      <c r="T3156" s="22"/>
      <c r="U3156" s="22"/>
      <c r="V3156" s="22"/>
      <c r="W3156" s="22"/>
      <c r="X3156" s="22"/>
      <c r="Y3156" s="22"/>
      <c r="Z3156" s="22"/>
      <c r="AA3156" s="22"/>
      <c r="AB3156" s="22"/>
      <c r="AC3156" s="22"/>
      <c r="AD3156" s="22"/>
      <c r="AE3156" s="22"/>
      <c r="AF3156" s="22"/>
      <c r="AG3156" s="22"/>
      <c r="AH3156" s="22"/>
      <c r="AI3156" s="22"/>
      <c r="AJ3156" s="22"/>
    </row>
    <row r="3157" spans="1:36" x14ac:dyDescent="0.25">
      <c r="A3157" s="22" t="s">
        <v>3760</v>
      </c>
      <c r="B3157" s="22">
        <v>0</v>
      </c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  <c r="M3157" s="22"/>
      <c r="N3157" s="22"/>
      <c r="O3157" s="22"/>
      <c r="P3157" s="22"/>
      <c r="Q3157" s="22"/>
      <c r="R3157" s="22"/>
      <c r="S3157" s="22"/>
      <c r="T3157" s="22"/>
      <c r="U3157" s="22"/>
      <c r="V3157" s="22"/>
      <c r="W3157" s="22"/>
      <c r="X3157" s="22"/>
      <c r="Y3157" s="22"/>
      <c r="Z3157" s="22"/>
      <c r="AA3157" s="22"/>
      <c r="AB3157" s="22"/>
      <c r="AC3157" s="22"/>
      <c r="AD3157" s="22"/>
      <c r="AE3157" s="22"/>
      <c r="AF3157" s="22"/>
      <c r="AG3157" s="22"/>
      <c r="AH3157" s="22"/>
      <c r="AI3157" s="22"/>
      <c r="AJ3157" s="22"/>
    </row>
    <row r="3158" spans="1:36" x14ac:dyDescent="0.25">
      <c r="A3158" s="22" t="s">
        <v>5427</v>
      </c>
      <c r="B3158" s="22">
        <v>402</v>
      </c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  <c r="M3158" s="22"/>
      <c r="N3158" s="22"/>
      <c r="O3158" s="22"/>
      <c r="P3158" s="22"/>
      <c r="Q3158" s="22"/>
      <c r="R3158" s="22"/>
      <c r="S3158" s="22"/>
      <c r="T3158" s="22"/>
      <c r="U3158" s="22"/>
      <c r="V3158" s="22"/>
      <c r="W3158" s="22"/>
      <c r="X3158" s="22"/>
      <c r="Y3158" s="22"/>
      <c r="Z3158" s="22"/>
      <c r="AA3158" s="22"/>
      <c r="AB3158" s="22"/>
      <c r="AC3158" s="22"/>
      <c r="AD3158" s="22"/>
      <c r="AE3158" s="22"/>
      <c r="AF3158" s="22"/>
      <c r="AG3158" s="22"/>
      <c r="AH3158" s="22"/>
      <c r="AI3158" s="22"/>
      <c r="AJ3158" s="22"/>
    </row>
    <row r="3159" spans="1:36" x14ac:dyDescent="0.25">
      <c r="A3159" s="22" t="s">
        <v>5428</v>
      </c>
      <c r="B3159" s="22">
        <v>0</v>
      </c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  <c r="M3159" s="22"/>
      <c r="N3159" s="22"/>
      <c r="O3159" s="22"/>
      <c r="P3159" s="22"/>
      <c r="Q3159" s="22"/>
      <c r="R3159" s="22"/>
      <c r="S3159" s="22"/>
      <c r="T3159" s="22"/>
      <c r="U3159" s="22"/>
      <c r="V3159" s="22"/>
      <c r="W3159" s="22"/>
      <c r="X3159" s="22"/>
      <c r="Y3159" s="22"/>
      <c r="Z3159" s="22"/>
      <c r="AA3159" s="22"/>
      <c r="AB3159" s="22"/>
      <c r="AC3159" s="22"/>
      <c r="AD3159" s="22"/>
      <c r="AE3159" s="22"/>
      <c r="AF3159" s="22"/>
      <c r="AG3159" s="22"/>
      <c r="AH3159" s="22"/>
      <c r="AI3159" s="22"/>
      <c r="AJ3159" s="22"/>
    </row>
    <row r="3160" spans="1:36" x14ac:dyDescent="0.25">
      <c r="A3160" s="22" t="s">
        <v>5429</v>
      </c>
      <c r="B3160" s="22">
        <v>0</v>
      </c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  <c r="M3160" s="22"/>
      <c r="N3160" s="22"/>
      <c r="O3160" s="22"/>
      <c r="P3160" s="22"/>
      <c r="Q3160" s="22"/>
      <c r="R3160" s="22"/>
      <c r="S3160" s="22"/>
      <c r="T3160" s="22"/>
      <c r="U3160" s="22"/>
      <c r="V3160" s="22"/>
      <c r="W3160" s="22"/>
      <c r="X3160" s="22"/>
      <c r="Y3160" s="22"/>
      <c r="Z3160" s="22"/>
      <c r="AA3160" s="22"/>
      <c r="AB3160" s="22"/>
      <c r="AC3160" s="22"/>
      <c r="AD3160" s="22"/>
      <c r="AE3160" s="22"/>
      <c r="AF3160" s="22"/>
      <c r="AG3160" s="22"/>
      <c r="AH3160" s="22"/>
      <c r="AI3160" s="22"/>
      <c r="AJ3160" s="22"/>
    </row>
    <row r="3161" spans="1:36" x14ac:dyDescent="0.25">
      <c r="A3161" s="22" t="s">
        <v>5430</v>
      </c>
      <c r="B3161" s="22">
        <v>0</v>
      </c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  <c r="M3161" s="22"/>
      <c r="N3161" s="22"/>
      <c r="O3161" s="22"/>
      <c r="P3161" s="22"/>
      <c r="Q3161" s="22"/>
      <c r="R3161" s="22"/>
      <c r="S3161" s="22"/>
      <c r="T3161" s="22"/>
      <c r="U3161" s="22"/>
      <c r="V3161" s="22"/>
      <c r="W3161" s="22"/>
      <c r="X3161" s="22"/>
      <c r="Y3161" s="22"/>
      <c r="Z3161" s="22"/>
      <c r="AA3161" s="22"/>
      <c r="AB3161" s="22"/>
      <c r="AC3161" s="22"/>
      <c r="AD3161" s="22"/>
      <c r="AE3161" s="22"/>
      <c r="AF3161" s="22"/>
      <c r="AG3161" s="22"/>
      <c r="AH3161" s="22"/>
      <c r="AI3161" s="22"/>
      <c r="AJ3161" s="22"/>
    </row>
    <row r="3162" spans="1:36" x14ac:dyDescent="0.25">
      <c r="A3162" s="22" t="s">
        <v>5431</v>
      </c>
      <c r="B3162" s="22">
        <v>0</v>
      </c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  <c r="M3162" s="22"/>
      <c r="N3162" s="22"/>
      <c r="O3162" s="22"/>
      <c r="P3162" s="22"/>
      <c r="Q3162" s="22"/>
      <c r="R3162" s="22"/>
      <c r="S3162" s="22"/>
      <c r="T3162" s="22"/>
      <c r="U3162" s="22"/>
      <c r="V3162" s="22"/>
      <c r="W3162" s="22"/>
      <c r="X3162" s="22"/>
      <c r="Y3162" s="22"/>
      <c r="Z3162" s="22"/>
      <c r="AA3162" s="22"/>
      <c r="AB3162" s="22"/>
      <c r="AC3162" s="22"/>
      <c r="AD3162" s="22"/>
      <c r="AE3162" s="22"/>
      <c r="AF3162" s="22"/>
      <c r="AG3162" s="22"/>
      <c r="AH3162" s="22"/>
      <c r="AI3162" s="22"/>
      <c r="AJ3162" s="22"/>
    </row>
    <row r="3163" spans="1:36" x14ac:dyDescent="0.25">
      <c r="A3163" s="22" t="s">
        <v>5432</v>
      </c>
      <c r="B3163" s="22">
        <v>0</v>
      </c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  <c r="M3163" s="22"/>
      <c r="N3163" s="22"/>
      <c r="O3163" s="22"/>
      <c r="P3163" s="22"/>
      <c r="Q3163" s="22"/>
      <c r="R3163" s="22"/>
      <c r="S3163" s="22"/>
      <c r="T3163" s="22"/>
      <c r="U3163" s="22"/>
      <c r="V3163" s="22"/>
      <c r="W3163" s="22"/>
      <c r="X3163" s="22"/>
      <c r="Y3163" s="22"/>
      <c r="Z3163" s="22"/>
      <c r="AA3163" s="22"/>
      <c r="AB3163" s="22"/>
      <c r="AC3163" s="22"/>
      <c r="AD3163" s="22"/>
      <c r="AE3163" s="22"/>
      <c r="AF3163" s="22"/>
      <c r="AG3163" s="22"/>
      <c r="AH3163" s="22"/>
      <c r="AI3163" s="22"/>
      <c r="AJ3163" s="22"/>
    </row>
    <row r="3164" spans="1:36" x14ac:dyDescent="0.25">
      <c r="A3164" s="22" t="s">
        <v>5433</v>
      </c>
      <c r="B3164" s="22">
        <v>0</v>
      </c>
      <c r="C3164" s="22"/>
      <c r="D3164" s="22"/>
      <c r="E3164" s="22"/>
      <c r="F3164" s="22"/>
      <c r="G3164" s="22"/>
      <c r="H3164" s="22"/>
      <c r="I3164" s="22"/>
      <c r="J3164" s="22"/>
      <c r="K3164" s="22"/>
      <c r="L3164" s="22"/>
      <c r="M3164" s="22"/>
      <c r="N3164" s="22"/>
      <c r="O3164" s="22"/>
      <c r="P3164" s="22"/>
      <c r="Q3164" s="22"/>
      <c r="R3164" s="22"/>
      <c r="S3164" s="22"/>
      <c r="T3164" s="22"/>
      <c r="U3164" s="22"/>
      <c r="V3164" s="22"/>
      <c r="W3164" s="22"/>
      <c r="X3164" s="22"/>
      <c r="Y3164" s="22"/>
      <c r="Z3164" s="22"/>
      <c r="AA3164" s="22"/>
      <c r="AB3164" s="22"/>
      <c r="AC3164" s="22"/>
      <c r="AD3164" s="22"/>
      <c r="AE3164" s="22"/>
      <c r="AF3164" s="22"/>
      <c r="AG3164" s="22"/>
      <c r="AH3164" s="22"/>
      <c r="AI3164" s="22"/>
      <c r="AJ3164" s="22"/>
    </row>
    <row r="3165" spans="1:36" x14ac:dyDescent="0.25">
      <c r="A3165" s="22" t="s">
        <v>5434</v>
      </c>
      <c r="B3165" s="22">
        <v>0</v>
      </c>
      <c r="C3165" s="22"/>
      <c r="D3165" s="22"/>
      <c r="E3165" s="22"/>
      <c r="F3165" s="22"/>
      <c r="G3165" s="22"/>
      <c r="H3165" s="22"/>
      <c r="I3165" s="22"/>
      <c r="J3165" s="22"/>
      <c r="K3165" s="22"/>
      <c r="L3165" s="22"/>
      <c r="M3165" s="22"/>
      <c r="N3165" s="22"/>
      <c r="O3165" s="22"/>
      <c r="P3165" s="22"/>
      <c r="Q3165" s="22"/>
      <c r="R3165" s="22"/>
      <c r="S3165" s="22"/>
      <c r="T3165" s="22"/>
      <c r="U3165" s="22"/>
      <c r="V3165" s="22"/>
      <c r="W3165" s="22"/>
      <c r="X3165" s="22"/>
      <c r="Y3165" s="22"/>
      <c r="Z3165" s="22"/>
      <c r="AA3165" s="22"/>
      <c r="AB3165" s="22"/>
      <c r="AC3165" s="22"/>
      <c r="AD3165" s="22"/>
      <c r="AE3165" s="22"/>
      <c r="AF3165" s="22"/>
      <c r="AG3165" s="22"/>
      <c r="AH3165" s="22"/>
      <c r="AI3165" s="22"/>
      <c r="AJ3165" s="22"/>
    </row>
    <row r="3166" spans="1:36" x14ac:dyDescent="0.25">
      <c r="A3166" s="22" t="s">
        <v>5435</v>
      </c>
      <c r="B3166" s="22">
        <v>0</v>
      </c>
      <c r="C3166" s="22"/>
      <c r="D3166" s="22"/>
      <c r="E3166" s="22"/>
      <c r="F3166" s="22"/>
      <c r="G3166" s="22"/>
      <c r="H3166" s="22"/>
      <c r="I3166" s="22"/>
      <c r="J3166" s="22"/>
      <c r="K3166" s="22"/>
      <c r="L3166" s="22"/>
      <c r="M3166" s="22"/>
      <c r="N3166" s="22"/>
      <c r="O3166" s="22"/>
      <c r="P3166" s="22"/>
      <c r="Q3166" s="22"/>
      <c r="R3166" s="22"/>
      <c r="S3166" s="22"/>
      <c r="T3166" s="22"/>
      <c r="U3166" s="22"/>
      <c r="V3166" s="22"/>
      <c r="W3166" s="22"/>
      <c r="X3166" s="22"/>
      <c r="Y3166" s="22"/>
      <c r="Z3166" s="22"/>
      <c r="AA3166" s="22"/>
      <c r="AB3166" s="22"/>
      <c r="AC3166" s="22"/>
      <c r="AD3166" s="22"/>
      <c r="AE3166" s="22"/>
      <c r="AF3166" s="22"/>
      <c r="AG3166" s="22"/>
      <c r="AH3166" s="22"/>
      <c r="AI3166" s="22"/>
      <c r="AJ3166" s="22"/>
    </row>
    <row r="3167" spans="1:36" x14ac:dyDescent="0.25">
      <c r="A3167" s="22" t="s">
        <v>5436</v>
      </c>
      <c r="B3167" s="22">
        <v>0</v>
      </c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  <c r="M3167" s="22"/>
      <c r="N3167" s="22"/>
      <c r="O3167" s="22"/>
      <c r="P3167" s="22"/>
      <c r="Q3167" s="22"/>
      <c r="R3167" s="22"/>
      <c r="S3167" s="22"/>
      <c r="T3167" s="22"/>
      <c r="U3167" s="22"/>
      <c r="V3167" s="22"/>
      <c r="W3167" s="22"/>
      <c r="X3167" s="22"/>
      <c r="Y3167" s="22"/>
      <c r="Z3167" s="22"/>
      <c r="AA3167" s="22"/>
      <c r="AB3167" s="22"/>
      <c r="AC3167" s="22"/>
      <c r="AD3167" s="22"/>
      <c r="AE3167" s="22"/>
      <c r="AF3167" s="22"/>
      <c r="AG3167" s="22"/>
      <c r="AH3167" s="22"/>
      <c r="AI3167" s="22"/>
      <c r="AJ3167" s="22"/>
    </row>
    <row r="3168" spans="1:36" x14ac:dyDescent="0.25">
      <c r="A3168" s="22" t="s">
        <v>5437</v>
      </c>
      <c r="B3168" s="22">
        <v>0</v>
      </c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  <c r="M3168" s="22"/>
      <c r="N3168" s="22"/>
      <c r="O3168" s="22"/>
      <c r="P3168" s="22"/>
      <c r="Q3168" s="22"/>
      <c r="R3168" s="22"/>
      <c r="S3168" s="22"/>
      <c r="T3168" s="22"/>
      <c r="U3168" s="22"/>
      <c r="V3168" s="22"/>
      <c r="W3168" s="22"/>
      <c r="X3168" s="22"/>
      <c r="Y3168" s="22"/>
      <c r="Z3168" s="22"/>
      <c r="AA3168" s="22"/>
      <c r="AB3168" s="22"/>
      <c r="AC3168" s="22"/>
      <c r="AD3168" s="22"/>
      <c r="AE3168" s="22"/>
      <c r="AF3168" s="22"/>
      <c r="AG3168" s="22"/>
      <c r="AH3168" s="22"/>
      <c r="AI3168" s="22"/>
      <c r="AJ3168" s="22"/>
    </row>
    <row r="3169" spans="1:36" x14ac:dyDescent="0.25">
      <c r="A3169" s="22" t="s">
        <v>5438</v>
      </c>
      <c r="B3169" s="22">
        <v>0</v>
      </c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  <c r="M3169" s="22"/>
      <c r="N3169" s="22"/>
      <c r="O3169" s="22"/>
      <c r="P3169" s="22"/>
      <c r="Q3169" s="22"/>
      <c r="R3169" s="22"/>
      <c r="S3169" s="22"/>
      <c r="T3169" s="22"/>
      <c r="U3169" s="22"/>
      <c r="V3169" s="22"/>
      <c r="W3169" s="22"/>
      <c r="X3169" s="22"/>
      <c r="Y3169" s="22"/>
      <c r="Z3169" s="22"/>
      <c r="AA3169" s="22"/>
      <c r="AB3169" s="22"/>
      <c r="AC3169" s="22"/>
      <c r="AD3169" s="22"/>
      <c r="AE3169" s="22"/>
      <c r="AF3169" s="22"/>
      <c r="AG3169" s="22"/>
      <c r="AH3169" s="22"/>
      <c r="AI3169" s="22"/>
      <c r="AJ3169" s="22"/>
    </row>
    <row r="3170" spans="1:36" x14ac:dyDescent="0.25">
      <c r="A3170" s="22" t="s">
        <v>5439</v>
      </c>
      <c r="B3170" s="22">
        <v>0</v>
      </c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  <c r="M3170" s="22"/>
      <c r="N3170" s="22"/>
      <c r="O3170" s="22"/>
      <c r="P3170" s="22"/>
      <c r="Q3170" s="22"/>
      <c r="R3170" s="22"/>
      <c r="S3170" s="22"/>
      <c r="T3170" s="22"/>
      <c r="U3170" s="22"/>
      <c r="V3170" s="22"/>
      <c r="W3170" s="22"/>
      <c r="X3170" s="22"/>
      <c r="Y3170" s="22"/>
      <c r="Z3170" s="22"/>
      <c r="AA3170" s="22"/>
      <c r="AB3170" s="22"/>
      <c r="AC3170" s="22"/>
      <c r="AD3170" s="22"/>
      <c r="AE3170" s="22"/>
      <c r="AF3170" s="22"/>
      <c r="AG3170" s="22"/>
      <c r="AH3170" s="22"/>
      <c r="AI3170" s="22"/>
      <c r="AJ3170" s="22"/>
    </row>
    <row r="3171" spans="1:36" x14ac:dyDescent="0.25">
      <c r="A3171" s="22" t="s">
        <v>5440</v>
      </c>
      <c r="B3171" s="22">
        <v>0</v>
      </c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  <c r="M3171" s="22"/>
      <c r="N3171" s="22"/>
      <c r="O3171" s="22"/>
      <c r="P3171" s="22"/>
      <c r="Q3171" s="22"/>
      <c r="R3171" s="22"/>
      <c r="S3171" s="22"/>
      <c r="T3171" s="22"/>
      <c r="U3171" s="22"/>
      <c r="V3171" s="22"/>
      <c r="W3171" s="22"/>
      <c r="X3171" s="22"/>
      <c r="Y3171" s="22"/>
      <c r="Z3171" s="22"/>
      <c r="AA3171" s="22"/>
      <c r="AB3171" s="22"/>
      <c r="AC3171" s="22"/>
      <c r="AD3171" s="22"/>
      <c r="AE3171" s="22"/>
      <c r="AF3171" s="22"/>
      <c r="AG3171" s="22"/>
      <c r="AH3171" s="22"/>
      <c r="AI3171" s="22"/>
      <c r="AJ3171" s="22"/>
    </row>
    <row r="3172" spans="1:36" x14ac:dyDescent="0.25">
      <c r="A3172" s="22" t="s">
        <v>5441</v>
      </c>
      <c r="B3172" s="22">
        <v>0</v>
      </c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  <c r="M3172" s="22"/>
      <c r="N3172" s="22"/>
      <c r="O3172" s="22"/>
      <c r="P3172" s="22"/>
      <c r="Q3172" s="22"/>
      <c r="R3172" s="22"/>
      <c r="S3172" s="22"/>
      <c r="T3172" s="22"/>
      <c r="U3172" s="22"/>
      <c r="V3172" s="22"/>
      <c r="W3172" s="22"/>
      <c r="X3172" s="22"/>
      <c r="Y3172" s="22"/>
      <c r="Z3172" s="22"/>
      <c r="AA3172" s="22"/>
      <c r="AB3172" s="22"/>
      <c r="AC3172" s="22"/>
      <c r="AD3172" s="22"/>
      <c r="AE3172" s="22"/>
      <c r="AF3172" s="22"/>
      <c r="AG3172" s="22"/>
      <c r="AH3172" s="22"/>
      <c r="AI3172" s="22"/>
      <c r="AJ3172" s="22"/>
    </row>
    <row r="3173" spans="1:36" x14ac:dyDescent="0.25">
      <c r="A3173" s="22" t="s">
        <v>5442</v>
      </c>
      <c r="B3173" s="22">
        <v>0</v>
      </c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  <c r="M3173" s="22"/>
      <c r="N3173" s="22"/>
      <c r="O3173" s="22"/>
      <c r="P3173" s="22"/>
      <c r="Q3173" s="22"/>
      <c r="R3173" s="22"/>
      <c r="S3173" s="22"/>
      <c r="T3173" s="22"/>
      <c r="U3173" s="22"/>
      <c r="V3173" s="22"/>
      <c r="W3173" s="22"/>
      <c r="X3173" s="22"/>
      <c r="Y3173" s="22"/>
      <c r="Z3173" s="22"/>
      <c r="AA3173" s="22"/>
      <c r="AB3173" s="22"/>
      <c r="AC3173" s="22"/>
      <c r="AD3173" s="22"/>
      <c r="AE3173" s="22"/>
      <c r="AF3173" s="22"/>
      <c r="AG3173" s="22"/>
      <c r="AH3173" s="22"/>
      <c r="AI3173" s="22"/>
      <c r="AJ3173" s="22"/>
    </row>
    <row r="3174" spans="1:36" x14ac:dyDescent="0.25">
      <c r="A3174" s="22" t="s">
        <v>5443</v>
      </c>
      <c r="B3174" s="22">
        <v>150</v>
      </c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  <c r="M3174" s="22"/>
      <c r="N3174" s="22"/>
      <c r="O3174" s="22"/>
      <c r="P3174" s="22"/>
      <c r="Q3174" s="22"/>
      <c r="R3174" s="22"/>
      <c r="S3174" s="22"/>
      <c r="T3174" s="22"/>
      <c r="U3174" s="22"/>
      <c r="V3174" s="22"/>
      <c r="W3174" s="22"/>
      <c r="X3174" s="22"/>
      <c r="Y3174" s="22"/>
      <c r="Z3174" s="22"/>
      <c r="AA3174" s="22"/>
      <c r="AB3174" s="22"/>
      <c r="AC3174" s="22"/>
      <c r="AD3174" s="22"/>
      <c r="AE3174" s="22"/>
      <c r="AF3174" s="22"/>
      <c r="AG3174" s="22"/>
      <c r="AH3174" s="22"/>
      <c r="AI3174" s="22"/>
      <c r="AJ3174" s="22"/>
    </row>
    <row r="3175" spans="1:36" x14ac:dyDescent="0.25">
      <c r="A3175" s="22" t="s">
        <v>5444</v>
      </c>
      <c r="B3175" s="22">
        <v>0</v>
      </c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  <c r="M3175" s="22"/>
      <c r="N3175" s="22"/>
      <c r="O3175" s="22"/>
      <c r="P3175" s="22"/>
      <c r="Q3175" s="22"/>
      <c r="R3175" s="22"/>
      <c r="S3175" s="22"/>
      <c r="T3175" s="22"/>
      <c r="U3175" s="22"/>
      <c r="V3175" s="22"/>
      <c r="W3175" s="22"/>
      <c r="X3175" s="22"/>
      <c r="Y3175" s="22"/>
      <c r="Z3175" s="22"/>
      <c r="AA3175" s="22"/>
      <c r="AB3175" s="22"/>
      <c r="AC3175" s="22"/>
      <c r="AD3175" s="22"/>
      <c r="AE3175" s="22"/>
      <c r="AF3175" s="22"/>
      <c r="AG3175" s="22"/>
      <c r="AH3175" s="22"/>
      <c r="AI3175" s="22"/>
      <c r="AJ3175" s="22"/>
    </row>
    <row r="3176" spans="1:36" x14ac:dyDescent="0.25">
      <c r="A3176" s="22" t="s">
        <v>5445</v>
      </c>
      <c r="B3176" s="22">
        <v>0</v>
      </c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  <c r="M3176" s="22"/>
      <c r="N3176" s="22"/>
      <c r="O3176" s="22"/>
      <c r="P3176" s="22"/>
      <c r="Q3176" s="22"/>
      <c r="R3176" s="22"/>
      <c r="S3176" s="22"/>
      <c r="T3176" s="22"/>
      <c r="U3176" s="22"/>
      <c r="V3176" s="22"/>
      <c r="W3176" s="22"/>
      <c r="X3176" s="22"/>
      <c r="Y3176" s="22"/>
      <c r="Z3176" s="22"/>
      <c r="AA3176" s="22"/>
      <c r="AB3176" s="22"/>
      <c r="AC3176" s="22"/>
      <c r="AD3176" s="22"/>
      <c r="AE3176" s="22"/>
      <c r="AF3176" s="22"/>
      <c r="AG3176" s="22"/>
      <c r="AH3176" s="22"/>
      <c r="AI3176" s="22"/>
      <c r="AJ3176" s="22"/>
    </row>
    <row r="3177" spans="1:36" x14ac:dyDescent="0.25">
      <c r="A3177" s="22" t="s">
        <v>5446</v>
      </c>
      <c r="B3177" s="22">
        <v>0</v>
      </c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  <c r="M3177" s="22"/>
      <c r="N3177" s="22"/>
      <c r="O3177" s="22"/>
      <c r="P3177" s="22"/>
      <c r="Q3177" s="22"/>
      <c r="R3177" s="22"/>
      <c r="S3177" s="22"/>
      <c r="T3177" s="22"/>
      <c r="U3177" s="22"/>
      <c r="V3177" s="22"/>
      <c r="W3177" s="22"/>
      <c r="X3177" s="22"/>
      <c r="Y3177" s="22"/>
      <c r="Z3177" s="22"/>
      <c r="AA3177" s="22"/>
      <c r="AB3177" s="22"/>
      <c r="AC3177" s="22"/>
      <c r="AD3177" s="22"/>
      <c r="AE3177" s="22"/>
      <c r="AF3177" s="22"/>
      <c r="AG3177" s="22"/>
      <c r="AH3177" s="22"/>
      <c r="AI3177" s="22"/>
      <c r="AJ3177" s="22"/>
    </row>
    <row r="3178" spans="1:36" x14ac:dyDescent="0.25">
      <c r="A3178" s="22" t="s">
        <v>5447</v>
      </c>
      <c r="B3178" s="22">
        <v>1</v>
      </c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  <c r="M3178" s="22"/>
      <c r="N3178" s="22"/>
      <c r="O3178" s="22"/>
      <c r="P3178" s="22"/>
      <c r="Q3178" s="22"/>
      <c r="R3178" s="22"/>
      <c r="S3178" s="22"/>
      <c r="T3178" s="22"/>
      <c r="U3178" s="22"/>
      <c r="V3178" s="22"/>
      <c r="W3178" s="22"/>
      <c r="X3178" s="22"/>
      <c r="Y3178" s="22"/>
      <c r="Z3178" s="22"/>
      <c r="AA3178" s="22"/>
      <c r="AB3178" s="22"/>
      <c r="AC3178" s="22"/>
      <c r="AD3178" s="22"/>
      <c r="AE3178" s="22"/>
      <c r="AF3178" s="22"/>
      <c r="AG3178" s="22"/>
      <c r="AH3178" s="22"/>
      <c r="AI3178" s="22"/>
      <c r="AJ3178" s="22"/>
    </row>
    <row r="3179" spans="1:36" x14ac:dyDescent="0.25">
      <c r="A3179" s="22" t="s">
        <v>5448</v>
      </c>
      <c r="B3179" s="22">
        <v>0</v>
      </c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  <c r="M3179" s="22"/>
      <c r="N3179" s="22"/>
      <c r="O3179" s="22"/>
      <c r="P3179" s="22"/>
      <c r="Q3179" s="22"/>
      <c r="R3179" s="22"/>
      <c r="S3179" s="22"/>
      <c r="T3179" s="22"/>
      <c r="U3179" s="22"/>
      <c r="V3179" s="22"/>
      <c r="W3179" s="22"/>
      <c r="X3179" s="22"/>
      <c r="Y3179" s="22"/>
      <c r="Z3179" s="22"/>
      <c r="AA3179" s="22"/>
      <c r="AB3179" s="22"/>
      <c r="AC3179" s="22"/>
      <c r="AD3179" s="22"/>
      <c r="AE3179" s="22"/>
      <c r="AF3179" s="22"/>
      <c r="AG3179" s="22"/>
      <c r="AH3179" s="22"/>
      <c r="AI3179" s="22"/>
      <c r="AJ3179" s="22"/>
    </row>
    <row r="3180" spans="1:36" x14ac:dyDescent="0.25">
      <c r="A3180" s="22" t="s">
        <v>5449</v>
      </c>
      <c r="B3180" s="22">
        <v>0</v>
      </c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  <c r="M3180" s="22"/>
      <c r="N3180" s="22"/>
      <c r="O3180" s="22"/>
      <c r="P3180" s="22"/>
      <c r="Q3180" s="22"/>
      <c r="R3180" s="22"/>
      <c r="S3180" s="22"/>
      <c r="T3180" s="22"/>
      <c r="U3180" s="22"/>
      <c r="V3180" s="22"/>
      <c r="W3180" s="22"/>
      <c r="X3180" s="22"/>
      <c r="Y3180" s="22"/>
      <c r="Z3180" s="22"/>
      <c r="AA3180" s="22"/>
      <c r="AB3180" s="22"/>
      <c r="AC3180" s="22"/>
      <c r="AD3180" s="22"/>
      <c r="AE3180" s="22"/>
      <c r="AF3180" s="22"/>
      <c r="AG3180" s="22"/>
      <c r="AH3180" s="22"/>
      <c r="AI3180" s="22"/>
      <c r="AJ3180" s="22"/>
    </row>
    <row r="3181" spans="1:36" x14ac:dyDescent="0.25">
      <c r="A3181" s="22" t="s">
        <v>5450</v>
      </c>
      <c r="B3181" s="22">
        <v>0</v>
      </c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  <c r="M3181" s="22"/>
      <c r="N3181" s="22"/>
      <c r="O3181" s="22"/>
      <c r="P3181" s="22"/>
      <c r="Q3181" s="22"/>
      <c r="R3181" s="22"/>
      <c r="S3181" s="22"/>
      <c r="T3181" s="22"/>
      <c r="U3181" s="22"/>
      <c r="V3181" s="22"/>
      <c r="W3181" s="22"/>
      <c r="X3181" s="22"/>
      <c r="Y3181" s="22"/>
      <c r="Z3181" s="22"/>
      <c r="AA3181" s="22"/>
      <c r="AB3181" s="22"/>
      <c r="AC3181" s="22"/>
      <c r="AD3181" s="22"/>
      <c r="AE3181" s="22"/>
      <c r="AF3181" s="22"/>
      <c r="AG3181" s="22"/>
      <c r="AH3181" s="22"/>
      <c r="AI3181" s="22"/>
      <c r="AJ3181" s="22"/>
    </row>
    <row r="3182" spans="1:36" x14ac:dyDescent="0.25">
      <c r="A3182" s="22" t="s">
        <v>5451</v>
      </c>
      <c r="B3182" s="22">
        <v>746</v>
      </c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  <c r="M3182" s="22"/>
      <c r="N3182" s="22"/>
      <c r="O3182" s="22"/>
      <c r="P3182" s="22"/>
      <c r="Q3182" s="22"/>
      <c r="R3182" s="22"/>
      <c r="S3182" s="22"/>
      <c r="T3182" s="22"/>
      <c r="U3182" s="22"/>
      <c r="V3182" s="22"/>
      <c r="W3182" s="22"/>
      <c r="X3182" s="22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</row>
    <row r="3183" spans="1:36" x14ac:dyDescent="0.25">
      <c r="A3183" s="22" t="s">
        <v>5452</v>
      </c>
      <c r="B3183" s="22">
        <v>0</v>
      </c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  <c r="M3183" s="22"/>
      <c r="N3183" s="22"/>
      <c r="O3183" s="22"/>
      <c r="P3183" s="22"/>
      <c r="Q3183" s="22"/>
      <c r="R3183" s="22"/>
      <c r="S3183" s="22"/>
      <c r="T3183" s="22"/>
      <c r="U3183" s="22"/>
      <c r="V3183" s="22"/>
      <c r="W3183" s="22"/>
      <c r="X3183" s="22"/>
      <c r="Y3183" s="22"/>
      <c r="Z3183" s="22"/>
      <c r="AA3183" s="22"/>
      <c r="AB3183" s="22"/>
      <c r="AC3183" s="22"/>
      <c r="AD3183" s="22"/>
      <c r="AE3183" s="22"/>
      <c r="AF3183" s="22"/>
      <c r="AG3183" s="22"/>
      <c r="AH3183" s="22"/>
      <c r="AI3183" s="22"/>
      <c r="AJ3183" s="22"/>
    </row>
    <row r="3184" spans="1:36" x14ac:dyDescent="0.25">
      <c r="A3184" s="22" t="s">
        <v>5453</v>
      </c>
      <c r="B3184" s="22">
        <v>0</v>
      </c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  <c r="M3184" s="22"/>
      <c r="N3184" s="22"/>
      <c r="O3184" s="22"/>
      <c r="P3184" s="22"/>
      <c r="Q3184" s="22"/>
      <c r="R3184" s="22"/>
      <c r="S3184" s="22"/>
      <c r="T3184" s="22"/>
      <c r="U3184" s="22"/>
      <c r="V3184" s="22"/>
      <c r="W3184" s="22"/>
      <c r="X3184" s="22"/>
      <c r="Y3184" s="22"/>
      <c r="Z3184" s="22"/>
      <c r="AA3184" s="22"/>
      <c r="AB3184" s="22"/>
      <c r="AC3184" s="22"/>
      <c r="AD3184" s="22"/>
      <c r="AE3184" s="22"/>
      <c r="AF3184" s="22"/>
      <c r="AG3184" s="22"/>
      <c r="AH3184" s="22"/>
      <c r="AI3184" s="22"/>
      <c r="AJ3184" s="22"/>
    </row>
    <row r="3185" spans="1:36" x14ac:dyDescent="0.25">
      <c r="A3185" s="22" t="s">
        <v>5454</v>
      </c>
      <c r="B3185" s="22">
        <v>0</v>
      </c>
      <c r="C3185" s="22"/>
      <c r="D3185" s="22"/>
      <c r="E3185" s="22"/>
      <c r="F3185" s="22"/>
      <c r="G3185" s="22"/>
      <c r="H3185" s="22"/>
      <c r="I3185" s="22"/>
      <c r="J3185" s="22"/>
      <c r="K3185" s="22"/>
      <c r="L3185" s="22"/>
      <c r="M3185" s="22"/>
      <c r="N3185" s="22"/>
      <c r="O3185" s="22"/>
      <c r="P3185" s="22"/>
      <c r="Q3185" s="22"/>
      <c r="R3185" s="22"/>
      <c r="S3185" s="22"/>
      <c r="T3185" s="22"/>
      <c r="U3185" s="22"/>
      <c r="V3185" s="22"/>
      <c r="W3185" s="22"/>
      <c r="X3185" s="22"/>
      <c r="Y3185" s="22"/>
      <c r="Z3185" s="22"/>
      <c r="AA3185" s="22"/>
      <c r="AB3185" s="22"/>
      <c r="AC3185" s="22"/>
      <c r="AD3185" s="22"/>
      <c r="AE3185" s="22"/>
      <c r="AF3185" s="22"/>
      <c r="AG3185" s="22"/>
      <c r="AH3185" s="22"/>
      <c r="AI3185" s="22"/>
      <c r="AJ3185" s="22"/>
    </row>
    <row r="3186" spans="1:36" x14ac:dyDescent="0.25">
      <c r="A3186" s="22" t="s">
        <v>5455</v>
      </c>
      <c r="B3186" s="22">
        <v>0</v>
      </c>
      <c r="C3186" s="22"/>
      <c r="D3186" s="22"/>
      <c r="E3186" s="22"/>
      <c r="F3186" s="22"/>
      <c r="G3186" s="22"/>
      <c r="H3186" s="22"/>
      <c r="I3186" s="22"/>
      <c r="J3186" s="22"/>
      <c r="K3186" s="22"/>
      <c r="L3186" s="22"/>
      <c r="M3186" s="22"/>
      <c r="N3186" s="22"/>
      <c r="O3186" s="22"/>
      <c r="P3186" s="22"/>
      <c r="Q3186" s="22"/>
      <c r="R3186" s="22"/>
      <c r="S3186" s="22"/>
      <c r="T3186" s="22"/>
      <c r="U3186" s="22"/>
      <c r="V3186" s="22"/>
      <c r="W3186" s="22"/>
      <c r="X3186" s="22"/>
      <c r="Y3186" s="22"/>
      <c r="Z3186" s="22"/>
      <c r="AA3186" s="22"/>
      <c r="AB3186" s="22"/>
      <c r="AC3186" s="22"/>
      <c r="AD3186" s="22"/>
      <c r="AE3186" s="22"/>
      <c r="AF3186" s="22"/>
      <c r="AG3186" s="22"/>
      <c r="AH3186" s="22"/>
      <c r="AI3186" s="22"/>
      <c r="AJ3186" s="22"/>
    </row>
    <row r="3187" spans="1:36" x14ac:dyDescent="0.25">
      <c r="A3187" s="22" t="s">
        <v>5456</v>
      </c>
      <c r="B3187" s="22">
        <v>0</v>
      </c>
      <c r="C3187" s="22"/>
      <c r="D3187" s="22"/>
      <c r="E3187" s="22"/>
      <c r="F3187" s="22"/>
      <c r="G3187" s="22"/>
      <c r="H3187" s="22"/>
      <c r="I3187" s="22"/>
      <c r="J3187" s="22"/>
      <c r="K3187" s="22"/>
      <c r="L3187" s="22"/>
      <c r="M3187" s="22"/>
      <c r="N3187" s="22"/>
      <c r="O3187" s="22"/>
      <c r="P3187" s="22"/>
      <c r="Q3187" s="22"/>
      <c r="R3187" s="22"/>
      <c r="S3187" s="22"/>
      <c r="T3187" s="22"/>
      <c r="U3187" s="22"/>
      <c r="V3187" s="22"/>
      <c r="W3187" s="22"/>
      <c r="X3187" s="22"/>
      <c r="Y3187" s="22"/>
      <c r="Z3187" s="22"/>
      <c r="AA3187" s="22"/>
      <c r="AB3187" s="22"/>
      <c r="AC3187" s="22"/>
      <c r="AD3187" s="22"/>
      <c r="AE3187" s="22"/>
      <c r="AF3187" s="22"/>
      <c r="AG3187" s="22"/>
      <c r="AH3187" s="22"/>
      <c r="AI3187" s="22"/>
      <c r="AJ3187" s="22"/>
    </row>
    <row r="3188" spans="1:36" x14ac:dyDescent="0.25">
      <c r="A3188" s="22" t="s">
        <v>5457</v>
      </c>
      <c r="B3188" s="22">
        <v>0</v>
      </c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  <c r="M3188" s="22"/>
      <c r="N3188" s="22"/>
      <c r="O3188" s="22"/>
      <c r="P3188" s="22"/>
      <c r="Q3188" s="22"/>
      <c r="R3188" s="22"/>
      <c r="S3188" s="22"/>
      <c r="T3188" s="22"/>
      <c r="U3188" s="22"/>
      <c r="V3188" s="22"/>
      <c r="W3188" s="22"/>
      <c r="X3188" s="22"/>
      <c r="Y3188" s="22"/>
      <c r="Z3188" s="22"/>
      <c r="AA3188" s="22"/>
      <c r="AB3188" s="22"/>
      <c r="AC3188" s="22"/>
      <c r="AD3188" s="22"/>
      <c r="AE3188" s="22"/>
      <c r="AF3188" s="22"/>
      <c r="AG3188" s="22"/>
      <c r="AH3188" s="22"/>
      <c r="AI3188" s="22"/>
      <c r="AJ3188" s="22"/>
    </row>
    <row r="3189" spans="1:36" x14ac:dyDescent="0.25">
      <c r="A3189" s="22" t="s">
        <v>5458</v>
      </c>
      <c r="B3189" s="22">
        <v>0</v>
      </c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  <c r="M3189" s="22"/>
      <c r="N3189" s="22"/>
      <c r="O3189" s="22"/>
      <c r="P3189" s="22"/>
      <c r="Q3189" s="22"/>
      <c r="R3189" s="22"/>
      <c r="S3189" s="22"/>
      <c r="T3189" s="22"/>
      <c r="U3189" s="22"/>
      <c r="V3189" s="22"/>
      <c r="W3189" s="22"/>
      <c r="X3189" s="22"/>
      <c r="Y3189" s="22"/>
      <c r="Z3189" s="22"/>
      <c r="AA3189" s="22"/>
      <c r="AB3189" s="22"/>
      <c r="AC3189" s="22"/>
      <c r="AD3189" s="22"/>
      <c r="AE3189" s="22"/>
      <c r="AF3189" s="22"/>
      <c r="AG3189" s="22"/>
      <c r="AH3189" s="22"/>
      <c r="AI3189" s="22"/>
      <c r="AJ3189" s="22"/>
    </row>
    <row r="3190" spans="1:36" x14ac:dyDescent="0.25">
      <c r="A3190" s="22" t="s">
        <v>692</v>
      </c>
      <c r="B3190" s="22">
        <v>289</v>
      </c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  <c r="M3190" s="22"/>
      <c r="N3190" s="22"/>
      <c r="O3190" s="22"/>
      <c r="P3190" s="22"/>
      <c r="Q3190" s="22"/>
      <c r="R3190" s="22"/>
      <c r="S3190" s="22"/>
      <c r="T3190" s="22"/>
      <c r="U3190" s="22"/>
      <c r="V3190" s="22"/>
      <c r="W3190" s="22"/>
      <c r="X3190" s="22"/>
      <c r="Y3190" s="22"/>
      <c r="Z3190" s="22"/>
      <c r="AA3190" s="22"/>
      <c r="AB3190" s="22"/>
      <c r="AC3190" s="22"/>
      <c r="AD3190" s="22"/>
      <c r="AE3190" s="22"/>
      <c r="AF3190" s="22"/>
      <c r="AG3190" s="22"/>
      <c r="AH3190" s="22"/>
      <c r="AI3190" s="22"/>
      <c r="AJ3190" s="22"/>
    </row>
    <row r="3191" spans="1:36" x14ac:dyDescent="0.25">
      <c r="A3191" s="22" t="s">
        <v>3761</v>
      </c>
      <c r="B3191" s="22">
        <v>0</v>
      </c>
      <c r="C3191" s="22"/>
      <c r="D3191" s="22"/>
      <c r="E3191" s="22"/>
      <c r="F3191" s="22"/>
      <c r="G3191" s="22"/>
      <c r="H3191" s="22"/>
      <c r="I3191" s="22"/>
      <c r="J3191" s="22"/>
      <c r="K3191" s="22"/>
      <c r="L3191" s="22"/>
      <c r="M3191" s="22"/>
      <c r="N3191" s="22"/>
      <c r="O3191" s="22"/>
      <c r="P3191" s="22"/>
      <c r="Q3191" s="22"/>
      <c r="R3191" s="22"/>
      <c r="S3191" s="22"/>
      <c r="T3191" s="22"/>
      <c r="U3191" s="22"/>
      <c r="V3191" s="22"/>
      <c r="W3191" s="22"/>
      <c r="X3191" s="22"/>
      <c r="AI3191" s="22"/>
      <c r="AJ3191" s="22"/>
    </row>
    <row r="3192" spans="1:36" x14ac:dyDescent="0.25">
      <c r="A3192" s="22" t="s">
        <v>3762</v>
      </c>
      <c r="B3192" s="22">
        <v>0</v>
      </c>
      <c r="C3192" s="22"/>
      <c r="D3192" s="22"/>
      <c r="E3192" s="22"/>
      <c r="F3192" s="22"/>
      <c r="G3192" s="22"/>
      <c r="H3192" s="22"/>
      <c r="I3192" s="22"/>
      <c r="J3192" s="22"/>
      <c r="K3192" s="22"/>
      <c r="L3192" s="22"/>
      <c r="M3192" s="22"/>
      <c r="N3192" s="22"/>
      <c r="O3192" s="22"/>
      <c r="P3192" s="22"/>
      <c r="Q3192" s="22"/>
      <c r="R3192" s="22"/>
      <c r="S3192" s="22"/>
      <c r="T3192" s="22"/>
      <c r="U3192" s="22"/>
      <c r="V3192" s="22"/>
      <c r="W3192" s="22"/>
      <c r="X3192" s="22"/>
      <c r="AI3192" s="22"/>
      <c r="AJ3192" s="22"/>
    </row>
    <row r="3193" spans="1:36" x14ac:dyDescent="0.25">
      <c r="A3193" s="22" t="s">
        <v>3763</v>
      </c>
      <c r="B3193" s="22">
        <v>0</v>
      </c>
      <c r="C3193" s="22"/>
      <c r="D3193" s="22"/>
      <c r="E3193" s="22"/>
      <c r="F3193" s="22"/>
      <c r="G3193" s="22"/>
      <c r="H3193" s="22"/>
      <c r="I3193" s="22"/>
      <c r="J3193" s="22"/>
      <c r="K3193" s="22"/>
      <c r="L3193" s="22"/>
      <c r="M3193" s="22"/>
      <c r="N3193" s="22"/>
      <c r="O3193" s="22"/>
      <c r="P3193" s="22"/>
      <c r="Q3193" s="22"/>
      <c r="R3193" s="22"/>
      <c r="S3193" s="22"/>
      <c r="T3193" s="22"/>
      <c r="U3193" s="22"/>
      <c r="V3193" s="22"/>
      <c r="W3193" s="22"/>
      <c r="X3193" s="22"/>
      <c r="AI3193" s="22"/>
      <c r="AJ3193" s="22"/>
    </row>
    <row r="3194" spans="1:36" x14ac:dyDescent="0.25">
      <c r="A3194" s="22" t="s">
        <v>3764</v>
      </c>
      <c r="B3194" s="22">
        <v>0</v>
      </c>
      <c r="C3194" s="22"/>
      <c r="D3194" s="22"/>
      <c r="E3194" s="22"/>
      <c r="F3194" s="22"/>
      <c r="G3194" s="22"/>
      <c r="H3194" s="22"/>
      <c r="I3194" s="22"/>
      <c r="J3194" s="22"/>
      <c r="K3194" s="22"/>
      <c r="L3194" s="22"/>
      <c r="M3194" s="22"/>
      <c r="N3194" s="22"/>
      <c r="O3194" s="22"/>
      <c r="P3194" s="22"/>
      <c r="Q3194" s="22"/>
      <c r="R3194" s="22"/>
      <c r="S3194" s="22"/>
      <c r="T3194" s="22"/>
      <c r="U3194" s="22"/>
      <c r="V3194" s="22"/>
      <c r="W3194" s="22"/>
      <c r="X3194" s="22"/>
      <c r="AI3194" s="22"/>
      <c r="AJ3194" s="22"/>
    </row>
    <row r="3195" spans="1:36" x14ac:dyDescent="0.25">
      <c r="A3195" s="22" t="s">
        <v>3765</v>
      </c>
      <c r="B3195" s="22">
        <v>0</v>
      </c>
      <c r="C3195" s="22"/>
      <c r="D3195" s="22"/>
      <c r="E3195" s="22"/>
      <c r="F3195" s="22"/>
      <c r="G3195" s="22"/>
      <c r="H3195" s="22"/>
      <c r="I3195" s="22"/>
      <c r="J3195" s="22"/>
      <c r="K3195" s="22"/>
      <c r="L3195" s="22"/>
      <c r="M3195" s="22"/>
      <c r="N3195" s="22"/>
      <c r="O3195" s="22"/>
      <c r="P3195" s="22"/>
      <c r="Q3195" s="22"/>
      <c r="R3195" s="22"/>
      <c r="S3195" s="22"/>
      <c r="T3195" s="22"/>
      <c r="U3195" s="22"/>
      <c r="V3195" s="22"/>
      <c r="W3195" s="22"/>
      <c r="X3195" s="22"/>
      <c r="AI3195" s="22"/>
      <c r="AJ3195" s="22"/>
    </row>
    <row r="3196" spans="1:36" x14ac:dyDescent="0.25">
      <c r="A3196" s="22" t="s">
        <v>3766</v>
      </c>
      <c r="B3196" s="22">
        <v>0</v>
      </c>
      <c r="C3196" s="22"/>
      <c r="D3196" s="22"/>
      <c r="E3196" s="22"/>
      <c r="F3196" s="22"/>
      <c r="G3196" s="22"/>
      <c r="H3196" s="22"/>
      <c r="I3196" s="22"/>
      <c r="J3196" s="22"/>
      <c r="K3196" s="22"/>
      <c r="L3196" s="22"/>
      <c r="M3196" s="22"/>
      <c r="N3196" s="22"/>
      <c r="O3196" s="22"/>
      <c r="P3196" s="22"/>
      <c r="Q3196" s="22"/>
      <c r="R3196" s="22"/>
      <c r="S3196" s="22"/>
      <c r="T3196" s="22"/>
      <c r="U3196" s="22"/>
      <c r="V3196" s="22"/>
      <c r="W3196" s="22"/>
      <c r="X3196" s="22"/>
      <c r="AI3196" s="22"/>
      <c r="AJ3196" s="22"/>
    </row>
    <row r="3197" spans="1:36" x14ac:dyDescent="0.25">
      <c r="A3197" s="22" t="s">
        <v>3767</v>
      </c>
      <c r="B3197" s="22">
        <v>0</v>
      </c>
      <c r="C3197" s="22"/>
      <c r="D3197" s="22"/>
      <c r="E3197" s="22"/>
      <c r="F3197" s="22"/>
      <c r="G3197" s="22"/>
      <c r="H3197" s="22"/>
      <c r="I3197" s="22"/>
      <c r="J3197" s="22"/>
      <c r="K3197" s="22"/>
      <c r="L3197" s="22"/>
      <c r="M3197" s="22"/>
      <c r="N3197" s="22"/>
      <c r="O3197" s="22"/>
      <c r="P3197" s="22"/>
      <c r="Q3197" s="22"/>
      <c r="R3197" s="22"/>
      <c r="S3197" s="22"/>
      <c r="T3197" s="22"/>
      <c r="U3197" s="22"/>
      <c r="V3197" s="22"/>
      <c r="W3197" s="22"/>
      <c r="X3197" s="22"/>
      <c r="AI3197" s="22"/>
      <c r="AJ3197" s="22"/>
    </row>
    <row r="3198" spans="1:36" x14ac:dyDescent="0.25">
      <c r="A3198" s="22" t="s">
        <v>694</v>
      </c>
      <c r="B3198" s="22">
        <v>89</v>
      </c>
      <c r="C3198" s="22"/>
      <c r="D3198" s="22"/>
      <c r="E3198" s="22"/>
      <c r="F3198" s="22"/>
      <c r="G3198" s="22"/>
      <c r="H3198" s="22"/>
      <c r="I3198" s="22"/>
      <c r="J3198" s="22"/>
      <c r="K3198" s="22"/>
      <c r="L3198" s="22"/>
      <c r="M3198" s="22"/>
      <c r="N3198" s="22"/>
      <c r="O3198" s="22"/>
      <c r="P3198" s="22"/>
      <c r="Q3198" s="22"/>
      <c r="R3198" s="22"/>
      <c r="S3198" s="22"/>
      <c r="T3198" s="22"/>
      <c r="U3198" s="22"/>
      <c r="V3198" s="22"/>
      <c r="W3198" s="22"/>
      <c r="X3198" s="22"/>
      <c r="AI3198" s="22"/>
      <c r="AJ3198" s="22"/>
    </row>
    <row r="3199" spans="1:36" x14ac:dyDescent="0.25">
      <c r="A3199" s="22" t="s">
        <v>5459</v>
      </c>
      <c r="B3199" s="22">
        <v>0</v>
      </c>
      <c r="C3199" s="22"/>
      <c r="D3199" s="22"/>
      <c r="E3199" s="22"/>
      <c r="F3199" s="22"/>
      <c r="G3199" s="22"/>
      <c r="H3199" s="22"/>
      <c r="I3199" s="22"/>
      <c r="J3199" s="22"/>
      <c r="K3199" s="22"/>
      <c r="L3199" s="22"/>
      <c r="M3199" s="22"/>
      <c r="N3199" s="22"/>
      <c r="O3199" s="22"/>
      <c r="P3199" s="22"/>
      <c r="Q3199" s="22"/>
      <c r="R3199" s="22"/>
      <c r="S3199" s="22"/>
      <c r="T3199" s="22"/>
      <c r="U3199" s="22"/>
      <c r="V3199" s="22"/>
      <c r="W3199" s="22"/>
      <c r="X3199" s="22"/>
    </row>
    <row r="3200" spans="1:36" x14ac:dyDescent="0.25">
      <c r="A3200" s="22" t="s">
        <v>5460</v>
      </c>
      <c r="B3200" s="22">
        <v>0</v>
      </c>
      <c r="C3200" s="22"/>
      <c r="D3200" s="22"/>
      <c r="E3200" s="22"/>
      <c r="F3200" s="22"/>
      <c r="G3200" s="22"/>
      <c r="H3200" s="22"/>
      <c r="I3200" s="22"/>
      <c r="J3200" s="22"/>
      <c r="K3200" s="22"/>
      <c r="L3200" s="22"/>
      <c r="M3200" s="22"/>
      <c r="N3200" s="22"/>
      <c r="O3200" s="22"/>
      <c r="P3200" s="22"/>
      <c r="Q3200" s="22"/>
      <c r="R3200" s="22"/>
      <c r="S3200" s="22"/>
      <c r="T3200" s="22"/>
      <c r="U3200" s="22"/>
      <c r="V3200" s="22"/>
      <c r="W3200" s="22"/>
      <c r="X3200" s="22"/>
    </row>
    <row r="3201" spans="1:24" x14ac:dyDescent="0.25">
      <c r="A3201" s="22" t="s">
        <v>5461</v>
      </c>
      <c r="B3201" s="22">
        <v>0</v>
      </c>
      <c r="C3201" s="22"/>
      <c r="D3201" s="22"/>
      <c r="E3201" s="22"/>
      <c r="F3201" s="22"/>
      <c r="G3201" s="22"/>
      <c r="H3201" s="22"/>
      <c r="I3201" s="22"/>
      <c r="J3201" s="22"/>
      <c r="K3201" s="22"/>
      <c r="L3201" s="22"/>
      <c r="M3201" s="22"/>
      <c r="N3201" s="22"/>
      <c r="O3201" s="22"/>
      <c r="P3201" s="22"/>
      <c r="Q3201" s="22"/>
      <c r="R3201" s="22"/>
      <c r="S3201" s="22"/>
      <c r="T3201" s="22"/>
      <c r="U3201" s="22"/>
      <c r="V3201" s="22"/>
      <c r="W3201" s="22"/>
      <c r="X3201" s="22"/>
    </row>
    <row r="3202" spans="1:24" x14ac:dyDescent="0.25">
      <c r="A3202" s="22" t="s">
        <v>5462</v>
      </c>
      <c r="B3202" s="22">
        <v>3</v>
      </c>
      <c r="C3202" s="22"/>
      <c r="D3202" s="22"/>
      <c r="E3202" s="22"/>
      <c r="F3202" s="22"/>
      <c r="G3202" s="22"/>
      <c r="H3202" s="22"/>
      <c r="I3202" s="22"/>
      <c r="J3202" s="22"/>
      <c r="K3202" s="22"/>
      <c r="L3202" s="22"/>
      <c r="M3202" s="22"/>
      <c r="N3202" s="22"/>
      <c r="O3202" s="22"/>
      <c r="P3202" s="22"/>
      <c r="Q3202" s="22"/>
      <c r="R3202" s="22"/>
      <c r="S3202" s="22"/>
      <c r="T3202" s="22"/>
      <c r="U3202" s="22"/>
      <c r="V3202" s="22"/>
      <c r="W3202" s="22"/>
      <c r="X3202" s="22"/>
    </row>
    <row r="3203" spans="1:24" x14ac:dyDescent="0.25">
      <c r="A3203" s="22" t="s">
        <v>5463</v>
      </c>
      <c r="B3203" s="22">
        <v>0</v>
      </c>
      <c r="C3203" s="22"/>
      <c r="D3203" s="22"/>
      <c r="E3203" s="22"/>
      <c r="F3203" s="22"/>
      <c r="G3203" s="22"/>
      <c r="H3203" s="22"/>
      <c r="I3203" s="22"/>
      <c r="J3203" s="22"/>
      <c r="K3203" s="22"/>
      <c r="L3203" s="22"/>
      <c r="M3203" s="22"/>
      <c r="N3203" s="22"/>
      <c r="O3203" s="22"/>
      <c r="P3203" s="22"/>
      <c r="Q3203" s="22"/>
      <c r="R3203" s="22"/>
      <c r="S3203" s="22"/>
      <c r="T3203" s="22"/>
      <c r="U3203" s="22"/>
      <c r="V3203" s="22"/>
      <c r="W3203" s="22"/>
      <c r="X3203" s="22"/>
    </row>
    <row r="3204" spans="1:24" x14ac:dyDescent="0.25">
      <c r="A3204" s="22" t="s">
        <v>5464</v>
      </c>
      <c r="B3204" s="22">
        <v>0</v>
      </c>
      <c r="C3204" s="22"/>
      <c r="D3204" s="22"/>
      <c r="E3204" s="22"/>
      <c r="F3204" s="22"/>
      <c r="G3204" s="22"/>
      <c r="H3204" s="22"/>
      <c r="I3204" s="22"/>
      <c r="J3204" s="22"/>
      <c r="K3204" s="22"/>
      <c r="L3204" s="22"/>
      <c r="M3204" s="22"/>
      <c r="N3204" s="22"/>
      <c r="O3204" s="22"/>
      <c r="P3204" s="22"/>
      <c r="Q3204" s="22"/>
      <c r="R3204" s="22"/>
      <c r="S3204" s="22"/>
      <c r="T3204" s="22"/>
      <c r="U3204" s="22"/>
      <c r="V3204" s="22"/>
      <c r="W3204" s="22"/>
      <c r="X3204" s="22"/>
    </row>
    <row r="3205" spans="1:24" x14ac:dyDescent="0.25">
      <c r="A3205" s="22" t="s">
        <v>5465</v>
      </c>
      <c r="B3205" s="22">
        <v>0</v>
      </c>
      <c r="C3205" s="22"/>
      <c r="D3205" s="22"/>
      <c r="E3205" s="22"/>
      <c r="F3205" s="22"/>
      <c r="G3205" s="22"/>
      <c r="H3205" s="22"/>
      <c r="I3205" s="22"/>
      <c r="J3205" s="22"/>
      <c r="K3205" s="22"/>
      <c r="L3205" s="22"/>
      <c r="M3205" s="22"/>
      <c r="N3205" s="22"/>
      <c r="O3205" s="22"/>
      <c r="P3205" s="22"/>
      <c r="Q3205" s="22"/>
      <c r="R3205" s="22"/>
      <c r="S3205" s="22"/>
      <c r="T3205" s="22"/>
      <c r="U3205" s="22"/>
      <c r="V3205" s="22"/>
      <c r="W3205" s="22"/>
      <c r="X3205" s="22"/>
    </row>
    <row r="3206" spans="1:24" x14ac:dyDescent="0.25">
      <c r="A3206" s="22" t="s">
        <v>696</v>
      </c>
      <c r="B3206" s="22">
        <v>0</v>
      </c>
      <c r="C3206" s="22"/>
      <c r="D3206" s="22"/>
      <c r="E3206" s="22"/>
      <c r="F3206" s="22"/>
      <c r="G3206" s="22"/>
      <c r="H3206" s="22"/>
      <c r="I3206" s="22"/>
      <c r="J3206" s="22"/>
      <c r="K3206" s="22"/>
      <c r="L3206" s="22"/>
      <c r="M3206" s="22"/>
      <c r="N3206" s="22"/>
      <c r="O3206" s="22"/>
      <c r="P3206" s="22"/>
      <c r="Q3206" s="22"/>
      <c r="R3206" s="22"/>
      <c r="S3206" s="22"/>
      <c r="T3206" s="22"/>
      <c r="U3206" s="22"/>
      <c r="V3206" s="22"/>
      <c r="W3206" s="22"/>
      <c r="X3206" s="22"/>
    </row>
    <row r="3207" spans="1:24" x14ac:dyDescent="0.25">
      <c r="A3207" s="22" t="s">
        <v>3768</v>
      </c>
      <c r="B3207" s="22">
        <v>0</v>
      </c>
      <c r="C3207" s="22"/>
      <c r="D3207" s="22"/>
      <c r="E3207" s="22"/>
      <c r="F3207" s="22"/>
      <c r="G3207" s="22"/>
      <c r="H3207" s="22"/>
      <c r="I3207" s="22"/>
      <c r="J3207" s="22"/>
      <c r="K3207" s="22"/>
      <c r="L3207" s="22"/>
      <c r="M3207" s="22"/>
      <c r="N3207" s="22"/>
      <c r="O3207" s="22"/>
      <c r="P3207" s="22"/>
      <c r="Q3207" s="22"/>
      <c r="R3207" s="22"/>
      <c r="S3207" s="22"/>
      <c r="T3207" s="22"/>
      <c r="U3207" s="22"/>
      <c r="V3207" s="22"/>
      <c r="W3207" s="22"/>
      <c r="X3207" s="22"/>
    </row>
    <row r="3208" spans="1:24" x14ac:dyDescent="0.25">
      <c r="A3208" s="22" t="s">
        <v>3769</v>
      </c>
      <c r="B3208" s="22">
        <v>0</v>
      </c>
      <c r="C3208" s="22"/>
      <c r="D3208" s="22"/>
      <c r="E3208" s="22"/>
      <c r="F3208" s="22"/>
      <c r="G3208" s="22"/>
      <c r="H3208" s="22"/>
      <c r="I3208" s="22"/>
      <c r="J3208" s="22"/>
      <c r="K3208" s="22"/>
      <c r="L3208" s="22"/>
      <c r="M3208" s="22"/>
      <c r="N3208" s="22"/>
      <c r="O3208" s="22"/>
      <c r="P3208" s="22"/>
      <c r="Q3208" s="22"/>
      <c r="R3208" s="22"/>
      <c r="S3208" s="22"/>
      <c r="T3208" s="22"/>
      <c r="U3208" s="22"/>
      <c r="V3208" s="22"/>
      <c r="W3208" s="22"/>
      <c r="X3208" s="22"/>
    </row>
    <row r="3209" spans="1:24" x14ac:dyDescent="0.25">
      <c r="A3209" s="22" t="s">
        <v>3770</v>
      </c>
      <c r="B3209" s="22">
        <v>0</v>
      </c>
      <c r="C3209" s="22"/>
      <c r="D3209" s="22"/>
      <c r="E3209" s="22"/>
      <c r="F3209" s="22"/>
      <c r="G3209" s="22"/>
      <c r="H3209" s="22"/>
      <c r="I3209" s="22"/>
      <c r="J3209" s="22"/>
      <c r="K3209" s="22"/>
      <c r="L3209" s="22"/>
      <c r="M3209" s="22"/>
      <c r="N3209" s="22"/>
      <c r="O3209" s="22"/>
      <c r="P3209" s="22"/>
      <c r="Q3209" s="22"/>
      <c r="R3209" s="22"/>
      <c r="S3209" s="22"/>
      <c r="T3209" s="22"/>
      <c r="U3209" s="22"/>
      <c r="V3209" s="22"/>
      <c r="W3209" s="22"/>
      <c r="X3209" s="22"/>
    </row>
    <row r="3210" spans="1:24" x14ac:dyDescent="0.25">
      <c r="A3210" s="22" t="s">
        <v>3771</v>
      </c>
      <c r="B3210" s="22">
        <v>0</v>
      </c>
      <c r="C3210" s="22"/>
      <c r="D3210" s="22"/>
      <c r="E3210" s="22"/>
      <c r="F3210" s="22"/>
      <c r="G3210" s="22"/>
      <c r="H3210" s="22"/>
      <c r="I3210" s="22"/>
      <c r="J3210" s="22"/>
      <c r="K3210" s="22"/>
      <c r="L3210" s="22"/>
      <c r="M3210" s="22"/>
      <c r="N3210" s="22"/>
      <c r="O3210" s="22"/>
      <c r="P3210" s="22"/>
      <c r="Q3210" s="22"/>
      <c r="R3210" s="22"/>
      <c r="S3210" s="22"/>
      <c r="T3210" s="22"/>
      <c r="U3210" s="22"/>
      <c r="V3210" s="22"/>
      <c r="W3210" s="22"/>
      <c r="X3210" s="22"/>
    </row>
    <row r="3211" spans="1:24" x14ac:dyDescent="0.25">
      <c r="A3211" s="22" t="s">
        <v>3772</v>
      </c>
      <c r="B3211" s="22">
        <v>0</v>
      </c>
      <c r="C3211" s="22"/>
      <c r="D3211" s="22"/>
      <c r="E3211" s="22"/>
      <c r="F3211" s="22"/>
      <c r="G3211" s="22"/>
      <c r="H3211" s="22"/>
      <c r="I3211" s="22"/>
      <c r="J3211" s="22"/>
      <c r="K3211" s="22"/>
      <c r="L3211" s="22"/>
      <c r="M3211" s="22"/>
      <c r="N3211" s="22"/>
      <c r="O3211" s="22"/>
      <c r="P3211" s="22"/>
      <c r="Q3211" s="22"/>
      <c r="R3211" s="22"/>
      <c r="S3211" s="22"/>
      <c r="T3211" s="22"/>
      <c r="U3211" s="22"/>
      <c r="V3211" s="22"/>
      <c r="W3211" s="22"/>
      <c r="X3211" s="22"/>
    </row>
    <row r="3212" spans="1:24" x14ac:dyDescent="0.25">
      <c r="A3212" s="22" t="s">
        <v>3773</v>
      </c>
      <c r="B3212" s="22">
        <v>0</v>
      </c>
      <c r="C3212" s="22"/>
      <c r="D3212" s="22"/>
      <c r="E3212" s="22"/>
      <c r="F3212" s="22"/>
      <c r="G3212" s="22"/>
      <c r="H3212" s="22"/>
      <c r="I3212" s="22"/>
      <c r="J3212" s="22"/>
      <c r="K3212" s="22"/>
      <c r="L3212" s="22"/>
      <c r="M3212" s="22"/>
      <c r="N3212" s="22"/>
      <c r="O3212" s="22"/>
      <c r="P3212" s="22"/>
      <c r="Q3212" s="22"/>
      <c r="R3212" s="22"/>
      <c r="S3212" s="22"/>
      <c r="T3212" s="22"/>
      <c r="U3212" s="22"/>
      <c r="V3212" s="22"/>
      <c r="W3212" s="22"/>
      <c r="X3212" s="22"/>
    </row>
    <row r="3213" spans="1:24" x14ac:dyDescent="0.25">
      <c r="A3213" s="22" t="s">
        <v>3774</v>
      </c>
      <c r="B3213" s="22">
        <v>0</v>
      </c>
      <c r="C3213" s="22"/>
      <c r="D3213" s="22"/>
      <c r="E3213" s="22"/>
      <c r="F3213" s="22"/>
      <c r="G3213" s="22"/>
      <c r="H3213" s="22"/>
      <c r="I3213" s="22"/>
      <c r="J3213" s="22"/>
      <c r="K3213" s="22"/>
      <c r="L3213" s="22"/>
      <c r="M3213" s="22"/>
      <c r="N3213" s="22"/>
      <c r="O3213" s="22"/>
      <c r="P3213" s="22"/>
      <c r="Q3213" s="22"/>
      <c r="R3213" s="22"/>
      <c r="S3213" s="22"/>
      <c r="T3213" s="22"/>
      <c r="U3213" s="22"/>
      <c r="V3213" s="22"/>
      <c r="W3213" s="22"/>
      <c r="X3213" s="22"/>
    </row>
    <row r="3214" spans="1:24" x14ac:dyDescent="0.25">
      <c r="A3214" s="22" t="s">
        <v>698</v>
      </c>
      <c r="B3214" s="22">
        <v>949</v>
      </c>
      <c r="C3214" s="22"/>
      <c r="D3214" s="22"/>
      <c r="E3214" s="22"/>
      <c r="F3214" s="22"/>
      <c r="G3214" s="22"/>
      <c r="H3214" s="22"/>
      <c r="I3214" s="22"/>
      <c r="J3214" s="22"/>
      <c r="K3214" s="22"/>
      <c r="L3214" s="22"/>
      <c r="M3214" s="22"/>
      <c r="N3214" s="22"/>
      <c r="O3214" s="22"/>
      <c r="P3214" s="22"/>
      <c r="Q3214" s="22"/>
      <c r="R3214" s="22"/>
      <c r="S3214" s="22"/>
      <c r="T3214" s="22"/>
      <c r="U3214" s="22"/>
      <c r="V3214" s="22"/>
      <c r="W3214" s="22"/>
      <c r="X3214" s="22"/>
    </row>
    <row r="3215" spans="1:24" x14ac:dyDescent="0.25">
      <c r="A3215" s="22" t="s">
        <v>3775</v>
      </c>
      <c r="B3215" s="22">
        <v>0</v>
      </c>
      <c r="C3215" s="22"/>
      <c r="D3215" s="22"/>
      <c r="E3215" s="22"/>
      <c r="F3215" s="22"/>
      <c r="G3215" s="22"/>
      <c r="H3215" s="22"/>
      <c r="I3215" s="22"/>
      <c r="J3215" s="22"/>
      <c r="K3215" s="22"/>
      <c r="L3215" s="22"/>
      <c r="M3215" s="22"/>
      <c r="N3215" s="22"/>
      <c r="O3215" s="22"/>
      <c r="P3215" s="22"/>
      <c r="Q3215" s="22"/>
      <c r="R3215" s="22"/>
      <c r="S3215" s="22"/>
      <c r="T3215" s="22"/>
      <c r="U3215" s="22"/>
      <c r="V3215" s="22"/>
      <c r="W3215" s="22"/>
      <c r="X3215" s="22"/>
    </row>
    <row r="3216" spans="1:24" x14ac:dyDescent="0.25">
      <c r="A3216" s="22" t="s">
        <v>3776</v>
      </c>
      <c r="B3216" s="22">
        <v>0</v>
      </c>
      <c r="C3216" s="22"/>
      <c r="D3216" s="22"/>
      <c r="E3216" s="22"/>
      <c r="F3216" s="22"/>
      <c r="G3216" s="22"/>
      <c r="H3216" s="22"/>
      <c r="I3216" s="22"/>
      <c r="J3216" s="22"/>
      <c r="K3216" s="22"/>
      <c r="L3216" s="22"/>
      <c r="M3216" s="22"/>
      <c r="N3216" s="22"/>
      <c r="O3216" s="22"/>
      <c r="P3216" s="22"/>
      <c r="Q3216" s="22"/>
      <c r="R3216" s="22"/>
      <c r="S3216" s="22"/>
      <c r="T3216" s="22"/>
      <c r="U3216" s="22"/>
      <c r="V3216" s="22"/>
      <c r="W3216" s="22"/>
      <c r="X3216" s="22"/>
    </row>
    <row r="3217" spans="1:24" x14ac:dyDescent="0.25">
      <c r="A3217" s="22" t="s">
        <v>3777</v>
      </c>
      <c r="B3217" s="22">
        <v>0</v>
      </c>
      <c r="C3217" s="22"/>
      <c r="D3217" s="22"/>
      <c r="E3217" s="22"/>
      <c r="F3217" s="22"/>
      <c r="G3217" s="22"/>
      <c r="H3217" s="22"/>
      <c r="I3217" s="22"/>
      <c r="J3217" s="22"/>
      <c r="K3217" s="22"/>
      <c r="L3217" s="22"/>
      <c r="M3217" s="22"/>
      <c r="N3217" s="22"/>
      <c r="O3217" s="22"/>
      <c r="P3217" s="22"/>
      <c r="Q3217" s="22"/>
      <c r="R3217" s="22"/>
      <c r="S3217" s="22"/>
      <c r="T3217" s="22"/>
      <c r="U3217" s="22"/>
      <c r="V3217" s="22"/>
      <c r="W3217" s="22"/>
      <c r="X3217" s="22"/>
    </row>
    <row r="3218" spans="1:24" x14ac:dyDescent="0.25">
      <c r="A3218" s="22" t="s">
        <v>3778</v>
      </c>
      <c r="B3218" s="22">
        <v>6</v>
      </c>
      <c r="C3218" s="22"/>
      <c r="D3218" s="22"/>
      <c r="E3218" s="22"/>
      <c r="F3218" s="22"/>
      <c r="G3218" s="22"/>
      <c r="H3218" s="22"/>
      <c r="I3218" s="22"/>
      <c r="J3218" s="22"/>
      <c r="K3218" s="22"/>
      <c r="L3218" s="22"/>
      <c r="M3218" s="22"/>
      <c r="N3218" s="22"/>
      <c r="O3218" s="22"/>
      <c r="P3218" s="22"/>
      <c r="Q3218" s="22"/>
      <c r="R3218" s="22"/>
      <c r="S3218" s="22"/>
      <c r="T3218" s="22"/>
      <c r="U3218" s="22"/>
      <c r="V3218" s="22"/>
      <c r="W3218" s="22"/>
      <c r="X3218" s="22"/>
    </row>
    <row r="3219" spans="1:24" x14ac:dyDescent="0.25">
      <c r="A3219" s="22" t="s">
        <v>3779</v>
      </c>
      <c r="B3219" s="22">
        <v>0</v>
      </c>
      <c r="C3219" s="22"/>
      <c r="D3219" s="22"/>
      <c r="E3219" s="22"/>
      <c r="F3219" s="22"/>
      <c r="G3219" s="22"/>
      <c r="H3219" s="22"/>
      <c r="I3219" s="22"/>
      <c r="J3219" s="22"/>
      <c r="K3219" s="22"/>
      <c r="L3219" s="22"/>
      <c r="M3219" s="22"/>
      <c r="N3219" s="22"/>
      <c r="O3219" s="22"/>
      <c r="P3219" s="22"/>
      <c r="Q3219" s="22"/>
      <c r="R3219" s="22"/>
      <c r="S3219" s="22"/>
      <c r="T3219" s="22"/>
      <c r="U3219" s="22"/>
      <c r="V3219" s="22"/>
      <c r="W3219" s="22"/>
      <c r="X3219" s="22"/>
    </row>
    <row r="3220" spans="1:24" x14ac:dyDescent="0.25">
      <c r="A3220" s="22" t="s">
        <v>3780</v>
      </c>
      <c r="B3220" s="22">
        <v>0</v>
      </c>
      <c r="C3220" s="22"/>
      <c r="D3220" s="22"/>
      <c r="E3220" s="22"/>
      <c r="F3220" s="22"/>
      <c r="G3220" s="22"/>
      <c r="H3220" s="22"/>
      <c r="I3220" s="22"/>
      <c r="J3220" s="22"/>
      <c r="K3220" s="22"/>
      <c r="L3220" s="22"/>
      <c r="M3220" s="22"/>
      <c r="N3220" s="22"/>
      <c r="O3220" s="22"/>
      <c r="P3220" s="22"/>
      <c r="Q3220" s="22"/>
      <c r="R3220" s="22"/>
      <c r="S3220" s="22"/>
      <c r="T3220" s="22"/>
      <c r="U3220" s="22"/>
      <c r="V3220" s="22"/>
      <c r="W3220" s="22"/>
      <c r="X3220" s="22"/>
    </row>
    <row r="3221" spans="1:24" x14ac:dyDescent="0.25">
      <c r="A3221" s="22" t="s">
        <v>3781</v>
      </c>
      <c r="B3221" s="22">
        <v>0</v>
      </c>
      <c r="C3221" s="22"/>
      <c r="D3221" s="22"/>
      <c r="E3221" s="22"/>
      <c r="F3221" s="22"/>
      <c r="G3221" s="22"/>
      <c r="H3221" s="22"/>
      <c r="I3221" s="22"/>
      <c r="J3221" s="22"/>
      <c r="K3221" s="22"/>
      <c r="L3221" s="22"/>
      <c r="M3221" s="22"/>
      <c r="N3221" s="22"/>
      <c r="O3221" s="22"/>
      <c r="P3221" s="22"/>
      <c r="Q3221" s="22"/>
      <c r="R3221" s="22"/>
      <c r="S3221" s="22"/>
      <c r="T3221" s="22"/>
      <c r="U3221" s="22"/>
      <c r="V3221" s="22"/>
      <c r="W3221" s="22"/>
      <c r="X3221" s="22"/>
    </row>
    <row r="3222" spans="1:24" x14ac:dyDescent="0.25">
      <c r="A3222" s="22" t="s">
        <v>5466</v>
      </c>
      <c r="B3222" s="22">
        <v>0</v>
      </c>
      <c r="C3222" s="22"/>
      <c r="D3222" s="22"/>
      <c r="E3222" s="22"/>
      <c r="F3222" s="22"/>
      <c r="G3222" s="22"/>
      <c r="H3222" s="22"/>
      <c r="I3222" s="22"/>
      <c r="J3222" s="22"/>
      <c r="K3222" s="22"/>
      <c r="L3222" s="22"/>
      <c r="M3222" s="22"/>
      <c r="N3222" s="22"/>
      <c r="O3222" s="22"/>
      <c r="P3222" s="22"/>
      <c r="Q3222" s="22"/>
      <c r="R3222" s="22"/>
      <c r="S3222" s="22"/>
      <c r="T3222" s="22"/>
      <c r="U3222" s="22"/>
      <c r="V3222" s="22"/>
      <c r="W3222" s="22"/>
      <c r="X3222" s="22"/>
    </row>
    <row r="3223" spans="1:24" x14ac:dyDescent="0.25">
      <c r="A3223" s="22" t="s">
        <v>5467</v>
      </c>
      <c r="B3223" s="22">
        <v>0</v>
      </c>
      <c r="C3223" s="22"/>
      <c r="D3223" s="22"/>
      <c r="E3223" s="22"/>
      <c r="F3223" s="22"/>
      <c r="G3223" s="22"/>
      <c r="H3223" s="22"/>
      <c r="I3223" s="22"/>
      <c r="J3223" s="22"/>
      <c r="K3223" s="22"/>
      <c r="L3223" s="22"/>
      <c r="M3223" s="22"/>
      <c r="N3223" s="22"/>
      <c r="O3223" s="22"/>
      <c r="P3223" s="22"/>
      <c r="Q3223" s="22"/>
      <c r="R3223" s="22"/>
      <c r="S3223" s="22"/>
      <c r="T3223" s="22"/>
      <c r="U3223" s="22"/>
      <c r="V3223" s="22"/>
      <c r="W3223" s="22"/>
      <c r="X3223" s="22"/>
    </row>
    <row r="3224" spans="1:24" x14ac:dyDescent="0.25">
      <c r="A3224" s="22" t="s">
        <v>5468</v>
      </c>
      <c r="B3224" s="22">
        <v>0</v>
      </c>
      <c r="C3224" s="22"/>
      <c r="D3224" s="22"/>
      <c r="E3224" s="22"/>
      <c r="F3224" s="22"/>
      <c r="G3224" s="22"/>
      <c r="H3224" s="22"/>
      <c r="I3224" s="22"/>
      <c r="J3224" s="22"/>
      <c r="K3224" s="22"/>
      <c r="L3224" s="22"/>
      <c r="M3224" s="22"/>
      <c r="N3224" s="22"/>
      <c r="O3224" s="22"/>
      <c r="P3224" s="22"/>
      <c r="Q3224" s="22"/>
      <c r="R3224" s="22"/>
      <c r="S3224" s="22"/>
      <c r="T3224" s="22"/>
      <c r="U3224" s="22"/>
      <c r="V3224" s="22"/>
      <c r="W3224" s="22"/>
      <c r="X3224" s="22"/>
    </row>
    <row r="3225" spans="1:24" x14ac:dyDescent="0.25">
      <c r="A3225" s="22" t="s">
        <v>5469</v>
      </c>
      <c r="B3225" s="22">
        <v>0</v>
      </c>
      <c r="C3225" s="22"/>
      <c r="D3225" s="22"/>
      <c r="E3225" s="22"/>
      <c r="F3225" s="22"/>
      <c r="G3225" s="22"/>
      <c r="H3225" s="22"/>
      <c r="I3225" s="22"/>
      <c r="J3225" s="22"/>
      <c r="K3225" s="22"/>
      <c r="L3225" s="22"/>
      <c r="M3225" s="22"/>
      <c r="N3225" s="22"/>
      <c r="O3225" s="22"/>
      <c r="P3225" s="22"/>
      <c r="Q3225" s="22"/>
      <c r="R3225" s="22"/>
      <c r="S3225" s="22"/>
      <c r="T3225" s="22"/>
      <c r="U3225" s="22"/>
      <c r="V3225" s="22"/>
      <c r="W3225" s="22"/>
      <c r="X3225" s="22"/>
    </row>
    <row r="3226" spans="1:24" x14ac:dyDescent="0.25">
      <c r="A3226" s="22" t="s">
        <v>5470</v>
      </c>
      <c r="B3226" s="22">
        <v>0</v>
      </c>
      <c r="C3226" s="22"/>
      <c r="D3226" s="22"/>
      <c r="E3226" s="22"/>
      <c r="F3226" s="22"/>
      <c r="G3226" s="22"/>
      <c r="H3226" s="22"/>
      <c r="I3226" s="22"/>
      <c r="J3226" s="22"/>
      <c r="K3226" s="22"/>
      <c r="L3226" s="22"/>
      <c r="M3226" s="22"/>
      <c r="N3226" s="22"/>
      <c r="O3226" s="22"/>
      <c r="P3226" s="22"/>
      <c r="Q3226" s="22"/>
      <c r="R3226" s="22"/>
      <c r="S3226" s="22"/>
      <c r="T3226" s="22"/>
      <c r="U3226" s="22"/>
      <c r="V3226" s="22"/>
      <c r="W3226" s="22"/>
      <c r="X3226" s="22"/>
    </row>
    <row r="3227" spans="1:24" x14ac:dyDescent="0.25">
      <c r="A3227" s="22" t="s">
        <v>5471</v>
      </c>
      <c r="B3227" s="22">
        <v>0</v>
      </c>
      <c r="C3227" s="22"/>
      <c r="D3227" s="22"/>
      <c r="E3227" s="22"/>
      <c r="F3227" s="22"/>
      <c r="G3227" s="22"/>
      <c r="H3227" s="22"/>
      <c r="I3227" s="22"/>
      <c r="J3227" s="22"/>
      <c r="K3227" s="22"/>
      <c r="L3227" s="22"/>
      <c r="M3227" s="22"/>
      <c r="N3227" s="22"/>
      <c r="O3227" s="22"/>
      <c r="P3227" s="22"/>
      <c r="Q3227" s="22"/>
      <c r="R3227" s="22"/>
      <c r="S3227" s="22"/>
      <c r="T3227" s="22"/>
      <c r="U3227" s="22"/>
      <c r="V3227" s="22"/>
      <c r="W3227" s="22"/>
      <c r="X3227" s="22"/>
    </row>
    <row r="3228" spans="1:24" x14ac:dyDescent="0.25">
      <c r="A3228" s="22" t="s">
        <v>5472</v>
      </c>
      <c r="B3228" s="22">
        <v>0</v>
      </c>
      <c r="C3228" s="22"/>
      <c r="D3228" s="22"/>
      <c r="E3228" s="22"/>
      <c r="F3228" s="22"/>
      <c r="G3228" s="22"/>
      <c r="H3228" s="22"/>
      <c r="I3228" s="22"/>
      <c r="J3228" s="22"/>
      <c r="K3228" s="22"/>
      <c r="L3228" s="22"/>
      <c r="M3228" s="22"/>
      <c r="N3228" s="22"/>
      <c r="O3228" s="22"/>
      <c r="P3228" s="22"/>
      <c r="Q3228" s="22"/>
      <c r="R3228" s="22"/>
      <c r="S3228" s="22"/>
      <c r="T3228" s="22"/>
      <c r="U3228" s="22"/>
      <c r="V3228" s="22"/>
      <c r="W3228" s="22"/>
      <c r="X3228" s="22"/>
    </row>
    <row r="3229" spans="1:24" x14ac:dyDescent="0.25">
      <c r="A3229" s="22" t="s">
        <v>5473</v>
      </c>
      <c r="B3229" s="22">
        <v>0</v>
      </c>
      <c r="C3229" s="22"/>
      <c r="D3229" s="22"/>
      <c r="E3229" s="22"/>
      <c r="F3229" s="22"/>
      <c r="G3229" s="22"/>
      <c r="H3229" s="22"/>
      <c r="I3229" s="22"/>
      <c r="J3229" s="22"/>
      <c r="K3229" s="22"/>
      <c r="L3229" s="22"/>
      <c r="M3229" s="22"/>
      <c r="N3229" s="22"/>
      <c r="O3229" s="22"/>
      <c r="P3229" s="22"/>
      <c r="Q3229" s="22"/>
      <c r="R3229" s="22"/>
      <c r="S3229" s="22"/>
      <c r="T3229" s="22"/>
      <c r="U3229" s="22"/>
      <c r="V3229" s="22"/>
      <c r="W3229" s="22"/>
      <c r="X3229" s="22"/>
    </row>
    <row r="3230" spans="1:24" x14ac:dyDescent="0.25">
      <c r="A3230" s="22" t="s">
        <v>5474</v>
      </c>
      <c r="B3230" s="22">
        <v>427</v>
      </c>
      <c r="C3230" s="22"/>
      <c r="D3230" s="22"/>
      <c r="E3230" s="22"/>
      <c r="F3230" s="22"/>
      <c r="G3230" s="22"/>
      <c r="H3230" s="22"/>
      <c r="I3230" s="22"/>
      <c r="J3230" s="22"/>
      <c r="K3230" s="22"/>
      <c r="L3230" s="22"/>
      <c r="M3230" s="22"/>
      <c r="N3230" s="22"/>
      <c r="O3230" s="22"/>
      <c r="P3230" s="22"/>
      <c r="Q3230" s="22"/>
      <c r="R3230" s="22"/>
      <c r="S3230" s="22"/>
      <c r="T3230" s="22"/>
      <c r="U3230" s="22"/>
      <c r="V3230" s="22"/>
      <c r="W3230" s="22"/>
      <c r="X3230" s="22"/>
    </row>
    <row r="3231" spans="1:24" x14ac:dyDescent="0.25">
      <c r="A3231" s="22" t="s">
        <v>5475</v>
      </c>
      <c r="B3231" s="22">
        <v>0</v>
      </c>
      <c r="C3231" s="22"/>
      <c r="D3231" s="22"/>
      <c r="E3231" s="22"/>
      <c r="F3231" s="22"/>
      <c r="G3231" s="22"/>
      <c r="H3231" s="22"/>
      <c r="I3231" s="22"/>
      <c r="J3231" s="22"/>
      <c r="K3231" s="22"/>
      <c r="L3231" s="22"/>
      <c r="M3231" s="22"/>
      <c r="N3231" s="22"/>
      <c r="O3231" s="22"/>
      <c r="P3231" s="22"/>
      <c r="Q3231" s="22"/>
      <c r="R3231" s="22"/>
      <c r="S3231" s="22"/>
      <c r="T3231" s="22"/>
      <c r="U3231" s="22"/>
      <c r="V3231" s="22"/>
      <c r="W3231" s="22"/>
      <c r="X3231" s="22"/>
    </row>
    <row r="3232" spans="1:24" x14ac:dyDescent="0.25">
      <c r="A3232" s="22" t="s">
        <v>5476</v>
      </c>
      <c r="B3232" s="22">
        <v>0</v>
      </c>
      <c r="C3232" s="22"/>
      <c r="D3232" s="22"/>
      <c r="E3232" s="22"/>
      <c r="F3232" s="22"/>
      <c r="G3232" s="22"/>
      <c r="H3232" s="22"/>
      <c r="I3232" s="22"/>
      <c r="J3232" s="22"/>
      <c r="K3232" s="22"/>
      <c r="L3232" s="22"/>
      <c r="M3232" s="22"/>
      <c r="N3232" s="22"/>
      <c r="O3232" s="22"/>
      <c r="P3232" s="22"/>
      <c r="Q3232" s="22"/>
      <c r="R3232" s="22"/>
      <c r="S3232" s="22"/>
      <c r="T3232" s="22"/>
      <c r="U3232" s="22"/>
      <c r="V3232" s="22"/>
      <c r="W3232" s="22"/>
      <c r="X3232" s="22"/>
    </row>
    <row r="3233" spans="1:24" x14ac:dyDescent="0.25">
      <c r="A3233" s="22" t="s">
        <v>5477</v>
      </c>
      <c r="B3233" s="22">
        <v>0</v>
      </c>
      <c r="C3233" s="22"/>
      <c r="D3233" s="22"/>
      <c r="E3233" s="22"/>
      <c r="F3233" s="22"/>
      <c r="G3233" s="22"/>
      <c r="H3233" s="22"/>
      <c r="I3233" s="22"/>
      <c r="J3233" s="22"/>
      <c r="K3233" s="22"/>
      <c r="L3233" s="22"/>
      <c r="M3233" s="22"/>
      <c r="N3233" s="22"/>
      <c r="O3233" s="22"/>
      <c r="P3233" s="22"/>
      <c r="Q3233" s="22"/>
      <c r="R3233" s="22"/>
      <c r="S3233" s="22"/>
      <c r="T3233" s="22"/>
      <c r="U3233" s="22"/>
      <c r="V3233" s="22"/>
      <c r="W3233" s="22"/>
      <c r="X3233" s="22"/>
    </row>
    <row r="3234" spans="1:24" x14ac:dyDescent="0.25">
      <c r="A3234" s="22" t="s">
        <v>5478</v>
      </c>
      <c r="B3234" s="22">
        <v>0</v>
      </c>
      <c r="C3234" s="22"/>
      <c r="D3234" s="22"/>
      <c r="E3234" s="22"/>
      <c r="F3234" s="22"/>
      <c r="G3234" s="22"/>
      <c r="H3234" s="22"/>
      <c r="I3234" s="22"/>
      <c r="J3234" s="22"/>
      <c r="K3234" s="22"/>
      <c r="L3234" s="22"/>
      <c r="M3234" s="22"/>
      <c r="N3234" s="22"/>
      <c r="O3234" s="22"/>
      <c r="P3234" s="22"/>
      <c r="Q3234" s="22"/>
      <c r="R3234" s="22"/>
      <c r="S3234" s="22"/>
      <c r="T3234" s="22"/>
      <c r="U3234" s="22"/>
      <c r="V3234" s="22"/>
      <c r="W3234" s="22"/>
      <c r="X3234" s="22"/>
    </row>
    <row r="3235" spans="1:24" x14ac:dyDescent="0.25">
      <c r="A3235" s="22" t="s">
        <v>5479</v>
      </c>
      <c r="B3235" s="22">
        <v>0</v>
      </c>
      <c r="C3235" s="22"/>
      <c r="D3235" s="22"/>
      <c r="E3235" s="22"/>
      <c r="F3235" s="22"/>
      <c r="G3235" s="22"/>
      <c r="H3235" s="22"/>
      <c r="I3235" s="22"/>
      <c r="J3235" s="22"/>
      <c r="K3235" s="22"/>
      <c r="L3235" s="22"/>
      <c r="M3235" s="22"/>
      <c r="N3235" s="22"/>
      <c r="O3235" s="22"/>
      <c r="P3235" s="22"/>
      <c r="Q3235" s="22"/>
      <c r="R3235" s="22"/>
      <c r="S3235" s="22"/>
      <c r="T3235" s="22"/>
      <c r="U3235" s="22"/>
      <c r="V3235" s="22"/>
      <c r="W3235" s="22"/>
      <c r="X3235" s="22"/>
    </row>
    <row r="3236" spans="1:24" x14ac:dyDescent="0.25">
      <c r="A3236" s="22" t="s">
        <v>5480</v>
      </c>
      <c r="B3236" s="22">
        <v>0</v>
      </c>
      <c r="C3236" s="22"/>
      <c r="D3236" s="22"/>
      <c r="E3236" s="22"/>
      <c r="F3236" s="22"/>
      <c r="G3236" s="22"/>
      <c r="H3236" s="22"/>
      <c r="I3236" s="22"/>
      <c r="J3236" s="22"/>
      <c r="K3236" s="22"/>
      <c r="L3236" s="22"/>
      <c r="M3236" s="22"/>
      <c r="N3236" s="22"/>
      <c r="O3236" s="22"/>
      <c r="P3236" s="22"/>
      <c r="Q3236" s="22"/>
      <c r="R3236" s="22"/>
      <c r="S3236" s="22"/>
      <c r="T3236" s="22"/>
      <c r="U3236" s="22"/>
      <c r="V3236" s="22"/>
      <c r="W3236" s="22"/>
      <c r="X3236" s="22"/>
    </row>
    <row r="3237" spans="1:24" x14ac:dyDescent="0.25">
      <c r="A3237" s="22" t="s">
        <v>5481</v>
      </c>
      <c r="B3237" s="22">
        <v>0</v>
      </c>
      <c r="C3237" s="22"/>
      <c r="D3237" s="22"/>
      <c r="E3237" s="22"/>
      <c r="F3237" s="22"/>
      <c r="G3237" s="22"/>
      <c r="H3237" s="22"/>
      <c r="I3237" s="22"/>
      <c r="J3237" s="22"/>
      <c r="K3237" s="22"/>
      <c r="L3237" s="22"/>
      <c r="M3237" s="22"/>
      <c r="N3237" s="22"/>
      <c r="O3237" s="22"/>
      <c r="P3237" s="22"/>
      <c r="Q3237" s="22"/>
      <c r="R3237" s="22"/>
      <c r="S3237" s="22"/>
      <c r="T3237" s="22"/>
      <c r="U3237" s="22"/>
      <c r="V3237" s="22"/>
      <c r="W3237" s="22"/>
      <c r="X3237" s="22"/>
    </row>
    <row r="3238" spans="1:24" x14ac:dyDescent="0.25">
      <c r="A3238" s="22" t="s">
        <v>720</v>
      </c>
      <c r="B3238" s="22">
        <v>9</v>
      </c>
      <c r="C3238" s="22"/>
      <c r="D3238" s="22"/>
      <c r="E3238" s="22"/>
      <c r="F3238" s="22"/>
      <c r="G3238" s="22"/>
      <c r="H3238" s="22"/>
      <c r="I3238" s="22"/>
      <c r="J3238" s="22"/>
      <c r="K3238" s="22"/>
      <c r="L3238" s="22"/>
      <c r="M3238" s="22"/>
      <c r="N3238" s="22"/>
      <c r="O3238" s="22"/>
      <c r="P3238" s="22"/>
      <c r="Q3238" s="22"/>
      <c r="R3238" s="22"/>
      <c r="S3238" s="22"/>
      <c r="T3238" s="22"/>
      <c r="U3238" s="22"/>
      <c r="V3238" s="22"/>
      <c r="W3238" s="22"/>
      <c r="X3238" s="22"/>
    </row>
    <row r="3239" spans="1:24" x14ac:dyDescent="0.25">
      <c r="A3239" s="22" t="s">
        <v>3782</v>
      </c>
      <c r="B3239" s="22">
        <v>0</v>
      </c>
      <c r="C3239" s="22"/>
      <c r="D3239" s="22"/>
      <c r="E3239" s="22"/>
      <c r="F3239" s="22"/>
      <c r="G3239" s="22"/>
      <c r="H3239" s="22"/>
      <c r="I3239" s="22"/>
      <c r="J3239" s="22"/>
      <c r="K3239" s="22"/>
      <c r="L3239" s="22"/>
      <c r="M3239" s="22"/>
      <c r="N3239" s="22"/>
      <c r="O3239" s="22"/>
      <c r="P3239" s="22"/>
      <c r="Q3239" s="22"/>
      <c r="R3239" s="22"/>
      <c r="S3239" s="22"/>
      <c r="T3239" s="22"/>
      <c r="U3239" s="22"/>
      <c r="V3239" s="22"/>
      <c r="W3239" s="22"/>
      <c r="X3239" s="22"/>
    </row>
    <row r="3240" spans="1:24" x14ac:dyDescent="0.25">
      <c r="A3240" s="22" t="s">
        <v>3783</v>
      </c>
      <c r="B3240" s="22">
        <v>0</v>
      </c>
      <c r="C3240" s="22"/>
      <c r="D3240" s="22"/>
      <c r="E3240" s="22"/>
      <c r="F3240" s="22"/>
      <c r="G3240" s="22"/>
      <c r="H3240" s="22"/>
      <c r="I3240" s="22"/>
      <c r="J3240" s="22"/>
      <c r="K3240" s="22"/>
      <c r="L3240" s="22"/>
      <c r="M3240" s="22"/>
      <c r="N3240" s="22"/>
      <c r="O3240" s="22"/>
      <c r="P3240" s="22"/>
      <c r="Q3240" s="22"/>
      <c r="R3240" s="22"/>
      <c r="S3240" s="22"/>
      <c r="T3240" s="22"/>
      <c r="U3240" s="22"/>
      <c r="V3240" s="22"/>
      <c r="W3240" s="22"/>
      <c r="X3240" s="22"/>
    </row>
    <row r="3241" spans="1:24" x14ac:dyDescent="0.25">
      <c r="A3241" s="22" t="s">
        <v>3784</v>
      </c>
      <c r="B3241" s="22">
        <v>0</v>
      </c>
      <c r="C3241" s="22"/>
      <c r="D3241" s="22"/>
      <c r="E3241" s="22"/>
      <c r="F3241" s="22"/>
      <c r="G3241" s="22"/>
      <c r="H3241" s="22"/>
      <c r="I3241" s="22"/>
      <c r="J3241" s="22"/>
      <c r="K3241" s="22"/>
      <c r="L3241" s="22"/>
      <c r="M3241" s="22"/>
      <c r="N3241" s="22"/>
      <c r="O3241" s="22"/>
      <c r="P3241" s="22"/>
      <c r="Q3241" s="22"/>
      <c r="R3241" s="22"/>
      <c r="S3241" s="22"/>
      <c r="T3241" s="22"/>
      <c r="U3241" s="22"/>
      <c r="V3241" s="22"/>
      <c r="W3241" s="22"/>
      <c r="X3241" s="22"/>
    </row>
    <row r="3242" spans="1:24" x14ac:dyDescent="0.25">
      <c r="A3242" s="22" t="s">
        <v>3785</v>
      </c>
      <c r="B3242" s="22">
        <v>0</v>
      </c>
      <c r="C3242" s="22"/>
      <c r="D3242" s="22"/>
      <c r="E3242" s="22"/>
      <c r="F3242" s="22"/>
      <c r="G3242" s="22"/>
      <c r="H3242" s="22"/>
      <c r="I3242" s="22"/>
      <c r="J3242" s="22"/>
      <c r="K3242" s="22"/>
      <c r="L3242" s="22"/>
      <c r="M3242" s="22"/>
      <c r="N3242" s="22"/>
      <c r="O3242" s="22"/>
      <c r="P3242" s="22"/>
      <c r="Q3242" s="22"/>
      <c r="R3242" s="22"/>
      <c r="S3242" s="22"/>
      <c r="T3242" s="22"/>
      <c r="U3242" s="22"/>
      <c r="V3242" s="22"/>
      <c r="W3242" s="22"/>
      <c r="X3242" s="22"/>
    </row>
    <row r="3243" spans="1:24" x14ac:dyDescent="0.25">
      <c r="A3243" s="22" t="s">
        <v>3786</v>
      </c>
      <c r="B3243" s="22">
        <v>0</v>
      </c>
      <c r="C3243" s="22"/>
      <c r="D3243" s="22"/>
      <c r="E3243" s="22"/>
      <c r="F3243" s="22"/>
      <c r="G3243" s="22"/>
      <c r="H3243" s="22"/>
      <c r="I3243" s="22"/>
      <c r="J3243" s="22"/>
      <c r="K3243" s="22"/>
      <c r="L3243" s="22"/>
      <c r="M3243" s="22"/>
      <c r="N3243" s="22"/>
      <c r="O3243" s="22"/>
      <c r="P3243" s="22"/>
      <c r="Q3243" s="22"/>
      <c r="R3243" s="22"/>
      <c r="S3243" s="22"/>
      <c r="T3243" s="22"/>
      <c r="U3243" s="22"/>
      <c r="V3243" s="22"/>
      <c r="W3243" s="22"/>
      <c r="X3243" s="22"/>
    </row>
    <row r="3244" spans="1:24" x14ac:dyDescent="0.25">
      <c r="A3244" s="22" t="s">
        <v>3787</v>
      </c>
      <c r="B3244" s="22">
        <v>0</v>
      </c>
      <c r="C3244" s="22"/>
      <c r="D3244" s="22"/>
      <c r="E3244" s="22"/>
      <c r="F3244" s="22"/>
      <c r="G3244" s="22"/>
      <c r="H3244" s="22"/>
      <c r="I3244" s="22"/>
      <c r="J3244" s="22"/>
      <c r="K3244" s="22"/>
      <c r="L3244" s="22"/>
      <c r="M3244" s="22"/>
      <c r="N3244" s="22"/>
      <c r="O3244" s="22"/>
      <c r="P3244" s="22"/>
      <c r="Q3244" s="22"/>
      <c r="R3244" s="22"/>
      <c r="S3244" s="22"/>
      <c r="T3244" s="22"/>
      <c r="U3244" s="22"/>
      <c r="V3244" s="22"/>
      <c r="W3244" s="22"/>
      <c r="X3244" s="22"/>
    </row>
    <row r="3245" spans="1:24" x14ac:dyDescent="0.25">
      <c r="A3245" s="22" t="s">
        <v>3788</v>
      </c>
      <c r="B3245" s="22">
        <v>0</v>
      </c>
      <c r="C3245" s="22"/>
      <c r="D3245" s="22"/>
      <c r="E3245" s="22"/>
      <c r="F3245" s="22"/>
      <c r="G3245" s="22"/>
      <c r="H3245" s="22"/>
      <c r="I3245" s="22"/>
      <c r="J3245" s="22"/>
      <c r="K3245" s="22"/>
      <c r="L3245" s="22"/>
      <c r="M3245" s="22"/>
      <c r="N3245" s="22"/>
      <c r="O3245" s="22"/>
      <c r="P3245" s="22"/>
      <c r="Q3245" s="22"/>
      <c r="R3245" s="22"/>
      <c r="S3245" s="22"/>
      <c r="T3245" s="22"/>
      <c r="U3245" s="22"/>
      <c r="V3245" s="22"/>
      <c r="W3245" s="22"/>
      <c r="X3245" s="22"/>
    </row>
    <row r="3246" spans="1:24" x14ac:dyDescent="0.25">
      <c r="A3246" s="22" t="s">
        <v>722</v>
      </c>
      <c r="B3246" s="22">
        <v>0</v>
      </c>
      <c r="C3246" s="22"/>
      <c r="D3246" s="22"/>
      <c r="E3246" s="22"/>
      <c r="F3246" s="22"/>
      <c r="G3246" s="22"/>
      <c r="H3246" s="22"/>
      <c r="I3246" s="22"/>
      <c r="J3246" s="22"/>
      <c r="K3246" s="22"/>
      <c r="L3246" s="22"/>
      <c r="M3246" s="22"/>
      <c r="N3246" s="22"/>
      <c r="O3246" s="22"/>
      <c r="P3246" s="22"/>
      <c r="Q3246" s="22"/>
      <c r="R3246" s="22"/>
      <c r="S3246" s="22"/>
      <c r="T3246" s="22"/>
      <c r="U3246" s="22"/>
      <c r="V3246" s="22"/>
      <c r="W3246" s="22"/>
      <c r="X3246" s="22"/>
    </row>
    <row r="3247" spans="1:24" x14ac:dyDescent="0.25">
      <c r="A3247" s="22" t="s">
        <v>3789</v>
      </c>
      <c r="B3247" s="22">
        <v>0</v>
      </c>
      <c r="C3247" s="22"/>
      <c r="D3247" s="22"/>
      <c r="E3247" s="22"/>
      <c r="F3247" s="22"/>
      <c r="G3247" s="22"/>
      <c r="H3247" s="22"/>
      <c r="I3247" s="22"/>
      <c r="J3247" s="22"/>
      <c r="K3247" s="22"/>
      <c r="L3247" s="22"/>
      <c r="M3247" s="22"/>
      <c r="N3247" s="22"/>
      <c r="O3247" s="22"/>
      <c r="P3247" s="22"/>
      <c r="Q3247" s="22"/>
      <c r="R3247" s="22"/>
      <c r="S3247" s="22"/>
      <c r="T3247" s="22"/>
      <c r="U3247" s="22"/>
      <c r="V3247" s="22"/>
      <c r="W3247" s="22"/>
      <c r="X3247" s="22"/>
    </row>
    <row r="3248" spans="1:24" x14ac:dyDescent="0.25">
      <c r="A3248" s="22" t="s">
        <v>3790</v>
      </c>
      <c r="B3248" s="22">
        <v>0</v>
      </c>
      <c r="C3248" s="22"/>
      <c r="D3248" s="22"/>
      <c r="E3248" s="22"/>
      <c r="F3248" s="22"/>
      <c r="G3248" s="22"/>
      <c r="H3248" s="22"/>
      <c r="I3248" s="22"/>
      <c r="J3248" s="22"/>
      <c r="K3248" s="22"/>
      <c r="L3248" s="22"/>
      <c r="M3248" s="22"/>
      <c r="N3248" s="22"/>
      <c r="O3248" s="22"/>
      <c r="P3248" s="22"/>
      <c r="Q3248" s="22"/>
      <c r="R3248" s="22"/>
      <c r="S3248" s="22"/>
      <c r="T3248" s="22"/>
      <c r="U3248" s="22"/>
      <c r="V3248" s="22"/>
      <c r="W3248" s="22"/>
      <c r="X3248" s="22"/>
    </row>
    <row r="3249" spans="1:24" x14ac:dyDescent="0.25">
      <c r="A3249" s="22" t="s">
        <v>3791</v>
      </c>
      <c r="B3249" s="22">
        <v>0</v>
      </c>
      <c r="C3249" s="22"/>
      <c r="D3249" s="22"/>
      <c r="E3249" s="22"/>
      <c r="F3249" s="22"/>
      <c r="G3249" s="22"/>
      <c r="H3249" s="22"/>
      <c r="I3249" s="22"/>
      <c r="J3249" s="22"/>
      <c r="K3249" s="22"/>
      <c r="L3249" s="22"/>
      <c r="M3249" s="22"/>
      <c r="N3249" s="22"/>
      <c r="O3249" s="22"/>
      <c r="P3249" s="22"/>
      <c r="Q3249" s="22"/>
      <c r="R3249" s="22"/>
      <c r="S3249" s="22"/>
      <c r="T3249" s="22"/>
      <c r="U3249" s="22"/>
      <c r="V3249" s="22"/>
      <c r="W3249" s="22"/>
      <c r="X3249" s="22"/>
    </row>
    <row r="3250" spans="1:24" x14ac:dyDescent="0.25">
      <c r="A3250" s="22" t="s">
        <v>3792</v>
      </c>
      <c r="B3250" s="22">
        <v>0</v>
      </c>
      <c r="C3250" s="22"/>
      <c r="D3250" s="22"/>
      <c r="E3250" s="22"/>
      <c r="F3250" s="22"/>
      <c r="G3250" s="22"/>
      <c r="H3250" s="22"/>
      <c r="I3250" s="22"/>
      <c r="J3250" s="22"/>
      <c r="K3250" s="22"/>
      <c r="L3250" s="22"/>
      <c r="M3250" s="22"/>
      <c r="N3250" s="22"/>
      <c r="O3250" s="22"/>
      <c r="P3250" s="22"/>
      <c r="Q3250" s="22"/>
      <c r="R3250" s="22"/>
      <c r="S3250" s="22"/>
      <c r="T3250" s="22"/>
      <c r="U3250" s="22"/>
      <c r="V3250" s="22"/>
      <c r="W3250" s="22"/>
      <c r="X3250" s="22"/>
    </row>
    <row r="3251" spans="1:24" x14ac:dyDescent="0.25">
      <c r="A3251" s="22" t="s">
        <v>3793</v>
      </c>
      <c r="B3251" s="22">
        <v>0</v>
      </c>
      <c r="C3251" s="22"/>
      <c r="D3251" s="22"/>
      <c r="E3251" s="22"/>
      <c r="F3251" s="22"/>
      <c r="G3251" s="22"/>
      <c r="H3251" s="22"/>
      <c r="I3251" s="22"/>
      <c r="J3251" s="22"/>
      <c r="K3251" s="22"/>
      <c r="L3251" s="22"/>
      <c r="M3251" s="22"/>
      <c r="N3251" s="22"/>
      <c r="O3251" s="22"/>
      <c r="P3251" s="22"/>
      <c r="Q3251" s="22"/>
      <c r="R3251" s="22"/>
      <c r="S3251" s="22"/>
      <c r="T3251" s="22"/>
      <c r="U3251" s="22"/>
      <c r="V3251" s="22"/>
      <c r="W3251" s="22"/>
      <c r="X3251" s="22"/>
    </row>
    <row r="3252" spans="1:24" x14ac:dyDescent="0.25">
      <c r="A3252" s="22" t="s">
        <v>3794</v>
      </c>
      <c r="B3252" s="22">
        <v>0</v>
      </c>
      <c r="C3252" s="22"/>
      <c r="D3252" s="22"/>
      <c r="E3252" s="22"/>
      <c r="F3252" s="22"/>
      <c r="G3252" s="22"/>
      <c r="H3252" s="22"/>
      <c r="I3252" s="22"/>
      <c r="J3252" s="22"/>
      <c r="K3252" s="22"/>
      <c r="L3252" s="22"/>
      <c r="M3252" s="22"/>
      <c r="N3252" s="22"/>
      <c r="O3252" s="22"/>
      <c r="P3252" s="22"/>
      <c r="Q3252" s="22"/>
      <c r="R3252" s="22"/>
      <c r="S3252" s="22"/>
      <c r="T3252" s="22"/>
      <c r="U3252" s="22"/>
      <c r="V3252" s="22"/>
      <c r="W3252" s="22"/>
      <c r="X3252" s="22"/>
    </row>
    <row r="3253" spans="1:24" x14ac:dyDescent="0.25">
      <c r="A3253" s="22" t="s">
        <v>3795</v>
      </c>
      <c r="B3253" s="22">
        <v>0</v>
      </c>
      <c r="C3253" s="22"/>
      <c r="D3253" s="22"/>
      <c r="E3253" s="22"/>
      <c r="F3253" s="22"/>
      <c r="G3253" s="22"/>
      <c r="H3253" s="22"/>
      <c r="I3253" s="22"/>
      <c r="J3253" s="22"/>
      <c r="K3253" s="22"/>
      <c r="L3253" s="22"/>
      <c r="M3253" s="22"/>
      <c r="N3253" s="22"/>
      <c r="O3253" s="22"/>
      <c r="P3253" s="22"/>
      <c r="Q3253" s="22"/>
      <c r="R3253" s="22"/>
      <c r="S3253" s="22"/>
      <c r="T3253" s="22"/>
      <c r="U3253" s="22"/>
      <c r="V3253" s="22"/>
      <c r="W3253" s="22"/>
      <c r="X3253" s="22"/>
    </row>
    <row r="3254" spans="1:24" x14ac:dyDescent="0.25">
      <c r="A3254" s="22" t="s">
        <v>724</v>
      </c>
      <c r="B3254" s="22">
        <v>6</v>
      </c>
      <c r="C3254" s="22"/>
      <c r="D3254" s="22"/>
      <c r="E3254" s="22"/>
      <c r="F3254" s="22"/>
      <c r="G3254" s="22"/>
      <c r="H3254" s="22"/>
      <c r="I3254" s="22"/>
      <c r="J3254" s="22"/>
      <c r="K3254" s="22"/>
      <c r="L3254" s="22"/>
      <c r="M3254" s="22"/>
      <c r="N3254" s="22"/>
      <c r="O3254" s="22"/>
      <c r="P3254" s="22"/>
      <c r="Q3254" s="22"/>
      <c r="R3254" s="22"/>
      <c r="S3254" s="22"/>
      <c r="T3254" s="22"/>
      <c r="U3254" s="22"/>
      <c r="V3254" s="22"/>
      <c r="W3254" s="22"/>
      <c r="X3254" s="22"/>
    </row>
    <row r="3255" spans="1:24" x14ac:dyDescent="0.25">
      <c r="A3255" s="22" t="s">
        <v>3796</v>
      </c>
      <c r="B3255" s="22">
        <v>0</v>
      </c>
      <c r="C3255" s="22"/>
      <c r="D3255" s="22"/>
      <c r="E3255" s="22"/>
      <c r="F3255" s="22"/>
      <c r="G3255" s="22"/>
      <c r="H3255" s="22"/>
      <c r="I3255" s="22"/>
      <c r="J3255" s="22"/>
      <c r="K3255" s="22"/>
      <c r="L3255" s="22"/>
      <c r="M3255" s="22"/>
      <c r="N3255" s="22"/>
      <c r="O3255" s="22"/>
      <c r="P3255" s="22"/>
      <c r="Q3255" s="22"/>
      <c r="R3255" s="22"/>
      <c r="S3255" s="22"/>
      <c r="T3255" s="22"/>
      <c r="U3255" s="22"/>
      <c r="V3255" s="22"/>
      <c r="W3255" s="22"/>
      <c r="X3255" s="22"/>
    </row>
    <row r="3256" spans="1:24" x14ac:dyDescent="0.25">
      <c r="A3256" s="22" t="s">
        <v>3797</v>
      </c>
      <c r="B3256" s="22">
        <v>0</v>
      </c>
      <c r="C3256" s="22"/>
      <c r="D3256" s="22"/>
      <c r="E3256" s="22"/>
      <c r="F3256" s="22"/>
      <c r="G3256" s="22"/>
      <c r="H3256" s="22"/>
      <c r="I3256" s="22"/>
      <c r="J3256" s="22"/>
      <c r="K3256" s="22"/>
      <c r="L3256" s="22"/>
      <c r="M3256" s="22"/>
      <c r="N3256" s="22"/>
      <c r="O3256" s="22"/>
      <c r="P3256" s="22"/>
      <c r="Q3256" s="22"/>
      <c r="R3256" s="22"/>
      <c r="S3256" s="22"/>
      <c r="T3256" s="22"/>
      <c r="U3256" s="22"/>
      <c r="V3256" s="22"/>
      <c r="W3256" s="22"/>
      <c r="X3256" s="22"/>
    </row>
    <row r="3257" spans="1:24" x14ac:dyDescent="0.25">
      <c r="A3257" s="22" t="s">
        <v>3798</v>
      </c>
      <c r="B3257" s="22">
        <v>0</v>
      </c>
      <c r="C3257" s="22"/>
      <c r="D3257" s="22"/>
      <c r="E3257" s="22"/>
      <c r="F3257" s="22"/>
      <c r="G3257" s="22"/>
      <c r="H3257" s="22"/>
      <c r="I3257" s="22"/>
      <c r="J3257" s="22"/>
      <c r="K3257" s="22"/>
      <c r="L3257" s="22"/>
      <c r="M3257" s="22"/>
      <c r="N3257" s="22"/>
      <c r="O3257" s="22"/>
      <c r="P3257" s="22"/>
      <c r="Q3257" s="22"/>
      <c r="R3257" s="22"/>
      <c r="S3257" s="22"/>
      <c r="T3257" s="22"/>
      <c r="U3257" s="22"/>
      <c r="V3257" s="22"/>
      <c r="W3257" s="22"/>
      <c r="X3257" s="22"/>
    </row>
    <row r="3258" spans="1:24" x14ac:dyDescent="0.25">
      <c r="A3258" s="22" t="s">
        <v>3799</v>
      </c>
      <c r="B3258" s="22">
        <v>0</v>
      </c>
      <c r="C3258" s="22"/>
      <c r="D3258" s="22"/>
      <c r="E3258" s="22"/>
      <c r="F3258" s="22"/>
      <c r="G3258" s="22"/>
      <c r="H3258" s="22"/>
      <c r="I3258" s="22"/>
      <c r="J3258" s="22"/>
      <c r="K3258" s="22"/>
      <c r="L3258" s="22"/>
      <c r="M3258" s="22"/>
      <c r="N3258" s="22"/>
      <c r="O3258" s="22"/>
      <c r="P3258" s="22"/>
      <c r="Q3258" s="22"/>
      <c r="R3258" s="22"/>
      <c r="S3258" s="22"/>
      <c r="T3258" s="22"/>
      <c r="U3258" s="22"/>
      <c r="V3258" s="22"/>
      <c r="W3258" s="22"/>
      <c r="X3258" s="22"/>
    </row>
    <row r="3259" spans="1:24" x14ac:dyDescent="0.25">
      <c r="A3259" s="22" t="s">
        <v>3800</v>
      </c>
      <c r="B3259" s="22">
        <v>0</v>
      </c>
      <c r="C3259" s="22"/>
      <c r="D3259" s="22"/>
      <c r="E3259" s="22"/>
      <c r="F3259" s="22"/>
      <c r="G3259" s="22"/>
      <c r="H3259" s="22"/>
      <c r="I3259" s="22"/>
      <c r="J3259" s="22"/>
      <c r="K3259" s="22"/>
      <c r="L3259" s="22"/>
      <c r="M3259" s="22"/>
      <c r="N3259" s="22"/>
      <c r="O3259" s="22"/>
      <c r="P3259" s="22"/>
      <c r="Q3259" s="22"/>
      <c r="R3259" s="22"/>
      <c r="S3259" s="22"/>
      <c r="T3259" s="22"/>
      <c r="U3259" s="22"/>
      <c r="V3259" s="22"/>
      <c r="W3259" s="22"/>
      <c r="X3259" s="22"/>
    </row>
    <row r="3260" spans="1:24" x14ac:dyDescent="0.25">
      <c r="A3260" s="22" t="s">
        <v>3801</v>
      </c>
      <c r="B3260" s="22">
        <v>0</v>
      </c>
      <c r="C3260" s="22"/>
      <c r="D3260" s="22"/>
      <c r="E3260" s="22"/>
      <c r="F3260" s="22"/>
      <c r="G3260" s="22"/>
      <c r="H3260" s="22"/>
      <c r="I3260" s="22"/>
      <c r="J3260" s="22"/>
      <c r="K3260" s="22"/>
      <c r="L3260" s="22"/>
      <c r="M3260" s="22"/>
      <c r="N3260" s="22"/>
      <c r="O3260" s="22"/>
      <c r="P3260" s="22"/>
      <c r="Q3260" s="22"/>
      <c r="R3260" s="22"/>
      <c r="S3260" s="22"/>
      <c r="T3260" s="22"/>
      <c r="U3260" s="22"/>
      <c r="V3260" s="22"/>
      <c r="W3260" s="22"/>
      <c r="X3260" s="22"/>
    </row>
    <row r="3261" spans="1:24" x14ac:dyDescent="0.25">
      <c r="A3261" s="22" t="s">
        <v>3802</v>
      </c>
      <c r="B3261" s="22">
        <v>0</v>
      </c>
      <c r="C3261" s="22"/>
      <c r="D3261" s="22"/>
      <c r="E3261" s="22"/>
      <c r="F3261" s="22"/>
      <c r="G3261" s="22"/>
      <c r="H3261" s="22"/>
      <c r="I3261" s="22"/>
      <c r="J3261" s="22"/>
      <c r="K3261" s="22"/>
      <c r="L3261" s="22"/>
      <c r="M3261" s="22"/>
      <c r="N3261" s="22"/>
      <c r="O3261" s="22"/>
      <c r="P3261" s="22"/>
      <c r="Q3261" s="22"/>
      <c r="R3261" s="22"/>
      <c r="S3261" s="22"/>
      <c r="T3261" s="22"/>
      <c r="U3261" s="22"/>
      <c r="V3261" s="22"/>
      <c r="W3261" s="22"/>
      <c r="X3261" s="22"/>
    </row>
    <row r="3262" spans="1:24" x14ac:dyDescent="0.25">
      <c r="A3262" s="22" t="s">
        <v>726</v>
      </c>
      <c r="B3262" s="22">
        <v>0</v>
      </c>
      <c r="C3262" s="22"/>
      <c r="D3262" s="22"/>
      <c r="E3262" s="22"/>
      <c r="F3262" s="22"/>
      <c r="G3262" s="22"/>
      <c r="H3262" s="22"/>
      <c r="I3262" s="22"/>
      <c r="J3262" s="22"/>
      <c r="K3262" s="22"/>
      <c r="L3262" s="22"/>
      <c r="M3262" s="22"/>
      <c r="N3262" s="22"/>
      <c r="O3262" s="22"/>
      <c r="P3262" s="22"/>
      <c r="Q3262" s="22"/>
      <c r="R3262" s="22"/>
      <c r="S3262" s="22"/>
      <c r="T3262" s="22"/>
      <c r="U3262" s="22"/>
      <c r="V3262" s="22"/>
      <c r="W3262" s="22"/>
      <c r="X3262" s="22"/>
    </row>
    <row r="3263" spans="1:24" x14ac:dyDescent="0.25">
      <c r="A3263" s="22" t="s">
        <v>3803</v>
      </c>
      <c r="B3263" s="22">
        <v>0</v>
      </c>
      <c r="C3263" s="22"/>
      <c r="D3263" s="22"/>
      <c r="E3263" s="22"/>
      <c r="F3263" s="22"/>
      <c r="G3263" s="22"/>
      <c r="H3263" s="22"/>
      <c r="I3263" s="22"/>
      <c r="J3263" s="22"/>
      <c r="K3263" s="22"/>
      <c r="L3263" s="22"/>
      <c r="M3263" s="22"/>
      <c r="N3263" s="22"/>
      <c r="O3263" s="22"/>
      <c r="P3263" s="22"/>
      <c r="Q3263" s="22"/>
      <c r="R3263" s="22"/>
      <c r="S3263" s="22"/>
      <c r="T3263" s="22"/>
      <c r="U3263" s="22"/>
      <c r="V3263" s="22"/>
      <c r="W3263" s="22"/>
      <c r="X3263" s="22"/>
    </row>
    <row r="3264" spans="1:24" x14ac:dyDescent="0.25">
      <c r="A3264" s="22" t="s">
        <v>3804</v>
      </c>
      <c r="B3264" s="22">
        <v>0</v>
      </c>
      <c r="C3264" s="22"/>
      <c r="D3264" s="22"/>
      <c r="E3264" s="22"/>
      <c r="F3264" s="22"/>
      <c r="G3264" s="22"/>
      <c r="H3264" s="22"/>
      <c r="I3264" s="22"/>
      <c r="J3264" s="22"/>
      <c r="K3264" s="22"/>
      <c r="L3264" s="22"/>
      <c r="M3264" s="22"/>
      <c r="N3264" s="22"/>
      <c r="O3264" s="22"/>
      <c r="P3264" s="22"/>
      <c r="Q3264" s="22"/>
      <c r="R3264" s="22"/>
      <c r="S3264" s="22"/>
      <c r="T3264" s="22"/>
      <c r="U3264" s="22"/>
      <c r="V3264" s="22"/>
      <c r="W3264" s="22"/>
      <c r="X3264" s="22"/>
    </row>
    <row r="3265" spans="1:24" x14ac:dyDescent="0.25">
      <c r="A3265" s="22" t="s">
        <v>3805</v>
      </c>
      <c r="B3265" s="22">
        <v>0</v>
      </c>
      <c r="C3265" s="22"/>
      <c r="D3265" s="22"/>
      <c r="E3265" s="22"/>
      <c r="F3265" s="22"/>
      <c r="G3265" s="22"/>
      <c r="H3265" s="22"/>
      <c r="I3265" s="22"/>
      <c r="J3265" s="22"/>
      <c r="K3265" s="22"/>
      <c r="L3265" s="22"/>
      <c r="M3265" s="22"/>
      <c r="N3265" s="22"/>
      <c r="O3265" s="22"/>
      <c r="P3265" s="22"/>
      <c r="Q3265" s="22"/>
      <c r="R3265" s="22"/>
      <c r="S3265" s="22"/>
      <c r="T3265" s="22"/>
      <c r="U3265" s="22"/>
      <c r="V3265" s="22"/>
      <c r="W3265" s="22"/>
      <c r="X3265" s="22"/>
    </row>
    <row r="3266" spans="1:24" x14ac:dyDescent="0.25">
      <c r="A3266" s="22" t="s">
        <v>3806</v>
      </c>
      <c r="B3266" s="22">
        <v>0</v>
      </c>
      <c r="C3266" s="22"/>
      <c r="D3266" s="22"/>
      <c r="E3266" s="22"/>
      <c r="F3266" s="22"/>
      <c r="G3266" s="22"/>
      <c r="H3266" s="22"/>
      <c r="I3266" s="22"/>
      <c r="J3266" s="22"/>
      <c r="K3266" s="22"/>
      <c r="L3266" s="22"/>
      <c r="M3266" s="22"/>
      <c r="N3266" s="22"/>
      <c r="O3266" s="22"/>
      <c r="P3266" s="22"/>
      <c r="Q3266" s="22"/>
      <c r="R3266" s="22"/>
      <c r="S3266" s="22"/>
      <c r="T3266" s="22"/>
      <c r="U3266" s="22"/>
      <c r="V3266" s="22"/>
      <c r="W3266" s="22"/>
      <c r="X3266" s="22"/>
    </row>
    <row r="3267" spans="1:24" x14ac:dyDescent="0.25">
      <c r="A3267" s="22" t="s">
        <v>3807</v>
      </c>
      <c r="B3267" s="22">
        <v>0</v>
      </c>
      <c r="C3267" s="22"/>
      <c r="D3267" s="22"/>
      <c r="E3267" s="22"/>
      <c r="F3267" s="22"/>
      <c r="G3267" s="22"/>
      <c r="H3267" s="22"/>
      <c r="I3267" s="22"/>
      <c r="J3267" s="22"/>
      <c r="K3267" s="22"/>
      <c r="L3267" s="22"/>
      <c r="M3267" s="22"/>
      <c r="N3267" s="22"/>
      <c r="O3267" s="22"/>
      <c r="P3267" s="22"/>
      <c r="Q3267" s="22"/>
      <c r="R3267" s="22"/>
      <c r="S3267" s="22"/>
      <c r="T3267" s="22"/>
      <c r="U3267" s="22"/>
      <c r="V3267" s="22"/>
      <c r="W3267" s="22"/>
      <c r="X3267" s="22"/>
    </row>
    <row r="3268" spans="1:24" x14ac:dyDescent="0.25">
      <c r="A3268" s="22" t="s">
        <v>3808</v>
      </c>
      <c r="B3268" s="22">
        <v>0</v>
      </c>
      <c r="C3268" s="22"/>
      <c r="D3268" s="22"/>
      <c r="E3268" s="22"/>
      <c r="F3268" s="22"/>
      <c r="G3268" s="22"/>
      <c r="H3268" s="22"/>
      <c r="I3268" s="22"/>
      <c r="J3268" s="22"/>
      <c r="K3268" s="22"/>
      <c r="L3268" s="22"/>
      <c r="M3268" s="22"/>
      <c r="N3268" s="22"/>
      <c r="O3268" s="22"/>
      <c r="P3268" s="22"/>
      <c r="Q3268" s="22"/>
      <c r="R3268" s="22"/>
      <c r="S3268" s="22"/>
      <c r="T3268" s="22"/>
      <c r="U3268" s="22"/>
      <c r="V3268" s="22"/>
      <c r="W3268" s="22"/>
      <c r="X3268" s="22"/>
    </row>
    <row r="3269" spans="1:24" x14ac:dyDescent="0.25">
      <c r="A3269" s="22" t="s">
        <v>3809</v>
      </c>
      <c r="B3269" s="22">
        <v>0</v>
      </c>
      <c r="C3269" s="22"/>
      <c r="D3269" s="22"/>
      <c r="E3269" s="22"/>
      <c r="F3269" s="22"/>
      <c r="G3269" s="22"/>
      <c r="H3269" s="22"/>
      <c r="I3269" s="22"/>
      <c r="J3269" s="22"/>
      <c r="K3269" s="22"/>
      <c r="L3269" s="22"/>
      <c r="M3269" s="22"/>
      <c r="N3269" s="22"/>
      <c r="O3269" s="22"/>
      <c r="P3269" s="22"/>
      <c r="Q3269" s="22"/>
      <c r="R3269" s="22"/>
      <c r="S3269" s="22"/>
      <c r="T3269" s="22"/>
      <c r="U3269" s="22"/>
      <c r="V3269" s="22"/>
      <c r="W3269" s="22"/>
      <c r="X3269" s="22"/>
    </row>
    <row r="3270" spans="1:24" x14ac:dyDescent="0.25">
      <c r="A3270" s="22" t="s">
        <v>728</v>
      </c>
      <c r="B3270" s="22">
        <v>17</v>
      </c>
      <c r="C3270" s="22"/>
      <c r="D3270" s="22"/>
      <c r="E3270" s="22"/>
      <c r="F3270" s="22"/>
      <c r="G3270" s="22"/>
      <c r="H3270" s="22"/>
      <c r="I3270" s="22"/>
      <c r="J3270" s="22"/>
      <c r="K3270" s="22"/>
      <c r="L3270" s="22"/>
      <c r="M3270" s="22"/>
      <c r="N3270" s="22"/>
      <c r="O3270" s="22"/>
      <c r="P3270" s="22"/>
      <c r="Q3270" s="22"/>
      <c r="R3270" s="22"/>
      <c r="S3270" s="22"/>
      <c r="T3270" s="22"/>
      <c r="U3270" s="22"/>
      <c r="V3270" s="22"/>
      <c r="W3270" s="22"/>
      <c r="X3270" s="22"/>
    </row>
    <row r="3271" spans="1:24" x14ac:dyDescent="0.25">
      <c r="A3271" s="22" t="s">
        <v>3810</v>
      </c>
      <c r="B3271" s="22">
        <v>0</v>
      </c>
      <c r="C3271" s="22"/>
      <c r="D3271" s="22"/>
      <c r="E3271" s="22"/>
      <c r="F3271" s="22"/>
      <c r="G3271" s="22"/>
      <c r="H3271" s="22"/>
      <c r="I3271" s="22"/>
      <c r="J3271" s="22"/>
      <c r="K3271" s="22"/>
      <c r="L3271" s="22"/>
      <c r="M3271" s="22"/>
      <c r="N3271" s="22"/>
      <c r="O3271" s="22"/>
      <c r="P3271" s="22"/>
      <c r="Q3271" s="22"/>
      <c r="R3271" s="22"/>
      <c r="S3271" s="22"/>
      <c r="T3271" s="22"/>
      <c r="U3271" s="22"/>
      <c r="V3271" s="22"/>
      <c r="W3271" s="22"/>
      <c r="X3271" s="22"/>
    </row>
    <row r="3272" spans="1:24" x14ac:dyDescent="0.25">
      <c r="A3272" s="22" t="s">
        <v>3811</v>
      </c>
      <c r="B3272" s="22">
        <v>0</v>
      </c>
      <c r="C3272" s="22"/>
      <c r="D3272" s="22"/>
      <c r="E3272" s="22"/>
      <c r="F3272" s="22"/>
      <c r="G3272" s="22"/>
      <c r="H3272" s="22"/>
      <c r="I3272" s="22"/>
      <c r="J3272" s="22"/>
      <c r="K3272" s="22"/>
      <c r="L3272" s="22"/>
      <c r="M3272" s="22"/>
      <c r="N3272" s="22"/>
      <c r="O3272" s="22"/>
      <c r="P3272" s="22"/>
      <c r="Q3272" s="22"/>
      <c r="R3272" s="22"/>
      <c r="S3272" s="22"/>
      <c r="T3272" s="22"/>
      <c r="U3272" s="22"/>
      <c r="V3272" s="22"/>
      <c r="W3272" s="22"/>
      <c r="X3272" s="22"/>
    </row>
    <row r="3273" spans="1:24" x14ac:dyDescent="0.25">
      <c r="A3273" s="22" t="s">
        <v>3812</v>
      </c>
      <c r="B3273" s="22">
        <v>0</v>
      </c>
      <c r="C3273" s="22"/>
      <c r="D3273" s="22"/>
      <c r="E3273" s="22"/>
      <c r="F3273" s="22"/>
      <c r="G3273" s="22"/>
      <c r="H3273" s="22"/>
      <c r="I3273" s="22"/>
      <c r="J3273" s="22"/>
      <c r="K3273" s="22"/>
      <c r="L3273" s="22"/>
      <c r="M3273" s="22"/>
      <c r="N3273" s="22"/>
      <c r="O3273" s="22"/>
      <c r="P3273" s="22"/>
      <c r="Q3273" s="22"/>
      <c r="R3273" s="22"/>
      <c r="S3273" s="22"/>
      <c r="T3273" s="22"/>
      <c r="U3273" s="22"/>
      <c r="V3273" s="22"/>
      <c r="W3273" s="22"/>
      <c r="X3273" s="22"/>
    </row>
    <row r="3274" spans="1:24" x14ac:dyDescent="0.25">
      <c r="A3274" s="22" t="s">
        <v>3813</v>
      </c>
      <c r="B3274" s="22">
        <v>11</v>
      </c>
      <c r="C3274" s="22"/>
      <c r="D3274" s="22"/>
      <c r="E3274" s="22"/>
      <c r="F3274" s="22"/>
      <c r="G3274" s="22"/>
      <c r="H3274" s="22"/>
      <c r="I3274" s="22"/>
      <c r="J3274" s="22"/>
      <c r="K3274" s="22"/>
      <c r="L3274" s="22"/>
      <c r="M3274" s="22"/>
      <c r="N3274" s="22"/>
      <c r="O3274" s="22"/>
      <c r="P3274" s="22"/>
      <c r="Q3274" s="22"/>
      <c r="R3274" s="22"/>
      <c r="S3274" s="22"/>
      <c r="T3274" s="22"/>
      <c r="U3274" s="22"/>
      <c r="V3274" s="22"/>
      <c r="W3274" s="22"/>
      <c r="X3274" s="22"/>
    </row>
    <row r="3275" spans="1:24" x14ac:dyDescent="0.25">
      <c r="A3275" s="22" t="s">
        <v>3814</v>
      </c>
      <c r="B3275" s="22">
        <v>0</v>
      </c>
      <c r="C3275" s="22"/>
      <c r="D3275" s="22"/>
      <c r="E3275" s="22"/>
      <c r="F3275" s="22"/>
      <c r="G3275" s="22"/>
      <c r="H3275" s="22"/>
      <c r="I3275" s="22"/>
      <c r="J3275" s="22"/>
      <c r="K3275" s="22"/>
      <c r="L3275" s="22"/>
      <c r="M3275" s="22"/>
      <c r="N3275" s="22"/>
      <c r="O3275" s="22"/>
      <c r="P3275" s="22"/>
      <c r="Q3275" s="22"/>
      <c r="R3275" s="22"/>
      <c r="S3275" s="22"/>
      <c r="T3275" s="22"/>
      <c r="U3275" s="22"/>
      <c r="V3275" s="22"/>
      <c r="W3275" s="22"/>
      <c r="X3275" s="22"/>
    </row>
    <row r="3276" spans="1:24" x14ac:dyDescent="0.25">
      <c r="A3276" s="22" t="s">
        <v>3815</v>
      </c>
      <c r="B3276" s="22">
        <v>0</v>
      </c>
      <c r="C3276" s="22"/>
      <c r="D3276" s="22"/>
      <c r="E3276" s="22"/>
      <c r="F3276" s="22"/>
      <c r="G3276" s="22"/>
      <c r="H3276" s="22"/>
      <c r="I3276" s="22"/>
      <c r="J3276" s="22"/>
      <c r="K3276" s="22"/>
      <c r="L3276" s="22"/>
      <c r="M3276" s="22"/>
      <c r="N3276" s="22"/>
      <c r="O3276" s="22"/>
      <c r="P3276" s="22"/>
      <c r="Q3276" s="22"/>
      <c r="R3276" s="22"/>
      <c r="S3276" s="22"/>
      <c r="T3276" s="22"/>
      <c r="U3276" s="22"/>
      <c r="V3276" s="22"/>
      <c r="W3276" s="22"/>
      <c r="X3276" s="22"/>
    </row>
    <row r="3277" spans="1:24" x14ac:dyDescent="0.25">
      <c r="A3277" s="22" t="s">
        <v>3816</v>
      </c>
      <c r="B3277" s="22">
        <v>0</v>
      </c>
      <c r="C3277" s="22"/>
      <c r="D3277" s="22"/>
      <c r="E3277" s="22"/>
      <c r="F3277" s="22"/>
      <c r="G3277" s="22"/>
      <c r="H3277" s="22"/>
      <c r="I3277" s="22"/>
      <c r="J3277" s="22"/>
      <c r="K3277" s="22"/>
      <c r="L3277" s="22"/>
      <c r="M3277" s="22"/>
      <c r="N3277" s="22"/>
      <c r="O3277" s="22"/>
      <c r="P3277" s="22"/>
      <c r="Q3277" s="22"/>
      <c r="R3277" s="22"/>
      <c r="S3277" s="22"/>
      <c r="T3277" s="22"/>
      <c r="U3277" s="22"/>
      <c r="V3277" s="22"/>
      <c r="W3277" s="22"/>
      <c r="X3277" s="22"/>
    </row>
    <row r="3278" spans="1:24" x14ac:dyDescent="0.25">
      <c r="A3278" s="22" t="s">
        <v>730</v>
      </c>
      <c r="B3278" s="22">
        <v>0</v>
      </c>
      <c r="C3278" s="22"/>
      <c r="D3278" s="22"/>
      <c r="E3278" s="22"/>
      <c r="F3278" s="22"/>
      <c r="G3278" s="22"/>
      <c r="H3278" s="22"/>
      <c r="I3278" s="22"/>
      <c r="J3278" s="22"/>
      <c r="K3278" s="22"/>
      <c r="L3278" s="22"/>
      <c r="M3278" s="22"/>
      <c r="N3278" s="22"/>
      <c r="O3278" s="22"/>
      <c r="P3278" s="22"/>
      <c r="Q3278" s="22"/>
      <c r="R3278" s="22"/>
      <c r="S3278" s="22"/>
      <c r="T3278" s="22"/>
      <c r="U3278" s="22"/>
      <c r="V3278" s="22"/>
      <c r="W3278" s="22"/>
      <c r="X3278" s="22"/>
    </row>
    <row r="3279" spans="1:24" x14ac:dyDescent="0.25">
      <c r="A3279" s="22" t="s">
        <v>3817</v>
      </c>
      <c r="B3279" s="22">
        <v>0</v>
      </c>
      <c r="C3279" s="22"/>
      <c r="D3279" s="22"/>
      <c r="E3279" s="22"/>
      <c r="F3279" s="22"/>
      <c r="G3279" s="22"/>
      <c r="H3279" s="22"/>
      <c r="I3279" s="22"/>
      <c r="J3279" s="22"/>
      <c r="K3279" s="22"/>
      <c r="L3279" s="22"/>
      <c r="M3279" s="22"/>
      <c r="N3279" s="22"/>
      <c r="O3279" s="22"/>
      <c r="P3279" s="22"/>
      <c r="Q3279" s="22"/>
      <c r="R3279" s="22"/>
      <c r="S3279" s="22"/>
      <c r="T3279" s="22"/>
      <c r="U3279" s="22"/>
      <c r="V3279" s="22"/>
      <c r="W3279" s="22"/>
      <c r="X3279" s="22"/>
    </row>
    <row r="3280" spans="1:24" x14ac:dyDescent="0.25">
      <c r="A3280" s="22" t="s">
        <v>3818</v>
      </c>
      <c r="B3280" s="22">
        <v>0</v>
      </c>
      <c r="C3280" s="22"/>
      <c r="D3280" s="22"/>
      <c r="E3280" s="22"/>
      <c r="F3280" s="22"/>
      <c r="G3280" s="22"/>
      <c r="H3280" s="22"/>
      <c r="I3280" s="22"/>
      <c r="J3280" s="22"/>
      <c r="K3280" s="22"/>
      <c r="L3280" s="22"/>
      <c r="M3280" s="22"/>
      <c r="N3280" s="22"/>
      <c r="O3280" s="22"/>
      <c r="P3280" s="22"/>
      <c r="Q3280" s="22"/>
      <c r="R3280" s="22"/>
      <c r="S3280" s="22"/>
      <c r="T3280" s="22"/>
      <c r="U3280" s="22"/>
      <c r="V3280" s="22"/>
      <c r="W3280" s="22"/>
      <c r="X3280" s="22"/>
    </row>
    <row r="3281" spans="1:24" x14ac:dyDescent="0.25">
      <c r="A3281" s="22" t="s">
        <v>3819</v>
      </c>
      <c r="B3281" s="22">
        <v>0</v>
      </c>
      <c r="C3281" s="22"/>
      <c r="D3281" s="22"/>
      <c r="E3281" s="22"/>
      <c r="F3281" s="22"/>
      <c r="G3281" s="22"/>
      <c r="H3281" s="22"/>
      <c r="I3281" s="22"/>
      <c r="J3281" s="22"/>
      <c r="K3281" s="22"/>
      <c r="L3281" s="22"/>
      <c r="M3281" s="22"/>
      <c r="N3281" s="22"/>
      <c r="O3281" s="22"/>
      <c r="P3281" s="22"/>
      <c r="Q3281" s="22"/>
      <c r="R3281" s="22"/>
      <c r="S3281" s="22"/>
      <c r="T3281" s="22"/>
      <c r="U3281" s="22"/>
      <c r="V3281" s="22"/>
      <c r="W3281" s="22"/>
      <c r="X3281" s="22"/>
    </row>
    <row r="3282" spans="1:24" x14ac:dyDescent="0.25">
      <c r="A3282" s="22" t="s">
        <v>3820</v>
      </c>
      <c r="B3282" s="22">
        <v>0</v>
      </c>
      <c r="C3282" s="22"/>
      <c r="D3282" s="22"/>
      <c r="E3282" s="22"/>
      <c r="F3282" s="22"/>
      <c r="G3282" s="22"/>
      <c r="H3282" s="22"/>
      <c r="I3282" s="22"/>
      <c r="J3282" s="22"/>
      <c r="K3282" s="22"/>
      <c r="L3282" s="22"/>
      <c r="M3282" s="22"/>
      <c r="N3282" s="22"/>
      <c r="O3282" s="22"/>
      <c r="P3282" s="22"/>
      <c r="Q3282" s="22"/>
      <c r="R3282" s="22"/>
      <c r="S3282" s="22"/>
      <c r="T3282" s="22"/>
      <c r="U3282" s="22"/>
      <c r="V3282" s="22"/>
      <c r="W3282" s="22"/>
      <c r="X3282" s="22"/>
    </row>
    <row r="3283" spans="1:24" x14ac:dyDescent="0.25">
      <c r="A3283" s="22" t="s">
        <v>3821</v>
      </c>
      <c r="B3283" s="22">
        <v>0</v>
      </c>
      <c r="C3283" s="22"/>
      <c r="D3283" s="22"/>
      <c r="E3283" s="22"/>
      <c r="F3283" s="22"/>
      <c r="G3283" s="22"/>
      <c r="H3283" s="22"/>
      <c r="I3283" s="22"/>
      <c r="J3283" s="22"/>
      <c r="K3283" s="22"/>
      <c r="L3283" s="22"/>
      <c r="M3283" s="22"/>
      <c r="N3283" s="22"/>
      <c r="O3283" s="22"/>
      <c r="P3283" s="22"/>
      <c r="Q3283" s="22"/>
      <c r="R3283" s="22"/>
      <c r="S3283" s="22"/>
      <c r="T3283" s="22"/>
      <c r="U3283" s="22"/>
      <c r="V3283" s="22"/>
      <c r="W3283" s="22"/>
      <c r="X3283" s="22"/>
    </row>
    <row r="3284" spans="1:24" x14ac:dyDescent="0.25">
      <c r="A3284" s="22" t="s">
        <v>3822</v>
      </c>
      <c r="B3284" s="22">
        <v>0</v>
      </c>
      <c r="C3284" s="22"/>
      <c r="D3284" s="22"/>
      <c r="E3284" s="22"/>
      <c r="F3284" s="22"/>
      <c r="G3284" s="22"/>
      <c r="H3284" s="22"/>
      <c r="I3284" s="22"/>
      <c r="J3284" s="22"/>
      <c r="K3284" s="22"/>
      <c r="L3284" s="22"/>
      <c r="M3284" s="22"/>
      <c r="N3284" s="22"/>
      <c r="O3284" s="22"/>
      <c r="P3284" s="22"/>
      <c r="Q3284" s="22"/>
      <c r="R3284" s="22"/>
      <c r="S3284" s="22"/>
      <c r="T3284" s="22"/>
      <c r="U3284" s="22"/>
      <c r="V3284" s="22"/>
      <c r="W3284" s="22"/>
      <c r="X3284" s="22"/>
    </row>
    <row r="3285" spans="1:24" x14ac:dyDescent="0.25">
      <c r="A3285" s="22" t="s">
        <v>3823</v>
      </c>
      <c r="B3285" s="22">
        <v>0</v>
      </c>
      <c r="C3285" s="22"/>
      <c r="D3285" s="22"/>
      <c r="E3285" s="22"/>
      <c r="F3285" s="22"/>
      <c r="G3285" s="22"/>
      <c r="H3285" s="22"/>
      <c r="I3285" s="22"/>
      <c r="J3285" s="22"/>
      <c r="K3285" s="22"/>
      <c r="L3285" s="22"/>
      <c r="M3285" s="22"/>
      <c r="N3285" s="22"/>
      <c r="O3285" s="22"/>
      <c r="P3285" s="22"/>
      <c r="Q3285" s="22"/>
      <c r="R3285" s="22"/>
      <c r="S3285" s="22"/>
      <c r="T3285" s="22"/>
      <c r="U3285" s="22"/>
      <c r="V3285" s="22"/>
      <c r="W3285" s="22"/>
      <c r="X3285" s="22"/>
    </row>
    <row r="3286" spans="1:24" x14ac:dyDescent="0.25">
      <c r="A3286" s="22" t="s">
        <v>5482</v>
      </c>
      <c r="B3286" s="22">
        <v>4</v>
      </c>
      <c r="C3286" s="22"/>
      <c r="D3286" s="22"/>
      <c r="E3286" s="22"/>
      <c r="F3286" s="22"/>
      <c r="G3286" s="22"/>
      <c r="H3286" s="22"/>
      <c r="I3286" s="22"/>
      <c r="J3286" s="22"/>
      <c r="K3286" s="22"/>
      <c r="L3286" s="22"/>
      <c r="M3286" s="22"/>
      <c r="N3286" s="22"/>
      <c r="O3286" s="22"/>
      <c r="P3286" s="22"/>
      <c r="Q3286" s="22"/>
      <c r="R3286" s="22"/>
      <c r="S3286" s="22"/>
      <c r="T3286" s="22"/>
      <c r="U3286" s="22"/>
      <c r="V3286" s="22"/>
      <c r="W3286" s="22"/>
      <c r="X3286" s="22"/>
    </row>
    <row r="3287" spans="1:24" x14ac:dyDescent="0.25">
      <c r="A3287" s="22" t="s">
        <v>5483</v>
      </c>
      <c r="B3287" s="22">
        <v>0</v>
      </c>
      <c r="C3287" s="22"/>
      <c r="D3287" s="22"/>
      <c r="E3287" s="22"/>
      <c r="F3287" s="22"/>
      <c r="G3287" s="22"/>
      <c r="H3287" s="22"/>
      <c r="I3287" s="22"/>
      <c r="J3287" s="22"/>
      <c r="K3287" s="22"/>
      <c r="L3287" s="22"/>
      <c r="M3287" s="22"/>
      <c r="N3287" s="22"/>
      <c r="O3287" s="22"/>
      <c r="P3287" s="22"/>
      <c r="Q3287" s="22"/>
      <c r="R3287" s="22"/>
      <c r="S3287" s="22"/>
      <c r="T3287" s="22"/>
      <c r="U3287" s="22"/>
      <c r="V3287" s="22"/>
      <c r="W3287" s="22"/>
      <c r="X3287" s="22"/>
    </row>
    <row r="3288" spans="1:24" x14ac:dyDescent="0.25">
      <c r="A3288" s="22" t="s">
        <v>5484</v>
      </c>
      <c r="B3288" s="22">
        <v>0</v>
      </c>
      <c r="C3288" s="22"/>
      <c r="D3288" s="22"/>
      <c r="E3288" s="22"/>
      <c r="F3288" s="22"/>
      <c r="G3288" s="22"/>
      <c r="H3288" s="22"/>
      <c r="I3288" s="22"/>
      <c r="J3288" s="22"/>
      <c r="K3288" s="22"/>
      <c r="L3288" s="22"/>
      <c r="M3288" s="22"/>
      <c r="N3288" s="22"/>
      <c r="O3288" s="22"/>
      <c r="P3288" s="22"/>
      <c r="Q3288" s="22"/>
      <c r="R3288" s="22"/>
      <c r="S3288" s="22"/>
      <c r="T3288" s="22"/>
      <c r="U3288" s="22"/>
      <c r="V3288" s="22"/>
      <c r="W3288" s="22"/>
      <c r="X3288" s="22"/>
    </row>
    <row r="3289" spans="1:24" x14ac:dyDescent="0.25">
      <c r="A3289" s="22" t="s">
        <v>5485</v>
      </c>
      <c r="B3289" s="22">
        <v>0</v>
      </c>
      <c r="C3289" s="22"/>
      <c r="D3289" s="22"/>
      <c r="E3289" s="22"/>
      <c r="F3289" s="22"/>
      <c r="G3289" s="22"/>
      <c r="H3289" s="22"/>
      <c r="I3289" s="22"/>
      <c r="J3289" s="22"/>
      <c r="K3289" s="22"/>
      <c r="L3289" s="22"/>
      <c r="M3289" s="22"/>
      <c r="N3289" s="22"/>
      <c r="O3289" s="22"/>
      <c r="P3289" s="22"/>
      <c r="Q3289" s="22"/>
      <c r="R3289" s="22"/>
      <c r="S3289" s="22"/>
      <c r="T3289" s="22"/>
      <c r="U3289" s="22"/>
      <c r="V3289" s="22"/>
      <c r="W3289" s="22"/>
      <c r="X3289" s="22"/>
    </row>
    <row r="3290" spans="1:24" x14ac:dyDescent="0.25">
      <c r="A3290" s="22" t="s">
        <v>5486</v>
      </c>
      <c r="B3290" s="22">
        <v>21</v>
      </c>
      <c r="C3290" s="22"/>
      <c r="D3290" s="22"/>
      <c r="E3290" s="22"/>
      <c r="F3290" s="22"/>
      <c r="G3290" s="22"/>
      <c r="H3290" s="22"/>
      <c r="I3290" s="22"/>
      <c r="J3290" s="22"/>
      <c r="K3290" s="22"/>
      <c r="L3290" s="22"/>
      <c r="M3290" s="22"/>
      <c r="N3290" s="22"/>
      <c r="O3290" s="22"/>
      <c r="P3290" s="22"/>
      <c r="Q3290" s="22"/>
      <c r="R3290" s="22"/>
      <c r="S3290" s="22"/>
      <c r="T3290" s="22"/>
      <c r="U3290" s="22"/>
      <c r="V3290" s="22"/>
      <c r="W3290" s="22"/>
      <c r="X3290" s="22"/>
    </row>
    <row r="3291" spans="1:24" x14ac:dyDescent="0.25">
      <c r="A3291" s="22" t="s">
        <v>5487</v>
      </c>
      <c r="B3291" s="22">
        <v>0</v>
      </c>
      <c r="C3291" s="22"/>
      <c r="D3291" s="22"/>
      <c r="E3291" s="22"/>
      <c r="F3291" s="22"/>
      <c r="G3291" s="22"/>
      <c r="H3291" s="22"/>
      <c r="I3291" s="22"/>
      <c r="J3291" s="22"/>
      <c r="K3291" s="22"/>
      <c r="L3291" s="22"/>
      <c r="M3291" s="22"/>
      <c r="N3291" s="22"/>
      <c r="O3291" s="22"/>
      <c r="P3291" s="22"/>
      <c r="Q3291" s="22"/>
      <c r="R3291" s="22"/>
      <c r="S3291" s="22"/>
      <c r="T3291" s="22"/>
      <c r="U3291" s="22"/>
      <c r="V3291" s="22"/>
      <c r="W3291" s="22"/>
      <c r="X3291" s="22"/>
    </row>
    <row r="3292" spans="1:24" x14ac:dyDescent="0.25">
      <c r="A3292" s="22" t="s">
        <v>5488</v>
      </c>
      <c r="B3292" s="22">
        <v>0</v>
      </c>
      <c r="C3292" s="22"/>
      <c r="D3292" s="22"/>
      <c r="E3292" s="22"/>
      <c r="F3292" s="22"/>
      <c r="G3292" s="22"/>
      <c r="H3292" s="22"/>
      <c r="I3292" s="22"/>
      <c r="J3292" s="22"/>
      <c r="K3292" s="22"/>
      <c r="L3292" s="22"/>
      <c r="M3292" s="22"/>
      <c r="N3292" s="22"/>
      <c r="O3292" s="22"/>
      <c r="P3292" s="22"/>
      <c r="Q3292" s="22"/>
      <c r="R3292" s="22"/>
      <c r="S3292" s="22"/>
      <c r="T3292" s="22"/>
      <c r="U3292" s="22"/>
      <c r="V3292" s="22"/>
      <c r="W3292" s="22"/>
      <c r="X3292" s="22"/>
    </row>
    <row r="3293" spans="1:24" x14ac:dyDescent="0.25">
      <c r="A3293" s="22" t="s">
        <v>5489</v>
      </c>
      <c r="B3293" s="22">
        <v>0</v>
      </c>
      <c r="C3293" s="22"/>
      <c r="D3293" s="22"/>
      <c r="E3293" s="22"/>
      <c r="F3293" s="22"/>
      <c r="G3293" s="22"/>
      <c r="H3293" s="22"/>
      <c r="I3293" s="22"/>
      <c r="J3293" s="22"/>
      <c r="K3293" s="22"/>
      <c r="L3293" s="22"/>
      <c r="M3293" s="22"/>
      <c r="N3293" s="22"/>
      <c r="O3293" s="22"/>
      <c r="P3293" s="22"/>
      <c r="Q3293" s="22"/>
      <c r="R3293" s="22"/>
      <c r="S3293" s="22"/>
      <c r="T3293" s="22"/>
      <c r="U3293" s="22"/>
      <c r="V3293" s="22"/>
      <c r="W3293" s="22"/>
      <c r="X3293" s="22"/>
    </row>
    <row r="3294" spans="1:24" x14ac:dyDescent="0.25">
      <c r="A3294" s="22" t="s">
        <v>5490</v>
      </c>
      <c r="B3294" s="22">
        <v>12</v>
      </c>
      <c r="C3294" s="22"/>
      <c r="D3294" s="22"/>
      <c r="E3294" s="22"/>
      <c r="F3294" s="22"/>
      <c r="G3294" s="22"/>
      <c r="H3294" s="22"/>
      <c r="I3294" s="22"/>
      <c r="J3294" s="22"/>
      <c r="K3294" s="22"/>
      <c r="L3294" s="22"/>
      <c r="M3294" s="22"/>
      <c r="N3294" s="22"/>
      <c r="O3294" s="22"/>
      <c r="P3294" s="22"/>
      <c r="Q3294" s="22"/>
      <c r="R3294" s="22"/>
      <c r="S3294" s="22"/>
      <c r="T3294" s="22"/>
      <c r="U3294" s="22"/>
      <c r="V3294" s="22"/>
      <c r="W3294" s="22"/>
      <c r="X3294" s="22"/>
    </row>
    <row r="3295" spans="1:24" x14ac:dyDescent="0.25">
      <c r="A3295" s="22" t="s">
        <v>5491</v>
      </c>
      <c r="B3295" s="22">
        <v>0</v>
      </c>
      <c r="C3295" s="22"/>
      <c r="D3295" s="22"/>
      <c r="E3295" s="22"/>
      <c r="F3295" s="22"/>
      <c r="G3295" s="22"/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  <c r="X3295" s="22"/>
    </row>
    <row r="3296" spans="1:24" x14ac:dyDescent="0.25">
      <c r="A3296" s="22" t="s">
        <v>5492</v>
      </c>
      <c r="B3296" s="22">
        <v>0</v>
      </c>
      <c r="C3296" s="22"/>
      <c r="D3296" s="22"/>
      <c r="E3296" s="22"/>
      <c r="F3296" s="22"/>
      <c r="G3296" s="22"/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  <c r="X3296" s="22"/>
    </row>
    <row r="3297" spans="1:24" x14ac:dyDescent="0.25">
      <c r="A3297" s="22" t="s">
        <v>5493</v>
      </c>
      <c r="B3297" s="22">
        <v>0</v>
      </c>
      <c r="C3297" s="22"/>
      <c r="D3297" s="22"/>
      <c r="E3297" s="22"/>
      <c r="F3297" s="22"/>
      <c r="G3297" s="22"/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  <c r="X3297" s="22"/>
    </row>
    <row r="3298" spans="1:24" x14ac:dyDescent="0.25">
      <c r="A3298" s="22" t="s">
        <v>5494</v>
      </c>
      <c r="B3298" s="22">
        <v>0</v>
      </c>
      <c r="C3298" s="22"/>
      <c r="D3298" s="22"/>
      <c r="E3298" s="22"/>
      <c r="F3298" s="22"/>
      <c r="G3298" s="22"/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  <c r="X3298" s="22"/>
    </row>
    <row r="3299" spans="1:24" x14ac:dyDescent="0.25">
      <c r="A3299" s="22" t="s">
        <v>5495</v>
      </c>
      <c r="B3299" s="22">
        <v>0</v>
      </c>
      <c r="C3299" s="22"/>
      <c r="D3299" s="22"/>
      <c r="E3299" s="22"/>
      <c r="F3299" s="22"/>
      <c r="G3299" s="22"/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  <c r="X3299" s="22"/>
    </row>
    <row r="3300" spans="1:24" x14ac:dyDescent="0.25">
      <c r="A3300" s="22" t="s">
        <v>5496</v>
      </c>
      <c r="B3300" s="22">
        <v>0</v>
      </c>
      <c r="C3300" s="22"/>
      <c r="D3300" s="22"/>
      <c r="E3300" s="22"/>
      <c r="F3300" s="22"/>
      <c r="G3300" s="22"/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  <c r="X3300" s="22"/>
    </row>
    <row r="3301" spans="1:24" x14ac:dyDescent="0.25">
      <c r="A3301" s="22" t="s">
        <v>5497</v>
      </c>
      <c r="B3301" s="22">
        <v>0</v>
      </c>
      <c r="C3301" s="22"/>
      <c r="D3301" s="22"/>
      <c r="E3301" s="22"/>
      <c r="F3301" s="22"/>
      <c r="G3301" s="22"/>
      <c r="H3301" s="22"/>
      <c r="I3301" s="22"/>
      <c r="J3301" s="22"/>
      <c r="K3301" s="22"/>
      <c r="L3301" s="22"/>
      <c r="M3301" s="22"/>
      <c r="N3301" s="22"/>
      <c r="O3301" s="22"/>
      <c r="P3301" s="22"/>
      <c r="Q3301" s="22"/>
      <c r="R3301" s="22"/>
      <c r="S3301" s="22"/>
      <c r="T3301" s="22"/>
      <c r="U3301" s="22"/>
      <c r="V3301" s="22"/>
      <c r="W3301" s="22"/>
      <c r="X3301" s="22"/>
    </row>
    <row r="3302" spans="1:24" x14ac:dyDescent="0.25">
      <c r="A3302" s="22" t="s">
        <v>5498</v>
      </c>
      <c r="B3302" s="22">
        <v>19</v>
      </c>
      <c r="C3302" s="22"/>
      <c r="D3302" s="22"/>
      <c r="E3302" s="22"/>
      <c r="F3302" s="22"/>
      <c r="G3302" s="22"/>
      <c r="H3302" s="22"/>
      <c r="I3302" s="22"/>
      <c r="J3302" s="22"/>
      <c r="K3302" s="22"/>
      <c r="L3302" s="22"/>
      <c r="M3302" s="22"/>
      <c r="N3302" s="22"/>
      <c r="O3302" s="22"/>
      <c r="P3302" s="22"/>
      <c r="Q3302" s="22"/>
      <c r="R3302" s="22"/>
      <c r="S3302" s="22"/>
      <c r="T3302" s="22"/>
      <c r="U3302" s="22"/>
      <c r="V3302" s="22"/>
      <c r="W3302" s="22"/>
      <c r="X3302" s="22"/>
    </row>
    <row r="3303" spans="1:24" x14ac:dyDescent="0.25">
      <c r="A3303" s="22" t="s">
        <v>5499</v>
      </c>
      <c r="B3303" s="22">
        <v>0</v>
      </c>
      <c r="C3303" s="22"/>
      <c r="D3303" s="22"/>
      <c r="E3303" s="22"/>
      <c r="F3303" s="22"/>
      <c r="G3303" s="22"/>
      <c r="H3303" s="22"/>
      <c r="I3303" s="22"/>
      <c r="J3303" s="22"/>
      <c r="K3303" s="22"/>
      <c r="L3303" s="22"/>
      <c r="M3303" s="22"/>
      <c r="N3303" s="22"/>
      <c r="O3303" s="22"/>
      <c r="P3303" s="22"/>
      <c r="Q3303" s="22"/>
      <c r="R3303" s="22"/>
      <c r="S3303" s="22"/>
      <c r="T3303" s="22"/>
      <c r="U3303" s="22"/>
      <c r="V3303" s="22"/>
      <c r="W3303" s="22"/>
      <c r="X3303" s="22"/>
    </row>
    <row r="3304" spans="1:24" x14ac:dyDescent="0.25">
      <c r="A3304" s="22" t="s">
        <v>5500</v>
      </c>
      <c r="B3304" s="22">
        <v>0</v>
      </c>
      <c r="C3304" s="22"/>
      <c r="D3304" s="22"/>
      <c r="E3304" s="22"/>
      <c r="F3304" s="22"/>
      <c r="G3304" s="22"/>
      <c r="H3304" s="22"/>
      <c r="I3304" s="22"/>
      <c r="J3304" s="22"/>
      <c r="K3304" s="22"/>
      <c r="L3304" s="22"/>
      <c r="M3304" s="22"/>
      <c r="N3304" s="22"/>
      <c r="O3304" s="22"/>
      <c r="P3304" s="22"/>
      <c r="Q3304" s="22"/>
      <c r="R3304" s="22"/>
      <c r="S3304" s="22"/>
      <c r="T3304" s="22"/>
      <c r="U3304" s="22"/>
      <c r="V3304" s="22"/>
      <c r="W3304" s="22"/>
      <c r="X3304" s="22"/>
    </row>
    <row r="3305" spans="1:24" x14ac:dyDescent="0.25">
      <c r="A3305" s="22" t="s">
        <v>5501</v>
      </c>
      <c r="B3305" s="22">
        <v>0</v>
      </c>
      <c r="C3305" s="22"/>
      <c r="D3305" s="22"/>
      <c r="E3305" s="22"/>
      <c r="F3305" s="22"/>
      <c r="G3305" s="22"/>
      <c r="H3305" s="22"/>
      <c r="I3305" s="22"/>
      <c r="J3305" s="22"/>
      <c r="K3305" s="22"/>
      <c r="L3305" s="22"/>
      <c r="M3305" s="22"/>
      <c r="N3305" s="22"/>
      <c r="O3305" s="22"/>
      <c r="P3305" s="22"/>
      <c r="Q3305" s="22"/>
      <c r="R3305" s="22"/>
      <c r="S3305" s="22"/>
      <c r="T3305" s="22"/>
      <c r="U3305" s="22"/>
      <c r="V3305" s="22"/>
      <c r="W3305" s="22"/>
      <c r="X3305" s="22"/>
    </row>
    <row r="3306" spans="1:24" x14ac:dyDescent="0.25">
      <c r="A3306" s="22" t="s">
        <v>5502</v>
      </c>
      <c r="B3306" s="22">
        <v>0</v>
      </c>
      <c r="C3306" s="22"/>
      <c r="D3306" s="22"/>
      <c r="E3306" s="22"/>
      <c r="F3306" s="22"/>
      <c r="G3306" s="22"/>
      <c r="H3306" s="22"/>
      <c r="I3306" s="22"/>
      <c r="J3306" s="22"/>
      <c r="K3306" s="22"/>
      <c r="L3306" s="22"/>
      <c r="M3306" s="22"/>
      <c r="N3306" s="22"/>
      <c r="O3306" s="22"/>
      <c r="P3306" s="22"/>
      <c r="Q3306" s="22"/>
      <c r="R3306" s="22"/>
      <c r="S3306" s="22"/>
      <c r="T3306" s="22"/>
      <c r="U3306" s="22"/>
      <c r="V3306" s="22"/>
      <c r="W3306" s="22"/>
      <c r="X3306" s="22"/>
    </row>
    <row r="3307" spans="1:24" x14ac:dyDescent="0.25">
      <c r="A3307" s="22" t="s">
        <v>5503</v>
      </c>
      <c r="B3307" s="22">
        <v>0</v>
      </c>
      <c r="C3307" s="22"/>
      <c r="D3307" s="22"/>
      <c r="E3307" s="22"/>
      <c r="F3307" s="22"/>
      <c r="G3307" s="22"/>
      <c r="H3307" s="22"/>
      <c r="I3307" s="22"/>
      <c r="J3307" s="22"/>
      <c r="K3307" s="22"/>
      <c r="L3307" s="22"/>
      <c r="M3307" s="22"/>
      <c r="N3307" s="22"/>
      <c r="O3307" s="22"/>
      <c r="P3307" s="22"/>
      <c r="Q3307" s="22"/>
      <c r="R3307" s="22"/>
      <c r="S3307" s="22"/>
      <c r="T3307" s="22"/>
      <c r="U3307" s="22"/>
      <c r="V3307" s="22"/>
      <c r="W3307" s="22"/>
      <c r="X3307" s="22"/>
    </row>
    <row r="3308" spans="1:24" x14ac:dyDescent="0.25">
      <c r="A3308" s="22" t="s">
        <v>5504</v>
      </c>
      <c r="B3308" s="22">
        <v>0</v>
      </c>
      <c r="C3308" s="22"/>
      <c r="D3308" s="22"/>
      <c r="E3308" s="22"/>
      <c r="F3308" s="22"/>
      <c r="G3308" s="22"/>
      <c r="H3308" s="22"/>
      <c r="I3308" s="22"/>
      <c r="J3308" s="22"/>
      <c r="K3308" s="22"/>
      <c r="L3308" s="22"/>
      <c r="M3308" s="22"/>
      <c r="N3308" s="22"/>
      <c r="O3308" s="22"/>
      <c r="P3308" s="22"/>
      <c r="Q3308" s="22"/>
      <c r="R3308" s="22"/>
      <c r="S3308" s="22"/>
      <c r="T3308" s="22"/>
      <c r="U3308" s="22"/>
      <c r="V3308" s="22"/>
      <c r="W3308" s="22"/>
      <c r="X3308" s="22"/>
    </row>
    <row r="3309" spans="1:24" x14ac:dyDescent="0.25">
      <c r="A3309" s="22" t="s">
        <v>5505</v>
      </c>
      <c r="B3309" s="22">
        <v>0</v>
      </c>
      <c r="C3309" s="22"/>
      <c r="D3309" s="22"/>
      <c r="E3309" s="22"/>
      <c r="F3309" s="22"/>
      <c r="G3309" s="22"/>
      <c r="H3309" s="22"/>
      <c r="I3309" s="22"/>
      <c r="J3309" s="22"/>
      <c r="K3309" s="22"/>
      <c r="L3309" s="22"/>
      <c r="M3309" s="22"/>
      <c r="N3309" s="22"/>
      <c r="O3309" s="22"/>
      <c r="P3309" s="22"/>
      <c r="Q3309" s="22"/>
      <c r="R3309" s="22"/>
      <c r="S3309" s="22"/>
      <c r="T3309" s="22"/>
      <c r="U3309" s="22"/>
      <c r="V3309" s="22"/>
      <c r="W3309" s="22"/>
      <c r="X3309" s="22"/>
    </row>
    <row r="3310" spans="1:24" x14ac:dyDescent="0.25">
      <c r="A3310" s="22" t="s">
        <v>5506</v>
      </c>
      <c r="B3310" s="22">
        <v>0</v>
      </c>
      <c r="C3310" s="22"/>
      <c r="D3310" s="22"/>
      <c r="E3310" s="22"/>
      <c r="F3310" s="22"/>
      <c r="G3310" s="22"/>
      <c r="H3310" s="22"/>
      <c r="I3310" s="22"/>
      <c r="J3310" s="22"/>
      <c r="K3310" s="22"/>
      <c r="L3310" s="22"/>
      <c r="M3310" s="22"/>
      <c r="N3310" s="22"/>
      <c r="O3310" s="22"/>
      <c r="P3310" s="22"/>
      <c r="Q3310" s="22"/>
      <c r="R3310" s="22"/>
      <c r="S3310" s="22"/>
      <c r="T3310" s="22"/>
      <c r="U3310" s="22"/>
      <c r="V3310" s="22"/>
      <c r="W3310" s="22"/>
      <c r="X3310" s="22"/>
    </row>
    <row r="3311" spans="1:24" x14ac:dyDescent="0.25">
      <c r="A3311" s="22" t="s">
        <v>5507</v>
      </c>
      <c r="B3311" s="22">
        <v>0</v>
      </c>
      <c r="C3311" s="22"/>
      <c r="D3311" s="22"/>
      <c r="E3311" s="22"/>
      <c r="F3311" s="22"/>
      <c r="G3311" s="22"/>
      <c r="H3311" s="22"/>
      <c r="I3311" s="22"/>
      <c r="J3311" s="22"/>
      <c r="K3311" s="22"/>
      <c r="L3311" s="22"/>
      <c r="M3311" s="22"/>
      <c r="N3311" s="22"/>
      <c r="O3311" s="22"/>
      <c r="P3311" s="22"/>
      <c r="Q3311" s="22"/>
      <c r="R3311" s="22"/>
      <c r="S3311" s="22"/>
      <c r="T3311" s="22"/>
      <c r="U3311" s="22"/>
      <c r="V3311" s="22"/>
      <c r="W3311" s="22"/>
      <c r="X3311" s="22"/>
    </row>
    <row r="3312" spans="1:24" x14ac:dyDescent="0.25">
      <c r="A3312" s="22" t="s">
        <v>5508</v>
      </c>
      <c r="B3312" s="22">
        <v>0</v>
      </c>
      <c r="C3312" s="22"/>
      <c r="D3312" s="22"/>
      <c r="E3312" s="22"/>
      <c r="F3312" s="22"/>
      <c r="G3312" s="22"/>
      <c r="H3312" s="22"/>
      <c r="I3312" s="22"/>
      <c r="J3312" s="22"/>
      <c r="K3312" s="22"/>
      <c r="L3312" s="22"/>
      <c r="M3312" s="22"/>
      <c r="N3312" s="22"/>
      <c r="O3312" s="22"/>
      <c r="P3312" s="22"/>
      <c r="Q3312" s="22"/>
      <c r="R3312" s="22"/>
      <c r="S3312" s="22"/>
      <c r="T3312" s="22"/>
      <c r="U3312" s="22"/>
      <c r="V3312" s="22"/>
      <c r="W3312" s="22"/>
      <c r="X3312" s="22"/>
    </row>
    <row r="3313" spans="1:24" x14ac:dyDescent="0.25">
      <c r="A3313" s="22" t="s">
        <v>5509</v>
      </c>
      <c r="B3313" s="22">
        <v>0</v>
      </c>
      <c r="C3313" s="22"/>
      <c r="D3313" s="22"/>
      <c r="E3313" s="22"/>
      <c r="F3313" s="22"/>
      <c r="G3313" s="22"/>
      <c r="H3313" s="22"/>
      <c r="I3313" s="22"/>
      <c r="J3313" s="22"/>
      <c r="K3313" s="22"/>
      <c r="L3313" s="22"/>
      <c r="M3313" s="22"/>
      <c r="N3313" s="22"/>
      <c r="O3313" s="22"/>
      <c r="P3313" s="22"/>
      <c r="Q3313" s="22"/>
      <c r="R3313" s="22"/>
      <c r="S3313" s="22"/>
      <c r="T3313" s="22"/>
      <c r="U3313" s="22"/>
      <c r="V3313" s="22"/>
      <c r="W3313" s="22"/>
      <c r="X3313" s="22"/>
    </row>
    <row r="3314" spans="1:24" x14ac:dyDescent="0.25">
      <c r="A3314" s="22" t="s">
        <v>5510</v>
      </c>
      <c r="B3314" s="22">
        <v>0</v>
      </c>
      <c r="C3314" s="22"/>
      <c r="D3314" s="22"/>
      <c r="E3314" s="22"/>
      <c r="F3314" s="22"/>
      <c r="G3314" s="22"/>
      <c r="H3314" s="22"/>
      <c r="I3314" s="22"/>
      <c r="J3314" s="22"/>
      <c r="K3314" s="22"/>
      <c r="L3314" s="22"/>
      <c r="M3314" s="22"/>
      <c r="N3314" s="22"/>
      <c r="O3314" s="22"/>
      <c r="P3314" s="22"/>
      <c r="Q3314" s="22"/>
      <c r="R3314" s="22"/>
      <c r="S3314" s="22"/>
      <c r="T3314" s="22"/>
      <c r="U3314" s="22"/>
      <c r="V3314" s="22"/>
      <c r="W3314" s="22"/>
      <c r="X3314" s="22"/>
    </row>
    <row r="3315" spans="1:24" x14ac:dyDescent="0.25">
      <c r="A3315" s="22" t="s">
        <v>5511</v>
      </c>
      <c r="B3315" s="22">
        <v>0</v>
      </c>
      <c r="C3315" s="22"/>
      <c r="D3315" s="22"/>
      <c r="E3315" s="22"/>
      <c r="F3315" s="22"/>
      <c r="G3315" s="22"/>
      <c r="H3315" s="22"/>
      <c r="I3315" s="22"/>
      <c r="J3315" s="22"/>
      <c r="K3315" s="22"/>
      <c r="L3315" s="22"/>
      <c r="M3315" s="22"/>
      <c r="N3315" s="22"/>
      <c r="O3315" s="22"/>
      <c r="P3315" s="22"/>
      <c r="Q3315" s="22"/>
      <c r="R3315" s="22"/>
      <c r="S3315" s="22"/>
      <c r="T3315" s="22"/>
      <c r="U3315" s="22"/>
      <c r="V3315" s="22"/>
      <c r="W3315" s="22"/>
      <c r="X3315" s="22"/>
    </row>
    <row r="3316" spans="1:24" x14ac:dyDescent="0.25">
      <c r="A3316" s="22" t="s">
        <v>5512</v>
      </c>
      <c r="B3316" s="22">
        <v>0</v>
      </c>
      <c r="C3316" s="22"/>
      <c r="D3316" s="22"/>
      <c r="E3316" s="22"/>
      <c r="F3316" s="22"/>
      <c r="G3316" s="22"/>
      <c r="H3316" s="22"/>
      <c r="I3316" s="22"/>
      <c r="J3316" s="22"/>
      <c r="K3316" s="22"/>
      <c r="L3316" s="22"/>
      <c r="M3316" s="22"/>
      <c r="N3316" s="22"/>
      <c r="O3316" s="22"/>
      <c r="P3316" s="22"/>
      <c r="Q3316" s="22"/>
      <c r="R3316" s="22"/>
      <c r="S3316" s="22"/>
      <c r="T3316" s="22"/>
      <c r="U3316" s="22"/>
      <c r="V3316" s="22"/>
      <c r="W3316" s="22"/>
      <c r="X3316" s="22"/>
    </row>
    <row r="3317" spans="1:24" x14ac:dyDescent="0.25">
      <c r="A3317" s="22" t="s">
        <v>5513</v>
      </c>
      <c r="B3317" s="22">
        <v>0</v>
      </c>
      <c r="C3317" s="22"/>
      <c r="D3317" s="22"/>
      <c r="E3317" s="22"/>
      <c r="F3317" s="22"/>
      <c r="G3317" s="22"/>
      <c r="H3317" s="22"/>
      <c r="I3317" s="22"/>
      <c r="J3317" s="22"/>
      <c r="K3317" s="22"/>
      <c r="L3317" s="22"/>
      <c r="M3317" s="22"/>
      <c r="N3317" s="22"/>
      <c r="O3317" s="22"/>
      <c r="P3317" s="22"/>
      <c r="Q3317" s="22"/>
      <c r="R3317" s="22"/>
      <c r="S3317" s="22"/>
      <c r="T3317" s="22"/>
      <c r="U3317" s="22"/>
      <c r="V3317" s="22"/>
      <c r="W3317" s="22"/>
      <c r="X3317" s="22"/>
    </row>
    <row r="3318" spans="1:24" x14ac:dyDescent="0.25">
      <c r="A3318" s="22" t="s">
        <v>5514</v>
      </c>
      <c r="B3318" s="22">
        <v>1</v>
      </c>
      <c r="C3318" s="22"/>
      <c r="D3318" s="22"/>
      <c r="E3318" s="22"/>
      <c r="F3318" s="22"/>
      <c r="G3318" s="22"/>
      <c r="H3318" s="22"/>
      <c r="I3318" s="22"/>
      <c r="J3318" s="22"/>
      <c r="K3318" s="22"/>
      <c r="L3318" s="22"/>
      <c r="M3318" s="22"/>
      <c r="N3318" s="22"/>
      <c r="O3318" s="22"/>
      <c r="P3318" s="22"/>
      <c r="Q3318" s="22"/>
      <c r="R3318" s="22"/>
      <c r="S3318" s="22"/>
      <c r="T3318" s="22"/>
      <c r="U3318" s="22"/>
      <c r="V3318" s="22"/>
      <c r="W3318" s="22"/>
      <c r="X3318" s="22"/>
    </row>
    <row r="3319" spans="1:24" x14ac:dyDescent="0.25">
      <c r="A3319" s="22" t="s">
        <v>5515</v>
      </c>
      <c r="B3319" s="22">
        <v>0</v>
      </c>
      <c r="C3319" s="22"/>
      <c r="D3319" s="22"/>
      <c r="E3319" s="22"/>
      <c r="F3319" s="22"/>
      <c r="G3319" s="22"/>
      <c r="H3319" s="22"/>
      <c r="I3319" s="22"/>
      <c r="J3319" s="22"/>
      <c r="K3319" s="22"/>
      <c r="L3319" s="22"/>
      <c r="M3319" s="22"/>
      <c r="N3319" s="22"/>
      <c r="O3319" s="22"/>
      <c r="P3319" s="22"/>
      <c r="Q3319" s="22"/>
      <c r="R3319" s="22"/>
      <c r="S3319" s="22"/>
      <c r="T3319" s="22"/>
      <c r="U3319" s="22"/>
      <c r="V3319" s="22"/>
      <c r="W3319" s="22"/>
      <c r="X3319" s="22"/>
    </row>
    <row r="3320" spans="1:24" x14ac:dyDescent="0.25">
      <c r="A3320" s="22" t="s">
        <v>5516</v>
      </c>
      <c r="B3320" s="22">
        <v>0</v>
      </c>
      <c r="C3320" s="22"/>
      <c r="D3320" s="22"/>
      <c r="E3320" s="22"/>
      <c r="F3320" s="22"/>
      <c r="G3320" s="22"/>
      <c r="H3320" s="22"/>
      <c r="I3320" s="22"/>
      <c r="J3320" s="22"/>
      <c r="K3320" s="22"/>
      <c r="L3320" s="22"/>
      <c r="M3320" s="22"/>
      <c r="N3320" s="22"/>
      <c r="O3320" s="22"/>
      <c r="P3320" s="22"/>
      <c r="Q3320" s="22"/>
      <c r="R3320" s="22"/>
      <c r="S3320" s="22"/>
      <c r="T3320" s="22"/>
      <c r="U3320" s="22"/>
      <c r="V3320" s="22"/>
      <c r="W3320" s="22"/>
      <c r="X3320" s="22"/>
    </row>
    <row r="3321" spans="1:24" x14ac:dyDescent="0.25">
      <c r="A3321" s="22" t="s">
        <v>5517</v>
      </c>
      <c r="B3321" s="22">
        <v>0</v>
      </c>
      <c r="C3321" s="22"/>
      <c r="D3321" s="22"/>
      <c r="E3321" s="22"/>
      <c r="F3321" s="22"/>
      <c r="G3321" s="22"/>
      <c r="H3321" s="22"/>
      <c r="I3321" s="22"/>
      <c r="J3321" s="22"/>
      <c r="K3321" s="22"/>
      <c r="L3321" s="22"/>
      <c r="M3321" s="22"/>
      <c r="N3321" s="22"/>
      <c r="O3321" s="22"/>
      <c r="P3321" s="22"/>
      <c r="Q3321" s="22"/>
      <c r="R3321" s="22"/>
      <c r="S3321" s="22"/>
      <c r="T3321" s="22"/>
      <c r="U3321" s="22"/>
      <c r="V3321" s="22"/>
      <c r="W3321" s="22"/>
      <c r="X3321" s="22"/>
    </row>
    <row r="3322" spans="1:24" x14ac:dyDescent="0.25">
      <c r="A3322" s="22" t="s">
        <v>5518</v>
      </c>
      <c r="B3322" s="22">
        <v>0</v>
      </c>
      <c r="C3322" s="22"/>
      <c r="D3322" s="22"/>
      <c r="E3322" s="22"/>
      <c r="F3322" s="22"/>
      <c r="G3322" s="22"/>
      <c r="H3322" s="22"/>
      <c r="I3322" s="22"/>
      <c r="J3322" s="22"/>
      <c r="K3322" s="22"/>
      <c r="L3322" s="22"/>
      <c r="M3322" s="22"/>
      <c r="N3322" s="22"/>
      <c r="O3322" s="22"/>
      <c r="P3322" s="22"/>
      <c r="Q3322" s="22"/>
      <c r="R3322" s="22"/>
      <c r="S3322" s="22"/>
      <c r="T3322" s="22"/>
      <c r="U3322" s="22"/>
      <c r="V3322" s="22"/>
      <c r="W3322" s="22"/>
      <c r="X3322" s="22"/>
    </row>
    <row r="3323" spans="1:24" x14ac:dyDescent="0.25">
      <c r="A3323" s="22" t="s">
        <v>5519</v>
      </c>
      <c r="B3323" s="22">
        <v>0</v>
      </c>
      <c r="C3323" s="22"/>
      <c r="D3323" s="22"/>
      <c r="E3323" s="22"/>
      <c r="F3323" s="22"/>
      <c r="G3323" s="22"/>
      <c r="H3323" s="22"/>
      <c r="I3323" s="22"/>
      <c r="J3323" s="22"/>
      <c r="K3323" s="22"/>
      <c r="L3323" s="22"/>
      <c r="M3323" s="22"/>
      <c r="N3323" s="22"/>
      <c r="O3323" s="22"/>
      <c r="P3323" s="22"/>
      <c r="Q3323" s="22"/>
      <c r="R3323" s="22"/>
      <c r="S3323" s="22"/>
      <c r="T3323" s="22"/>
      <c r="U3323" s="22"/>
      <c r="V3323" s="22"/>
      <c r="W3323" s="22"/>
      <c r="X3323" s="22"/>
    </row>
    <row r="3324" spans="1:24" x14ac:dyDescent="0.25">
      <c r="A3324" s="22" t="s">
        <v>5520</v>
      </c>
      <c r="B3324" s="22">
        <v>0</v>
      </c>
      <c r="C3324" s="22"/>
      <c r="D3324" s="22"/>
      <c r="E3324" s="22"/>
      <c r="F3324" s="22"/>
      <c r="G3324" s="22"/>
      <c r="H3324" s="22"/>
      <c r="I3324" s="22"/>
      <c r="J3324" s="22"/>
      <c r="K3324" s="22"/>
      <c r="L3324" s="22"/>
      <c r="M3324" s="22"/>
      <c r="N3324" s="22"/>
      <c r="O3324" s="22"/>
      <c r="P3324" s="22"/>
      <c r="Q3324" s="22"/>
      <c r="R3324" s="22"/>
      <c r="S3324" s="22"/>
      <c r="T3324" s="22"/>
      <c r="U3324" s="22"/>
      <c r="V3324" s="22"/>
      <c r="W3324" s="22"/>
      <c r="X3324" s="22"/>
    </row>
    <row r="3325" spans="1:24" x14ac:dyDescent="0.25">
      <c r="A3325" s="22" t="s">
        <v>5521</v>
      </c>
      <c r="B3325" s="22">
        <v>0</v>
      </c>
      <c r="C3325" s="22"/>
      <c r="D3325" s="22"/>
      <c r="E3325" s="22"/>
      <c r="F3325" s="22"/>
      <c r="G3325" s="22"/>
      <c r="H3325" s="22"/>
      <c r="I3325" s="22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22"/>
      <c r="V3325" s="22"/>
      <c r="W3325" s="22"/>
      <c r="X3325" s="22"/>
    </row>
    <row r="3326" spans="1:24" x14ac:dyDescent="0.25">
      <c r="A3326" s="22" t="s">
        <v>5522</v>
      </c>
      <c r="B3326" s="22">
        <v>20</v>
      </c>
      <c r="C3326" s="22"/>
      <c r="D3326" s="22"/>
      <c r="E3326" s="22"/>
      <c r="F3326" s="22"/>
      <c r="G3326" s="22"/>
      <c r="H3326" s="22"/>
      <c r="I3326" s="22"/>
      <c r="J3326" s="22"/>
      <c r="K3326" s="22"/>
      <c r="L3326" s="22"/>
      <c r="M3326" s="22"/>
      <c r="N3326" s="22"/>
      <c r="O3326" s="22"/>
      <c r="P3326" s="22"/>
      <c r="Q3326" s="22"/>
      <c r="R3326" s="22"/>
      <c r="S3326" s="22"/>
      <c r="T3326" s="22"/>
      <c r="U3326" s="22"/>
      <c r="V3326" s="22"/>
      <c r="W3326" s="22"/>
      <c r="X3326" s="22"/>
    </row>
    <row r="3327" spans="1:24" x14ac:dyDescent="0.25">
      <c r="A3327" s="22" t="s">
        <v>5523</v>
      </c>
      <c r="B3327" s="22">
        <v>0</v>
      </c>
      <c r="C3327" s="22"/>
      <c r="D3327" s="22"/>
      <c r="E3327" s="22"/>
      <c r="F3327" s="22"/>
      <c r="G3327" s="22"/>
      <c r="H3327" s="22"/>
      <c r="I3327" s="22"/>
      <c r="J3327" s="22"/>
      <c r="K3327" s="22"/>
      <c r="L3327" s="22"/>
      <c r="M3327" s="22"/>
      <c r="N3327" s="22"/>
      <c r="O3327" s="22"/>
      <c r="P3327" s="22"/>
      <c r="Q3327" s="22"/>
      <c r="R3327" s="22"/>
      <c r="S3327" s="22"/>
      <c r="T3327" s="22"/>
      <c r="U3327" s="22"/>
      <c r="V3327" s="22"/>
      <c r="W3327" s="22"/>
      <c r="X3327" s="22"/>
    </row>
    <row r="3328" spans="1:24" x14ac:dyDescent="0.25">
      <c r="A3328" s="22" t="s">
        <v>5524</v>
      </c>
      <c r="B3328" s="22">
        <v>0</v>
      </c>
      <c r="C3328" s="22"/>
      <c r="D3328" s="22"/>
      <c r="E3328" s="22"/>
      <c r="F3328" s="22"/>
      <c r="G3328" s="22"/>
      <c r="H3328" s="22"/>
      <c r="I3328" s="22"/>
      <c r="J3328" s="22"/>
      <c r="K3328" s="22"/>
      <c r="L3328" s="22"/>
      <c r="M3328" s="22"/>
      <c r="N3328" s="22"/>
      <c r="O3328" s="22"/>
      <c r="P3328" s="22"/>
      <c r="Q3328" s="22"/>
      <c r="R3328" s="22"/>
      <c r="S3328" s="22"/>
      <c r="T3328" s="22"/>
      <c r="U3328" s="22"/>
      <c r="V3328" s="22"/>
      <c r="W3328" s="22"/>
      <c r="X3328" s="22"/>
    </row>
    <row r="3329" spans="1:24" x14ac:dyDescent="0.25">
      <c r="A3329" s="22" t="s">
        <v>5525</v>
      </c>
      <c r="B3329" s="22">
        <v>0</v>
      </c>
      <c r="C3329" s="22"/>
      <c r="D3329" s="22"/>
      <c r="E3329" s="22"/>
      <c r="F3329" s="22"/>
      <c r="G3329" s="22"/>
      <c r="H3329" s="22"/>
      <c r="I3329" s="22"/>
      <c r="J3329" s="22"/>
      <c r="K3329" s="22"/>
      <c r="L3329" s="22"/>
      <c r="M3329" s="22"/>
      <c r="N3329" s="22"/>
      <c r="O3329" s="22"/>
      <c r="P3329" s="22"/>
      <c r="Q3329" s="22"/>
      <c r="R3329" s="22"/>
      <c r="S3329" s="22"/>
      <c r="T3329" s="22"/>
      <c r="U3329" s="22"/>
      <c r="V3329" s="22"/>
      <c r="W3329" s="22"/>
      <c r="X3329" s="22"/>
    </row>
    <row r="3330" spans="1:24" x14ac:dyDescent="0.25">
      <c r="A3330" s="22" t="s">
        <v>5526</v>
      </c>
      <c r="B3330" s="22">
        <v>0</v>
      </c>
      <c r="C3330" s="22"/>
      <c r="D3330" s="22"/>
      <c r="E3330" s="22"/>
      <c r="F3330" s="22"/>
      <c r="G3330" s="22"/>
      <c r="H3330" s="22"/>
      <c r="I3330" s="22"/>
      <c r="J3330" s="22"/>
      <c r="K3330" s="22"/>
      <c r="L3330" s="22"/>
      <c r="M3330" s="22"/>
      <c r="N3330" s="22"/>
      <c r="O3330" s="22"/>
      <c r="P3330" s="22"/>
      <c r="Q3330" s="22"/>
      <c r="R3330" s="22"/>
      <c r="S3330" s="22"/>
      <c r="T3330" s="22"/>
      <c r="U3330" s="22"/>
      <c r="V3330" s="22"/>
      <c r="W3330" s="22"/>
      <c r="X3330" s="22"/>
    </row>
    <row r="3331" spans="1:24" x14ac:dyDescent="0.25">
      <c r="A3331" s="22" t="s">
        <v>5527</v>
      </c>
      <c r="B3331" s="22">
        <v>0</v>
      </c>
      <c r="C3331" s="22"/>
      <c r="D3331" s="22"/>
      <c r="E3331" s="22"/>
      <c r="F3331" s="22"/>
      <c r="G3331" s="22"/>
      <c r="H3331" s="22"/>
      <c r="I3331" s="22"/>
      <c r="J3331" s="22"/>
      <c r="K3331" s="22"/>
      <c r="L3331" s="22"/>
      <c r="M3331" s="22"/>
      <c r="N3331" s="22"/>
      <c r="O3331" s="22"/>
      <c r="P3331" s="22"/>
      <c r="Q3331" s="22"/>
      <c r="R3331" s="22"/>
      <c r="S3331" s="22"/>
      <c r="T3331" s="22"/>
      <c r="U3331" s="22"/>
      <c r="V3331" s="22"/>
      <c r="W3331" s="22"/>
      <c r="X3331" s="22"/>
    </row>
    <row r="3332" spans="1:24" x14ac:dyDescent="0.25">
      <c r="A3332" s="22" t="s">
        <v>5528</v>
      </c>
      <c r="B3332" s="22">
        <v>0</v>
      </c>
      <c r="C3332" s="22"/>
      <c r="D3332" s="22"/>
      <c r="E3332" s="22"/>
      <c r="F3332" s="22"/>
      <c r="G3332" s="22"/>
      <c r="H3332" s="22"/>
      <c r="I3332" s="22"/>
      <c r="J3332" s="22"/>
      <c r="K3332" s="22"/>
      <c r="L3332" s="22"/>
      <c r="M3332" s="22"/>
      <c r="N3332" s="22"/>
      <c r="O3332" s="22"/>
      <c r="P3332" s="22"/>
      <c r="Q3332" s="22"/>
      <c r="R3332" s="22"/>
      <c r="S3332" s="22"/>
      <c r="T3332" s="22"/>
      <c r="U3332" s="22"/>
      <c r="V3332" s="22"/>
      <c r="W3332" s="22"/>
      <c r="X3332" s="22"/>
    </row>
    <row r="3333" spans="1:24" x14ac:dyDescent="0.25">
      <c r="A3333" s="22" t="s">
        <v>5529</v>
      </c>
      <c r="B3333" s="22">
        <v>0</v>
      </c>
      <c r="C3333" s="22"/>
      <c r="D3333" s="22"/>
      <c r="E3333" s="22"/>
      <c r="F3333" s="22"/>
      <c r="G3333" s="22"/>
      <c r="H3333" s="22"/>
      <c r="I3333" s="22"/>
      <c r="J3333" s="22"/>
      <c r="K3333" s="22"/>
      <c r="L3333" s="22"/>
      <c r="M3333" s="22"/>
      <c r="N3333" s="22"/>
      <c r="O3333" s="22"/>
      <c r="P3333" s="22"/>
      <c r="Q3333" s="22"/>
      <c r="R3333" s="22"/>
      <c r="S3333" s="22"/>
      <c r="T3333" s="22"/>
      <c r="U3333" s="22"/>
      <c r="V3333" s="22"/>
      <c r="W3333" s="22"/>
      <c r="X3333" s="22"/>
    </row>
    <row r="3334" spans="1:24" x14ac:dyDescent="0.25">
      <c r="A3334" s="22" t="s">
        <v>5530</v>
      </c>
      <c r="B3334" s="22">
        <v>0</v>
      </c>
      <c r="C3334" s="22"/>
      <c r="D3334" s="22"/>
      <c r="E3334" s="22"/>
      <c r="F3334" s="22"/>
      <c r="G3334" s="22"/>
      <c r="H3334" s="22"/>
      <c r="I3334" s="22"/>
      <c r="J3334" s="22"/>
      <c r="K3334" s="22"/>
      <c r="L3334" s="22"/>
      <c r="M3334" s="22"/>
      <c r="N3334" s="22"/>
      <c r="O3334" s="22"/>
      <c r="P3334" s="22"/>
      <c r="Q3334" s="22"/>
      <c r="R3334" s="22"/>
      <c r="S3334" s="22"/>
      <c r="T3334" s="22"/>
      <c r="U3334" s="22"/>
      <c r="V3334" s="22"/>
      <c r="W3334" s="22"/>
      <c r="X3334" s="22"/>
    </row>
    <row r="3335" spans="1:24" x14ac:dyDescent="0.25">
      <c r="A3335" s="22" t="s">
        <v>5531</v>
      </c>
      <c r="B3335" s="22">
        <v>0</v>
      </c>
      <c r="C3335" s="22"/>
      <c r="D3335" s="22"/>
      <c r="E3335" s="22"/>
      <c r="F3335" s="22"/>
      <c r="G3335" s="22"/>
      <c r="H3335" s="22"/>
      <c r="I3335" s="22"/>
      <c r="J3335" s="22"/>
      <c r="K3335" s="22"/>
      <c r="L3335" s="22"/>
      <c r="M3335" s="22"/>
      <c r="N3335" s="22"/>
      <c r="O3335" s="22"/>
      <c r="P3335" s="22"/>
      <c r="Q3335" s="22"/>
      <c r="R3335" s="22"/>
      <c r="S3335" s="22"/>
      <c r="T3335" s="22"/>
      <c r="U3335" s="22"/>
      <c r="V3335" s="22"/>
      <c r="W3335" s="22"/>
      <c r="X3335" s="22"/>
    </row>
    <row r="3336" spans="1:24" x14ac:dyDescent="0.25">
      <c r="A3336" s="22" t="s">
        <v>5532</v>
      </c>
      <c r="B3336" s="22">
        <v>0</v>
      </c>
      <c r="C3336" s="22"/>
      <c r="D3336" s="22"/>
      <c r="E3336" s="22"/>
      <c r="F3336" s="22"/>
      <c r="G3336" s="22"/>
      <c r="H3336" s="22"/>
      <c r="I3336" s="22"/>
      <c r="J3336" s="22"/>
      <c r="K3336" s="22"/>
      <c r="L3336" s="22"/>
      <c r="M3336" s="22"/>
      <c r="N3336" s="22"/>
      <c r="O3336" s="22"/>
      <c r="P3336" s="22"/>
      <c r="Q3336" s="22"/>
      <c r="R3336" s="22"/>
      <c r="S3336" s="22"/>
      <c r="T3336" s="22"/>
      <c r="U3336" s="22"/>
      <c r="V3336" s="22"/>
      <c r="W3336" s="22"/>
      <c r="X3336" s="22"/>
    </row>
    <row r="3337" spans="1:24" x14ac:dyDescent="0.25">
      <c r="A3337" s="22" t="s">
        <v>5533</v>
      </c>
      <c r="B3337" s="22">
        <v>0</v>
      </c>
      <c r="C3337" s="22"/>
      <c r="D3337" s="22"/>
      <c r="E3337" s="22"/>
      <c r="F3337" s="22"/>
      <c r="G3337" s="22"/>
      <c r="H3337" s="22"/>
      <c r="I3337" s="22"/>
      <c r="J3337" s="22"/>
      <c r="K3337" s="22"/>
      <c r="L3337" s="22"/>
      <c r="M3337" s="22"/>
      <c r="N3337" s="22"/>
      <c r="O3337" s="22"/>
      <c r="P3337" s="22"/>
      <c r="Q3337" s="22"/>
      <c r="R3337" s="22"/>
      <c r="S3337" s="22"/>
      <c r="T3337" s="22"/>
      <c r="U3337" s="22"/>
      <c r="V3337" s="22"/>
      <c r="W3337" s="22"/>
      <c r="X3337" s="22"/>
    </row>
    <row r="3338" spans="1:24" x14ac:dyDescent="0.25">
      <c r="A3338" s="22" t="s">
        <v>5534</v>
      </c>
      <c r="B3338" s="22">
        <v>0</v>
      </c>
      <c r="C3338" s="22"/>
      <c r="D3338" s="22"/>
      <c r="E3338" s="22"/>
      <c r="F3338" s="22"/>
      <c r="G3338" s="22"/>
      <c r="H3338" s="22"/>
      <c r="I3338" s="22"/>
      <c r="J3338" s="22"/>
      <c r="K3338" s="22"/>
      <c r="L3338" s="22"/>
      <c r="M3338" s="22"/>
      <c r="N3338" s="22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</row>
    <row r="3339" spans="1:24" x14ac:dyDescent="0.25">
      <c r="A3339" s="22" t="s">
        <v>5535</v>
      </c>
      <c r="B3339" s="22">
        <v>0</v>
      </c>
      <c r="C3339" s="22"/>
      <c r="D3339" s="22"/>
      <c r="E3339" s="22"/>
      <c r="F3339" s="22"/>
      <c r="G3339" s="22"/>
      <c r="H3339" s="22"/>
      <c r="I3339" s="22"/>
      <c r="J3339" s="22"/>
      <c r="K3339" s="22"/>
      <c r="L3339" s="22"/>
      <c r="M3339" s="22"/>
      <c r="N3339" s="22"/>
      <c r="O3339" s="22"/>
      <c r="P3339" s="22"/>
      <c r="Q3339" s="22"/>
      <c r="R3339" s="22"/>
      <c r="S3339" s="22"/>
      <c r="T3339" s="22"/>
      <c r="U3339" s="22"/>
      <c r="V3339" s="22"/>
      <c r="W3339" s="22"/>
      <c r="X3339" s="22"/>
    </row>
    <row r="3340" spans="1:24" x14ac:dyDescent="0.25">
      <c r="A3340" s="22" t="s">
        <v>5536</v>
      </c>
      <c r="B3340" s="22">
        <v>0</v>
      </c>
      <c r="C3340" s="22"/>
      <c r="D3340" s="22"/>
      <c r="E3340" s="22"/>
      <c r="F3340" s="22"/>
      <c r="G3340" s="22"/>
      <c r="H3340" s="22"/>
      <c r="I3340" s="22"/>
      <c r="J3340" s="22"/>
      <c r="K3340" s="22"/>
      <c r="L3340" s="22"/>
      <c r="M3340" s="22"/>
      <c r="N3340" s="22"/>
      <c r="O3340" s="22"/>
      <c r="P3340" s="22"/>
      <c r="Q3340" s="22"/>
      <c r="R3340" s="22"/>
      <c r="S3340" s="22"/>
      <c r="T3340" s="22"/>
      <c r="U3340" s="22"/>
      <c r="V3340" s="22"/>
      <c r="W3340" s="22"/>
      <c r="X3340" s="22"/>
    </row>
    <row r="3341" spans="1:24" x14ac:dyDescent="0.25">
      <c r="A3341" s="22" t="s">
        <v>5537</v>
      </c>
      <c r="B3341" s="22">
        <v>0</v>
      </c>
      <c r="C3341" s="22"/>
      <c r="D3341" s="22"/>
      <c r="E3341" s="22"/>
      <c r="F3341" s="22"/>
      <c r="G3341" s="22"/>
      <c r="H3341" s="22"/>
      <c r="I3341" s="22"/>
      <c r="J3341" s="22"/>
      <c r="K3341" s="22"/>
      <c r="L3341" s="22"/>
      <c r="M3341" s="22"/>
      <c r="N3341" s="22"/>
      <c r="O3341" s="22"/>
      <c r="P3341" s="22"/>
      <c r="Q3341" s="22"/>
      <c r="R3341" s="22"/>
      <c r="S3341" s="22"/>
      <c r="T3341" s="22"/>
      <c r="U3341" s="22"/>
      <c r="V3341" s="22"/>
      <c r="W3341" s="22"/>
      <c r="X3341" s="22"/>
    </row>
    <row r="3342" spans="1:24" x14ac:dyDescent="0.25">
      <c r="A3342" s="22" t="s">
        <v>5538</v>
      </c>
      <c r="B3342" s="22">
        <v>2</v>
      </c>
      <c r="C3342" s="22"/>
      <c r="D3342" s="22"/>
      <c r="E3342" s="22"/>
      <c r="F3342" s="22"/>
      <c r="G3342" s="22"/>
      <c r="H3342" s="22"/>
      <c r="I3342" s="22"/>
      <c r="J3342" s="22"/>
      <c r="K3342" s="22"/>
      <c r="L3342" s="22"/>
      <c r="M3342" s="22"/>
      <c r="N3342" s="22"/>
      <c r="O3342" s="22"/>
      <c r="P3342" s="22"/>
      <c r="Q3342" s="22"/>
      <c r="R3342" s="22"/>
      <c r="S3342" s="22"/>
      <c r="T3342" s="22"/>
      <c r="U3342" s="22"/>
      <c r="V3342" s="22"/>
      <c r="W3342" s="22"/>
      <c r="X3342" s="22"/>
    </row>
    <row r="3343" spans="1:24" x14ac:dyDescent="0.25">
      <c r="A3343" s="22" t="s">
        <v>5539</v>
      </c>
      <c r="B3343" s="22">
        <v>0</v>
      </c>
      <c r="C3343" s="22"/>
      <c r="D3343" s="22"/>
      <c r="E3343" s="22"/>
      <c r="F3343" s="22"/>
      <c r="G3343" s="22"/>
      <c r="H3343" s="22"/>
      <c r="I3343" s="22"/>
      <c r="J3343" s="22"/>
      <c r="K3343" s="22"/>
      <c r="L3343" s="22"/>
      <c r="M3343" s="22"/>
      <c r="N3343" s="22"/>
      <c r="O3343" s="22"/>
      <c r="P3343" s="22"/>
      <c r="Q3343" s="22"/>
      <c r="R3343" s="22"/>
      <c r="S3343" s="22"/>
      <c r="T3343" s="22"/>
      <c r="U3343" s="22"/>
      <c r="V3343" s="22"/>
      <c r="W3343" s="22"/>
      <c r="X3343" s="22"/>
    </row>
    <row r="3344" spans="1:24" x14ac:dyDescent="0.25">
      <c r="A3344" s="22" t="s">
        <v>5540</v>
      </c>
      <c r="B3344" s="22">
        <v>0</v>
      </c>
      <c r="C3344" s="22"/>
      <c r="D3344" s="22"/>
      <c r="E3344" s="22"/>
      <c r="F3344" s="22"/>
      <c r="G3344" s="22"/>
      <c r="H3344" s="22"/>
      <c r="I3344" s="22"/>
      <c r="J3344" s="22"/>
      <c r="K3344" s="22"/>
      <c r="L3344" s="22"/>
      <c r="M3344" s="22"/>
      <c r="N3344" s="22"/>
      <c r="O3344" s="22"/>
      <c r="P3344" s="22"/>
      <c r="Q3344" s="22"/>
      <c r="R3344" s="22"/>
      <c r="S3344" s="22"/>
      <c r="T3344" s="22"/>
      <c r="U3344" s="22"/>
      <c r="V3344" s="22"/>
      <c r="W3344" s="22"/>
      <c r="X3344" s="22"/>
    </row>
    <row r="3345" spans="1:24" x14ac:dyDescent="0.25">
      <c r="A3345" s="22" t="s">
        <v>5541</v>
      </c>
      <c r="B3345" s="22">
        <v>0</v>
      </c>
      <c r="C3345" s="22"/>
      <c r="D3345" s="22"/>
      <c r="E3345" s="22"/>
      <c r="F3345" s="22"/>
      <c r="G3345" s="22"/>
      <c r="H3345" s="22"/>
      <c r="I3345" s="22"/>
      <c r="J3345" s="22"/>
      <c r="K3345" s="22"/>
      <c r="L3345" s="22"/>
      <c r="M3345" s="22"/>
      <c r="N3345" s="22"/>
      <c r="O3345" s="22"/>
      <c r="P3345" s="22"/>
      <c r="Q3345" s="22"/>
      <c r="R3345" s="22"/>
      <c r="S3345" s="22"/>
      <c r="T3345" s="22"/>
      <c r="U3345" s="22"/>
      <c r="V3345" s="22"/>
      <c r="W3345" s="22"/>
      <c r="X3345" s="22"/>
    </row>
    <row r="3346" spans="1:24" x14ac:dyDescent="0.25">
      <c r="A3346" s="22" t="s">
        <v>5542</v>
      </c>
      <c r="B3346" s="22">
        <v>8</v>
      </c>
      <c r="C3346" s="22"/>
      <c r="D3346" s="22"/>
      <c r="E3346" s="22"/>
      <c r="F3346" s="22"/>
      <c r="G3346" s="22"/>
      <c r="H3346" s="22"/>
      <c r="I3346" s="22"/>
      <c r="J3346" s="22"/>
      <c r="K3346" s="22"/>
      <c r="L3346" s="22"/>
      <c r="M3346" s="22"/>
      <c r="N3346" s="22"/>
      <c r="O3346" s="22"/>
      <c r="P3346" s="22"/>
      <c r="Q3346" s="22"/>
      <c r="R3346" s="22"/>
      <c r="S3346" s="22"/>
      <c r="T3346" s="22"/>
      <c r="U3346" s="22"/>
      <c r="V3346" s="22"/>
      <c r="W3346" s="22"/>
      <c r="X3346" s="22"/>
    </row>
    <row r="3347" spans="1:24" x14ac:dyDescent="0.25">
      <c r="A3347" s="22" t="s">
        <v>5543</v>
      </c>
      <c r="B3347" s="22">
        <v>0</v>
      </c>
      <c r="C3347" s="22"/>
      <c r="D3347" s="22"/>
      <c r="E3347" s="22"/>
      <c r="F3347" s="22"/>
      <c r="G3347" s="22"/>
      <c r="H3347" s="22"/>
      <c r="I3347" s="22"/>
      <c r="J3347" s="22"/>
      <c r="K3347" s="22"/>
      <c r="L3347" s="22"/>
      <c r="M3347" s="22"/>
      <c r="N3347" s="22"/>
      <c r="O3347" s="22"/>
      <c r="P3347" s="22"/>
      <c r="Q3347" s="22"/>
      <c r="R3347" s="22"/>
      <c r="S3347" s="22"/>
      <c r="T3347" s="22"/>
      <c r="U3347" s="22"/>
      <c r="V3347" s="22"/>
      <c r="W3347" s="22"/>
      <c r="X3347" s="22"/>
    </row>
    <row r="3348" spans="1:24" x14ac:dyDescent="0.25">
      <c r="A3348" s="22" t="s">
        <v>5544</v>
      </c>
      <c r="B3348" s="22">
        <v>0</v>
      </c>
      <c r="C3348" s="22"/>
      <c r="D3348" s="22"/>
      <c r="E3348" s="22"/>
      <c r="F3348" s="22"/>
      <c r="G3348" s="22"/>
      <c r="H3348" s="22"/>
      <c r="I3348" s="22"/>
      <c r="J3348" s="22"/>
      <c r="K3348" s="22"/>
      <c r="L3348" s="22"/>
      <c r="M3348" s="22"/>
      <c r="N3348" s="22"/>
      <c r="O3348" s="22"/>
      <c r="P3348" s="22"/>
      <c r="Q3348" s="22"/>
      <c r="R3348" s="22"/>
      <c r="S3348" s="22"/>
      <c r="T3348" s="22"/>
      <c r="U3348" s="22"/>
      <c r="V3348" s="22"/>
      <c r="W3348" s="22"/>
      <c r="X3348" s="22"/>
    </row>
    <row r="3349" spans="1:24" x14ac:dyDescent="0.25">
      <c r="A3349" s="22" t="s">
        <v>5545</v>
      </c>
      <c r="B3349" s="22">
        <v>0</v>
      </c>
      <c r="C3349" s="22"/>
      <c r="D3349" s="22"/>
      <c r="E3349" s="22"/>
      <c r="F3349" s="22"/>
      <c r="G3349" s="22"/>
      <c r="H3349" s="22"/>
      <c r="I3349" s="22"/>
      <c r="J3349" s="22"/>
      <c r="K3349" s="22"/>
      <c r="L3349" s="22"/>
      <c r="M3349" s="22"/>
      <c r="N3349" s="22"/>
      <c r="O3349" s="22"/>
      <c r="P3349" s="22"/>
      <c r="Q3349" s="22"/>
      <c r="R3349" s="22"/>
      <c r="S3349" s="22"/>
      <c r="T3349" s="22"/>
      <c r="U3349" s="22"/>
      <c r="V3349" s="22"/>
      <c r="W3349" s="22"/>
      <c r="X3349" s="22"/>
    </row>
    <row r="3350" spans="1:24" x14ac:dyDescent="0.25">
      <c r="A3350" s="22" t="s">
        <v>5546</v>
      </c>
      <c r="B3350" s="22">
        <v>7</v>
      </c>
      <c r="C3350" s="22"/>
      <c r="D3350" s="22"/>
      <c r="E3350" s="22"/>
      <c r="F3350" s="22"/>
      <c r="G3350" s="22"/>
      <c r="H3350" s="22"/>
      <c r="I3350" s="22"/>
      <c r="J3350" s="22"/>
      <c r="K3350" s="22"/>
      <c r="L3350" s="22"/>
      <c r="M3350" s="22"/>
      <c r="N3350" s="22"/>
      <c r="O3350" s="22"/>
      <c r="P3350" s="22"/>
      <c r="Q3350" s="22"/>
      <c r="R3350" s="22"/>
      <c r="S3350" s="22"/>
      <c r="T3350" s="22"/>
      <c r="U3350" s="22"/>
      <c r="V3350" s="22"/>
      <c r="W3350" s="22"/>
      <c r="X3350" s="22"/>
    </row>
    <row r="3351" spans="1:24" x14ac:dyDescent="0.25">
      <c r="A3351" s="22" t="s">
        <v>5547</v>
      </c>
      <c r="B3351" s="22">
        <v>0</v>
      </c>
      <c r="C3351" s="22"/>
      <c r="D3351" s="22"/>
      <c r="E3351" s="22"/>
      <c r="F3351" s="22"/>
      <c r="G3351" s="22"/>
      <c r="H3351" s="22"/>
      <c r="I3351" s="22"/>
      <c r="J3351" s="22"/>
      <c r="K3351" s="22"/>
      <c r="L3351" s="22"/>
      <c r="M3351" s="22"/>
      <c r="N3351" s="22"/>
      <c r="O3351" s="22"/>
      <c r="P3351" s="22"/>
      <c r="Q3351" s="22"/>
      <c r="R3351" s="22"/>
      <c r="S3351" s="22"/>
      <c r="T3351" s="22"/>
      <c r="U3351" s="22"/>
      <c r="V3351" s="22"/>
      <c r="W3351" s="22"/>
      <c r="X3351" s="22"/>
    </row>
    <row r="3352" spans="1:24" x14ac:dyDescent="0.25">
      <c r="A3352" s="22" t="s">
        <v>5548</v>
      </c>
      <c r="B3352" s="22">
        <v>0</v>
      </c>
      <c r="C3352" s="22"/>
      <c r="D3352" s="22"/>
      <c r="E3352" s="22"/>
      <c r="F3352" s="22"/>
      <c r="G3352" s="22"/>
      <c r="H3352" s="22"/>
      <c r="I3352" s="22"/>
      <c r="J3352" s="22"/>
      <c r="K3352" s="22"/>
      <c r="L3352" s="22"/>
      <c r="M3352" s="22"/>
      <c r="N3352" s="22"/>
      <c r="O3352" s="22"/>
      <c r="P3352" s="22"/>
      <c r="Q3352" s="22"/>
      <c r="R3352" s="22"/>
      <c r="S3352" s="22"/>
      <c r="T3352" s="22"/>
      <c r="U3352" s="22"/>
      <c r="V3352" s="22"/>
      <c r="W3352" s="22"/>
      <c r="X3352" s="22"/>
    </row>
    <row r="3353" spans="1:24" x14ac:dyDescent="0.25">
      <c r="A3353" s="22" t="s">
        <v>5549</v>
      </c>
      <c r="B3353" s="22">
        <v>0</v>
      </c>
      <c r="C3353" s="22"/>
      <c r="D3353" s="22"/>
      <c r="E3353" s="22"/>
      <c r="F3353" s="22"/>
      <c r="G3353" s="22"/>
      <c r="H3353" s="22"/>
      <c r="I3353" s="22"/>
      <c r="J3353" s="22"/>
      <c r="K3353" s="22"/>
      <c r="L3353" s="22"/>
      <c r="M3353" s="22"/>
      <c r="N3353" s="22"/>
      <c r="O3353" s="22"/>
      <c r="P3353" s="22"/>
      <c r="Q3353" s="22"/>
      <c r="R3353" s="22"/>
      <c r="S3353" s="22"/>
      <c r="T3353" s="22"/>
      <c r="U3353" s="22"/>
      <c r="V3353" s="22"/>
      <c r="W3353" s="22"/>
      <c r="X3353" s="22"/>
    </row>
    <row r="3354" spans="1:24" x14ac:dyDescent="0.25">
      <c r="A3354" s="22" t="s">
        <v>5550</v>
      </c>
      <c r="B3354" s="22">
        <v>1</v>
      </c>
      <c r="C3354" s="22"/>
      <c r="D3354" s="22"/>
      <c r="E3354" s="22"/>
      <c r="F3354" s="22"/>
      <c r="G3354" s="22"/>
      <c r="H3354" s="22"/>
      <c r="I3354" s="22"/>
      <c r="J3354" s="22"/>
      <c r="K3354" s="22"/>
      <c r="L3354" s="22"/>
      <c r="M3354" s="22"/>
      <c r="N3354" s="22"/>
      <c r="O3354" s="22"/>
      <c r="P3354" s="22"/>
      <c r="Q3354" s="22"/>
      <c r="R3354" s="22"/>
      <c r="S3354" s="22"/>
      <c r="T3354" s="22"/>
      <c r="U3354" s="22"/>
      <c r="V3354" s="22"/>
      <c r="W3354" s="22"/>
      <c r="X3354" s="22"/>
    </row>
    <row r="3355" spans="1:24" x14ac:dyDescent="0.25">
      <c r="A3355" s="22" t="s">
        <v>5551</v>
      </c>
      <c r="B3355" s="22">
        <v>0</v>
      </c>
      <c r="C3355" s="22"/>
      <c r="D3355" s="22"/>
      <c r="E3355" s="22"/>
      <c r="F3355" s="22"/>
      <c r="G3355" s="22"/>
      <c r="H3355" s="22"/>
      <c r="I3355" s="22"/>
      <c r="J3355" s="22"/>
      <c r="K3355" s="22"/>
      <c r="L3355" s="22"/>
      <c r="M3355" s="22"/>
      <c r="N3355" s="22"/>
      <c r="O3355" s="22"/>
      <c r="P3355" s="22"/>
      <c r="Q3355" s="22"/>
      <c r="R3355" s="22"/>
      <c r="S3355" s="22"/>
      <c r="T3355" s="22"/>
      <c r="U3355" s="22"/>
      <c r="V3355" s="22"/>
      <c r="W3355" s="22"/>
      <c r="X3355" s="22"/>
    </row>
    <row r="3356" spans="1:24" x14ac:dyDescent="0.25">
      <c r="A3356" s="22" t="s">
        <v>5552</v>
      </c>
      <c r="B3356" s="22">
        <v>0</v>
      </c>
      <c r="C3356" s="22"/>
      <c r="D3356" s="22"/>
      <c r="E3356" s="22"/>
      <c r="F3356" s="22"/>
      <c r="G3356" s="22"/>
      <c r="H3356" s="22"/>
      <c r="I3356" s="22"/>
      <c r="J3356" s="22"/>
      <c r="K3356" s="22"/>
      <c r="L3356" s="22"/>
      <c r="M3356" s="22"/>
      <c r="N3356" s="22"/>
      <c r="O3356" s="22"/>
      <c r="P3356" s="22"/>
      <c r="Q3356" s="22"/>
      <c r="R3356" s="22"/>
      <c r="S3356" s="22"/>
      <c r="T3356" s="22"/>
      <c r="U3356" s="22"/>
      <c r="V3356" s="22"/>
      <c r="W3356" s="22"/>
      <c r="X3356" s="22"/>
    </row>
    <row r="3357" spans="1:24" x14ac:dyDescent="0.25">
      <c r="A3357" s="22" t="s">
        <v>5553</v>
      </c>
      <c r="B3357" s="22">
        <v>0</v>
      </c>
      <c r="C3357" s="22"/>
      <c r="D3357" s="22"/>
      <c r="E3357" s="22"/>
      <c r="F3357" s="22"/>
      <c r="G3357" s="22"/>
      <c r="H3357" s="22"/>
      <c r="I3357" s="22"/>
      <c r="J3357" s="22"/>
      <c r="K3357" s="22"/>
      <c r="L3357" s="22"/>
      <c r="M3357" s="22"/>
      <c r="N3357" s="22"/>
      <c r="O3357" s="22"/>
      <c r="P3357" s="22"/>
      <c r="Q3357" s="22"/>
      <c r="R3357" s="22"/>
      <c r="S3357" s="22"/>
      <c r="T3357" s="22"/>
      <c r="U3357" s="22"/>
      <c r="V3357" s="22"/>
      <c r="W3357" s="22"/>
      <c r="X3357" s="22"/>
    </row>
    <row r="3358" spans="1:24" x14ac:dyDescent="0.25">
      <c r="A3358" s="22" t="s">
        <v>5554</v>
      </c>
      <c r="B3358" s="22">
        <v>0</v>
      </c>
      <c r="C3358" s="22"/>
      <c r="D3358" s="22"/>
      <c r="E3358" s="22"/>
      <c r="F3358" s="22"/>
      <c r="G3358" s="22"/>
      <c r="H3358" s="22"/>
      <c r="I3358" s="22"/>
      <c r="J3358" s="22"/>
      <c r="K3358" s="22"/>
      <c r="L3358" s="22"/>
      <c r="M3358" s="22"/>
      <c r="N3358" s="22"/>
      <c r="O3358" s="22"/>
      <c r="P3358" s="22"/>
      <c r="Q3358" s="22"/>
      <c r="R3358" s="22"/>
      <c r="S3358" s="22"/>
      <c r="T3358" s="22"/>
      <c r="U3358" s="22"/>
      <c r="V3358" s="22"/>
      <c r="W3358" s="22"/>
      <c r="X3358" s="22"/>
    </row>
    <row r="3359" spans="1:24" x14ac:dyDescent="0.25">
      <c r="A3359" s="22" t="s">
        <v>5555</v>
      </c>
      <c r="B3359" s="22">
        <v>0</v>
      </c>
      <c r="C3359" s="22"/>
      <c r="D3359" s="22"/>
      <c r="E3359" s="22"/>
      <c r="F3359" s="22"/>
      <c r="G3359" s="22"/>
      <c r="H3359" s="22"/>
      <c r="I3359" s="22"/>
      <c r="J3359" s="22"/>
      <c r="K3359" s="22"/>
      <c r="L3359" s="22"/>
      <c r="M3359" s="22"/>
      <c r="N3359" s="22"/>
      <c r="O3359" s="22"/>
      <c r="P3359" s="22"/>
      <c r="Q3359" s="22"/>
      <c r="R3359" s="22"/>
      <c r="S3359" s="22"/>
      <c r="T3359" s="22"/>
      <c r="U3359" s="22"/>
      <c r="V3359" s="22"/>
      <c r="W3359" s="22"/>
      <c r="X3359" s="22"/>
    </row>
    <row r="3360" spans="1:24" x14ac:dyDescent="0.25">
      <c r="A3360" s="22" t="s">
        <v>5556</v>
      </c>
      <c r="B3360" s="22">
        <v>0</v>
      </c>
      <c r="C3360" s="22"/>
      <c r="D3360" s="22"/>
      <c r="E3360" s="22"/>
      <c r="F3360" s="22"/>
      <c r="G3360" s="22"/>
      <c r="H3360" s="22"/>
      <c r="I3360" s="22"/>
      <c r="J3360" s="22"/>
      <c r="K3360" s="22"/>
      <c r="L3360" s="22"/>
      <c r="M3360" s="22"/>
      <c r="N3360" s="22"/>
      <c r="O3360" s="22"/>
      <c r="P3360" s="22"/>
      <c r="Q3360" s="22"/>
      <c r="R3360" s="22"/>
      <c r="S3360" s="22"/>
      <c r="T3360" s="22"/>
      <c r="U3360" s="22"/>
      <c r="V3360" s="22"/>
      <c r="W3360" s="22"/>
      <c r="X3360" s="22"/>
    </row>
    <row r="3361" spans="1:24" x14ac:dyDescent="0.25">
      <c r="A3361" s="22" t="s">
        <v>5557</v>
      </c>
      <c r="B3361" s="22">
        <v>0</v>
      </c>
      <c r="C3361" s="22"/>
      <c r="D3361" s="22"/>
      <c r="E3361" s="22"/>
      <c r="F3361" s="22"/>
      <c r="G3361" s="22"/>
      <c r="H3361" s="22"/>
      <c r="I3361" s="22"/>
      <c r="J3361" s="22"/>
      <c r="K3361" s="22"/>
      <c r="L3361" s="22"/>
      <c r="M3361" s="22"/>
      <c r="N3361" s="22"/>
      <c r="O3361" s="22"/>
      <c r="P3361" s="22"/>
      <c r="Q3361" s="22"/>
      <c r="R3361" s="22"/>
      <c r="S3361" s="22"/>
      <c r="T3361" s="22"/>
      <c r="U3361" s="22"/>
      <c r="V3361" s="22"/>
      <c r="W3361" s="22"/>
      <c r="X3361" s="22"/>
    </row>
    <row r="3362" spans="1:24" x14ac:dyDescent="0.25">
      <c r="A3362" s="22" t="s">
        <v>5558</v>
      </c>
      <c r="B3362" s="22">
        <v>0</v>
      </c>
      <c r="C3362" s="22"/>
      <c r="D3362" s="22"/>
      <c r="E3362" s="22"/>
      <c r="F3362" s="22"/>
      <c r="G3362" s="22"/>
      <c r="H3362" s="22"/>
      <c r="I3362" s="22"/>
      <c r="J3362" s="22"/>
      <c r="K3362" s="22"/>
      <c r="L3362" s="22"/>
      <c r="M3362" s="22"/>
      <c r="N3362" s="22"/>
      <c r="O3362" s="22"/>
      <c r="P3362" s="22"/>
      <c r="Q3362" s="22"/>
      <c r="R3362" s="22"/>
      <c r="S3362" s="22"/>
      <c r="T3362" s="22"/>
      <c r="U3362" s="22"/>
      <c r="V3362" s="22"/>
      <c r="W3362" s="22"/>
      <c r="X3362" s="22"/>
    </row>
    <row r="3363" spans="1:24" x14ac:dyDescent="0.25">
      <c r="A3363" s="22" t="s">
        <v>5559</v>
      </c>
      <c r="B3363" s="22">
        <v>0</v>
      </c>
      <c r="C3363" s="22"/>
      <c r="D3363" s="22"/>
      <c r="E3363" s="22"/>
      <c r="F3363" s="22"/>
      <c r="G3363" s="22"/>
      <c r="H3363" s="22"/>
      <c r="I3363" s="22"/>
      <c r="J3363" s="22"/>
      <c r="K3363" s="22"/>
      <c r="L3363" s="22"/>
      <c r="M3363" s="22"/>
      <c r="N3363" s="22"/>
      <c r="O3363" s="22"/>
      <c r="P3363" s="22"/>
      <c r="Q3363" s="22"/>
      <c r="R3363" s="22"/>
      <c r="S3363" s="22"/>
      <c r="T3363" s="22"/>
      <c r="U3363" s="22"/>
      <c r="V3363" s="22"/>
      <c r="W3363" s="22"/>
      <c r="X3363" s="22"/>
    </row>
    <row r="3364" spans="1:24" x14ac:dyDescent="0.25">
      <c r="A3364" s="22" t="s">
        <v>5560</v>
      </c>
      <c r="B3364" s="22">
        <v>0</v>
      </c>
      <c r="C3364" s="22"/>
      <c r="D3364" s="22"/>
      <c r="E3364" s="22"/>
      <c r="F3364" s="22"/>
      <c r="G3364" s="22"/>
      <c r="H3364" s="22"/>
      <c r="I3364" s="22"/>
      <c r="J3364" s="22"/>
      <c r="K3364" s="22"/>
      <c r="L3364" s="22"/>
      <c r="M3364" s="22"/>
      <c r="N3364" s="22"/>
      <c r="O3364" s="22"/>
      <c r="P3364" s="22"/>
      <c r="Q3364" s="22"/>
      <c r="R3364" s="22"/>
      <c r="S3364" s="22"/>
      <c r="T3364" s="22"/>
      <c r="U3364" s="22"/>
      <c r="V3364" s="22"/>
      <c r="W3364" s="22"/>
      <c r="X3364" s="22"/>
    </row>
    <row r="3365" spans="1:24" x14ac:dyDescent="0.25">
      <c r="A3365" s="22" t="s">
        <v>5561</v>
      </c>
      <c r="B3365" s="22">
        <v>0</v>
      </c>
      <c r="C3365" s="22"/>
      <c r="D3365" s="22"/>
      <c r="E3365" s="22"/>
      <c r="F3365" s="22"/>
      <c r="G3365" s="22"/>
      <c r="H3365" s="22"/>
      <c r="I3365" s="22"/>
      <c r="J3365" s="22"/>
      <c r="K3365" s="22"/>
      <c r="L3365" s="22"/>
      <c r="M3365" s="22"/>
      <c r="N3365" s="22"/>
      <c r="O3365" s="22"/>
      <c r="P3365" s="22"/>
      <c r="Q3365" s="22"/>
      <c r="R3365" s="22"/>
      <c r="S3365" s="22"/>
      <c r="T3365" s="22"/>
      <c r="U3365" s="22"/>
      <c r="V3365" s="22"/>
      <c r="W3365" s="22"/>
      <c r="X3365" s="22"/>
    </row>
    <row r="3366" spans="1:24" x14ac:dyDescent="0.25">
      <c r="A3366" s="22" t="s">
        <v>5562</v>
      </c>
      <c r="B3366" s="22">
        <v>0</v>
      </c>
      <c r="C3366" s="22"/>
      <c r="D3366" s="22"/>
      <c r="E3366" s="22"/>
      <c r="F3366" s="22"/>
      <c r="G3366" s="22"/>
      <c r="H3366" s="22"/>
      <c r="I3366" s="22"/>
      <c r="J3366" s="22"/>
      <c r="K3366" s="22"/>
      <c r="L3366" s="22"/>
      <c r="M3366" s="22"/>
      <c r="N3366" s="22"/>
      <c r="O3366" s="22"/>
      <c r="P3366" s="22"/>
      <c r="Q3366" s="22"/>
      <c r="R3366" s="22"/>
      <c r="S3366" s="22"/>
      <c r="T3366" s="22"/>
      <c r="U3366" s="22"/>
      <c r="V3366" s="22"/>
      <c r="W3366" s="22"/>
      <c r="X3366" s="22"/>
    </row>
    <row r="3367" spans="1:24" x14ac:dyDescent="0.25">
      <c r="A3367" s="22" t="s">
        <v>5563</v>
      </c>
      <c r="B3367" s="22">
        <v>0</v>
      </c>
      <c r="C3367" s="22"/>
      <c r="D3367" s="22"/>
      <c r="E3367" s="22"/>
      <c r="F3367" s="22"/>
      <c r="G3367" s="22"/>
      <c r="H3367" s="22"/>
      <c r="I3367" s="22"/>
      <c r="J3367" s="22"/>
      <c r="K3367" s="22"/>
      <c r="L3367" s="22"/>
      <c r="M3367" s="22"/>
      <c r="N3367" s="22"/>
      <c r="O3367" s="22"/>
      <c r="P3367" s="22"/>
      <c r="Q3367" s="22"/>
      <c r="R3367" s="22"/>
      <c r="S3367" s="22"/>
      <c r="T3367" s="22"/>
      <c r="U3367" s="22"/>
      <c r="V3367" s="22"/>
      <c r="W3367" s="22"/>
      <c r="X3367" s="22"/>
    </row>
    <row r="3368" spans="1:24" x14ac:dyDescent="0.25">
      <c r="A3368" s="22" t="s">
        <v>5564</v>
      </c>
      <c r="B3368" s="22">
        <v>0</v>
      </c>
      <c r="C3368" s="22"/>
      <c r="D3368" s="22"/>
      <c r="E3368" s="22"/>
      <c r="F3368" s="22"/>
      <c r="G3368" s="22"/>
      <c r="H3368" s="22"/>
      <c r="I3368" s="22"/>
      <c r="J3368" s="22"/>
      <c r="K3368" s="22"/>
      <c r="L3368" s="22"/>
      <c r="M3368" s="22"/>
      <c r="N3368" s="22"/>
      <c r="O3368" s="22"/>
      <c r="P3368" s="22"/>
      <c r="Q3368" s="22"/>
      <c r="R3368" s="22"/>
      <c r="S3368" s="22"/>
      <c r="T3368" s="22"/>
      <c r="U3368" s="22"/>
      <c r="V3368" s="22"/>
      <c r="W3368" s="22"/>
      <c r="X3368" s="22"/>
    </row>
    <row r="3369" spans="1:24" x14ac:dyDescent="0.25">
      <c r="A3369" s="22" t="s">
        <v>5565</v>
      </c>
      <c r="B3369" s="22">
        <v>0</v>
      </c>
      <c r="C3369" s="22"/>
      <c r="D3369" s="22"/>
      <c r="E3369" s="22"/>
      <c r="F3369" s="22"/>
      <c r="G3369" s="22"/>
      <c r="H3369" s="22"/>
      <c r="I3369" s="22"/>
      <c r="J3369" s="22"/>
      <c r="K3369" s="22"/>
      <c r="L3369" s="22"/>
      <c r="M3369" s="22"/>
      <c r="N3369" s="22"/>
      <c r="O3369" s="22"/>
      <c r="P3369" s="22"/>
      <c r="Q3369" s="22"/>
      <c r="R3369" s="22"/>
      <c r="S3369" s="22"/>
      <c r="T3369" s="22"/>
      <c r="U3369" s="22"/>
      <c r="V3369" s="22"/>
      <c r="W3369" s="22"/>
      <c r="X3369" s="22"/>
    </row>
    <row r="3370" spans="1:24" x14ac:dyDescent="0.25">
      <c r="A3370" s="22" t="s">
        <v>5566</v>
      </c>
      <c r="B3370" s="22">
        <v>0</v>
      </c>
      <c r="C3370" s="22"/>
      <c r="D3370" s="22"/>
      <c r="E3370" s="22"/>
      <c r="F3370" s="22"/>
      <c r="G3370" s="22"/>
      <c r="H3370" s="22"/>
      <c r="I3370" s="22"/>
      <c r="J3370" s="22"/>
      <c r="K3370" s="22"/>
      <c r="L3370" s="22"/>
      <c r="M3370" s="22"/>
      <c r="N3370" s="22"/>
      <c r="O3370" s="22"/>
      <c r="P3370" s="22"/>
      <c r="Q3370" s="22"/>
      <c r="R3370" s="22"/>
      <c r="S3370" s="22"/>
      <c r="T3370" s="22"/>
      <c r="U3370" s="22"/>
      <c r="V3370" s="22"/>
      <c r="W3370" s="22"/>
      <c r="X3370" s="22"/>
    </row>
    <row r="3371" spans="1:24" x14ac:dyDescent="0.25">
      <c r="A3371" s="22" t="s">
        <v>5567</v>
      </c>
      <c r="B3371" s="22">
        <v>0</v>
      </c>
      <c r="C3371" s="22"/>
      <c r="D3371" s="22"/>
      <c r="E3371" s="22"/>
      <c r="F3371" s="22"/>
      <c r="G3371" s="22"/>
      <c r="H3371" s="22"/>
      <c r="I3371" s="22"/>
      <c r="J3371" s="22"/>
      <c r="K3371" s="22"/>
      <c r="L3371" s="22"/>
      <c r="M3371" s="22"/>
      <c r="N3371" s="22"/>
      <c r="O3371" s="22"/>
      <c r="P3371" s="22"/>
      <c r="Q3371" s="22"/>
      <c r="R3371" s="22"/>
      <c r="S3371" s="22"/>
      <c r="T3371" s="22"/>
      <c r="U3371" s="22"/>
      <c r="V3371" s="22"/>
      <c r="W3371" s="22"/>
      <c r="X3371" s="22"/>
    </row>
    <row r="3372" spans="1:24" x14ac:dyDescent="0.25">
      <c r="A3372" s="22" t="s">
        <v>5568</v>
      </c>
      <c r="B3372" s="22">
        <v>0</v>
      </c>
      <c r="C3372" s="22"/>
      <c r="D3372" s="22"/>
      <c r="E3372" s="22"/>
      <c r="F3372" s="22"/>
      <c r="G3372" s="22"/>
      <c r="H3372" s="22"/>
      <c r="I3372" s="22"/>
      <c r="J3372" s="22"/>
      <c r="K3372" s="22"/>
      <c r="L3372" s="22"/>
      <c r="M3372" s="22"/>
      <c r="N3372" s="22"/>
      <c r="O3372" s="22"/>
      <c r="P3372" s="22"/>
      <c r="Q3372" s="22"/>
      <c r="R3372" s="22"/>
      <c r="S3372" s="22"/>
      <c r="T3372" s="22"/>
      <c r="U3372" s="22"/>
      <c r="V3372" s="22"/>
      <c r="W3372" s="22"/>
      <c r="X3372" s="22"/>
    </row>
    <row r="3373" spans="1:24" x14ac:dyDescent="0.25">
      <c r="A3373" s="22" t="s">
        <v>5569</v>
      </c>
      <c r="B3373" s="22">
        <v>0</v>
      </c>
      <c r="C3373" s="22"/>
      <c r="D3373" s="22"/>
      <c r="E3373" s="22"/>
      <c r="F3373" s="22"/>
      <c r="G3373" s="22"/>
      <c r="H3373" s="22"/>
      <c r="I3373" s="22"/>
      <c r="J3373" s="22"/>
      <c r="K3373" s="22"/>
      <c r="L3373" s="22"/>
      <c r="M3373" s="22"/>
      <c r="N3373" s="22"/>
      <c r="O3373" s="22"/>
      <c r="P3373" s="22"/>
      <c r="Q3373" s="22"/>
      <c r="R3373" s="22"/>
      <c r="S3373" s="22"/>
      <c r="T3373" s="22"/>
      <c r="U3373" s="22"/>
      <c r="V3373" s="22"/>
      <c r="W3373" s="22"/>
      <c r="X3373" s="22"/>
    </row>
    <row r="3374" spans="1:24" x14ac:dyDescent="0.25">
      <c r="A3374" s="22" t="s">
        <v>5570</v>
      </c>
      <c r="B3374" s="22">
        <v>0</v>
      </c>
      <c r="C3374" s="22"/>
      <c r="D3374" s="22"/>
      <c r="E3374" s="22"/>
      <c r="F3374" s="22"/>
      <c r="G3374" s="22"/>
      <c r="H3374" s="22"/>
      <c r="I3374" s="22"/>
      <c r="J3374" s="22"/>
      <c r="K3374" s="22"/>
      <c r="L3374" s="22"/>
      <c r="M3374" s="22"/>
      <c r="N3374" s="22"/>
      <c r="O3374" s="22"/>
      <c r="P3374" s="22"/>
      <c r="Q3374" s="22"/>
      <c r="R3374" s="22"/>
      <c r="S3374" s="22"/>
      <c r="T3374" s="22"/>
      <c r="U3374" s="22"/>
      <c r="V3374" s="22"/>
      <c r="W3374" s="22"/>
      <c r="X3374" s="22"/>
    </row>
    <row r="3375" spans="1:24" x14ac:dyDescent="0.25">
      <c r="A3375" s="22" t="s">
        <v>5571</v>
      </c>
      <c r="B3375" s="22">
        <v>0</v>
      </c>
      <c r="C3375" s="22"/>
      <c r="D3375" s="22"/>
      <c r="E3375" s="22"/>
      <c r="F3375" s="22"/>
      <c r="G3375" s="22"/>
      <c r="H3375" s="22"/>
      <c r="I3375" s="22"/>
      <c r="J3375" s="22"/>
      <c r="K3375" s="22"/>
      <c r="L3375" s="22"/>
      <c r="M3375" s="22"/>
      <c r="N3375" s="22"/>
      <c r="O3375" s="22"/>
      <c r="P3375" s="22"/>
      <c r="Q3375" s="22"/>
      <c r="R3375" s="22"/>
      <c r="S3375" s="22"/>
      <c r="T3375" s="22"/>
      <c r="U3375" s="22"/>
      <c r="V3375" s="22"/>
      <c r="W3375" s="22"/>
      <c r="X3375" s="22"/>
    </row>
    <row r="3376" spans="1:24" x14ac:dyDescent="0.25">
      <c r="A3376" s="22" t="s">
        <v>5572</v>
      </c>
      <c r="B3376" s="22">
        <v>0</v>
      </c>
      <c r="C3376" s="22"/>
      <c r="D3376" s="22"/>
      <c r="E3376" s="22"/>
      <c r="F3376" s="22"/>
      <c r="G3376" s="22"/>
      <c r="H3376" s="22"/>
      <c r="I3376" s="22"/>
      <c r="J3376" s="22"/>
      <c r="K3376" s="22"/>
      <c r="L3376" s="22"/>
      <c r="M3376" s="22"/>
      <c r="N3376" s="22"/>
      <c r="O3376" s="22"/>
      <c r="P3376" s="22"/>
      <c r="Q3376" s="22"/>
      <c r="R3376" s="22"/>
      <c r="S3376" s="22"/>
      <c r="T3376" s="22"/>
      <c r="U3376" s="22"/>
      <c r="V3376" s="22"/>
      <c r="W3376" s="22"/>
      <c r="X3376" s="22"/>
    </row>
    <row r="3377" spans="1:24" x14ac:dyDescent="0.25">
      <c r="A3377" s="22" t="s">
        <v>5573</v>
      </c>
      <c r="B3377" s="22">
        <v>0</v>
      </c>
      <c r="C3377" s="22"/>
      <c r="D3377" s="22"/>
      <c r="E3377" s="22"/>
      <c r="F3377" s="22"/>
      <c r="G3377" s="22"/>
      <c r="H3377" s="22"/>
      <c r="I3377" s="22"/>
      <c r="J3377" s="22"/>
      <c r="K3377" s="22"/>
      <c r="L3377" s="22"/>
      <c r="M3377" s="22"/>
      <c r="N3377" s="22"/>
      <c r="O3377" s="22"/>
      <c r="P3377" s="22"/>
      <c r="Q3377" s="22"/>
      <c r="R3377" s="22"/>
      <c r="S3377" s="22"/>
      <c r="T3377" s="22"/>
      <c r="U3377" s="22"/>
      <c r="V3377" s="22"/>
      <c r="W3377" s="22"/>
      <c r="X3377" s="22"/>
    </row>
    <row r="3378" spans="1:24" x14ac:dyDescent="0.25">
      <c r="A3378" s="22" t="s">
        <v>5574</v>
      </c>
      <c r="B3378" s="22">
        <v>0</v>
      </c>
      <c r="C3378" s="22"/>
      <c r="D3378" s="22"/>
      <c r="E3378" s="22"/>
      <c r="F3378" s="22"/>
      <c r="G3378" s="22"/>
      <c r="H3378" s="22"/>
      <c r="I3378" s="22"/>
      <c r="J3378" s="22"/>
      <c r="K3378" s="22"/>
      <c r="L3378" s="22"/>
      <c r="M3378" s="22"/>
      <c r="N3378" s="22"/>
      <c r="O3378" s="22"/>
      <c r="P3378" s="22"/>
      <c r="Q3378" s="22"/>
      <c r="R3378" s="22"/>
      <c r="S3378" s="22"/>
      <c r="T3378" s="22"/>
      <c r="U3378" s="22"/>
      <c r="V3378" s="22"/>
      <c r="W3378" s="22"/>
      <c r="X3378" s="22"/>
    </row>
    <row r="3379" spans="1:24" x14ac:dyDescent="0.25">
      <c r="A3379" s="22" t="s">
        <v>5575</v>
      </c>
      <c r="B3379" s="22">
        <v>0</v>
      </c>
      <c r="C3379" s="22"/>
      <c r="D3379" s="22"/>
      <c r="E3379" s="22"/>
      <c r="F3379" s="22"/>
      <c r="G3379" s="22"/>
      <c r="H3379" s="22"/>
      <c r="I3379" s="22"/>
      <c r="J3379" s="22"/>
      <c r="K3379" s="22"/>
      <c r="L3379" s="22"/>
      <c r="M3379" s="22"/>
      <c r="N3379" s="22"/>
      <c r="O3379" s="22"/>
      <c r="P3379" s="22"/>
      <c r="Q3379" s="22"/>
      <c r="R3379" s="22"/>
      <c r="S3379" s="22"/>
      <c r="T3379" s="22"/>
      <c r="U3379" s="22"/>
      <c r="V3379" s="22"/>
      <c r="W3379" s="22"/>
      <c r="X3379" s="22"/>
    </row>
    <row r="3380" spans="1:24" x14ac:dyDescent="0.25">
      <c r="A3380" s="22" t="s">
        <v>5576</v>
      </c>
      <c r="B3380" s="22">
        <v>0</v>
      </c>
      <c r="C3380" s="22"/>
      <c r="D3380" s="22"/>
      <c r="E3380" s="22"/>
      <c r="F3380" s="22"/>
      <c r="G3380" s="22"/>
      <c r="H3380" s="22"/>
      <c r="I3380" s="22"/>
      <c r="J3380" s="22"/>
      <c r="K3380" s="22"/>
      <c r="L3380" s="22"/>
      <c r="M3380" s="22"/>
      <c r="N3380" s="22"/>
      <c r="O3380" s="22"/>
      <c r="P3380" s="22"/>
      <c r="Q3380" s="22"/>
      <c r="R3380" s="22"/>
      <c r="S3380" s="22"/>
      <c r="T3380" s="22"/>
      <c r="U3380" s="22"/>
      <c r="V3380" s="22"/>
      <c r="W3380" s="22"/>
      <c r="X3380" s="22"/>
    </row>
    <row r="3381" spans="1:24" x14ac:dyDescent="0.25">
      <c r="A3381" s="22" t="s">
        <v>5577</v>
      </c>
      <c r="B3381" s="22">
        <v>0</v>
      </c>
      <c r="C3381" s="22"/>
      <c r="D3381" s="22"/>
      <c r="E3381" s="22"/>
      <c r="F3381" s="22"/>
      <c r="G3381" s="22"/>
      <c r="H3381" s="22"/>
      <c r="I3381" s="22"/>
      <c r="J3381" s="22"/>
      <c r="K3381" s="22"/>
      <c r="L3381" s="22"/>
      <c r="M3381" s="22"/>
      <c r="N3381" s="22"/>
      <c r="O3381" s="22"/>
      <c r="P3381" s="22"/>
      <c r="Q3381" s="22"/>
      <c r="R3381" s="22"/>
      <c r="S3381" s="22"/>
      <c r="T3381" s="22"/>
      <c r="U3381" s="22"/>
      <c r="V3381" s="22"/>
      <c r="W3381" s="22"/>
      <c r="X3381" s="22"/>
    </row>
    <row r="3382" spans="1:24" x14ac:dyDescent="0.25">
      <c r="A3382" s="22" t="s">
        <v>5578</v>
      </c>
      <c r="B3382" s="22">
        <v>0</v>
      </c>
      <c r="C3382" s="22"/>
      <c r="D3382" s="22"/>
      <c r="E3382" s="22"/>
      <c r="F3382" s="22"/>
      <c r="G3382" s="22"/>
      <c r="H3382" s="22"/>
      <c r="I3382" s="22"/>
      <c r="J3382" s="22"/>
      <c r="K3382" s="22"/>
      <c r="L3382" s="22"/>
      <c r="M3382" s="22"/>
      <c r="N3382" s="22"/>
      <c r="O3382" s="22"/>
      <c r="P3382" s="22"/>
      <c r="Q3382" s="22"/>
      <c r="R3382" s="22"/>
      <c r="S3382" s="22"/>
      <c r="T3382" s="22"/>
      <c r="U3382" s="22"/>
      <c r="V3382" s="22"/>
      <c r="W3382" s="22"/>
      <c r="X3382" s="22"/>
    </row>
    <row r="3383" spans="1:24" x14ac:dyDescent="0.25">
      <c r="A3383" s="22" t="s">
        <v>5579</v>
      </c>
      <c r="B3383" s="22">
        <v>0</v>
      </c>
      <c r="C3383" s="22"/>
      <c r="D3383" s="22"/>
      <c r="E3383" s="22"/>
      <c r="F3383" s="22"/>
      <c r="G3383" s="22"/>
      <c r="H3383" s="22"/>
      <c r="I3383" s="22"/>
      <c r="J3383" s="22"/>
      <c r="K3383" s="22"/>
      <c r="L3383" s="22"/>
      <c r="M3383" s="22"/>
      <c r="N3383" s="22"/>
      <c r="O3383" s="22"/>
      <c r="P3383" s="22"/>
      <c r="Q3383" s="22"/>
      <c r="R3383" s="22"/>
      <c r="S3383" s="22"/>
      <c r="T3383" s="22"/>
      <c r="U3383" s="22"/>
      <c r="V3383" s="22"/>
      <c r="W3383" s="22"/>
      <c r="X3383" s="22"/>
    </row>
    <row r="3384" spans="1:24" x14ac:dyDescent="0.25">
      <c r="A3384" s="22" t="s">
        <v>5580</v>
      </c>
      <c r="B3384" s="22">
        <v>0</v>
      </c>
      <c r="C3384" s="22"/>
      <c r="D3384" s="22"/>
      <c r="E3384" s="22"/>
      <c r="F3384" s="22"/>
      <c r="G3384" s="22"/>
      <c r="H3384" s="22"/>
      <c r="I3384" s="22"/>
      <c r="J3384" s="22"/>
      <c r="K3384" s="22"/>
      <c r="L3384" s="22"/>
      <c r="M3384" s="22"/>
      <c r="N3384" s="22"/>
      <c r="O3384" s="22"/>
      <c r="P3384" s="22"/>
      <c r="Q3384" s="22"/>
      <c r="R3384" s="22"/>
      <c r="S3384" s="22"/>
      <c r="T3384" s="22"/>
      <c r="U3384" s="22"/>
      <c r="V3384" s="22"/>
      <c r="W3384" s="22"/>
      <c r="X3384" s="22"/>
    </row>
    <row r="3385" spans="1:24" x14ac:dyDescent="0.25">
      <c r="A3385" s="22" t="s">
        <v>5581</v>
      </c>
      <c r="B3385" s="22">
        <v>0</v>
      </c>
      <c r="C3385" s="22"/>
      <c r="D3385" s="22"/>
      <c r="E3385" s="22"/>
      <c r="F3385" s="22"/>
      <c r="G3385" s="22"/>
      <c r="H3385" s="22"/>
      <c r="I3385" s="22"/>
      <c r="J3385" s="22"/>
      <c r="K3385" s="22"/>
      <c r="L3385" s="22"/>
      <c r="M3385" s="22"/>
      <c r="N3385" s="22"/>
      <c r="O3385" s="22"/>
      <c r="P3385" s="22"/>
      <c r="Q3385" s="22"/>
      <c r="R3385" s="22"/>
      <c r="S3385" s="22"/>
      <c r="T3385" s="22"/>
      <c r="U3385" s="22"/>
      <c r="V3385" s="22"/>
      <c r="W3385" s="22"/>
      <c r="X3385" s="22"/>
    </row>
    <row r="3386" spans="1:24" x14ac:dyDescent="0.25">
      <c r="A3386" s="22" t="s">
        <v>5582</v>
      </c>
      <c r="B3386" s="22">
        <v>0</v>
      </c>
      <c r="C3386" s="22"/>
      <c r="D3386" s="22"/>
      <c r="E3386" s="22"/>
      <c r="F3386" s="22"/>
      <c r="G3386" s="22"/>
      <c r="H3386" s="22"/>
      <c r="I3386" s="22"/>
      <c r="J3386" s="22"/>
      <c r="K3386" s="22"/>
      <c r="L3386" s="22"/>
      <c r="M3386" s="22"/>
      <c r="N3386" s="22"/>
      <c r="O3386" s="22"/>
      <c r="P3386" s="22"/>
      <c r="Q3386" s="22"/>
      <c r="R3386" s="22"/>
      <c r="S3386" s="22"/>
      <c r="T3386" s="22"/>
      <c r="U3386" s="22"/>
      <c r="V3386" s="22"/>
      <c r="W3386" s="22"/>
      <c r="X3386" s="22"/>
    </row>
    <row r="3387" spans="1:24" x14ac:dyDescent="0.25">
      <c r="A3387" s="22" t="s">
        <v>5583</v>
      </c>
      <c r="B3387" s="22">
        <v>0</v>
      </c>
      <c r="C3387" s="22"/>
      <c r="D3387" s="22"/>
      <c r="E3387" s="22"/>
      <c r="F3387" s="22"/>
      <c r="G3387" s="22"/>
      <c r="H3387" s="22"/>
      <c r="I3387" s="22"/>
      <c r="J3387" s="22"/>
      <c r="K3387" s="22"/>
      <c r="L3387" s="22"/>
      <c r="M3387" s="22"/>
      <c r="N3387" s="22"/>
      <c r="O3387" s="22"/>
      <c r="P3387" s="22"/>
      <c r="Q3387" s="22"/>
      <c r="R3387" s="22"/>
      <c r="S3387" s="22"/>
      <c r="T3387" s="22"/>
      <c r="U3387" s="22"/>
      <c r="V3387" s="22"/>
      <c r="W3387" s="22"/>
      <c r="X3387" s="22"/>
    </row>
    <row r="3388" spans="1:24" x14ac:dyDescent="0.25">
      <c r="A3388" s="22" t="s">
        <v>5584</v>
      </c>
      <c r="B3388" s="22">
        <v>0</v>
      </c>
      <c r="C3388" s="22"/>
      <c r="D3388" s="22"/>
      <c r="E3388" s="22"/>
      <c r="F3388" s="22"/>
      <c r="G3388" s="22"/>
      <c r="H3388" s="22"/>
      <c r="I3388" s="22"/>
      <c r="J3388" s="22"/>
      <c r="K3388" s="22"/>
      <c r="L3388" s="22"/>
      <c r="M3388" s="22"/>
      <c r="N3388" s="22"/>
      <c r="O3388" s="22"/>
      <c r="P3388" s="22"/>
      <c r="Q3388" s="22"/>
      <c r="R3388" s="22"/>
      <c r="S3388" s="22"/>
      <c r="T3388" s="22"/>
      <c r="U3388" s="22"/>
      <c r="V3388" s="22"/>
      <c r="W3388" s="22"/>
      <c r="X3388" s="22"/>
    </row>
    <row r="3389" spans="1:24" x14ac:dyDescent="0.25">
      <c r="A3389" s="22" t="s">
        <v>5585</v>
      </c>
      <c r="B3389" s="22">
        <v>0</v>
      </c>
      <c r="C3389" s="22"/>
      <c r="D3389" s="22"/>
      <c r="E3389" s="22"/>
      <c r="F3389" s="22"/>
      <c r="G3389" s="22"/>
      <c r="H3389" s="22"/>
      <c r="I3389" s="22"/>
      <c r="J3389" s="22"/>
      <c r="K3389" s="22"/>
      <c r="L3389" s="22"/>
      <c r="M3389" s="22"/>
      <c r="N3389" s="22"/>
      <c r="O3389" s="22"/>
      <c r="P3389" s="22"/>
      <c r="Q3389" s="22"/>
      <c r="R3389" s="22"/>
      <c r="S3389" s="22"/>
      <c r="T3389" s="22"/>
      <c r="U3389" s="22"/>
      <c r="V3389" s="22"/>
      <c r="W3389" s="22"/>
      <c r="X3389" s="22"/>
    </row>
    <row r="3390" spans="1:24" x14ac:dyDescent="0.25">
      <c r="A3390" s="22" t="s">
        <v>5586</v>
      </c>
      <c r="B3390" s="22">
        <v>0</v>
      </c>
      <c r="C3390" s="22"/>
      <c r="D3390" s="22"/>
      <c r="E3390" s="22"/>
      <c r="F3390" s="22"/>
      <c r="G3390" s="22"/>
      <c r="H3390" s="22"/>
      <c r="I3390" s="22"/>
      <c r="J3390" s="22"/>
      <c r="K3390" s="22"/>
      <c r="L3390" s="22"/>
      <c r="M3390" s="22"/>
      <c r="N3390" s="22"/>
      <c r="O3390" s="22"/>
      <c r="P3390" s="22"/>
      <c r="Q3390" s="22"/>
      <c r="R3390" s="22"/>
      <c r="S3390" s="22"/>
      <c r="T3390" s="22"/>
      <c r="U3390" s="22"/>
      <c r="V3390" s="22"/>
      <c r="W3390" s="22"/>
      <c r="X3390" s="22"/>
    </row>
    <row r="3391" spans="1:24" x14ac:dyDescent="0.25">
      <c r="A3391" s="22" t="s">
        <v>5587</v>
      </c>
      <c r="B3391" s="22">
        <v>0</v>
      </c>
      <c r="C3391" s="22"/>
      <c r="D3391" s="22"/>
      <c r="E3391" s="22"/>
      <c r="F3391" s="22"/>
      <c r="G3391" s="22"/>
      <c r="H3391" s="22"/>
      <c r="I3391" s="22"/>
      <c r="J3391" s="22"/>
      <c r="K3391" s="22"/>
      <c r="L3391" s="22"/>
      <c r="M3391" s="22"/>
      <c r="N3391" s="22"/>
      <c r="O3391" s="22"/>
      <c r="P3391" s="22"/>
      <c r="Q3391" s="22"/>
      <c r="R3391" s="22"/>
      <c r="S3391" s="22"/>
      <c r="T3391" s="22"/>
      <c r="U3391" s="22"/>
      <c r="V3391" s="22"/>
      <c r="W3391" s="22"/>
      <c r="X3391" s="22"/>
    </row>
    <row r="3392" spans="1:24" x14ac:dyDescent="0.25">
      <c r="A3392" s="22" t="s">
        <v>5588</v>
      </c>
      <c r="B3392" s="22">
        <v>0</v>
      </c>
      <c r="C3392" s="22"/>
      <c r="D3392" s="22"/>
      <c r="E3392" s="22"/>
      <c r="F3392" s="22"/>
      <c r="G3392" s="22"/>
      <c r="H3392" s="22"/>
      <c r="I3392" s="22"/>
      <c r="J3392" s="22"/>
      <c r="K3392" s="22"/>
      <c r="L3392" s="22"/>
      <c r="M3392" s="22"/>
      <c r="N3392" s="22"/>
      <c r="O3392" s="22"/>
      <c r="P3392" s="22"/>
      <c r="Q3392" s="22"/>
      <c r="R3392" s="22"/>
      <c r="S3392" s="22"/>
      <c r="T3392" s="22"/>
      <c r="U3392" s="22"/>
      <c r="V3392" s="22"/>
      <c r="W3392" s="22"/>
      <c r="X3392" s="22"/>
    </row>
    <row r="3393" spans="1:24" x14ac:dyDescent="0.25">
      <c r="A3393" s="22" t="s">
        <v>5589</v>
      </c>
      <c r="B3393" s="22">
        <v>0</v>
      </c>
      <c r="C3393" s="22"/>
      <c r="D3393" s="22"/>
      <c r="E3393" s="22"/>
      <c r="F3393" s="22"/>
      <c r="G3393" s="22"/>
      <c r="H3393" s="22"/>
      <c r="I3393" s="22"/>
      <c r="J3393" s="22"/>
      <c r="K3393" s="22"/>
      <c r="L3393" s="22"/>
      <c r="M3393" s="22"/>
      <c r="N3393" s="22"/>
      <c r="O3393" s="22"/>
      <c r="P3393" s="22"/>
      <c r="Q3393" s="22"/>
      <c r="R3393" s="22"/>
      <c r="S3393" s="22"/>
      <c r="T3393" s="22"/>
      <c r="U3393" s="22"/>
      <c r="V3393" s="22"/>
      <c r="W3393" s="22"/>
      <c r="X3393" s="22"/>
    </row>
    <row r="3394" spans="1:24" x14ac:dyDescent="0.25">
      <c r="A3394" s="22" t="s">
        <v>5590</v>
      </c>
      <c r="B3394" s="22">
        <v>0</v>
      </c>
      <c r="C3394" s="22"/>
      <c r="D3394" s="22"/>
      <c r="E3394" s="22"/>
      <c r="F3394" s="22"/>
      <c r="G3394" s="22"/>
      <c r="H3394" s="22"/>
      <c r="I3394" s="22"/>
      <c r="J3394" s="22"/>
      <c r="K3394" s="22"/>
      <c r="L3394" s="22"/>
      <c r="M3394" s="22"/>
      <c r="N3394" s="22"/>
      <c r="O3394" s="22"/>
      <c r="P3394" s="22"/>
      <c r="Q3394" s="22"/>
      <c r="R3394" s="22"/>
      <c r="S3394" s="22"/>
      <c r="T3394" s="22"/>
      <c r="U3394" s="22"/>
      <c r="V3394" s="22"/>
      <c r="W3394" s="22"/>
      <c r="X3394" s="22"/>
    </row>
    <row r="3395" spans="1:24" x14ac:dyDescent="0.25">
      <c r="A3395" s="22" t="s">
        <v>5591</v>
      </c>
      <c r="B3395" s="22">
        <v>0</v>
      </c>
      <c r="C3395" s="22"/>
      <c r="D3395" s="22"/>
      <c r="E3395" s="22"/>
      <c r="F3395" s="22"/>
      <c r="G3395" s="22"/>
      <c r="H3395" s="22"/>
      <c r="I3395" s="22"/>
      <c r="J3395" s="22"/>
      <c r="K3395" s="22"/>
      <c r="L3395" s="22"/>
      <c r="M3395" s="22"/>
      <c r="N3395" s="22"/>
      <c r="O3395" s="22"/>
      <c r="P3395" s="22"/>
      <c r="Q3395" s="22"/>
      <c r="R3395" s="22"/>
      <c r="S3395" s="22"/>
      <c r="T3395" s="22"/>
      <c r="U3395" s="22"/>
      <c r="V3395" s="22"/>
      <c r="W3395" s="22"/>
      <c r="X3395" s="22"/>
    </row>
    <row r="3396" spans="1:24" x14ac:dyDescent="0.25">
      <c r="A3396" s="22" t="s">
        <v>5592</v>
      </c>
      <c r="B3396" s="22">
        <v>0</v>
      </c>
      <c r="C3396" s="22"/>
      <c r="D3396" s="22"/>
      <c r="E3396" s="22"/>
      <c r="F3396" s="22"/>
      <c r="G3396" s="22"/>
      <c r="H3396" s="22"/>
      <c r="I3396" s="22"/>
      <c r="J3396" s="22"/>
      <c r="K3396" s="22"/>
      <c r="L3396" s="22"/>
      <c r="M3396" s="22"/>
      <c r="N3396" s="22"/>
      <c r="O3396" s="22"/>
      <c r="P3396" s="22"/>
      <c r="Q3396" s="22"/>
      <c r="R3396" s="22"/>
      <c r="S3396" s="22"/>
      <c r="T3396" s="22"/>
      <c r="U3396" s="22"/>
      <c r="V3396" s="22"/>
      <c r="W3396" s="22"/>
      <c r="X3396" s="22"/>
    </row>
    <row r="3397" spans="1:24" x14ac:dyDescent="0.25">
      <c r="A3397" s="22" t="s">
        <v>5593</v>
      </c>
      <c r="B3397" s="22">
        <v>0</v>
      </c>
      <c r="C3397" s="22"/>
      <c r="D3397" s="22"/>
      <c r="E3397" s="22"/>
      <c r="F3397" s="22"/>
      <c r="G3397" s="22"/>
      <c r="H3397" s="22"/>
      <c r="I3397" s="22"/>
      <c r="J3397" s="22"/>
      <c r="K3397" s="22"/>
      <c r="L3397" s="22"/>
      <c r="M3397" s="22"/>
      <c r="N3397" s="22"/>
      <c r="O3397" s="22"/>
      <c r="P3397" s="22"/>
      <c r="Q3397" s="22"/>
      <c r="R3397" s="22"/>
      <c r="S3397" s="22"/>
      <c r="T3397" s="22"/>
      <c r="U3397" s="22"/>
      <c r="V3397" s="22"/>
      <c r="W3397" s="22"/>
      <c r="X3397" s="22"/>
    </row>
    <row r="3398" spans="1:24" x14ac:dyDescent="0.25">
      <c r="A3398" s="22" t="s">
        <v>5594</v>
      </c>
      <c r="B3398" s="22">
        <v>0</v>
      </c>
      <c r="C3398" s="22"/>
      <c r="D3398" s="22"/>
      <c r="E3398" s="22"/>
      <c r="F3398" s="22"/>
      <c r="G3398" s="22"/>
      <c r="H3398" s="22"/>
      <c r="I3398" s="22"/>
      <c r="J3398" s="22"/>
      <c r="K3398" s="22"/>
      <c r="L3398" s="22"/>
      <c r="M3398" s="22"/>
      <c r="N3398" s="22"/>
      <c r="O3398" s="22"/>
      <c r="P3398" s="22"/>
      <c r="Q3398" s="22"/>
      <c r="R3398" s="22"/>
      <c r="S3398" s="22"/>
      <c r="T3398" s="22"/>
      <c r="U3398" s="22"/>
      <c r="V3398" s="22"/>
      <c r="W3398" s="22"/>
      <c r="X3398" s="22"/>
    </row>
    <row r="3399" spans="1:24" x14ac:dyDescent="0.25">
      <c r="A3399" s="22" t="s">
        <v>5595</v>
      </c>
      <c r="B3399" s="22">
        <v>0</v>
      </c>
      <c r="C3399" s="22"/>
      <c r="D3399" s="22"/>
      <c r="E3399" s="22"/>
      <c r="F3399" s="22"/>
      <c r="G3399" s="22"/>
      <c r="H3399" s="22"/>
      <c r="I3399" s="22"/>
      <c r="J3399" s="22"/>
      <c r="K3399" s="22"/>
      <c r="L3399" s="22"/>
      <c r="M3399" s="22"/>
      <c r="N3399" s="22"/>
      <c r="O3399" s="22"/>
      <c r="P3399" s="22"/>
      <c r="Q3399" s="22"/>
      <c r="R3399" s="22"/>
      <c r="S3399" s="22"/>
      <c r="T3399" s="22"/>
      <c r="U3399" s="22"/>
      <c r="V3399" s="22"/>
      <c r="W3399" s="22"/>
      <c r="X3399" s="22"/>
    </row>
    <row r="3400" spans="1:24" x14ac:dyDescent="0.25">
      <c r="A3400" s="22" t="s">
        <v>5596</v>
      </c>
      <c r="B3400" s="22">
        <v>0</v>
      </c>
      <c r="C3400" s="22"/>
      <c r="D3400" s="22"/>
      <c r="E3400" s="22"/>
      <c r="F3400" s="22"/>
      <c r="G3400" s="22"/>
      <c r="H3400" s="22"/>
      <c r="I3400" s="22"/>
      <c r="J3400" s="22"/>
      <c r="K3400" s="22"/>
      <c r="L3400" s="22"/>
      <c r="M3400" s="22"/>
      <c r="N3400" s="22"/>
      <c r="O3400" s="22"/>
      <c r="P3400" s="22"/>
      <c r="Q3400" s="22"/>
      <c r="R3400" s="22"/>
      <c r="S3400" s="22"/>
      <c r="T3400" s="22"/>
      <c r="U3400" s="22"/>
      <c r="V3400" s="22"/>
      <c r="W3400" s="22"/>
      <c r="X3400" s="22"/>
    </row>
    <row r="3401" spans="1:24" x14ac:dyDescent="0.25">
      <c r="A3401" s="22" t="s">
        <v>5597</v>
      </c>
      <c r="B3401" s="22">
        <v>0</v>
      </c>
      <c r="C3401" s="22"/>
      <c r="D3401" s="22"/>
      <c r="E3401" s="22"/>
      <c r="F3401" s="22"/>
      <c r="G3401" s="22"/>
      <c r="H3401" s="22"/>
      <c r="I3401" s="22"/>
      <c r="J3401" s="22"/>
      <c r="K3401" s="22"/>
      <c r="L3401" s="22"/>
      <c r="M3401" s="22"/>
      <c r="N3401" s="22"/>
      <c r="O3401" s="22"/>
      <c r="P3401" s="22"/>
      <c r="Q3401" s="22"/>
      <c r="R3401" s="22"/>
      <c r="S3401" s="22"/>
      <c r="T3401" s="22"/>
      <c r="U3401" s="22"/>
      <c r="V3401" s="22"/>
      <c r="W3401" s="22"/>
      <c r="X3401" s="22"/>
    </row>
    <row r="3402" spans="1:24" x14ac:dyDescent="0.25">
      <c r="A3402" s="22" t="s">
        <v>5598</v>
      </c>
      <c r="B3402" s="22">
        <v>0</v>
      </c>
      <c r="C3402" s="22"/>
      <c r="D3402" s="22"/>
      <c r="E3402" s="22"/>
      <c r="F3402" s="22"/>
      <c r="G3402" s="22"/>
      <c r="H3402" s="22"/>
      <c r="I3402" s="22"/>
      <c r="J3402" s="22"/>
      <c r="K3402" s="22"/>
      <c r="L3402" s="22"/>
      <c r="M3402" s="22"/>
      <c r="N3402" s="22"/>
      <c r="O3402" s="22"/>
      <c r="P3402" s="22"/>
      <c r="Q3402" s="22"/>
      <c r="R3402" s="22"/>
      <c r="S3402" s="22"/>
      <c r="T3402" s="22"/>
      <c r="U3402" s="22"/>
      <c r="V3402" s="22"/>
      <c r="W3402" s="22"/>
      <c r="X3402" s="22"/>
    </row>
    <row r="3403" spans="1:24" x14ac:dyDescent="0.25">
      <c r="A3403" s="22" t="s">
        <v>5599</v>
      </c>
      <c r="B3403" s="22">
        <v>0</v>
      </c>
      <c r="C3403" s="22"/>
      <c r="D3403" s="22"/>
      <c r="E3403" s="22"/>
      <c r="F3403" s="22"/>
      <c r="G3403" s="22"/>
      <c r="H3403" s="22"/>
      <c r="I3403" s="22"/>
      <c r="J3403" s="22"/>
      <c r="K3403" s="22"/>
      <c r="L3403" s="22"/>
      <c r="M3403" s="22"/>
      <c r="N3403" s="22"/>
      <c r="O3403" s="22"/>
      <c r="P3403" s="22"/>
      <c r="Q3403" s="22"/>
      <c r="R3403" s="22"/>
      <c r="S3403" s="22"/>
      <c r="T3403" s="22"/>
      <c r="U3403" s="22"/>
      <c r="V3403" s="22"/>
      <c r="W3403" s="22"/>
      <c r="X3403" s="22"/>
    </row>
    <row r="3404" spans="1:24" x14ac:dyDescent="0.25">
      <c r="A3404" s="22" t="s">
        <v>5600</v>
      </c>
      <c r="B3404" s="22">
        <v>0</v>
      </c>
      <c r="C3404" s="22"/>
      <c r="D3404" s="22"/>
      <c r="E3404" s="22"/>
      <c r="F3404" s="22"/>
      <c r="G3404" s="22"/>
      <c r="H3404" s="22"/>
      <c r="I3404" s="22"/>
      <c r="J3404" s="22"/>
      <c r="K3404" s="22"/>
      <c r="L3404" s="22"/>
      <c r="M3404" s="22"/>
      <c r="N3404" s="22"/>
      <c r="O3404" s="22"/>
      <c r="P3404" s="22"/>
      <c r="Q3404" s="22"/>
      <c r="R3404" s="22"/>
      <c r="S3404" s="22"/>
      <c r="T3404" s="22"/>
      <c r="U3404" s="22"/>
      <c r="V3404" s="22"/>
      <c r="W3404" s="22"/>
      <c r="X3404" s="22"/>
    </row>
    <row r="3405" spans="1:24" x14ac:dyDescent="0.25">
      <c r="A3405" s="22" t="s">
        <v>5601</v>
      </c>
      <c r="B3405" s="22">
        <v>0</v>
      </c>
      <c r="C3405" s="22"/>
      <c r="D3405" s="22"/>
      <c r="E3405" s="22"/>
      <c r="F3405" s="22"/>
      <c r="G3405" s="22"/>
      <c r="H3405" s="22"/>
      <c r="I3405" s="22"/>
      <c r="J3405" s="22"/>
      <c r="K3405" s="22"/>
      <c r="L3405" s="22"/>
      <c r="M3405" s="22"/>
      <c r="N3405" s="22"/>
      <c r="O3405" s="22"/>
      <c r="P3405" s="22"/>
      <c r="Q3405" s="22"/>
      <c r="R3405" s="22"/>
      <c r="S3405" s="22"/>
      <c r="T3405" s="22"/>
      <c r="U3405" s="22"/>
      <c r="V3405" s="22"/>
      <c r="W3405" s="22"/>
      <c r="X3405" s="22"/>
    </row>
    <row r="3406" spans="1:24" x14ac:dyDescent="0.25">
      <c r="A3406" s="22" t="s">
        <v>5602</v>
      </c>
      <c r="B3406" s="22">
        <v>141</v>
      </c>
      <c r="C3406" s="22"/>
      <c r="D3406" s="22"/>
      <c r="E3406" s="22"/>
      <c r="F3406" s="22"/>
      <c r="G3406" s="22"/>
      <c r="H3406" s="22"/>
      <c r="I3406" s="22"/>
      <c r="J3406" s="22"/>
      <c r="K3406" s="22"/>
      <c r="L3406" s="22"/>
      <c r="M3406" s="22"/>
      <c r="N3406" s="22"/>
      <c r="O3406" s="22"/>
      <c r="P3406" s="22"/>
      <c r="Q3406" s="22"/>
      <c r="R3406" s="22"/>
      <c r="S3406" s="22"/>
      <c r="T3406" s="22"/>
      <c r="U3406" s="22"/>
      <c r="V3406" s="22"/>
      <c r="W3406" s="22"/>
      <c r="X3406" s="22"/>
    </row>
    <row r="3407" spans="1:24" x14ac:dyDescent="0.25">
      <c r="A3407" s="22" t="s">
        <v>5603</v>
      </c>
      <c r="B3407" s="22">
        <v>0</v>
      </c>
      <c r="C3407" s="22"/>
      <c r="D3407" s="22"/>
      <c r="E3407" s="22"/>
      <c r="F3407" s="22"/>
      <c r="G3407" s="22"/>
      <c r="H3407" s="22"/>
      <c r="I3407" s="22"/>
      <c r="J3407" s="22"/>
      <c r="K3407" s="22"/>
      <c r="L3407" s="22"/>
      <c r="M3407" s="22"/>
      <c r="N3407" s="22"/>
      <c r="O3407" s="22"/>
      <c r="P3407" s="22"/>
      <c r="Q3407" s="22"/>
      <c r="R3407" s="22"/>
      <c r="S3407" s="22"/>
      <c r="T3407" s="22"/>
      <c r="U3407" s="22"/>
      <c r="V3407" s="22"/>
      <c r="W3407" s="22"/>
      <c r="X3407" s="22"/>
    </row>
    <row r="3408" spans="1:24" x14ac:dyDescent="0.25">
      <c r="A3408" s="22" t="s">
        <v>5604</v>
      </c>
      <c r="B3408" s="22">
        <v>0</v>
      </c>
      <c r="C3408" s="22"/>
      <c r="D3408" s="22"/>
      <c r="E3408" s="22"/>
      <c r="F3408" s="22"/>
      <c r="G3408" s="22"/>
      <c r="H3408" s="22"/>
      <c r="I3408" s="22"/>
      <c r="J3408" s="22"/>
      <c r="K3408" s="22"/>
      <c r="L3408" s="22"/>
      <c r="M3408" s="22"/>
      <c r="N3408" s="22"/>
      <c r="O3408" s="22"/>
      <c r="P3408" s="22"/>
      <c r="Q3408" s="22"/>
      <c r="R3408" s="22"/>
      <c r="S3408" s="22"/>
      <c r="T3408" s="22"/>
      <c r="U3408" s="22"/>
      <c r="V3408" s="22"/>
      <c r="W3408" s="22"/>
      <c r="X3408" s="22"/>
    </row>
    <row r="3409" spans="1:24" x14ac:dyDescent="0.25">
      <c r="A3409" s="22" t="s">
        <v>5605</v>
      </c>
      <c r="B3409" s="22">
        <v>0</v>
      </c>
      <c r="C3409" s="22"/>
      <c r="D3409" s="22"/>
      <c r="E3409" s="22"/>
      <c r="F3409" s="22"/>
      <c r="G3409" s="22"/>
      <c r="H3409" s="22"/>
      <c r="I3409" s="22"/>
      <c r="J3409" s="22"/>
      <c r="K3409" s="22"/>
      <c r="L3409" s="22"/>
      <c r="M3409" s="22"/>
      <c r="N3409" s="22"/>
      <c r="O3409" s="22"/>
      <c r="P3409" s="22"/>
      <c r="Q3409" s="22"/>
      <c r="R3409" s="22"/>
      <c r="S3409" s="22"/>
      <c r="T3409" s="22"/>
      <c r="U3409" s="22"/>
      <c r="V3409" s="22"/>
      <c r="W3409" s="22"/>
      <c r="X3409" s="22"/>
    </row>
    <row r="3410" spans="1:24" x14ac:dyDescent="0.25">
      <c r="A3410" s="22" t="s">
        <v>5606</v>
      </c>
      <c r="B3410" s="22">
        <v>26</v>
      </c>
      <c r="C3410" s="22"/>
      <c r="D3410" s="22"/>
      <c r="E3410" s="22"/>
      <c r="F3410" s="22"/>
      <c r="G3410" s="22"/>
      <c r="H3410" s="22"/>
      <c r="I3410" s="22"/>
      <c r="J3410" s="22"/>
      <c r="K3410" s="22"/>
      <c r="L3410" s="22"/>
      <c r="M3410" s="22"/>
      <c r="N3410" s="22"/>
      <c r="O3410" s="22"/>
      <c r="P3410" s="22"/>
      <c r="Q3410" s="22"/>
      <c r="R3410" s="22"/>
      <c r="S3410" s="22"/>
      <c r="T3410" s="22"/>
      <c r="U3410" s="22"/>
      <c r="V3410" s="22"/>
      <c r="W3410" s="22"/>
      <c r="X3410" s="22"/>
    </row>
    <row r="3411" spans="1:24" x14ac:dyDescent="0.25">
      <c r="A3411" s="22" t="s">
        <v>5607</v>
      </c>
      <c r="B3411" s="22">
        <v>0</v>
      </c>
      <c r="C3411" s="22"/>
      <c r="D3411" s="22"/>
      <c r="E3411" s="22"/>
      <c r="F3411" s="22"/>
      <c r="G3411" s="22"/>
      <c r="H3411" s="22"/>
      <c r="I3411" s="22"/>
      <c r="J3411" s="22"/>
      <c r="K3411" s="22"/>
      <c r="L3411" s="22"/>
      <c r="M3411" s="22"/>
      <c r="N3411" s="22"/>
      <c r="O3411" s="22"/>
      <c r="P3411" s="22"/>
      <c r="Q3411" s="22"/>
      <c r="R3411" s="22"/>
      <c r="S3411" s="22"/>
      <c r="T3411" s="22"/>
      <c r="U3411" s="22"/>
      <c r="V3411" s="22"/>
      <c r="W3411" s="22"/>
      <c r="X3411" s="22"/>
    </row>
    <row r="3412" spans="1:24" x14ac:dyDescent="0.25">
      <c r="A3412" s="22" t="s">
        <v>5608</v>
      </c>
      <c r="B3412" s="22">
        <v>0</v>
      </c>
      <c r="C3412" s="22"/>
      <c r="D3412" s="22"/>
      <c r="E3412" s="22"/>
      <c r="F3412" s="22"/>
      <c r="G3412" s="22"/>
      <c r="H3412" s="22"/>
      <c r="I3412" s="22"/>
      <c r="J3412" s="22"/>
      <c r="K3412" s="22"/>
      <c r="L3412" s="22"/>
      <c r="M3412" s="22"/>
      <c r="N3412" s="22"/>
      <c r="O3412" s="22"/>
      <c r="P3412" s="22"/>
      <c r="Q3412" s="22"/>
      <c r="R3412" s="22"/>
      <c r="S3412" s="22"/>
      <c r="T3412" s="22"/>
      <c r="U3412" s="22"/>
      <c r="V3412" s="22"/>
      <c r="W3412" s="22"/>
      <c r="X3412" s="22"/>
    </row>
    <row r="3413" spans="1:24" x14ac:dyDescent="0.25">
      <c r="A3413" s="22" t="s">
        <v>5609</v>
      </c>
      <c r="B3413" s="22">
        <v>0</v>
      </c>
      <c r="C3413" s="22"/>
      <c r="D3413" s="22"/>
      <c r="E3413" s="22"/>
      <c r="F3413" s="22"/>
      <c r="G3413" s="22"/>
      <c r="H3413" s="22"/>
      <c r="I3413" s="22"/>
      <c r="J3413" s="22"/>
      <c r="K3413" s="22"/>
      <c r="L3413" s="22"/>
      <c r="M3413" s="22"/>
      <c r="N3413" s="22"/>
      <c r="O3413" s="22"/>
      <c r="P3413" s="22"/>
      <c r="Q3413" s="22"/>
      <c r="R3413" s="22"/>
      <c r="S3413" s="22"/>
      <c r="T3413" s="22"/>
      <c r="U3413" s="22"/>
      <c r="V3413" s="22"/>
      <c r="W3413" s="22"/>
      <c r="X3413" s="22"/>
    </row>
    <row r="3414" spans="1:24" x14ac:dyDescent="0.25">
      <c r="A3414" s="22" t="s">
        <v>5610</v>
      </c>
      <c r="B3414" s="22">
        <v>2</v>
      </c>
      <c r="C3414" s="22"/>
      <c r="D3414" s="22"/>
      <c r="E3414" s="22"/>
      <c r="F3414" s="22"/>
      <c r="G3414" s="22"/>
      <c r="H3414" s="22"/>
      <c r="I3414" s="22"/>
      <c r="J3414" s="22"/>
      <c r="K3414" s="22"/>
      <c r="L3414" s="22"/>
      <c r="M3414" s="22"/>
      <c r="N3414" s="22"/>
      <c r="O3414" s="22"/>
      <c r="P3414" s="22"/>
      <c r="Q3414" s="22"/>
      <c r="R3414" s="22"/>
      <c r="S3414" s="22"/>
      <c r="T3414" s="22"/>
      <c r="U3414" s="22"/>
      <c r="V3414" s="22"/>
      <c r="W3414" s="22"/>
      <c r="X3414" s="22"/>
    </row>
    <row r="3415" spans="1:24" x14ac:dyDescent="0.25">
      <c r="A3415" s="22" t="s">
        <v>5611</v>
      </c>
      <c r="B3415" s="22">
        <v>0</v>
      </c>
      <c r="C3415" s="22"/>
      <c r="D3415" s="22"/>
      <c r="E3415" s="22"/>
      <c r="F3415" s="22"/>
      <c r="G3415" s="22"/>
      <c r="H3415" s="22"/>
      <c r="I3415" s="22"/>
      <c r="J3415" s="22"/>
      <c r="K3415" s="22"/>
      <c r="L3415" s="22"/>
      <c r="M3415" s="22"/>
      <c r="N3415" s="22"/>
      <c r="O3415" s="22"/>
      <c r="P3415" s="22"/>
      <c r="Q3415" s="22"/>
      <c r="R3415" s="22"/>
      <c r="S3415" s="22"/>
      <c r="T3415" s="22"/>
      <c r="U3415" s="22"/>
      <c r="V3415" s="22"/>
      <c r="W3415" s="22"/>
      <c r="X3415" s="22"/>
    </row>
    <row r="3416" spans="1:24" x14ac:dyDescent="0.25">
      <c r="A3416" s="22" t="s">
        <v>5612</v>
      </c>
      <c r="B3416" s="22">
        <v>0</v>
      </c>
      <c r="C3416" s="22"/>
      <c r="D3416" s="22"/>
      <c r="E3416" s="22"/>
      <c r="F3416" s="22"/>
      <c r="G3416" s="22"/>
      <c r="H3416" s="22"/>
      <c r="I3416" s="22"/>
      <c r="J3416" s="22"/>
      <c r="K3416" s="22"/>
      <c r="L3416" s="22"/>
      <c r="M3416" s="22"/>
      <c r="N3416" s="22"/>
      <c r="O3416" s="22"/>
      <c r="P3416" s="22"/>
      <c r="Q3416" s="22"/>
      <c r="R3416" s="22"/>
      <c r="S3416" s="22"/>
      <c r="T3416" s="22"/>
      <c r="U3416" s="22"/>
      <c r="V3416" s="22"/>
      <c r="W3416" s="22"/>
      <c r="X3416" s="22"/>
    </row>
    <row r="3417" spans="1:24" x14ac:dyDescent="0.25">
      <c r="A3417" s="22" t="s">
        <v>5613</v>
      </c>
      <c r="B3417" s="22">
        <v>0</v>
      </c>
      <c r="C3417" s="22"/>
      <c r="D3417" s="22"/>
      <c r="E3417" s="22"/>
      <c r="F3417" s="22"/>
      <c r="G3417" s="22"/>
      <c r="H3417" s="22"/>
      <c r="I3417" s="22"/>
      <c r="J3417" s="22"/>
      <c r="K3417" s="22"/>
      <c r="L3417" s="22"/>
      <c r="M3417" s="22"/>
      <c r="N3417" s="22"/>
      <c r="O3417" s="22"/>
      <c r="P3417" s="22"/>
      <c r="Q3417" s="22"/>
      <c r="R3417" s="22"/>
      <c r="S3417" s="22"/>
      <c r="T3417" s="22"/>
      <c r="U3417" s="22"/>
      <c r="V3417" s="22"/>
      <c r="W3417" s="22"/>
      <c r="X3417" s="22"/>
    </row>
    <row r="3418" spans="1:24" x14ac:dyDescent="0.25">
      <c r="A3418" s="22" t="s">
        <v>5614</v>
      </c>
      <c r="B3418" s="22">
        <v>1</v>
      </c>
      <c r="C3418" s="22"/>
      <c r="D3418" s="22"/>
      <c r="E3418" s="22"/>
      <c r="F3418" s="22"/>
      <c r="G3418" s="22"/>
      <c r="H3418" s="22"/>
      <c r="I3418" s="22"/>
      <c r="J3418" s="22"/>
      <c r="K3418" s="22"/>
      <c r="L3418" s="22"/>
      <c r="M3418" s="22"/>
      <c r="N3418" s="22"/>
      <c r="O3418" s="22"/>
      <c r="P3418" s="22"/>
      <c r="Q3418" s="22"/>
      <c r="R3418" s="22"/>
      <c r="S3418" s="22"/>
      <c r="T3418" s="22"/>
      <c r="U3418" s="22"/>
      <c r="V3418" s="22"/>
      <c r="W3418" s="22"/>
      <c r="X3418" s="22"/>
    </row>
    <row r="3419" spans="1:24" x14ac:dyDescent="0.25">
      <c r="A3419" s="22" t="s">
        <v>5615</v>
      </c>
      <c r="B3419" s="22">
        <v>0</v>
      </c>
      <c r="C3419" s="22"/>
      <c r="D3419" s="22"/>
      <c r="E3419" s="22"/>
      <c r="F3419" s="22"/>
      <c r="G3419" s="22"/>
      <c r="H3419" s="22"/>
      <c r="I3419" s="22"/>
      <c r="J3419" s="22"/>
      <c r="K3419" s="22"/>
      <c r="L3419" s="22"/>
      <c r="M3419" s="22"/>
      <c r="N3419" s="22"/>
      <c r="O3419" s="22"/>
      <c r="P3419" s="22"/>
      <c r="Q3419" s="22"/>
      <c r="R3419" s="22"/>
      <c r="S3419" s="22"/>
      <c r="T3419" s="22"/>
      <c r="U3419" s="22"/>
      <c r="V3419" s="22"/>
      <c r="W3419" s="22"/>
      <c r="X3419" s="22"/>
    </row>
    <row r="3420" spans="1:24" x14ac:dyDescent="0.25">
      <c r="A3420" s="22" t="s">
        <v>5616</v>
      </c>
      <c r="B3420" s="22">
        <v>0</v>
      </c>
      <c r="C3420" s="22"/>
      <c r="D3420" s="22"/>
      <c r="E3420" s="22"/>
      <c r="F3420" s="22"/>
      <c r="G3420" s="22"/>
      <c r="H3420" s="22"/>
      <c r="I3420" s="22"/>
      <c r="J3420" s="22"/>
      <c r="K3420" s="22"/>
      <c r="L3420" s="22"/>
      <c r="M3420" s="22"/>
      <c r="N3420" s="22"/>
      <c r="O3420" s="22"/>
      <c r="P3420" s="22"/>
      <c r="Q3420" s="22"/>
      <c r="R3420" s="22"/>
      <c r="S3420" s="22"/>
      <c r="T3420" s="22"/>
      <c r="U3420" s="22"/>
      <c r="V3420" s="22"/>
      <c r="W3420" s="22"/>
      <c r="X3420" s="22"/>
    </row>
    <row r="3421" spans="1:24" x14ac:dyDescent="0.25">
      <c r="A3421" s="22" t="s">
        <v>5617</v>
      </c>
      <c r="B3421" s="22">
        <v>0</v>
      </c>
      <c r="C3421" s="22"/>
      <c r="D3421" s="22"/>
      <c r="E3421" s="22"/>
      <c r="F3421" s="22"/>
      <c r="G3421" s="22"/>
      <c r="H3421" s="22"/>
      <c r="I3421" s="22"/>
      <c r="J3421" s="22"/>
      <c r="K3421" s="22"/>
      <c r="L3421" s="22"/>
      <c r="M3421" s="22"/>
      <c r="N3421" s="22"/>
      <c r="O3421" s="22"/>
      <c r="P3421" s="22"/>
      <c r="Q3421" s="22"/>
      <c r="R3421" s="22"/>
      <c r="S3421" s="22"/>
      <c r="T3421" s="22"/>
      <c r="U3421" s="22"/>
      <c r="V3421" s="22"/>
      <c r="W3421" s="22"/>
      <c r="X3421" s="22"/>
    </row>
    <row r="3422" spans="1:24" x14ac:dyDescent="0.25">
      <c r="A3422" s="22" t="s">
        <v>5618</v>
      </c>
      <c r="B3422" s="22">
        <v>96</v>
      </c>
      <c r="C3422" s="22"/>
      <c r="D3422" s="22"/>
      <c r="E3422" s="22"/>
      <c r="F3422" s="22"/>
      <c r="G3422" s="22"/>
      <c r="H3422" s="22"/>
      <c r="I3422" s="22"/>
      <c r="J3422" s="22"/>
      <c r="K3422" s="22"/>
      <c r="L3422" s="22"/>
      <c r="M3422" s="22"/>
      <c r="N3422" s="22"/>
      <c r="O3422" s="22"/>
      <c r="P3422" s="22"/>
      <c r="Q3422" s="22"/>
      <c r="R3422" s="22"/>
      <c r="S3422" s="22"/>
      <c r="T3422" s="22"/>
      <c r="U3422" s="22"/>
      <c r="V3422" s="22"/>
      <c r="W3422" s="22"/>
      <c r="X3422" s="22"/>
    </row>
    <row r="3423" spans="1:24" x14ac:dyDescent="0.25">
      <c r="A3423" s="22" t="s">
        <v>5619</v>
      </c>
      <c r="B3423" s="22">
        <v>0</v>
      </c>
      <c r="C3423" s="22"/>
      <c r="D3423" s="22"/>
      <c r="E3423" s="22"/>
      <c r="F3423" s="22"/>
      <c r="G3423" s="22"/>
      <c r="H3423" s="22"/>
      <c r="I3423" s="22"/>
      <c r="J3423" s="22"/>
      <c r="K3423" s="22"/>
      <c r="L3423" s="22"/>
      <c r="M3423" s="22"/>
      <c r="N3423" s="22"/>
      <c r="O3423" s="22"/>
      <c r="P3423" s="22"/>
      <c r="Q3423" s="22"/>
      <c r="R3423" s="22"/>
      <c r="S3423" s="22"/>
      <c r="T3423" s="22"/>
      <c r="U3423" s="22"/>
      <c r="V3423" s="22"/>
      <c r="W3423" s="22"/>
      <c r="X3423" s="22"/>
    </row>
    <row r="3424" spans="1:24" x14ac:dyDescent="0.25">
      <c r="A3424" s="22" t="s">
        <v>5620</v>
      </c>
      <c r="B3424" s="22">
        <v>0</v>
      </c>
      <c r="C3424" s="22"/>
      <c r="D3424" s="22"/>
      <c r="E3424" s="22"/>
      <c r="F3424" s="22"/>
      <c r="G3424" s="22"/>
      <c r="H3424" s="22"/>
      <c r="I3424" s="22"/>
      <c r="J3424" s="22"/>
      <c r="K3424" s="22"/>
      <c r="L3424" s="22"/>
      <c r="M3424" s="22"/>
      <c r="N3424" s="22"/>
      <c r="O3424" s="22"/>
      <c r="P3424" s="22"/>
      <c r="Q3424" s="22"/>
      <c r="R3424" s="22"/>
      <c r="S3424" s="22"/>
      <c r="T3424" s="22"/>
      <c r="U3424" s="22"/>
      <c r="V3424" s="22"/>
      <c r="W3424" s="22"/>
      <c r="X3424" s="22"/>
    </row>
    <row r="3425" spans="1:24" x14ac:dyDescent="0.25">
      <c r="A3425" s="22" t="s">
        <v>5621</v>
      </c>
      <c r="B3425" s="22">
        <v>0</v>
      </c>
      <c r="C3425" s="22"/>
      <c r="D3425" s="22"/>
      <c r="E3425" s="22"/>
      <c r="F3425" s="22"/>
      <c r="G3425" s="22"/>
      <c r="H3425" s="22"/>
      <c r="I3425" s="22"/>
      <c r="J3425" s="22"/>
      <c r="K3425" s="22"/>
      <c r="L3425" s="22"/>
      <c r="M3425" s="22"/>
      <c r="N3425" s="22"/>
      <c r="O3425" s="22"/>
      <c r="P3425" s="22"/>
      <c r="Q3425" s="22"/>
      <c r="R3425" s="22"/>
      <c r="S3425" s="22"/>
      <c r="T3425" s="22"/>
      <c r="U3425" s="22"/>
      <c r="V3425" s="22"/>
      <c r="W3425" s="22"/>
      <c r="X3425" s="22"/>
    </row>
    <row r="3426" spans="1:24" x14ac:dyDescent="0.25">
      <c r="A3426" s="22" t="s">
        <v>5622</v>
      </c>
      <c r="B3426" s="22">
        <v>1</v>
      </c>
      <c r="C3426" s="22"/>
      <c r="D3426" s="22"/>
      <c r="E3426" s="22"/>
      <c r="F3426" s="22"/>
      <c r="G3426" s="22"/>
      <c r="H3426" s="22"/>
      <c r="I3426" s="22"/>
      <c r="J3426" s="22"/>
      <c r="K3426" s="22"/>
      <c r="L3426" s="22"/>
      <c r="M3426" s="22"/>
      <c r="N3426" s="22"/>
      <c r="O3426" s="22"/>
      <c r="P3426" s="22"/>
      <c r="Q3426" s="22"/>
      <c r="R3426" s="22"/>
      <c r="S3426" s="22"/>
      <c r="T3426" s="22"/>
      <c r="U3426" s="22"/>
      <c r="V3426" s="22"/>
      <c r="W3426" s="22"/>
      <c r="X3426" s="22"/>
    </row>
    <row r="3427" spans="1:24" x14ac:dyDescent="0.25">
      <c r="A3427" s="22" t="s">
        <v>5623</v>
      </c>
      <c r="B3427" s="22">
        <v>0</v>
      </c>
      <c r="C3427" s="22"/>
      <c r="D3427" s="22"/>
      <c r="E3427" s="22"/>
      <c r="F3427" s="22"/>
      <c r="G3427" s="22"/>
      <c r="H3427" s="22"/>
      <c r="I3427" s="22"/>
      <c r="J3427" s="22"/>
      <c r="K3427" s="22"/>
      <c r="L3427" s="22"/>
      <c r="M3427" s="22"/>
      <c r="N3427" s="22"/>
      <c r="O3427" s="22"/>
      <c r="P3427" s="22"/>
      <c r="Q3427" s="22"/>
      <c r="R3427" s="22"/>
      <c r="S3427" s="22"/>
      <c r="T3427" s="22"/>
      <c r="U3427" s="22"/>
      <c r="V3427" s="22"/>
      <c r="W3427" s="22"/>
      <c r="X3427" s="22"/>
    </row>
    <row r="3428" spans="1:24" x14ac:dyDescent="0.25">
      <c r="A3428" s="22" t="s">
        <v>5624</v>
      </c>
      <c r="B3428" s="22">
        <v>0</v>
      </c>
      <c r="C3428" s="22"/>
      <c r="D3428" s="22"/>
      <c r="E3428" s="22"/>
      <c r="F3428" s="22"/>
      <c r="G3428" s="22"/>
      <c r="H3428" s="22"/>
      <c r="I3428" s="22"/>
      <c r="J3428" s="22"/>
      <c r="K3428" s="22"/>
      <c r="L3428" s="22"/>
      <c r="M3428" s="22"/>
      <c r="N3428" s="22"/>
      <c r="O3428" s="22"/>
      <c r="P3428" s="22"/>
      <c r="Q3428" s="22"/>
      <c r="R3428" s="22"/>
      <c r="S3428" s="22"/>
      <c r="T3428" s="22"/>
      <c r="U3428" s="22"/>
      <c r="V3428" s="22"/>
      <c r="W3428" s="22"/>
      <c r="X3428" s="22"/>
    </row>
    <row r="3429" spans="1:24" x14ac:dyDescent="0.25">
      <c r="A3429" s="22" t="s">
        <v>5625</v>
      </c>
      <c r="B3429" s="22">
        <v>0</v>
      </c>
      <c r="C3429" s="22"/>
      <c r="D3429" s="22"/>
      <c r="E3429" s="22"/>
      <c r="F3429" s="22"/>
      <c r="G3429" s="22"/>
      <c r="H3429" s="22"/>
      <c r="I3429" s="22"/>
      <c r="J3429" s="22"/>
      <c r="K3429" s="22"/>
      <c r="L3429" s="22"/>
      <c r="M3429" s="22"/>
      <c r="N3429" s="22"/>
      <c r="O3429" s="22"/>
      <c r="P3429" s="22"/>
      <c r="Q3429" s="22"/>
      <c r="R3429" s="22"/>
      <c r="S3429" s="22"/>
      <c r="T3429" s="22"/>
      <c r="U3429" s="22"/>
      <c r="V3429" s="22"/>
      <c r="W3429" s="22"/>
      <c r="X3429" s="22"/>
    </row>
    <row r="3430" spans="1:24" x14ac:dyDescent="0.25">
      <c r="A3430" s="22" t="s">
        <v>5626</v>
      </c>
      <c r="B3430" s="22">
        <v>172</v>
      </c>
      <c r="C3430" s="22"/>
      <c r="D3430" s="22"/>
      <c r="E3430" s="22"/>
      <c r="F3430" s="22"/>
      <c r="G3430" s="22"/>
      <c r="H3430" s="22"/>
      <c r="I3430" s="22"/>
      <c r="J3430" s="22"/>
      <c r="K3430" s="22"/>
      <c r="L3430" s="22"/>
      <c r="M3430" s="22"/>
      <c r="N3430" s="22"/>
      <c r="O3430" s="22"/>
      <c r="P3430" s="22"/>
      <c r="Q3430" s="22"/>
      <c r="R3430" s="22"/>
      <c r="S3430" s="22"/>
      <c r="T3430" s="22"/>
      <c r="U3430" s="22"/>
      <c r="V3430" s="22"/>
      <c r="W3430" s="22"/>
      <c r="X3430" s="22"/>
    </row>
    <row r="3431" spans="1:24" x14ac:dyDescent="0.25">
      <c r="A3431" s="22" t="s">
        <v>5627</v>
      </c>
      <c r="B3431" s="22">
        <v>0</v>
      </c>
      <c r="C3431" s="22"/>
      <c r="D3431" s="22"/>
      <c r="E3431" s="22"/>
      <c r="F3431" s="22"/>
      <c r="G3431" s="22"/>
      <c r="H3431" s="22"/>
      <c r="I3431" s="22"/>
      <c r="J3431" s="22"/>
      <c r="K3431" s="22"/>
      <c r="L3431" s="22"/>
      <c r="M3431" s="22"/>
      <c r="N3431" s="22"/>
      <c r="O3431" s="22"/>
      <c r="P3431" s="22"/>
      <c r="Q3431" s="22"/>
      <c r="R3431" s="22"/>
      <c r="S3431" s="22"/>
      <c r="T3431" s="22"/>
      <c r="U3431" s="22"/>
      <c r="V3431" s="22"/>
      <c r="W3431" s="22"/>
      <c r="X3431" s="22"/>
    </row>
    <row r="3432" spans="1:24" x14ac:dyDescent="0.25">
      <c r="A3432" s="22" t="s">
        <v>5628</v>
      </c>
      <c r="B3432" s="22">
        <v>0</v>
      </c>
      <c r="C3432" s="22"/>
      <c r="D3432" s="22"/>
      <c r="E3432" s="22"/>
      <c r="F3432" s="22"/>
      <c r="G3432" s="22"/>
      <c r="H3432" s="22"/>
      <c r="I3432" s="22"/>
      <c r="J3432" s="22"/>
      <c r="K3432" s="22"/>
      <c r="L3432" s="22"/>
      <c r="M3432" s="22"/>
      <c r="N3432" s="22"/>
      <c r="O3432" s="22"/>
      <c r="P3432" s="22"/>
      <c r="Q3432" s="22"/>
      <c r="R3432" s="22"/>
      <c r="S3432" s="22"/>
      <c r="T3432" s="22"/>
      <c r="U3432" s="22"/>
      <c r="V3432" s="22"/>
      <c r="W3432" s="22"/>
      <c r="X3432" s="22"/>
    </row>
    <row r="3433" spans="1:24" x14ac:dyDescent="0.25">
      <c r="A3433" s="22" t="s">
        <v>5629</v>
      </c>
      <c r="B3433" s="22">
        <v>0</v>
      </c>
      <c r="C3433" s="22"/>
      <c r="D3433" s="22"/>
      <c r="E3433" s="22"/>
      <c r="F3433" s="22"/>
      <c r="G3433" s="22"/>
      <c r="H3433" s="22"/>
      <c r="I3433" s="22"/>
      <c r="J3433" s="22"/>
      <c r="K3433" s="22"/>
      <c r="L3433" s="22"/>
      <c r="M3433" s="22"/>
      <c r="N3433" s="22"/>
      <c r="O3433" s="22"/>
      <c r="P3433" s="22"/>
      <c r="Q3433" s="22"/>
      <c r="R3433" s="22"/>
      <c r="S3433" s="22"/>
      <c r="T3433" s="22"/>
      <c r="U3433" s="22"/>
      <c r="V3433" s="22"/>
      <c r="W3433" s="22"/>
      <c r="X3433" s="22"/>
    </row>
    <row r="3434" spans="1:24" x14ac:dyDescent="0.25">
      <c r="A3434" s="22" t="s">
        <v>5630</v>
      </c>
      <c r="B3434" s="22">
        <v>3</v>
      </c>
      <c r="C3434" s="22"/>
      <c r="D3434" s="22"/>
      <c r="E3434" s="22"/>
      <c r="F3434" s="22"/>
      <c r="G3434" s="22"/>
      <c r="H3434" s="22"/>
      <c r="I3434" s="22"/>
      <c r="J3434" s="22"/>
      <c r="K3434" s="22"/>
      <c r="L3434" s="22"/>
      <c r="M3434" s="22"/>
      <c r="N3434" s="22"/>
      <c r="O3434" s="22"/>
      <c r="P3434" s="22"/>
      <c r="Q3434" s="22"/>
      <c r="R3434" s="22"/>
      <c r="S3434" s="22"/>
      <c r="T3434" s="22"/>
      <c r="U3434" s="22"/>
      <c r="V3434" s="22"/>
      <c r="W3434" s="22"/>
      <c r="X3434" s="22"/>
    </row>
    <row r="3435" spans="1:24" x14ac:dyDescent="0.25">
      <c r="A3435" s="22" t="s">
        <v>5631</v>
      </c>
      <c r="B3435" s="22">
        <v>0</v>
      </c>
      <c r="C3435" s="22"/>
      <c r="D3435" s="22"/>
      <c r="E3435" s="22"/>
      <c r="F3435" s="22"/>
      <c r="G3435" s="22"/>
      <c r="H3435" s="22"/>
      <c r="I3435" s="22"/>
      <c r="J3435" s="22"/>
      <c r="K3435" s="22"/>
      <c r="L3435" s="22"/>
      <c r="M3435" s="22"/>
      <c r="N3435" s="22"/>
      <c r="O3435" s="22"/>
      <c r="P3435" s="22"/>
      <c r="Q3435" s="22"/>
      <c r="R3435" s="22"/>
      <c r="S3435" s="22"/>
      <c r="T3435" s="22"/>
      <c r="U3435" s="22"/>
      <c r="V3435" s="22"/>
      <c r="W3435" s="22"/>
      <c r="X3435" s="22"/>
    </row>
    <row r="3436" spans="1:24" x14ac:dyDescent="0.25">
      <c r="A3436" s="22" t="s">
        <v>5632</v>
      </c>
      <c r="B3436" s="22">
        <v>0</v>
      </c>
      <c r="C3436" s="22"/>
      <c r="D3436" s="22"/>
      <c r="E3436" s="22"/>
      <c r="F3436" s="22"/>
      <c r="G3436" s="22"/>
      <c r="H3436" s="22"/>
      <c r="I3436" s="22"/>
      <c r="J3436" s="22"/>
      <c r="K3436" s="22"/>
      <c r="L3436" s="22"/>
      <c r="M3436" s="22"/>
      <c r="N3436" s="22"/>
      <c r="O3436" s="22"/>
      <c r="P3436" s="22"/>
      <c r="Q3436" s="22"/>
      <c r="R3436" s="22"/>
      <c r="S3436" s="22"/>
      <c r="T3436" s="22"/>
      <c r="U3436" s="22"/>
      <c r="V3436" s="22"/>
      <c r="W3436" s="22"/>
      <c r="X3436" s="22"/>
    </row>
    <row r="3437" spans="1:24" x14ac:dyDescent="0.25">
      <c r="A3437" s="22" t="s">
        <v>5633</v>
      </c>
      <c r="B3437" s="22">
        <v>0</v>
      </c>
      <c r="C3437" s="22"/>
      <c r="D3437" s="22"/>
      <c r="E3437" s="22"/>
      <c r="F3437" s="22"/>
      <c r="G3437" s="22"/>
      <c r="H3437" s="22"/>
      <c r="I3437" s="22"/>
      <c r="J3437" s="22"/>
      <c r="K3437" s="22"/>
      <c r="L3437" s="22"/>
      <c r="M3437" s="22"/>
      <c r="N3437" s="22"/>
      <c r="O3437" s="22"/>
      <c r="P3437" s="22"/>
      <c r="Q3437" s="22"/>
      <c r="R3437" s="22"/>
      <c r="S3437" s="22"/>
      <c r="T3437" s="22"/>
      <c r="U3437" s="22"/>
      <c r="V3437" s="22"/>
      <c r="W3437" s="22"/>
      <c r="X3437" s="22"/>
    </row>
    <row r="3438" spans="1:24" x14ac:dyDescent="0.25">
      <c r="A3438" s="22" t="s">
        <v>5634</v>
      </c>
      <c r="B3438" s="22">
        <v>0</v>
      </c>
      <c r="C3438" s="22"/>
      <c r="D3438" s="22"/>
      <c r="E3438" s="22"/>
      <c r="F3438" s="22"/>
      <c r="G3438" s="22"/>
      <c r="H3438" s="22"/>
      <c r="I3438" s="22"/>
      <c r="J3438" s="22"/>
      <c r="K3438" s="22"/>
      <c r="L3438" s="22"/>
      <c r="M3438" s="22"/>
      <c r="N3438" s="22"/>
      <c r="O3438" s="22"/>
      <c r="P3438" s="22"/>
      <c r="Q3438" s="22"/>
      <c r="R3438" s="22"/>
      <c r="S3438" s="22"/>
      <c r="T3438" s="22"/>
      <c r="U3438" s="22"/>
      <c r="V3438" s="22"/>
      <c r="W3438" s="22"/>
      <c r="X3438" s="22"/>
    </row>
    <row r="3439" spans="1:24" x14ac:dyDescent="0.25">
      <c r="A3439" s="22" t="s">
        <v>5635</v>
      </c>
      <c r="B3439" s="22">
        <v>0</v>
      </c>
      <c r="C3439" s="22"/>
      <c r="D3439" s="22"/>
      <c r="E3439" s="22"/>
      <c r="F3439" s="22"/>
      <c r="G3439" s="22"/>
      <c r="H3439" s="22"/>
      <c r="I3439" s="22"/>
      <c r="J3439" s="22"/>
      <c r="K3439" s="22"/>
      <c r="L3439" s="22"/>
      <c r="M3439" s="22"/>
      <c r="N3439" s="22"/>
      <c r="O3439" s="22"/>
      <c r="P3439" s="22"/>
      <c r="Q3439" s="22"/>
      <c r="R3439" s="22"/>
      <c r="S3439" s="22"/>
      <c r="T3439" s="22"/>
      <c r="U3439" s="22"/>
      <c r="V3439" s="22"/>
      <c r="W3439" s="22"/>
      <c r="X3439" s="22"/>
    </row>
    <row r="3440" spans="1:24" x14ac:dyDescent="0.25">
      <c r="A3440" s="22" t="s">
        <v>5636</v>
      </c>
      <c r="B3440" s="22">
        <v>0</v>
      </c>
      <c r="C3440" s="22"/>
      <c r="D3440" s="22"/>
      <c r="E3440" s="22"/>
      <c r="F3440" s="22"/>
      <c r="G3440" s="22"/>
      <c r="H3440" s="22"/>
      <c r="I3440" s="22"/>
      <c r="J3440" s="22"/>
      <c r="K3440" s="22"/>
      <c r="L3440" s="22"/>
      <c r="M3440" s="22"/>
      <c r="N3440" s="22"/>
      <c r="O3440" s="22"/>
      <c r="P3440" s="22"/>
      <c r="Q3440" s="22"/>
      <c r="R3440" s="22"/>
      <c r="S3440" s="22"/>
      <c r="T3440" s="22"/>
      <c r="U3440" s="22"/>
      <c r="V3440" s="22"/>
      <c r="W3440" s="22"/>
      <c r="X3440" s="22"/>
    </row>
    <row r="3441" spans="1:24" x14ac:dyDescent="0.25">
      <c r="A3441" s="22" t="s">
        <v>5637</v>
      </c>
      <c r="B3441" s="22">
        <v>0</v>
      </c>
      <c r="C3441" s="22"/>
      <c r="D3441" s="22"/>
      <c r="E3441" s="22"/>
      <c r="F3441" s="22"/>
      <c r="G3441" s="22"/>
      <c r="H3441" s="22"/>
      <c r="I3441" s="22"/>
      <c r="J3441" s="22"/>
      <c r="K3441" s="22"/>
      <c r="L3441" s="22"/>
      <c r="M3441" s="22"/>
      <c r="N3441" s="22"/>
      <c r="O3441" s="22"/>
      <c r="P3441" s="22"/>
      <c r="Q3441" s="22"/>
      <c r="R3441" s="22"/>
      <c r="S3441" s="22"/>
      <c r="T3441" s="22"/>
      <c r="U3441" s="22"/>
      <c r="V3441" s="22"/>
      <c r="W3441" s="22"/>
      <c r="X3441" s="22"/>
    </row>
    <row r="3442" spans="1:24" x14ac:dyDescent="0.25">
      <c r="A3442" s="22" t="s">
        <v>5638</v>
      </c>
      <c r="B3442" s="22">
        <v>0</v>
      </c>
      <c r="C3442" s="22"/>
      <c r="D3442" s="22"/>
      <c r="E3442" s="22"/>
      <c r="F3442" s="22"/>
      <c r="G3442" s="22"/>
      <c r="H3442" s="22"/>
      <c r="I3442" s="22"/>
      <c r="J3442" s="22"/>
      <c r="K3442" s="22"/>
      <c r="L3442" s="22"/>
      <c r="M3442" s="22"/>
      <c r="N3442" s="22"/>
      <c r="O3442" s="22"/>
      <c r="P3442" s="22"/>
      <c r="Q3442" s="22"/>
      <c r="R3442" s="22"/>
      <c r="S3442" s="22"/>
      <c r="T3442" s="22"/>
      <c r="U3442" s="22"/>
      <c r="V3442" s="22"/>
      <c r="W3442" s="22"/>
      <c r="X3442" s="22"/>
    </row>
    <row r="3443" spans="1:24" x14ac:dyDescent="0.25">
      <c r="A3443" s="22" t="s">
        <v>5639</v>
      </c>
      <c r="B3443" s="22">
        <v>0</v>
      </c>
      <c r="C3443" s="22"/>
      <c r="D3443" s="22"/>
      <c r="E3443" s="22"/>
      <c r="F3443" s="22"/>
      <c r="G3443" s="22"/>
      <c r="H3443" s="22"/>
      <c r="I3443" s="22"/>
      <c r="J3443" s="22"/>
      <c r="K3443" s="22"/>
      <c r="L3443" s="22"/>
      <c r="M3443" s="22"/>
      <c r="N3443" s="22"/>
      <c r="O3443" s="22"/>
      <c r="P3443" s="22"/>
      <c r="Q3443" s="22"/>
      <c r="R3443" s="22"/>
      <c r="S3443" s="22"/>
      <c r="T3443" s="22"/>
      <c r="U3443" s="22"/>
      <c r="V3443" s="22"/>
      <c r="W3443" s="22"/>
      <c r="X3443" s="22"/>
    </row>
    <row r="3444" spans="1:24" x14ac:dyDescent="0.25">
      <c r="A3444" s="22" t="s">
        <v>5640</v>
      </c>
      <c r="B3444" s="22">
        <v>0</v>
      </c>
      <c r="C3444" s="22"/>
      <c r="D3444" s="22"/>
      <c r="E3444" s="22"/>
      <c r="F3444" s="22"/>
      <c r="G3444" s="22"/>
      <c r="H3444" s="22"/>
      <c r="I3444" s="22"/>
      <c r="J3444" s="22"/>
      <c r="K3444" s="22"/>
      <c r="L3444" s="22"/>
      <c r="M3444" s="22"/>
      <c r="N3444" s="22"/>
      <c r="O3444" s="22"/>
      <c r="P3444" s="22"/>
      <c r="Q3444" s="22"/>
      <c r="R3444" s="22"/>
      <c r="S3444" s="22"/>
      <c r="T3444" s="22"/>
      <c r="U3444" s="22"/>
      <c r="V3444" s="22"/>
      <c r="W3444" s="22"/>
      <c r="X3444" s="22"/>
    </row>
    <row r="3445" spans="1:24" x14ac:dyDescent="0.25">
      <c r="A3445" s="22" t="s">
        <v>5641</v>
      </c>
      <c r="B3445" s="22">
        <v>0</v>
      </c>
      <c r="C3445" s="22"/>
      <c r="D3445" s="22"/>
      <c r="E3445" s="22"/>
      <c r="F3445" s="22"/>
      <c r="G3445" s="22"/>
      <c r="H3445" s="22"/>
      <c r="I3445" s="22"/>
      <c r="J3445" s="22"/>
      <c r="K3445" s="22"/>
      <c r="L3445" s="22"/>
      <c r="M3445" s="22"/>
      <c r="N3445" s="22"/>
      <c r="O3445" s="22"/>
      <c r="P3445" s="22"/>
      <c r="Q3445" s="22"/>
      <c r="R3445" s="22"/>
      <c r="S3445" s="22"/>
      <c r="T3445" s="22"/>
      <c r="U3445" s="22"/>
      <c r="V3445" s="22"/>
      <c r="W3445" s="22"/>
      <c r="X3445" s="22"/>
    </row>
    <row r="3446" spans="1:24" x14ac:dyDescent="0.25">
      <c r="A3446" s="22" t="s">
        <v>734</v>
      </c>
      <c r="B3446" s="22">
        <v>87</v>
      </c>
      <c r="C3446" s="22"/>
      <c r="D3446" s="22"/>
      <c r="E3446" s="22"/>
      <c r="F3446" s="22"/>
      <c r="G3446" s="22"/>
      <c r="H3446" s="22"/>
      <c r="I3446" s="22"/>
      <c r="J3446" s="22"/>
      <c r="K3446" s="22"/>
      <c r="L3446" s="22"/>
      <c r="M3446" s="22"/>
      <c r="N3446" s="22"/>
      <c r="O3446" s="22"/>
      <c r="P3446" s="22"/>
      <c r="Q3446" s="22"/>
      <c r="R3446" s="22"/>
      <c r="S3446" s="22"/>
      <c r="T3446" s="22"/>
      <c r="U3446" s="22"/>
      <c r="V3446" s="22"/>
      <c r="W3446" s="22"/>
      <c r="X3446" s="22"/>
    </row>
    <row r="3447" spans="1:24" x14ac:dyDescent="0.25">
      <c r="A3447" s="22" t="s">
        <v>5642</v>
      </c>
      <c r="B3447" s="22">
        <v>0</v>
      </c>
      <c r="C3447" s="22"/>
      <c r="D3447" s="22"/>
      <c r="E3447" s="22"/>
      <c r="F3447" s="22"/>
      <c r="G3447" s="22"/>
      <c r="H3447" s="22"/>
      <c r="I3447" s="22"/>
      <c r="J3447" s="22"/>
      <c r="K3447" s="22"/>
      <c r="L3447" s="22"/>
      <c r="M3447" s="22"/>
      <c r="N3447" s="22"/>
      <c r="O3447" s="22"/>
      <c r="P3447" s="22"/>
      <c r="Q3447" s="22"/>
      <c r="R3447" s="22"/>
      <c r="S3447" s="22"/>
      <c r="T3447" s="22"/>
      <c r="U3447" s="22"/>
      <c r="V3447" s="22"/>
      <c r="W3447" s="22"/>
      <c r="X3447" s="22"/>
    </row>
    <row r="3448" spans="1:24" x14ac:dyDescent="0.25">
      <c r="A3448" s="22" t="s">
        <v>5643</v>
      </c>
      <c r="B3448" s="22">
        <v>0</v>
      </c>
      <c r="C3448" s="22"/>
      <c r="D3448" s="22"/>
      <c r="E3448" s="22"/>
      <c r="F3448" s="22"/>
      <c r="G3448" s="22"/>
      <c r="H3448" s="22"/>
      <c r="I3448" s="22"/>
      <c r="J3448" s="22"/>
      <c r="K3448" s="22"/>
      <c r="L3448" s="22"/>
      <c r="M3448" s="22"/>
      <c r="N3448" s="22"/>
      <c r="O3448" s="22"/>
      <c r="P3448" s="22"/>
      <c r="Q3448" s="22"/>
      <c r="R3448" s="22"/>
      <c r="S3448" s="22"/>
      <c r="T3448" s="22"/>
      <c r="U3448" s="22"/>
      <c r="V3448" s="22"/>
      <c r="W3448" s="22"/>
      <c r="X3448" s="22"/>
    </row>
    <row r="3449" spans="1:24" x14ac:dyDescent="0.25">
      <c r="A3449" s="22" t="s">
        <v>5644</v>
      </c>
      <c r="B3449" s="22">
        <v>0</v>
      </c>
      <c r="C3449" s="22"/>
      <c r="D3449" s="22"/>
      <c r="E3449" s="22"/>
      <c r="F3449" s="22"/>
      <c r="G3449" s="22"/>
      <c r="H3449" s="22"/>
      <c r="I3449" s="22"/>
      <c r="J3449" s="22"/>
      <c r="K3449" s="22"/>
      <c r="L3449" s="22"/>
      <c r="M3449" s="22"/>
      <c r="N3449" s="22"/>
      <c r="O3449" s="22"/>
      <c r="P3449" s="22"/>
      <c r="Q3449" s="22"/>
      <c r="R3449" s="22"/>
      <c r="S3449" s="22"/>
      <c r="T3449" s="22"/>
      <c r="U3449" s="22"/>
      <c r="V3449" s="22"/>
      <c r="W3449" s="22"/>
      <c r="X3449" s="22"/>
    </row>
    <row r="3450" spans="1:24" x14ac:dyDescent="0.25">
      <c r="A3450" s="22" t="s">
        <v>5645</v>
      </c>
      <c r="B3450" s="22">
        <v>51</v>
      </c>
      <c r="C3450" s="22"/>
      <c r="D3450" s="22"/>
      <c r="E3450" s="22"/>
      <c r="F3450" s="22"/>
      <c r="G3450" s="22"/>
      <c r="H3450" s="22"/>
      <c r="I3450" s="22"/>
      <c r="J3450" s="22"/>
      <c r="K3450" s="22"/>
      <c r="L3450" s="22"/>
      <c r="M3450" s="22"/>
      <c r="N3450" s="22"/>
      <c r="O3450" s="22"/>
      <c r="P3450" s="22"/>
      <c r="Q3450" s="22"/>
      <c r="R3450" s="22"/>
      <c r="S3450" s="22"/>
      <c r="T3450" s="22"/>
      <c r="U3450" s="22"/>
      <c r="V3450" s="22"/>
      <c r="W3450" s="22"/>
      <c r="X3450" s="22"/>
    </row>
    <row r="3451" spans="1:24" x14ac:dyDescent="0.25">
      <c r="A3451" s="22" t="s">
        <v>5646</v>
      </c>
      <c r="B3451" s="22">
        <v>0</v>
      </c>
      <c r="C3451" s="22"/>
      <c r="D3451" s="22"/>
      <c r="E3451" s="22"/>
      <c r="F3451" s="22"/>
      <c r="G3451" s="22"/>
      <c r="H3451" s="22"/>
      <c r="I3451" s="22"/>
      <c r="J3451" s="22"/>
      <c r="K3451" s="22"/>
      <c r="L3451" s="22"/>
      <c r="M3451" s="22"/>
      <c r="N3451" s="22"/>
      <c r="O3451" s="22"/>
      <c r="P3451" s="22"/>
      <c r="Q3451" s="22"/>
      <c r="R3451" s="22"/>
      <c r="S3451" s="22"/>
      <c r="T3451" s="22"/>
      <c r="U3451" s="22"/>
      <c r="V3451" s="22"/>
      <c r="W3451" s="22"/>
      <c r="X3451" s="22"/>
    </row>
    <row r="3452" spans="1:24" x14ac:dyDescent="0.25">
      <c r="A3452" s="22" t="s">
        <v>5647</v>
      </c>
      <c r="B3452" s="22">
        <v>0</v>
      </c>
      <c r="C3452" s="22"/>
      <c r="D3452" s="22"/>
      <c r="E3452" s="22"/>
      <c r="F3452" s="22"/>
      <c r="G3452" s="22"/>
      <c r="H3452" s="22"/>
      <c r="I3452" s="22"/>
      <c r="J3452" s="22"/>
      <c r="K3452" s="22"/>
      <c r="L3452" s="22"/>
      <c r="M3452" s="22"/>
      <c r="N3452" s="22"/>
      <c r="O3452" s="22"/>
      <c r="P3452" s="22"/>
      <c r="Q3452" s="22"/>
      <c r="R3452" s="22"/>
      <c r="S3452" s="22"/>
      <c r="T3452" s="22"/>
      <c r="U3452" s="22"/>
      <c r="V3452" s="22"/>
      <c r="W3452" s="22"/>
      <c r="X3452" s="22"/>
    </row>
    <row r="3453" spans="1:24" x14ac:dyDescent="0.25">
      <c r="A3453" s="22" t="s">
        <v>5648</v>
      </c>
      <c r="B3453" s="22">
        <v>0</v>
      </c>
      <c r="C3453" s="22"/>
      <c r="D3453" s="22"/>
      <c r="E3453" s="22"/>
      <c r="F3453" s="22"/>
      <c r="G3453" s="22"/>
      <c r="H3453" s="22"/>
      <c r="I3453" s="22"/>
      <c r="J3453" s="22"/>
      <c r="K3453" s="22"/>
      <c r="L3453" s="22"/>
      <c r="M3453" s="22"/>
      <c r="N3453" s="22"/>
      <c r="O3453" s="22"/>
      <c r="P3453" s="22"/>
      <c r="Q3453" s="22"/>
      <c r="R3453" s="22"/>
      <c r="S3453" s="22"/>
      <c r="T3453" s="22"/>
      <c r="U3453" s="22"/>
      <c r="V3453" s="22"/>
      <c r="W3453" s="22"/>
      <c r="X3453" s="22"/>
    </row>
    <row r="3454" spans="1:24" x14ac:dyDescent="0.25">
      <c r="A3454" s="22" t="s">
        <v>739</v>
      </c>
      <c r="B3454" s="22">
        <v>140</v>
      </c>
      <c r="C3454" s="22"/>
      <c r="D3454" s="22"/>
      <c r="E3454" s="22"/>
      <c r="F3454" s="22"/>
      <c r="G3454" s="22"/>
      <c r="H3454" s="22"/>
      <c r="I3454" s="22"/>
      <c r="J3454" s="22"/>
      <c r="K3454" s="22"/>
      <c r="L3454" s="22"/>
      <c r="M3454" s="22"/>
      <c r="N3454" s="22"/>
      <c r="O3454" s="22"/>
      <c r="P3454" s="22"/>
      <c r="Q3454" s="22"/>
      <c r="R3454" s="22"/>
      <c r="S3454" s="22"/>
      <c r="T3454" s="22"/>
      <c r="U3454" s="22"/>
      <c r="V3454" s="22"/>
      <c r="W3454" s="22"/>
      <c r="X3454" s="22"/>
    </row>
    <row r="3455" spans="1:24" x14ac:dyDescent="0.25">
      <c r="A3455" s="22" t="s">
        <v>5649</v>
      </c>
      <c r="B3455" s="22">
        <v>0</v>
      </c>
      <c r="C3455" s="22"/>
      <c r="D3455" s="22"/>
      <c r="E3455" s="22"/>
      <c r="F3455" s="22"/>
      <c r="G3455" s="22"/>
      <c r="H3455" s="22"/>
      <c r="I3455" s="22"/>
      <c r="J3455" s="22"/>
      <c r="K3455" s="22"/>
      <c r="L3455" s="22"/>
      <c r="M3455" s="22"/>
      <c r="N3455" s="22"/>
      <c r="O3455" s="22"/>
      <c r="P3455" s="22"/>
      <c r="Q3455" s="22"/>
      <c r="R3455" s="22"/>
      <c r="S3455" s="22"/>
      <c r="T3455" s="22"/>
      <c r="U3455" s="22"/>
      <c r="V3455" s="22"/>
      <c r="W3455" s="22"/>
      <c r="X3455" s="22"/>
    </row>
    <row r="3456" spans="1:24" x14ac:dyDescent="0.25">
      <c r="A3456" s="22" t="s">
        <v>5650</v>
      </c>
      <c r="B3456" s="22">
        <v>0</v>
      </c>
      <c r="C3456" s="22"/>
      <c r="D3456" s="22"/>
      <c r="E3456" s="22"/>
      <c r="F3456" s="22"/>
      <c r="G3456" s="22"/>
      <c r="H3456" s="22"/>
      <c r="I3456" s="22"/>
      <c r="J3456" s="22"/>
      <c r="K3456" s="22"/>
      <c r="L3456" s="22"/>
      <c r="M3456" s="22"/>
      <c r="N3456" s="22"/>
      <c r="O3456" s="22"/>
      <c r="P3456" s="22"/>
      <c r="Q3456" s="22"/>
      <c r="R3456" s="22"/>
      <c r="S3456" s="22"/>
      <c r="T3456" s="22"/>
      <c r="U3456" s="22"/>
      <c r="V3456" s="22"/>
      <c r="W3456" s="22"/>
      <c r="X3456" s="22"/>
    </row>
    <row r="3457" spans="1:24" x14ac:dyDescent="0.25">
      <c r="A3457" s="22" t="s">
        <v>5651</v>
      </c>
      <c r="B3457" s="22">
        <v>0</v>
      </c>
      <c r="C3457" s="22"/>
      <c r="D3457" s="22"/>
      <c r="E3457" s="22"/>
      <c r="F3457" s="22"/>
      <c r="G3457" s="22"/>
      <c r="H3457" s="22"/>
      <c r="I3457" s="22"/>
      <c r="J3457" s="22"/>
      <c r="K3457" s="22"/>
      <c r="L3457" s="22"/>
      <c r="M3457" s="22"/>
      <c r="N3457" s="22"/>
      <c r="O3457" s="22"/>
      <c r="P3457" s="22"/>
      <c r="Q3457" s="22"/>
      <c r="R3457" s="22"/>
      <c r="S3457" s="22"/>
      <c r="T3457" s="22"/>
      <c r="U3457" s="22"/>
      <c r="V3457" s="22"/>
      <c r="W3457" s="22"/>
      <c r="X3457" s="22"/>
    </row>
    <row r="3458" spans="1:24" x14ac:dyDescent="0.25">
      <c r="A3458" s="22" t="s">
        <v>5652</v>
      </c>
      <c r="B3458" s="22">
        <v>1</v>
      </c>
      <c r="C3458" s="22"/>
      <c r="D3458" s="22"/>
      <c r="E3458" s="22"/>
      <c r="F3458" s="22"/>
      <c r="G3458" s="22"/>
      <c r="H3458" s="22"/>
      <c r="I3458" s="22"/>
      <c r="J3458" s="22"/>
      <c r="K3458" s="22"/>
      <c r="L3458" s="22"/>
      <c r="M3458" s="22"/>
      <c r="N3458" s="22"/>
      <c r="O3458" s="22"/>
      <c r="P3458" s="22"/>
      <c r="Q3458" s="22"/>
      <c r="R3458" s="22"/>
      <c r="S3458" s="22"/>
      <c r="T3458" s="22"/>
      <c r="U3458" s="22"/>
      <c r="V3458" s="22"/>
      <c r="W3458" s="22"/>
      <c r="X3458" s="22"/>
    </row>
    <row r="3459" spans="1:24" x14ac:dyDescent="0.25">
      <c r="A3459" s="22" t="s">
        <v>5653</v>
      </c>
      <c r="B3459" s="22">
        <v>0</v>
      </c>
      <c r="C3459" s="22"/>
      <c r="D3459" s="22"/>
      <c r="E3459" s="22"/>
      <c r="F3459" s="22"/>
      <c r="G3459" s="22"/>
      <c r="H3459" s="22"/>
      <c r="I3459" s="22"/>
      <c r="J3459" s="22"/>
      <c r="K3459" s="22"/>
      <c r="L3459" s="22"/>
      <c r="M3459" s="22"/>
      <c r="N3459" s="22"/>
      <c r="O3459" s="22"/>
      <c r="P3459" s="22"/>
      <c r="Q3459" s="22"/>
      <c r="R3459" s="22"/>
      <c r="S3459" s="22"/>
      <c r="T3459" s="22"/>
      <c r="U3459" s="22"/>
      <c r="V3459" s="22"/>
      <c r="W3459" s="22"/>
      <c r="X3459" s="22"/>
    </row>
    <row r="3460" spans="1:24" x14ac:dyDescent="0.25">
      <c r="A3460" s="22" t="s">
        <v>5654</v>
      </c>
      <c r="B3460" s="22">
        <v>0</v>
      </c>
      <c r="C3460" s="22"/>
      <c r="D3460" s="22"/>
      <c r="E3460" s="22"/>
      <c r="F3460" s="22"/>
      <c r="G3460" s="22"/>
      <c r="H3460" s="22"/>
      <c r="I3460" s="22"/>
      <c r="J3460" s="22"/>
      <c r="K3460" s="22"/>
      <c r="L3460" s="22"/>
      <c r="M3460" s="22"/>
      <c r="N3460" s="22"/>
      <c r="O3460" s="22"/>
      <c r="P3460" s="22"/>
      <c r="Q3460" s="22"/>
      <c r="R3460" s="22"/>
      <c r="S3460" s="22"/>
      <c r="T3460" s="22"/>
      <c r="U3460" s="22"/>
      <c r="V3460" s="22"/>
      <c r="W3460" s="22"/>
      <c r="X3460" s="22"/>
    </row>
    <row r="3461" spans="1:24" x14ac:dyDescent="0.25">
      <c r="A3461" s="22" t="s">
        <v>5655</v>
      </c>
      <c r="B3461" s="22">
        <v>0</v>
      </c>
      <c r="C3461" s="22"/>
      <c r="D3461" s="22"/>
      <c r="E3461" s="22"/>
      <c r="F3461" s="22"/>
      <c r="G3461" s="22"/>
      <c r="H3461" s="22"/>
      <c r="I3461" s="22"/>
      <c r="J3461" s="22"/>
      <c r="K3461" s="22"/>
      <c r="L3461" s="22"/>
      <c r="M3461" s="22"/>
      <c r="N3461" s="22"/>
      <c r="O3461" s="22"/>
      <c r="P3461" s="22"/>
      <c r="Q3461" s="22"/>
      <c r="R3461" s="22"/>
      <c r="S3461" s="22"/>
      <c r="T3461" s="22"/>
      <c r="U3461" s="22"/>
      <c r="V3461" s="22"/>
      <c r="W3461" s="22"/>
      <c r="X3461" s="22"/>
    </row>
    <row r="3462" spans="1:24" x14ac:dyDescent="0.25">
      <c r="A3462" s="22" t="s">
        <v>743</v>
      </c>
      <c r="B3462" s="22">
        <v>0</v>
      </c>
      <c r="C3462" s="22"/>
      <c r="D3462" s="22"/>
      <c r="E3462" s="22"/>
      <c r="F3462" s="22"/>
      <c r="G3462" s="22"/>
      <c r="H3462" s="22"/>
      <c r="I3462" s="22"/>
      <c r="J3462" s="22"/>
      <c r="K3462" s="22"/>
      <c r="L3462" s="22"/>
      <c r="M3462" s="22"/>
      <c r="N3462" s="22"/>
      <c r="O3462" s="22"/>
      <c r="P3462" s="22"/>
      <c r="Q3462" s="22"/>
      <c r="R3462" s="22"/>
      <c r="S3462" s="22"/>
      <c r="T3462" s="22"/>
      <c r="U3462" s="22"/>
      <c r="V3462" s="22"/>
      <c r="W3462" s="22"/>
      <c r="X3462" s="22"/>
    </row>
    <row r="3463" spans="1:24" x14ac:dyDescent="0.25">
      <c r="A3463" s="22" t="s">
        <v>5656</v>
      </c>
      <c r="B3463" s="22">
        <v>0</v>
      </c>
      <c r="C3463" s="22"/>
      <c r="D3463" s="22"/>
      <c r="E3463" s="22"/>
      <c r="F3463" s="22"/>
      <c r="G3463" s="22"/>
      <c r="H3463" s="22"/>
      <c r="I3463" s="22"/>
      <c r="J3463" s="22"/>
      <c r="K3463" s="22"/>
      <c r="L3463" s="22"/>
      <c r="M3463" s="22"/>
      <c r="N3463" s="22"/>
      <c r="O3463" s="22"/>
      <c r="P3463" s="22"/>
      <c r="Q3463" s="22"/>
      <c r="R3463" s="22"/>
      <c r="S3463" s="22"/>
      <c r="T3463" s="22"/>
      <c r="U3463" s="22"/>
      <c r="V3463" s="22"/>
      <c r="W3463" s="22"/>
      <c r="X3463" s="22"/>
    </row>
    <row r="3464" spans="1:24" x14ac:dyDescent="0.25">
      <c r="A3464" s="22" t="s">
        <v>5657</v>
      </c>
      <c r="B3464" s="22">
        <v>0</v>
      </c>
      <c r="C3464" s="22"/>
      <c r="D3464" s="22"/>
      <c r="E3464" s="22"/>
      <c r="F3464" s="22"/>
      <c r="G3464" s="22"/>
      <c r="H3464" s="22"/>
      <c r="I3464" s="22"/>
      <c r="J3464" s="22"/>
      <c r="K3464" s="22"/>
      <c r="L3464" s="22"/>
      <c r="M3464" s="22"/>
      <c r="N3464" s="22"/>
      <c r="O3464" s="22"/>
      <c r="P3464" s="22"/>
      <c r="Q3464" s="22"/>
      <c r="R3464" s="22"/>
      <c r="S3464" s="22"/>
      <c r="T3464" s="22"/>
      <c r="U3464" s="22"/>
      <c r="V3464" s="22"/>
      <c r="W3464" s="22"/>
      <c r="X3464" s="22"/>
    </row>
    <row r="3465" spans="1:24" x14ac:dyDescent="0.25">
      <c r="A3465" s="22" t="s">
        <v>5658</v>
      </c>
      <c r="B3465" s="22">
        <v>0</v>
      </c>
      <c r="C3465" s="22"/>
      <c r="D3465" s="22"/>
      <c r="E3465" s="22"/>
      <c r="F3465" s="22"/>
      <c r="G3465" s="22"/>
      <c r="H3465" s="22"/>
      <c r="I3465" s="22"/>
      <c r="J3465" s="22"/>
      <c r="K3465" s="22"/>
      <c r="L3465" s="22"/>
      <c r="M3465" s="22"/>
      <c r="N3465" s="22"/>
      <c r="O3465" s="22"/>
      <c r="P3465" s="22"/>
      <c r="Q3465" s="22"/>
      <c r="R3465" s="22"/>
      <c r="S3465" s="22"/>
      <c r="T3465" s="22"/>
      <c r="U3465" s="22"/>
      <c r="V3465" s="22"/>
      <c r="W3465" s="22"/>
      <c r="X3465" s="22"/>
    </row>
    <row r="3466" spans="1:24" x14ac:dyDescent="0.25">
      <c r="A3466" s="22" t="s">
        <v>5659</v>
      </c>
      <c r="B3466" s="22">
        <v>0</v>
      </c>
      <c r="C3466" s="22"/>
      <c r="D3466" s="22"/>
      <c r="E3466" s="22"/>
      <c r="F3466" s="22"/>
      <c r="G3466" s="22"/>
      <c r="H3466" s="22"/>
      <c r="I3466" s="22"/>
      <c r="J3466" s="22"/>
      <c r="K3466" s="22"/>
      <c r="L3466" s="22"/>
      <c r="M3466" s="22"/>
      <c r="N3466" s="22"/>
      <c r="O3466" s="22"/>
      <c r="P3466" s="22"/>
      <c r="Q3466" s="22"/>
      <c r="R3466" s="22"/>
      <c r="S3466" s="22"/>
      <c r="T3466" s="22"/>
      <c r="U3466" s="22"/>
      <c r="V3466" s="22"/>
      <c r="W3466" s="22"/>
      <c r="X3466" s="22"/>
    </row>
    <row r="3467" spans="1:24" x14ac:dyDescent="0.25">
      <c r="A3467" s="22" t="s">
        <v>5660</v>
      </c>
      <c r="B3467" s="22">
        <v>0</v>
      </c>
      <c r="C3467" s="22"/>
      <c r="D3467" s="22"/>
      <c r="E3467" s="22"/>
      <c r="F3467" s="22"/>
      <c r="G3467" s="22"/>
      <c r="H3467" s="22"/>
      <c r="I3467" s="22"/>
      <c r="J3467" s="22"/>
      <c r="K3467" s="22"/>
      <c r="L3467" s="22"/>
      <c r="M3467" s="22"/>
      <c r="N3467" s="22"/>
      <c r="O3467" s="22"/>
      <c r="P3467" s="22"/>
      <c r="Q3467" s="22"/>
      <c r="R3467" s="22"/>
      <c r="S3467" s="22"/>
      <c r="T3467" s="22"/>
      <c r="U3467" s="22"/>
      <c r="V3467" s="22"/>
      <c r="W3467" s="22"/>
      <c r="X3467" s="22"/>
    </row>
    <row r="3468" spans="1:24" x14ac:dyDescent="0.25">
      <c r="A3468" s="22" t="s">
        <v>5661</v>
      </c>
      <c r="B3468" s="22">
        <v>0</v>
      </c>
      <c r="C3468" s="22"/>
      <c r="D3468" s="22"/>
      <c r="E3468" s="22"/>
      <c r="F3468" s="22"/>
      <c r="G3468" s="22"/>
      <c r="H3468" s="22"/>
      <c r="I3468" s="22"/>
      <c r="J3468" s="22"/>
      <c r="K3468" s="22"/>
      <c r="L3468" s="22"/>
      <c r="M3468" s="22"/>
      <c r="N3468" s="22"/>
      <c r="O3468" s="22"/>
      <c r="P3468" s="22"/>
      <c r="Q3468" s="22"/>
      <c r="R3468" s="22"/>
      <c r="S3468" s="22"/>
      <c r="T3468" s="22"/>
      <c r="U3468" s="22"/>
      <c r="V3468" s="22"/>
      <c r="W3468" s="22"/>
      <c r="X3468" s="22"/>
    </row>
    <row r="3469" spans="1:24" x14ac:dyDescent="0.25">
      <c r="A3469" s="22" t="s">
        <v>5662</v>
      </c>
      <c r="B3469" s="22">
        <v>0</v>
      </c>
      <c r="C3469" s="22"/>
      <c r="D3469" s="22"/>
      <c r="E3469" s="22"/>
      <c r="F3469" s="22"/>
      <c r="G3469" s="22"/>
      <c r="H3469" s="22"/>
      <c r="I3469" s="22"/>
      <c r="J3469" s="22"/>
      <c r="K3469" s="22"/>
      <c r="L3469" s="22"/>
      <c r="M3469" s="22"/>
      <c r="N3469" s="22"/>
      <c r="O3469" s="22"/>
      <c r="P3469" s="22"/>
      <c r="Q3469" s="22"/>
      <c r="R3469" s="22"/>
      <c r="S3469" s="22"/>
      <c r="T3469" s="22"/>
      <c r="U3469" s="22"/>
      <c r="V3469" s="22"/>
      <c r="W3469" s="22"/>
      <c r="X3469" s="22"/>
    </row>
    <row r="3470" spans="1:24" x14ac:dyDescent="0.25">
      <c r="A3470" s="22" t="s">
        <v>747</v>
      </c>
      <c r="B3470" s="22">
        <v>2</v>
      </c>
      <c r="C3470" s="22"/>
      <c r="D3470" s="22"/>
      <c r="E3470" s="22"/>
      <c r="F3470" s="22"/>
      <c r="G3470" s="22"/>
      <c r="H3470" s="22"/>
      <c r="I3470" s="22"/>
      <c r="J3470" s="22"/>
      <c r="K3470" s="22"/>
      <c r="L3470" s="22"/>
      <c r="M3470" s="22"/>
      <c r="N3470" s="22"/>
      <c r="O3470" s="22"/>
      <c r="P3470" s="22"/>
      <c r="Q3470" s="22"/>
      <c r="R3470" s="22"/>
      <c r="S3470" s="22"/>
      <c r="T3470" s="22"/>
      <c r="U3470" s="22"/>
      <c r="V3470" s="22"/>
      <c r="W3470" s="22"/>
      <c r="X3470" s="22"/>
    </row>
    <row r="3471" spans="1:24" x14ac:dyDescent="0.25">
      <c r="A3471" s="22" t="s">
        <v>5663</v>
      </c>
      <c r="B3471" s="22">
        <v>0</v>
      </c>
      <c r="C3471" s="22"/>
      <c r="D3471" s="22"/>
      <c r="E3471" s="22"/>
      <c r="F3471" s="22"/>
      <c r="G3471" s="22"/>
      <c r="H3471" s="22"/>
      <c r="I3471" s="22"/>
      <c r="J3471" s="22"/>
      <c r="K3471" s="22"/>
      <c r="L3471" s="22"/>
      <c r="M3471" s="22"/>
      <c r="N3471" s="22"/>
      <c r="O3471" s="22"/>
      <c r="P3471" s="22"/>
      <c r="Q3471" s="22"/>
      <c r="R3471" s="22"/>
      <c r="S3471" s="22"/>
      <c r="T3471" s="22"/>
      <c r="U3471" s="22"/>
      <c r="V3471" s="22"/>
      <c r="W3471" s="22"/>
      <c r="X3471" s="22"/>
    </row>
    <row r="3472" spans="1:24" x14ac:dyDescent="0.25">
      <c r="A3472" s="22" t="s">
        <v>5664</v>
      </c>
      <c r="B3472" s="22">
        <v>0</v>
      </c>
      <c r="C3472" s="22"/>
      <c r="D3472" s="22"/>
      <c r="E3472" s="22"/>
      <c r="F3472" s="22"/>
      <c r="G3472" s="22"/>
      <c r="H3472" s="22"/>
      <c r="I3472" s="22"/>
      <c r="J3472" s="22"/>
      <c r="K3472" s="22"/>
      <c r="L3472" s="22"/>
      <c r="M3472" s="22"/>
      <c r="N3472" s="22"/>
      <c r="O3472" s="22"/>
      <c r="P3472" s="22"/>
      <c r="Q3472" s="22"/>
      <c r="R3472" s="22"/>
      <c r="S3472" s="22"/>
      <c r="T3472" s="22"/>
      <c r="U3472" s="22"/>
      <c r="V3472" s="22"/>
      <c r="W3472" s="22"/>
      <c r="X3472" s="22"/>
    </row>
    <row r="3473" spans="1:24" x14ac:dyDescent="0.25">
      <c r="A3473" s="22" t="s">
        <v>5665</v>
      </c>
      <c r="B3473" s="22">
        <v>0</v>
      </c>
      <c r="C3473" s="22"/>
      <c r="D3473" s="22"/>
      <c r="E3473" s="22"/>
      <c r="F3473" s="22"/>
      <c r="G3473" s="22"/>
      <c r="H3473" s="22"/>
      <c r="I3473" s="22"/>
      <c r="J3473" s="22"/>
      <c r="K3473" s="22"/>
      <c r="L3473" s="22"/>
      <c r="M3473" s="22"/>
      <c r="N3473" s="22"/>
      <c r="O3473" s="22"/>
      <c r="P3473" s="22"/>
      <c r="Q3473" s="22"/>
      <c r="R3473" s="22"/>
      <c r="S3473" s="22"/>
      <c r="T3473" s="22"/>
      <c r="U3473" s="22"/>
      <c r="V3473" s="22"/>
      <c r="W3473" s="22"/>
      <c r="X3473" s="22"/>
    </row>
    <row r="3474" spans="1:24" x14ac:dyDescent="0.25">
      <c r="A3474" s="22" t="s">
        <v>5666</v>
      </c>
      <c r="B3474" s="22">
        <v>40</v>
      </c>
      <c r="C3474" s="22"/>
      <c r="D3474" s="22"/>
      <c r="E3474" s="22"/>
      <c r="F3474" s="22"/>
      <c r="G3474" s="22"/>
      <c r="H3474" s="22"/>
      <c r="I3474" s="22"/>
      <c r="J3474" s="22"/>
      <c r="K3474" s="22"/>
      <c r="L3474" s="22"/>
      <c r="M3474" s="22"/>
      <c r="N3474" s="22"/>
      <c r="O3474" s="22"/>
      <c r="P3474" s="22"/>
      <c r="Q3474" s="22"/>
      <c r="R3474" s="22"/>
      <c r="S3474" s="22"/>
      <c r="T3474" s="22"/>
      <c r="U3474" s="22"/>
      <c r="V3474" s="22"/>
      <c r="W3474" s="22"/>
      <c r="X3474" s="22"/>
    </row>
    <row r="3475" spans="1:24" x14ac:dyDescent="0.25">
      <c r="A3475" s="22" t="s">
        <v>5667</v>
      </c>
      <c r="B3475" s="22">
        <v>0</v>
      </c>
      <c r="C3475" s="22"/>
      <c r="D3475" s="22"/>
      <c r="E3475" s="22"/>
      <c r="F3475" s="22"/>
      <c r="G3475" s="22"/>
      <c r="H3475" s="22"/>
      <c r="I3475" s="22"/>
      <c r="J3475" s="22"/>
      <c r="K3475" s="22"/>
      <c r="L3475" s="22"/>
      <c r="M3475" s="22"/>
      <c r="N3475" s="22"/>
      <c r="O3475" s="22"/>
      <c r="P3475" s="22"/>
      <c r="Q3475" s="22"/>
      <c r="R3475" s="22"/>
      <c r="S3475" s="22"/>
      <c r="T3475" s="22"/>
      <c r="U3475" s="22"/>
      <c r="V3475" s="22"/>
      <c r="W3475" s="22"/>
      <c r="X3475" s="22"/>
    </row>
    <row r="3476" spans="1:24" x14ac:dyDescent="0.25">
      <c r="A3476" s="22" t="s">
        <v>5668</v>
      </c>
      <c r="B3476" s="22">
        <v>0</v>
      </c>
      <c r="C3476" s="22"/>
      <c r="D3476" s="22"/>
      <c r="E3476" s="22"/>
      <c r="F3476" s="22"/>
      <c r="G3476" s="22"/>
      <c r="H3476" s="22"/>
      <c r="I3476" s="22"/>
      <c r="J3476" s="22"/>
      <c r="K3476" s="22"/>
      <c r="L3476" s="22"/>
      <c r="M3476" s="22"/>
      <c r="N3476" s="22"/>
      <c r="O3476" s="22"/>
      <c r="P3476" s="22"/>
      <c r="Q3476" s="22"/>
      <c r="R3476" s="22"/>
      <c r="S3476" s="22"/>
      <c r="T3476" s="22"/>
      <c r="U3476" s="22"/>
      <c r="V3476" s="22"/>
      <c r="W3476" s="22"/>
      <c r="X3476" s="22"/>
    </row>
    <row r="3477" spans="1:24" x14ac:dyDescent="0.25">
      <c r="A3477" s="22" t="s">
        <v>5669</v>
      </c>
      <c r="B3477" s="22">
        <v>0</v>
      </c>
      <c r="C3477" s="22"/>
      <c r="D3477" s="22"/>
      <c r="E3477" s="22"/>
      <c r="F3477" s="22"/>
      <c r="G3477" s="22"/>
      <c r="H3477" s="22"/>
      <c r="I3477" s="22"/>
      <c r="J3477" s="22"/>
      <c r="K3477" s="22"/>
      <c r="L3477" s="22"/>
      <c r="M3477" s="22"/>
      <c r="N3477" s="22"/>
      <c r="O3477" s="22"/>
      <c r="P3477" s="22"/>
      <c r="Q3477" s="22"/>
      <c r="R3477" s="22"/>
      <c r="S3477" s="22"/>
      <c r="T3477" s="22"/>
      <c r="U3477" s="22"/>
      <c r="V3477" s="22"/>
      <c r="W3477" s="22"/>
      <c r="X3477" s="22"/>
    </row>
    <row r="3478" spans="1:24" x14ac:dyDescent="0.25">
      <c r="A3478" s="22" t="s">
        <v>749</v>
      </c>
      <c r="B3478" s="22">
        <v>0</v>
      </c>
      <c r="C3478" s="22"/>
      <c r="D3478" s="22"/>
      <c r="E3478" s="22"/>
      <c r="F3478" s="22"/>
      <c r="G3478" s="22"/>
      <c r="H3478" s="22"/>
      <c r="I3478" s="22"/>
      <c r="J3478" s="22"/>
      <c r="K3478" s="22"/>
      <c r="L3478" s="22"/>
      <c r="M3478" s="22"/>
      <c r="N3478" s="22"/>
      <c r="O3478" s="22"/>
      <c r="P3478" s="22"/>
      <c r="Q3478" s="22"/>
      <c r="R3478" s="22"/>
      <c r="S3478" s="22"/>
      <c r="T3478" s="22"/>
      <c r="U3478" s="22"/>
      <c r="V3478" s="22"/>
      <c r="W3478" s="22"/>
      <c r="X3478" s="22"/>
    </row>
    <row r="3479" spans="1:24" x14ac:dyDescent="0.25">
      <c r="A3479" s="22" t="s">
        <v>5670</v>
      </c>
      <c r="B3479" s="22">
        <v>0</v>
      </c>
      <c r="C3479" s="22"/>
      <c r="D3479" s="22"/>
      <c r="E3479" s="22"/>
      <c r="F3479" s="22"/>
      <c r="G3479" s="22"/>
      <c r="H3479" s="22"/>
      <c r="I3479" s="22"/>
      <c r="J3479" s="22"/>
      <c r="K3479" s="22"/>
      <c r="L3479" s="22"/>
      <c r="M3479" s="22"/>
      <c r="N3479" s="22"/>
      <c r="O3479" s="22"/>
      <c r="P3479" s="22"/>
      <c r="Q3479" s="22"/>
      <c r="R3479" s="22"/>
      <c r="S3479" s="22"/>
      <c r="T3479" s="22"/>
      <c r="U3479" s="22"/>
      <c r="V3479" s="22"/>
      <c r="W3479" s="22"/>
      <c r="X3479" s="22"/>
    </row>
    <row r="3480" spans="1:24" x14ac:dyDescent="0.25">
      <c r="A3480" s="22" t="s">
        <v>5671</v>
      </c>
      <c r="B3480" s="22">
        <v>0</v>
      </c>
      <c r="C3480" s="22"/>
      <c r="D3480" s="22"/>
      <c r="E3480" s="22"/>
      <c r="F3480" s="22"/>
      <c r="G3480" s="22"/>
      <c r="H3480" s="22"/>
      <c r="I3480" s="22"/>
      <c r="J3480" s="22"/>
      <c r="K3480" s="22"/>
      <c r="L3480" s="22"/>
      <c r="M3480" s="22"/>
      <c r="N3480" s="22"/>
      <c r="O3480" s="22"/>
      <c r="P3480" s="22"/>
      <c r="Q3480" s="22"/>
      <c r="R3480" s="22"/>
      <c r="S3480" s="22"/>
      <c r="T3480" s="22"/>
      <c r="U3480" s="22"/>
      <c r="V3480" s="22"/>
      <c r="W3480" s="22"/>
      <c r="X3480" s="22"/>
    </row>
    <row r="3481" spans="1:24" x14ac:dyDescent="0.25">
      <c r="A3481" s="22" t="s">
        <v>5672</v>
      </c>
      <c r="B3481" s="22">
        <v>0</v>
      </c>
      <c r="C3481" s="22"/>
      <c r="D3481" s="22"/>
      <c r="E3481" s="22"/>
      <c r="F3481" s="22"/>
      <c r="G3481" s="22"/>
      <c r="H3481" s="22"/>
      <c r="I3481" s="22"/>
      <c r="J3481" s="22"/>
      <c r="K3481" s="22"/>
      <c r="L3481" s="22"/>
      <c r="M3481" s="22"/>
      <c r="N3481" s="22"/>
      <c r="O3481" s="22"/>
      <c r="P3481" s="22"/>
      <c r="Q3481" s="22"/>
      <c r="R3481" s="22"/>
      <c r="S3481" s="22"/>
      <c r="T3481" s="22"/>
      <c r="U3481" s="22"/>
      <c r="V3481" s="22"/>
      <c r="W3481" s="22"/>
      <c r="X3481" s="22"/>
    </row>
    <row r="3482" spans="1:24" x14ac:dyDescent="0.25">
      <c r="A3482" s="22" t="s">
        <v>5673</v>
      </c>
      <c r="B3482" s="22">
        <v>0</v>
      </c>
      <c r="C3482" s="22"/>
      <c r="D3482" s="22"/>
      <c r="E3482" s="22"/>
      <c r="F3482" s="22"/>
      <c r="G3482" s="22"/>
      <c r="H3482" s="22"/>
      <c r="I3482" s="22"/>
      <c r="J3482" s="22"/>
      <c r="K3482" s="22"/>
      <c r="L3482" s="22"/>
      <c r="M3482" s="22"/>
      <c r="N3482" s="22"/>
      <c r="O3482" s="22"/>
      <c r="P3482" s="22"/>
      <c r="Q3482" s="22"/>
      <c r="R3482" s="22"/>
      <c r="S3482" s="22"/>
      <c r="T3482" s="22"/>
      <c r="U3482" s="22"/>
      <c r="V3482" s="22"/>
      <c r="W3482" s="22"/>
      <c r="X3482" s="22"/>
    </row>
    <row r="3483" spans="1:24" x14ac:dyDescent="0.25">
      <c r="A3483" s="22" t="s">
        <v>5674</v>
      </c>
      <c r="B3483" s="22">
        <v>0</v>
      </c>
      <c r="C3483" s="22"/>
      <c r="D3483" s="22"/>
      <c r="E3483" s="22"/>
      <c r="F3483" s="22"/>
      <c r="G3483" s="22"/>
      <c r="H3483" s="22"/>
      <c r="I3483" s="22"/>
      <c r="J3483" s="22"/>
      <c r="K3483" s="22"/>
      <c r="L3483" s="22"/>
      <c r="M3483" s="22"/>
      <c r="N3483" s="22"/>
      <c r="O3483" s="22"/>
      <c r="P3483" s="22"/>
      <c r="Q3483" s="22"/>
      <c r="R3483" s="22"/>
      <c r="S3483" s="22"/>
      <c r="T3483" s="22"/>
      <c r="U3483" s="22"/>
      <c r="V3483" s="22"/>
      <c r="W3483" s="22"/>
      <c r="X3483" s="22"/>
    </row>
    <row r="3484" spans="1:24" x14ac:dyDescent="0.25">
      <c r="A3484" s="22" t="s">
        <v>5675</v>
      </c>
      <c r="B3484" s="22">
        <v>0</v>
      </c>
      <c r="C3484" s="22"/>
      <c r="D3484" s="22"/>
      <c r="E3484" s="22"/>
      <c r="F3484" s="22"/>
      <c r="G3484" s="22"/>
      <c r="H3484" s="22"/>
      <c r="I3484" s="22"/>
      <c r="J3484" s="22"/>
      <c r="K3484" s="22"/>
      <c r="L3484" s="22"/>
      <c r="M3484" s="22"/>
      <c r="N3484" s="22"/>
      <c r="O3484" s="22"/>
      <c r="P3484" s="22"/>
      <c r="Q3484" s="22"/>
      <c r="R3484" s="22"/>
      <c r="S3484" s="22"/>
      <c r="T3484" s="22"/>
      <c r="U3484" s="22"/>
      <c r="V3484" s="22"/>
      <c r="W3484" s="22"/>
      <c r="X3484" s="22"/>
    </row>
    <row r="3485" spans="1:24" x14ac:dyDescent="0.25">
      <c r="A3485" s="22" t="s">
        <v>5676</v>
      </c>
      <c r="B3485" s="22">
        <v>0</v>
      </c>
      <c r="C3485" s="22"/>
      <c r="D3485" s="22"/>
      <c r="E3485" s="22"/>
      <c r="F3485" s="22"/>
      <c r="G3485" s="22"/>
      <c r="H3485" s="22"/>
      <c r="I3485" s="22"/>
      <c r="J3485" s="22"/>
      <c r="K3485" s="22"/>
      <c r="L3485" s="22"/>
      <c r="M3485" s="22"/>
      <c r="N3485" s="22"/>
      <c r="O3485" s="22"/>
      <c r="P3485" s="22"/>
      <c r="Q3485" s="22"/>
      <c r="R3485" s="22"/>
      <c r="S3485" s="22"/>
      <c r="T3485" s="22"/>
      <c r="U3485" s="22"/>
      <c r="V3485" s="22"/>
      <c r="W3485" s="22"/>
      <c r="X3485" s="22"/>
    </row>
    <row r="3486" spans="1:24" x14ac:dyDescent="0.25">
      <c r="A3486" s="22" t="s">
        <v>751</v>
      </c>
      <c r="B3486" s="22">
        <v>0</v>
      </c>
      <c r="C3486" s="22"/>
      <c r="D3486" s="22"/>
      <c r="E3486" s="22"/>
      <c r="F3486" s="22"/>
      <c r="G3486" s="22"/>
      <c r="H3486" s="22"/>
      <c r="I3486" s="22"/>
      <c r="J3486" s="22"/>
      <c r="K3486" s="22"/>
      <c r="L3486" s="22"/>
      <c r="M3486" s="22"/>
      <c r="N3486" s="22"/>
      <c r="O3486" s="22"/>
      <c r="P3486" s="22"/>
      <c r="Q3486" s="22"/>
      <c r="R3486" s="22"/>
      <c r="S3486" s="22"/>
      <c r="T3486" s="22"/>
      <c r="U3486" s="22"/>
      <c r="V3486" s="22"/>
      <c r="W3486" s="22"/>
      <c r="X3486" s="22"/>
    </row>
    <row r="3487" spans="1:24" x14ac:dyDescent="0.25">
      <c r="A3487" s="22" t="s">
        <v>5677</v>
      </c>
      <c r="B3487" s="22">
        <v>0</v>
      </c>
      <c r="C3487" s="22"/>
      <c r="D3487" s="22"/>
      <c r="E3487" s="22"/>
      <c r="F3487" s="22"/>
      <c r="G3487" s="22"/>
      <c r="H3487" s="22"/>
      <c r="I3487" s="22"/>
      <c r="J3487" s="22"/>
      <c r="K3487" s="22"/>
      <c r="L3487" s="22"/>
      <c r="M3487" s="22"/>
      <c r="N3487" s="22"/>
      <c r="O3487" s="22"/>
      <c r="P3487" s="22"/>
      <c r="Q3487" s="22"/>
      <c r="R3487" s="22"/>
      <c r="S3487" s="22"/>
      <c r="T3487" s="22"/>
      <c r="U3487" s="22"/>
      <c r="V3487" s="22"/>
      <c r="W3487" s="22"/>
      <c r="X3487" s="22"/>
    </row>
    <row r="3488" spans="1:24" x14ac:dyDescent="0.25">
      <c r="A3488" s="22" t="s">
        <v>5678</v>
      </c>
      <c r="B3488" s="22">
        <v>0</v>
      </c>
      <c r="C3488" s="22"/>
      <c r="D3488" s="22"/>
      <c r="E3488" s="22"/>
      <c r="F3488" s="22"/>
      <c r="G3488" s="22"/>
      <c r="H3488" s="22"/>
      <c r="I3488" s="22"/>
      <c r="J3488" s="22"/>
      <c r="K3488" s="22"/>
      <c r="L3488" s="22"/>
      <c r="M3488" s="22"/>
      <c r="N3488" s="22"/>
      <c r="O3488" s="22"/>
      <c r="P3488" s="22"/>
      <c r="Q3488" s="22"/>
      <c r="R3488" s="22"/>
      <c r="S3488" s="22"/>
      <c r="T3488" s="22"/>
      <c r="U3488" s="22"/>
      <c r="V3488" s="22"/>
      <c r="W3488" s="22"/>
      <c r="X3488" s="22"/>
    </row>
    <row r="3489" spans="1:24" x14ac:dyDescent="0.25">
      <c r="A3489" s="22" t="s">
        <v>5679</v>
      </c>
      <c r="B3489" s="22">
        <v>0</v>
      </c>
      <c r="C3489" s="22"/>
      <c r="D3489" s="22"/>
      <c r="E3489" s="22"/>
      <c r="F3489" s="22"/>
      <c r="G3489" s="22"/>
      <c r="H3489" s="22"/>
      <c r="I3489" s="22"/>
      <c r="J3489" s="22"/>
      <c r="K3489" s="22"/>
      <c r="L3489" s="22"/>
      <c r="M3489" s="22"/>
      <c r="N3489" s="22"/>
      <c r="O3489" s="22"/>
      <c r="P3489" s="22"/>
      <c r="Q3489" s="22"/>
      <c r="R3489" s="22"/>
      <c r="S3489" s="22"/>
      <c r="T3489" s="22"/>
      <c r="U3489" s="22"/>
      <c r="V3489" s="22"/>
      <c r="W3489" s="22"/>
      <c r="X3489" s="22"/>
    </row>
    <row r="3490" spans="1:24" x14ac:dyDescent="0.25">
      <c r="A3490" s="22" t="s">
        <v>5680</v>
      </c>
      <c r="B3490" s="22">
        <v>0</v>
      </c>
      <c r="C3490" s="22"/>
      <c r="D3490" s="22"/>
      <c r="E3490" s="22"/>
      <c r="F3490" s="22"/>
      <c r="G3490" s="22"/>
      <c r="H3490" s="22"/>
      <c r="I3490" s="22"/>
      <c r="J3490" s="22"/>
      <c r="K3490" s="22"/>
      <c r="L3490" s="22"/>
      <c r="M3490" s="22"/>
      <c r="N3490" s="22"/>
      <c r="O3490" s="22"/>
      <c r="P3490" s="22"/>
      <c r="Q3490" s="22"/>
      <c r="R3490" s="22"/>
      <c r="S3490" s="22"/>
      <c r="T3490" s="22"/>
      <c r="U3490" s="22"/>
      <c r="V3490" s="22"/>
      <c r="W3490" s="22"/>
      <c r="X3490" s="22"/>
    </row>
    <row r="3491" spans="1:24" x14ac:dyDescent="0.25">
      <c r="A3491" s="22" t="s">
        <v>5681</v>
      </c>
      <c r="B3491" s="22">
        <v>0</v>
      </c>
      <c r="C3491" s="22"/>
      <c r="D3491" s="22"/>
      <c r="E3491" s="22"/>
      <c r="F3491" s="22"/>
      <c r="G3491" s="22"/>
      <c r="H3491" s="22"/>
      <c r="I3491" s="22"/>
      <c r="J3491" s="22"/>
      <c r="K3491" s="22"/>
      <c r="L3491" s="22"/>
      <c r="M3491" s="22"/>
      <c r="N3491" s="22"/>
      <c r="O3491" s="22"/>
      <c r="P3491" s="22"/>
      <c r="Q3491" s="22"/>
      <c r="R3491" s="22"/>
      <c r="S3491" s="22"/>
      <c r="T3491" s="22"/>
      <c r="U3491" s="22"/>
      <c r="V3491" s="22"/>
      <c r="W3491" s="22"/>
      <c r="X3491" s="22"/>
    </row>
    <row r="3492" spans="1:24" x14ac:dyDescent="0.25">
      <c r="A3492" s="22" t="s">
        <v>5682</v>
      </c>
      <c r="B3492" s="22">
        <v>0</v>
      </c>
      <c r="C3492" s="22"/>
      <c r="D3492" s="22"/>
      <c r="E3492" s="22"/>
      <c r="F3492" s="22"/>
      <c r="G3492" s="22"/>
      <c r="H3492" s="22"/>
      <c r="I3492" s="22"/>
      <c r="J3492" s="22"/>
      <c r="K3492" s="22"/>
      <c r="L3492" s="22"/>
      <c r="M3492" s="22"/>
      <c r="N3492" s="22"/>
      <c r="O3492" s="22"/>
      <c r="P3492" s="22"/>
      <c r="Q3492" s="22"/>
      <c r="R3492" s="22"/>
      <c r="S3492" s="22"/>
      <c r="T3492" s="22"/>
      <c r="U3492" s="22"/>
      <c r="V3492" s="22"/>
      <c r="W3492" s="22"/>
      <c r="X3492" s="22"/>
    </row>
    <row r="3493" spans="1:24" x14ac:dyDescent="0.25">
      <c r="A3493" s="22" t="s">
        <v>5683</v>
      </c>
      <c r="B3493" s="22">
        <v>0</v>
      </c>
      <c r="C3493" s="22"/>
      <c r="D3493" s="22"/>
      <c r="E3493" s="22"/>
      <c r="F3493" s="22"/>
      <c r="G3493" s="22"/>
      <c r="H3493" s="22"/>
      <c r="I3493" s="22"/>
      <c r="J3493" s="22"/>
      <c r="K3493" s="22"/>
      <c r="L3493" s="22"/>
      <c r="M3493" s="22"/>
      <c r="N3493" s="22"/>
      <c r="O3493" s="22"/>
      <c r="P3493" s="22"/>
      <c r="Q3493" s="22"/>
      <c r="R3493" s="22"/>
      <c r="S3493" s="22"/>
      <c r="T3493" s="22"/>
      <c r="U3493" s="22"/>
      <c r="V3493" s="22"/>
      <c r="W3493" s="22"/>
      <c r="X3493" s="22"/>
    </row>
    <row r="3494" spans="1:24" x14ac:dyDescent="0.25">
      <c r="A3494" s="22" t="s">
        <v>1657</v>
      </c>
      <c r="B3494" s="22">
        <v>0</v>
      </c>
      <c r="C3494" s="22"/>
      <c r="D3494" s="22"/>
      <c r="E3494" s="22"/>
      <c r="F3494" s="22"/>
      <c r="G3494" s="22"/>
      <c r="H3494" s="22"/>
      <c r="I3494" s="22"/>
      <c r="J3494" s="22"/>
      <c r="K3494" s="22"/>
      <c r="L3494" s="22"/>
      <c r="M3494" s="22"/>
      <c r="N3494" s="22"/>
      <c r="O3494" s="22"/>
      <c r="P3494" s="22"/>
      <c r="Q3494" s="22"/>
      <c r="R3494" s="22"/>
      <c r="S3494" s="22"/>
      <c r="T3494" s="22"/>
      <c r="U3494" s="22"/>
      <c r="V3494" s="22"/>
      <c r="W3494" s="22"/>
      <c r="X3494" s="22"/>
    </row>
    <row r="3495" spans="1:24" x14ac:dyDescent="0.25">
      <c r="A3495" s="22" t="s">
        <v>5684</v>
      </c>
      <c r="B3495" s="22">
        <v>0</v>
      </c>
      <c r="C3495" s="22"/>
      <c r="D3495" s="22"/>
      <c r="E3495" s="22"/>
      <c r="F3495" s="22"/>
      <c r="G3495" s="22"/>
      <c r="H3495" s="22"/>
      <c r="I3495" s="22"/>
      <c r="J3495" s="22"/>
      <c r="K3495" s="22"/>
      <c r="L3495" s="22"/>
      <c r="M3495" s="22"/>
      <c r="N3495" s="22"/>
      <c r="O3495" s="22"/>
      <c r="P3495" s="22"/>
      <c r="Q3495" s="22"/>
      <c r="R3495" s="22"/>
      <c r="S3495" s="22"/>
      <c r="T3495" s="22"/>
      <c r="U3495" s="22"/>
      <c r="V3495" s="22"/>
      <c r="W3495" s="22"/>
      <c r="X3495" s="22"/>
    </row>
    <row r="3496" spans="1:24" x14ac:dyDescent="0.25">
      <c r="A3496" s="22" t="s">
        <v>5685</v>
      </c>
      <c r="B3496" s="22">
        <v>0</v>
      </c>
      <c r="C3496" s="22"/>
      <c r="D3496" s="22"/>
      <c r="E3496" s="22"/>
      <c r="F3496" s="22"/>
      <c r="G3496" s="22"/>
      <c r="H3496" s="22"/>
      <c r="I3496" s="22"/>
      <c r="J3496" s="22"/>
      <c r="K3496" s="22"/>
      <c r="L3496" s="22"/>
      <c r="M3496" s="22"/>
      <c r="N3496" s="22"/>
      <c r="O3496" s="22"/>
      <c r="P3496" s="22"/>
      <c r="Q3496" s="22"/>
      <c r="R3496" s="22"/>
      <c r="S3496" s="22"/>
      <c r="T3496" s="22"/>
      <c r="U3496" s="22"/>
      <c r="V3496" s="22"/>
      <c r="W3496" s="22"/>
      <c r="X3496" s="22"/>
    </row>
    <row r="3497" spans="1:24" x14ac:dyDescent="0.25">
      <c r="A3497" s="22" t="s">
        <v>5686</v>
      </c>
      <c r="B3497" s="22">
        <v>0</v>
      </c>
      <c r="C3497" s="22"/>
      <c r="D3497" s="22"/>
      <c r="E3497" s="22"/>
      <c r="F3497" s="22"/>
      <c r="G3497" s="22"/>
      <c r="H3497" s="22"/>
      <c r="I3497" s="22"/>
      <c r="J3497" s="22"/>
      <c r="K3497" s="22"/>
      <c r="L3497" s="22"/>
      <c r="M3497" s="22"/>
      <c r="N3497" s="22"/>
      <c r="O3497" s="22"/>
      <c r="P3497" s="22"/>
      <c r="Q3497" s="22"/>
      <c r="R3497" s="22"/>
      <c r="S3497" s="22"/>
      <c r="T3497" s="22"/>
      <c r="U3497" s="22"/>
      <c r="V3497" s="22"/>
      <c r="W3497" s="22"/>
      <c r="X3497" s="22"/>
    </row>
    <row r="3498" spans="1:24" x14ac:dyDescent="0.25">
      <c r="A3498" s="22" t="s">
        <v>5687</v>
      </c>
      <c r="B3498" s="22">
        <v>0</v>
      </c>
      <c r="C3498" s="22"/>
      <c r="D3498" s="22"/>
      <c r="E3498" s="22"/>
      <c r="F3498" s="22"/>
      <c r="G3498" s="22"/>
      <c r="H3498" s="22"/>
      <c r="I3498" s="22"/>
      <c r="J3498" s="22"/>
      <c r="K3498" s="22"/>
      <c r="L3498" s="22"/>
      <c r="M3498" s="22"/>
      <c r="N3498" s="22"/>
      <c r="O3498" s="22"/>
      <c r="P3498" s="22"/>
      <c r="Q3498" s="22"/>
      <c r="R3498" s="22"/>
      <c r="S3498" s="22"/>
      <c r="T3498" s="22"/>
      <c r="U3498" s="22"/>
      <c r="V3498" s="22"/>
      <c r="W3498" s="22"/>
      <c r="X3498" s="22"/>
    </row>
    <row r="3499" spans="1:24" x14ac:dyDescent="0.25">
      <c r="A3499" s="22" t="s">
        <v>5688</v>
      </c>
      <c r="B3499" s="22">
        <v>0</v>
      </c>
      <c r="C3499" s="22"/>
      <c r="D3499" s="22"/>
      <c r="E3499" s="22"/>
      <c r="F3499" s="22"/>
      <c r="G3499" s="22"/>
      <c r="H3499" s="22"/>
      <c r="I3499" s="22"/>
      <c r="J3499" s="22"/>
      <c r="K3499" s="22"/>
      <c r="L3499" s="22"/>
      <c r="M3499" s="22"/>
      <c r="N3499" s="22"/>
      <c r="O3499" s="22"/>
      <c r="P3499" s="22"/>
      <c r="Q3499" s="22"/>
      <c r="R3499" s="22"/>
      <c r="S3499" s="22"/>
      <c r="T3499" s="22"/>
      <c r="U3499" s="22"/>
      <c r="V3499" s="22"/>
      <c r="W3499" s="22"/>
      <c r="X3499" s="22"/>
    </row>
    <row r="3500" spans="1:24" x14ac:dyDescent="0.25">
      <c r="A3500" s="22" t="s">
        <v>5689</v>
      </c>
      <c r="B3500" s="22">
        <v>0</v>
      </c>
      <c r="C3500" s="22"/>
      <c r="D3500" s="22"/>
      <c r="E3500" s="22"/>
      <c r="F3500" s="22"/>
      <c r="G3500" s="22"/>
      <c r="H3500" s="22"/>
      <c r="I3500" s="22"/>
      <c r="J3500" s="22"/>
      <c r="K3500" s="22"/>
      <c r="L3500" s="22"/>
      <c r="M3500" s="22"/>
      <c r="N3500" s="22"/>
      <c r="O3500" s="22"/>
      <c r="P3500" s="22"/>
      <c r="Q3500" s="22"/>
      <c r="R3500" s="22"/>
      <c r="S3500" s="22"/>
      <c r="T3500" s="22"/>
      <c r="U3500" s="22"/>
      <c r="V3500" s="22"/>
      <c r="W3500" s="22"/>
      <c r="X3500" s="22"/>
    </row>
    <row r="3501" spans="1:24" x14ac:dyDescent="0.25">
      <c r="A3501" s="22" t="s">
        <v>5690</v>
      </c>
      <c r="B3501" s="22">
        <v>0</v>
      </c>
      <c r="C3501" s="22"/>
      <c r="D3501" s="22"/>
      <c r="E3501" s="22"/>
      <c r="F3501" s="22"/>
      <c r="G3501" s="22"/>
      <c r="H3501" s="22"/>
      <c r="I3501" s="22"/>
      <c r="J3501" s="22"/>
      <c r="K3501" s="22"/>
      <c r="L3501" s="22"/>
      <c r="M3501" s="22"/>
      <c r="N3501" s="22"/>
      <c r="O3501" s="22"/>
      <c r="P3501" s="22"/>
      <c r="Q3501" s="22"/>
      <c r="R3501" s="22"/>
      <c r="S3501" s="22"/>
      <c r="T3501" s="22"/>
      <c r="U3501" s="22"/>
      <c r="V3501" s="22"/>
      <c r="W3501" s="22"/>
      <c r="X3501" s="22"/>
    </row>
    <row r="3502" spans="1:24" x14ac:dyDescent="0.25">
      <c r="A3502" s="22" t="s">
        <v>753</v>
      </c>
      <c r="B3502" s="22">
        <v>0</v>
      </c>
      <c r="C3502" s="22"/>
      <c r="D3502" s="22"/>
      <c r="E3502" s="22"/>
      <c r="F3502" s="22"/>
      <c r="G3502" s="22"/>
      <c r="H3502" s="22"/>
      <c r="I3502" s="22"/>
      <c r="J3502" s="22"/>
      <c r="K3502" s="22"/>
      <c r="L3502" s="22"/>
      <c r="M3502" s="22"/>
      <c r="N3502" s="22"/>
      <c r="O3502" s="22"/>
      <c r="P3502" s="22"/>
      <c r="Q3502" s="22"/>
      <c r="R3502" s="22"/>
      <c r="S3502" s="22"/>
      <c r="T3502" s="22"/>
      <c r="U3502" s="22"/>
      <c r="V3502" s="22"/>
      <c r="W3502" s="22"/>
      <c r="X3502" s="22"/>
    </row>
    <row r="3503" spans="1:24" x14ac:dyDescent="0.25">
      <c r="A3503" s="22" t="s">
        <v>5691</v>
      </c>
      <c r="B3503" s="22">
        <v>0</v>
      </c>
      <c r="C3503" s="22"/>
      <c r="D3503" s="22"/>
      <c r="E3503" s="22"/>
      <c r="F3503" s="22"/>
      <c r="G3503" s="22"/>
      <c r="H3503" s="22"/>
      <c r="I3503" s="22"/>
      <c r="J3503" s="22"/>
      <c r="K3503" s="22"/>
      <c r="L3503" s="22"/>
      <c r="M3503" s="22"/>
      <c r="N3503" s="22"/>
      <c r="O3503" s="22"/>
      <c r="P3503" s="22"/>
      <c r="Q3503" s="22"/>
      <c r="R3503" s="22"/>
      <c r="S3503" s="22"/>
      <c r="T3503" s="22"/>
      <c r="U3503" s="22"/>
      <c r="V3503" s="22"/>
      <c r="W3503" s="22"/>
      <c r="X3503" s="22"/>
    </row>
    <row r="3504" spans="1:24" x14ac:dyDescent="0.25">
      <c r="A3504" s="22" t="s">
        <v>5692</v>
      </c>
      <c r="B3504" s="22">
        <v>0</v>
      </c>
      <c r="C3504" s="22"/>
      <c r="D3504" s="22"/>
      <c r="E3504" s="22"/>
      <c r="F3504" s="22"/>
      <c r="G3504" s="22"/>
      <c r="H3504" s="22"/>
      <c r="I3504" s="22"/>
      <c r="J3504" s="22"/>
      <c r="K3504" s="22"/>
      <c r="L3504" s="22"/>
      <c r="M3504" s="22"/>
      <c r="N3504" s="22"/>
      <c r="O3504" s="22"/>
      <c r="P3504" s="22"/>
      <c r="Q3504" s="22"/>
      <c r="R3504" s="22"/>
      <c r="S3504" s="22"/>
      <c r="T3504" s="22"/>
      <c r="U3504" s="22"/>
      <c r="V3504" s="22"/>
      <c r="W3504" s="22"/>
      <c r="X3504" s="22"/>
    </row>
    <row r="3505" spans="1:24" x14ac:dyDescent="0.25">
      <c r="A3505" s="22" t="s">
        <v>5693</v>
      </c>
      <c r="B3505" s="22">
        <v>0</v>
      </c>
      <c r="C3505" s="22"/>
      <c r="D3505" s="22"/>
      <c r="E3505" s="22"/>
      <c r="F3505" s="22"/>
      <c r="G3505" s="22"/>
      <c r="H3505" s="22"/>
      <c r="I3505" s="22"/>
      <c r="J3505" s="22"/>
      <c r="K3505" s="22"/>
      <c r="L3505" s="22"/>
      <c r="M3505" s="22"/>
      <c r="N3505" s="22"/>
      <c r="O3505" s="22"/>
      <c r="P3505" s="22"/>
      <c r="Q3505" s="22"/>
      <c r="R3505" s="22"/>
      <c r="S3505" s="22"/>
      <c r="T3505" s="22"/>
      <c r="U3505" s="22"/>
      <c r="V3505" s="22"/>
      <c r="W3505" s="22"/>
      <c r="X3505" s="22"/>
    </row>
    <row r="3506" spans="1:24" x14ac:dyDescent="0.25">
      <c r="A3506" s="22" t="s">
        <v>5694</v>
      </c>
      <c r="B3506" s="22">
        <v>0</v>
      </c>
      <c r="C3506" s="22"/>
      <c r="D3506" s="22"/>
      <c r="E3506" s="22"/>
      <c r="F3506" s="22"/>
      <c r="G3506" s="22"/>
      <c r="H3506" s="22"/>
      <c r="I3506" s="22"/>
      <c r="J3506" s="22"/>
      <c r="K3506" s="22"/>
      <c r="L3506" s="22"/>
      <c r="M3506" s="22"/>
      <c r="N3506" s="22"/>
      <c r="O3506" s="22"/>
      <c r="P3506" s="22"/>
      <c r="Q3506" s="22"/>
      <c r="R3506" s="22"/>
      <c r="S3506" s="22"/>
      <c r="T3506" s="22"/>
      <c r="U3506" s="22"/>
      <c r="V3506" s="22"/>
      <c r="W3506" s="22"/>
      <c r="X3506" s="22"/>
    </row>
    <row r="3507" spans="1:24" x14ac:dyDescent="0.25">
      <c r="A3507" s="22" t="s">
        <v>5695</v>
      </c>
      <c r="B3507" s="22">
        <v>0</v>
      </c>
      <c r="C3507" s="22"/>
      <c r="D3507" s="22"/>
      <c r="E3507" s="22"/>
      <c r="F3507" s="22"/>
      <c r="G3507" s="22"/>
      <c r="H3507" s="22"/>
      <c r="I3507" s="22"/>
      <c r="J3507" s="22"/>
      <c r="K3507" s="22"/>
      <c r="L3507" s="22"/>
      <c r="M3507" s="22"/>
      <c r="N3507" s="22"/>
      <c r="O3507" s="22"/>
      <c r="P3507" s="22"/>
      <c r="Q3507" s="22"/>
      <c r="R3507" s="22"/>
      <c r="S3507" s="22"/>
      <c r="T3507" s="22"/>
      <c r="U3507" s="22"/>
      <c r="V3507" s="22"/>
      <c r="W3507" s="22"/>
      <c r="X3507" s="22"/>
    </row>
    <row r="3508" spans="1:24" x14ac:dyDescent="0.25">
      <c r="A3508" s="22" t="s">
        <v>5696</v>
      </c>
      <c r="B3508" s="22">
        <v>0</v>
      </c>
      <c r="C3508" s="22"/>
      <c r="D3508" s="22"/>
      <c r="E3508" s="22"/>
      <c r="F3508" s="22"/>
      <c r="G3508" s="22"/>
      <c r="H3508" s="22"/>
      <c r="I3508" s="22"/>
      <c r="J3508" s="22"/>
      <c r="K3508" s="22"/>
      <c r="L3508" s="22"/>
      <c r="M3508" s="22"/>
      <c r="N3508" s="22"/>
      <c r="O3508" s="22"/>
      <c r="P3508" s="22"/>
      <c r="Q3508" s="22"/>
      <c r="R3508" s="22"/>
      <c r="S3508" s="22"/>
      <c r="T3508" s="22"/>
      <c r="U3508" s="22"/>
      <c r="V3508" s="22"/>
      <c r="W3508" s="22"/>
      <c r="X3508" s="22"/>
    </row>
    <row r="3509" spans="1:24" x14ac:dyDescent="0.25">
      <c r="A3509" s="22" t="s">
        <v>5697</v>
      </c>
      <c r="B3509" s="22">
        <v>0</v>
      </c>
      <c r="C3509" s="22"/>
      <c r="D3509" s="22"/>
      <c r="E3509" s="22"/>
      <c r="F3509" s="22"/>
      <c r="G3509" s="22"/>
      <c r="H3509" s="22"/>
      <c r="I3509" s="22"/>
      <c r="J3509" s="22"/>
      <c r="K3509" s="22"/>
      <c r="L3509" s="22"/>
      <c r="M3509" s="22"/>
      <c r="N3509" s="22"/>
      <c r="O3509" s="22"/>
      <c r="P3509" s="22"/>
      <c r="Q3509" s="22"/>
      <c r="R3509" s="22"/>
      <c r="S3509" s="22"/>
      <c r="T3509" s="22"/>
      <c r="U3509" s="22"/>
      <c r="V3509" s="22"/>
      <c r="W3509" s="22"/>
      <c r="X3509" s="22"/>
    </row>
    <row r="3510" spans="1:24" x14ac:dyDescent="0.25">
      <c r="A3510" s="22" t="s">
        <v>1659</v>
      </c>
      <c r="B3510" s="22">
        <v>1</v>
      </c>
      <c r="C3510" s="22"/>
      <c r="D3510" s="22"/>
      <c r="E3510" s="22"/>
      <c r="F3510" s="22"/>
      <c r="G3510" s="22"/>
      <c r="H3510" s="22"/>
      <c r="I3510" s="22"/>
      <c r="J3510" s="22"/>
      <c r="K3510" s="22"/>
      <c r="L3510" s="22"/>
      <c r="M3510" s="22"/>
      <c r="N3510" s="22"/>
      <c r="O3510" s="22"/>
      <c r="P3510" s="22"/>
      <c r="Q3510" s="22"/>
      <c r="R3510" s="22"/>
      <c r="S3510" s="22"/>
      <c r="T3510" s="22"/>
      <c r="U3510" s="22"/>
      <c r="V3510" s="22"/>
      <c r="W3510" s="22"/>
      <c r="X3510" s="22"/>
    </row>
    <row r="3511" spans="1:24" x14ac:dyDescent="0.25">
      <c r="A3511" s="22" t="s">
        <v>5833</v>
      </c>
      <c r="B3511" s="22">
        <v>0</v>
      </c>
      <c r="C3511" s="22"/>
      <c r="D3511" s="22"/>
      <c r="E3511" s="22"/>
      <c r="F3511" s="22"/>
      <c r="G3511" s="22"/>
      <c r="H3511" s="22"/>
      <c r="I3511" s="22"/>
      <c r="J3511" s="22"/>
      <c r="K3511" s="22"/>
      <c r="L3511" s="22"/>
      <c r="M3511" s="22"/>
      <c r="N3511" s="22"/>
      <c r="O3511" s="22"/>
      <c r="P3511" s="22"/>
      <c r="Q3511" s="22"/>
      <c r="R3511" s="22"/>
      <c r="S3511" s="22"/>
      <c r="T3511" s="22"/>
      <c r="U3511" s="22"/>
      <c r="V3511" s="22"/>
      <c r="W3511" s="22"/>
      <c r="X3511" s="22"/>
    </row>
    <row r="3512" spans="1:24" x14ac:dyDescent="0.25">
      <c r="A3512" s="22" t="s">
        <v>5834</v>
      </c>
      <c r="B3512" s="22">
        <v>0</v>
      </c>
      <c r="C3512" s="22"/>
      <c r="D3512" s="22"/>
      <c r="E3512" s="22"/>
      <c r="F3512" s="22"/>
      <c r="G3512" s="22"/>
      <c r="H3512" s="22"/>
      <c r="I3512" s="22"/>
      <c r="J3512" s="22"/>
      <c r="K3512" s="22"/>
      <c r="L3512" s="22"/>
      <c r="M3512" s="22"/>
      <c r="N3512" s="22"/>
      <c r="O3512" s="22"/>
      <c r="P3512" s="22"/>
      <c r="Q3512" s="22"/>
      <c r="R3512" s="22"/>
      <c r="S3512" s="22"/>
      <c r="T3512" s="22"/>
      <c r="U3512" s="22"/>
      <c r="V3512" s="22"/>
      <c r="W3512" s="22"/>
      <c r="X3512" s="22"/>
    </row>
    <row r="3513" spans="1:24" x14ac:dyDescent="0.25">
      <c r="A3513" s="22" t="s">
        <v>5835</v>
      </c>
      <c r="B3513" s="22">
        <v>0</v>
      </c>
      <c r="C3513" s="22"/>
      <c r="D3513" s="22"/>
      <c r="E3513" s="22"/>
      <c r="F3513" s="22"/>
      <c r="G3513" s="22"/>
      <c r="H3513" s="22"/>
      <c r="I3513" s="22"/>
      <c r="J3513" s="22"/>
      <c r="K3513" s="22"/>
      <c r="L3513" s="22"/>
      <c r="M3513" s="22"/>
      <c r="N3513" s="22"/>
      <c r="O3513" s="22"/>
      <c r="P3513" s="22"/>
      <c r="Q3513" s="22"/>
      <c r="R3513" s="22"/>
      <c r="S3513" s="22"/>
      <c r="T3513" s="22"/>
      <c r="U3513" s="22"/>
      <c r="V3513" s="22"/>
      <c r="W3513" s="22"/>
      <c r="X3513" s="22"/>
    </row>
    <row r="3514" spans="1:24" x14ac:dyDescent="0.25">
      <c r="A3514" s="22" t="s">
        <v>5836</v>
      </c>
      <c r="B3514" s="22">
        <v>0</v>
      </c>
      <c r="C3514" s="22"/>
      <c r="D3514" s="22"/>
      <c r="E3514" s="22"/>
      <c r="F3514" s="22"/>
      <c r="G3514" s="22"/>
      <c r="H3514" s="22"/>
      <c r="I3514" s="22"/>
      <c r="J3514" s="22"/>
      <c r="K3514" s="22"/>
      <c r="L3514" s="22"/>
      <c r="M3514" s="22"/>
      <c r="N3514" s="22"/>
      <c r="O3514" s="22"/>
      <c r="P3514" s="22"/>
      <c r="Q3514" s="22"/>
      <c r="R3514" s="22"/>
      <c r="S3514" s="22"/>
      <c r="T3514" s="22"/>
      <c r="U3514" s="22"/>
      <c r="V3514" s="22"/>
      <c r="W3514" s="22"/>
      <c r="X3514" s="22"/>
    </row>
    <row r="3515" spans="1:24" x14ac:dyDescent="0.25">
      <c r="A3515" s="22" t="s">
        <v>5837</v>
      </c>
      <c r="B3515" s="22">
        <v>0</v>
      </c>
      <c r="C3515" s="22"/>
      <c r="D3515" s="22"/>
      <c r="E3515" s="22"/>
      <c r="F3515" s="22"/>
      <c r="G3515" s="22"/>
      <c r="H3515" s="22"/>
      <c r="I3515" s="22"/>
      <c r="J3515" s="22"/>
      <c r="K3515" s="22"/>
      <c r="L3515" s="22"/>
      <c r="M3515" s="22"/>
      <c r="N3515" s="22"/>
      <c r="O3515" s="22"/>
      <c r="P3515" s="22"/>
      <c r="Q3515" s="22"/>
      <c r="R3515" s="22"/>
      <c r="S3515" s="22"/>
      <c r="T3515" s="22"/>
      <c r="U3515" s="22"/>
      <c r="V3515" s="22"/>
      <c r="W3515" s="22"/>
      <c r="X3515" s="22"/>
    </row>
    <row r="3516" spans="1:24" x14ac:dyDescent="0.25">
      <c r="A3516" s="22" t="s">
        <v>5838</v>
      </c>
      <c r="B3516" s="22">
        <v>0</v>
      </c>
      <c r="C3516" s="22"/>
      <c r="D3516" s="22"/>
      <c r="E3516" s="22"/>
      <c r="F3516" s="22"/>
      <c r="G3516" s="22"/>
      <c r="H3516" s="22"/>
      <c r="I3516" s="22"/>
      <c r="J3516" s="22"/>
      <c r="K3516" s="22"/>
      <c r="L3516" s="22"/>
      <c r="M3516" s="22"/>
      <c r="N3516" s="22"/>
      <c r="O3516" s="22"/>
      <c r="P3516" s="22"/>
      <c r="Q3516" s="22"/>
      <c r="R3516" s="22"/>
      <c r="S3516" s="22"/>
      <c r="T3516" s="22"/>
      <c r="U3516" s="22"/>
      <c r="V3516" s="22"/>
      <c r="W3516" s="22"/>
      <c r="X3516" s="22"/>
    </row>
    <row r="3517" spans="1:24" x14ac:dyDescent="0.25">
      <c r="A3517" s="22" t="s">
        <v>5839</v>
      </c>
      <c r="B3517" s="22">
        <v>0</v>
      </c>
      <c r="C3517" s="22"/>
      <c r="D3517" s="22"/>
      <c r="E3517" s="22"/>
      <c r="F3517" s="22"/>
      <c r="G3517" s="22"/>
      <c r="H3517" s="22"/>
      <c r="I3517" s="22"/>
      <c r="J3517" s="22"/>
      <c r="K3517" s="22"/>
      <c r="L3517" s="22"/>
      <c r="M3517" s="22"/>
      <c r="N3517" s="22"/>
      <c r="O3517" s="22"/>
      <c r="P3517" s="22"/>
      <c r="Q3517" s="22"/>
      <c r="R3517" s="22"/>
      <c r="S3517" s="22"/>
      <c r="T3517" s="22"/>
      <c r="U3517" s="22"/>
      <c r="V3517" s="22"/>
      <c r="W3517" s="22"/>
      <c r="X3517" s="22"/>
    </row>
    <row r="3518" spans="1:24" x14ac:dyDescent="0.25">
      <c r="A3518" s="22" t="s">
        <v>755</v>
      </c>
      <c r="B3518" s="22">
        <v>0</v>
      </c>
      <c r="C3518" s="22"/>
      <c r="D3518" s="22"/>
      <c r="E3518" s="22"/>
      <c r="F3518" s="22"/>
      <c r="G3518" s="22"/>
      <c r="H3518" s="22"/>
      <c r="I3518" s="22"/>
      <c r="J3518" s="22"/>
      <c r="K3518" s="22"/>
      <c r="L3518" s="22"/>
      <c r="M3518" s="22"/>
      <c r="N3518" s="22"/>
      <c r="O3518" s="22"/>
      <c r="P3518" s="22"/>
      <c r="Q3518" s="22"/>
      <c r="R3518" s="22"/>
      <c r="S3518" s="22"/>
      <c r="T3518" s="22"/>
      <c r="U3518" s="22"/>
      <c r="V3518" s="22"/>
      <c r="W3518" s="22"/>
      <c r="X3518" s="22"/>
    </row>
    <row r="3519" spans="1:24" x14ac:dyDescent="0.25">
      <c r="A3519" s="22" t="s">
        <v>5698</v>
      </c>
      <c r="B3519" s="22">
        <v>0</v>
      </c>
      <c r="C3519" s="22"/>
      <c r="D3519" s="22"/>
      <c r="E3519" s="22"/>
      <c r="F3519" s="22"/>
      <c r="G3519" s="22"/>
      <c r="H3519" s="22"/>
      <c r="I3519" s="22"/>
      <c r="J3519" s="22"/>
      <c r="K3519" s="22"/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  <c r="X3519" s="22"/>
    </row>
    <row r="3520" spans="1:24" x14ac:dyDescent="0.25">
      <c r="A3520" s="22" t="s">
        <v>5699</v>
      </c>
      <c r="B3520" s="22">
        <v>0</v>
      </c>
      <c r="C3520" s="22"/>
      <c r="D3520" s="22"/>
      <c r="E3520" s="22"/>
      <c r="F3520" s="22"/>
      <c r="G3520" s="22"/>
      <c r="H3520" s="22"/>
      <c r="I3520" s="22"/>
      <c r="J3520" s="22"/>
      <c r="K3520" s="22"/>
      <c r="L3520" s="22"/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  <c r="X3520" s="22"/>
    </row>
    <row r="3521" spans="1:24" x14ac:dyDescent="0.25">
      <c r="A3521" s="22" t="s">
        <v>5700</v>
      </c>
      <c r="B3521" s="22">
        <v>0</v>
      </c>
      <c r="C3521" s="22"/>
      <c r="D3521" s="22"/>
      <c r="E3521" s="22"/>
      <c r="F3521" s="22"/>
      <c r="G3521" s="22"/>
      <c r="H3521" s="22"/>
      <c r="I3521" s="22"/>
      <c r="J3521" s="22"/>
      <c r="K3521" s="22"/>
      <c r="L3521" s="22"/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  <c r="X3521" s="22"/>
    </row>
    <row r="3522" spans="1:24" x14ac:dyDescent="0.25">
      <c r="A3522" s="22" t="s">
        <v>5701</v>
      </c>
      <c r="B3522" s="22">
        <v>0</v>
      </c>
      <c r="C3522" s="22"/>
      <c r="D3522" s="22"/>
      <c r="E3522" s="22"/>
      <c r="F3522" s="22"/>
      <c r="G3522" s="22"/>
      <c r="H3522" s="22"/>
      <c r="I3522" s="22"/>
      <c r="J3522" s="22"/>
      <c r="K3522" s="22"/>
      <c r="L3522" s="22"/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  <c r="X3522" s="22"/>
    </row>
    <row r="3523" spans="1:24" x14ac:dyDescent="0.25">
      <c r="A3523" s="22" t="s">
        <v>5702</v>
      </c>
      <c r="B3523" s="22">
        <v>0</v>
      </c>
      <c r="C3523" s="22"/>
      <c r="D3523" s="22"/>
      <c r="E3523" s="22"/>
      <c r="F3523" s="22"/>
      <c r="G3523" s="22"/>
      <c r="H3523" s="22"/>
      <c r="I3523" s="22"/>
      <c r="J3523" s="22"/>
      <c r="K3523" s="22"/>
      <c r="L3523" s="22"/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  <c r="X3523" s="22"/>
    </row>
    <row r="3524" spans="1:24" x14ac:dyDescent="0.25">
      <c r="A3524" s="22" t="s">
        <v>5703</v>
      </c>
      <c r="B3524" s="22">
        <v>0</v>
      </c>
      <c r="C3524" s="22"/>
      <c r="D3524" s="22"/>
      <c r="E3524" s="22"/>
      <c r="F3524" s="22"/>
      <c r="G3524" s="22"/>
      <c r="H3524" s="22"/>
      <c r="I3524" s="22"/>
      <c r="J3524" s="22"/>
      <c r="K3524" s="22"/>
      <c r="L3524" s="22"/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  <c r="X3524" s="22"/>
    </row>
    <row r="3525" spans="1:24" x14ac:dyDescent="0.25">
      <c r="A3525" s="22" t="s">
        <v>5704</v>
      </c>
      <c r="B3525" s="22">
        <v>0</v>
      </c>
      <c r="C3525" s="22"/>
      <c r="D3525" s="22"/>
      <c r="E3525" s="22"/>
      <c r="F3525" s="22"/>
      <c r="G3525" s="22"/>
      <c r="H3525" s="22"/>
      <c r="I3525" s="22"/>
      <c r="J3525" s="22"/>
      <c r="K3525" s="22"/>
      <c r="L3525" s="22"/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  <c r="X3525" s="22"/>
    </row>
    <row r="3526" spans="1:24" x14ac:dyDescent="0.25">
      <c r="A3526" s="22" t="s">
        <v>1661</v>
      </c>
      <c r="B3526" s="22">
        <v>0</v>
      </c>
      <c r="C3526" s="22"/>
      <c r="D3526" s="22"/>
      <c r="E3526" s="22"/>
      <c r="F3526" s="22"/>
      <c r="G3526" s="22"/>
      <c r="H3526" s="22"/>
      <c r="I3526" s="22"/>
      <c r="J3526" s="22"/>
      <c r="K3526" s="22"/>
      <c r="L3526" s="22"/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  <c r="X3526" s="22"/>
    </row>
    <row r="3527" spans="1:24" x14ac:dyDescent="0.25">
      <c r="A3527" s="22" t="s">
        <v>5705</v>
      </c>
      <c r="B3527" s="22">
        <v>0</v>
      </c>
      <c r="C3527" s="22"/>
      <c r="D3527" s="22"/>
      <c r="E3527" s="22"/>
      <c r="F3527" s="22"/>
      <c r="G3527" s="22"/>
      <c r="H3527" s="22"/>
      <c r="I3527" s="22"/>
      <c r="J3527" s="22"/>
      <c r="K3527" s="22"/>
      <c r="L3527" s="22"/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  <c r="X3527" s="22"/>
    </row>
    <row r="3528" spans="1:24" x14ac:dyDescent="0.25">
      <c r="A3528" s="22" t="s">
        <v>5706</v>
      </c>
      <c r="B3528" s="22">
        <v>0</v>
      </c>
      <c r="C3528" s="22"/>
      <c r="D3528" s="22"/>
      <c r="E3528" s="22"/>
      <c r="F3528" s="22"/>
      <c r="G3528" s="22"/>
      <c r="H3528" s="22"/>
      <c r="I3528" s="22"/>
      <c r="J3528" s="22"/>
      <c r="K3528" s="22"/>
      <c r="L3528" s="22"/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  <c r="X3528" s="22"/>
    </row>
    <row r="3529" spans="1:24" x14ac:dyDescent="0.25">
      <c r="A3529" s="22" t="s">
        <v>5707</v>
      </c>
      <c r="B3529" s="22">
        <v>0</v>
      </c>
      <c r="C3529" s="22"/>
      <c r="D3529" s="22"/>
      <c r="E3529" s="22"/>
      <c r="F3529" s="22"/>
      <c r="G3529" s="22"/>
      <c r="H3529" s="22"/>
      <c r="I3529" s="22"/>
      <c r="J3529" s="22"/>
      <c r="K3529" s="22"/>
      <c r="L3529" s="22"/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  <c r="X3529" s="22"/>
    </row>
    <row r="3530" spans="1:24" x14ac:dyDescent="0.25">
      <c r="A3530" s="22" t="s">
        <v>5708</v>
      </c>
      <c r="B3530" s="22">
        <v>6</v>
      </c>
      <c r="C3530" s="22"/>
      <c r="D3530" s="22"/>
      <c r="E3530" s="22"/>
      <c r="F3530" s="22"/>
      <c r="G3530" s="22"/>
      <c r="H3530" s="22"/>
      <c r="I3530" s="22"/>
      <c r="J3530" s="22"/>
      <c r="K3530" s="22"/>
      <c r="L3530" s="22"/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  <c r="X3530" s="22"/>
    </row>
    <row r="3531" spans="1:24" x14ac:dyDescent="0.25">
      <c r="A3531" s="22" t="s">
        <v>5709</v>
      </c>
      <c r="B3531" s="22">
        <v>0</v>
      </c>
      <c r="C3531" s="22"/>
      <c r="D3531" s="22"/>
      <c r="E3531" s="22"/>
      <c r="F3531" s="22"/>
      <c r="G3531" s="22"/>
      <c r="H3531" s="22"/>
      <c r="I3531" s="22"/>
      <c r="J3531" s="22"/>
      <c r="K3531" s="22"/>
      <c r="L3531" s="22"/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  <c r="X3531" s="22"/>
    </row>
    <row r="3532" spans="1:24" x14ac:dyDescent="0.25">
      <c r="A3532" s="22" t="s">
        <v>5710</v>
      </c>
      <c r="B3532" s="22">
        <v>0</v>
      </c>
      <c r="C3532" s="22"/>
      <c r="D3532" s="22"/>
      <c r="E3532" s="22"/>
      <c r="F3532" s="22"/>
      <c r="G3532" s="22"/>
      <c r="H3532" s="22"/>
      <c r="I3532" s="22"/>
      <c r="J3532" s="22"/>
      <c r="K3532" s="22"/>
      <c r="L3532" s="22"/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  <c r="X3532" s="22"/>
    </row>
    <row r="3533" spans="1:24" x14ac:dyDescent="0.25">
      <c r="A3533" s="22" t="s">
        <v>5711</v>
      </c>
      <c r="B3533" s="22">
        <v>0</v>
      </c>
      <c r="C3533" s="22"/>
      <c r="D3533" s="22"/>
      <c r="E3533" s="22"/>
      <c r="F3533" s="22"/>
      <c r="G3533" s="22"/>
      <c r="H3533" s="22"/>
      <c r="I3533" s="22"/>
      <c r="J3533" s="22"/>
      <c r="K3533" s="22"/>
      <c r="L3533" s="22"/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  <c r="X3533" s="22"/>
    </row>
    <row r="3534" spans="1:24" x14ac:dyDescent="0.25">
      <c r="A3534" s="22" t="s">
        <v>757</v>
      </c>
      <c r="B3534" s="22">
        <v>0</v>
      </c>
      <c r="C3534" s="22"/>
      <c r="D3534" s="22"/>
      <c r="E3534" s="22"/>
      <c r="F3534" s="22"/>
      <c r="G3534" s="22"/>
      <c r="H3534" s="22"/>
      <c r="I3534" s="22"/>
      <c r="J3534" s="22"/>
      <c r="K3534" s="22"/>
      <c r="L3534" s="22"/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  <c r="X3534" s="22"/>
    </row>
    <row r="3535" spans="1:24" x14ac:dyDescent="0.25">
      <c r="A3535" s="22" t="s">
        <v>5712</v>
      </c>
      <c r="B3535" s="22">
        <v>0</v>
      </c>
      <c r="C3535" s="22"/>
      <c r="D3535" s="22"/>
      <c r="E3535" s="22"/>
      <c r="F3535" s="22"/>
      <c r="G3535" s="22"/>
      <c r="H3535" s="22"/>
      <c r="I3535" s="22"/>
      <c r="J3535" s="22"/>
      <c r="K3535" s="22"/>
      <c r="L3535" s="22"/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  <c r="X3535" s="22"/>
    </row>
    <row r="3536" spans="1:24" x14ac:dyDescent="0.25">
      <c r="A3536" s="22" t="s">
        <v>5713</v>
      </c>
      <c r="B3536" s="22">
        <v>0</v>
      </c>
      <c r="C3536" s="22"/>
      <c r="D3536" s="22"/>
      <c r="E3536" s="22"/>
      <c r="F3536" s="22"/>
      <c r="G3536" s="22"/>
      <c r="H3536" s="22"/>
      <c r="I3536" s="22"/>
      <c r="J3536" s="22"/>
      <c r="K3536" s="22"/>
      <c r="L3536" s="22"/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  <c r="X3536" s="22"/>
    </row>
    <row r="3537" spans="1:24" x14ac:dyDescent="0.25">
      <c r="A3537" s="22" t="s">
        <v>5714</v>
      </c>
      <c r="B3537" s="22">
        <v>0</v>
      </c>
      <c r="C3537" s="22"/>
      <c r="D3537" s="22"/>
      <c r="E3537" s="22"/>
      <c r="F3537" s="22"/>
      <c r="G3537" s="22"/>
      <c r="H3537" s="22"/>
      <c r="I3537" s="22"/>
      <c r="J3537" s="22"/>
      <c r="K3537" s="22"/>
      <c r="L3537" s="22"/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  <c r="X3537" s="22"/>
    </row>
    <row r="3538" spans="1:24" x14ac:dyDescent="0.25">
      <c r="A3538" s="22" t="s">
        <v>5715</v>
      </c>
      <c r="B3538" s="22">
        <v>0</v>
      </c>
      <c r="C3538" s="22"/>
      <c r="D3538" s="22"/>
      <c r="E3538" s="22"/>
      <c r="F3538" s="22"/>
      <c r="G3538" s="22"/>
      <c r="H3538" s="22"/>
      <c r="I3538" s="22"/>
      <c r="J3538" s="22"/>
      <c r="K3538" s="22"/>
      <c r="L3538" s="22"/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  <c r="X3538" s="22"/>
    </row>
    <row r="3539" spans="1:24" x14ac:dyDescent="0.25">
      <c r="A3539" s="22" t="s">
        <v>5716</v>
      </c>
      <c r="B3539" s="22">
        <v>0</v>
      </c>
      <c r="C3539" s="22"/>
      <c r="D3539" s="22"/>
      <c r="E3539" s="22"/>
      <c r="F3539" s="22"/>
      <c r="G3539" s="22"/>
      <c r="H3539" s="22"/>
      <c r="I3539" s="22"/>
      <c r="J3539" s="22"/>
      <c r="K3539" s="22"/>
      <c r="L3539" s="22"/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  <c r="X3539" s="22"/>
    </row>
    <row r="3540" spans="1:24" x14ac:dyDescent="0.25">
      <c r="A3540" s="22" t="s">
        <v>5717</v>
      </c>
      <c r="B3540" s="22">
        <v>0</v>
      </c>
      <c r="C3540" s="22"/>
      <c r="D3540" s="22"/>
      <c r="E3540" s="22"/>
      <c r="F3540" s="22"/>
      <c r="G3540" s="22"/>
      <c r="H3540" s="22"/>
      <c r="I3540" s="22"/>
      <c r="J3540" s="22"/>
      <c r="K3540" s="22"/>
      <c r="L3540" s="22"/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  <c r="X3540" s="22"/>
    </row>
    <row r="3541" spans="1:24" x14ac:dyDescent="0.25">
      <c r="A3541" s="22" t="s">
        <v>5718</v>
      </c>
      <c r="B3541" s="22">
        <v>0</v>
      </c>
      <c r="C3541" s="22"/>
      <c r="D3541" s="22"/>
      <c r="E3541" s="22"/>
      <c r="F3541" s="22"/>
      <c r="G3541" s="22"/>
      <c r="H3541" s="22"/>
      <c r="I3541" s="22"/>
      <c r="J3541" s="22"/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  <c r="X3541" s="22"/>
    </row>
    <row r="3542" spans="1:24" x14ac:dyDescent="0.25">
      <c r="A3542" s="22" t="s">
        <v>1663</v>
      </c>
      <c r="B3542" s="22">
        <v>3</v>
      </c>
      <c r="C3542" s="22"/>
      <c r="D3542" s="22"/>
      <c r="E3542" s="22"/>
      <c r="F3542" s="22"/>
      <c r="G3542" s="22"/>
      <c r="H3542" s="22"/>
      <c r="I3542" s="22"/>
      <c r="J3542" s="22"/>
      <c r="K3542" s="22"/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  <c r="X3542" s="22"/>
    </row>
    <row r="3543" spans="1:24" x14ac:dyDescent="0.25">
      <c r="A3543" s="22" t="s">
        <v>5719</v>
      </c>
      <c r="B3543" s="22">
        <v>0</v>
      </c>
      <c r="C3543" s="22"/>
      <c r="D3543" s="22"/>
      <c r="E3543" s="22"/>
      <c r="F3543" s="22"/>
      <c r="G3543" s="22"/>
      <c r="H3543" s="22"/>
      <c r="I3543" s="22"/>
      <c r="J3543" s="22"/>
      <c r="K3543" s="22"/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  <c r="X3543" s="22"/>
    </row>
    <row r="3544" spans="1:24" x14ac:dyDescent="0.25">
      <c r="A3544" s="22" t="s">
        <v>5720</v>
      </c>
      <c r="B3544" s="22">
        <v>0</v>
      </c>
      <c r="C3544" s="22"/>
      <c r="D3544" s="22"/>
      <c r="E3544" s="22"/>
      <c r="F3544" s="22"/>
      <c r="G3544" s="22"/>
      <c r="H3544" s="22"/>
      <c r="I3544" s="22"/>
      <c r="J3544" s="22"/>
      <c r="K3544" s="22"/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  <c r="X3544" s="22"/>
    </row>
    <row r="3545" spans="1:24" x14ac:dyDescent="0.25">
      <c r="A3545" s="22" t="s">
        <v>5721</v>
      </c>
      <c r="B3545" s="22">
        <v>0</v>
      </c>
      <c r="C3545" s="22"/>
      <c r="D3545" s="22"/>
      <c r="E3545" s="22"/>
      <c r="F3545" s="22"/>
      <c r="G3545" s="22"/>
      <c r="H3545" s="22"/>
      <c r="I3545" s="22"/>
      <c r="J3545" s="22"/>
      <c r="K3545" s="22"/>
      <c r="L3545" s="22"/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  <c r="X3545" s="22"/>
    </row>
    <row r="3546" spans="1:24" x14ac:dyDescent="0.25">
      <c r="A3546" s="22" t="s">
        <v>5722</v>
      </c>
      <c r="B3546" s="22">
        <v>0</v>
      </c>
      <c r="C3546" s="22"/>
      <c r="D3546" s="22"/>
      <c r="E3546" s="22"/>
      <c r="F3546" s="22"/>
      <c r="G3546" s="22"/>
      <c r="H3546" s="22"/>
      <c r="I3546" s="22"/>
      <c r="J3546" s="22"/>
      <c r="K3546" s="22"/>
      <c r="L3546" s="22"/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  <c r="X3546" s="22"/>
    </row>
    <row r="3547" spans="1:24" x14ac:dyDescent="0.25">
      <c r="A3547" s="22" t="s">
        <v>5723</v>
      </c>
      <c r="B3547" s="22">
        <v>0</v>
      </c>
      <c r="C3547" s="22"/>
      <c r="D3547" s="22"/>
      <c r="E3547" s="22"/>
      <c r="F3547" s="22"/>
      <c r="G3547" s="22"/>
      <c r="H3547" s="22"/>
      <c r="I3547" s="22"/>
      <c r="J3547" s="22"/>
      <c r="K3547" s="22"/>
      <c r="L3547" s="22"/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  <c r="X3547" s="22"/>
    </row>
    <row r="3548" spans="1:24" x14ac:dyDescent="0.25">
      <c r="A3548" s="22" t="s">
        <v>5724</v>
      </c>
      <c r="B3548" s="22">
        <v>0</v>
      </c>
      <c r="C3548" s="22"/>
      <c r="D3548" s="22"/>
      <c r="E3548" s="22"/>
      <c r="F3548" s="22"/>
      <c r="G3548" s="22"/>
      <c r="H3548" s="22"/>
      <c r="I3548" s="22"/>
      <c r="J3548" s="22"/>
      <c r="K3548" s="22"/>
      <c r="L3548" s="22"/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  <c r="X3548" s="22"/>
    </row>
    <row r="3549" spans="1:24" x14ac:dyDescent="0.25">
      <c r="A3549" s="22" t="s">
        <v>5725</v>
      </c>
      <c r="B3549" s="22">
        <v>0</v>
      </c>
      <c r="C3549" s="22"/>
      <c r="D3549" s="22"/>
      <c r="E3549" s="22"/>
      <c r="F3549" s="22"/>
      <c r="G3549" s="22"/>
      <c r="H3549" s="22"/>
      <c r="I3549" s="22"/>
      <c r="J3549" s="22"/>
      <c r="K3549" s="22"/>
      <c r="L3549" s="22"/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  <c r="X3549" s="22"/>
    </row>
    <row r="3550" spans="1:24" x14ac:dyDescent="0.25">
      <c r="A3550" s="22" t="s">
        <v>759</v>
      </c>
      <c r="B3550" s="22">
        <v>0</v>
      </c>
      <c r="C3550" s="22"/>
      <c r="D3550" s="22"/>
      <c r="E3550" s="22"/>
      <c r="F3550" s="22"/>
      <c r="G3550" s="22"/>
      <c r="H3550" s="22"/>
      <c r="I3550" s="22"/>
      <c r="J3550" s="22"/>
      <c r="K3550" s="22"/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  <c r="X3550" s="22"/>
    </row>
    <row r="3551" spans="1:24" x14ac:dyDescent="0.25">
      <c r="A3551" s="22" t="s">
        <v>5726</v>
      </c>
      <c r="B3551" s="22">
        <v>0</v>
      </c>
      <c r="C3551" s="22"/>
      <c r="D3551" s="22"/>
      <c r="E3551" s="22"/>
      <c r="F3551" s="22"/>
      <c r="G3551" s="22"/>
      <c r="H3551" s="22"/>
      <c r="I3551" s="22"/>
      <c r="J3551" s="22"/>
      <c r="K3551" s="22"/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  <c r="X3551" s="22"/>
    </row>
    <row r="3552" spans="1:24" x14ac:dyDescent="0.25">
      <c r="A3552" s="22" t="s">
        <v>5727</v>
      </c>
      <c r="B3552" s="22">
        <v>0</v>
      </c>
      <c r="C3552" s="22"/>
      <c r="D3552" s="22"/>
      <c r="E3552" s="22"/>
      <c r="F3552" s="22"/>
      <c r="G3552" s="22"/>
      <c r="H3552" s="22"/>
      <c r="I3552" s="22"/>
      <c r="J3552" s="22"/>
      <c r="K3552" s="22"/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  <c r="X3552" s="22"/>
    </row>
    <row r="3553" spans="1:24" x14ac:dyDescent="0.25">
      <c r="A3553" s="22" t="s">
        <v>5728</v>
      </c>
      <c r="B3553" s="22">
        <v>0</v>
      </c>
      <c r="C3553" s="22"/>
      <c r="D3553" s="22"/>
      <c r="E3553" s="22"/>
      <c r="F3553" s="22"/>
      <c r="G3553" s="22"/>
      <c r="H3553" s="22"/>
      <c r="I3553" s="22"/>
      <c r="J3553" s="22"/>
      <c r="K3553" s="22"/>
      <c r="L3553" s="22"/>
      <c r="M3553" s="22"/>
      <c r="N3553" s="22"/>
      <c r="O3553" s="22"/>
      <c r="P3553" s="22"/>
      <c r="Q3553" s="22"/>
      <c r="R3553" s="22"/>
      <c r="S3553" s="22"/>
      <c r="T3553" s="22"/>
      <c r="U3553" s="22"/>
      <c r="V3553" s="22"/>
      <c r="W3553" s="22"/>
      <c r="X3553" s="22"/>
    </row>
    <row r="3554" spans="1:24" x14ac:dyDescent="0.25">
      <c r="A3554" s="22" t="s">
        <v>5729</v>
      </c>
      <c r="B3554" s="22">
        <v>0</v>
      </c>
      <c r="C3554" s="22"/>
      <c r="D3554" s="22"/>
      <c r="E3554" s="22"/>
      <c r="F3554" s="22"/>
      <c r="G3554" s="22"/>
      <c r="H3554" s="22"/>
      <c r="I3554" s="22"/>
      <c r="J3554" s="22"/>
      <c r="K3554" s="22"/>
      <c r="L3554" s="22"/>
      <c r="M3554" s="22"/>
      <c r="N3554" s="22"/>
      <c r="O3554" s="22"/>
      <c r="P3554" s="22"/>
      <c r="Q3554" s="22"/>
      <c r="R3554" s="22"/>
      <c r="S3554" s="22"/>
      <c r="T3554" s="22"/>
      <c r="U3554" s="22"/>
      <c r="V3554" s="22"/>
      <c r="W3554" s="22"/>
      <c r="X3554" s="22"/>
    </row>
    <row r="3555" spans="1:24" x14ac:dyDescent="0.25">
      <c r="A3555" s="22" t="s">
        <v>5730</v>
      </c>
      <c r="B3555" s="22">
        <v>0</v>
      </c>
      <c r="C3555" s="22"/>
      <c r="D3555" s="22"/>
      <c r="E3555" s="22"/>
      <c r="F3555" s="22"/>
      <c r="G3555" s="22"/>
      <c r="H3555" s="22"/>
      <c r="I3555" s="22"/>
      <c r="J3555" s="22"/>
      <c r="K3555" s="22"/>
      <c r="L3555" s="22"/>
      <c r="M3555" s="22"/>
      <c r="N3555" s="22"/>
      <c r="O3555" s="22"/>
      <c r="P3555" s="22"/>
      <c r="Q3555" s="22"/>
      <c r="R3555" s="22"/>
      <c r="S3555" s="22"/>
      <c r="T3555" s="22"/>
      <c r="U3555" s="22"/>
      <c r="V3555" s="22"/>
      <c r="W3555" s="22"/>
      <c r="X3555" s="22"/>
    </row>
    <row r="3556" spans="1:24" x14ac:dyDescent="0.25">
      <c r="A3556" s="22" t="s">
        <v>5731</v>
      </c>
      <c r="B3556" s="22">
        <v>0</v>
      </c>
      <c r="C3556" s="22"/>
      <c r="D3556" s="22"/>
      <c r="E3556" s="22"/>
      <c r="F3556" s="22"/>
      <c r="G3556" s="22"/>
      <c r="H3556" s="22"/>
      <c r="I3556" s="22"/>
      <c r="J3556" s="22"/>
      <c r="K3556" s="22"/>
      <c r="L3556" s="22"/>
      <c r="M3556" s="22"/>
      <c r="N3556" s="22"/>
      <c r="O3556" s="22"/>
      <c r="P3556" s="22"/>
      <c r="Q3556" s="22"/>
      <c r="R3556" s="22"/>
      <c r="S3556" s="22"/>
      <c r="T3556" s="22"/>
      <c r="U3556" s="22"/>
      <c r="V3556" s="22"/>
      <c r="W3556" s="22"/>
      <c r="X3556" s="22"/>
    </row>
    <row r="3557" spans="1:24" x14ac:dyDescent="0.25">
      <c r="A3557" s="22" t="s">
        <v>5732</v>
      </c>
      <c r="B3557" s="22">
        <v>0</v>
      </c>
      <c r="C3557" s="22"/>
      <c r="D3557" s="22"/>
      <c r="E3557" s="22"/>
      <c r="F3557" s="22"/>
      <c r="G3557" s="22"/>
      <c r="H3557" s="22"/>
      <c r="I3557" s="22"/>
      <c r="J3557" s="22"/>
      <c r="K3557" s="22"/>
      <c r="L3557" s="22"/>
      <c r="M3557" s="22"/>
      <c r="N3557" s="22"/>
      <c r="O3557" s="22"/>
      <c r="P3557" s="22"/>
      <c r="Q3557" s="22"/>
      <c r="R3557" s="22"/>
      <c r="S3557" s="22"/>
      <c r="T3557" s="22"/>
      <c r="U3557" s="22"/>
      <c r="V3557" s="22"/>
      <c r="W3557" s="22"/>
      <c r="X3557" s="22"/>
    </row>
    <row r="3558" spans="1:24" x14ac:dyDescent="0.25">
      <c r="A3558" s="22" t="s">
        <v>1665</v>
      </c>
      <c r="B3558" s="22">
        <v>0</v>
      </c>
      <c r="C3558" s="22"/>
      <c r="D3558" s="22"/>
      <c r="E3558" s="22"/>
      <c r="F3558" s="22"/>
      <c r="G3558" s="22"/>
      <c r="H3558" s="22"/>
      <c r="I3558" s="22"/>
      <c r="J3558" s="22"/>
      <c r="K3558" s="22"/>
      <c r="L3558" s="22"/>
      <c r="M3558" s="22"/>
      <c r="N3558" s="22"/>
      <c r="O3558" s="22"/>
      <c r="P3558" s="22"/>
      <c r="Q3558" s="22"/>
      <c r="R3558" s="22"/>
      <c r="S3558" s="22"/>
      <c r="T3558" s="22"/>
      <c r="U3558" s="22"/>
      <c r="V3558" s="22"/>
      <c r="W3558" s="22"/>
      <c r="X3558" s="22"/>
    </row>
    <row r="3559" spans="1:24" x14ac:dyDescent="0.25">
      <c r="A3559" s="22" t="s">
        <v>5733</v>
      </c>
      <c r="B3559" s="22">
        <v>0</v>
      </c>
      <c r="C3559" s="22"/>
      <c r="D3559" s="22"/>
      <c r="E3559" s="22"/>
      <c r="F3559" s="22"/>
      <c r="G3559" s="22"/>
      <c r="H3559" s="22"/>
      <c r="I3559" s="22"/>
      <c r="J3559" s="22"/>
      <c r="K3559" s="22"/>
      <c r="L3559" s="22"/>
      <c r="M3559" s="22"/>
      <c r="N3559" s="22"/>
      <c r="O3559" s="22"/>
      <c r="P3559" s="22"/>
      <c r="Q3559" s="22"/>
      <c r="R3559" s="22"/>
      <c r="S3559" s="22"/>
      <c r="T3559" s="22"/>
      <c r="U3559" s="22"/>
      <c r="V3559" s="22"/>
      <c r="W3559" s="22"/>
      <c r="X3559" s="22"/>
    </row>
    <row r="3560" spans="1:24" x14ac:dyDescent="0.25">
      <c r="A3560" s="22" t="s">
        <v>5734</v>
      </c>
      <c r="B3560" s="22">
        <v>0</v>
      </c>
      <c r="C3560" s="22"/>
      <c r="D3560" s="22"/>
      <c r="E3560" s="22"/>
      <c r="F3560" s="22"/>
      <c r="G3560" s="22"/>
      <c r="H3560" s="22"/>
      <c r="I3560" s="22"/>
      <c r="J3560" s="22"/>
      <c r="K3560" s="22"/>
      <c r="L3560" s="22"/>
      <c r="M3560" s="22"/>
      <c r="N3560" s="22"/>
      <c r="O3560" s="22"/>
      <c r="P3560" s="22"/>
      <c r="Q3560" s="22"/>
      <c r="R3560" s="22"/>
      <c r="S3560" s="22"/>
      <c r="T3560" s="22"/>
      <c r="U3560" s="22"/>
      <c r="V3560" s="22"/>
      <c r="W3560" s="22"/>
      <c r="X3560" s="22"/>
    </row>
    <row r="3561" spans="1:24" x14ac:dyDescent="0.25">
      <c r="A3561" s="22" t="s">
        <v>5735</v>
      </c>
      <c r="B3561" s="22">
        <v>0</v>
      </c>
      <c r="C3561" s="22"/>
      <c r="D3561" s="22"/>
      <c r="E3561" s="22"/>
      <c r="F3561" s="22"/>
      <c r="G3561" s="22"/>
      <c r="H3561" s="22"/>
      <c r="I3561" s="22"/>
      <c r="J3561" s="22"/>
      <c r="K3561" s="22"/>
      <c r="L3561" s="22"/>
      <c r="M3561" s="22"/>
      <c r="N3561" s="22"/>
      <c r="O3561" s="22"/>
      <c r="P3561" s="22"/>
      <c r="Q3561" s="22"/>
      <c r="R3561" s="22"/>
      <c r="S3561" s="22"/>
      <c r="T3561" s="22"/>
      <c r="U3561" s="22"/>
      <c r="V3561" s="22"/>
      <c r="W3561" s="22"/>
      <c r="X3561" s="22"/>
    </row>
    <row r="3562" spans="1:24" x14ac:dyDescent="0.25">
      <c r="A3562" s="22" t="s">
        <v>5736</v>
      </c>
      <c r="B3562" s="22">
        <v>0</v>
      </c>
      <c r="C3562" s="22"/>
      <c r="D3562" s="22"/>
      <c r="E3562" s="22"/>
      <c r="F3562" s="22"/>
      <c r="G3562" s="22"/>
      <c r="H3562" s="22"/>
      <c r="I3562" s="22"/>
      <c r="J3562" s="22"/>
      <c r="K3562" s="22"/>
      <c r="L3562" s="22"/>
      <c r="M3562" s="22"/>
      <c r="N3562" s="22"/>
      <c r="O3562" s="22"/>
      <c r="P3562" s="22"/>
      <c r="Q3562" s="22"/>
      <c r="R3562" s="22"/>
      <c r="S3562" s="22"/>
      <c r="T3562" s="22"/>
      <c r="U3562" s="22"/>
      <c r="V3562" s="22"/>
      <c r="W3562" s="22"/>
      <c r="X3562" s="22"/>
    </row>
    <row r="3563" spans="1:24" x14ac:dyDescent="0.25">
      <c r="A3563" s="22" t="s">
        <v>5737</v>
      </c>
      <c r="B3563" s="22">
        <v>0</v>
      </c>
      <c r="C3563" s="22"/>
      <c r="D3563" s="22"/>
      <c r="E3563" s="22"/>
      <c r="F3563" s="22"/>
      <c r="G3563" s="22"/>
      <c r="H3563" s="22"/>
      <c r="I3563" s="22"/>
      <c r="J3563" s="22"/>
      <c r="K3563" s="22"/>
      <c r="L3563" s="22"/>
      <c r="M3563" s="22"/>
      <c r="N3563" s="22"/>
      <c r="O3563" s="22"/>
      <c r="P3563" s="22"/>
      <c r="Q3563" s="22"/>
      <c r="R3563" s="22"/>
      <c r="S3563" s="22"/>
      <c r="T3563" s="22"/>
      <c r="U3563" s="22"/>
      <c r="V3563" s="22"/>
      <c r="W3563" s="22"/>
      <c r="X3563" s="22"/>
    </row>
    <row r="3564" spans="1:24" x14ac:dyDescent="0.25">
      <c r="A3564" s="22" t="s">
        <v>5738</v>
      </c>
      <c r="B3564" s="22">
        <v>0</v>
      </c>
      <c r="C3564" s="22"/>
      <c r="D3564" s="22"/>
      <c r="E3564" s="22"/>
      <c r="F3564" s="22"/>
      <c r="G3564" s="22"/>
      <c r="H3564" s="22"/>
      <c r="I3564" s="22"/>
      <c r="J3564" s="22"/>
      <c r="K3564" s="22"/>
      <c r="L3564" s="22"/>
      <c r="M3564" s="22"/>
      <c r="N3564" s="22"/>
      <c r="O3564" s="22"/>
      <c r="P3564" s="22"/>
      <c r="Q3564" s="22"/>
      <c r="R3564" s="22"/>
      <c r="S3564" s="22"/>
      <c r="T3564" s="22"/>
      <c r="U3564" s="22"/>
      <c r="V3564" s="22"/>
      <c r="W3564" s="22"/>
      <c r="X3564" s="22"/>
    </row>
    <row r="3565" spans="1:24" x14ac:dyDescent="0.25">
      <c r="A3565" s="22" t="s">
        <v>5739</v>
      </c>
      <c r="B3565" s="22">
        <v>0</v>
      </c>
      <c r="C3565" s="22"/>
      <c r="D3565" s="22"/>
      <c r="E3565" s="22"/>
      <c r="F3565" s="22"/>
      <c r="G3565" s="22"/>
      <c r="H3565" s="22"/>
      <c r="I3565" s="22"/>
      <c r="J3565" s="22"/>
      <c r="K3565" s="22"/>
      <c r="L3565" s="22"/>
      <c r="M3565" s="22"/>
      <c r="N3565" s="22"/>
      <c r="O3565" s="22"/>
      <c r="P3565" s="22"/>
      <c r="Q3565" s="22"/>
      <c r="R3565" s="22"/>
      <c r="S3565" s="22"/>
      <c r="T3565" s="22"/>
      <c r="U3565" s="22"/>
      <c r="V3565" s="22"/>
      <c r="W3565" s="22"/>
      <c r="X3565" s="22"/>
    </row>
    <row r="3566" spans="1:24" x14ac:dyDescent="0.25">
      <c r="A3566" s="22" t="s">
        <v>761</v>
      </c>
      <c r="B3566" s="22">
        <v>0</v>
      </c>
      <c r="C3566" s="22"/>
      <c r="D3566" s="22"/>
      <c r="E3566" s="22"/>
      <c r="F3566" s="22"/>
      <c r="G3566" s="22"/>
      <c r="H3566" s="22"/>
      <c r="I3566" s="22"/>
      <c r="J3566" s="22"/>
      <c r="K3566" s="22"/>
      <c r="L3566" s="22"/>
      <c r="M3566" s="22"/>
      <c r="N3566" s="22"/>
      <c r="O3566" s="22"/>
      <c r="P3566" s="22"/>
      <c r="Q3566" s="22"/>
      <c r="R3566" s="22"/>
      <c r="S3566" s="22"/>
      <c r="T3566" s="22"/>
      <c r="U3566" s="22"/>
      <c r="V3566" s="22"/>
      <c r="W3566" s="22"/>
      <c r="X3566" s="22"/>
    </row>
    <row r="3567" spans="1:24" x14ac:dyDescent="0.25">
      <c r="A3567" s="22" t="s">
        <v>5740</v>
      </c>
      <c r="B3567" s="22">
        <v>0</v>
      </c>
      <c r="C3567" s="22"/>
      <c r="D3567" s="22"/>
      <c r="E3567" s="22"/>
      <c r="F3567" s="22"/>
      <c r="G3567" s="22"/>
      <c r="H3567" s="22"/>
      <c r="I3567" s="22"/>
      <c r="J3567" s="22"/>
      <c r="K3567" s="22"/>
      <c r="L3567" s="22"/>
      <c r="M3567" s="22"/>
      <c r="N3567" s="22"/>
      <c r="O3567" s="22"/>
      <c r="P3567" s="22"/>
      <c r="Q3567" s="22"/>
      <c r="R3567" s="22"/>
      <c r="S3567" s="22"/>
      <c r="T3567" s="22"/>
      <c r="U3567" s="22"/>
      <c r="V3567" s="22"/>
      <c r="W3567" s="22"/>
      <c r="X3567" s="22"/>
    </row>
    <row r="3568" spans="1:24" x14ac:dyDescent="0.25">
      <c r="A3568" s="22" t="s">
        <v>5741</v>
      </c>
      <c r="B3568" s="22">
        <v>0</v>
      </c>
      <c r="C3568" s="22"/>
      <c r="D3568" s="22"/>
      <c r="E3568" s="22"/>
      <c r="F3568" s="22"/>
      <c r="G3568" s="22"/>
      <c r="H3568" s="22"/>
      <c r="I3568" s="22"/>
      <c r="J3568" s="22"/>
      <c r="K3568" s="22"/>
      <c r="L3568" s="22"/>
      <c r="M3568" s="22"/>
      <c r="N3568" s="22"/>
      <c r="O3568" s="22"/>
      <c r="P3568" s="22"/>
      <c r="Q3568" s="22"/>
      <c r="R3568" s="22"/>
      <c r="S3568" s="22"/>
      <c r="T3568" s="22"/>
      <c r="U3568" s="22"/>
      <c r="V3568" s="22"/>
      <c r="W3568" s="22"/>
      <c r="X3568" s="22"/>
    </row>
    <row r="3569" spans="1:24" x14ac:dyDescent="0.25">
      <c r="A3569" s="22" t="s">
        <v>5742</v>
      </c>
      <c r="B3569" s="22">
        <v>0</v>
      </c>
      <c r="C3569" s="22"/>
      <c r="D3569" s="22"/>
      <c r="E3569" s="22"/>
      <c r="F3569" s="22"/>
      <c r="G3569" s="22"/>
      <c r="H3569" s="22"/>
      <c r="I3569" s="22"/>
      <c r="J3569" s="22"/>
      <c r="K3569" s="22"/>
      <c r="L3569" s="22"/>
      <c r="M3569" s="22"/>
      <c r="N3569" s="22"/>
      <c r="O3569" s="22"/>
      <c r="P3569" s="22"/>
      <c r="Q3569" s="22"/>
      <c r="R3569" s="22"/>
      <c r="S3569" s="22"/>
      <c r="T3569" s="22"/>
      <c r="U3569" s="22"/>
      <c r="V3569" s="22"/>
      <c r="W3569" s="22"/>
      <c r="X3569" s="22"/>
    </row>
    <row r="3570" spans="1:24" x14ac:dyDescent="0.25">
      <c r="A3570" s="22" t="s">
        <v>5743</v>
      </c>
      <c r="B3570" s="22">
        <v>0</v>
      </c>
      <c r="C3570" s="22"/>
      <c r="D3570" s="22"/>
      <c r="E3570" s="22"/>
      <c r="F3570" s="22"/>
      <c r="G3570" s="22"/>
      <c r="H3570" s="22"/>
      <c r="I3570" s="22"/>
      <c r="J3570" s="22"/>
      <c r="K3570" s="22"/>
      <c r="L3570" s="22"/>
      <c r="M3570" s="22"/>
      <c r="N3570" s="22"/>
      <c r="O3570" s="22"/>
      <c r="P3570" s="22"/>
      <c r="Q3570" s="22"/>
      <c r="R3570" s="22"/>
      <c r="S3570" s="22"/>
      <c r="T3570" s="22"/>
      <c r="U3570" s="22"/>
      <c r="V3570" s="22"/>
      <c r="W3570" s="22"/>
      <c r="X3570" s="22"/>
    </row>
    <row r="3571" spans="1:24" x14ac:dyDescent="0.25">
      <c r="A3571" s="22" t="s">
        <v>5744</v>
      </c>
      <c r="B3571" s="22">
        <v>0</v>
      </c>
      <c r="C3571" s="22"/>
      <c r="D3571" s="22"/>
      <c r="E3571" s="22"/>
      <c r="F3571" s="22"/>
      <c r="G3571" s="22"/>
      <c r="H3571" s="22"/>
      <c r="I3571" s="22"/>
      <c r="J3571" s="22"/>
      <c r="K3571" s="22"/>
      <c r="L3571" s="22"/>
      <c r="M3571" s="22"/>
      <c r="N3571" s="22"/>
      <c r="O3571" s="22"/>
      <c r="P3571" s="22"/>
      <c r="Q3571" s="22"/>
      <c r="R3571" s="22"/>
      <c r="S3571" s="22"/>
      <c r="T3571" s="22"/>
      <c r="U3571" s="22"/>
      <c r="V3571" s="22"/>
      <c r="W3571" s="22"/>
      <c r="X3571" s="22"/>
    </row>
    <row r="3572" spans="1:24" x14ac:dyDescent="0.25">
      <c r="A3572" s="22" t="s">
        <v>5745</v>
      </c>
      <c r="B3572" s="22">
        <v>0</v>
      </c>
      <c r="C3572" s="22"/>
      <c r="D3572" s="22"/>
      <c r="E3572" s="22"/>
      <c r="F3572" s="22"/>
      <c r="G3572" s="22"/>
      <c r="H3572" s="22"/>
      <c r="I3572" s="22"/>
      <c r="J3572" s="22"/>
      <c r="K3572" s="22"/>
      <c r="L3572" s="22"/>
      <c r="M3572" s="22"/>
      <c r="N3572" s="22"/>
      <c r="O3572" s="22"/>
      <c r="P3572" s="22"/>
      <c r="Q3572" s="22"/>
      <c r="R3572" s="22"/>
      <c r="S3572" s="22"/>
      <c r="T3572" s="22"/>
      <c r="U3572" s="22"/>
      <c r="V3572" s="22"/>
      <c r="W3572" s="22"/>
      <c r="X3572" s="22"/>
    </row>
    <row r="3573" spans="1:24" x14ac:dyDescent="0.25">
      <c r="A3573" s="22" t="s">
        <v>5746</v>
      </c>
      <c r="B3573" s="22">
        <v>0</v>
      </c>
      <c r="C3573" s="22"/>
      <c r="D3573" s="22"/>
      <c r="E3573" s="22"/>
      <c r="F3573" s="22"/>
      <c r="G3573" s="22"/>
      <c r="H3573" s="22"/>
      <c r="I3573" s="22"/>
      <c r="J3573" s="22"/>
      <c r="K3573" s="22"/>
      <c r="L3573" s="22"/>
      <c r="M3573" s="22"/>
      <c r="N3573" s="22"/>
      <c r="O3573" s="22"/>
      <c r="P3573" s="22"/>
      <c r="Q3573" s="22"/>
      <c r="R3573" s="22"/>
      <c r="S3573" s="22"/>
      <c r="T3573" s="22"/>
      <c r="U3573" s="22"/>
      <c r="V3573" s="22"/>
      <c r="W3573" s="22"/>
      <c r="X3573" s="22"/>
    </row>
    <row r="3574" spans="1:24" x14ac:dyDescent="0.25">
      <c r="A3574" s="22" t="s">
        <v>1667</v>
      </c>
      <c r="B3574" s="22">
        <v>0</v>
      </c>
      <c r="C3574" s="22"/>
      <c r="D3574" s="22"/>
      <c r="E3574" s="22"/>
      <c r="F3574" s="22"/>
      <c r="G3574" s="22"/>
      <c r="H3574" s="22"/>
      <c r="I3574" s="22"/>
      <c r="J3574" s="22"/>
      <c r="K3574" s="22"/>
      <c r="L3574" s="22"/>
      <c r="M3574" s="22"/>
      <c r="N3574" s="22"/>
      <c r="O3574" s="22"/>
      <c r="P3574" s="22"/>
      <c r="Q3574" s="22"/>
      <c r="R3574" s="22"/>
      <c r="S3574" s="22"/>
      <c r="T3574" s="22"/>
      <c r="U3574" s="22"/>
      <c r="V3574" s="22"/>
      <c r="W3574" s="22"/>
      <c r="X3574" s="22"/>
    </row>
    <row r="3575" spans="1:24" x14ac:dyDescent="0.25">
      <c r="A3575" s="22" t="s">
        <v>5747</v>
      </c>
      <c r="B3575" s="22">
        <v>0</v>
      </c>
      <c r="C3575" s="22"/>
      <c r="D3575" s="22"/>
      <c r="E3575" s="22"/>
      <c r="F3575" s="22"/>
      <c r="G3575" s="22"/>
      <c r="H3575" s="22"/>
      <c r="I3575" s="22"/>
      <c r="J3575" s="22"/>
      <c r="K3575" s="22"/>
      <c r="L3575" s="22"/>
      <c r="M3575" s="22"/>
      <c r="N3575" s="22"/>
      <c r="O3575" s="22"/>
      <c r="P3575" s="22"/>
      <c r="Q3575" s="22"/>
      <c r="R3575" s="22"/>
      <c r="S3575" s="22"/>
      <c r="T3575" s="22"/>
      <c r="U3575" s="22"/>
      <c r="V3575" s="22"/>
      <c r="W3575" s="22"/>
      <c r="X3575" s="22"/>
    </row>
    <row r="3576" spans="1:24" x14ac:dyDescent="0.25">
      <c r="A3576" s="22" t="s">
        <v>5748</v>
      </c>
      <c r="B3576" s="22">
        <v>0</v>
      </c>
      <c r="C3576" s="22"/>
      <c r="D3576" s="22"/>
      <c r="E3576" s="22"/>
      <c r="F3576" s="22"/>
      <c r="G3576" s="22"/>
      <c r="H3576" s="22"/>
      <c r="I3576" s="22"/>
      <c r="J3576" s="22"/>
      <c r="K3576" s="22"/>
      <c r="L3576" s="22"/>
      <c r="M3576" s="22"/>
      <c r="N3576" s="22"/>
      <c r="O3576" s="22"/>
      <c r="P3576" s="22"/>
      <c r="Q3576" s="22"/>
      <c r="R3576" s="22"/>
      <c r="S3576" s="22"/>
      <c r="T3576" s="22"/>
      <c r="U3576" s="22"/>
      <c r="V3576" s="22"/>
      <c r="W3576" s="22"/>
      <c r="X3576" s="22"/>
    </row>
    <row r="3577" spans="1:24" x14ac:dyDescent="0.25">
      <c r="A3577" s="22" t="s">
        <v>5749</v>
      </c>
      <c r="B3577" s="22">
        <v>0</v>
      </c>
      <c r="C3577" s="22"/>
      <c r="D3577" s="22"/>
      <c r="E3577" s="22"/>
      <c r="F3577" s="22"/>
      <c r="G3577" s="22"/>
      <c r="H3577" s="22"/>
      <c r="I3577" s="22"/>
      <c r="J3577" s="22"/>
      <c r="K3577" s="22"/>
      <c r="L3577" s="22"/>
      <c r="M3577" s="22"/>
      <c r="N3577" s="22"/>
      <c r="O3577" s="22"/>
      <c r="P3577" s="22"/>
      <c r="Q3577" s="22"/>
      <c r="R3577" s="22"/>
      <c r="S3577" s="22"/>
      <c r="T3577" s="22"/>
      <c r="U3577" s="22"/>
      <c r="V3577" s="22"/>
      <c r="W3577" s="22"/>
      <c r="X3577" s="22"/>
    </row>
    <row r="3578" spans="1:24" x14ac:dyDescent="0.25">
      <c r="A3578" s="22" t="s">
        <v>5750</v>
      </c>
      <c r="B3578" s="22">
        <v>0</v>
      </c>
      <c r="C3578" s="22"/>
      <c r="D3578" s="22"/>
      <c r="E3578" s="22"/>
      <c r="F3578" s="22"/>
      <c r="G3578" s="22"/>
      <c r="H3578" s="22"/>
      <c r="I3578" s="22"/>
      <c r="J3578" s="22"/>
      <c r="K3578" s="22"/>
      <c r="L3578" s="22"/>
      <c r="M3578" s="22"/>
      <c r="N3578" s="22"/>
      <c r="O3578" s="22"/>
      <c r="P3578" s="22"/>
      <c r="Q3578" s="22"/>
      <c r="R3578" s="22"/>
      <c r="S3578" s="22"/>
      <c r="T3578" s="22"/>
      <c r="U3578" s="22"/>
      <c r="V3578" s="22"/>
      <c r="W3578" s="22"/>
      <c r="X3578" s="22"/>
    </row>
    <row r="3579" spans="1:24" x14ac:dyDescent="0.25">
      <c r="A3579" s="22" t="s">
        <v>5751</v>
      </c>
      <c r="B3579" s="22">
        <v>0</v>
      </c>
      <c r="C3579" s="22"/>
      <c r="D3579" s="22"/>
      <c r="E3579" s="22"/>
      <c r="F3579" s="22"/>
      <c r="G3579" s="22"/>
      <c r="H3579" s="22"/>
      <c r="I3579" s="22"/>
      <c r="J3579" s="22"/>
      <c r="K3579" s="22"/>
      <c r="L3579" s="22"/>
      <c r="M3579" s="22"/>
      <c r="N3579" s="22"/>
      <c r="O3579" s="22"/>
      <c r="P3579" s="22"/>
      <c r="Q3579" s="22"/>
      <c r="R3579" s="22"/>
      <c r="S3579" s="22"/>
      <c r="T3579" s="22"/>
      <c r="U3579" s="22"/>
      <c r="V3579" s="22"/>
      <c r="W3579" s="22"/>
      <c r="X3579" s="22"/>
    </row>
    <row r="3580" spans="1:24" x14ac:dyDescent="0.25">
      <c r="A3580" s="22" t="s">
        <v>5752</v>
      </c>
      <c r="B3580" s="22">
        <v>0</v>
      </c>
      <c r="C3580" s="22"/>
      <c r="D3580" s="22"/>
      <c r="E3580" s="22"/>
      <c r="F3580" s="22"/>
      <c r="G3580" s="22"/>
      <c r="H3580" s="22"/>
      <c r="I3580" s="22"/>
      <c r="J3580" s="22"/>
      <c r="K3580" s="22"/>
      <c r="L3580" s="22"/>
      <c r="M3580" s="22"/>
      <c r="N3580" s="22"/>
      <c r="O3580" s="22"/>
      <c r="P3580" s="22"/>
      <c r="Q3580" s="22"/>
      <c r="R3580" s="22"/>
      <c r="S3580" s="22"/>
      <c r="T3580" s="22"/>
      <c r="U3580" s="22"/>
      <c r="V3580" s="22"/>
      <c r="W3580" s="22"/>
      <c r="X3580" s="22"/>
    </row>
    <row r="3581" spans="1:24" x14ac:dyDescent="0.25">
      <c r="A3581" s="22" t="s">
        <v>5753</v>
      </c>
      <c r="B3581" s="22">
        <v>0</v>
      </c>
      <c r="C3581" s="22"/>
      <c r="D3581" s="22"/>
      <c r="E3581" s="22"/>
      <c r="F3581" s="22"/>
      <c r="G3581" s="22"/>
      <c r="H3581" s="22"/>
      <c r="I3581" s="22"/>
      <c r="J3581" s="22"/>
      <c r="K3581" s="22"/>
      <c r="L3581" s="22"/>
      <c r="M3581" s="22"/>
      <c r="N3581" s="22"/>
      <c r="O3581" s="22"/>
      <c r="P3581" s="22"/>
      <c r="Q3581" s="22"/>
      <c r="R3581" s="22"/>
      <c r="S3581" s="22"/>
      <c r="T3581" s="22"/>
      <c r="U3581" s="22"/>
      <c r="V3581" s="22"/>
      <c r="W3581" s="22"/>
      <c r="X3581" s="22"/>
    </row>
    <row r="3582" spans="1:24" x14ac:dyDescent="0.25">
      <c r="A3582" s="22" t="s">
        <v>769</v>
      </c>
      <c r="B3582" s="22">
        <v>151</v>
      </c>
      <c r="C3582" s="22"/>
      <c r="D3582" s="22"/>
      <c r="E3582" s="22"/>
      <c r="F3582" s="22"/>
      <c r="G3582" s="22"/>
      <c r="H3582" s="22"/>
      <c r="I3582" s="22"/>
      <c r="J3582" s="22"/>
      <c r="K3582" s="22"/>
      <c r="L3582" s="22"/>
      <c r="M3582" s="22"/>
      <c r="N3582" s="22"/>
      <c r="O3582" s="22"/>
      <c r="P3582" s="22"/>
      <c r="Q3582" s="22"/>
      <c r="R3582" s="22"/>
      <c r="S3582" s="22"/>
      <c r="T3582" s="22"/>
      <c r="U3582" s="22"/>
      <c r="V3582" s="22"/>
      <c r="W3582" s="22"/>
      <c r="X3582" s="22"/>
    </row>
    <row r="3583" spans="1:24" x14ac:dyDescent="0.25">
      <c r="A3583" s="22" t="s">
        <v>5754</v>
      </c>
      <c r="B3583" s="22">
        <v>11</v>
      </c>
      <c r="C3583" s="22"/>
      <c r="D3583" s="22"/>
      <c r="E3583" s="22"/>
      <c r="F3583" s="22"/>
      <c r="G3583" s="22"/>
      <c r="H3583" s="22"/>
      <c r="I3583" s="22"/>
      <c r="J3583" s="22"/>
      <c r="K3583" s="22"/>
      <c r="L3583" s="22"/>
      <c r="M3583" s="22"/>
      <c r="N3583" s="22"/>
      <c r="O3583" s="22"/>
      <c r="P3583" s="22"/>
      <c r="Q3583" s="22"/>
      <c r="R3583" s="22"/>
      <c r="S3583" s="22"/>
      <c r="T3583" s="22"/>
      <c r="U3583" s="22"/>
      <c r="V3583" s="22"/>
      <c r="W3583" s="22"/>
      <c r="X3583" s="22"/>
    </row>
    <row r="3584" spans="1:24" x14ac:dyDescent="0.25">
      <c r="A3584" s="22" t="s">
        <v>5755</v>
      </c>
      <c r="B3584" s="22">
        <v>0</v>
      </c>
      <c r="C3584" s="22"/>
      <c r="D3584" s="22"/>
      <c r="E3584" s="22"/>
      <c r="F3584" s="22"/>
      <c r="G3584" s="22"/>
      <c r="H3584" s="22"/>
      <c r="I3584" s="22"/>
      <c r="J3584" s="22"/>
      <c r="K3584" s="22"/>
      <c r="L3584" s="22"/>
      <c r="M3584" s="22"/>
      <c r="N3584" s="22"/>
      <c r="O3584" s="22"/>
      <c r="P3584" s="22"/>
      <c r="Q3584" s="22"/>
      <c r="R3584" s="22"/>
      <c r="S3584" s="22"/>
      <c r="T3584" s="22"/>
      <c r="U3584" s="22"/>
      <c r="V3584" s="22"/>
      <c r="W3584" s="22"/>
      <c r="X3584" s="22"/>
    </row>
    <row r="3585" spans="1:24" x14ac:dyDescent="0.25">
      <c r="A3585" s="22" t="s">
        <v>5756</v>
      </c>
      <c r="B3585" s="22">
        <v>93</v>
      </c>
      <c r="C3585" s="22"/>
      <c r="D3585" s="22"/>
      <c r="E3585" s="22"/>
      <c r="F3585" s="22"/>
      <c r="G3585" s="22"/>
      <c r="H3585" s="22"/>
      <c r="I3585" s="22"/>
      <c r="J3585" s="22"/>
      <c r="K3585" s="22"/>
      <c r="L3585" s="22"/>
      <c r="M3585" s="22"/>
      <c r="N3585" s="22"/>
      <c r="O3585" s="22"/>
      <c r="P3585" s="22"/>
      <c r="Q3585" s="22"/>
      <c r="R3585" s="22"/>
      <c r="S3585" s="22"/>
      <c r="T3585" s="22"/>
      <c r="U3585" s="22"/>
      <c r="V3585" s="22"/>
      <c r="W3585" s="22"/>
      <c r="X3585" s="22"/>
    </row>
    <row r="3586" spans="1:24" x14ac:dyDescent="0.25">
      <c r="A3586" s="22" t="s">
        <v>5757</v>
      </c>
      <c r="B3586" s="22">
        <v>27</v>
      </c>
      <c r="C3586" s="22"/>
      <c r="D3586" s="22"/>
      <c r="E3586" s="22"/>
      <c r="F3586" s="22"/>
      <c r="G3586" s="22"/>
      <c r="H3586" s="22"/>
      <c r="I3586" s="22"/>
      <c r="J3586" s="22"/>
      <c r="K3586" s="22"/>
      <c r="L3586" s="22"/>
      <c r="M3586" s="22"/>
      <c r="N3586" s="22"/>
      <c r="O3586" s="22"/>
      <c r="P3586" s="22"/>
      <c r="Q3586" s="22"/>
      <c r="R3586" s="22"/>
      <c r="S3586" s="22"/>
      <c r="T3586" s="22"/>
      <c r="U3586" s="22"/>
      <c r="V3586" s="22"/>
      <c r="W3586" s="22"/>
      <c r="X3586" s="22"/>
    </row>
    <row r="3587" spans="1:24" x14ac:dyDescent="0.25">
      <c r="A3587" s="22" t="s">
        <v>5758</v>
      </c>
      <c r="B3587" s="22">
        <v>0</v>
      </c>
      <c r="C3587" s="22"/>
      <c r="D3587" s="22"/>
      <c r="E3587" s="22"/>
      <c r="F3587" s="22"/>
      <c r="G3587" s="22"/>
      <c r="H3587" s="22"/>
      <c r="I3587" s="22"/>
      <c r="J3587" s="22"/>
      <c r="K3587" s="22"/>
      <c r="L3587" s="22"/>
      <c r="M3587" s="22"/>
      <c r="N3587" s="22"/>
      <c r="O3587" s="22"/>
      <c r="P3587" s="22"/>
      <c r="Q3587" s="22"/>
      <c r="R3587" s="22"/>
      <c r="S3587" s="22"/>
      <c r="T3587" s="22"/>
      <c r="U3587" s="22"/>
      <c r="V3587" s="22"/>
      <c r="W3587" s="22"/>
      <c r="X3587" s="22"/>
    </row>
    <row r="3588" spans="1:24" x14ac:dyDescent="0.25">
      <c r="A3588" s="22" t="s">
        <v>5759</v>
      </c>
      <c r="B3588" s="22">
        <v>0</v>
      </c>
      <c r="C3588" s="22"/>
      <c r="D3588" s="22"/>
      <c r="E3588" s="22"/>
      <c r="F3588" s="22"/>
      <c r="G3588" s="22"/>
      <c r="H3588" s="22"/>
      <c r="I3588" s="22"/>
      <c r="J3588" s="22"/>
      <c r="K3588" s="22"/>
      <c r="L3588" s="22"/>
      <c r="M3588" s="22"/>
      <c r="N3588" s="22"/>
      <c r="O3588" s="22"/>
      <c r="P3588" s="22"/>
      <c r="Q3588" s="22"/>
      <c r="R3588" s="22"/>
      <c r="S3588" s="22"/>
      <c r="T3588" s="22"/>
      <c r="U3588" s="22"/>
      <c r="V3588" s="22"/>
      <c r="W3588" s="22"/>
      <c r="X3588" s="22"/>
    </row>
    <row r="3589" spans="1:24" x14ac:dyDescent="0.25">
      <c r="A3589" s="22" t="s">
        <v>5760</v>
      </c>
      <c r="B3589" s="22">
        <v>0</v>
      </c>
      <c r="C3589" s="22"/>
      <c r="D3589" s="22"/>
      <c r="E3589" s="22"/>
      <c r="F3589" s="22"/>
      <c r="G3589" s="22"/>
      <c r="H3589" s="22"/>
      <c r="I3589" s="22"/>
      <c r="J3589" s="22"/>
      <c r="K3589" s="22"/>
      <c r="L3589" s="22"/>
      <c r="M3589" s="22"/>
      <c r="N3589" s="22"/>
      <c r="O3589" s="22"/>
      <c r="P3589" s="22"/>
      <c r="Q3589" s="22"/>
      <c r="R3589" s="22"/>
      <c r="S3589" s="22"/>
      <c r="T3589" s="22"/>
      <c r="U3589" s="22"/>
      <c r="V3589" s="22"/>
      <c r="W3589" s="22"/>
      <c r="X3589" s="22"/>
    </row>
    <row r="3590" spans="1:24" x14ac:dyDescent="0.25">
      <c r="A3590" s="22"/>
      <c r="B3590" s="22"/>
      <c r="C3590" s="22"/>
      <c r="D3590" s="22"/>
      <c r="E3590" s="22"/>
      <c r="F3590" s="22"/>
      <c r="G3590" s="22"/>
      <c r="H3590" s="22"/>
      <c r="I3590" s="22"/>
      <c r="J3590" s="22"/>
      <c r="K3590" s="22"/>
      <c r="L3590" s="22"/>
      <c r="M3590" s="22"/>
      <c r="N3590" s="22"/>
      <c r="O3590" s="22"/>
      <c r="P3590" s="22"/>
      <c r="Q3590" s="22"/>
      <c r="R3590" s="22"/>
      <c r="S3590" s="22"/>
      <c r="T3590" s="22"/>
      <c r="U3590" s="22"/>
      <c r="V3590" s="22"/>
      <c r="W3590" s="22"/>
      <c r="X3590" s="22"/>
    </row>
    <row r="3591" spans="1:24" x14ac:dyDescent="0.25">
      <c r="A3591" s="22"/>
      <c r="B3591" s="22"/>
      <c r="C3591" s="22"/>
      <c r="D3591" s="22"/>
      <c r="E3591" s="22"/>
      <c r="F3591" s="22"/>
      <c r="G3591" s="22"/>
      <c r="H3591" s="22"/>
      <c r="I3591" s="22"/>
      <c r="J3591" s="22"/>
      <c r="K3591" s="22"/>
      <c r="L3591" s="22"/>
      <c r="M3591" s="22"/>
      <c r="N3591" s="22"/>
      <c r="O3591" s="22"/>
      <c r="P3591" s="22"/>
      <c r="Q3591" s="22"/>
      <c r="R3591" s="22"/>
      <c r="S3591" s="22"/>
      <c r="T3591" s="22"/>
      <c r="U3591" s="22"/>
      <c r="V3591" s="22"/>
      <c r="W3591" s="22"/>
      <c r="X3591" s="22"/>
    </row>
    <row r="3592" spans="1:24" x14ac:dyDescent="0.25">
      <c r="A3592" s="22"/>
      <c r="B3592" s="22"/>
      <c r="C3592" s="22"/>
      <c r="D3592" s="22"/>
      <c r="E3592" s="22"/>
      <c r="F3592" s="22"/>
      <c r="G3592" s="22"/>
      <c r="H3592" s="22"/>
      <c r="I3592" s="22"/>
      <c r="J3592" s="22"/>
      <c r="K3592" s="22"/>
      <c r="L3592" s="22"/>
      <c r="M3592" s="22"/>
      <c r="N3592" s="22"/>
      <c r="O3592" s="22"/>
      <c r="P3592" s="22"/>
      <c r="Q3592" s="22"/>
      <c r="R3592" s="22"/>
      <c r="S3592" s="22"/>
      <c r="T3592" s="22"/>
      <c r="U3592" s="22"/>
      <c r="V3592" s="22"/>
      <c r="W3592" s="22"/>
      <c r="X3592" s="22"/>
    </row>
    <row r="3593" spans="1:24" x14ac:dyDescent="0.25">
      <c r="A3593" s="22"/>
      <c r="B3593" s="22"/>
      <c r="C3593" s="22"/>
      <c r="D3593" s="22"/>
      <c r="E3593" s="22"/>
      <c r="F3593" s="22"/>
      <c r="G3593" s="22"/>
      <c r="H3593" s="22"/>
      <c r="I3593" s="22"/>
      <c r="J3593" s="22"/>
      <c r="K3593" s="22"/>
      <c r="L3593" s="22"/>
      <c r="M3593" s="22"/>
      <c r="N3593" s="22"/>
      <c r="O3593" s="22"/>
      <c r="P3593" s="22"/>
      <c r="Q3593" s="22"/>
      <c r="R3593" s="22"/>
      <c r="S3593" s="22"/>
      <c r="T3593" s="22"/>
      <c r="U3593" s="22"/>
      <c r="V3593" s="22"/>
      <c r="W3593" s="22"/>
      <c r="X3593" s="22"/>
    </row>
    <row r="3594" spans="1:24" x14ac:dyDescent="0.25">
      <c r="A3594" s="22"/>
      <c r="B3594" s="22"/>
      <c r="C3594" s="22"/>
      <c r="D3594" s="22"/>
      <c r="E3594" s="22"/>
      <c r="F3594" s="22"/>
      <c r="G3594" s="22"/>
      <c r="H3594" s="22"/>
      <c r="I3594" s="22"/>
      <c r="J3594" s="22"/>
      <c r="K3594" s="22"/>
      <c r="L3594" s="22"/>
      <c r="M3594" s="22"/>
      <c r="N3594" s="22"/>
      <c r="O3594" s="22"/>
      <c r="P3594" s="22"/>
      <c r="Q3594" s="22"/>
      <c r="R3594" s="22"/>
      <c r="S3594" s="22"/>
      <c r="T3594" s="22"/>
      <c r="U3594" s="22"/>
      <c r="V3594" s="22"/>
      <c r="W3594" s="22"/>
      <c r="X3594" s="22"/>
    </row>
    <row r="3595" spans="1:24" x14ac:dyDescent="0.25">
      <c r="A3595" s="22"/>
      <c r="B3595" s="22"/>
      <c r="C3595" s="22"/>
      <c r="D3595" s="22"/>
      <c r="E3595" s="22"/>
      <c r="F3595" s="22"/>
      <c r="G3595" s="22"/>
      <c r="H3595" s="22"/>
      <c r="I3595" s="22"/>
      <c r="J3595" s="22"/>
      <c r="K3595" s="22"/>
      <c r="L3595" s="22"/>
      <c r="M3595" s="22"/>
      <c r="N3595" s="22"/>
      <c r="O3595" s="22"/>
      <c r="P3595" s="22"/>
      <c r="Q3595" s="22"/>
      <c r="R3595" s="22"/>
      <c r="S3595" s="22"/>
      <c r="T3595" s="22"/>
      <c r="U3595" s="22"/>
      <c r="V3595" s="22"/>
      <c r="W3595" s="22"/>
      <c r="X3595" s="22"/>
    </row>
    <row r="3596" spans="1:24" x14ac:dyDescent="0.25">
      <c r="A3596" s="22"/>
      <c r="B3596" s="22"/>
      <c r="C3596" s="22"/>
      <c r="D3596" s="22"/>
      <c r="E3596" s="22"/>
      <c r="F3596" s="22"/>
      <c r="G3596" s="22"/>
      <c r="H3596" s="22"/>
      <c r="I3596" s="22"/>
      <c r="J3596" s="22"/>
      <c r="K3596" s="22"/>
      <c r="L3596" s="22"/>
      <c r="M3596" s="22"/>
      <c r="N3596" s="22"/>
      <c r="O3596" s="22"/>
      <c r="P3596" s="22"/>
      <c r="Q3596" s="22"/>
      <c r="R3596" s="22"/>
      <c r="S3596" s="22"/>
      <c r="T3596" s="22"/>
      <c r="U3596" s="22"/>
      <c r="V3596" s="22"/>
      <c r="W3596" s="22"/>
      <c r="X3596" s="22"/>
    </row>
    <row r="3597" spans="1:24" x14ac:dyDescent="0.25">
      <c r="A3597" s="22"/>
      <c r="B3597" s="22"/>
      <c r="C3597" s="22"/>
      <c r="D3597" s="22"/>
      <c r="E3597" s="22"/>
      <c r="F3597" s="22"/>
      <c r="G3597" s="22"/>
      <c r="H3597" s="22"/>
      <c r="I3597" s="22"/>
      <c r="J3597" s="22"/>
      <c r="K3597" s="22"/>
      <c r="L3597" s="22"/>
      <c r="M3597" s="22"/>
      <c r="N3597" s="22"/>
      <c r="O3597" s="22"/>
      <c r="P3597" s="22"/>
      <c r="Q3597" s="22"/>
      <c r="R3597" s="22"/>
      <c r="S3597" s="22"/>
      <c r="T3597" s="22"/>
      <c r="U3597" s="22"/>
      <c r="V3597" s="22"/>
      <c r="W3597" s="22"/>
      <c r="X3597" s="22"/>
    </row>
    <row r="3598" spans="1:24" x14ac:dyDescent="0.25">
      <c r="A3598" s="22"/>
      <c r="B3598" s="22"/>
      <c r="C3598" s="22"/>
      <c r="D3598" s="22"/>
      <c r="E3598" s="22"/>
      <c r="F3598" s="22"/>
      <c r="G3598" s="22"/>
      <c r="H3598" s="22"/>
      <c r="I3598" s="22"/>
      <c r="J3598" s="22"/>
      <c r="K3598" s="22"/>
      <c r="L3598" s="22"/>
      <c r="M3598" s="22"/>
      <c r="N3598" s="22"/>
      <c r="O3598" s="22"/>
      <c r="P3598" s="22"/>
      <c r="Q3598" s="22"/>
      <c r="R3598" s="22"/>
      <c r="S3598" s="22"/>
      <c r="T3598" s="22"/>
      <c r="U3598" s="22"/>
      <c r="V3598" s="22"/>
      <c r="W3598" s="22"/>
      <c r="X3598" s="22"/>
    </row>
    <row r="3599" spans="1:24" x14ac:dyDescent="0.25">
      <c r="A3599" s="22"/>
      <c r="B3599" s="22"/>
      <c r="C3599" s="22"/>
      <c r="D3599" s="22"/>
      <c r="E3599" s="22"/>
      <c r="F3599" s="22"/>
      <c r="G3599" s="22"/>
      <c r="H3599" s="22"/>
      <c r="I3599" s="22"/>
      <c r="J3599" s="22"/>
      <c r="K3599" s="22"/>
      <c r="L3599" s="22"/>
      <c r="M3599" s="22"/>
      <c r="N3599" s="22"/>
      <c r="O3599" s="22"/>
      <c r="P3599" s="22"/>
      <c r="Q3599" s="22"/>
      <c r="R3599" s="22"/>
      <c r="S3599" s="22"/>
      <c r="T3599" s="22"/>
      <c r="U3599" s="22"/>
      <c r="V3599" s="22"/>
      <c r="W3599" s="22"/>
      <c r="X3599" s="22"/>
    </row>
    <row r="3600" spans="1:24" x14ac:dyDescent="0.25">
      <c r="A3600" s="22"/>
      <c r="B3600" s="22"/>
      <c r="C3600" s="22"/>
      <c r="D3600" s="22"/>
      <c r="E3600" s="22"/>
      <c r="F3600" s="22"/>
      <c r="G3600" s="22"/>
      <c r="H3600" s="22"/>
      <c r="I3600" s="22"/>
      <c r="J3600" s="22"/>
      <c r="K3600" s="22"/>
      <c r="L3600" s="22"/>
      <c r="M3600" s="22"/>
      <c r="N3600" s="22"/>
      <c r="O3600" s="22"/>
      <c r="P3600" s="22"/>
      <c r="Q3600" s="22"/>
      <c r="R3600" s="22"/>
      <c r="S3600" s="22"/>
      <c r="T3600" s="22"/>
      <c r="U3600" s="22"/>
      <c r="V3600" s="22"/>
      <c r="W3600" s="22"/>
      <c r="X3600" s="22"/>
    </row>
    <row r="3601" spans="1:24" x14ac:dyDescent="0.25">
      <c r="A3601" s="22"/>
      <c r="B3601" s="22"/>
      <c r="C3601" s="22"/>
      <c r="D3601" s="22"/>
      <c r="E3601" s="22"/>
      <c r="F3601" s="22"/>
      <c r="G3601" s="22"/>
      <c r="H3601" s="22"/>
      <c r="I3601" s="22"/>
      <c r="J3601" s="22"/>
      <c r="K3601" s="22"/>
      <c r="L3601" s="22"/>
      <c r="M3601" s="22"/>
      <c r="N3601" s="22"/>
      <c r="O3601" s="22"/>
      <c r="P3601" s="22"/>
      <c r="Q3601" s="22"/>
      <c r="R3601" s="22"/>
      <c r="S3601" s="22"/>
      <c r="T3601" s="22"/>
      <c r="U3601" s="22"/>
      <c r="V3601" s="22"/>
      <c r="W3601" s="22"/>
      <c r="X3601" s="22"/>
    </row>
    <row r="3602" spans="1:24" x14ac:dyDescent="0.25">
      <c r="A3602" s="22"/>
      <c r="B3602" s="22"/>
      <c r="C3602" s="22"/>
      <c r="D3602" s="22"/>
      <c r="E3602" s="22"/>
      <c r="F3602" s="22"/>
      <c r="G3602" s="22"/>
      <c r="H3602" s="22"/>
      <c r="I3602" s="22"/>
      <c r="J3602" s="22"/>
      <c r="K3602" s="22"/>
      <c r="L3602" s="22"/>
      <c r="M3602" s="22"/>
      <c r="N3602" s="22"/>
      <c r="O3602" s="22"/>
      <c r="P3602" s="22"/>
      <c r="Q3602" s="22"/>
      <c r="R3602" s="22"/>
      <c r="S3602" s="22"/>
      <c r="T3602" s="22"/>
      <c r="U3602" s="22"/>
      <c r="V3602" s="22"/>
      <c r="W3602" s="22"/>
      <c r="X3602" s="22"/>
    </row>
    <row r="3603" spans="1:24" x14ac:dyDescent="0.25">
      <c r="A3603" s="22"/>
      <c r="B3603" s="22"/>
      <c r="C3603" s="22"/>
      <c r="D3603" s="22"/>
      <c r="E3603" s="22"/>
      <c r="F3603" s="22"/>
      <c r="G3603" s="22"/>
      <c r="H3603" s="22"/>
      <c r="I3603" s="22"/>
      <c r="J3603" s="22"/>
      <c r="K3603" s="22"/>
      <c r="L3603" s="22"/>
      <c r="M3603" s="22"/>
      <c r="N3603" s="22"/>
      <c r="O3603" s="22"/>
      <c r="P3603" s="22"/>
      <c r="Q3603" s="22"/>
      <c r="R3603" s="22"/>
      <c r="S3603" s="22"/>
      <c r="T3603" s="22"/>
      <c r="U3603" s="22"/>
      <c r="V3603" s="22"/>
      <c r="W3603" s="22"/>
      <c r="X3603" s="22"/>
    </row>
    <row r="3604" spans="1:24" x14ac:dyDescent="0.25">
      <c r="A3604" s="22"/>
      <c r="B3604" s="22"/>
      <c r="C3604" s="22"/>
      <c r="D3604" s="22"/>
      <c r="E3604" s="22"/>
      <c r="F3604" s="22"/>
      <c r="G3604" s="22"/>
      <c r="H3604" s="22"/>
      <c r="I3604" s="22"/>
      <c r="J3604" s="22"/>
      <c r="K3604" s="22"/>
      <c r="L3604" s="22"/>
      <c r="M3604" s="22"/>
      <c r="N3604" s="22"/>
      <c r="O3604" s="22"/>
      <c r="P3604" s="22"/>
      <c r="Q3604" s="22"/>
      <c r="R3604" s="22"/>
      <c r="S3604" s="22"/>
      <c r="T3604" s="22"/>
      <c r="U3604" s="22"/>
      <c r="V3604" s="22"/>
      <c r="W3604" s="22"/>
      <c r="X3604" s="22"/>
    </row>
    <row r="3605" spans="1:24" x14ac:dyDescent="0.25">
      <c r="A3605" s="22"/>
      <c r="B3605" s="22"/>
      <c r="C3605" s="22"/>
      <c r="D3605" s="22"/>
      <c r="E3605" s="22"/>
      <c r="F3605" s="22"/>
      <c r="G3605" s="22"/>
      <c r="H3605" s="22"/>
      <c r="I3605" s="22"/>
      <c r="J3605" s="22"/>
      <c r="K3605" s="22"/>
      <c r="L3605" s="22"/>
      <c r="M3605" s="22"/>
      <c r="N3605" s="22"/>
      <c r="O3605" s="22"/>
      <c r="P3605" s="22"/>
      <c r="Q3605" s="22"/>
      <c r="R3605" s="22"/>
      <c r="S3605" s="22"/>
      <c r="T3605" s="22"/>
      <c r="U3605" s="22"/>
      <c r="V3605" s="22"/>
      <c r="W3605" s="22"/>
      <c r="X3605" s="22"/>
    </row>
    <row r="3606" spans="1:24" x14ac:dyDescent="0.25">
      <c r="A3606" s="22"/>
      <c r="B3606" s="22"/>
      <c r="C3606" s="22"/>
      <c r="D3606" s="22"/>
      <c r="E3606" s="22"/>
      <c r="F3606" s="22"/>
      <c r="G3606" s="22"/>
      <c r="H3606" s="22"/>
      <c r="I3606" s="22"/>
      <c r="J3606" s="22"/>
      <c r="K3606" s="22"/>
      <c r="L3606" s="22"/>
      <c r="M3606" s="22"/>
      <c r="N3606" s="22"/>
      <c r="O3606" s="22"/>
      <c r="P3606" s="22"/>
      <c r="Q3606" s="22"/>
      <c r="R3606" s="22"/>
      <c r="S3606" s="22"/>
      <c r="T3606" s="22"/>
      <c r="U3606" s="22"/>
      <c r="V3606" s="22"/>
      <c r="W3606" s="22"/>
      <c r="X3606" s="22"/>
    </row>
    <row r="3607" spans="1:24" x14ac:dyDescent="0.25">
      <c r="A3607" s="22"/>
      <c r="B3607" s="22"/>
      <c r="C3607" s="22"/>
      <c r="D3607" s="22"/>
      <c r="E3607" s="22"/>
      <c r="F3607" s="22"/>
      <c r="G3607" s="22"/>
      <c r="H3607" s="22"/>
      <c r="I3607" s="22"/>
      <c r="J3607" s="22"/>
      <c r="K3607" s="22"/>
      <c r="L3607" s="22"/>
      <c r="M3607" s="22"/>
      <c r="N3607" s="22"/>
      <c r="O3607" s="22"/>
      <c r="P3607" s="22"/>
      <c r="Q3607" s="22"/>
      <c r="R3607" s="22"/>
      <c r="S3607" s="22"/>
      <c r="T3607" s="22"/>
      <c r="U3607" s="22"/>
      <c r="V3607" s="22"/>
      <c r="W3607" s="22"/>
      <c r="X3607" s="22"/>
    </row>
    <row r="3608" spans="1:24" x14ac:dyDescent="0.25">
      <c r="A3608" s="22"/>
      <c r="B3608" s="22"/>
      <c r="C3608" s="22"/>
      <c r="D3608" s="22"/>
      <c r="E3608" s="22"/>
      <c r="F3608" s="22"/>
      <c r="G3608" s="22"/>
      <c r="H3608" s="22"/>
      <c r="I3608" s="22"/>
      <c r="J3608" s="22"/>
      <c r="K3608" s="22"/>
      <c r="L3608" s="22"/>
      <c r="M3608" s="22"/>
      <c r="N3608" s="22"/>
      <c r="O3608" s="22"/>
      <c r="P3608" s="22"/>
      <c r="Q3608" s="22"/>
      <c r="R3608" s="22"/>
      <c r="S3608" s="22"/>
      <c r="T3608" s="22"/>
      <c r="U3608" s="22"/>
      <c r="V3608" s="22"/>
      <c r="W3608" s="22"/>
      <c r="X3608" s="22"/>
    </row>
    <row r="3609" spans="1:24" x14ac:dyDescent="0.25">
      <c r="A3609" s="22"/>
      <c r="B3609" s="22"/>
      <c r="C3609" s="22"/>
      <c r="D3609" s="22"/>
      <c r="E3609" s="22"/>
      <c r="F3609" s="22"/>
      <c r="G3609" s="22"/>
      <c r="H3609" s="22"/>
      <c r="I3609" s="22"/>
      <c r="J3609" s="22"/>
      <c r="K3609" s="22"/>
      <c r="L3609" s="22"/>
      <c r="M3609" s="22"/>
      <c r="N3609" s="22"/>
      <c r="O3609" s="22"/>
      <c r="P3609" s="22"/>
      <c r="Q3609" s="22"/>
      <c r="R3609" s="22"/>
      <c r="S3609" s="22"/>
      <c r="T3609" s="22"/>
      <c r="U3609" s="22"/>
      <c r="V3609" s="22"/>
      <c r="W3609" s="22"/>
      <c r="X3609" s="22"/>
    </row>
    <row r="3610" spans="1:24" x14ac:dyDescent="0.25">
      <c r="A3610" s="22"/>
      <c r="B3610" s="22"/>
      <c r="C3610" s="22"/>
      <c r="D3610" s="22"/>
      <c r="E3610" s="22"/>
      <c r="F3610" s="22"/>
      <c r="G3610" s="22"/>
      <c r="H3610" s="22"/>
      <c r="I3610" s="22"/>
      <c r="J3610" s="22"/>
      <c r="K3610" s="22"/>
      <c r="L3610" s="22"/>
      <c r="M3610" s="22"/>
      <c r="N3610" s="22"/>
      <c r="O3610" s="22"/>
      <c r="P3610" s="22"/>
      <c r="Q3610" s="22"/>
      <c r="R3610" s="22"/>
      <c r="S3610" s="22"/>
      <c r="T3610" s="22"/>
      <c r="U3610" s="22"/>
      <c r="V3610" s="22"/>
      <c r="W3610" s="22"/>
      <c r="X3610" s="22"/>
    </row>
    <row r="3611" spans="1:24" x14ac:dyDescent="0.25">
      <c r="A3611" s="22"/>
      <c r="B3611" s="22"/>
      <c r="C3611" s="22"/>
      <c r="D3611" s="22"/>
      <c r="E3611" s="22"/>
      <c r="F3611" s="22"/>
      <c r="G3611" s="22"/>
      <c r="H3611" s="22"/>
      <c r="I3611" s="22"/>
      <c r="J3611" s="22"/>
      <c r="K3611" s="22"/>
      <c r="L3611" s="22"/>
      <c r="M3611" s="22"/>
      <c r="N3611" s="22"/>
      <c r="O3611" s="22"/>
      <c r="P3611" s="22"/>
      <c r="Q3611" s="22"/>
      <c r="R3611" s="22"/>
      <c r="S3611" s="22"/>
      <c r="T3611" s="22"/>
      <c r="U3611" s="22"/>
      <c r="V3611" s="22"/>
      <c r="W3611" s="22"/>
      <c r="X3611" s="22"/>
    </row>
    <row r="3612" spans="1:24" x14ac:dyDescent="0.25">
      <c r="A3612" s="22"/>
      <c r="B3612" s="22"/>
      <c r="C3612" s="22"/>
      <c r="D3612" s="22"/>
      <c r="E3612" s="22"/>
      <c r="F3612" s="22"/>
      <c r="G3612" s="22"/>
      <c r="H3612" s="22"/>
      <c r="I3612" s="22"/>
      <c r="J3612" s="22"/>
      <c r="K3612" s="22"/>
      <c r="L3612" s="22"/>
      <c r="M3612" s="22"/>
      <c r="N3612" s="22"/>
      <c r="O3612" s="22"/>
      <c r="P3612" s="22"/>
      <c r="Q3612" s="22"/>
      <c r="R3612" s="22"/>
      <c r="S3612" s="22"/>
      <c r="T3612" s="22"/>
      <c r="U3612" s="22"/>
      <c r="V3612" s="22"/>
      <c r="W3612" s="22"/>
      <c r="X3612" s="22"/>
    </row>
    <row r="3613" spans="1:24" x14ac:dyDescent="0.25">
      <c r="A3613" s="22"/>
      <c r="B3613" s="22"/>
      <c r="C3613" s="22"/>
      <c r="D3613" s="22"/>
      <c r="E3613" s="22"/>
      <c r="F3613" s="22"/>
      <c r="G3613" s="22"/>
      <c r="H3613" s="22"/>
      <c r="I3613" s="22"/>
      <c r="J3613" s="22"/>
      <c r="K3613" s="22"/>
      <c r="L3613" s="22"/>
      <c r="M3613" s="22"/>
      <c r="N3613" s="22"/>
      <c r="O3613" s="22"/>
      <c r="P3613" s="22"/>
      <c r="Q3613" s="22"/>
      <c r="R3613" s="22"/>
      <c r="S3613" s="22"/>
      <c r="T3613" s="22"/>
      <c r="U3613" s="22"/>
      <c r="V3613" s="22"/>
      <c r="W3613" s="22"/>
      <c r="X3613" s="22"/>
    </row>
    <row r="3614" spans="1:24" x14ac:dyDescent="0.25">
      <c r="A3614" s="22"/>
      <c r="B3614" s="22"/>
      <c r="C3614" s="22"/>
      <c r="D3614" s="22"/>
      <c r="E3614" s="22"/>
      <c r="F3614" s="22"/>
      <c r="G3614" s="22"/>
      <c r="H3614" s="22"/>
      <c r="I3614" s="22"/>
      <c r="J3614" s="22"/>
      <c r="K3614" s="22"/>
      <c r="L3614" s="22"/>
      <c r="M3614" s="22"/>
      <c r="N3614" s="22"/>
      <c r="O3614" s="22"/>
      <c r="P3614" s="22"/>
      <c r="Q3614" s="22"/>
      <c r="R3614" s="22"/>
      <c r="S3614" s="22"/>
      <c r="T3614" s="22"/>
      <c r="U3614" s="22"/>
      <c r="V3614" s="22"/>
      <c r="W3614" s="22"/>
      <c r="X3614" s="22"/>
    </row>
    <row r="3615" spans="1:24" x14ac:dyDescent="0.25">
      <c r="A3615" s="22"/>
      <c r="B3615" s="22"/>
      <c r="C3615" s="22"/>
      <c r="D3615" s="22"/>
      <c r="E3615" s="22"/>
      <c r="F3615" s="22"/>
      <c r="G3615" s="22"/>
      <c r="H3615" s="22"/>
      <c r="I3615" s="22"/>
      <c r="J3615" s="22"/>
      <c r="K3615" s="22"/>
      <c r="L3615" s="22"/>
      <c r="M3615" s="22"/>
      <c r="N3615" s="22"/>
      <c r="O3615" s="22"/>
      <c r="P3615" s="22"/>
      <c r="Q3615" s="22"/>
      <c r="R3615" s="22"/>
      <c r="S3615" s="22"/>
      <c r="T3615" s="22"/>
      <c r="U3615" s="22"/>
      <c r="V3615" s="22"/>
      <c r="W3615" s="22"/>
      <c r="X3615" s="22"/>
    </row>
    <row r="3616" spans="1:24" x14ac:dyDescent="0.25">
      <c r="A3616" s="22"/>
      <c r="B3616" s="22"/>
      <c r="C3616" s="22"/>
      <c r="D3616" s="22"/>
      <c r="E3616" s="22"/>
      <c r="F3616" s="22"/>
      <c r="G3616" s="22"/>
      <c r="H3616" s="22"/>
      <c r="I3616" s="22"/>
      <c r="J3616" s="22"/>
      <c r="K3616" s="22"/>
      <c r="L3616" s="22"/>
      <c r="M3616" s="22"/>
      <c r="N3616" s="22"/>
      <c r="O3616" s="22"/>
      <c r="P3616" s="22"/>
      <c r="Q3616" s="22"/>
      <c r="R3616" s="22"/>
      <c r="S3616" s="22"/>
      <c r="T3616" s="22"/>
      <c r="U3616" s="22"/>
      <c r="V3616" s="22"/>
      <c r="W3616" s="22"/>
      <c r="X3616" s="22"/>
    </row>
    <row r="3617" spans="1:24" x14ac:dyDescent="0.25">
      <c r="A3617" s="22"/>
      <c r="B3617" s="22"/>
      <c r="C3617" s="22"/>
      <c r="D3617" s="22"/>
      <c r="E3617" s="22"/>
      <c r="F3617" s="22"/>
      <c r="G3617" s="22"/>
      <c r="H3617" s="22"/>
      <c r="I3617" s="22"/>
      <c r="J3617" s="22"/>
      <c r="K3617" s="22"/>
      <c r="L3617" s="22"/>
      <c r="M3617" s="22"/>
      <c r="N3617" s="22"/>
      <c r="O3617" s="22"/>
      <c r="P3617" s="22"/>
      <c r="Q3617" s="22"/>
      <c r="R3617" s="22"/>
      <c r="S3617" s="22"/>
      <c r="T3617" s="22"/>
      <c r="U3617" s="22"/>
      <c r="V3617" s="22"/>
      <c r="W3617" s="22"/>
      <c r="X3617" s="22"/>
    </row>
    <row r="3618" spans="1:24" x14ac:dyDescent="0.25">
      <c r="A3618" s="22"/>
      <c r="B3618" s="22"/>
      <c r="C3618" s="22"/>
      <c r="D3618" s="22"/>
      <c r="E3618" s="22"/>
      <c r="F3618" s="22"/>
      <c r="G3618" s="22"/>
      <c r="H3618" s="22"/>
      <c r="I3618" s="22"/>
      <c r="J3618" s="22"/>
      <c r="K3618" s="22"/>
      <c r="L3618" s="22"/>
      <c r="M3618" s="22"/>
      <c r="N3618" s="22"/>
      <c r="O3618" s="22"/>
      <c r="P3618" s="22"/>
      <c r="Q3618" s="22"/>
      <c r="R3618" s="22"/>
      <c r="S3618" s="22"/>
      <c r="T3618" s="22"/>
      <c r="U3618" s="22"/>
      <c r="V3618" s="22"/>
      <c r="W3618" s="22"/>
      <c r="X3618" s="22"/>
    </row>
    <row r="3619" spans="1:24" x14ac:dyDescent="0.25">
      <c r="A3619" s="22"/>
      <c r="B3619" s="22"/>
      <c r="C3619" s="22"/>
      <c r="D3619" s="22"/>
      <c r="E3619" s="22"/>
      <c r="F3619" s="22"/>
      <c r="G3619" s="22"/>
      <c r="H3619" s="22"/>
      <c r="I3619" s="22"/>
      <c r="J3619" s="22"/>
      <c r="K3619" s="22"/>
      <c r="L3619" s="22"/>
      <c r="M3619" s="22"/>
      <c r="N3619" s="22"/>
      <c r="O3619" s="22"/>
      <c r="P3619" s="22"/>
      <c r="Q3619" s="22"/>
      <c r="R3619" s="22"/>
      <c r="S3619" s="22"/>
      <c r="T3619" s="22"/>
      <c r="U3619" s="22"/>
      <c r="V3619" s="22"/>
      <c r="W3619" s="22"/>
      <c r="X3619" s="22"/>
    </row>
    <row r="3620" spans="1:24" x14ac:dyDescent="0.25">
      <c r="A3620" s="22"/>
      <c r="B3620" s="22"/>
      <c r="C3620" s="22"/>
      <c r="D3620" s="22"/>
      <c r="E3620" s="22"/>
      <c r="F3620" s="22"/>
      <c r="G3620" s="22"/>
      <c r="H3620" s="22"/>
      <c r="I3620" s="22"/>
      <c r="J3620" s="22"/>
      <c r="K3620" s="22"/>
      <c r="L3620" s="22"/>
      <c r="M3620" s="22"/>
      <c r="N3620" s="22"/>
      <c r="O3620" s="22"/>
      <c r="P3620" s="22"/>
      <c r="Q3620" s="22"/>
      <c r="R3620" s="22"/>
      <c r="S3620" s="22"/>
      <c r="T3620" s="22"/>
      <c r="U3620" s="22"/>
      <c r="V3620" s="22"/>
      <c r="W3620" s="22"/>
      <c r="X3620" s="22"/>
    </row>
    <row r="3621" spans="1:24" x14ac:dyDescent="0.25">
      <c r="A3621" s="22"/>
      <c r="B3621" s="22"/>
      <c r="C3621" s="22"/>
      <c r="D3621" s="22"/>
      <c r="E3621" s="22"/>
      <c r="F3621" s="22"/>
      <c r="G3621" s="22"/>
      <c r="H3621" s="22"/>
      <c r="I3621" s="22"/>
      <c r="J3621" s="22"/>
      <c r="K3621" s="22"/>
      <c r="L3621" s="22"/>
      <c r="M3621" s="22"/>
      <c r="N3621" s="22"/>
      <c r="O3621" s="22"/>
      <c r="P3621" s="22"/>
      <c r="Q3621" s="22"/>
      <c r="R3621" s="22"/>
      <c r="S3621" s="22"/>
      <c r="T3621" s="22"/>
      <c r="U3621" s="22"/>
      <c r="V3621" s="22"/>
      <c r="W3621" s="22"/>
      <c r="X3621" s="22"/>
    </row>
    <row r="3622" spans="1:24" x14ac:dyDescent="0.25">
      <c r="A3622" s="22"/>
      <c r="B3622" s="22"/>
      <c r="C3622" s="22"/>
      <c r="D3622" s="22"/>
      <c r="E3622" s="22"/>
      <c r="F3622" s="22"/>
      <c r="G3622" s="22"/>
      <c r="H3622" s="22"/>
      <c r="I3622" s="22"/>
      <c r="J3622" s="22"/>
      <c r="K3622" s="22"/>
      <c r="L3622" s="22"/>
      <c r="M3622" s="22"/>
      <c r="N3622" s="22"/>
      <c r="O3622" s="22"/>
      <c r="P3622" s="22"/>
      <c r="Q3622" s="22"/>
      <c r="R3622" s="22"/>
      <c r="S3622" s="22"/>
      <c r="T3622" s="22"/>
      <c r="U3622" s="22"/>
      <c r="V3622" s="22"/>
      <c r="W3622" s="22"/>
      <c r="X3622" s="22"/>
    </row>
    <row r="3623" spans="1:24" x14ac:dyDescent="0.25">
      <c r="A3623" s="22"/>
      <c r="B3623" s="22"/>
      <c r="C3623" s="22"/>
      <c r="D3623" s="22"/>
      <c r="E3623" s="22"/>
      <c r="F3623" s="22"/>
      <c r="G3623" s="22"/>
      <c r="H3623" s="22"/>
      <c r="I3623" s="22"/>
      <c r="J3623" s="22"/>
      <c r="K3623" s="22"/>
      <c r="L3623" s="22"/>
      <c r="M3623" s="22"/>
      <c r="N3623" s="22"/>
      <c r="O3623" s="22"/>
      <c r="P3623" s="22"/>
      <c r="Q3623" s="22"/>
      <c r="R3623" s="22"/>
      <c r="S3623" s="22"/>
      <c r="T3623" s="22"/>
      <c r="U3623" s="22"/>
      <c r="V3623" s="22"/>
      <c r="W3623" s="22"/>
      <c r="X3623" s="22"/>
    </row>
    <row r="3624" spans="1:24" x14ac:dyDescent="0.25">
      <c r="A3624" s="22"/>
      <c r="B3624" s="22"/>
      <c r="C3624" s="22"/>
      <c r="D3624" s="22"/>
      <c r="E3624" s="22"/>
      <c r="F3624" s="22"/>
      <c r="G3624" s="22"/>
      <c r="H3624" s="22"/>
      <c r="I3624" s="22"/>
      <c r="J3624" s="22"/>
      <c r="K3624" s="22"/>
      <c r="L3624" s="22"/>
      <c r="M3624" s="22"/>
      <c r="N3624" s="22"/>
      <c r="O3624" s="22"/>
      <c r="P3624" s="22"/>
      <c r="Q3624" s="22"/>
      <c r="R3624" s="22"/>
      <c r="S3624" s="22"/>
      <c r="T3624" s="22"/>
      <c r="U3624" s="22"/>
      <c r="V3624" s="22"/>
      <c r="W3624" s="22"/>
      <c r="X3624" s="22"/>
    </row>
    <row r="3625" spans="1:24" x14ac:dyDescent="0.25">
      <c r="A3625" s="22"/>
      <c r="B3625" s="22"/>
      <c r="C3625" s="22"/>
      <c r="D3625" s="22"/>
      <c r="E3625" s="22"/>
      <c r="F3625" s="22"/>
      <c r="G3625" s="22"/>
      <c r="H3625" s="22"/>
      <c r="I3625" s="22"/>
      <c r="J3625" s="22"/>
      <c r="K3625" s="22"/>
      <c r="L3625" s="22"/>
      <c r="M3625" s="22"/>
      <c r="N3625" s="22"/>
      <c r="O3625" s="22"/>
      <c r="P3625" s="22"/>
      <c r="Q3625" s="22"/>
      <c r="R3625" s="22"/>
      <c r="S3625" s="22"/>
      <c r="T3625" s="22"/>
      <c r="U3625" s="22"/>
      <c r="V3625" s="22"/>
      <c r="W3625" s="22"/>
      <c r="X3625" s="22"/>
    </row>
    <row r="3626" spans="1:24" x14ac:dyDescent="0.25">
      <c r="A3626" s="22"/>
      <c r="B3626" s="22"/>
      <c r="C3626" s="22"/>
      <c r="D3626" s="22"/>
      <c r="E3626" s="22"/>
      <c r="F3626" s="22"/>
      <c r="G3626" s="22"/>
      <c r="H3626" s="22"/>
      <c r="I3626" s="22"/>
      <c r="J3626" s="22"/>
      <c r="K3626" s="22"/>
      <c r="L3626" s="22"/>
      <c r="M3626" s="22"/>
      <c r="N3626" s="22"/>
      <c r="O3626" s="22"/>
      <c r="P3626" s="22"/>
      <c r="Q3626" s="22"/>
      <c r="R3626" s="22"/>
      <c r="S3626" s="22"/>
      <c r="T3626" s="22"/>
      <c r="U3626" s="22"/>
      <c r="V3626" s="22"/>
      <c r="W3626" s="22"/>
      <c r="X3626" s="22"/>
    </row>
    <row r="3627" spans="1:24" x14ac:dyDescent="0.25">
      <c r="A3627" s="22"/>
      <c r="B3627" s="22"/>
      <c r="C3627" s="22"/>
      <c r="D3627" s="22"/>
      <c r="E3627" s="22"/>
      <c r="F3627" s="22"/>
      <c r="G3627" s="22"/>
      <c r="H3627" s="22"/>
      <c r="I3627" s="22"/>
      <c r="J3627" s="22"/>
      <c r="K3627" s="22"/>
      <c r="L3627" s="22"/>
      <c r="M3627" s="22"/>
      <c r="N3627" s="22"/>
      <c r="O3627" s="22"/>
      <c r="P3627" s="22"/>
      <c r="Q3627" s="22"/>
      <c r="R3627" s="22"/>
      <c r="S3627" s="22"/>
      <c r="T3627" s="22"/>
      <c r="U3627" s="22"/>
      <c r="V3627" s="22"/>
      <c r="W3627" s="22"/>
      <c r="X3627" s="22"/>
    </row>
    <row r="3628" spans="1:24" x14ac:dyDescent="0.25">
      <c r="A3628" s="22"/>
      <c r="B3628" s="22"/>
      <c r="C3628" s="22"/>
      <c r="D3628" s="22"/>
      <c r="E3628" s="22"/>
      <c r="F3628" s="22"/>
      <c r="G3628" s="22"/>
      <c r="H3628" s="22"/>
      <c r="I3628" s="22"/>
      <c r="J3628" s="22"/>
      <c r="K3628" s="22"/>
      <c r="L3628" s="22"/>
      <c r="M3628" s="22"/>
      <c r="N3628" s="22"/>
      <c r="O3628" s="22"/>
      <c r="P3628" s="22"/>
      <c r="Q3628" s="22"/>
      <c r="R3628" s="22"/>
      <c r="S3628" s="22"/>
      <c r="T3628" s="22"/>
      <c r="U3628" s="22"/>
      <c r="V3628" s="22"/>
      <c r="W3628" s="22"/>
      <c r="X3628" s="22"/>
    </row>
    <row r="3629" spans="1:24" x14ac:dyDescent="0.25">
      <c r="A3629" s="22"/>
      <c r="B3629" s="22"/>
      <c r="C3629" s="22"/>
      <c r="D3629" s="22"/>
      <c r="E3629" s="22"/>
      <c r="F3629" s="22"/>
      <c r="G3629" s="22"/>
      <c r="H3629" s="22"/>
      <c r="I3629" s="22"/>
      <c r="J3629" s="22"/>
      <c r="K3629" s="22"/>
      <c r="L3629" s="22"/>
      <c r="M3629" s="22"/>
      <c r="N3629" s="22"/>
      <c r="O3629" s="22"/>
      <c r="P3629" s="22"/>
      <c r="Q3629" s="22"/>
      <c r="R3629" s="22"/>
      <c r="S3629" s="22"/>
      <c r="T3629" s="22"/>
      <c r="U3629" s="22"/>
      <c r="V3629" s="22"/>
      <c r="W3629" s="22"/>
      <c r="X3629" s="22"/>
    </row>
    <row r="3630" spans="1:24" x14ac:dyDescent="0.25">
      <c r="A3630" s="22"/>
      <c r="B3630" s="22"/>
      <c r="C3630" s="22"/>
      <c r="D3630" s="22"/>
      <c r="E3630" s="22"/>
      <c r="F3630" s="22"/>
      <c r="G3630" s="22"/>
      <c r="H3630" s="22"/>
      <c r="I3630" s="22"/>
      <c r="J3630" s="22"/>
      <c r="K3630" s="22"/>
      <c r="L3630" s="22"/>
      <c r="M3630" s="22"/>
      <c r="N3630" s="22"/>
      <c r="O3630" s="22"/>
      <c r="P3630" s="22"/>
      <c r="Q3630" s="22"/>
      <c r="R3630" s="22"/>
      <c r="S3630" s="22"/>
      <c r="T3630" s="22"/>
      <c r="U3630" s="22"/>
      <c r="V3630" s="22"/>
      <c r="W3630" s="22"/>
      <c r="X3630" s="22"/>
    </row>
    <row r="3631" spans="1:24" x14ac:dyDescent="0.25">
      <c r="A3631" s="22"/>
      <c r="B3631" s="22"/>
      <c r="C3631" s="22"/>
      <c r="D3631" s="22"/>
      <c r="E3631" s="22"/>
      <c r="F3631" s="22"/>
      <c r="G3631" s="22"/>
      <c r="H3631" s="22"/>
      <c r="I3631" s="22"/>
      <c r="J3631" s="22"/>
      <c r="K3631" s="22"/>
      <c r="L3631" s="22"/>
      <c r="M3631" s="22"/>
      <c r="N3631" s="22"/>
      <c r="O3631" s="22"/>
      <c r="P3631" s="22"/>
      <c r="Q3631" s="22"/>
      <c r="R3631" s="22"/>
      <c r="S3631" s="22"/>
      <c r="T3631" s="22"/>
      <c r="U3631" s="22"/>
      <c r="V3631" s="22"/>
      <c r="W3631" s="22"/>
      <c r="X3631" s="22"/>
    </row>
    <row r="3632" spans="1:24" x14ac:dyDescent="0.25">
      <c r="A3632" s="22"/>
      <c r="B3632" s="22"/>
      <c r="C3632" s="22"/>
      <c r="D3632" s="22"/>
      <c r="E3632" s="22"/>
      <c r="F3632" s="22"/>
      <c r="G3632" s="22"/>
      <c r="H3632" s="22"/>
      <c r="I3632" s="22"/>
      <c r="J3632" s="22"/>
      <c r="K3632" s="22"/>
      <c r="L3632" s="22"/>
      <c r="M3632" s="22"/>
      <c r="N3632" s="22"/>
      <c r="O3632" s="22"/>
      <c r="P3632" s="22"/>
      <c r="Q3632" s="22"/>
      <c r="R3632" s="22"/>
      <c r="S3632" s="22"/>
      <c r="T3632" s="22"/>
      <c r="U3632" s="22"/>
      <c r="V3632" s="22"/>
      <c r="W3632" s="22"/>
      <c r="X3632" s="22"/>
    </row>
    <row r="3633" spans="1:24" x14ac:dyDescent="0.25">
      <c r="A3633" s="22"/>
      <c r="B3633" s="22"/>
      <c r="C3633" s="22"/>
      <c r="D3633" s="22"/>
      <c r="E3633" s="22"/>
      <c r="F3633" s="22"/>
      <c r="G3633" s="22"/>
      <c r="H3633" s="22"/>
      <c r="I3633" s="22"/>
      <c r="J3633" s="22"/>
      <c r="K3633" s="22"/>
      <c r="L3633" s="22"/>
      <c r="M3633" s="22"/>
      <c r="N3633" s="22"/>
      <c r="O3633" s="22"/>
      <c r="P3633" s="22"/>
      <c r="Q3633" s="22"/>
      <c r="R3633" s="22"/>
      <c r="S3633" s="22"/>
      <c r="T3633" s="22"/>
      <c r="U3633" s="22"/>
      <c r="V3633" s="22"/>
      <c r="W3633" s="22"/>
      <c r="X3633" s="22"/>
    </row>
    <row r="3634" spans="1:24" x14ac:dyDescent="0.25">
      <c r="A3634" s="22"/>
      <c r="B3634" s="22"/>
      <c r="C3634" s="22"/>
      <c r="D3634" s="22"/>
      <c r="E3634" s="22"/>
      <c r="F3634" s="22"/>
      <c r="G3634" s="22"/>
      <c r="H3634" s="22"/>
      <c r="I3634" s="22"/>
      <c r="J3634" s="22"/>
      <c r="K3634" s="22"/>
      <c r="L3634" s="22"/>
      <c r="M3634" s="22"/>
      <c r="N3634" s="22"/>
      <c r="O3634" s="22"/>
      <c r="P3634" s="22"/>
      <c r="Q3634" s="22"/>
      <c r="R3634" s="22"/>
      <c r="S3634" s="22"/>
      <c r="T3634" s="22"/>
      <c r="U3634" s="22"/>
      <c r="V3634" s="22"/>
      <c r="W3634" s="22"/>
      <c r="X3634" s="22"/>
    </row>
    <row r="3635" spans="1:24" x14ac:dyDescent="0.25">
      <c r="A3635" s="22"/>
      <c r="B3635" s="22"/>
      <c r="C3635" s="22"/>
      <c r="D3635" s="22"/>
      <c r="E3635" s="22"/>
      <c r="F3635" s="22"/>
      <c r="G3635" s="22"/>
      <c r="H3635" s="22"/>
      <c r="I3635" s="22"/>
      <c r="J3635" s="22"/>
      <c r="K3635" s="22"/>
      <c r="L3635" s="22"/>
      <c r="M3635" s="22"/>
      <c r="N3635" s="22"/>
      <c r="O3635" s="22"/>
      <c r="P3635" s="22"/>
      <c r="Q3635" s="22"/>
      <c r="R3635" s="22"/>
      <c r="S3635" s="22"/>
      <c r="T3635" s="22"/>
      <c r="U3635" s="22"/>
      <c r="V3635" s="22"/>
      <c r="W3635" s="22"/>
      <c r="X3635" s="22"/>
    </row>
    <row r="3636" spans="1:24" x14ac:dyDescent="0.25">
      <c r="A3636" s="22"/>
      <c r="B3636" s="22"/>
      <c r="C3636" s="22"/>
      <c r="D3636" s="22"/>
      <c r="E3636" s="22"/>
      <c r="F3636" s="22"/>
      <c r="G3636" s="22"/>
      <c r="H3636" s="22"/>
      <c r="I3636" s="22"/>
      <c r="J3636" s="22"/>
      <c r="K3636" s="22"/>
      <c r="L3636" s="22"/>
      <c r="M3636" s="22"/>
      <c r="N3636" s="22"/>
      <c r="O3636" s="22"/>
      <c r="P3636" s="22"/>
      <c r="Q3636" s="22"/>
      <c r="R3636" s="22"/>
      <c r="S3636" s="22"/>
      <c r="T3636" s="22"/>
      <c r="U3636" s="22"/>
      <c r="V3636" s="22"/>
      <c r="W3636" s="22"/>
      <c r="X3636" s="22"/>
    </row>
    <row r="3637" spans="1:24" x14ac:dyDescent="0.25">
      <c r="A3637" s="22"/>
      <c r="B3637" s="22"/>
      <c r="C3637" s="22"/>
      <c r="D3637" s="22"/>
      <c r="E3637" s="22"/>
      <c r="F3637" s="22"/>
      <c r="G3637" s="22"/>
      <c r="H3637" s="22"/>
      <c r="I3637" s="22"/>
      <c r="J3637" s="22"/>
      <c r="K3637" s="22"/>
      <c r="L3637" s="22"/>
      <c r="M3637" s="22"/>
      <c r="N3637" s="22"/>
      <c r="O3637" s="22"/>
      <c r="P3637" s="22"/>
      <c r="Q3637" s="22"/>
      <c r="R3637" s="22"/>
      <c r="S3637" s="22"/>
      <c r="T3637" s="22"/>
      <c r="U3637" s="22"/>
      <c r="V3637" s="22"/>
      <c r="W3637" s="22"/>
      <c r="X3637" s="22"/>
    </row>
    <row r="3638" spans="1:24" x14ac:dyDescent="0.25">
      <c r="A3638" s="22"/>
      <c r="B3638" s="22"/>
      <c r="C3638" s="22"/>
      <c r="D3638" s="22"/>
      <c r="E3638" s="22"/>
      <c r="F3638" s="22"/>
      <c r="G3638" s="22"/>
      <c r="H3638" s="22"/>
      <c r="I3638" s="22"/>
      <c r="J3638" s="22"/>
      <c r="K3638" s="22"/>
      <c r="L3638" s="22"/>
      <c r="M3638" s="22"/>
      <c r="N3638" s="22"/>
      <c r="O3638" s="22"/>
      <c r="P3638" s="22"/>
      <c r="Q3638" s="22"/>
      <c r="R3638" s="22"/>
      <c r="S3638" s="22"/>
      <c r="T3638" s="22"/>
      <c r="U3638" s="22"/>
      <c r="V3638" s="22"/>
      <c r="W3638" s="22"/>
      <c r="X3638" s="22"/>
    </row>
    <row r="3639" spans="1:24" x14ac:dyDescent="0.25">
      <c r="A3639" s="22"/>
      <c r="B3639" s="22"/>
      <c r="C3639" s="22"/>
      <c r="D3639" s="22"/>
      <c r="E3639" s="22"/>
      <c r="F3639" s="22"/>
      <c r="G3639" s="22"/>
      <c r="H3639" s="22"/>
      <c r="I3639" s="22"/>
      <c r="J3639" s="22"/>
      <c r="K3639" s="22"/>
      <c r="L3639" s="22"/>
      <c r="M3639" s="22"/>
      <c r="N3639" s="22"/>
      <c r="O3639" s="22"/>
      <c r="P3639" s="22"/>
      <c r="Q3639" s="22"/>
      <c r="R3639" s="22"/>
      <c r="S3639" s="22"/>
      <c r="T3639" s="22"/>
      <c r="U3639" s="22"/>
      <c r="V3639" s="22"/>
      <c r="W3639" s="22"/>
      <c r="X3639" s="22"/>
    </row>
    <row r="3640" spans="1:24" x14ac:dyDescent="0.25">
      <c r="A3640" s="22"/>
      <c r="B3640" s="22"/>
      <c r="C3640" s="22"/>
      <c r="D3640" s="22"/>
      <c r="E3640" s="22"/>
      <c r="F3640" s="22"/>
      <c r="G3640" s="22"/>
      <c r="H3640" s="22"/>
      <c r="I3640" s="22"/>
      <c r="J3640" s="22"/>
      <c r="K3640" s="22"/>
      <c r="L3640" s="22"/>
      <c r="M3640" s="22"/>
      <c r="N3640" s="22"/>
      <c r="O3640" s="22"/>
      <c r="P3640" s="22"/>
      <c r="Q3640" s="22"/>
      <c r="R3640" s="22"/>
      <c r="S3640" s="22"/>
      <c r="T3640" s="22"/>
      <c r="U3640" s="22"/>
      <c r="V3640" s="22"/>
      <c r="W3640" s="22"/>
      <c r="X3640" s="22"/>
    </row>
    <row r="3641" spans="1:24" x14ac:dyDescent="0.25">
      <c r="A3641" s="22"/>
      <c r="B3641" s="22"/>
      <c r="C3641" s="22"/>
      <c r="D3641" s="22"/>
      <c r="E3641" s="22"/>
      <c r="F3641" s="22"/>
      <c r="G3641" s="22"/>
      <c r="H3641" s="22"/>
      <c r="I3641" s="22"/>
      <c r="J3641" s="22"/>
      <c r="K3641" s="22"/>
      <c r="L3641" s="22"/>
      <c r="M3641" s="22"/>
      <c r="N3641" s="22"/>
      <c r="O3641" s="22"/>
      <c r="P3641" s="22"/>
      <c r="Q3641" s="22"/>
      <c r="R3641" s="22"/>
      <c r="S3641" s="22"/>
      <c r="T3641" s="22"/>
      <c r="U3641" s="22"/>
      <c r="V3641" s="22"/>
      <c r="W3641" s="22"/>
      <c r="X3641" s="22"/>
    </row>
    <row r="3642" spans="1:24" x14ac:dyDescent="0.25">
      <c r="A3642" s="22"/>
      <c r="B3642" s="22"/>
      <c r="C3642" s="22"/>
      <c r="D3642" s="22"/>
      <c r="E3642" s="22"/>
      <c r="F3642" s="22"/>
      <c r="G3642" s="22"/>
      <c r="H3642" s="22"/>
      <c r="I3642" s="22"/>
      <c r="J3642" s="22"/>
      <c r="K3642" s="22"/>
      <c r="L3642" s="22"/>
      <c r="M3642" s="22"/>
      <c r="N3642" s="22"/>
      <c r="O3642" s="22"/>
      <c r="P3642" s="22"/>
      <c r="Q3642" s="22"/>
      <c r="R3642" s="22"/>
      <c r="S3642" s="22"/>
      <c r="T3642" s="22"/>
      <c r="U3642" s="22"/>
      <c r="V3642" s="22"/>
      <c r="W3642" s="22"/>
      <c r="X3642" s="22"/>
    </row>
    <row r="3643" spans="1:24" x14ac:dyDescent="0.25">
      <c r="A3643" s="22"/>
      <c r="B3643" s="22"/>
      <c r="C3643" s="22"/>
      <c r="D3643" s="22"/>
      <c r="E3643" s="22"/>
      <c r="F3643" s="22"/>
      <c r="G3643" s="22"/>
      <c r="H3643" s="22"/>
      <c r="I3643" s="22"/>
      <c r="J3643" s="22"/>
      <c r="K3643" s="22"/>
      <c r="L3643" s="22"/>
      <c r="M3643" s="22"/>
      <c r="N3643" s="22"/>
      <c r="O3643" s="22"/>
      <c r="P3643" s="22"/>
      <c r="Q3643" s="22"/>
      <c r="R3643" s="22"/>
      <c r="S3643" s="22"/>
      <c r="T3643" s="22"/>
      <c r="U3643" s="22"/>
      <c r="V3643" s="22"/>
      <c r="W3643" s="22"/>
      <c r="X3643" s="22"/>
    </row>
    <row r="3644" spans="1:24" x14ac:dyDescent="0.25">
      <c r="A3644" s="22"/>
      <c r="B3644" s="22"/>
      <c r="C3644" s="22"/>
      <c r="D3644" s="22"/>
      <c r="E3644" s="22"/>
      <c r="F3644" s="22"/>
      <c r="G3644" s="22"/>
      <c r="H3644" s="22"/>
      <c r="I3644" s="22"/>
      <c r="J3644" s="22"/>
      <c r="K3644" s="22"/>
      <c r="L3644" s="22"/>
      <c r="M3644" s="22"/>
      <c r="N3644" s="22"/>
      <c r="O3644" s="22"/>
      <c r="P3644" s="22"/>
      <c r="Q3644" s="22"/>
      <c r="R3644" s="22"/>
      <c r="S3644" s="22"/>
      <c r="T3644" s="22"/>
      <c r="U3644" s="22"/>
      <c r="V3644" s="22"/>
      <c r="W3644" s="22"/>
      <c r="X3644" s="22"/>
    </row>
    <row r="3645" spans="1:24" x14ac:dyDescent="0.25">
      <c r="A3645" s="22"/>
      <c r="B3645" s="22"/>
      <c r="C3645" s="22"/>
      <c r="D3645" s="22"/>
      <c r="E3645" s="22"/>
      <c r="F3645" s="22"/>
      <c r="G3645" s="22"/>
      <c r="H3645" s="22"/>
      <c r="I3645" s="22"/>
      <c r="J3645" s="22"/>
      <c r="K3645" s="22"/>
      <c r="L3645" s="22"/>
      <c r="M3645" s="22"/>
      <c r="N3645" s="22"/>
      <c r="O3645" s="22"/>
      <c r="P3645" s="22"/>
      <c r="Q3645" s="22"/>
      <c r="R3645" s="22"/>
      <c r="S3645" s="22"/>
      <c r="T3645" s="22"/>
      <c r="U3645" s="22"/>
      <c r="V3645" s="22"/>
      <c r="W3645" s="22"/>
      <c r="X3645" s="22"/>
    </row>
    <row r="3646" spans="1:24" x14ac:dyDescent="0.25">
      <c r="A3646" s="22"/>
      <c r="B3646" s="22"/>
      <c r="C3646" s="22"/>
      <c r="D3646" s="22"/>
      <c r="E3646" s="22"/>
      <c r="F3646" s="22"/>
      <c r="G3646" s="22"/>
      <c r="H3646" s="22"/>
      <c r="I3646" s="22"/>
      <c r="J3646" s="22"/>
      <c r="K3646" s="22"/>
      <c r="L3646" s="22"/>
      <c r="M3646" s="22"/>
      <c r="N3646" s="22"/>
      <c r="O3646" s="22"/>
      <c r="P3646" s="22"/>
      <c r="Q3646" s="22"/>
      <c r="R3646" s="22"/>
      <c r="S3646" s="22"/>
      <c r="T3646" s="22"/>
      <c r="U3646" s="22"/>
      <c r="V3646" s="22"/>
      <c r="W3646" s="22"/>
      <c r="X3646" s="22"/>
    </row>
    <row r="3647" spans="1:24" x14ac:dyDescent="0.25">
      <c r="A3647" s="22"/>
      <c r="B3647" s="22"/>
      <c r="C3647" s="22"/>
      <c r="D3647" s="22"/>
      <c r="E3647" s="22"/>
      <c r="F3647" s="22"/>
      <c r="G3647" s="22"/>
      <c r="H3647" s="22"/>
      <c r="I3647" s="22"/>
      <c r="J3647" s="22"/>
      <c r="K3647" s="22"/>
      <c r="L3647" s="22"/>
      <c r="M3647" s="22"/>
      <c r="N3647" s="22"/>
      <c r="O3647" s="22"/>
      <c r="P3647" s="22"/>
      <c r="Q3647" s="22"/>
      <c r="R3647" s="22"/>
      <c r="S3647" s="22"/>
      <c r="T3647" s="22"/>
      <c r="U3647" s="22"/>
      <c r="V3647" s="22"/>
      <c r="W3647" s="22"/>
      <c r="X3647" s="22"/>
    </row>
    <row r="3648" spans="1:24" x14ac:dyDescent="0.25">
      <c r="A3648" s="22"/>
      <c r="B3648" s="22"/>
      <c r="C3648" s="22"/>
      <c r="D3648" s="22"/>
      <c r="E3648" s="22"/>
      <c r="F3648" s="22"/>
      <c r="G3648" s="22"/>
      <c r="H3648" s="22"/>
      <c r="I3648" s="22"/>
      <c r="J3648" s="22"/>
      <c r="K3648" s="22"/>
      <c r="L3648" s="22"/>
      <c r="M3648" s="22"/>
      <c r="N3648" s="22"/>
      <c r="O3648" s="22"/>
      <c r="P3648" s="22"/>
      <c r="Q3648" s="22"/>
      <c r="R3648" s="22"/>
      <c r="S3648" s="22"/>
      <c r="T3648" s="22"/>
      <c r="U3648" s="22"/>
      <c r="V3648" s="22"/>
      <c r="W3648" s="22"/>
      <c r="X3648" s="22"/>
    </row>
    <row r="3649" spans="1:24" x14ac:dyDescent="0.25">
      <c r="A3649" s="22"/>
      <c r="B3649" s="22"/>
      <c r="C3649" s="22"/>
      <c r="D3649" s="22"/>
      <c r="E3649" s="22"/>
      <c r="F3649" s="22"/>
      <c r="G3649" s="22"/>
      <c r="H3649" s="22"/>
      <c r="I3649" s="22"/>
      <c r="J3649" s="22"/>
      <c r="K3649" s="22"/>
      <c r="L3649" s="22"/>
      <c r="M3649" s="22"/>
      <c r="N3649" s="22"/>
      <c r="O3649" s="22"/>
      <c r="P3649" s="22"/>
      <c r="Q3649" s="22"/>
      <c r="R3649" s="22"/>
      <c r="S3649" s="22"/>
      <c r="T3649" s="22"/>
      <c r="U3649" s="22"/>
      <c r="V3649" s="22"/>
      <c r="W3649" s="22"/>
      <c r="X3649" s="22"/>
    </row>
    <row r="3650" spans="1:24" x14ac:dyDescent="0.25">
      <c r="A3650" s="22"/>
      <c r="B3650" s="22"/>
      <c r="C3650" s="22"/>
      <c r="D3650" s="22"/>
      <c r="E3650" s="22"/>
      <c r="F3650" s="22"/>
      <c r="G3650" s="22"/>
      <c r="H3650" s="22"/>
      <c r="I3650" s="22"/>
      <c r="J3650" s="22"/>
      <c r="K3650" s="22"/>
      <c r="L3650" s="22"/>
      <c r="M3650" s="22"/>
      <c r="N3650" s="22"/>
      <c r="O3650" s="22"/>
      <c r="P3650" s="22"/>
      <c r="Q3650" s="22"/>
      <c r="R3650" s="22"/>
      <c r="S3650" s="22"/>
      <c r="T3650" s="22"/>
      <c r="U3650" s="22"/>
      <c r="V3650" s="22"/>
      <c r="W3650" s="22"/>
      <c r="X3650" s="22"/>
    </row>
    <row r="3651" spans="1:24" x14ac:dyDescent="0.25">
      <c r="A3651" s="22"/>
      <c r="B3651" s="22"/>
      <c r="C3651" s="22"/>
      <c r="D3651" s="22"/>
      <c r="E3651" s="22"/>
      <c r="F3651" s="22"/>
      <c r="G3651" s="22"/>
      <c r="H3651" s="22"/>
      <c r="I3651" s="22"/>
      <c r="J3651" s="22"/>
      <c r="K3651" s="22"/>
      <c r="L3651" s="22"/>
      <c r="M3651" s="22"/>
      <c r="N3651" s="22"/>
      <c r="O3651" s="22"/>
      <c r="P3651" s="22"/>
      <c r="Q3651" s="22"/>
      <c r="R3651" s="22"/>
      <c r="S3651" s="22"/>
      <c r="T3651" s="22"/>
      <c r="U3651" s="22"/>
      <c r="V3651" s="22"/>
      <c r="W3651" s="22"/>
      <c r="X3651" s="22"/>
    </row>
    <row r="3652" spans="1:24" x14ac:dyDescent="0.25">
      <c r="A3652" s="22"/>
      <c r="B3652" s="22"/>
      <c r="C3652" s="22"/>
      <c r="D3652" s="22"/>
      <c r="E3652" s="22"/>
      <c r="F3652" s="22"/>
      <c r="G3652" s="22"/>
      <c r="H3652" s="22"/>
      <c r="I3652" s="22"/>
      <c r="J3652" s="22"/>
      <c r="K3652" s="22"/>
      <c r="L3652" s="22"/>
      <c r="M3652" s="22"/>
      <c r="N3652" s="22"/>
      <c r="O3652" s="22"/>
      <c r="P3652" s="22"/>
      <c r="Q3652" s="22"/>
      <c r="R3652" s="22"/>
      <c r="S3652" s="22"/>
      <c r="T3652" s="22"/>
      <c r="U3652" s="22"/>
      <c r="V3652" s="22"/>
      <c r="W3652" s="22"/>
      <c r="X3652" s="22"/>
    </row>
    <row r="3653" spans="1:24" x14ac:dyDescent="0.25">
      <c r="A3653" s="22"/>
      <c r="B3653" s="22"/>
      <c r="C3653" s="22"/>
      <c r="D3653" s="22"/>
      <c r="E3653" s="22"/>
      <c r="F3653" s="22"/>
      <c r="G3653" s="22"/>
      <c r="H3653" s="22"/>
      <c r="I3653" s="22"/>
      <c r="J3653" s="22"/>
      <c r="K3653" s="22"/>
      <c r="L3653" s="22"/>
      <c r="M3653" s="22"/>
      <c r="N3653" s="22"/>
      <c r="O3653" s="22"/>
      <c r="P3653" s="22"/>
      <c r="Q3653" s="22"/>
      <c r="R3653" s="22"/>
      <c r="S3653" s="22"/>
      <c r="T3653" s="22"/>
      <c r="U3653" s="22"/>
      <c r="V3653" s="22"/>
      <c r="W3653" s="22"/>
      <c r="X3653" s="22"/>
    </row>
    <row r="3654" spans="1:24" x14ac:dyDescent="0.25">
      <c r="A3654" s="22"/>
      <c r="B3654" s="22"/>
      <c r="C3654" s="22"/>
      <c r="D3654" s="22"/>
      <c r="E3654" s="22"/>
      <c r="F3654" s="22"/>
      <c r="G3654" s="22"/>
      <c r="H3654" s="22"/>
      <c r="I3654" s="22"/>
      <c r="J3654" s="22"/>
      <c r="K3654" s="22"/>
      <c r="L3654" s="22"/>
      <c r="M3654" s="22"/>
      <c r="N3654" s="22"/>
      <c r="O3654" s="22"/>
      <c r="P3654" s="22"/>
      <c r="Q3654" s="22"/>
      <c r="R3654" s="22"/>
      <c r="S3654" s="22"/>
      <c r="T3654" s="22"/>
      <c r="U3654" s="22"/>
      <c r="V3654" s="22"/>
      <c r="W3654" s="22"/>
      <c r="X3654" s="22"/>
    </row>
    <row r="3655" spans="1:24" x14ac:dyDescent="0.25">
      <c r="A3655" s="22"/>
      <c r="B3655" s="22"/>
      <c r="C3655" s="22"/>
      <c r="D3655" s="22"/>
      <c r="E3655" s="22"/>
      <c r="F3655" s="22"/>
      <c r="G3655" s="22"/>
      <c r="H3655" s="22"/>
      <c r="I3655" s="22"/>
      <c r="J3655" s="22"/>
      <c r="K3655" s="22"/>
      <c r="L3655" s="22"/>
      <c r="M3655" s="22"/>
      <c r="N3655" s="22"/>
      <c r="O3655" s="22"/>
      <c r="P3655" s="22"/>
      <c r="Q3655" s="22"/>
      <c r="R3655" s="22"/>
      <c r="S3655" s="22"/>
      <c r="T3655" s="22"/>
      <c r="U3655" s="22"/>
      <c r="V3655" s="22"/>
      <c r="W3655" s="22"/>
      <c r="X3655" s="22"/>
    </row>
    <row r="3656" spans="1:24" x14ac:dyDescent="0.25">
      <c r="A3656" s="22"/>
      <c r="B3656" s="22"/>
      <c r="C3656" s="22"/>
      <c r="D3656" s="22"/>
      <c r="E3656" s="22"/>
      <c r="F3656" s="22"/>
      <c r="G3656" s="22"/>
      <c r="H3656" s="22"/>
      <c r="I3656" s="22"/>
      <c r="J3656" s="22"/>
      <c r="K3656" s="22"/>
      <c r="L3656" s="22"/>
      <c r="M3656" s="22"/>
      <c r="N3656" s="22"/>
      <c r="O3656" s="22"/>
      <c r="P3656" s="22"/>
      <c r="Q3656" s="22"/>
      <c r="R3656" s="22"/>
      <c r="S3656" s="22"/>
      <c r="T3656" s="22"/>
      <c r="U3656" s="22"/>
      <c r="V3656" s="22"/>
      <c r="W3656" s="22"/>
      <c r="X3656" s="22"/>
    </row>
    <row r="3657" spans="1:24" x14ac:dyDescent="0.25">
      <c r="A3657" s="22"/>
      <c r="B3657" s="22"/>
      <c r="C3657" s="22"/>
      <c r="D3657" s="22"/>
      <c r="E3657" s="22"/>
      <c r="F3657" s="22"/>
      <c r="G3657" s="22"/>
      <c r="H3657" s="22"/>
      <c r="I3657" s="22"/>
      <c r="J3657" s="22"/>
      <c r="K3657" s="22"/>
      <c r="L3657" s="22"/>
      <c r="M3657" s="22"/>
      <c r="N3657" s="22"/>
      <c r="O3657" s="22"/>
      <c r="P3657" s="22"/>
      <c r="Q3657" s="22"/>
      <c r="R3657" s="22"/>
      <c r="S3657" s="22"/>
      <c r="T3657" s="22"/>
      <c r="U3657" s="22"/>
      <c r="V3657" s="22"/>
      <c r="W3657" s="22"/>
      <c r="X3657" s="22"/>
    </row>
    <row r="3658" spans="1:24" x14ac:dyDescent="0.25">
      <c r="A3658" s="22"/>
      <c r="B3658" s="22"/>
      <c r="C3658" s="22"/>
      <c r="D3658" s="22"/>
      <c r="E3658" s="22"/>
      <c r="F3658" s="22"/>
      <c r="G3658" s="22"/>
      <c r="H3658" s="22"/>
      <c r="I3658" s="22"/>
      <c r="J3658" s="22"/>
      <c r="K3658" s="22"/>
      <c r="L3658" s="22"/>
      <c r="M3658" s="22"/>
      <c r="N3658" s="22"/>
      <c r="O3658" s="22"/>
      <c r="P3658" s="22"/>
      <c r="Q3658" s="22"/>
      <c r="R3658" s="22"/>
      <c r="S3658" s="22"/>
      <c r="T3658" s="22"/>
      <c r="U3658" s="22"/>
      <c r="V3658" s="22"/>
      <c r="W3658" s="22"/>
      <c r="X3658" s="22"/>
    </row>
    <row r="3659" spans="1:24" x14ac:dyDescent="0.25">
      <c r="A3659" s="22"/>
      <c r="B3659" s="22"/>
      <c r="C3659" s="22"/>
      <c r="D3659" s="22"/>
      <c r="E3659" s="22"/>
      <c r="F3659" s="22"/>
      <c r="G3659" s="22"/>
      <c r="H3659" s="22"/>
      <c r="I3659" s="22"/>
      <c r="J3659" s="22"/>
      <c r="K3659" s="22"/>
      <c r="L3659" s="22"/>
      <c r="M3659" s="22"/>
      <c r="N3659" s="22"/>
      <c r="O3659" s="22"/>
      <c r="P3659" s="22"/>
      <c r="Q3659" s="22"/>
      <c r="R3659" s="22"/>
      <c r="S3659" s="22"/>
      <c r="T3659" s="22"/>
      <c r="U3659" s="22"/>
      <c r="V3659" s="22"/>
      <c r="W3659" s="22"/>
      <c r="X3659" s="22"/>
    </row>
    <row r="3660" spans="1:24" x14ac:dyDescent="0.25">
      <c r="A3660" s="22"/>
      <c r="B3660" s="22"/>
      <c r="C3660" s="22"/>
      <c r="D3660" s="22"/>
      <c r="E3660" s="22"/>
      <c r="F3660" s="22"/>
      <c r="G3660" s="22"/>
      <c r="H3660" s="22"/>
      <c r="I3660" s="22"/>
      <c r="J3660" s="22"/>
      <c r="K3660" s="22"/>
      <c r="L3660" s="22"/>
      <c r="M3660" s="22"/>
      <c r="N3660" s="22"/>
      <c r="O3660" s="22"/>
      <c r="P3660" s="22"/>
      <c r="Q3660" s="22"/>
      <c r="R3660" s="22"/>
      <c r="S3660" s="22"/>
      <c r="T3660" s="22"/>
      <c r="U3660" s="22"/>
      <c r="V3660" s="22"/>
      <c r="W3660" s="22"/>
      <c r="X3660" s="22"/>
    </row>
    <row r="3661" spans="1:24" x14ac:dyDescent="0.25">
      <c r="A3661" s="22"/>
      <c r="B3661" s="22"/>
      <c r="C3661" s="22"/>
      <c r="D3661" s="22"/>
      <c r="E3661" s="22"/>
      <c r="F3661" s="22"/>
      <c r="G3661" s="22"/>
      <c r="H3661" s="22"/>
      <c r="I3661" s="22"/>
      <c r="J3661" s="22"/>
      <c r="K3661" s="22"/>
      <c r="L3661" s="22"/>
      <c r="M3661" s="22"/>
      <c r="N3661" s="22"/>
      <c r="O3661" s="22"/>
      <c r="P3661" s="22"/>
      <c r="Q3661" s="22"/>
      <c r="R3661" s="22"/>
      <c r="S3661" s="22"/>
      <c r="T3661" s="22"/>
      <c r="U3661" s="22"/>
      <c r="V3661" s="22"/>
      <c r="W3661" s="22"/>
      <c r="X3661" s="22"/>
    </row>
    <row r="3662" spans="1:24" x14ac:dyDescent="0.25">
      <c r="A3662" s="22"/>
      <c r="B3662" s="22"/>
      <c r="C3662" s="22"/>
      <c r="D3662" s="22"/>
      <c r="E3662" s="22"/>
      <c r="F3662" s="22"/>
      <c r="G3662" s="22"/>
      <c r="H3662" s="22"/>
      <c r="I3662" s="22"/>
      <c r="J3662" s="22"/>
      <c r="K3662" s="22"/>
      <c r="L3662" s="22"/>
      <c r="M3662" s="22"/>
      <c r="N3662" s="22"/>
      <c r="O3662" s="22"/>
      <c r="P3662" s="22"/>
      <c r="Q3662" s="22"/>
      <c r="R3662" s="22"/>
      <c r="S3662" s="22"/>
      <c r="T3662" s="22"/>
      <c r="U3662" s="22"/>
      <c r="V3662" s="22"/>
      <c r="W3662" s="22"/>
      <c r="X3662" s="22"/>
    </row>
    <row r="3663" spans="1:24" x14ac:dyDescent="0.25">
      <c r="A3663" s="22"/>
      <c r="B3663" s="22"/>
      <c r="C3663" s="22"/>
      <c r="D3663" s="22"/>
      <c r="E3663" s="22"/>
      <c r="F3663" s="22"/>
      <c r="G3663" s="22"/>
      <c r="H3663" s="22"/>
      <c r="I3663" s="22"/>
      <c r="J3663" s="22"/>
      <c r="K3663" s="22"/>
      <c r="L3663" s="22"/>
      <c r="M3663" s="22"/>
      <c r="N3663" s="22"/>
      <c r="O3663" s="22"/>
      <c r="P3663" s="22"/>
      <c r="Q3663" s="22"/>
      <c r="R3663" s="22"/>
      <c r="S3663" s="22"/>
      <c r="T3663" s="22"/>
      <c r="U3663" s="22"/>
      <c r="V3663" s="22"/>
      <c r="W3663" s="22"/>
      <c r="X3663" s="22"/>
    </row>
    <row r="3664" spans="1:24" x14ac:dyDescent="0.25">
      <c r="A3664" s="22"/>
      <c r="B3664" s="22"/>
      <c r="C3664" s="22"/>
      <c r="D3664" s="22"/>
      <c r="E3664" s="22"/>
      <c r="F3664" s="22"/>
      <c r="G3664" s="22"/>
      <c r="H3664" s="22"/>
      <c r="I3664" s="22"/>
      <c r="J3664" s="22"/>
      <c r="K3664" s="22"/>
      <c r="L3664" s="22"/>
      <c r="M3664" s="22"/>
      <c r="N3664" s="22"/>
      <c r="O3664" s="22"/>
      <c r="P3664" s="22"/>
      <c r="Q3664" s="22"/>
      <c r="R3664" s="22"/>
      <c r="S3664" s="22"/>
      <c r="T3664" s="22"/>
      <c r="U3664" s="22"/>
      <c r="V3664" s="22"/>
      <c r="W3664" s="22"/>
      <c r="X3664" s="22"/>
    </row>
    <row r="3665" spans="1:24" x14ac:dyDescent="0.25">
      <c r="A3665" s="22"/>
      <c r="B3665" s="22"/>
      <c r="C3665" s="22"/>
      <c r="D3665" s="22"/>
      <c r="E3665" s="22"/>
      <c r="F3665" s="22"/>
      <c r="G3665" s="22"/>
      <c r="H3665" s="22"/>
      <c r="I3665" s="22"/>
      <c r="J3665" s="22"/>
      <c r="K3665" s="22"/>
      <c r="L3665" s="22"/>
      <c r="M3665" s="22"/>
      <c r="N3665" s="22"/>
      <c r="O3665" s="22"/>
      <c r="P3665" s="22"/>
      <c r="Q3665" s="22"/>
      <c r="R3665" s="22"/>
      <c r="S3665" s="22"/>
      <c r="T3665" s="22"/>
      <c r="U3665" s="22"/>
      <c r="V3665" s="22"/>
      <c r="W3665" s="22"/>
      <c r="X3665" s="22"/>
    </row>
    <row r="3666" spans="1:24" x14ac:dyDescent="0.25">
      <c r="A3666" s="22"/>
      <c r="B3666" s="22"/>
      <c r="C3666" s="22"/>
      <c r="D3666" s="22"/>
      <c r="E3666" s="22"/>
      <c r="F3666" s="22"/>
      <c r="G3666" s="22"/>
      <c r="H3666" s="22"/>
      <c r="I3666" s="22"/>
      <c r="J3666" s="22"/>
      <c r="K3666" s="22"/>
      <c r="L3666" s="22"/>
      <c r="M3666" s="22"/>
      <c r="N3666" s="22"/>
      <c r="O3666" s="22"/>
      <c r="P3666" s="22"/>
      <c r="Q3666" s="22"/>
      <c r="R3666" s="22"/>
      <c r="S3666" s="22"/>
      <c r="T3666" s="22"/>
      <c r="U3666" s="22"/>
      <c r="V3666" s="22"/>
      <c r="W3666" s="22"/>
      <c r="X3666" s="22"/>
    </row>
    <row r="3667" spans="1:24" x14ac:dyDescent="0.25">
      <c r="A3667" s="22"/>
      <c r="B3667" s="22"/>
      <c r="C3667" s="22"/>
      <c r="D3667" s="22"/>
      <c r="E3667" s="22"/>
      <c r="F3667" s="22"/>
      <c r="G3667" s="22"/>
      <c r="H3667" s="22"/>
      <c r="I3667" s="22"/>
      <c r="J3667" s="22"/>
      <c r="K3667" s="22"/>
      <c r="L3667" s="22"/>
      <c r="M3667" s="22"/>
      <c r="N3667" s="22"/>
      <c r="O3667" s="22"/>
      <c r="P3667" s="22"/>
      <c r="Q3667" s="22"/>
      <c r="R3667" s="22"/>
      <c r="S3667" s="22"/>
      <c r="T3667" s="22"/>
      <c r="U3667" s="22"/>
      <c r="V3667" s="22"/>
      <c r="W3667" s="22"/>
      <c r="X3667" s="22"/>
    </row>
    <row r="3668" spans="1:24" x14ac:dyDescent="0.25">
      <c r="A3668" s="22"/>
      <c r="B3668" s="22"/>
      <c r="C3668" s="22"/>
      <c r="D3668" s="22"/>
      <c r="E3668" s="22"/>
      <c r="F3668" s="22"/>
      <c r="G3668" s="22"/>
      <c r="H3668" s="22"/>
      <c r="I3668" s="22"/>
      <c r="J3668" s="22"/>
      <c r="K3668" s="22"/>
      <c r="L3668" s="22"/>
      <c r="M3668" s="22"/>
      <c r="N3668" s="22"/>
      <c r="O3668" s="22"/>
      <c r="P3668" s="22"/>
      <c r="Q3668" s="22"/>
      <c r="R3668" s="22"/>
      <c r="S3668" s="22"/>
      <c r="T3668" s="22"/>
      <c r="U3668" s="22"/>
      <c r="V3668" s="22"/>
      <c r="W3668" s="22"/>
      <c r="X3668" s="22"/>
    </row>
    <row r="3669" spans="1:24" x14ac:dyDescent="0.25">
      <c r="A3669" s="22"/>
      <c r="B3669" s="22"/>
      <c r="C3669" s="22"/>
      <c r="D3669" s="22"/>
      <c r="E3669" s="22"/>
      <c r="F3669" s="22"/>
      <c r="G3669" s="22"/>
      <c r="H3669" s="22"/>
      <c r="I3669" s="22"/>
      <c r="J3669" s="22"/>
      <c r="K3669" s="22"/>
      <c r="L3669" s="22"/>
      <c r="M3669" s="22"/>
      <c r="N3669" s="22"/>
      <c r="O3669" s="22"/>
      <c r="P3669" s="22"/>
      <c r="Q3669" s="22"/>
      <c r="R3669" s="22"/>
      <c r="S3669" s="22"/>
      <c r="T3669" s="22"/>
      <c r="U3669" s="22"/>
      <c r="V3669" s="22"/>
      <c r="W3669" s="22"/>
      <c r="X3669" s="22"/>
    </row>
    <row r="3670" spans="1:24" x14ac:dyDescent="0.25">
      <c r="A3670" s="22"/>
      <c r="B3670" s="22"/>
      <c r="C3670" s="22"/>
      <c r="D3670" s="22"/>
      <c r="E3670" s="22"/>
      <c r="F3670" s="22"/>
      <c r="G3670" s="22"/>
      <c r="H3670" s="22"/>
      <c r="I3670" s="22"/>
      <c r="J3670" s="22"/>
      <c r="K3670" s="22"/>
      <c r="L3670" s="22"/>
      <c r="M3670" s="22"/>
      <c r="N3670" s="22"/>
      <c r="O3670" s="22"/>
      <c r="P3670" s="22"/>
      <c r="Q3670" s="22"/>
      <c r="R3670" s="22"/>
      <c r="S3670" s="22"/>
      <c r="T3670" s="22"/>
      <c r="U3670" s="22"/>
      <c r="V3670" s="22"/>
      <c r="W3670" s="22"/>
      <c r="X3670" s="22"/>
    </row>
    <row r="3671" spans="1:24" x14ac:dyDescent="0.25">
      <c r="A3671" s="22"/>
      <c r="B3671" s="22"/>
      <c r="C3671" s="22"/>
      <c r="D3671" s="22"/>
      <c r="E3671" s="22"/>
      <c r="F3671" s="22"/>
      <c r="G3671" s="22"/>
      <c r="H3671" s="22"/>
      <c r="I3671" s="22"/>
      <c r="J3671" s="22"/>
      <c r="K3671" s="22"/>
      <c r="L3671" s="22"/>
      <c r="M3671" s="22"/>
      <c r="N3671" s="22"/>
      <c r="O3671" s="22"/>
      <c r="P3671" s="22"/>
      <c r="Q3671" s="22"/>
      <c r="R3671" s="22"/>
      <c r="S3671" s="22"/>
      <c r="T3671" s="22"/>
      <c r="U3671" s="22"/>
      <c r="V3671" s="22"/>
      <c r="W3671" s="22"/>
      <c r="X3671" s="22"/>
    </row>
    <row r="3672" spans="1:24" x14ac:dyDescent="0.25">
      <c r="A3672" s="22"/>
      <c r="B3672" s="22"/>
      <c r="C3672" s="22"/>
      <c r="D3672" s="22"/>
      <c r="E3672" s="22"/>
      <c r="F3672" s="22"/>
      <c r="G3672" s="22"/>
      <c r="H3672" s="22"/>
      <c r="I3672" s="22"/>
      <c r="J3672" s="22"/>
      <c r="K3672" s="22"/>
      <c r="L3672" s="22"/>
      <c r="M3672" s="22"/>
      <c r="N3672" s="22"/>
      <c r="O3672" s="22"/>
      <c r="P3672" s="22"/>
      <c r="Q3672" s="22"/>
      <c r="R3672" s="22"/>
      <c r="S3672" s="22"/>
      <c r="T3672" s="22"/>
      <c r="U3672" s="22"/>
      <c r="V3672" s="22"/>
      <c r="W3672" s="22"/>
      <c r="X3672" s="22"/>
    </row>
    <row r="3673" spans="1:24" x14ac:dyDescent="0.25">
      <c r="A3673" s="22"/>
      <c r="B3673" s="22"/>
      <c r="C3673" s="22"/>
      <c r="D3673" s="22"/>
      <c r="E3673" s="22"/>
      <c r="F3673" s="22"/>
      <c r="G3673" s="22"/>
      <c r="H3673" s="22"/>
      <c r="I3673" s="22"/>
      <c r="J3673" s="22"/>
      <c r="K3673" s="22"/>
      <c r="L3673" s="22"/>
      <c r="M3673" s="22"/>
      <c r="N3673" s="22"/>
      <c r="O3673" s="22"/>
      <c r="P3673" s="22"/>
      <c r="Q3673" s="22"/>
      <c r="R3673" s="22"/>
      <c r="S3673" s="22"/>
      <c r="T3673" s="22"/>
      <c r="U3673" s="22"/>
      <c r="V3673" s="22"/>
      <c r="W3673" s="22"/>
      <c r="X3673" s="22"/>
    </row>
    <row r="3674" spans="1:24" x14ac:dyDescent="0.25">
      <c r="A3674" s="22"/>
      <c r="B3674" s="22"/>
      <c r="C3674" s="22"/>
      <c r="D3674" s="22"/>
      <c r="E3674" s="22"/>
      <c r="F3674" s="22"/>
      <c r="G3674" s="22"/>
      <c r="H3674" s="22"/>
      <c r="I3674" s="22"/>
      <c r="J3674" s="22"/>
      <c r="K3674" s="22"/>
      <c r="L3674" s="22"/>
      <c r="M3674" s="22"/>
      <c r="N3674" s="22"/>
      <c r="O3674" s="22"/>
      <c r="P3674" s="22"/>
      <c r="Q3674" s="22"/>
      <c r="R3674" s="22"/>
      <c r="S3674" s="22"/>
      <c r="T3674" s="22"/>
      <c r="U3674" s="22"/>
      <c r="V3674" s="22"/>
      <c r="W3674" s="22"/>
      <c r="X3674" s="22"/>
    </row>
    <row r="3675" spans="1:24" x14ac:dyDescent="0.25">
      <c r="A3675" s="22"/>
      <c r="B3675" s="22"/>
      <c r="C3675" s="22"/>
      <c r="D3675" s="22"/>
      <c r="E3675" s="22"/>
      <c r="F3675" s="22"/>
      <c r="G3675" s="22"/>
      <c r="H3675" s="22"/>
      <c r="I3675" s="22"/>
      <c r="J3675" s="22"/>
      <c r="K3675" s="22"/>
      <c r="L3675" s="22"/>
      <c r="M3675" s="22"/>
      <c r="N3675" s="22"/>
      <c r="O3675" s="22"/>
      <c r="P3675" s="22"/>
      <c r="Q3675" s="22"/>
      <c r="R3675" s="22"/>
      <c r="S3675" s="22"/>
      <c r="T3675" s="22"/>
      <c r="U3675" s="22"/>
      <c r="V3675" s="22"/>
      <c r="W3675" s="22"/>
      <c r="X3675" s="22"/>
    </row>
    <row r="3676" spans="1:24" x14ac:dyDescent="0.25">
      <c r="A3676" s="22"/>
      <c r="B3676" s="22"/>
      <c r="C3676" s="22"/>
      <c r="D3676" s="22"/>
      <c r="E3676" s="22"/>
      <c r="F3676" s="22"/>
      <c r="G3676" s="22"/>
      <c r="H3676" s="22"/>
      <c r="I3676" s="22"/>
      <c r="J3676" s="22"/>
      <c r="K3676" s="22"/>
      <c r="L3676" s="22"/>
      <c r="M3676" s="22"/>
      <c r="N3676" s="22"/>
      <c r="O3676" s="22"/>
      <c r="P3676" s="22"/>
      <c r="Q3676" s="22"/>
      <c r="R3676" s="22"/>
      <c r="S3676" s="22"/>
      <c r="T3676" s="22"/>
      <c r="U3676" s="22"/>
      <c r="V3676" s="22"/>
      <c r="W3676" s="22"/>
      <c r="X3676" s="22"/>
    </row>
    <row r="3677" spans="1:24" x14ac:dyDescent="0.25">
      <c r="A3677" s="22"/>
      <c r="B3677" s="22"/>
      <c r="C3677" s="22"/>
      <c r="D3677" s="22"/>
      <c r="E3677" s="22"/>
      <c r="F3677" s="22"/>
      <c r="G3677" s="22"/>
      <c r="H3677" s="22"/>
      <c r="I3677" s="22"/>
      <c r="J3677" s="22"/>
      <c r="K3677" s="22"/>
      <c r="L3677" s="22"/>
      <c r="M3677" s="22"/>
      <c r="N3677" s="22"/>
      <c r="O3677" s="22"/>
      <c r="P3677" s="22"/>
      <c r="Q3677" s="22"/>
      <c r="R3677" s="22"/>
      <c r="S3677" s="22"/>
      <c r="T3677" s="22"/>
      <c r="U3677" s="22"/>
      <c r="V3677" s="22"/>
      <c r="W3677" s="22"/>
      <c r="X3677" s="22"/>
    </row>
    <row r="3678" spans="1:24" x14ac:dyDescent="0.25">
      <c r="A3678" s="22"/>
      <c r="B3678" s="22"/>
      <c r="C3678" s="22"/>
      <c r="D3678" s="22"/>
      <c r="E3678" s="22"/>
      <c r="F3678" s="22"/>
      <c r="G3678" s="22"/>
      <c r="H3678" s="22"/>
      <c r="I3678" s="22"/>
      <c r="J3678" s="22"/>
      <c r="K3678" s="22"/>
      <c r="L3678" s="22"/>
      <c r="M3678" s="22"/>
      <c r="N3678" s="22"/>
      <c r="O3678" s="22"/>
      <c r="P3678" s="22"/>
      <c r="Q3678" s="22"/>
      <c r="R3678" s="22"/>
      <c r="S3678" s="22"/>
      <c r="T3678" s="22"/>
      <c r="U3678" s="22"/>
      <c r="V3678" s="22"/>
      <c r="W3678" s="22"/>
      <c r="X3678" s="22"/>
    </row>
    <row r="3679" spans="1:24" x14ac:dyDescent="0.25">
      <c r="A3679" s="22"/>
      <c r="B3679" s="22"/>
      <c r="C3679" s="22"/>
      <c r="D3679" s="22"/>
      <c r="E3679" s="22"/>
      <c r="F3679" s="22"/>
      <c r="G3679" s="22"/>
      <c r="H3679" s="22"/>
      <c r="I3679" s="22"/>
      <c r="J3679" s="22"/>
      <c r="K3679" s="22"/>
      <c r="L3679" s="22"/>
      <c r="M3679" s="22"/>
      <c r="N3679" s="22"/>
      <c r="O3679" s="22"/>
      <c r="P3679" s="22"/>
      <c r="Q3679" s="22"/>
      <c r="R3679" s="22"/>
      <c r="S3679" s="22"/>
      <c r="T3679" s="22"/>
      <c r="U3679" s="22"/>
      <c r="V3679" s="22"/>
      <c r="W3679" s="22"/>
      <c r="X3679" s="22"/>
    </row>
    <row r="3680" spans="1:24" x14ac:dyDescent="0.25">
      <c r="A3680" s="22"/>
      <c r="B3680" s="22"/>
      <c r="C3680" s="22"/>
      <c r="D3680" s="22"/>
      <c r="E3680" s="22"/>
      <c r="F3680" s="22"/>
      <c r="G3680" s="22"/>
      <c r="H3680" s="22"/>
      <c r="I3680" s="22"/>
      <c r="J3680" s="22"/>
      <c r="K3680" s="22"/>
      <c r="L3680" s="22"/>
      <c r="M3680" s="22"/>
      <c r="N3680" s="22"/>
      <c r="O3680" s="22"/>
      <c r="P3680" s="22"/>
      <c r="Q3680" s="22"/>
      <c r="R3680" s="22"/>
      <c r="S3680" s="22"/>
      <c r="T3680" s="22"/>
      <c r="U3680" s="22"/>
      <c r="V3680" s="22"/>
      <c r="W3680" s="22"/>
      <c r="X3680" s="22"/>
    </row>
    <row r="3681" spans="1:24" x14ac:dyDescent="0.25">
      <c r="A3681" s="22"/>
      <c r="B3681" s="22"/>
      <c r="C3681" s="22"/>
      <c r="D3681" s="22"/>
      <c r="E3681" s="22"/>
      <c r="F3681" s="22"/>
      <c r="G3681" s="22"/>
      <c r="H3681" s="22"/>
      <c r="I3681" s="22"/>
      <c r="J3681" s="22"/>
      <c r="K3681" s="22"/>
      <c r="L3681" s="22"/>
      <c r="M3681" s="22"/>
      <c r="N3681" s="22"/>
      <c r="O3681" s="22"/>
      <c r="P3681" s="22"/>
      <c r="Q3681" s="22"/>
      <c r="R3681" s="22"/>
      <c r="S3681" s="22"/>
      <c r="T3681" s="22"/>
      <c r="U3681" s="22"/>
      <c r="V3681" s="22"/>
      <c r="W3681" s="22"/>
      <c r="X3681" s="22"/>
    </row>
    <row r="3682" spans="1:24" x14ac:dyDescent="0.25">
      <c r="A3682" s="22"/>
      <c r="B3682" s="22"/>
      <c r="C3682" s="22"/>
      <c r="D3682" s="22"/>
      <c r="E3682" s="22"/>
      <c r="F3682" s="22"/>
      <c r="G3682" s="22"/>
      <c r="H3682" s="22"/>
      <c r="I3682" s="22"/>
      <c r="J3682" s="22"/>
      <c r="K3682" s="22"/>
      <c r="L3682" s="22"/>
      <c r="M3682" s="22"/>
      <c r="N3682" s="22"/>
      <c r="O3682" s="22"/>
      <c r="P3682" s="22"/>
      <c r="Q3682" s="22"/>
      <c r="R3682" s="22"/>
      <c r="S3682" s="22"/>
      <c r="T3682" s="22"/>
      <c r="U3682" s="22"/>
      <c r="V3682" s="22"/>
      <c r="W3682" s="22"/>
      <c r="X3682" s="22"/>
    </row>
    <row r="3683" spans="1:24" x14ac:dyDescent="0.25">
      <c r="A3683" s="22"/>
      <c r="B3683" s="22"/>
      <c r="C3683" s="22"/>
      <c r="D3683" s="22"/>
      <c r="E3683" s="22"/>
      <c r="F3683" s="22"/>
      <c r="G3683" s="22"/>
      <c r="H3683" s="22"/>
      <c r="I3683" s="22"/>
      <c r="J3683" s="22"/>
      <c r="K3683" s="22"/>
      <c r="L3683" s="22"/>
      <c r="M3683" s="22"/>
      <c r="N3683" s="22"/>
      <c r="O3683" s="22"/>
      <c r="P3683" s="22"/>
      <c r="Q3683" s="22"/>
      <c r="R3683" s="22"/>
      <c r="S3683" s="22"/>
      <c r="T3683" s="22"/>
      <c r="U3683" s="22"/>
      <c r="V3683" s="22"/>
      <c r="W3683" s="22"/>
      <c r="X3683" s="22"/>
    </row>
    <row r="3684" spans="1:24" x14ac:dyDescent="0.25">
      <c r="A3684" s="22"/>
      <c r="B3684" s="22"/>
      <c r="C3684" s="22"/>
      <c r="D3684" s="22"/>
      <c r="E3684" s="22"/>
      <c r="F3684" s="22"/>
      <c r="G3684" s="22"/>
      <c r="H3684" s="22"/>
      <c r="I3684" s="22"/>
      <c r="J3684" s="22"/>
      <c r="K3684" s="22"/>
      <c r="L3684" s="22"/>
      <c r="M3684" s="22"/>
      <c r="N3684" s="22"/>
      <c r="O3684" s="22"/>
      <c r="P3684" s="22"/>
      <c r="Q3684" s="22"/>
      <c r="R3684" s="22"/>
      <c r="S3684" s="22"/>
      <c r="T3684" s="22"/>
      <c r="U3684" s="22"/>
      <c r="V3684" s="22"/>
      <c r="W3684" s="22"/>
      <c r="X3684" s="22"/>
    </row>
    <row r="3685" spans="1:24" x14ac:dyDescent="0.25">
      <c r="A3685" s="22"/>
      <c r="B3685" s="22"/>
      <c r="C3685" s="22"/>
      <c r="D3685" s="22"/>
      <c r="E3685" s="22"/>
      <c r="F3685" s="22"/>
      <c r="G3685" s="22"/>
      <c r="H3685" s="22"/>
      <c r="I3685" s="22"/>
      <c r="J3685" s="22"/>
      <c r="K3685" s="22"/>
      <c r="L3685" s="22"/>
      <c r="M3685" s="22"/>
      <c r="N3685" s="22"/>
      <c r="O3685" s="22"/>
      <c r="P3685" s="22"/>
      <c r="Q3685" s="22"/>
      <c r="R3685" s="22"/>
      <c r="S3685" s="22"/>
      <c r="T3685" s="22"/>
      <c r="U3685" s="22"/>
      <c r="V3685" s="22"/>
      <c r="W3685" s="22"/>
      <c r="X3685" s="22"/>
    </row>
    <row r="3686" spans="1:24" x14ac:dyDescent="0.25">
      <c r="A3686" s="22"/>
      <c r="B3686" s="22"/>
      <c r="C3686" s="22"/>
      <c r="D3686" s="22"/>
      <c r="E3686" s="22"/>
      <c r="F3686" s="22"/>
      <c r="G3686" s="22"/>
      <c r="H3686" s="22"/>
      <c r="I3686" s="22"/>
      <c r="J3686" s="22"/>
      <c r="K3686" s="22"/>
      <c r="L3686" s="22"/>
      <c r="M3686" s="22"/>
      <c r="N3686" s="22"/>
      <c r="O3686" s="22"/>
      <c r="P3686" s="22"/>
      <c r="Q3686" s="22"/>
      <c r="R3686" s="22"/>
      <c r="S3686" s="22"/>
      <c r="T3686" s="22"/>
      <c r="U3686" s="22"/>
      <c r="V3686" s="22"/>
      <c r="W3686" s="22"/>
      <c r="X3686" s="22"/>
    </row>
    <row r="3687" spans="1:24" x14ac:dyDescent="0.25">
      <c r="A3687" s="22"/>
      <c r="B3687" s="22"/>
      <c r="C3687" s="22"/>
      <c r="D3687" s="22"/>
      <c r="E3687" s="22"/>
      <c r="F3687" s="22"/>
      <c r="G3687" s="22"/>
      <c r="H3687" s="22"/>
      <c r="I3687" s="22"/>
      <c r="J3687" s="22"/>
      <c r="K3687" s="22"/>
      <c r="L3687" s="22"/>
      <c r="M3687" s="22"/>
      <c r="N3687" s="22"/>
      <c r="O3687" s="22"/>
      <c r="P3687" s="22"/>
      <c r="Q3687" s="22"/>
      <c r="R3687" s="22"/>
      <c r="S3687" s="22"/>
      <c r="T3687" s="22"/>
      <c r="U3687" s="22"/>
      <c r="V3687" s="22"/>
      <c r="W3687" s="22"/>
      <c r="X3687" s="22"/>
    </row>
    <row r="3688" spans="1:24" x14ac:dyDescent="0.25">
      <c r="A3688" s="22"/>
      <c r="B3688" s="22"/>
      <c r="C3688" s="22"/>
      <c r="D3688" s="22"/>
      <c r="E3688" s="22"/>
      <c r="F3688" s="22"/>
      <c r="G3688" s="22"/>
      <c r="H3688" s="22"/>
      <c r="I3688" s="22"/>
      <c r="J3688" s="22"/>
      <c r="K3688" s="22"/>
      <c r="L3688" s="22"/>
      <c r="M3688" s="22"/>
      <c r="N3688" s="22"/>
      <c r="O3688" s="22"/>
      <c r="P3688" s="22"/>
      <c r="Q3688" s="22"/>
      <c r="R3688" s="22"/>
      <c r="S3688" s="22"/>
      <c r="T3688" s="22"/>
      <c r="U3688" s="22"/>
      <c r="V3688" s="22"/>
      <c r="W3688" s="22"/>
      <c r="X3688" s="22"/>
    </row>
    <row r="3689" spans="1:24" x14ac:dyDescent="0.25">
      <c r="A3689" s="22"/>
      <c r="B3689" s="22"/>
      <c r="C3689" s="22"/>
      <c r="D3689" s="22"/>
      <c r="E3689" s="22"/>
      <c r="F3689" s="22"/>
      <c r="G3689" s="22"/>
      <c r="H3689" s="22"/>
      <c r="I3689" s="22"/>
      <c r="J3689" s="22"/>
      <c r="K3689" s="22"/>
      <c r="L3689" s="22"/>
      <c r="M3689" s="22"/>
      <c r="N3689" s="22"/>
      <c r="O3689" s="22"/>
      <c r="P3689" s="22"/>
      <c r="Q3689" s="22"/>
      <c r="R3689" s="22"/>
      <c r="S3689" s="22"/>
      <c r="T3689" s="22"/>
      <c r="U3689" s="22"/>
      <c r="V3689" s="22"/>
      <c r="W3689" s="22"/>
      <c r="X3689" s="22"/>
    </row>
    <row r="3690" spans="1:24" x14ac:dyDescent="0.25">
      <c r="A3690" s="22"/>
      <c r="B3690" s="22"/>
      <c r="C3690" s="22"/>
      <c r="D3690" s="22"/>
      <c r="E3690" s="22"/>
      <c r="F3690" s="22"/>
      <c r="G3690" s="22"/>
      <c r="H3690" s="22"/>
      <c r="I3690" s="22"/>
      <c r="J3690" s="22"/>
      <c r="K3690" s="22"/>
      <c r="L3690" s="22"/>
      <c r="M3690" s="22"/>
      <c r="N3690" s="22"/>
      <c r="O3690" s="22"/>
      <c r="P3690" s="22"/>
      <c r="Q3690" s="22"/>
      <c r="R3690" s="22"/>
      <c r="S3690" s="22"/>
      <c r="T3690" s="22"/>
      <c r="U3690" s="22"/>
      <c r="V3690" s="22"/>
      <c r="W3690" s="22"/>
      <c r="X3690" s="22"/>
    </row>
    <row r="3691" spans="1:24" x14ac:dyDescent="0.25">
      <c r="A3691" s="22"/>
      <c r="B3691" s="22"/>
      <c r="C3691" s="22"/>
      <c r="D3691" s="22"/>
      <c r="E3691" s="22"/>
      <c r="F3691" s="22"/>
      <c r="G3691" s="22"/>
      <c r="H3691" s="22"/>
      <c r="I3691" s="22"/>
      <c r="J3691" s="22"/>
      <c r="K3691" s="22"/>
      <c r="L3691" s="22"/>
      <c r="M3691" s="22"/>
      <c r="N3691" s="22"/>
      <c r="O3691" s="22"/>
      <c r="P3691" s="22"/>
      <c r="Q3691" s="22"/>
      <c r="R3691" s="22"/>
      <c r="S3691" s="22"/>
      <c r="T3691" s="22"/>
      <c r="U3691" s="22"/>
      <c r="V3691" s="22"/>
      <c r="W3691" s="22"/>
      <c r="X3691" s="22"/>
    </row>
    <row r="3692" spans="1:24" x14ac:dyDescent="0.25">
      <c r="A3692" s="22"/>
      <c r="B3692" s="22"/>
      <c r="C3692" s="22"/>
      <c r="D3692" s="22"/>
      <c r="E3692" s="22"/>
      <c r="F3692" s="22"/>
      <c r="G3692" s="22"/>
      <c r="H3692" s="22"/>
      <c r="I3692" s="22"/>
      <c r="J3692" s="22"/>
      <c r="K3692" s="22"/>
      <c r="L3692" s="22"/>
      <c r="M3692" s="22"/>
      <c r="N3692" s="22"/>
      <c r="O3692" s="22"/>
      <c r="P3692" s="22"/>
      <c r="Q3692" s="22"/>
      <c r="R3692" s="22"/>
      <c r="S3692" s="22"/>
      <c r="T3692" s="22"/>
      <c r="U3692" s="22"/>
      <c r="V3692" s="22"/>
      <c r="W3692" s="22"/>
      <c r="X3692" s="22"/>
    </row>
    <row r="3693" spans="1:24" x14ac:dyDescent="0.25">
      <c r="A3693" s="22"/>
      <c r="B3693" s="22"/>
      <c r="C3693" s="22"/>
      <c r="D3693" s="22"/>
      <c r="E3693" s="22"/>
      <c r="F3693" s="22"/>
      <c r="G3693" s="22"/>
      <c r="H3693" s="22"/>
      <c r="I3693" s="22"/>
      <c r="J3693" s="22"/>
      <c r="K3693" s="22"/>
      <c r="L3693" s="22"/>
      <c r="M3693" s="22"/>
      <c r="N3693" s="22"/>
      <c r="O3693" s="22"/>
      <c r="P3693" s="22"/>
      <c r="Q3693" s="22"/>
      <c r="R3693" s="22"/>
      <c r="S3693" s="22"/>
      <c r="T3693" s="22"/>
      <c r="U3693" s="22"/>
      <c r="V3693" s="22"/>
      <c r="W3693" s="22"/>
      <c r="X3693" s="22"/>
    </row>
    <row r="3694" spans="1:24" x14ac:dyDescent="0.25">
      <c r="A3694" s="22"/>
      <c r="B3694" s="22"/>
      <c r="C3694" s="22"/>
      <c r="D3694" s="22"/>
      <c r="E3694" s="22"/>
      <c r="F3694" s="22"/>
      <c r="G3694" s="22"/>
      <c r="H3694" s="22"/>
      <c r="I3694" s="22"/>
      <c r="J3694" s="22"/>
      <c r="K3694" s="22"/>
      <c r="L3694" s="22"/>
      <c r="M3694" s="22"/>
      <c r="N3694" s="22"/>
      <c r="O3694" s="22"/>
      <c r="P3694" s="22"/>
      <c r="Q3694" s="22"/>
      <c r="R3694" s="22"/>
      <c r="S3694" s="22"/>
      <c r="T3694" s="22"/>
      <c r="U3694" s="22"/>
      <c r="V3694" s="22"/>
      <c r="W3694" s="22"/>
      <c r="X3694" s="22"/>
    </row>
    <row r="3695" spans="1:24" x14ac:dyDescent="0.25">
      <c r="A3695" s="22"/>
      <c r="B3695" s="22"/>
      <c r="C3695" s="22"/>
      <c r="D3695" s="22"/>
      <c r="E3695" s="22"/>
      <c r="F3695" s="22"/>
      <c r="G3695" s="22"/>
      <c r="H3695" s="22"/>
      <c r="I3695" s="22"/>
      <c r="J3695" s="22"/>
      <c r="K3695" s="22"/>
      <c r="L3695" s="22"/>
      <c r="M3695" s="22"/>
      <c r="N3695" s="22"/>
      <c r="O3695" s="22"/>
      <c r="P3695" s="22"/>
      <c r="Q3695" s="22"/>
      <c r="R3695" s="22"/>
      <c r="S3695" s="22"/>
      <c r="T3695" s="22"/>
      <c r="U3695" s="22"/>
      <c r="V3695" s="22"/>
      <c r="W3695" s="22"/>
      <c r="X3695" s="22"/>
    </row>
    <row r="3696" spans="1:24" x14ac:dyDescent="0.25">
      <c r="A3696" s="22"/>
      <c r="B3696" s="22"/>
      <c r="C3696" s="22"/>
      <c r="D3696" s="22"/>
      <c r="E3696" s="22"/>
      <c r="F3696" s="22"/>
      <c r="G3696" s="22"/>
      <c r="H3696" s="22"/>
      <c r="I3696" s="22"/>
      <c r="J3696" s="22"/>
      <c r="K3696" s="22"/>
      <c r="L3696" s="22"/>
      <c r="M3696" s="22"/>
      <c r="N3696" s="22"/>
      <c r="O3696" s="22"/>
      <c r="P3696" s="22"/>
      <c r="Q3696" s="22"/>
      <c r="R3696" s="22"/>
      <c r="S3696" s="22"/>
      <c r="T3696" s="22"/>
      <c r="U3696" s="22"/>
      <c r="V3696" s="22"/>
      <c r="W3696" s="22"/>
      <c r="X3696" s="22"/>
    </row>
    <row r="3697" spans="1:24" x14ac:dyDescent="0.25">
      <c r="A3697" s="22"/>
      <c r="B3697" s="22"/>
      <c r="C3697" s="22"/>
      <c r="D3697" s="22"/>
      <c r="E3697" s="22"/>
      <c r="F3697" s="22"/>
      <c r="G3697" s="22"/>
      <c r="H3697" s="22"/>
      <c r="I3697" s="22"/>
      <c r="J3697" s="22"/>
      <c r="K3697" s="22"/>
      <c r="L3697" s="22"/>
      <c r="M3697" s="22"/>
      <c r="N3697" s="22"/>
      <c r="O3697" s="22"/>
      <c r="P3697" s="22"/>
      <c r="Q3697" s="22"/>
      <c r="R3697" s="22"/>
      <c r="S3697" s="22"/>
      <c r="T3697" s="22"/>
      <c r="U3697" s="22"/>
      <c r="V3697" s="22"/>
      <c r="W3697" s="22"/>
      <c r="X3697" s="22"/>
    </row>
    <row r="3698" spans="1:24" x14ac:dyDescent="0.25">
      <c r="A3698" s="22"/>
      <c r="B3698" s="22"/>
      <c r="C3698" s="22"/>
      <c r="D3698" s="22"/>
      <c r="E3698" s="22"/>
      <c r="F3698" s="22"/>
      <c r="G3698" s="22"/>
      <c r="H3698" s="22"/>
      <c r="I3698" s="22"/>
      <c r="J3698" s="22"/>
      <c r="K3698" s="22"/>
      <c r="L3698" s="22"/>
      <c r="M3698" s="22"/>
      <c r="N3698" s="22"/>
      <c r="O3698" s="22"/>
      <c r="P3698" s="22"/>
      <c r="Q3698" s="22"/>
      <c r="R3698" s="22"/>
      <c r="S3698" s="22"/>
      <c r="T3698" s="22"/>
      <c r="U3698" s="22"/>
      <c r="V3698" s="22"/>
      <c r="W3698" s="22"/>
      <c r="X3698" s="22"/>
    </row>
    <row r="3699" spans="1:24" x14ac:dyDescent="0.25">
      <c r="A3699" s="22"/>
      <c r="B3699" s="22"/>
      <c r="C3699" s="22"/>
      <c r="D3699" s="22"/>
      <c r="E3699" s="22"/>
      <c r="F3699" s="22"/>
      <c r="G3699" s="22"/>
      <c r="H3699" s="22"/>
      <c r="I3699" s="22"/>
      <c r="J3699" s="22"/>
      <c r="K3699" s="22"/>
      <c r="L3699" s="22"/>
      <c r="M3699" s="22"/>
      <c r="N3699" s="22"/>
      <c r="O3699" s="22"/>
      <c r="P3699" s="22"/>
      <c r="Q3699" s="22"/>
      <c r="R3699" s="22"/>
      <c r="S3699" s="22"/>
      <c r="T3699" s="22"/>
      <c r="U3699" s="22"/>
      <c r="V3699" s="22"/>
      <c r="W3699" s="22"/>
      <c r="X3699" s="22"/>
    </row>
    <row r="3700" spans="1:24" x14ac:dyDescent="0.25">
      <c r="A3700" s="22"/>
      <c r="B3700" s="22"/>
      <c r="C3700" s="22"/>
      <c r="D3700" s="22"/>
      <c r="E3700" s="22"/>
      <c r="F3700" s="22"/>
      <c r="G3700" s="22"/>
      <c r="H3700" s="22"/>
      <c r="I3700" s="22"/>
      <c r="J3700" s="22"/>
      <c r="K3700" s="22"/>
      <c r="L3700" s="22"/>
      <c r="M3700" s="22"/>
      <c r="N3700" s="22"/>
      <c r="O3700" s="22"/>
      <c r="P3700" s="22"/>
      <c r="Q3700" s="22"/>
      <c r="R3700" s="22"/>
      <c r="S3700" s="22"/>
      <c r="T3700" s="22"/>
      <c r="U3700" s="22"/>
      <c r="V3700" s="22"/>
      <c r="W3700" s="22"/>
      <c r="X3700" s="22"/>
    </row>
    <row r="3701" spans="1:24" x14ac:dyDescent="0.25">
      <c r="A3701" s="22"/>
      <c r="B3701" s="22"/>
      <c r="C3701" s="22"/>
      <c r="D3701" s="22"/>
      <c r="E3701" s="22"/>
      <c r="F3701" s="22"/>
      <c r="G3701" s="22"/>
      <c r="H3701" s="22"/>
      <c r="I3701" s="22"/>
      <c r="J3701" s="22"/>
      <c r="K3701" s="22"/>
      <c r="L3701" s="22"/>
      <c r="M3701" s="22"/>
      <c r="N3701" s="22"/>
      <c r="O3701" s="22"/>
      <c r="P3701" s="22"/>
      <c r="Q3701" s="22"/>
      <c r="R3701" s="22"/>
      <c r="S3701" s="22"/>
      <c r="T3701" s="22"/>
      <c r="U3701" s="22"/>
      <c r="V3701" s="22"/>
      <c r="W3701" s="22"/>
      <c r="X3701" s="22"/>
    </row>
    <row r="3702" spans="1:24" x14ac:dyDescent="0.25">
      <c r="A3702" s="22"/>
      <c r="B3702" s="22"/>
      <c r="C3702" s="22"/>
      <c r="D3702" s="22"/>
      <c r="E3702" s="22"/>
      <c r="F3702" s="22"/>
      <c r="G3702" s="22"/>
      <c r="H3702" s="22"/>
      <c r="I3702" s="22"/>
      <c r="J3702" s="22"/>
      <c r="K3702" s="22"/>
      <c r="L3702" s="22"/>
      <c r="M3702" s="22"/>
      <c r="N3702" s="22"/>
      <c r="O3702" s="22"/>
      <c r="P3702" s="22"/>
      <c r="Q3702" s="22"/>
      <c r="R3702" s="22"/>
      <c r="S3702" s="22"/>
      <c r="T3702" s="22"/>
      <c r="U3702" s="22"/>
      <c r="V3702" s="22"/>
      <c r="W3702" s="22"/>
      <c r="X3702" s="22"/>
    </row>
    <row r="3703" spans="1:24" x14ac:dyDescent="0.25">
      <c r="A3703" s="22"/>
      <c r="B3703" s="22"/>
      <c r="C3703" s="22"/>
      <c r="D3703" s="22"/>
      <c r="E3703" s="22"/>
      <c r="F3703" s="22"/>
      <c r="G3703" s="22"/>
      <c r="H3703" s="22"/>
      <c r="I3703" s="22"/>
      <c r="J3703" s="22"/>
      <c r="K3703" s="22"/>
      <c r="L3703" s="22"/>
      <c r="M3703" s="22"/>
      <c r="N3703" s="22"/>
      <c r="O3703" s="22"/>
      <c r="P3703" s="22"/>
      <c r="Q3703" s="22"/>
      <c r="R3703" s="22"/>
      <c r="S3703" s="22"/>
      <c r="T3703" s="22"/>
      <c r="U3703" s="22"/>
      <c r="V3703" s="22"/>
      <c r="W3703" s="22"/>
      <c r="X3703" s="22"/>
    </row>
    <row r="3704" spans="1:24" x14ac:dyDescent="0.25">
      <c r="A3704" s="22"/>
      <c r="B3704" s="22"/>
      <c r="C3704" s="22"/>
      <c r="D3704" s="22"/>
      <c r="E3704" s="22"/>
      <c r="F3704" s="22"/>
      <c r="G3704" s="22"/>
      <c r="H3704" s="22"/>
      <c r="I3704" s="22"/>
      <c r="J3704" s="22"/>
      <c r="K3704" s="22"/>
      <c r="L3704" s="22"/>
      <c r="M3704" s="22"/>
      <c r="N3704" s="22"/>
      <c r="O3704" s="22"/>
      <c r="P3704" s="22"/>
      <c r="Q3704" s="22"/>
      <c r="R3704" s="22"/>
      <c r="S3704" s="22"/>
      <c r="T3704" s="22"/>
      <c r="U3704" s="22"/>
      <c r="V3704" s="22"/>
      <c r="W3704" s="22"/>
      <c r="X3704" s="22"/>
    </row>
    <row r="3705" spans="1:24" x14ac:dyDescent="0.25">
      <c r="A3705" s="22"/>
      <c r="B3705" s="22"/>
      <c r="C3705" s="22"/>
      <c r="D3705" s="22"/>
      <c r="E3705" s="22"/>
      <c r="F3705" s="22"/>
      <c r="G3705" s="22"/>
      <c r="H3705" s="22"/>
      <c r="I3705" s="22"/>
      <c r="J3705" s="22"/>
      <c r="K3705" s="22"/>
      <c r="L3705" s="22"/>
      <c r="M3705" s="22"/>
      <c r="N3705" s="22"/>
      <c r="O3705" s="22"/>
      <c r="P3705" s="22"/>
      <c r="Q3705" s="22"/>
      <c r="R3705" s="22"/>
      <c r="S3705" s="22"/>
      <c r="T3705" s="22"/>
      <c r="U3705" s="22"/>
      <c r="V3705" s="22"/>
      <c r="W3705" s="22"/>
      <c r="X3705" s="22"/>
    </row>
    <row r="3706" spans="1:24" x14ac:dyDescent="0.25">
      <c r="A3706" s="22"/>
      <c r="B3706" s="22"/>
      <c r="C3706" s="22"/>
      <c r="D3706" s="22"/>
      <c r="E3706" s="22"/>
      <c r="F3706" s="22"/>
      <c r="G3706" s="22"/>
      <c r="H3706" s="22"/>
      <c r="I3706" s="22"/>
      <c r="J3706" s="22"/>
      <c r="K3706" s="22"/>
      <c r="L3706" s="22"/>
      <c r="M3706" s="22"/>
      <c r="N3706" s="22"/>
      <c r="O3706" s="22"/>
      <c r="P3706" s="22"/>
      <c r="Q3706" s="22"/>
      <c r="R3706" s="22"/>
      <c r="S3706" s="22"/>
      <c r="T3706" s="22"/>
      <c r="U3706" s="22"/>
      <c r="V3706" s="22"/>
      <c r="W3706" s="22"/>
      <c r="X3706" s="22"/>
    </row>
    <row r="3707" spans="1:24" x14ac:dyDescent="0.25">
      <c r="A3707" s="22"/>
      <c r="B3707" s="22"/>
      <c r="C3707" s="22"/>
      <c r="D3707" s="22"/>
      <c r="E3707" s="22"/>
      <c r="F3707" s="22"/>
      <c r="G3707" s="22"/>
      <c r="H3707" s="22"/>
      <c r="I3707" s="22"/>
      <c r="J3707" s="22"/>
      <c r="K3707" s="22"/>
      <c r="L3707" s="22"/>
      <c r="M3707" s="22"/>
      <c r="N3707" s="22"/>
      <c r="O3707" s="22"/>
      <c r="P3707" s="22"/>
      <c r="Q3707" s="22"/>
      <c r="R3707" s="22"/>
      <c r="S3707" s="22"/>
      <c r="T3707" s="22"/>
      <c r="U3707" s="22"/>
      <c r="V3707" s="22"/>
      <c r="W3707" s="22"/>
      <c r="X3707" s="22"/>
    </row>
    <row r="3708" spans="1:24" x14ac:dyDescent="0.25">
      <c r="A3708" s="22"/>
      <c r="B3708" s="22"/>
      <c r="C3708" s="22"/>
      <c r="D3708" s="22"/>
      <c r="E3708" s="22"/>
      <c r="F3708" s="22"/>
      <c r="G3708" s="22"/>
      <c r="H3708" s="22"/>
      <c r="I3708" s="22"/>
      <c r="J3708" s="22"/>
      <c r="K3708" s="22"/>
      <c r="L3708" s="22"/>
      <c r="M3708" s="22"/>
      <c r="N3708" s="22"/>
      <c r="O3708" s="22"/>
      <c r="P3708" s="22"/>
      <c r="Q3708" s="22"/>
      <c r="R3708" s="22"/>
      <c r="S3708" s="22"/>
      <c r="T3708" s="22"/>
      <c r="U3708" s="22"/>
      <c r="V3708" s="22"/>
      <c r="W3708" s="22"/>
      <c r="X3708" s="22"/>
    </row>
    <row r="3709" spans="1:24" x14ac:dyDescent="0.25">
      <c r="A3709" s="22"/>
      <c r="B3709" s="22"/>
      <c r="C3709" s="22"/>
      <c r="D3709" s="22"/>
      <c r="E3709" s="22"/>
      <c r="F3709" s="22"/>
      <c r="G3709" s="22"/>
      <c r="H3709" s="22"/>
      <c r="I3709" s="22"/>
      <c r="J3709" s="22"/>
      <c r="K3709" s="22"/>
      <c r="L3709" s="22"/>
      <c r="M3709" s="22"/>
      <c r="N3709" s="22"/>
      <c r="O3709" s="22"/>
      <c r="P3709" s="22"/>
      <c r="Q3709" s="22"/>
      <c r="R3709" s="22"/>
      <c r="S3709" s="22"/>
      <c r="T3709" s="22"/>
      <c r="U3709" s="22"/>
      <c r="V3709" s="22"/>
      <c r="W3709" s="22"/>
      <c r="X3709" s="22"/>
    </row>
    <row r="3710" spans="1:24" x14ac:dyDescent="0.25">
      <c r="A3710" s="22"/>
      <c r="B3710" s="22"/>
      <c r="C3710" s="22"/>
      <c r="D3710" s="22"/>
      <c r="E3710" s="22"/>
      <c r="F3710" s="22"/>
      <c r="G3710" s="22"/>
      <c r="H3710" s="22"/>
      <c r="I3710" s="22"/>
      <c r="J3710" s="22"/>
      <c r="K3710" s="22"/>
      <c r="L3710" s="22"/>
      <c r="M3710" s="22"/>
      <c r="N3710" s="22"/>
      <c r="O3710" s="22"/>
      <c r="P3710" s="22"/>
      <c r="Q3710" s="22"/>
      <c r="R3710" s="22"/>
      <c r="S3710" s="22"/>
      <c r="T3710" s="22"/>
      <c r="U3710" s="22"/>
      <c r="V3710" s="22"/>
      <c r="W3710" s="22"/>
      <c r="X3710" s="22"/>
    </row>
    <row r="3711" spans="1:24" x14ac:dyDescent="0.25">
      <c r="A3711" s="22"/>
      <c r="B3711" s="22"/>
      <c r="C3711" s="22"/>
      <c r="D3711" s="22"/>
      <c r="E3711" s="22"/>
      <c r="F3711" s="22"/>
      <c r="G3711" s="22"/>
      <c r="H3711" s="22"/>
      <c r="I3711" s="22"/>
      <c r="J3711" s="22"/>
      <c r="K3711" s="22"/>
      <c r="L3711" s="22"/>
      <c r="M3711" s="22"/>
      <c r="N3711" s="22"/>
      <c r="O3711" s="22"/>
      <c r="P3711" s="22"/>
      <c r="Q3711" s="22"/>
      <c r="R3711" s="22"/>
      <c r="S3711" s="22"/>
      <c r="T3711" s="22"/>
      <c r="U3711" s="22"/>
      <c r="V3711" s="22"/>
      <c r="W3711" s="22"/>
      <c r="X3711" s="22"/>
    </row>
    <row r="3712" spans="1:24" x14ac:dyDescent="0.25">
      <c r="A3712" s="22"/>
      <c r="B3712" s="22"/>
      <c r="C3712" s="22"/>
      <c r="D3712" s="22"/>
      <c r="E3712" s="22"/>
      <c r="F3712" s="22"/>
      <c r="G3712" s="22"/>
      <c r="H3712" s="22"/>
      <c r="I3712" s="22"/>
      <c r="J3712" s="22"/>
      <c r="K3712" s="22"/>
      <c r="L3712" s="22"/>
      <c r="M3712" s="22"/>
      <c r="N3712" s="22"/>
      <c r="O3712" s="22"/>
      <c r="P3712" s="22"/>
      <c r="Q3712" s="22"/>
      <c r="R3712" s="22"/>
      <c r="S3712" s="22"/>
      <c r="T3712" s="22"/>
      <c r="U3712" s="22"/>
      <c r="V3712" s="22"/>
      <c r="W3712" s="22"/>
      <c r="X3712" s="22"/>
    </row>
    <row r="3713" spans="1:24" x14ac:dyDescent="0.25">
      <c r="A3713" s="22"/>
      <c r="B3713" s="22"/>
      <c r="C3713" s="22"/>
      <c r="D3713" s="22"/>
      <c r="E3713" s="22"/>
      <c r="F3713" s="22"/>
      <c r="G3713" s="22"/>
      <c r="H3713" s="22"/>
      <c r="I3713" s="22"/>
      <c r="J3713" s="22"/>
      <c r="K3713" s="22"/>
      <c r="L3713" s="22"/>
      <c r="M3713" s="22"/>
      <c r="N3713" s="22"/>
      <c r="O3713" s="22"/>
      <c r="P3713" s="22"/>
      <c r="Q3713" s="22"/>
      <c r="R3713" s="22"/>
      <c r="S3713" s="22"/>
      <c r="T3713" s="22"/>
      <c r="U3713" s="22"/>
      <c r="V3713" s="22"/>
      <c r="W3713" s="22"/>
      <c r="X3713" s="22"/>
    </row>
    <row r="3714" spans="1:24" x14ac:dyDescent="0.25">
      <c r="A3714" s="22"/>
      <c r="B3714" s="22"/>
      <c r="C3714" s="22"/>
      <c r="D3714" s="22"/>
      <c r="E3714" s="22"/>
      <c r="F3714" s="22"/>
      <c r="G3714" s="22"/>
      <c r="H3714" s="22"/>
      <c r="I3714" s="22"/>
      <c r="J3714" s="22"/>
      <c r="K3714" s="22"/>
      <c r="L3714" s="22"/>
      <c r="M3714" s="22"/>
      <c r="N3714" s="22"/>
      <c r="O3714" s="22"/>
      <c r="P3714" s="22"/>
      <c r="Q3714" s="22"/>
      <c r="R3714" s="22"/>
      <c r="S3714" s="22"/>
      <c r="T3714" s="22"/>
      <c r="U3714" s="22"/>
      <c r="V3714" s="22"/>
      <c r="W3714" s="22"/>
      <c r="X3714" s="22"/>
    </row>
    <row r="3715" spans="1:24" x14ac:dyDescent="0.25">
      <c r="A3715" s="22"/>
      <c r="B3715" s="22"/>
      <c r="C3715" s="22"/>
      <c r="D3715" s="22"/>
      <c r="E3715" s="22"/>
      <c r="F3715" s="22"/>
      <c r="G3715" s="22"/>
      <c r="H3715" s="22"/>
      <c r="I3715" s="22"/>
      <c r="J3715" s="22"/>
      <c r="K3715" s="22"/>
      <c r="L3715" s="22"/>
      <c r="M3715" s="22"/>
      <c r="N3715" s="22"/>
      <c r="O3715" s="22"/>
      <c r="P3715" s="22"/>
      <c r="Q3715" s="22"/>
      <c r="R3715" s="22"/>
      <c r="S3715" s="22"/>
      <c r="T3715" s="22"/>
      <c r="U3715" s="22"/>
      <c r="V3715" s="22"/>
      <c r="W3715" s="22"/>
      <c r="X3715" s="22"/>
    </row>
    <row r="3716" spans="1:24" x14ac:dyDescent="0.25">
      <c r="A3716" s="22"/>
      <c r="B3716" s="22"/>
      <c r="C3716" s="22"/>
      <c r="D3716" s="22"/>
      <c r="E3716" s="22"/>
      <c r="F3716" s="22"/>
      <c r="G3716" s="22"/>
      <c r="H3716" s="22"/>
      <c r="I3716" s="22"/>
      <c r="J3716" s="22"/>
      <c r="K3716" s="22"/>
      <c r="L3716" s="22"/>
      <c r="M3716" s="22"/>
      <c r="N3716" s="22"/>
      <c r="O3716" s="22"/>
      <c r="P3716" s="22"/>
      <c r="Q3716" s="22"/>
      <c r="R3716" s="22"/>
      <c r="S3716" s="22"/>
      <c r="T3716" s="22"/>
      <c r="U3716" s="22"/>
      <c r="V3716" s="22"/>
      <c r="W3716" s="22"/>
      <c r="X3716" s="22"/>
    </row>
    <row r="3717" spans="1:24" x14ac:dyDescent="0.25">
      <c r="A3717" s="22"/>
      <c r="B3717" s="22"/>
      <c r="C3717" s="22"/>
      <c r="D3717" s="22"/>
      <c r="E3717" s="22"/>
      <c r="F3717" s="22"/>
      <c r="G3717" s="22"/>
      <c r="H3717" s="22"/>
      <c r="I3717" s="22"/>
      <c r="J3717" s="22"/>
      <c r="K3717" s="22"/>
      <c r="L3717" s="22"/>
      <c r="M3717" s="22"/>
      <c r="N3717" s="22"/>
      <c r="O3717" s="22"/>
      <c r="P3717" s="22"/>
      <c r="Q3717" s="22"/>
      <c r="R3717" s="22"/>
      <c r="S3717" s="22"/>
      <c r="T3717" s="22"/>
      <c r="U3717" s="22"/>
      <c r="V3717" s="22"/>
      <c r="W3717" s="22"/>
      <c r="X3717" s="22"/>
    </row>
    <row r="3718" spans="1:24" x14ac:dyDescent="0.25">
      <c r="A3718" s="22"/>
      <c r="B3718" s="22"/>
      <c r="C3718" s="22"/>
      <c r="D3718" s="22"/>
      <c r="E3718" s="22"/>
      <c r="F3718" s="22"/>
      <c r="G3718" s="22"/>
      <c r="H3718" s="22"/>
      <c r="I3718" s="22"/>
      <c r="J3718" s="22"/>
      <c r="K3718" s="22"/>
      <c r="L3718" s="22"/>
      <c r="M3718" s="22"/>
      <c r="N3718" s="22"/>
      <c r="O3718" s="22"/>
      <c r="P3718" s="22"/>
      <c r="Q3718" s="22"/>
      <c r="R3718" s="22"/>
      <c r="S3718" s="22"/>
      <c r="T3718" s="22"/>
      <c r="U3718" s="22"/>
      <c r="V3718" s="22"/>
      <c r="W3718" s="22"/>
      <c r="X3718" s="22"/>
    </row>
    <row r="3719" spans="1:24" x14ac:dyDescent="0.25">
      <c r="A3719" s="22"/>
      <c r="B3719" s="22"/>
      <c r="C3719" s="22"/>
      <c r="D3719" s="22"/>
      <c r="E3719" s="22"/>
      <c r="F3719" s="22"/>
      <c r="G3719" s="22"/>
      <c r="H3719" s="22"/>
      <c r="I3719" s="22"/>
      <c r="J3719" s="22"/>
      <c r="K3719" s="22"/>
      <c r="L3719" s="22"/>
      <c r="M3719" s="22"/>
      <c r="N3719" s="22"/>
      <c r="O3719" s="22"/>
      <c r="P3719" s="22"/>
      <c r="Q3719" s="22"/>
      <c r="R3719" s="22"/>
      <c r="S3719" s="22"/>
      <c r="T3719" s="22"/>
      <c r="U3719" s="22"/>
      <c r="V3719" s="22"/>
      <c r="W3719" s="22"/>
      <c r="X3719" s="22"/>
    </row>
    <row r="3720" spans="1:24" x14ac:dyDescent="0.25">
      <c r="A3720" s="22"/>
      <c r="B3720" s="22"/>
      <c r="C3720" s="22"/>
      <c r="D3720" s="22"/>
      <c r="E3720" s="22"/>
      <c r="F3720" s="22"/>
      <c r="G3720" s="22"/>
      <c r="H3720" s="22"/>
      <c r="I3720" s="22"/>
      <c r="J3720" s="22"/>
      <c r="K3720" s="22"/>
      <c r="L3720" s="22"/>
      <c r="M3720" s="22"/>
      <c r="N3720" s="22"/>
      <c r="O3720" s="22"/>
      <c r="P3720" s="22"/>
      <c r="Q3720" s="22"/>
      <c r="R3720" s="22"/>
      <c r="S3720" s="22"/>
      <c r="T3720" s="22"/>
      <c r="U3720" s="22"/>
      <c r="V3720" s="22"/>
      <c r="W3720" s="22"/>
      <c r="X3720" s="22"/>
    </row>
    <row r="3721" spans="1:24" x14ac:dyDescent="0.25">
      <c r="A3721" s="22"/>
      <c r="B3721" s="22"/>
      <c r="C3721" s="22"/>
      <c r="D3721" s="22"/>
      <c r="E3721" s="22"/>
      <c r="F3721" s="22"/>
      <c r="G3721" s="22"/>
      <c r="H3721" s="22"/>
      <c r="I3721" s="22"/>
      <c r="J3721" s="22"/>
      <c r="K3721" s="22"/>
      <c r="L3721" s="22"/>
      <c r="M3721" s="22"/>
      <c r="N3721" s="22"/>
      <c r="O3721" s="22"/>
      <c r="P3721" s="22"/>
      <c r="Q3721" s="22"/>
      <c r="R3721" s="22"/>
      <c r="S3721" s="22"/>
      <c r="T3721" s="22"/>
      <c r="U3721" s="22"/>
      <c r="V3721" s="22"/>
      <c r="W3721" s="22"/>
      <c r="X3721" s="22"/>
    </row>
    <row r="3722" spans="1:24" x14ac:dyDescent="0.25">
      <c r="A3722" s="22"/>
      <c r="B3722" s="22"/>
      <c r="C3722" s="22"/>
      <c r="D3722" s="22"/>
      <c r="E3722" s="22"/>
      <c r="F3722" s="22"/>
      <c r="G3722" s="22"/>
      <c r="H3722" s="22"/>
      <c r="I3722" s="22"/>
      <c r="J3722" s="22"/>
      <c r="K3722" s="22"/>
      <c r="L3722" s="22"/>
      <c r="M3722" s="22"/>
      <c r="N3722" s="22"/>
      <c r="O3722" s="22"/>
      <c r="P3722" s="22"/>
      <c r="Q3722" s="22"/>
      <c r="R3722" s="22"/>
      <c r="S3722" s="22"/>
      <c r="T3722" s="22"/>
      <c r="U3722" s="22"/>
      <c r="V3722" s="22"/>
      <c r="W3722" s="22"/>
      <c r="X3722" s="22"/>
    </row>
    <row r="3723" spans="1:24" x14ac:dyDescent="0.25">
      <c r="A3723" s="22"/>
      <c r="B3723" s="22"/>
      <c r="C3723" s="22"/>
      <c r="D3723" s="22"/>
      <c r="E3723" s="22"/>
      <c r="F3723" s="22"/>
      <c r="G3723" s="22"/>
      <c r="H3723" s="22"/>
      <c r="I3723" s="22"/>
      <c r="J3723" s="22"/>
      <c r="K3723" s="22"/>
      <c r="L3723" s="22"/>
      <c r="M3723" s="22"/>
      <c r="N3723" s="22"/>
      <c r="O3723" s="22"/>
      <c r="P3723" s="22"/>
      <c r="Q3723" s="22"/>
      <c r="R3723" s="22"/>
      <c r="S3723" s="22"/>
      <c r="T3723" s="22"/>
      <c r="U3723" s="22"/>
      <c r="V3723" s="22"/>
      <c r="W3723" s="22"/>
      <c r="X3723" s="22"/>
    </row>
    <row r="3724" spans="1:24" x14ac:dyDescent="0.25">
      <c r="A3724" s="22"/>
      <c r="B3724" s="22"/>
      <c r="C3724" s="22"/>
      <c r="D3724" s="22"/>
      <c r="E3724" s="22"/>
      <c r="F3724" s="22"/>
      <c r="G3724" s="22"/>
      <c r="H3724" s="22"/>
      <c r="I3724" s="22"/>
      <c r="J3724" s="22"/>
      <c r="K3724" s="22"/>
      <c r="L3724" s="22"/>
      <c r="M3724" s="22"/>
      <c r="N3724" s="22"/>
      <c r="O3724" s="22"/>
      <c r="P3724" s="22"/>
      <c r="Q3724" s="22"/>
      <c r="R3724" s="22"/>
      <c r="S3724" s="22"/>
      <c r="T3724" s="22"/>
      <c r="U3724" s="22"/>
      <c r="V3724" s="22"/>
      <c r="W3724" s="22"/>
      <c r="X3724" s="22"/>
    </row>
    <row r="3725" spans="1:24" x14ac:dyDescent="0.25">
      <c r="A3725" s="22"/>
      <c r="B3725" s="22"/>
      <c r="C3725" s="22"/>
      <c r="D3725" s="22"/>
      <c r="E3725" s="22"/>
      <c r="F3725" s="22"/>
      <c r="G3725" s="22"/>
      <c r="H3725" s="22"/>
      <c r="I3725" s="22"/>
      <c r="J3725" s="22"/>
      <c r="K3725" s="22"/>
      <c r="L3725" s="22"/>
      <c r="M3725" s="22"/>
      <c r="N3725" s="22"/>
      <c r="O3725" s="22"/>
      <c r="P3725" s="22"/>
      <c r="Q3725" s="22"/>
      <c r="R3725" s="22"/>
      <c r="S3725" s="22"/>
      <c r="T3725" s="22"/>
      <c r="U3725" s="22"/>
      <c r="V3725" s="22"/>
      <c r="W3725" s="22"/>
      <c r="X3725" s="22"/>
    </row>
    <row r="3726" spans="1:24" x14ac:dyDescent="0.25">
      <c r="A3726" s="22"/>
      <c r="B3726" s="22"/>
      <c r="C3726" s="22"/>
      <c r="D3726" s="22"/>
      <c r="E3726" s="22"/>
      <c r="F3726" s="22"/>
      <c r="G3726" s="22"/>
      <c r="H3726" s="22"/>
      <c r="I3726" s="22"/>
      <c r="J3726" s="22"/>
      <c r="K3726" s="22"/>
      <c r="L3726" s="22"/>
      <c r="M3726" s="22"/>
      <c r="N3726" s="22"/>
      <c r="O3726" s="22"/>
      <c r="P3726" s="22"/>
      <c r="Q3726" s="22"/>
      <c r="R3726" s="22"/>
      <c r="S3726" s="22"/>
      <c r="T3726" s="22"/>
      <c r="U3726" s="22"/>
      <c r="V3726" s="22"/>
      <c r="W3726" s="22"/>
      <c r="X3726" s="22"/>
    </row>
    <row r="3727" spans="1:24" x14ac:dyDescent="0.25">
      <c r="A3727" s="22"/>
      <c r="B3727" s="22"/>
      <c r="C3727" s="22"/>
      <c r="D3727" s="22"/>
      <c r="E3727" s="22"/>
      <c r="F3727" s="22"/>
      <c r="G3727" s="22"/>
      <c r="H3727" s="22"/>
      <c r="I3727" s="22"/>
      <c r="J3727" s="22"/>
      <c r="K3727" s="22"/>
      <c r="L3727" s="22"/>
      <c r="M3727" s="22"/>
      <c r="N3727" s="22"/>
      <c r="O3727" s="22"/>
      <c r="P3727" s="22"/>
      <c r="Q3727" s="22"/>
      <c r="R3727" s="22"/>
      <c r="S3727" s="22"/>
      <c r="T3727" s="22"/>
      <c r="U3727" s="22"/>
      <c r="V3727" s="22"/>
      <c r="W3727" s="22"/>
      <c r="X3727" s="22"/>
    </row>
    <row r="3728" spans="1:24" x14ac:dyDescent="0.25">
      <c r="A3728" s="22"/>
      <c r="B3728" s="22"/>
      <c r="C3728" s="22"/>
      <c r="D3728" s="22"/>
      <c r="E3728" s="22"/>
      <c r="F3728" s="22"/>
      <c r="G3728" s="22"/>
      <c r="H3728" s="22"/>
      <c r="I3728" s="22"/>
      <c r="J3728" s="22"/>
      <c r="K3728" s="22"/>
      <c r="L3728" s="22"/>
      <c r="M3728" s="22"/>
      <c r="N3728" s="22"/>
      <c r="O3728" s="22"/>
      <c r="P3728" s="22"/>
      <c r="Q3728" s="22"/>
      <c r="R3728" s="22"/>
      <c r="S3728" s="22"/>
      <c r="T3728" s="22"/>
      <c r="U3728" s="22"/>
      <c r="V3728" s="22"/>
      <c r="W3728" s="22"/>
      <c r="X3728" s="22"/>
    </row>
    <row r="3729" spans="1:24" x14ac:dyDescent="0.25">
      <c r="A3729" s="22"/>
      <c r="B3729" s="22"/>
      <c r="C3729" s="22"/>
      <c r="D3729" s="22"/>
      <c r="E3729" s="22"/>
      <c r="F3729" s="22"/>
      <c r="G3729" s="22"/>
      <c r="H3729" s="22"/>
      <c r="I3729" s="22"/>
      <c r="J3729" s="22"/>
      <c r="K3729" s="22"/>
      <c r="L3729" s="22"/>
      <c r="M3729" s="22"/>
      <c r="N3729" s="22"/>
      <c r="O3729" s="22"/>
      <c r="P3729" s="22"/>
      <c r="Q3729" s="22"/>
      <c r="R3729" s="22"/>
      <c r="S3729" s="22"/>
      <c r="T3729" s="22"/>
      <c r="U3729" s="22"/>
      <c r="V3729" s="22"/>
      <c r="W3729" s="22"/>
      <c r="X3729" s="22"/>
    </row>
    <row r="3730" spans="1:24" x14ac:dyDescent="0.25">
      <c r="A3730" s="22"/>
      <c r="B3730" s="22"/>
      <c r="C3730" s="22"/>
      <c r="D3730" s="22"/>
      <c r="E3730" s="22"/>
      <c r="F3730" s="22"/>
      <c r="G3730" s="22"/>
      <c r="H3730" s="22"/>
      <c r="I3730" s="22"/>
      <c r="J3730" s="22"/>
      <c r="K3730" s="22"/>
      <c r="L3730" s="22"/>
      <c r="M3730" s="22"/>
      <c r="N3730" s="22"/>
      <c r="O3730" s="22"/>
      <c r="P3730" s="22"/>
      <c r="Q3730" s="22"/>
      <c r="R3730" s="22"/>
      <c r="S3730" s="22"/>
      <c r="T3730" s="22"/>
      <c r="U3730" s="22"/>
      <c r="V3730" s="22"/>
      <c r="W3730" s="22"/>
      <c r="X3730" s="22"/>
    </row>
    <row r="3731" spans="1:24" x14ac:dyDescent="0.25">
      <c r="A3731" s="22"/>
      <c r="B3731" s="22"/>
      <c r="C3731" s="22"/>
      <c r="D3731" s="22"/>
      <c r="E3731" s="22"/>
      <c r="F3731" s="22"/>
      <c r="G3731" s="22"/>
      <c r="H3731" s="22"/>
      <c r="I3731" s="22"/>
      <c r="J3731" s="22"/>
      <c r="K3731" s="22"/>
      <c r="L3731" s="22"/>
      <c r="M3731" s="22"/>
      <c r="N3731" s="22"/>
      <c r="O3731" s="22"/>
      <c r="P3731" s="22"/>
      <c r="Q3731" s="22"/>
      <c r="R3731" s="22"/>
      <c r="S3731" s="22"/>
      <c r="T3731" s="22"/>
      <c r="U3731" s="22"/>
      <c r="V3731" s="22"/>
      <c r="W3731" s="22"/>
      <c r="X3731" s="22"/>
    </row>
    <row r="3732" spans="1:24" x14ac:dyDescent="0.25">
      <c r="A3732" s="22"/>
      <c r="B3732" s="22"/>
      <c r="C3732" s="22"/>
      <c r="D3732" s="22"/>
      <c r="E3732" s="22"/>
      <c r="F3732" s="22"/>
      <c r="G3732" s="22"/>
      <c r="H3732" s="22"/>
      <c r="I3732" s="22"/>
      <c r="J3732" s="22"/>
      <c r="K3732" s="22"/>
      <c r="L3732" s="22"/>
      <c r="M3732" s="22"/>
      <c r="N3732" s="22"/>
      <c r="O3732" s="22"/>
      <c r="P3732" s="22"/>
      <c r="Q3732" s="22"/>
      <c r="R3732" s="22"/>
      <c r="S3732" s="22"/>
      <c r="T3732" s="22"/>
      <c r="U3732" s="22"/>
      <c r="V3732" s="22"/>
      <c r="W3732" s="22"/>
      <c r="X3732" s="22"/>
    </row>
    <row r="3733" spans="1:24" x14ac:dyDescent="0.25">
      <c r="A3733" s="22"/>
      <c r="B3733" s="22"/>
      <c r="C3733" s="22"/>
      <c r="D3733" s="22"/>
      <c r="E3733" s="22"/>
      <c r="F3733" s="22"/>
      <c r="G3733" s="22"/>
      <c r="H3733" s="22"/>
      <c r="I3733" s="22"/>
      <c r="J3733" s="22"/>
      <c r="K3733" s="22"/>
      <c r="L3733" s="22"/>
      <c r="M3733" s="22"/>
      <c r="N3733" s="22"/>
      <c r="O3733" s="22"/>
      <c r="P3733" s="22"/>
      <c r="Q3733" s="22"/>
      <c r="R3733" s="22"/>
      <c r="S3733" s="22"/>
      <c r="T3733" s="22"/>
      <c r="U3733" s="22"/>
      <c r="V3733" s="22"/>
      <c r="W3733" s="22"/>
      <c r="X3733" s="22"/>
    </row>
    <row r="3734" spans="1:24" x14ac:dyDescent="0.25">
      <c r="A3734" s="22"/>
      <c r="B3734" s="22"/>
      <c r="C3734" s="22"/>
      <c r="D3734" s="22"/>
      <c r="E3734" s="22"/>
      <c r="F3734" s="22"/>
      <c r="G3734" s="22"/>
      <c r="H3734" s="22"/>
      <c r="I3734" s="22"/>
      <c r="J3734" s="22"/>
      <c r="K3734" s="22"/>
      <c r="L3734" s="22"/>
      <c r="M3734" s="22"/>
      <c r="N3734" s="22"/>
      <c r="O3734" s="22"/>
      <c r="P3734" s="22"/>
      <c r="Q3734" s="22"/>
      <c r="R3734" s="22"/>
      <c r="S3734" s="22"/>
      <c r="T3734" s="22"/>
      <c r="U3734" s="22"/>
      <c r="V3734" s="22"/>
      <c r="W3734" s="22"/>
      <c r="X3734" s="22"/>
    </row>
    <row r="3735" spans="1:24" x14ac:dyDescent="0.25">
      <c r="A3735" s="22"/>
      <c r="B3735" s="22"/>
      <c r="C3735" s="22"/>
      <c r="D3735" s="22"/>
      <c r="E3735" s="22"/>
      <c r="F3735" s="22"/>
      <c r="G3735" s="22"/>
      <c r="H3735" s="22"/>
      <c r="I3735" s="22"/>
      <c r="J3735" s="22"/>
      <c r="K3735" s="22"/>
      <c r="L3735" s="22"/>
      <c r="M3735" s="22"/>
      <c r="N3735" s="22"/>
      <c r="O3735" s="22"/>
      <c r="P3735" s="22"/>
      <c r="Q3735" s="22"/>
      <c r="R3735" s="22"/>
      <c r="S3735" s="22"/>
      <c r="T3735" s="22"/>
      <c r="U3735" s="22"/>
      <c r="V3735" s="22"/>
      <c r="W3735" s="22"/>
      <c r="X3735" s="22"/>
    </row>
    <row r="3736" spans="1:24" x14ac:dyDescent="0.25">
      <c r="A3736" s="22"/>
      <c r="B3736" s="22"/>
      <c r="C3736" s="22"/>
      <c r="D3736" s="22"/>
      <c r="E3736" s="22"/>
      <c r="F3736" s="22"/>
      <c r="G3736" s="22"/>
      <c r="H3736" s="22"/>
      <c r="I3736" s="22"/>
      <c r="J3736" s="22"/>
      <c r="K3736" s="22"/>
      <c r="L3736" s="22"/>
      <c r="M3736" s="22"/>
      <c r="N3736" s="22"/>
      <c r="O3736" s="22"/>
      <c r="P3736" s="22"/>
      <c r="Q3736" s="22"/>
      <c r="R3736" s="22"/>
      <c r="S3736" s="22"/>
      <c r="T3736" s="22"/>
      <c r="U3736" s="22"/>
      <c r="V3736" s="22"/>
      <c r="W3736" s="22"/>
      <c r="X3736" s="22"/>
    </row>
    <row r="3737" spans="1:24" x14ac:dyDescent="0.25">
      <c r="A3737" s="22"/>
      <c r="B3737" s="22"/>
      <c r="C3737" s="22"/>
      <c r="D3737" s="22"/>
      <c r="E3737" s="22"/>
      <c r="F3737" s="22"/>
      <c r="G3737" s="22"/>
      <c r="H3737" s="22"/>
      <c r="I3737" s="22"/>
      <c r="J3737" s="22"/>
      <c r="K3737" s="22"/>
      <c r="L3737" s="22"/>
      <c r="M3737" s="22"/>
      <c r="N3737" s="22"/>
      <c r="O3737" s="22"/>
      <c r="P3737" s="22"/>
      <c r="Q3737" s="22"/>
      <c r="R3737" s="22"/>
      <c r="S3737" s="22"/>
      <c r="T3737" s="22"/>
      <c r="U3737" s="22"/>
      <c r="V3737" s="22"/>
      <c r="W3737" s="22"/>
      <c r="X3737" s="22"/>
    </row>
    <row r="3738" spans="1:24" x14ac:dyDescent="0.25">
      <c r="A3738" s="22"/>
      <c r="B3738" s="22"/>
      <c r="C3738" s="22"/>
      <c r="D3738" s="22"/>
      <c r="E3738" s="22"/>
      <c r="F3738" s="22"/>
      <c r="G3738" s="22"/>
      <c r="H3738" s="22"/>
      <c r="I3738" s="22"/>
      <c r="J3738" s="22"/>
      <c r="K3738" s="22"/>
      <c r="L3738" s="22"/>
      <c r="M3738" s="22"/>
      <c r="N3738" s="22"/>
      <c r="O3738" s="22"/>
      <c r="P3738" s="22"/>
      <c r="Q3738" s="22"/>
      <c r="R3738" s="22"/>
      <c r="S3738" s="22"/>
      <c r="T3738" s="22"/>
      <c r="U3738" s="22"/>
      <c r="V3738" s="22"/>
      <c r="W3738" s="22"/>
      <c r="X3738" s="22"/>
    </row>
    <row r="3739" spans="1:24" x14ac:dyDescent="0.25">
      <c r="A3739" s="22"/>
      <c r="B3739" s="22"/>
      <c r="C3739" s="22"/>
      <c r="D3739" s="22"/>
      <c r="E3739" s="22"/>
      <c r="F3739" s="22"/>
      <c r="G3739" s="22"/>
      <c r="H3739" s="22"/>
      <c r="I3739" s="22"/>
      <c r="J3739" s="22"/>
      <c r="K3739" s="22"/>
      <c r="L3739" s="22"/>
      <c r="M3739" s="22"/>
      <c r="N3739" s="22"/>
      <c r="O3739" s="22"/>
      <c r="P3739" s="22"/>
      <c r="Q3739" s="22"/>
      <c r="R3739" s="22"/>
      <c r="S3739" s="22"/>
      <c r="T3739" s="22"/>
      <c r="U3739" s="22"/>
      <c r="V3739" s="22"/>
      <c r="W3739" s="22"/>
      <c r="X3739" s="22"/>
    </row>
    <row r="3740" spans="1:24" x14ac:dyDescent="0.25">
      <c r="A3740" s="22"/>
      <c r="B3740" s="22"/>
      <c r="C3740" s="22"/>
      <c r="D3740" s="22"/>
      <c r="E3740" s="22"/>
      <c r="F3740" s="22"/>
      <c r="G3740" s="22"/>
      <c r="H3740" s="22"/>
      <c r="I3740" s="22"/>
      <c r="J3740" s="22"/>
      <c r="K3740" s="22"/>
      <c r="L3740" s="22"/>
      <c r="M3740" s="22"/>
      <c r="N3740" s="22"/>
      <c r="O3740" s="22"/>
      <c r="P3740" s="22"/>
      <c r="Q3740" s="22"/>
      <c r="R3740" s="22"/>
      <c r="S3740" s="22"/>
      <c r="T3740" s="22"/>
      <c r="U3740" s="22"/>
      <c r="V3740" s="22"/>
      <c r="W3740" s="22"/>
      <c r="X3740" s="22"/>
    </row>
    <row r="3741" spans="1:24" x14ac:dyDescent="0.25">
      <c r="A3741" s="22"/>
      <c r="B3741" s="22"/>
      <c r="C3741" s="22"/>
      <c r="D3741" s="22"/>
      <c r="E3741" s="22"/>
      <c r="F3741" s="22"/>
      <c r="G3741" s="22"/>
      <c r="H3741" s="22"/>
      <c r="I3741" s="22"/>
      <c r="J3741" s="22"/>
      <c r="K3741" s="22"/>
      <c r="L3741" s="22"/>
      <c r="M3741" s="22"/>
      <c r="N3741" s="22"/>
      <c r="O3741" s="22"/>
      <c r="P3741" s="22"/>
      <c r="Q3741" s="22"/>
      <c r="R3741" s="22"/>
      <c r="S3741" s="22"/>
      <c r="T3741" s="22"/>
      <c r="U3741" s="22"/>
      <c r="V3741" s="22"/>
      <c r="W3741" s="22"/>
      <c r="X3741" s="22"/>
    </row>
    <row r="3742" spans="1:24" x14ac:dyDescent="0.25">
      <c r="A3742" s="22"/>
      <c r="B3742" s="22"/>
      <c r="C3742" s="22"/>
      <c r="D3742" s="22"/>
      <c r="E3742" s="22"/>
      <c r="F3742" s="22"/>
      <c r="G3742" s="22"/>
      <c r="H3742" s="22"/>
      <c r="I3742" s="22"/>
      <c r="J3742" s="22"/>
      <c r="K3742" s="22"/>
      <c r="L3742" s="22"/>
      <c r="M3742" s="22"/>
      <c r="N3742" s="22"/>
      <c r="O3742" s="22"/>
      <c r="P3742" s="22"/>
      <c r="Q3742" s="22"/>
      <c r="R3742" s="22"/>
      <c r="S3742" s="22"/>
      <c r="T3742" s="22"/>
      <c r="U3742" s="22"/>
      <c r="V3742" s="22"/>
      <c r="W3742" s="22"/>
      <c r="X3742" s="22"/>
    </row>
    <row r="3743" spans="1:24" x14ac:dyDescent="0.25">
      <c r="A3743" s="22"/>
      <c r="B3743" s="22"/>
      <c r="C3743" s="22"/>
      <c r="D3743" s="22"/>
      <c r="E3743" s="22"/>
      <c r="F3743" s="22"/>
      <c r="G3743" s="22"/>
      <c r="H3743" s="22"/>
      <c r="I3743" s="22"/>
      <c r="J3743" s="22"/>
      <c r="K3743" s="22"/>
      <c r="L3743" s="22"/>
      <c r="M3743" s="22"/>
      <c r="N3743" s="22"/>
      <c r="O3743" s="22"/>
      <c r="P3743" s="22"/>
      <c r="Q3743" s="22"/>
      <c r="R3743" s="22"/>
      <c r="S3743" s="22"/>
      <c r="T3743" s="22"/>
      <c r="U3743" s="22"/>
      <c r="V3743" s="22"/>
      <c r="W3743" s="22"/>
      <c r="X3743" s="22"/>
    </row>
    <row r="3744" spans="1:24" x14ac:dyDescent="0.25">
      <c r="A3744" s="22"/>
      <c r="B3744" s="22"/>
      <c r="C3744" s="22"/>
      <c r="D3744" s="22"/>
      <c r="E3744" s="22"/>
      <c r="F3744" s="22"/>
      <c r="G3744" s="22"/>
      <c r="H3744" s="22"/>
      <c r="I3744" s="22"/>
      <c r="J3744" s="22"/>
      <c r="K3744" s="22"/>
      <c r="L3744" s="22"/>
      <c r="M3744" s="22"/>
      <c r="N3744" s="22"/>
      <c r="O3744" s="22"/>
      <c r="P3744" s="22"/>
      <c r="Q3744" s="22"/>
      <c r="R3744" s="22"/>
      <c r="S3744" s="22"/>
      <c r="T3744" s="22"/>
      <c r="U3744" s="22"/>
      <c r="V3744" s="22"/>
      <c r="W3744" s="22"/>
      <c r="X3744" s="22"/>
    </row>
    <row r="3745" spans="1:24" x14ac:dyDescent="0.25">
      <c r="A3745" s="22"/>
      <c r="B3745" s="22"/>
      <c r="C3745" s="22"/>
      <c r="D3745" s="22"/>
      <c r="E3745" s="22"/>
      <c r="F3745" s="22"/>
      <c r="G3745" s="22"/>
      <c r="H3745" s="22"/>
      <c r="I3745" s="22"/>
      <c r="J3745" s="22"/>
      <c r="K3745" s="22"/>
      <c r="L3745" s="22"/>
      <c r="M3745" s="22"/>
      <c r="N3745" s="22"/>
      <c r="O3745" s="22"/>
      <c r="P3745" s="22"/>
      <c r="Q3745" s="22"/>
      <c r="R3745" s="22"/>
      <c r="S3745" s="22"/>
      <c r="T3745" s="22"/>
      <c r="U3745" s="22"/>
      <c r="V3745" s="22"/>
      <c r="W3745" s="22"/>
      <c r="X3745" s="22"/>
    </row>
    <row r="3746" spans="1:24" x14ac:dyDescent="0.25">
      <c r="A3746" s="22"/>
      <c r="B3746" s="22"/>
      <c r="C3746" s="22"/>
      <c r="D3746" s="22"/>
      <c r="E3746" s="22"/>
      <c r="F3746" s="22"/>
      <c r="G3746" s="22"/>
      <c r="H3746" s="22"/>
      <c r="I3746" s="22"/>
      <c r="J3746" s="22"/>
      <c r="K3746" s="22"/>
      <c r="L3746" s="22"/>
      <c r="M3746" s="22"/>
      <c r="N3746" s="22"/>
      <c r="O3746" s="22"/>
      <c r="P3746" s="22"/>
      <c r="Q3746" s="22"/>
      <c r="R3746" s="22"/>
      <c r="S3746" s="22"/>
      <c r="T3746" s="22"/>
      <c r="U3746" s="22"/>
      <c r="V3746" s="22"/>
      <c r="W3746" s="22"/>
      <c r="X3746" s="22"/>
    </row>
    <row r="3747" spans="1:24" x14ac:dyDescent="0.25">
      <c r="A3747" s="22"/>
      <c r="B3747" s="22"/>
      <c r="C3747" s="22"/>
      <c r="D3747" s="22"/>
      <c r="E3747" s="22"/>
      <c r="F3747" s="22"/>
      <c r="G3747" s="22"/>
      <c r="H3747" s="22"/>
      <c r="I3747" s="22"/>
      <c r="J3747" s="22"/>
      <c r="K3747" s="22"/>
      <c r="L3747" s="22"/>
      <c r="M3747" s="22"/>
      <c r="N3747" s="22"/>
      <c r="O3747" s="22"/>
      <c r="P3747" s="22"/>
      <c r="Q3747" s="22"/>
      <c r="R3747" s="22"/>
      <c r="S3747" s="22"/>
      <c r="T3747" s="22"/>
      <c r="U3747" s="22"/>
      <c r="V3747" s="22"/>
      <c r="W3747" s="22"/>
      <c r="X3747" s="22"/>
    </row>
    <row r="3748" spans="1:24" x14ac:dyDescent="0.25">
      <c r="A3748" s="22"/>
      <c r="B3748" s="22"/>
      <c r="C3748" s="22"/>
      <c r="D3748" s="22"/>
      <c r="E3748" s="22"/>
      <c r="F3748" s="22"/>
      <c r="G3748" s="22"/>
      <c r="H3748" s="22"/>
      <c r="I3748" s="22"/>
      <c r="J3748" s="22"/>
      <c r="K3748" s="22"/>
      <c r="L3748" s="22"/>
      <c r="M3748" s="22"/>
      <c r="N3748" s="22"/>
      <c r="O3748" s="22"/>
      <c r="P3748" s="22"/>
      <c r="Q3748" s="22"/>
      <c r="R3748" s="22"/>
      <c r="S3748" s="22"/>
      <c r="T3748" s="22"/>
      <c r="U3748" s="22"/>
      <c r="V3748" s="22"/>
      <c r="W3748" s="22"/>
      <c r="X3748" s="22"/>
    </row>
    <row r="3749" spans="1:24" x14ac:dyDescent="0.25">
      <c r="A3749" s="22"/>
      <c r="B3749" s="22"/>
      <c r="C3749" s="22"/>
      <c r="D3749" s="22"/>
      <c r="E3749" s="22"/>
      <c r="F3749" s="22"/>
      <c r="G3749" s="22"/>
      <c r="H3749" s="22"/>
      <c r="I3749" s="22"/>
      <c r="J3749" s="22"/>
      <c r="K3749" s="22"/>
      <c r="L3749" s="22"/>
      <c r="M3749" s="22"/>
      <c r="N3749" s="22"/>
      <c r="O3749" s="22"/>
      <c r="P3749" s="22"/>
      <c r="Q3749" s="22"/>
      <c r="R3749" s="22"/>
      <c r="S3749" s="22"/>
      <c r="T3749" s="22"/>
      <c r="U3749" s="22"/>
      <c r="V3749" s="22"/>
      <c r="W3749" s="22"/>
      <c r="X3749" s="22"/>
    </row>
    <row r="3750" spans="1:24" x14ac:dyDescent="0.25">
      <c r="A3750" s="22"/>
      <c r="B3750" s="22"/>
      <c r="C3750" s="22"/>
      <c r="D3750" s="22"/>
      <c r="E3750" s="22"/>
      <c r="F3750" s="22"/>
      <c r="G3750" s="22"/>
      <c r="H3750" s="22"/>
      <c r="I3750" s="22"/>
      <c r="J3750" s="22"/>
      <c r="K3750" s="22"/>
      <c r="L3750" s="22"/>
      <c r="M3750" s="22"/>
      <c r="N3750" s="22"/>
      <c r="O3750" s="22"/>
      <c r="P3750" s="22"/>
      <c r="Q3750" s="22"/>
      <c r="R3750" s="22"/>
      <c r="S3750" s="22"/>
      <c r="T3750" s="22"/>
      <c r="U3750" s="22"/>
      <c r="V3750" s="22"/>
      <c r="W3750" s="22"/>
      <c r="X3750" s="22"/>
    </row>
    <row r="3751" spans="1:24" x14ac:dyDescent="0.25">
      <c r="A3751" s="22"/>
      <c r="B3751" s="22"/>
      <c r="C3751" s="22"/>
      <c r="D3751" s="22"/>
      <c r="E3751" s="22"/>
      <c r="F3751" s="22"/>
      <c r="G3751" s="22"/>
      <c r="H3751" s="22"/>
      <c r="I3751" s="22"/>
      <c r="J3751" s="22"/>
      <c r="K3751" s="22"/>
      <c r="L3751" s="22"/>
      <c r="M3751" s="22"/>
      <c r="N3751" s="22"/>
      <c r="O3751" s="22"/>
      <c r="P3751" s="22"/>
      <c r="Q3751" s="22"/>
      <c r="R3751" s="22"/>
      <c r="S3751" s="22"/>
      <c r="T3751" s="22"/>
      <c r="U3751" s="22"/>
      <c r="V3751" s="22"/>
      <c r="W3751" s="22"/>
      <c r="X3751" s="22"/>
    </row>
    <row r="3752" spans="1:24" x14ac:dyDescent="0.25">
      <c r="A3752" s="22"/>
      <c r="B3752" s="22"/>
      <c r="C3752" s="22"/>
      <c r="D3752" s="22"/>
      <c r="E3752" s="22"/>
      <c r="F3752" s="22"/>
      <c r="G3752" s="22"/>
      <c r="H3752" s="22"/>
      <c r="I3752" s="22"/>
      <c r="J3752" s="22"/>
      <c r="K3752" s="22"/>
      <c r="L3752" s="22"/>
      <c r="M3752" s="22"/>
      <c r="N3752" s="22"/>
      <c r="O3752" s="22"/>
      <c r="P3752" s="22"/>
      <c r="Q3752" s="22"/>
      <c r="R3752" s="22"/>
      <c r="S3752" s="22"/>
      <c r="T3752" s="22"/>
      <c r="U3752" s="22"/>
      <c r="V3752" s="22"/>
      <c r="W3752" s="22"/>
      <c r="X3752" s="22"/>
    </row>
    <row r="3753" spans="1:24" x14ac:dyDescent="0.25">
      <c r="A3753" s="22"/>
      <c r="B3753" s="22"/>
      <c r="C3753" s="22"/>
      <c r="D3753" s="22"/>
      <c r="E3753" s="22"/>
      <c r="F3753" s="22"/>
      <c r="G3753" s="22"/>
      <c r="H3753" s="22"/>
      <c r="I3753" s="22"/>
      <c r="J3753" s="22"/>
      <c r="K3753" s="22"/>
      <c r="L3753" s="22"/>
      <c r="M3753" s="22"/>
      <c r="N3753" s="22"/>
      <c r="O3753" s="22"/>
      <c r="P3753" s="22"/>
      <c r="Q3753" s="22"/>
      <c r="R3753" s="22"/>
      <c r="S3753" s="22"/>
      <c r="T3753" s="22"/>
      <c r="U3753" s="22"/>
      <c r="V3753" s="22"/>
      <c r="W3753" s="22"/>
      <c r="X3753" s="22"/>
    </row>
    <row r="3754" spans="1:24" x14ac:dyDescent="0.25">
      <c r="A3754" s="22"/>
      <c r="B3754" s="22"/>
      <c r="C3754" s="22"/>
      <c r="D3754" s="22"/>
      <c r="E3754" s="22"/>
      <c r="F3754" s="22"/>
      <c r="G3754" s="22"/>
      <c r="H3754" s="22"/>
      <c r="I3754" s="22"/>
      <c r="J3754" s="22"/>
      <c r="K3754" s="22"/>
      <c r="L3754" s="22"/>
      <c r="M3754" s="22"/>
      <c r="N3754" s="22"/>
      <c r="O3754" s="22"/>
      <c r="P3754" s="22"/>
      <c r="Q3754" s="22"/>
      <c r="R3754" s="22"/>
      <c r="S3754" s="22"/>
      <c r="T3754" s="22"/>
      <c r="U3754" s="22"/>
      <c r="V3754" s="22"/>
      <c r="W3754" s="22"/>
      <c r="X3754" s="22"/>
    </row>
    <row r="3755" spans="1:24" x14ac:dyDescent="0.25">
      <c r="A3755" s="22"/>
      <c r="B3755" s="22"/>
      <c r="C3755" s="22"/>
      <c r="D3755" s="22"/>
      <c r="E3755" s="22"/>
      <c r="F3755" s="22"/>
      <c r="G3755" s="22"/>
      <c r="H3755" s="22"/>
      <c r="I3755" s="22"/>
      <c r="J3755" s="22"/>
      <c r="K3755" s="22"/>
      <c r="L3755" s="22"/>
      <c r="M3755" s="22"/>
      <c r="N3755" s="22"/>
      <c r="O3755" s="22"/>
      <c r="P3755" s="22"/>
      <c r="Q3755" s="22"/>
      <c r="R3755" s="22"/>
      <c r="S3755" s="22"/>
      <c r="T3755" s="22"/>
      <c r="U3755" s="22"/>
      <c r="V3755" s="22"/>
      <c r="W3755" s="22"/>
      <c r="X3755" s="22"/>
    </row>
    <row r="3756" spans="1:24" x14ac:dyDescent="0.25">
      <c r="A3756" s="22"/>
      <c r="B3756" s="22"/>
      <c r="C3756" s="22"/>
      <c r="D3756" s="22"/>
      <c r="E3756" s="22"/>
      <c r="F3756" s="22"/>
      <c r="G3756" s="22"/>
      <c r="H3756" s="22"/>
      <c r="I3756" s="22"/>
      <c r="J3756" s="22"/>
      <c r="K3756" s="22"/>
      <c r="L3756" s="22"/>
      <c r="M3756" s="22"/>
      <c r="N3756" s="22"/>
      <c r="O3756" s="22"/>
      <c r="P3756" s="22"/>
      <c r="Q3756" s="22"/>
      <c r="R3756" s="22"/>
      <c r="S3756" s="22"/>
      <c r="T3756" s="22"/>
      <c r="U3756" s="22"/>
      <c r="V3756" s="22"/>
      <c r="W3756" s="22"/>
      <c r="X3756" s="22"/>
    </row>
    <row r="3757" spans="1:24" x14ac:dyDescent="0.25">
      <c r="A3757" s="22"/>
      <c r="B3757" s="22"/>
      <c r="C3757" s="22"/>
      <c r="D3757" s="22"/>
      <c r="E3757" s="22"/>
      <c r="F3757" s="22"/>
      <c r="G3757" s="22"/>
      <c r="H3757" s="22"/>
      <c r="I3757" s="22"/>
      <c r="J3757" s="22"/>
      <c r="K3757" s="22"/>
      <c r="L3757" s="22"/>
      <c r="M3757" s="22"/>
      <c r="N3757" s="22"/>
      <c r="O3757" s="22"/>
      <c r="P3757" s="22"/>
      <c r="Q3757" s="22"/>
      <c r="R3757" s="22"/>
      <c r="S3757" s="22"/>
      <c r="T3757" s="22"/>
      <c r="U3757" s="22"/>
      <c r="V3757" s="22"/>
      <c r="W3757" s="22"/>
      <c r="X3757" s="22"/>
    </row>
    <row r="3758" spans="1:24" x14ac:dyDescent="0.25">
      <c r="A3758" s="22"/>
      <c r="B3758" s="22"/>
      <c r="C3758" s="22"/>
      <c r="D3758" s="22"/>
      <c r="E3758" s="22"/>
      <c r="F3758" s="22"/>
      <c r="G3758" s="22"/>
      <c r="H3758" s="22"/>
      <c r="I3758" s="22"/>
      <c r="J3758" s="22"/>
      <c r="K3758" s="22"/>
      <c r="L3758" s="22"/>
      <c r="M3758" s="22"/>
      <c r="N3758" s="22"/>
      <c r="O3758" s="22"/>
      <c r="P3758" s="22"/>
      <c r="Q3758" s="22"/>
      <c r="R3758" s="22"/>
      <c r="S3758" s="22"/>
      <c r="T3758" s="22"/>
      <c r="U3758" s="22"/>
      <c r="V3758" s="22"/>
      <c r="W3758" s="22"/>
      <c r="X3758" s="22"/>
    </row>
    <row r="3759" spans="1:24" x14ac:dyDescent="0.25">
      <c r="A3759" s="22"/>
      <c r="B3759" s="22"/>
      <c r="C3759" s="22"/>
      <c r="D3759" s="22"/>
      <c r="E3759" s="22"/>
      <c r="F3759" s="22"/>
      <c r="G3759" s="22"/>
      <c r="H3759" s="22"/>
      <c r="I3759" s="22"/>
      <c r="J3759" s="22"/>
      <c r="K3759" s="22"/>
      <c r="L3759" s="22"/>
      <c r="M3759" s="22"/>
      <c r="N3759" s="22"/>
      <c r="O3759" s="22"/>
      <c r="P3759" s="22"/>
      <c r="Q3759" s="22"/>
      <c r="R3759" s="22"/>
      <c r="S3759" s="22"/>
      <c r="T3759" s="22"/>
      <c r="U3759" s="22"/>
      <c r="V3759" s="22"/>
      <c r="W3759" s="22"/>
      <c r="X3759" s="22"/>
    </row>
    <row r="3760" spans="1:24" x14ac:dyDescent="0.25">
      <c r="A3760" s="22"/>
      <c r="B3760" s="22"/>
      <c r="C3760" s="22"/>
      <c r="D3760" s="22"/>
      <c r="E3760" s="22"/>
      <c r="F3760" s="22"/>
      <c r="G3760" s="22"/>
      <c r="H3760" s="22"/>
      <c r="I3760" s="22"/>
      <c r="J3760" s="22"/>
      <c r="K3760" s="22"/>
      <c r="L3760" s="22"/>
      <c r="M3760" s="22"/>
      <c r="N3760" s="22"/>
      <c r="O3760" s="22"/>
      <c r="P3760" s="22"/>
      <c r="Q3760" s="22"/>
      <c r="R3760" s="22"/>
      <c r="S3760" s="22"/>
      <c r="T3760" s="22"/>
      <c r="U3760" s="22"/>
      <c r="V3760" s="22"/>
      <c r="W3760" s="22"/>
      <c r="X3760" s="22"/>
    </row>
    <row r="3761" spans="1:24" x14ac:dyDescent="0.25">
      <c r="A3761" s="22"/>
      <c r="B3761" s="22"/>
      <c r="C3761" s="22"/>
      <c r="D3761" s="22"/>
      <c r="E3761" s="22"/>
      <c r="F3761" s="22"/>
      <c r="G3761" s="22"/>
      <c r="H3761" s="22"/>
      <c r="I3761" s="22"/>
      <c r="J3761" s="22"/>
      <c r="K3761" s="22"/>
      <c r="L3761" s="22"/>
      <c r="M3761" s="22"/>
      <c r="N3761" s="22"/>
      <c r="O3761" s="22"/>
      <c r="P3761" s="22"/>
      <c r="Q3761" s="22"/>
      <c r="R3761" s="22"/>
      <c r="S3761" s="22"/>
      <c r="T3761" s="22"/>
      <c r="U3761" s="22"/>
      <c r="V3761" s="22"/>
      <c r="W3761" s="22"/>
      <c r="X3761" s="22"/>
    </row>
    <row r="3762" spans="1:24" x14ac:dyDescent="0.25">
      <c r="A3762" s="22"/>
      <c r="B3762" s="22"/>
      <c r="C3762" s="22"/>
      <c r="D3762" s="22"/>
      <c r="E3762" s="22"/>
      <c r="F3762" s="22"/>
      <c r="G3762" s="22"/>
      <c r="H3762" s="22"/>
      <c r="I3762" s="22"/>
      <c r="J3762" s="22"/>
      <c r="K3762" s="22"/>
      <c r="L3762" s="22"/>
      <c r="M3762" s="22"/>
      <c r="N3762" s="22"/>
      <c r="O3762" s="22"/>
      <c r="P3762" s="22"/>
      <c r="Q3762" s="22"/>
      <c r="R3762" s="22"/>
      <c r="S3762" s="22"/>
      <c r="T3762" s="22"/>
      <c r="U3762" s="22"/>
      <c r="V3762" s="22"/>
      <c r="W3762" s="22"/>
      <c r="X3762" s="22"/>
    </row>
    <row r="3763" spans="1:24" x14ac:dyDescent="0.25">
      <c r="A3763" s="22"/>
      <c r="B3763" s="22"/>
      <c r="C3763" s="22"/>
      <c r="D3763" s="22"/>
      <c r="E3763" s="22"/>
      <c r="F3763" s="22"/>
      <c r="G3763" s="22"/>
      <c r="H3763" s="22"/>
      <c r="I3763" s="22"/>
      <c r="J3763" s="22"/>
      <c r="K3763" s="22"/>
      <c r="L3763" s="22"/>
      <c r="M3763" s="22"/>
      <c r="N3763" s="22"/>
      <c r="O3763" s="22"/>
      <c r="P3763" s="22"/>
      <c r="Q3763" s="22"/>
      <c r="R3763" s="22"/>
      <c r="S3763" s="22"/>
      <c r="T3763" s="22"/>
      <c r="U3763" s="22"/>
      <c r="V3763" s="22"/>
      <c r="W3763" s="22"/>
      <c r="X3763" s="22"/>
    </row>
    <row r="3764" spans="1:24" x14ac:dyDescent="0.25">
      <c r="A3764" s="22"/>
      <c r="B3764" s="22"/>
      <c r="C3764" s="22"/>
      <c r="D3764" s="22"/>
      <c r="E3764" s="22"/>
      <c r="F3764" s="22"/>
      <c r="G3764" s="22"/>
      <c r="H3764" s="22"/>
      <c r="I3764" s="22"/>
      <c r="J3764" s="22"/>
      <c r="K3764" s="22"/>
      <c r="L3764" s="22"/>
      <c r="M3764" s="22"/>
      <c r="N3764" s="22"/>
      <c r="O3764" s="22"/>
      <c r="P3764" s="22"/>
      <c r="Q3764" s="22"/>
      <c r="R3764" s="22"/>
      <c r="S3764" s="22"/>
      <c r="T3764" s="22"/>
      <c r="U3764" s="22"/>
      <c r="V3764" s="22"/>
      <c r="W3764" s="22"/>
      <c r="X3764" s="22"/>
    </row>
    <row r="3765" spans="1:24" x14ac:dyDescent="0.25">
      <c r="A3765" s="22"/>
      <c r="B3765" s="22"/>
      <c r="C3765" s="22"/>
      <c r="D3765" s="22"/>
      <c r="E3765" s="22"/>
      <c r="F3765" s="22"/>
      <c r="G3765" s="22"/>
      <c r="H3765" s="22"/>
      <c r="I3765" s="22"/>
      <c r="J3765" s="22"/>
      <c r="K3765" s="22"/>
      <c r="L3765" s="22"/>
      <c r="M3765" s="22"/>
      <c r="N3765" s="22"/>
      <c r="O3765" s="22"/>
      <c r="P3765" s="22"/>
      <c r="Q3765" s="22"/>
      <c r="R3765" s="22"/>
      <c r="S3765" s="22"/>
      <c r="T3765" s="22"/>
      <c r="U3765" s="22"/>
      <c r="V3765" s="22"/>
      <c r="W3765" s="22"/>
      <c r="X3765" s="22"/>
    </row>
    <row r="3766" spans="1:24" x14ac:dyDescent="0.25">
      <c r="A3766" s="22"/>
      <c r="B3766" s="22"/>
      <c r="C3766" s="22"/>
      <c r="D3766" s="22"/>
      <c r="E3766" s="22"/>
      <c r="F3766" s="22"/>
      <c r="G3766" s="22"/>
      <c r="H3766" s="22"/>
      <c r="I3766" s="22"/>
      <c r="J3766" s="22"/>
      <c r="K3766" s="22"/>
      <c r="L3766" s="22"/>
      <c r="M3766" s="22"/>
      <c r="N3766" s="22"/>
      <c r="O3766" s="22"/>
      <c r="P3766" s="22"/>
      <c r="Q3766" s="22"/>
      <c r="R3766" s="22"/>
      <c r="S3766" s="22"/>
      <c r="T3766" s="22"/>
      <c r="U3766" s="22"/>
      <c r="V3766" s="22"/>
      <c r="W3766" s="22"/>
      <c r="X3766" s="22"/>
    </row>
    <row r="3767" spans="1:24" x14ac:dyDescent="0.25">
      <c r="A3767" s="22"/>
      <c r="B3767" s="22"/>
      <c r="C3767" s="22"/>
      <c r="D3767" s="22"/>
      <c r="E3767" s="22"/>
      <c r="F3767" s="22"/>
      <c r="G3767" s="22"/>
      <c r="H3767" s="22"/>
      <c r="I3767" s="22"/>
      <c r="J3767" s="22"/>
      <c r="K3767" s="22"/>
      <c r="L3767" s="22"/>
      <c r="M3767" s="22"/>
      <c r="N3767" s="22"/>
      <c r="O3767" s="22"/>
      <c r="P3767" s="22"/>
      <c r="Q3767" s="22"/>
      <c r="R3767" s="22"/>
      <c r="S3767" s="22"/>
      <c r="T3767" s="22"/>
      <c r="U3767" s="22"/>
      <c r="V3767" s="22"/>
      <c r="W3767" s="22"/>
      <c r="X3767" s="22"/>
    </row>
    <row r="3768" spans="1:24" x14ac:dyDescent="0.25">
      <c r="A3768" s="22"/>
      <c r="B3768" s="22"/>
      <c r="C3768" s="22"/>
      <c r="D3768" s="22"/>
      <c r="E3768" s="22"/>
      <c r="F3768" s="22"/>
      <c r="G3768" s="22"/>
      <c r="H3768" s="22"/>
      <c r="I3768" s="22"/>
      <c r="J3768" s="22"/>
      <c r="K3768" s="22"/>
      <c r="L3768" s="22"/>
      <c r="M3768" s="22"/>
      <c r="N3768" s="22"/>
      <c r="O3768" s="22"/>
      <c r="P3768" s="22"/>
      <c r="Q3768" s="22"/>
      <c r="R3768" s="22"/>
      <c r="S3768" s="22"/>
      <c r="T3768" s="22"/>
      <c r="U3768" s="22"/>
      <c r="V3768" s="22"/>
      <c r="W3768" s="22"/>
      <c r="X3768" s="22"/>
    </row>
    <row r="3769" spans="1:24" x14ac:dyDescent="0.25">
      <c r="A3769" s="22"/>
      <c r="B3769" s="22"/>
      <c r="C3769" s="22"/>
      <c r="D3769" s="22"/>
      <c r="E3769" s="22"/>
      <c r="F3769" s="22"/>
      <c r="G3769" s="22"/>
      <c r="H3769" s="22"/>
      <c r="I3769" s="22"/>
      <c r="J3769" s="22"/>
      <c r="K3769" s="22"/>
      <c r="L3769" s="22"/>
      <c r="M3769" s="22"/>
      <c r="N3769" s="22"/>
      <c r="O3769" s="22"/>
      <c r="P3769" s="22"/>
      <c r="Q3769" s="22"/>
      <c r="R3769" s="22"/>
      <c r="S3769" s="22"/>
      <c r="T3769" s="22"/>
      <c r="U3769" s="22"/>
      <c r="V3769" s="22"/>
      <c r="W3769" s="22"/>
      <c r="X3769" s="22"/>
    </row>
    <row r="3770" spans="1:24" x14ac:dyDescent="0.25">
      <c r="A3770" s="22"/>
      <c r="B3770" s="22"/>
      <c r="C3770" s="22"/>
      <c r="D3770" s="22"/>
      <c r="E3770" s="22"/>
      <c r="F3770" s="22"/>
      <c r="G3770" s="22"/>
      <c r="H3770" s="22"/>
      <c r="I3770" s="22"/>
      <c r="J3770" s="22"/>
      <c r="K3770" s="22"/>
      <c r="L3770" s="22"/>
      <c r="M3770" s="22"/>
      <c r="N3770" s="22"/>
      <c r="O3770" s="22"/>
      <c r="P3770" s="22"/>
      <c r="Q3770" s="22"/>
      <c r="R3770" s="22"/>
      <c r="S3770" s="22"/>
      <c r="T3770" s="22"/>
      <c r="U3770" s="22"/>
      <c r="V3770" s="22"/>
      <c r="W3770" s="22"/>
      <c r="X3770" s="22"/>
    </row>
    <row r="3771" spans="1:24" x14ac:dyDescent="0.25">
      <c r="A3771" s="22"/>
      <c r="B3771" s="22"/>
      <c r="C3771" s="22"/>
      <c r="D3771" s="22"/>
      <c r="E3771" s="22"/>
      <c r="F3771" s="22"/>
      <c r="G3771" s="22"/>
      <c r="H3771" s="22"/>
      <c r="I3771" s="22"/>
      <c r="J3771" s="22"/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  <c r="X3771" s="22"/>
    </row>
    <row r="3772" spans="1:24" x14ac:dyDescent="0.25">
      <c r="A3772" s="22"/>
      <c r="B3772" s="22"/>
      <c r="C3772" s="22"/>
      <c r="D3772" s="22"/>
      <c r="E3772" s="22"/>
      <c r="F3772" s="22"/>
      <c r="G3772" s="22"/>
      <c r="H3772" s="22"/>
      <c r="I3772" s="22"/>
      <c r="J3772" s="22"/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  <c r="X3772" s="22"/>
    </row>
    <row r="3773" spans="1:24" x14ac:dyDescent="0.25">
      <c r="A3773" s="22"/>
      <c r="B3773" s="22"/>
      <c r="C3773" s="22"/>
      <c r="D3773" s="22"/>
      <c r="E3773" s="22"/>
      <c r="F3773" s="22"/>
      <c r="G3773" s="22"/>
      <c r="H3773" s="22"/>
      <c r="I3773" s="22"/>
      <c r="J3773" s="22"/>
      <c r="K3773" s="22"/>
      <c r="L3773" s="22"/>
      <c r="M3773" s="22"/>
      <c r="N3773" s="22"/>
      <c r="O3773" s="22"/>
      <c r="P3773" s="22"/>
      <c r="Q3773" s="22"/>
      <c r="R3773" s="22"/>
      <c r="S3773" s="22"/>
      <c r="T3773" s="22"/>
      <c r="U3773" s="22"/>
      <c r="V3773" s="22"/>
      <c r="W3773" s="22"/>
      <c r="X3773" s="22"/>
    </row>
    <row r="3774" spans="1:24" x14ac:dyDescent="0.25">
      <c r="A3774" s="22"/>
      <c r="B3774" s="22"/>
      <c r="C3774" s="22"/>
      <c r="D3774" s="22"/>
      <c r="E3774" s="22"/>
      <c r="F3774" s="22"/>
      <c r="G3774" s="22"/>
      <c r="H3774" s="22"/>
      <c r="I3774" s="22"/>
      <c r="J3774" s="22"/>
      <c r="K3774" s="22"/>
      <c r="L3774" s="22"/>
      <c r="M3774" s="22"/>
      <c r="N3774" s="22"/>
      <c r="O3774" s="22"/>
      <c r="P3774" s="22"/>
      <c r="Q3774" s="22"/>
      <c r="R3774" s="22"/>
      <c r="S3774" s="22"/>
      <c r="T3774" s="22"/>
      <c r="U3774" s="22"/>
      <c r="V3774" s="22"/>
      <c r="W3774" s="22"/>
      <c r="X3774" s="22"/>
    </row>
    <row r="3775" spans="1:24" x14ac:dyDescent="0.25">
      <c r="A3775" s="22"/>
      <c r="B3775" s="22"/>
      <c r="C3775" s="22"/>
      <c r="D3775" s="22"/>
      <c r="E3775" s="22"/>
      <c r="F3775" s="22"/>
      <c r="G3775" s="22"/>
      <c r="H3775" s="22"/>
      <c r="I3775" s="22"/>
      <c r="J3775" s="22"/>
      <c r="K3775" s="22"/>
      <c r="L3775" s="22"/>
      <c r="M3775" s="22"/>
      <c r="N3775" s="22"/>
      <c r="O3775" s="22"/>
      <c r="P3775" s="22"/>
      <c r="Q3775" s="22"/>
      <c r="R3775" s="22"/>
      <c r="S3775" s="22"/>
      <c r="T3775" s="22"/>
      <c r="U3775" s="22"/>
      <c r="V3775" s="22"/>
      <c r="W3775" s="22"/>
      <c r="X3775" s="22"/>
    </row>
    <row r="3776" spans="1:24" x14ac:dyDescent="0.25">
      <c r="A3776" s="22"/>
      <c r="B3776" s="22"/>
      <c r="C3776" s="22"/>
      <c r="D3776" s="22"/>
      <c r="E3776" s="22"/>
      <c r="F3776" s="22"/>
      <c r="G3776" s="22"/>
      <c r="H3776" s="22"/>
      <c r="I3776" s="22"/>
      <c r="J3776" s="22"/>
      <c r="K3776" s="22"/>
      <c r="L3776" s="22"/>
      <c r="M3776" s="22"/>
      <c r="N3776" s="22"/>
      <c r="O3776" s="22"/>
      <c r="P3776" s="22"/>
      <c r="Q3776" s="22"/>
      <c r="R3776" s="22"/>
      <c r="S3776" s="22"/>
      <c r="T3776" s="22"/>
      <c r="U3776" s="22"/>
      <c r="V3776" s="22"/>
      <c r="W3776" s="22"/>
      <c r="X3776" s="22"/>
    </row>
    <row r="3777" spans="1:24" x14ac:dyDescent="0.25">
      <c r="A3777" s="22"/>
      <c r="B3777" s="22"/>
      <c r="C3777" s="22"/>
      <c r="D3777" s="22"/>
      <c r="E3777" s="22"/>
      <c r="F3777" s="22"/>
      <c r="G3777" s="22"/>
      <c r="H3777" s="22"/>
      <c r="I3777" s="22"/>
      <c r="J3777" s="22"/>
      <c r="K3777" s="22"/>
      <c r="L3777" s="22"/>
      <c r="M3777" s="22"/>
      <c r="N3777" s="22"/>
      <c r="O3777" s="22"/>
      <c r="P3777" s="22"/>
      <c r="Q3777" s="22"/>
      <c r="R3777" s="22"/>
      <c r="S3777" s="22"/>
      <c r="T3777" s="22"/>
      <c r="U3777" s="22"/>
      <c r="V3777" s="22"/>
      <c r="W3777" s="22"/>
      <c r="X3777" s="22"/>
    </row>
    <row r="3778" spans="1:24" x14ac:dyDescent="0.25">
      <c r="A3778" s="22"/>
      <c r="B3778" s="22"/>
      <c r="C3778" s="22"/>
      <c r="D3778" s="22"/>
      <c r="E3778" s="22"/>
      <c r="F3778" s="22"/>
      <c r="G3778" s="22"/>
      <c r="H3778" s="22"/>
      <c r="I3778" s="22"/>
      <c r="J3778" s="22"/>
      <c r="K3778" s="22"/>
      <c r="L3778" s="22"/>
      <c r="M3778" s="22"/>
      <c r="N3778" s="22"/>
      <c r="O3778" s="22"/>
      <c r="P3778" s="22"/>
      <c r="Q3778" s="22"/>
      <c r="R3778" s="22"/>
      <c r="S3778" s="22"/>
      <c r="T3778" s="22"/>
      <c r="U3778" s="22"/>
      <c r="V3778" s="22"/>
      <c r="W3778" s="22"/>
      <c r="X3778" s="22"/>
    </row>
    <row r="3779" spans="1:24" x14ac:dyDescent="0.25">
      <c r="A3779" s="22"/>
      <c r="B3779" s="22"/>
      <c r="C3779" s="22"/>
      <c r="D3779" s="22"/>
      <c r="E3779" s="22"/>
      <c r="F3779" s="22"/>
      <c r="G3779" s="22"/>
      <c r="H3779" s="22"/>
      <c r="I3779" s="22"/>
      <c r="J3779" s="22"/>
      <c r="K3779" s="22"/>
      <c r="L3779" s="22"/>
      <c r="M3779" s="22"/>
      <c r="N3779" s="22"/>
      <c r="O3779" s="22"/>
      <c r="P3779" s="22"/>
      <c r="Q3779" s="22"/>
      <c r="R3779" s="22"/>
      <c r="S3779" s="22"/>
      <c r="T3779" s="22"/>
      <c r="U3779" s="22"/>
      <c r="V3779" s="22"/>
      <c r="W3779" s="22"/>
      <c r="X3779" s="22"/>
    </row>
    <row r="3780" spans="1:24" x14ac:dyDescent="0.25">
      <c r="A3780" s="22"/>
      <c r="B3780" s="22"/>
      <c r="C3780" s="22"/>
      <c r="D3780" s="22"/>
      <c r="E3780" s="22"/>
      <c r="F3780" s="22"/>
      <c r="G3780" s="22"/>
      <c r="H3780" s="22"/>
      <c r="I3780" s="22"/>
      <c r="J3780" s="22"/>
      <c r="K3780" s="22"/>
      <c r="L3780" s="22"/>
      <c r="M3780" s="22"/>
      <c r="N3780" s="22"/>
      <c r="O3780" s="22"/>
      <c r="P3780" s="22"/>
      <c r="Q3780" s="22"/>
      <c r="R3780" s="22"/>
      <c r="S3780" s="22"/>
      <c r="T3780" s="22"/>
      <c r="U3780" s="22"/>
      <c r="V3780" s="22"/>
      <c r="W3780" s="22"/>
      <c r="X3780" s="22"/>
    </row>
    <row r="3781" spans="1:24" x14ac:dyDescent="0.25">
      <c r="A3781" s="22"/>
      <c r="B3781" s="22"/>
      <c r="C3781" s="22"/>
      <c r="D3781" s="22"/>
      <c r="E3781" s="22"/>
      <c r="F3781" s="22"/>
      <c r="G3781" s="22"/>
      <c r="H3781" s="22"/>
      <c r="I3781" s="22"/>
      <c r="J3781" s="22"/>
      <c r="K3781" s="22"/>
      <c r="L3781" s="22"/>
      <c r="M3781" s="22"/>
      <c r="N3781" s="22"/>
      <c r="O3781" s="22"/>
      <c r="P3781" s="22"/>
      <c r="Q3781" s="22"/>
      <c r="R3781" s="22"/>
      <c r="S3781" s="22"/>
      <c r="T3781" s="22"/>
      <c r="U3781" s="22"/>
      <c r="V3781" s="22"/>
      <c r="W3781" s="22"/>
      <c r="X3781" s="22"/>
    </row>
    <row r="3782" spans="1:24" x14ac:dyDescent="0.25">
      <c r="A3782" s="22"/>
      <c r="B3782" s="22"/>
      <c r="C3782" s="22"/>
      <c r="D3782" s="22"/>
      <c r="E3782" s="22"/>
      <c r="F3782" s="22"/>
      <c r="G3782" s="22"/>
      <c r="H3782" s="22"/>
      <c r="I3782" s="22"/>
      <c r="J3782" s="22"/>
      <c r="K3782" s="22"/>
      <c r="L3782" s="22"/>
      <c r="M3782" s="22"/>
      <c r="N3782" s="22"/>
      <c r="O3782" s="22"/>
      <c r="P3782" s="22"/>
      <c r="Q3782" s="22"/>
      <c r="R3782" s="22"/>
      <c r="S3782" s="22"/>
      <c r="T3782" s="22"/>
      <c r="U3782" s="22"/>
      <c r="V3782" s="22"/>
      <c r="W3782" s="22"/>
      <c r="X3782" s="22"/>
    </row>
    <row r="3783" spans="1:24" x14ac:dyDescent="0.25">
      <c r="A3783" s="22"/>
      <c r="B3783" s="22"/>
      <c r="C3783" s="22"/>
      <c r="D3783" s="22"/>
      <c r="E3783" s="22"/>
      <c r="F3783" s="22"/>
      <c r="G3783" s="22"/>
      <c r="H3783" s="22"/>
      <c r="I3783" s="22"/>
      <c r="J3783" s="22"/>
      <c r="K3783" s="22"/>
      <c r="L3783" s="22"/>
      <c r="M3783" s="22"/>
      <c r="N3783" s="22"/>
      <c r="O3783" s="22"/>
      <c r="P3783" s="22"/>
      <c r="Q3783" s="22"/>
      <c r="R3783" s="22"/>
      <c r="S3783" s="22"/>
      <c r="T3783" s="22"/>
      <c r="U3783" s="22"/>
      <c r="V3783" s="22"/>
      <c r="W3783" s="22"/>
      <c r="X3783" s="22"/>
    </row>
    <row r="3784" spans="1:24" x14ac:dyDescent="0.25">
      <c r="A3784" s="22"/>
      <c r="B3784" s="22"/>
      <c r="C3784" s="22"/>
      <c r="D3784" s="22"/>
      <c r="E3784" s="22"/>
      <c r="F3784" s="22"/>
      <c r="G3784" s="22"/>
      <c r="H3784" s="22"/>
      <c r="I3784" s="22"/>
      <c r="J3784" s="22"/>
      <c r="K3784" s="22"/>
      <c r="L3784" s="22"/>
      <c r="M3784" s="22"/>
      <c r="N3784" s="22"/>
      <c r="O3784" s="22"/>
      <c r="P3784" s="22"/>
      <c r="Q3784" s="22"/>
      <c r="R3784" s="22"/>
      <c r="S3784" s="22"/>
      <c r="T3784" s="22"/>
      <c r="U3784" s="22"/>
      <c r="V3784" s="22"/>
      <c r="W3784" s="22"/>
      <c r="X3784" s="22"/>
    </row>
    <row r="3785" spans="1:24" x14ac:dyDescent="0.25">
      <c r="A3785" s="22"/>
      <c r="B3785" s="22"/>
      <c r="C3785" s="22"/>
      <c r="D3785" s="22"/>
      <c r="E3785" s="22"/>
      <c r="F3785" s="22"/>
      <c r="G3785" s="22"/>
      <c r="H3785" s="22"/>
      <c r="I3785" s="22"/>
      <c r="J3785" s="22"/>
      <c r="K3785" s="22"/>
      <c r="L3785" s="22"/>
      <c r="M3785" s="22"/>
      <c r="N3785" s="22"/>
      <c r="O3785" s="22"/>
      <c r="P3785" s="22"/>
      <c r="Q3785" s="22"/>
      <c r="R3785" s="22"/>
      <c r="S3785" s="22"/>
      <c r="T3785" s="22"/>
      <c r="U3785" s="22"/>
      <c r="V3785" s="22"/>
      <c r="W3785" s="22"/>
      <c r="X3785" s="22"/>
    </row>
    <row r="3786" spans="1:24" x14ac:dyDescent="0.25">
      <c r="A3786" s="22"/>
      <c r="B3786" s="22"/>
      <c r="C3786" s="22"/>
      <c r="D3786" s="22"/>
      <c r="E3786" s="22"/>
      <c r="F3786" s="22"/>
      <c r="G3786" s="22"/>
      <c r="H3786" s="22"/>
      <c r="I3786" s="22"/>
      <c r="J3786" s="22"/>
      <c r="K3786" s="22"/>
      <c r="L3786" s="22"/>
      <c r="M3786" s="22"/>
      <c r="N3786" s="22"/>
      <c r="O3786" s="22"/>
      <c r="P3786" s="22"/>
      <c r="Q3786" s="22"/>
      <c r="R3786" s="22"/>
      <c r="S3786" s="22"/>
      <c r="T3786" s="22"/>
      <c r="U3786" s="22"/>
      <c r="V3786" s="22"/>
      <c r="W3786" s="22"/>
      <c r="X3786" s="22"/>
    </row>
    <row r="3787" spans="1:24" x14ac:dyDescent="0.25">
      <c r="A3787" s="22"/>
      <c r="B3787" s="22"/>
      <c r="C3787" s="22"/>
      <c r="D3787" s="22"/>
      <c r="E3787" s="22"/>
      <c r="F3787" s="22"/>
      <c r="G3787" s="22"/>
      <c r="H3787" s="22"/>
      <c r="I3787" s="22"/>
      <c r="J3787" s="22"/>
      <c r="K3787" s="22"/>
      <c r="L3787" s="22"/>
      <c r="M3787" s="22"/>
      <c r="N3787" s="22"/>
      <c r="O3787" s="22"/>
      <c r="P3787" s="22"/>
      <c r="Q3787" s="22"/>
      <c r="R3787" s="22"/>
      <c r="S3787" s="22"/>
      <c r="T3787" s="22"/>
      <c r="U3787" s="22"/>
      <c r="V3787" s="22"/>
      <c r="W3787" s="22"/>
      <c r="X3787" s="22"/>
    </row>
    <row r="3788" spans="1:24" x14ac:dyDescent="0.25">
      <c r="A3788" s="22"/>
      <c r="B3788" s="22"/>
      <c r="C3788" s="22"/>
      <c r="D3788" s="22"/>
      <c r="E3788" s="22"/>
      <c r="F3788" s="22"/>
      <c r="G3788" s="22"/>
      <c r="H3788" s="22"/>
      <c r="I3788" s="22"/>
      <c r="J3788" s="22"/>
      <c r="K3788" s="22"/>
      <c r="L3788" s="22"/>
      <c r="M3788" s="22"/>
      <c r="N3788" s="22"/>
      <c r="O3788" s="22"/>
      <c r="P3788" s="22"/>
      <c r="Q3788" s="22"/>
      <c r="R3788" s="22"/>
      <c r="S3788" s="22"/>
      <c r="T3788" s="22"/>
      <c r="U3788" s="22"/>
      <c r="V3788" s="22"/>
      <c r="W3788" s="22"/>
      <c r="X3788" s="22"/>
    </row>
    <row r="3789" spans="1:24" x14ac:dyDescent="0.25">
      <c r="A3789" s="22"/>
      <c r="B3789" s="22"/>
      <c r="C3789" s="22"/>
      <c r="D3789" s="22"/>
      <c r="E3789" s="22"/>
      <c r="F3789" s="22"/>
      <c r="G3789" s="22"/>
      <c r="H3789" s="22"/>
      <c r="I3789" s="22"/>
      <c r="J3789" s="22"/>
      <c r="K3789" s="22"/>
      <c r="L3789" s="22"/>
      <c r="M3789" s="22"/>
      <c r="N3789" s="22"/>
      <c r="O3789" s="22"/>
      <c r="P3789" s="22"/>
      <c r="Q3789" s="22"/>
      <c r="R3789" s="22"/>
      <c r="S3789" s="22"/>
      <c r="T3789" s="22"/>
      <c r="U3789" s="22"/>
      <c r="V3789" s="22"/>
      <c r="W3789" s="22"/>
      <c r="X3789" s="22"/>
    </row>
    <row r="3790" spans="1:24" x14ac:dyDescent="0.25">
      <c r="A3790" s="22"/>
      <c r="B3790" s="22"/>
      <c r="C3790" s="22"/>
      <c r="D3790" s="22"/>
      <c r="E3790" s="22"/>
      <c r="F3790" s="22"/>
      <c r="G3790" s="22"/>
      <c r="H3790" s="22"/>
      <c r="I3790" s="22"/>
      <c r="J3790" s="22"/>
      <c r="K3790" s="22"/>
      <c r="L3790" s="22"/>
      <c r="M3790" s="22"/>
      <c r="N3790" s="22"/>
      <c r="O3790" s="22"/>
      <c r="P3790" s="22"/>
      <c r="Q3790" s="22"/>
      <c r="R3790" s="22"/>
      <c r="S3790" s="22"/>
      <c r="T3790" s="22"/>
      <c r="U3790" s="22"/>
      <c r="V3790" s="22"/>
      <c r="W3790" s="22"/>
      <c r="X3790" s="22"/>
    </row>
    <row r="3791" spans="1:24" x14ac:dyDescent="0.25">
      <c r="A3791" s="22"/>
      <c r="B3791" s="22"/>
      <c r="C3791" s="22"/>
      <c r="D3791" s="22"/>
      <c r="E3791" s="22"/>
      <c r="F3791" s="22"/>
      <c r="G3791" s="22"/>
      <c r="H3791" s="22"/>
      <c r="I3791" s="22"/>
      <c r="J3791" s="22"/>
      <c r="K3791" s="22"/>
      <c r="L3791" s="22"/>
      <c r="M3791" s="22"/>
      <c r="N3791" s="22"/>
      <c r="O3791" s="22"/>
      <c r="P3791" s="22"/>
      <c r="Q3791" s="22"/>
      <c r="R3791" s="22"/>
      <c r="S3791" s="22"/>
      <c r="T3791" s="22"/>
      <c r="U3791" s="22"/>
      <c r="V3791" s="22"/>
      <c r="W3791" s="22"/>
      <c r="X3791" s="22"/>
    </row>
    <row r="3792" spans="1:24" x14ac:dyDescent="0.25">
      <c r="A3792" s="22"/>
      <c r="B3792" s="22"/>
      <c r="C3792" s="22"/>
      <c r="D3792" s="22"/>
      <c r="E3792" s="22"/>
      <c r="F3792" s="22"/>
      <c r="G3792" s="22"/>
      <c r="H3792" s="22"/>
      <c r="I3792" s="22"/>
      <c r="J3792" s="22"/>
      <c r="K3792" s="22"/>
      <c r="L3792" s="22"/>
      <c r="M3792" s="22"/>
      <c r="N3792" s="22"/>
      <c r="O3792" s="22"/>
      <c r="P3792" s="22"/>
      <c r="Q3792" s="22"/>
      <c r="R3792" s="22"/>
      <c r="S3792" s="22"/>
      <c r="T3792" s="22"/>
      <c r="U3792" s="22"/>
      <c r="V3792" s="22"/>
      <c r="W3792" s="22"/>
      <c r="X3792" s="22"/>
    </row>
    <row r="3793" spans="1:24" x14ac:dyDescent="0.25">
      <c r="A3793" s="22"/>
      <c r="B3793" s="22"/>
      <c r="C3793" s="22"/>
      <c r="D3793" s="22"/>
      <c r="E3793" s="22"/>
      <c r="F3793" s="22"/>
      <c r="G3793" s="22"/>
      <c r="H3793" s="22"/>
      <c r="I3793" s="22"/>
      <c r="J3793" s="22"/>
      <c r="K3793" s="22"/>
      <c r="L3793" s="22"/>
      <c r="M3793" s="22"/>
      <c r="N3793" s="22"/>
      <c r="O3793" s="22"/>
      <c r="P3793" s="22"/>
      <c r="Q3793" s="22"/>
      <c r="R3793" s="22"/>
      <c r="S3793" s="22"/>
      <c r="T3793" s="22"/>
      <c r="U3793" s="22"/>
      <c r="V3793" s="22"/>
      <c r="W3793" s="22"/>
      <c r="X3793" s="22"/>
    </row>
    <row r="3794" spans="1:24" x14ac:dyDescent="0.25">
      <c r="A3794" s="22"/>
      <c r="B3794" s="22"/>
      <c r="C3794" s="22"/>
      <c r="D3794" s="22"/>
      <c r="E3794" s="22"/>
      <c r="F3794" s="22"/>
      <c r="G3794" s="22"/>
      <c r="H3794" s="22"/>
      <c r="I3794" s="22"/>
      <c r="J3794" s="22"/>
      <c r="K3794" s="22"/>
      <c r="L3794" s="22"/>
      <c r="M3794" s="22"/>
      <c r="N3794" s="22"/>
      <c r="O3794" s="22"/>
      <c r="P3794" s="22"/>
      <c r="Q3794" s="22"/>
      <c r="R3794" s="22"/>
      <c r="S3794" s="22"/>
      <c r="T3794" s="22"/>
      <c r="U3794" s="22"/>
      <c r="V3794" s="22"/>
      <c r="W3794" s="22"/>
      <c r="X3794" s="22"/>
    </row>
    <row r="3795" spans="1:24" x14ac:dyDescent="0.25">
      <c r="A3795" s="22"/>
      <c r="B3795" s="22"/>
      <c r="C3795" s="22"/>
      <c r="D3795" s="22"/>
      <c r="E3795" s="22"/>
      <c r="F3795" s="22"/>
      <c r="G3795" s="22"/>
      <c r="H3795" s="22"/>
      <c r="I3795" s="22"/>
      <c r="J3795" s="22"/>
      <c r="K3795" s="22"/>
      <c r="L3795" s="22"/>
      <c r="M3795" s="22"/>
      <c r="N3795" s="22"/>
      <c r="O3795" s="22"/>
      <c r="P3795" s="22"/>
      <c r="Q3795" s="22"/>
      <c r="R3795" s="22"/>
      <c r="S3795" s="22"/>
      <c r="T3795" s="22"/>
      <c r="U3795" s="22"/>
      <c r="V3795" s="22"/>
      <c r="W3795" s="22"/>
      <c r="X3795" s="22"/>
    </row>
    <row r="3796" spans="1:24" x14ac:dyDescent="0.25">
      <c r="A3796" s="22"/>
      <c r="B3796" s="22"/>
      <c r="C3796" s="22"/>
      <c r="D3796" s="22"/>
      <c r="E3796" s="22"/>
      <c r="F3796" s="22"/>
      <c r="G3796" s="22"/>
      <c r="H3796" s="22"/>
      <c r="I3796" s="22"/>
      <c r="J3796" s="22"/>
      <c r="K3796" s="22"/>
      <c r="L3796" s="22"/>
      <c r="M3796" s="22"/>
      <c r="N3796" s="22"/>
      <c r="O3796" s="22"/>
      <c r="P3796" s="22"/>
      <c r="Q3796" s="22"/>
      <c r="R3796" s="22"/>
      <c r="S3796" s="22"/>
      <c r="T3796" s="22"/>
      <c r="U3796" s="22"/>
      <c r="V3796" s="22"/>
      <c r="W3796" s="22"/>
      <c r="X3796" s="22"/>
    </row>
    <row r="3797" spans="1:24" x14ac:dyDescent="0.25">
      <c r="A3797" s="22"/>
      <c r="B3797" s="22"/>
      <c r="C3797" s="22"/>
      <c r="D3797" s="22"/>
      <c r="E3797" s="22"/>
      <c r="F3797" s="22"/>
      <c r="G3797" s="22"/>
      <c r="H3797" s="22"/>
      <c r="I3797" s="22"/>
      <c r="J3797" s="22"/>
      <c r="K3797" s="22"/>
      <c r="L3797" s="22"/>
      <c r="M3797" s="22"/>
      <c r="N3797" s="22"/>
      <c r="O3797" s="22"/>
      <c r="P3797" s="22"/>
      <c r="Q3797" s="22"/>
      <c r="R3797" s="22"/>
      <c r="S3797" s="22"/>
      <c r="T3797" s="22"/>
      <c r="U3797" s="22"/>
      <c r="V3797" s="22"/>
      <c r="W3797" s="22"/>
      <c r="X3797" s="22"/>
    </row>
    <row r="3798" spans="1:24" x14ac:dyDescent="0.25">
      <c r="A3798" s="22"/>
      <c r="B3798" s="22"/>
      <c r="C3798" s="22"/>
      <c r="D3798" s="22"/>
      <c r="E3798" s="22"/>
      <c r="F3798" s="22"/>
      <c r="G3798" s="22"/>
      <c r="H3798" s="22"/>
      <c r="I3798" s="22"/>
      <c r="J3798" s="22"/>
      <c r="K3798" s="22"/>
      <c r="L3798" s="22"/>
      <c r="M3798" s="22"/>
      <c r="N3798" s="22"/>
      <c r="O3798" s="22"/>
      <c r="P3798" s="22"/>
      <c r="Q3798" s="22"/>
      <c r="R3798" s="22"/>
      <c r="S3798" s="22"/>
      <c r="T3798" s="22"/>
      <c r="U3798" s="22"/>
      <c r="V3798" s="22"/>
      <c r="W3798" s="22"/>
      <c r="X3798" s="22"/>
    </row>
    <row r="3799" spans="1:24" x14ac:dyDescent="0.25">
      <c r="A3799" s="22"/>
      <c r="B3799" s="22"/>
      <c r="C3799" s="22"/>
      <c r="D3799" s="22"/>
      <c r="E3799" s="22"/>
      <c r="F3799" s="22"/>
      <c r="G3799" s="22"/>
      <c r="H3799" s="22"/>
      <c r="I3799" s="22"/>
      <c r="J3799" s="22"/>
      <c r="K3799" s="22"/>
      <c r="L3799" s="22"/>
      <c r="M3799" s="22"/>
      <c r="N3799" s="22"/>
      <c r="O3799" s="22"/>
      <c r="P3799" s="22"/>
      <c r="Q3799" s="22"/>
      <c r="R3799" s="22"/>
      <c r="S3799" s="22"/>
      <c r="T3799" s="22"/>
      <c r="U3799" s="22"/>
      <c r="V3799" s="22"/>
      <c r="W3799" s="22"/>
      <c r="X3799" s="22"/>
    </row>
    <row r="3800" spans="1:24" x14ac:dyDescent="0.25">
      <c r="A3800" s="22"/>
      <c r="B3800" s="22"/>
      <c r="C3800" s="22"/>
      <c r="D3800" s="22"/>
      <c r="E3800" s="22"/>
      <c r="F3800" s="22"/>
      <c r="G3800" s="22"/>
      <c r="H3800" s="22"/>
      <c r="I3800" s="22"/>
      <c r="J3800" s="22"/>
      <c r="K3800" s="22"/>
      <c r="L3800" s="22"/>
      <c r="M3800" s="22"/>
      <c r="N3800" s="22"/>
      <c r="O3800" s="22"/>
      <c r="P3800" s="22"/>
      <c r="Q3800" s="22"/>
      <c r="R3800" s="22"/>
      <c r="S3800" s="22"/>
      <c r="T3800" s="22"/>
      <c r="U3800" s="22"/>
      <c r="V3800" s="22"/>
      <c r="W3800" s="22"/>
      <c r="X3800" s="22"/>
    </row>
    <row r="3801" spans="1:24" x14ac:dyDescent="0.25">
      <c r="A3801" s="22"/>
      <c r="B3801" s="22"/>
      <c r="C3801" s="22"/>
      <c r="D3801" s="22"/>
      <c r="E3801" s="22"/>
      <c r="F3801" s="22"/>
      <c r="G3801" s="22"/>
      <c r="H3801" s="22"/>
      <c r="I3801" s="22"/>
      <c r="J3801" s="22"/>
      <c r="K3801" s="22"/>
      <c r="L3801" s="22"/>
      <c r="M3801" s="22"/>
      <c r="N3801" s="22"/>
      <c r="O3801" s="22"/>
      <c r="P3801" s="22"/>
      <c r="Q3801" s="22"/>
      <c r="R3801" s="22"/>
      <c r="S3801" s="22"/>
      <c r="T3801" s="22"/>
      <c r="U3801" s="22"/>
      <c r="V3801" s="22"/>
      <c r="W3801" s="22"/>
      <c r="X3801" s="22"/>
    </row>
    <row r="3802" spans="1:24" x14ac:dyDescent="0.25">
      <c r="A3802" s="22"/>
      <c r="B3802" s="22"/>
      <c r="C3802" s="22"/>
      <c r="D3802" s="22"/>
      <c r="E3802" s="22"/>
      <c r="F3802" s="22"/>
      <c r="G3802" s="22"/>
      <c r="H3802" s="22"/>
      <c r="I3802" s="22"/>
      <c r="J3802" s="22"/>
      <c r="K3802" s="22"/>
      <c r="L3802" s="22"/>
      <c r="M3802" s="22"/>
      <c r="N3802" s="22"/>
      <c r="O3802" s="22"/>
      <c r="P3802" s="22"/>
      <c r="Q3802" s="22"/>
      <c r="R3802" s="22"/>
      <c r="S3802" s="22"/>
      <c r="T3802" s="22"/>
      <c r="U3802" s="22"/>
      <c r="V3802" s="22"/>
      <c r="W3802" s="22"/>
      <c r="X3802" s="22"/>
    </row>
    <row r="3803" spans="1:24" x14ac:dyDescent="0.25">
      <c r="A3803" s="22"/>
      <c r="B3803" s="22"/>
      <c r="C3803" s="22"/>
      <c r="D3803" s="22"/>
      <c r="E3803" s="22"/>
      <c r="F3803" s="22"/>
      <c r="G3803" s="22"/>
      <c r="H3803" s="22"/>
      <c r="I3803" s="22"/>
      <c r="J3803" s="22"/>
      <c r="K3803" s="22"/>
      <c r="L3803" s="22"/>
      <c r="M3803" s="22"/>
      <c r="N3803" s="22"/>
      <c r="O3803" s="22"/>
      <c r="P3803" s="22"/>
      <c r="Q3803" s="22"/>
      <c r="R3803" s="22"/>
      <c r="S3803" s="22"/>
      <c r="T3803" s="22"/>
      <c r="U3803" s="22"/>
      <c r="V3803" s="22"/>
      <c r="W3803" s="22"/>
      <c r="X3803" s="22"/>
    </row>
    <row r="3804" spans="1:24" x14ac:dyDescent="0.25">
      <c r="A3804" s="22"/>
      <c r="B3804" s="22"/>
      <c r="C3804" s="22"/>
      <c r="D3804" s="22"/>
      <c r="E3804" s="22"/>
      <c r="F3804" s="22"/>
      <c r="G3804" s="22"/>
      <c r="H3804" s="22"/>
      <c r="I3804" s="22"/>
      <c r="J3804" s="22"/>
      <c r="K3804" s="22"/>
      <c r="L3804" s="22"/>
      <c r="M3804" s="22"/>
      <c r="N3804" s="22"/>
      <c r="O3804" s="22"/>
      <c r="P3804" s="22"/>
      <c r="Q3804" s="22"/>
      <c r="R3804" s="22"/>
      <c r="S3804" s="22"/>
      <c r="T3804" s="22"/>
      <c r="U3804" s="22"/>
      <c r="V3804" s="22"/>
      <c r="W3804" s="22"/>
      <c r="X3804" s="22"/>
    </row>
    <row r="3805" spans="1:24" x14ac:dyDescent="0.25">
      <c r="A3805" s="22"/>
      <c r="B3805" s="22"/>
      <c r="C3805" s="22"/>
      <c r="D3805" s="22"/>
      <c r="E3805" s="22"/>
      <c r="F3805" s="22"/>
      <c r="G3805" s="22"/>
      <c r="H3805" s="22"/>
      <c r="I3805" s="22"/>
      <c r="J3805" s="22"/>
      <c r="K3805" s="22"/>
      <c r="L3805" s="22"/>
      <c r="M3805" s="22"/>
      <c r="N3805" s="22"/>
      <c r="O3805" s="22"/>
      <c r="P3805" s="22"/>
      <c r="Q3805" s="22"/>
      <c r="R3805" s="22"/>
      <c r="S3805" s="22"/>
      <c r="T3805" s="22"/>
      <c r="U3805" s="22"/>
      <c r="V3805" s="22"/>
      <c r="W3805" s="22"/>
      <c r="X3805" s="22"/>
    </row>
    <row r="3806" spans="1:24" x14ac:dyDescent="0.25">
      <c r="A3806" s="22"/>
      <c r="B3806" s="22"/>
      <c r="C3806" s="22"/>
      <c r="D3806" s="22"/>
      <c r="E3806" s="22"/>
      <c r="F3806" s="22"/>
      <c r="G3806" s="22"/>
      <c r="H3806" s="22"/>
      <c r="I3806" s="22"/>
      <c r="J3806" s="22"/>
      <c r="K3806" s="22"/>
      <c r="L3806" s="22"/>
      <c r="M3806" s="22"/>
      <c r="N3806" s="22"/>
      <c r="O3806" s="22"/>
      <c r="P3806" s="22"/>
      <c r="Q3806" s="22"/>
      <c r="R3806" s="22"/>
      <c r="S3806" s="22"/>
      <c r="T3806" s="22"/>
      <c r="U3806" s="22"/>
      <c r="V3806" s="22"/>
      <c r="W3806" s="22"/>
      <c r="X3806" s="22"/>
    </row>
    <row r="3807" spans="1:24" x14ac:dyDescent="0.25">
      <c r="A3807" s="22"/>
      <c r="B3807" s="22"/>
      <c r="C3807" s="22"/>
      <c r="D3807" s="22"/>
      <c r="E3807" s="22"/>
      <c r="F3807" s="22"/>
      <c r="G3807" s="22"/>
      <c r="H3807" s="22"/>
      <c r="I3807" s="22"/>
      <c r="J3807" s="22"/>
      <c r="K3807" s="22"/>
      <c r="L3807" s="22"/>
      <c r="M3807" s="22"/>
      <c r="N3807" s="22"/>
      <c r="O3807" s="22"/>
      <c r="P3807" s="22"/>
      <c r="Q3807" s="22"/>
      <c r="R3807" s="22"/>
      <c r="S3807" s="22"/>
      <c r="T3807" s="22"/>
      <c r="U3807" s="22"/>
      <c r="V3807" s="22"/>
      <c r="W3807" s="22"/>
      <c r="X3807" s="22"/>
    </row>
    <row r="3808" spans="1:24" x14ac:dyDescent="0.25">
      <c r="A3808" s="22"/>
      <c r="B3808" s="22"/>
      <c r="C3808" s="22"/>
      <c r="D3808" s="22"/>
      <c r="E3808" s="22"/>
      <c r="F3808" s="22"/>
      <c r="G3808" s="22"/>
      <c r="H3808" s="22"/>
      <c r="I3808" s="22"/>
      <c r="J3808" s="22"/>
      <c r="K3808" s="22"/>
      <c r="L3808" s="22"/>
      <c r="M3808" s="22"/>
      <c r="N3808" s="22"/>
      <c r="O3808" s="22"/>
      <c r="P3808" s="22"/>
      <c r="Q3808" s="22"/>
      <c r="R3808" s="22"/>
      <c r="S3808" s="22"/>
      <c r="T3808" s="22"/>
      <c r="U3808" s="22"/>
      <c r="V3808" s="22"/>
      <c r="W3808" s="22"/>
      <c r="X3808" s="22"/>
    </row>
    <row r="3809" spans="1:24" x14ac:dyDescent="0.25">
      <c r="A3809" s="22"/>
      <c r="B3809" s="22"/>
      <c r="C3809" s="22"/>
      <c r="D3809" s="22"/>
      <c r="E3809" s="22"/>
      <c r="F3809" s="22"/>
      <c r="G3809" s="22"/>
      <c r="H3809" s="22"/>
      <c r="I3809" s="22"/>
      <c r="J3809" s="22"/>
      <c r="K3809" s="22"/>
      <c r="L3809" s="22"/>
      <c r="M3809" s="22"/>
      <c r="N3809" s="22"/>
      <c r="O3809" s="22"/>
      <c r="P3809" s="22"/>
      <c r="Q3809" s="22"/>
      <c r="R3809" s="22"/>
      <c r="S3809" s="22"/>
      <c r="T3809" s="22"/>
      <c r="U3809" s="22"/>
      <c r="V3809" s="22"/>
      <c r="W3809" s="22"/>
      <c r="X3809" s="22"/>
    </row>
    <row r="3810" spans="1:24" x14ac:dyDescent="0.25">
      <c r="A3810" s="22"/>
      <c r="B3810" s="22"/>
      <c r="C3810" s="22"/>
      <c r="D3810" s="22"/>
      <c r="E3810" s="22"/>
      <c r="F3810" s="22"/>
      <c r="G3810" s="22"/>
      <c r="H3810" s="22"/>
      <c r="I3810" s="22"/>
      <c r="J3810" s="22"/>
      <c r="K3810" s="22"/>
      <c r="L3810" s="22"/>
      <c r="M3810" s="22"/>
      <c r="N3810" s="22"/>
      <c r="O3810" s="22"/>
      <c r="P3810" s="22"/>
      <c r="Q3810" s="22"/>
      <c r="R3810" s="22"/>
      <c r="S3810" s="22"/>
      <c r="T3810" s="22"/>
      <c r="U3810" s="22"/>
      <c r="V3810" s="22"/>
      <c r="W3810" s="22"/>
      <c r="X3810" s="22"/>
    </row>
    <row r="3811" spans="1:24" x14ac:dyDescent="0.25">
      <c r="A3811" s="22"/>
      <c r="B3811" s="22"/>
      <c r="C3811" s="22"/>
      <c r="D3811" s="22"/>
      <c r="E3811" s="22"/>
      <c r="F3811" s="22"/>
      <c r="G3811" s="22"/>
      <c r="H3811" s="22"/>
      <c r="I3811" s="22"/>
      <c r="J3811" s="22"/>
      <c r="K3811" s="22"/>
      <c r="L3811" s="22"/>
      <c r="M3811" s="22"/>
      <c r="N3811" s="22"/>
      <c r="O3811" s="22"/>
      <c r="P3811" s="22"/>
      <c r="Q3811" s="22"/>
      <c r="R3811" s="22"/>
      <c r="S3811" s="22"/>
      <c r="T3811" s="22"/>
      <c r="U3811" s="22"/>
      <c r="V3811" s="22"/>
      <c r="W3811" s="22"/>
      <c r="X3811" s="22"/>
    </row>
    <row r="3812" spans="1:24" x14ac:dyDescent="0.25">
      <c r="A3812" s="22"/>
      <c r="B3812" s="22"/>
      <c r="C3812" s="22"/>
      <c r="D3812" s="22"/>
      <c r="E3812" s="22"/>
      <c r="F3812" s="22"/>
      <c r="G3812" s="22"/>
      <c r="H3812" s="22"/>
      <c r="I3812" s="22"/>
      <c r="J3812" s="22"/>
      <c r="K3812" s="22"/>
      <c r="L3812" s="22"/>
      <c r="M3812" s="22"/>
      <c r="N3812" s="22"/>
      <c r="O3812" s="22"/>
      <c r="P3812" s="22"/>
      <c r="Q3812" s="22"/>
      <c r="R3812" s="22"/>
      <c r="S3812" s="22"/>
      <c r="T3812" s="22"/>
      <c r="U3812" s="22"/>
      <c r="V3812" s="22"/>
      <c r="W3812" s="22"/>
      <c r="X3812" s="22"/>
    </row>
    <row r="3813" spans="1:24" x14ac:dyDescent="0.25">
      <c r="A3813" s="22"/>
      <c r="B3813" s="22"/>
      <c r="C3813" s="22"/>
      <c r="D3813" s="22"/>
      <c r="E3813" s="22"/>
      <c r="F3813" s="22"/>
      <c r="G3813" s="22"/>
      <c r="H3813" s="22"/>
      <c r="I3813" s="22"/>
      <c r="J3813" s="22"/>
      <c r="K3813" s="22"/>
      <c r="L3813" s="22"/>
      <c r="M3813" s="22"/>
      <c r="N3813" s="22"/>
      <c r="O3813" s="22"/>
      <c r="P3813" s="22"/>
      <c r="Q3813" s="22"/>
      <c r="R3813" s="22"/>
      <c r="S3813" s="22"/>
      <c r="T3813" s="22"/>
      <c r="U3813" s="22"/>
      <c r="V3813" s="22"/>
      <c r="W3813" s="22"/>
      <c r="X3813" s="22"/>
    </row>
    <row r="3814" spans="1:24" x14ac:dyDescent="0.25">
      <c r="A3814" s="22"/>
      <c r="B3814" s="22"/>
      <c r="C3814" s="22"/>
      <c r="D3814" s="22"/>
      <c r="E3814" s="22"/>
      <c r="F3814" s="22"/>
      <c r="G3814" s="22"/>
      <c r="H3814" s="22"/>
      <c r="I3814" s="22"/>
      <c r="J3814" s="22"/>
      <c r="K3814" s="22"/>
      <c r="L3814" s="22"/>
      <c r="M3814" s="22"/>
      <c r="N3814" s="22"/>
      <c r="O3814" s="22"/>
      <c r="P3814" s="22"/>
      <c r="Q3814" s="22"/>
      <c r="R3814" s="22"/>
      <c r="S3814" s="22"/>
      <c r="T3814" s="22"/>
      <c r="U3814" s="22"/>
      <c r="V3814" s="22"/>
      <c r="W3814" s="22"/>
      <c r="X3814" s="22"/>
    </row>
    <row r="3815" spans="1:24" x14ac:dyDescent="0.25">
      <c r="A3815" s="22"/>
      <c r="B3815" s="22"/>
      <c r="C3815" s="22"/>
      <c r="D3815" s="22"/>
      <c r="E3815" s="22"/>
      <c r="F3815" s="22"/>
      <c r="G3815" s="22"/>
      <c r="H3815" s="22"/>
      <c r="I3815" s="22"/>
      <c r="J3815" s="22"/>
      <c r="K3815" s="22"/>
      <c r="L3815" s="22"/>
      <c r="M3815" s="22"/>
      <c r="N3815" s="22"/>
      <c r="O3815" s="22"/>
      <c r="P3815" s="22"/>
      <c r="Q3815" s="22"/>
      <c r="R3815" s="22"/>
      <c r="S3815" s="22"/>
      <c r="T3815" s="22"/>
      <c r="U3815" s="22"/>
      <c r="V3815" s="22"/>
      <c r="W3815" s="22"/>
      <c r="X3815" s="22"/>
    </row>
    <row r="3816" spans="1:24" x14ac:dyDescent="0.25">
      <c r="A3816" s="22"/>
      <c r="B3816" s="22"/>
      <c r="C3816" s="22"/>
      <c r="D3816" s="22"/>
      <c r="E3816" s="22"/>
      <c r="F3816" s="22"/>
      <c r="G3816" s="22"/>
      <c r="H3816" s="22"/>
      <c r="I3816" s="22"/>
      <c r="J3816" s="22"/>
      <c r="K3816" s="22"/>
      <c r="L3816" s="22"/>
      <c r="M3816" s="22"/>
      <c r="N3816" s="22"/>
      <c r="O3816" s="22"/>
      <c r="P3816" s="22"/>
      <c r="Q3816" s="22"/>
      <c r="R3816" s="22"/>
      <c r="S3816" s="22"/>
      <c r="T3816" s="22"/>
      <c r="U3816" s="22"/>
      <c r="V3816" s="22"/>
      <c r="W3816" s="22"/>
      <c r="X3816" s="22"/>
    </row>
    <row r="3817" spans="1:24" x14ac:dyDescent="0.25">
      <c r="A3817" s="22"/>
      <c r="B3817" s="22"/>
      <c r="C3817" s="22"/>
      <c r="D3817" s="22"/>
      <c r="E3817" s="22"/>
      <c r="F3817" s="22"/>
      <c r="G3817" s="22"/>
      <c r="H3817" s="22"/>
      <c r="I3817" s="22"/>
      <c r="J3817" s="22"/>
      <c r="K3817" s="22"/>
      <c r="L3817" s="22"/>
      <c r="M3817" s="22"/>
      <c r="N3817" s="22"/>
      <c r="O3817" s="22"/>
      <c r="P3817" s="22"/>
      <c r="Q3817" s="22"/>
      <c r="R3817" s="22"/>
      <c r="S3817" s="22"/>
      <c r="T3817" s="22"/>
      <c r="U3817" s="22"/>
      <c r="V3817" s="22"/>
      <c r="W3817" s="22"/>
      <c r="X3817" s="22"/>
    </row>
    <row r="3818" spans="1:24" x14ac:dyDescent="0.25">
      <c r="A3818" s="22"/>
      <c r="B3818" s="22"/>
      <c r="C3818" s="22"/>
      <c r="D3818" s="22"/>
      <c r="E3818" s="22"/>
      <c r="F3818" s="22"/>
      <c r="G3818" s="22"/>
      <c r="H3818" s="22"/>
      <c r="I3818" s="22"/>
      <c r="J3818" s="22"/>
      <c r="K3818" s="22"/>
      <c r="L3818" s="22"/>
      <c r="M3818" s="22"/>
      <c r="N3818" s="22"/>
      <c r="O3818" s="22"/>
      <c r="P3818" s="22"/>
      <c r="Q3818" s="22"/>
      <c r="R3818" s="22"/>
      <c r="S3818" s="22"/>
      <c r="T3818" s="22"/>
      <c r="U3818" s="22"/>
      <c r="V3818" s="22"/>
      <c r="W3818" s="22"/>
      <c r="X3818" s="22"/>
    </row>
    <row r="3819" spans="1:24" x14ac:dyDescent="0.25">
      <c r="A3819" s="22"/>
      <c r="B3819" s="22"/>
      <c r="C3819" s="22"/>
      <c r="D3819" s="22"/>
      <c r="E3819" s="22"/>
      <c r="F3819" s="22"/>
      <c r="G3819" s="22"/>
      <c r="H3819" s="22"/>
      <c r="I3819" s="22"/>
      <c r="J3819" s="22"/>
      <c r="K3819" s="22"/>
      <c r="L3819" s="22"/>
      <c r="M3819" s="22"/>
      <c r="N3819" s="22"/>
      <c r="O3819" s="22"/>
      <c r="P3819" s="22"/>
      <c r="Q3819" s="22"/>
      <c r="R3819" s="22"/>
      <c r="S3819" s="22"/>
      <c r="T3819" s="22"/>
      <c r="U3819" s="22"/>
      <c r="V3819" s="22"/>
      <c r="W3819" s="22"/>
      <c r="X3819" s="22"/>
    </row>
    <row r="3820" spans="1:24" x14ac:dyDescent="0.25">
      <c r="A3820" s="22"/>
      <c r="B3820" s="22"/>
      <c r="C3820" s="22"/>
      <c r="D3820" s="22"/>
      <c r="E3820" s="22"/>
      <c r="F3820" s="22"/>
      <c r="G3820" s="22"/>
      <c r="H3820" s="22"/>
      <c r="I3820" s="22"/>
      <c r="J3820" s="22"/>
      <c r="K3820" s="22"/>
      <c r="L3820" s="22"/>
      <c r="M3820" s="22"/>
      <c r="N3820" s="22"/>
      <c r="O3820" s="22"/>
      <c r="P3820" s="22"/>
      <c r="Q3820" s="22"/>
      <c r="R3820" s="22"/>
      <c r="S3820" s="22"/>
      <c r="T3820" s="22"/>
      <c r="U3820" s="22"/>
      <c r="V3820" s="22"/>
      <c r="W3820" s="22"/>
      <c r="X3820" s="22"/>
    </row>
    <row r="3821" spans="1:24" x14ac:dyDescent="0.25">
      <c r="A3821" s="22"/>
      <c r="B3821" s="22"/>
      <c r="C3821" s="22"/>
      <c r="D3821" s="22"/>
      <c r="E3821" s="22"/>
      <c r="F3821" s="22"/>
      <c r="G3821" s="22"/>
      <c r="H3821" s="22"/>
      <c r="I3821" s="22"/>
      <c r="J3821" s="22"/>
      <c r="K3821" s="22"/>
      <c r="L3821" s="22"/>
      <c r="M3821" s="22"/>
      <c r="N3821" s="22"/>
      <c r="O3821" s="22"/>
      <c r="P3821" s="22"/>
      <c r="Q3821" s="22"/>
      <c r="R3821" s="22"/>
      <c r="S3821" s="22"/>
      <c r="T3821" s="22"/>
      <c r="U3821" s="22"/>
      <c r="V3821" s="22"/>
      <c r="W3821" s="22"/>
      <c r="X3821" s="22"/>
    </row>
    <row r="3822" spans="1:24" x14ac:dyDescent="0.25">
      <c r="A3822" s="22"/>
      <c r="B3822" s="22"/>
      <c r="C3822" s="22"/>
      <c r="D3822" s="22"/>
      <c r="E3822" s="22"/>
      <c r="F3822" s="22"/>
      <c r="G3822" s="22"/>
      <c r="H3822" s="22"/>
      <c r="I3822" s="22"/>
      <c r="J3822" s="22"/>
      <c r="K3822" s="22"/>
      <c r="L3822" s="22"/>
      <c r="M3822" s="22"/>
      <c r="N3822" s="22"/>
      <c r="O3822" s="22"/>
      <c r="P3822" s="22"/>
      <c r="Q3822" s="22"/>
      <c r="R3822" s="22"/>
      <c r="S3822" s="22"/>
      <c r="T3822" s="22"/>
      <c r="U3822" s="22"/>
      <c r="V3822" s="22"/>
      <c r="W3822" s="22"/>
      <c r="X3822" s="22"/>
    </row>
    <row r="3823" spans="1:24" x14ac:dyDescent="0.25">
      <c r="A3823" s="22"/>
      <c r="B3823" s="22"/>
      <c r="C3823" s="22"/>
      <c r="D3823" s="22"/>
      <c r="E3823" s="22"/>
      <c r="F3823" s="22"/>
      <c r="G3823" s="22"/>
      <c r="H3823" s="22"/>
      <c r="I3823" s="22"/>
      <c r="J3823" s="22"/>
      <c r="K3823" s="22"/>
      <c r="L3823" s="22"/>
      <c r="M3823" s="22"/>
      <c r="N3823" s="22"/>
      <c r="O3823" s="22"/>
      <c r="P3823" s="22"/>
      <c r="Q3823" s="22"/>
      <c r="R3823" s="22"/>
      <c r="S3823" s="22"/>
      <c r="T3823" s="22"/>
      <c r="U3823" s="22"/>
      <c r="V3823" s="22"/>
      <c r="W3823" s="22"/>
      <c r="X3823" s="22"/>
    </row>
    <row r="3824" spans="1:24" x14ac:dyDescent="0.25">
      <c r="A3824" s="22"/>
      <c r="B3824" s="22"/>
      <c r="C3824" s="22"/>
      <c r="D3824" s="22"/>
      <c r="E3824" s="22"/>
      <c r="F3824" s="22"/>
      <c r="G3824" s="22"/>
      <c r="H3824" s="22"/>
      <c r="I3824" s="22"/>
      <c r="J3824" s="22"/>
      <c r="K3824" s="22"/>
      <c r="L3824" s="22"/>
      <c r="M3824" s="22"/>
      <c r="N3824" s="22"/>
      <c r="O3824" s="22"/>
      <c r="P3824" s="22"/>
      <c r="Q3824" s="22"/>
      <c r="R3824" s="22"/>
      <c r="S3824" s="22"/>
      <c r="T3824" s="22"/>
      <c r="U3824" s="22"/>
      <c r="V3824" s="22"/>
      <c r="W3824" s="22"/>
      <c r="X3824" s="22"/>
    </row>
    <row r="3825" spans="1:24" x14ac:dyDescent="0.25">
      <c r="A3825" s="22"/>
      <c r="B3825" s="22"/>
      <c r="C3825" s="22"/>
      <c r="D3825" s="22"/>
      <c r="E3825" s="22"/>
      <c r="F3825" s="22"/>
      <c r="G3825" s="22"/>
      <c r="H3825" s="22"/>
      <c r="I3825" s="22"/>
      <c r="J3825" s="22"/>
      <c r="K3825" s="22"/>
      <c r="L3825" s="22"/>
      <c r="M3825" s="22"/>
      <c r="N3825" s="22"/>
      <c r="O3825" s="22"/>
      <c r="P3825" s="22"/>
      <c r="Q3825" s="22"/>
      <c r="R3825" s="22"/>
      <c r="S3825" s="22"/>
      <c r="T3825" s="22"/>
      <c r="U3825" s="22"/>
      <c r="V3825" s="22"/>
      <c r="W3825" s="22"/>
      <c r="X3825" s="22"/>
    </row>
    <row r="3826" spans="1:24" x14ac:dyDescent="0.25">
      <c r="A3826" s="22"/>
      <c r="B3826" s="22"/>
      <c r="C3826" s="22"/>
      <c r="D3826" s="22"/>
      <c r="E3826" s="22"/>
      <c r="F3826" s="22"/>
      <c r="G3826" s="22"/>
      <c r="H3826" s="22"/>
      <c r="I3826" s="22"/>
      <c r="J3826" s="22"/>
      <c r="K3826" s="22"/>
      <c r="L3826" s="22"/>
      <c r="M3826" s="22"/>
      <c r="N3826" s="22"/>
      <c r="O3826" s="22"/>
      <c r="P3826" s="22"/>
      <c r="Q3826" s="22"/>
      <c r="R3826" s="22"/>
      <c r="S3826" s="22"/>
      <c r="T3826" s="22"/>
      <c r="U3826" s="22"/>
      <c r="V3826" s="22"/>
      <c r="W3826" s="22"/>
      <c r="X3826" s="22"/>
    </row>
    <row r="3827" spans="1:24" x14ac:dyDescent="0.25">
      <c r="A3827" s="22"/>
      <c r="B3827" s="22"/>
      <c r="C3827" s="22"/>
      <c r="D3827" s="22"/>
      <c r="E3827" s="22"/>
      <c r="F3827" s="22"/>
      <c r="G3827" s="22"/>
      <c r="H3827" s="22"/>
      <c r="I3827" s="22"/>
      <c r="J3827" s="22"/>
      <c r="K3827" s="22"/>
      <c r="L3827" s="22"/>
      <c r="M3827" s="22"/>
      <c r="N3827" s="22"/>
      <c r="O3827" s="22"/>
      <c r="P3827" s="22"/>
      <c r="Q3827" s="22"/>
      <c r="R3827" s="22"/>
      <c r="S3827" s="22"/>
      <c r="T3827" s="22"/>
      <c r="U3827" s="22"/>
      <c r="V3827" s="22"/>
      <c r="W3827" s="22"/>
      <c r="X3827" s="22"/>
    </row>
    <row r="3828" spans="1:24" x14ac:dyDescent="0.25">
      <c r="A3828" s="22"/>
      <c r="B3828" s="22"/>
      <c r="C3828" s="22"/>
      <c r="D3828" s="22"/>
      <c r="E3828" s="22"/>
      <c r="F3828" s="22"/>
      <c r="G3828" s="22"/>
      <c r="H3828" s="22"/>
      <c r="I3828" s="22"/>
      <c r="J3828" s="22"/>
      <c r="K3828" s="22"/>
      <c r="L3828" s="22"/>
      <c r="M3828" s="22"/>
      <c r="N3828" s="22"/>
      <c r="O3828" s="22"/>
      <c r="P3828" s="22"/>
      <c r="Q3828" s="22"/>
      <c r="R3828" s="22"/>
      <c r="S3828" s="22"/>
      <c r="T3828" s="22"/>
      <c r="U3828" s="22"/>
      <c r="V3828" s="22"/>
      <c r="W3828" s="22"/>
      <c r="X3828" s="22"/>
    </row>
    <row r="3829" spans="1:24" x14ac:dyDescent="0.25">
      <c r="A3829" s="22"/>
      <c r="B3829" s="22"/>
      <c r="C3829" s="22"/>
      <c r="D3829" s="22"/>
      <c r="E3829" s="22"/>
      <c r="F3829" s="22"/>
      <c r="G3829" s="22"/>
      <c r="H3829" s="22"/>
      <c r="I3829" s="22"/>
      <c r="J3829" s="22"/>
      <c r="K3829" s="22"/>
      <c r="L3829" s="22"/>
      <c r="M3829" s="22"/>
      <c r="N3829" s="22"/>
      <c r="O3829" s="22"/>
      <c r="P3829" s="22"/>
      <c r="Q3829" s="22"/>
      <c r="R3829" s="22"/>
      <c r="S3829" s="22"/>
      <c r="T3829" s="22"/>
      <c r="U3829" s="22"/>
      <c r="V3829" s="22"/>
      <c r="W3829" s="22"/>
      <c r="X3829" s="22"/>
    </row>
    <row r="3830" spans="1:24" x14ac:dyDescent="0.25">
      <c r="A3830" s="22"/>
      <c r="B3830" s="22"/>
      <c r="C3830" s="22"/>
      <c r="D3830" s="22"/>
      <c r="E3830" s="22"/>
      <c r="F3830" s="22"/>
      <c r="G3830" s="22"/>
      <c r="H3830" s="22"/>
      <c r="I3830" s="22"/>
      <c r="J3830" s="22"/>
      <c r="K3830" s="22"/>
      <c r="L3830" s="22"/>
      <c r="M3830" s="22"/>
      <c r="N3830" s="22"/>
      <c r="O3830" s="22"/>
      <c r="P3830" s="22"/>
      <c r="Q3830" s="22"/>
      <c r="R3830" s="22"/>
      <c r="S3830" s="22"/>
      <c r="T3830" s="22"/>
      <c r="U3830" s="22"/>
      <c r="V3830" s="22"/>
      <c r="W3830" s="22"/>
      <c r="X3830" s="22"/>
    </row>
    <row r="3831" spans="1:24" x14ac:dyDescent="0.25">
      <c r="A3831" s="22"/>
      <c r="B3831" s="22"/>
      <c r="C3831" s="22"/>
      <c r="D3831" s="22"/>
      <c r="E3831" s="22"/>
      <c r="F3831" s="22"/>
      <c r="G3831" s="22"/>
      <c r="H3831" s="22"/>
      <c r="I3831" s="22"/>
      <c r="J3831" s="22"/>
      <c r="K3831" s="22"/>
      <c r="L3831" s="22"/>
      <c r="M3831" s="22"/>
      <c r="N3831" s="22"/>
      <c r="O3831" s="22"/>
      <c r="P3831" s="22"/>
      <c r="Q3831" s="22"/>
      <c r="R3831" s="22"/>
      <c r="S3831" s="22"/>
      <c r="T3831" s="22"/>
      <c r="U3831" s="22"/>
      <c r="V3831" s="22"/>
      <c r="W3831" s="22"/>
      <c r="X3831" s="22"/>
    </row>
    <row r="3832" spans="1:24" x14ac:dyDescent="0.25">
      <c r="A3832" s="22"/>
      <c r="B3832" s="22"/>
      <c r="C3832" s="22"/>
      <c r="D3832" s="22"/>
      <c r="E3832" s="22"/>
      <c r="F3832" s="22"/>
      <c r="G3832" s="22"/>
      <c r="H3832" s="22"/>
      <c r="I3832" s="22"/>
      <c r="J3832" s="22"/>
      <c r="K3832" s="22"/>
      <c r="L3832" s="22"/>
      <c r="M3832" s="22"/>
      <c r="N3832" s="22"/>
      <c r="O3832" s="22"/>
      <c r="P3832" s="22"/>
      <c r="Q3832" s="22"/>
      <c r="R3832" s="22"/>
      <c r="S3832" s="22"/>
      <c r="T3832" s="22"/>
      <c r="U3832" s="22"/>
      <c r="V3832" s="22"/>
      <c r="W3832" s="22"/>
      <c r="X3832" s="22"/>
    </row>
    <row r="3833" spans="1:24" x14ac:dyDescent="0.25">
      <c r="A3833" s="22"/>
      <c r="B3833" s="22"/>
      <c r="C3833" s="22"/>
      <c r="D3833" s="22"/>
      <c r="E3833" s="22"/>
      <c r="F3833" s="22"/>
      <c r="G3833" s="22"/>
      <c r="H3833" s="22"/>
      <c r="I3833" s="22"/>
      <c r="J3833" s="22"/>
      <c r="K3833" s="22"/>
      <c r="L3833" s="22"/>
      <c r="M3833" s="22"/>
      <c r="N3833" s="22"/>
      <c r="O3833" s="22"/>
      <c r="P3833" s="22"/>
      <c r="Q3833" s="22"/>
      <c r="R3833" s="22"/>
      <c r="S3833" s="22"/>
      <c r="T3833" s="22"/>
      <c r="U3833" s="22"/>
      <c r="V3833" s="22"/>
      <c r="W3833" s="22"/>
      <c r="X3833" s="22"/>
    </row>
    <row r="3834" spans="1:24" x14ac:dyDescent="0.25">
      <c r="A3834" s="22"/>
      <c r="B3834" s="22"/>
      <c r="C3834" s="22"/>
      <c r="D3834" s="22"/>
      <c r="E3834" s="22"/>
      <c r="F3834" s="22"/>
      <c r="G3834" s="22"/>
      <c r="H3834" s="22"/>
      <c r="I3834" s="22"/>
      <c r="J3834" s="22"/>
      <c r="K3834" s="22"/>
      <c r="L3834" s="22"/>
      <c r="M3834" s="22"/>
      <c r="N3834" s="22"/>
      <c r="O3834" s="22"/>
      <c r="P3834" s="22"/>
      <c r="Q3834" s="22"/>
      <c r="R3834" s="22"/>
      <c r="S3834" s="22"/>
      <c r="T3834" s="22"/>
      <c r="U3834" s="22"/>
      <c r="V3834" s="22"/>
      <c r="W3834" s="22"/>
      <c r="X3834" s="22"/>
    </row>
    <row r="3835" spans="1:24" x14ac:dyDescent="0.25">
      <c r="A3835" s="22"/>
      <c r="B3835" s="22"/>
      <c r="C3835" s="22"/>
      <c r="D3835" s="22"/>
      <c r="E3835" s="22"/>
      <c r="F3835" s="22"/>
      <c r="G3835" s="22"/>
      <c r="H3835" s="22"/>
      <c r="I3835" s="22"/>
      <c r="J3835" s="22"/>
      <c r="K3835" s="22"/>
      <c r="L3835" s="22"/>
      <c r="M3835" s="22"/>
      <c r="N3835" s="22"/>
      <c r="O3835" s="22"/>
      <c r="P3835" s="22"/>
      <c r="Q3835" s="22"/>
      <c r="R3835" s="22"/>
      <c r="S3835" s="22"/>
      <c r="T3835" s="22"/>
      <c r="U3835" s="22"/>
      <c r="V3835" s="22"/>
      <c r="W3835" s="22"/>
      <c r="X3835" s="22"/>
    </row>
    <row r="3836" spans="1:24" x14ac:dyDescent="0.25">
      <c r="A3836" s="22"/>
      <c r="B3836" s="22"/>
      <c r="C3836" s="22"/>
      <c r="D3836" s="22"/>
      <c r="E3836" s="22"/>
      <c r="F3836" s="22"/>
      <c r="G3836" s="22"/>
      <c r="H3836" s="22"/>
      <c r="I3836" s="22"/>
      <c r="J3836" s="22"/>
      <c r="K3836" s="22"/>
      <c r="L3836" s="22"/>
      <c r="M3836" s="22"/>
      <c r="N3836" s="22"/>
      <c r="O3836" s="22"/>
      <c r="P3836" s="22"/>
      <c r="Q3836" s="22"/>
      <c r="R3836" s="22"/>
      <c r="S3836" s="22"/>
      <c r="T3836" s="22"/>
      <c r="U3836" s="22"/>
      <c r="V3836" s="22"/>
      <c r="W3836" s="22"/>
      <c r="X3836" s="22"/>
    </row>
    <row r="3837" spans="1:24" x14ac:dyDescent="0.25">
      <c r="A3837" s="22"/>
      <c r="B3837" s="22"/>
      <c r="C3837" s="22"/>
      <c r="D3837" s="22"/>
      <c r="E3837" s="22"/>
      <c r="F3837" s="22"/>
      <c r="G3837" s="22"/>
      <c r="H3837" s="22"/>
      <c r="I3837" s="22"/>
      <c r="J3837" s="22"/>
      <c r="K3837" s="22"/>
      <c r="L3837" s="22"/>
      <c r="M3837" s="22"/>
      <c r="N3837" s="22"/>
      <c r="O3837" s="22"/>
      <c r="P3837" s="22"/>
      <c r="Q3837" s="22"/>
      <c r="R3837" s="22"/>
      <c r="S3837" s="22"/>
      <c r="T3837" s="22"/>
      <c r="U3837" s="22"/>
      <c r="V3837" s="22"/>
      <c r="W3837" s="22"/>
      <c r="X3837" s="22"/>
    </row>
    <row r="3838" spans="1:24" x14ac:dyDescent="0.25">
      <c r="A3838" s="22"/>
      <c r="B3838" s="22"/>
      <c r="C3838" s="22"/>
      <c r="D3838" s="22"/>
      <c r="E3838" s="22"/>
      <c r="F3838" s="22"/>
      <c r="G3838" s="22"/>
      <c r="H3838" s="22"/>
      <c r="I3838" s="22"/>
      <c r="J3838" s="22"/>
      <c r="K3838" s="22"/>
      <c r="L3838" s="22"/>
      <c r="M3838" s="22"/>
      <c r="N3838" s="22"/>
      <c r="O3838" s="22"/>
      <c r="P3838" s="22"/>
      <c r="Q3838" s="22"/>
      <c r="R3838" s="22"/>
      <c r="S3838" s="22"/>
      <c r="T3838" s="22"/>
      <c r="U3838" s="22"/>
      <c r="V3838" s="22"/>
      <c r="W3838" s="22"/>
      <c r="X3838" s="22"/>
    </row>
    <row r="3839" spans="1:24" x14ac:dyDescent="0.25">
      <c r="A3839" s="22"/>
      <c r="B3839" s="22"/>
      <c r="C3839" s="22"/>
      <c r="D3839" s="22"/>
      <c r="E3839" s="22"/>
      <c r="F3839" s="22"/>
      <c r="G3839" s="22"/>
      <c r="H3839" s="22"/>
      <c r="I3839" s="22"/>
      <c r="J3839" s="22"/>
      <c r="K3839" s="22"/>
      <c r="L3839" s="22"/>
      <c r="M3839" s="22"/>
      <c r="N3839" s="22"/>
      <c r="O3839" s="22"/>
      <c r="P3839" s="22"/>
      <c r="Q3839" s="22"/>
      <c r="R3839" s="22"/>
      <c r="S3839" s="22"/>
      <c r="T3839" s="22"/>
      <c r="U3839" s="22"/>
      <c r="V3839" s="22"/>
      <c r="W3839" s="22"/>
      <c r="X3839" s="22"/>
    </row>
    <row r="3840" spans="1:24" x14ac:dyDescent="0.25">
      <c r="A3840" s="22"/>
      <c r="B3840" s="22"/>
      <c r="C3840" s="22"/>
      <c r="D3840" s="22"/>
      <c r="E3840" s="22"/>
      <c r="F3840" s="22"/>
      <c r="G3840" s="22"/>
      <c r="H3840" s="22"/>
      <c r="I3840" s="22"/>
      <c r="J3840" s="22"/>
      <c r="K3840" s="22"/>
      <c r="L3840" s="22"/>
      <c r="M3840" s="22"/>
      <c r="N3840" s="22"/>
      <c r="O3840" s="22"/>
      <c r="P3840" s="22"/>
      <c r="Q3840" s="22"/>
      <c r="R3840" s="22"/>
      <c r="S3840" s="22"/>
      <c r="T3840" s="22"/>
      <c r="U3840" s="22"/>
      <c r="V3840" s="22"/>
      <c r="W3840" s="22"/>
      <c r="X3840" s="22"/>
    </row>
    <row r="3841" spans="1:24" x14ac:dyDescent="0.25">
      <c r="A3841" s="22"/>
      <c r="B3841" s="22"/>
      <c r="C3841" s="22"/>
      <c r="D3841" s="22"/>
      <c r="E3841" s="22"/>
      <c r="F3841" s="22"/>
      <c r="G3841" s="22"/>
      <c r="H3841" s="22"/>
      <c r="I3841" s="22"/>
      <c r="J3841" s="22"/>
      <c r="K3841" s="22"/>
      <c r="L3841" s="22"/>
      <c r="M3841" s="22"/>
      <c r="N3841" s="22"/>
      <c r="O3841" s="22"/>
      <c r="P3841" s="22"/>
      <c r="Q3841" s="22"/>
      <c r="R3841" s="22"/>
      <c r="S3841" s="22"/>
      <c r="T3841" s="22"/>
      <c r="U3841" s="22"/>
      <c r="V3841" s="22"/>
      <c r="W3841" s="22"/>
      <c r="X3841" s="22"/>
    </row>
    <row r="3842" spans="1:24" x14ac:dyDescent="0.25">
      <c r="A3842" s="22"/>
      <c r="B3842" s="22"/>
      <c r="C3842" s="22"/>
      <c r="D3842" s="22"/>
      <c r="E3842" s="22"/>
      <c r="F3842" s="22"/>
      <c r="G3842" s="22"/>
      <c r="H3842" s="22"/>
      <c r="I3842" s="22"/>
      <c r="J3842" s="22"/>
      <c r="K3842" s="22"/>
      <c r="L3842" s="22"/>
      <c r="M3842" s="22"/>
      <c r="N3842" s="22"/>
      <c r="O3842" s="22"/>
      <c r="P3842" s="22"/>
      <c r="Q3842" s="22"/>
      <c r="R3842" s="22"/>
      <c r="S3842" s="22"/>
      <c r="T3842" s="22"/>
      <c r="U3842" s="22"/>
      <c r="V3842" s="22"/>
      <c r="W3842" s="22"/>
      <c r="X3842" s="22"/>
    </row>
    <row r="3843" spans="1:24" x14ac:dyDescent="0.25">
      <c r="A3843" s="22"/>
      <c r="B3843" s="22"/>
      <c r="C3843" s="22"/>
      <c r="D3843" s="22"/>
      <c r="E3843" s="22"/>
      <c r="F3843" s="22"/>
      <c r="G3843" s="22"/>
      <c r="H3843" s="22"/>
      <c r="I3843" s="22"/>
      <c r="J3843" s="22"/>
      <c r="K3843" s="22"/>
      <c r="L3843" s="22"/>
      <c r="M3843" s="22"/>
      <c r="N3843" s="22"/>
      <c r="O3843" s="22"/>
      <c r="P3843" s="22"/>
      <c r="Q3843" s="22"/>
      <c r="R3843" s="22"/>
      <c r="S3843" s="22"/>
      <c r="T3843" s="22"/>
      <c r="U3843" s="22"/>
      <c r="V3843" s="22"/>
      <c r="W3843" s="22"/>
      <c r="X3843" s="22"/>
    </row>
    <row r="3844" spans="1:24" x14ac:dyDescent="0.25">
      <c r="A3844" s="22"/>
      <c r="B3844" s="22"/>
      <c r="C3844" s="22"/>
      <c r="D3844" s="22"/>
      <c r="E3844" s="22"/>
      <c r="F3844" s="22"/>
      <c r="G3844" s="22"/>
      <c r="H3844" s="22"/>
      <c r="I3844" s="22"/>
      <c r="J3844" s="22"/>
      <c r="K3844" s="22"/>
      <c r="L3844" s="22"/>
      <c r="M3844" s="22"/>
      <c r="N3844" s="22"/>
      <c r="O3844" s="22"/>
      <c r="P3844" s="22"/>
      <c r="Q3844" s="22"/>
      <c r="R3844" s="22"/>
      <c r="S3844" s="22"/>
      <c r="T3844" s="22"/>
      <c r="U3844" s="22"/>
      <c r="V3844" s="22"/>
      <c r="W3844" s="22"/>
      <c r="X3844" s="22"/>
    </row>
    <row r="3845" spans="1:24" x14ac:dyDescent="0.25">
      <c r="A3845" s="22"/>
      <c r="B3845" s="22"/>
      <c r="C3845" s="22"/>
      <c r="D3845" s="22"/>
      <c r="E3845" s="22"/>
      <c r="F3845" s="22"/>
      <c r="G3845" s="22"/>
      <c r="H3845" s="22"/>
      <c r="I3845" s="22"/>
      <c r="J3845" s="22"/>
      <c r="K3845" s="22"/>
      <c r="L3845" s="22"/>
      <c r="M3845" s="22"/>
      <c r="N3845" s="22"/>
      <c r="O3845" s="22"/>
      <c r="P3845" s="22"/>
      <c r="Q3845" s="22"/>
      <c r="R3845" s="22"/>
      <c r="S3845" s="22"/>
      <c r="T3845" s="22"/>
      <c r="U3845" s="22"/>
      <c r="V3845" s="22"/>
      <c r="W3845" s="22"/>
      <c r="X3845" s="22"/>
    </row>
    <row r="3846" spans="1:24" x14ac:dyDescent="0.25">
      <c r="A3846" s="22"/>
      <c r="B3846" s="22"/>
      <c r="C3846" s="22"/>
      <c r="D3846" s="22"/>
      <c r="E3846" s="22"/>
      <c r="F3846" s="22"/>
      <c r="G3846" s="22"/>
      <c r="H3846" s="22"/>
      <c r="I3846" s="22"/>
      <c r="J3846" s="22"/>
      <c r="K3846" s="22"/>
      <c r="L3846" s="22"/>
      <c r="M3846" s="22"/>
      <c r="N3846" s="22"/>
      <c r="O3846" s="22"/>
      <c r="P3846" s="22"/>
      <c r="Q3846" s="22"/>
      <c r="R3846" s="22"/>
      <c r="S3846" s="22"/>
      <c r="T3846" s="22"/>
      <c r="U3846" s="22"/>
      <c r="V3846" s="22"/>
      <c r="W3846" s="22"/>
      <c r="X3846" s="22"/>
    </row>
    <row r="3847" spans="1:24" x14ac:dyDescent="0.25">
      <c r="A3847" s="22"/>
      <c r="B3847" s="22"/>
      <c r="C3847" s="22"/>
      <c r="D3847" s="22"/>
      <c r="E3847" s="22"/>
      <c r="F3847" s="22"/>
      <c r="G3847" s="22"/>
      <c r="H3847" s="22"/>
      <c r="I3847" s="22"/>
      <c r="J3847" s="22"/>
      <c r="K3847" s="22"/>
      <c r="L3847" s="22"/>
      <c r="M3847" s="22"/>
      <c r="N3847" s="22"/>
      <c r="O3847" s="22"/>
      <c r="P3847" s="22"/>
      <c r="Q3847" s="22"/>
      <c r="R3847" s="22"/>
      <c r="S3847" s="22"/>
      <c r="T3847" s="22"/>
      <c r="U3847" s="22"/>
      <c r="V3847" s="22"/>
      <c r="W3847" s="22"/>
      <c r="X3847" s="22"/>
    </row>
    <row r="3848" spans="1:24" x14ac:dyDescent="0.25">
      <c r="A3848" s="22"/>
      <c r="B3848" s="22"/>
      <c r="C3848" s="22"/>
      <c r="D3848" s="22"/>
      <c r="E3848" s="22"/>
      <c r="F3848" s="22"/>
      <c r="G3848" s="22"/>
      <c r="H3848" s="22"/>
      <c r="I3848" s="22"/>
      <c r="J3848" s="22"/>
      <c r="K3848" s="22"/>
      <c r="L3848" s="22"/>
      <c r="M3848" s="22"/>
      <c r="N3848" s="22"/>
      <c r="O3848" s="22"/>
      <c r="P3848" s="22"/>
      <c r="Q3848" s="22"/>
      <c r="R3848" s="22"/>
      <c r="S3848" s="22"/>
      <c r="T3848" s="22"/>
      <c r="U3848" s="22"/>
      <c r="V3848" s="22"/>
      <c r="W3848" s="22"/>
      <c r="X3848" s="22"/>
    </row>
    <row r="3849" spans="1:24" x14ac:dyDescent="0.25">
      <c r="A3849" s="22"/>
      <c r="B3849" s="22"/>
      <c r="C3849" s="22"/>
      <c r="D3849" s="22"/>
      <c r="E3849" s="22"/>
      <c r="F3849" s="22"/>
      <c r="G3849" s="22"/>
      <c r="H3849" s="22"/>
      <c r="I3849" s="22"/>
      <c r="J3849" s="22"/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22"/>
      <c r="V3849" s="22"/>
      <c r="W3849" s="22"/>
      <c r="X3849" s="22"/>
    </row>
    <row r="3850" spans="1:24" x14ac:dyDescent="0.25">
      <c r="A3850" s="22"/>
      <c r="B3850" s="22"/>
      <c r="C3850" s="22"/>
      <c r="D3850" s="22"/>
      <c r="E3850" s="22"/>
      <c r="F3850" s="22"/>
      <c r="G3850" s="22"/>
      <c r="H3850" s="22"/>
      <c r="I3850" s="22"/>
      <c r="J3850" s="22"/>
      <c r="K3850" s="22"/>
      <c r="L3850" s="22"/>
      <c r="M3850" s="22"/>
      <c r="N3850" s="22"/>
      <c r="O3850" s="22"/>
      <c r="P3850" s="22"/>
      <c r="Q3850" s="22"/>
      <c r="R3850" s="22"/>
      <c r="S3850" s="22"/>
      <c r="T3850" s="22"/>
      <c r="U3850" s="22"/>
      <c r="V3850" s="22"/>
      <c r="W3850" s="22"/>
      <c r="X3850" s="22"/>
    </row>
    <row r="3851" spans="1:24" x14ac:dyDescent="0.25">
      <c r="A3851" s="22"/>
      <c r="B3851" s="22"/>
      <c r="C3851" s="22"/>
      <c r="D3851" s="22"/>
      <c r="E3851" s="22"/>
      <c r="F3851" s="22"/>
      <c r="G3851" s="22"/>
      <c r="H3851" s="22"/>
      <c r="I3851" s="22"/>
      <c r="J3851" s="22"/>
      <c r="K3851" s="22"/>
      <c r="L3851" s="22"/>
      <c r="M3851" s="22"/>
      <c r="N3851" s="22"/>
      <c r="O3851" s="22"/>
      <c r="P3851" s="22"/>
      <c r="Q3851" s="22"/>
      <c r="R3851" s="22"/>
      <c r="S3851" s="22"/>
      <c r="T3851" s="22"/>
      <c r="U3851" s="22"/>
      <c r="V3851" s="22"/>
      <c r="W3851" s="22"/>
      <c r="X3851" s="22"/>
    </row>
    <row r="3852" spans="1:24" x14ac:dyDescent="0.25">
      <c r="A3852" s="22"/>
      <c r="B3852" s="22"/>
      <c r="C3852" s="22"/>
      <c r="D3852" s="22"/>
      <c r="E3852" s="22"/>
      <c r="F3852" s="22"/>
      <c r="G3852" s="22"/>
      <c r="H3852" s="22"/>
      <c r="I3852" s="22"/>
      <c r="J3852" s="22"/>
      <c r="K3852" s="22"/>
      <c r="L3852" s="22"/>
      <c r="M3852" s="22"/>
      <c r="N3852" s="22"/>
      <c r="O3852" s="22"/>
      <c r="P3852" s="22"/>
      <c r="Q3852" s="22"/>
      <c r="R3852" s="22"/>
      <c r="S3852" s="22"/>
      <c r="T3852" s="22"/>
      <c r="U3852" s="22"/>
      <c r="V3852" s="22"/>
      <c r="W3852" s="22"/>
      <c r="X3852" s="22"/>
    </row>
    <row r="3853" spans="1:24" x14ac:dyDescent="0.25">
      <c r="A3853" s="22"/>
      <c r="B3853" s="22"/>
      <c r="C3853" s="22"/>
      <c r="D3853" s="22"/>
      <c r="E3853" s="22"/>
      <c r="F3853" s="22"/>
      <c r="G3853" s="22"/>
      <c r="H3853" s="22"/>
      <c r="I3853" s="22"/>
      <c r="J3853" s="22"/>
      <c r="K3853" s="22"/>
      <c r="L3853" s="22"/>
      <c r="M3853" s="22"/>
      <c r="N3853" s="22"/>
      <c r="O3853" s="22"/>
      <c r="P3853" s="22"/>
      <c r="Q3853" s="22"/>
      <c r="R3853" s="22"/>
      <c r="S3853" s="22"/>
      <c r="T3853" s="22"/>
      <c r="U3853" s="22"/>
      <c r="V3853" s="22"/>
      <c r="W3853" s="22"/>
      <c r="X3853" s="22"/>
    </row>
    <row r="3854" spans="1:24" x14ac:dyDescent="0.25">
      <c r="A3854" s="22"/>
      <c r="B3854" s="22"/>
      <c r="C3854" s="22"/>
      <c r="D3854" s="22"/>
      <c r="E3854" s="22"/>
      <c r="F3854" s="22"/>
      <c r="G3854" s="22"/>
      <c r="H3854" s="22"/>
      <c r="I3854" s="22"/>
      <c r="J3854" s="22"/>
      <c r="K3854" s="22"/>
      <c r="L3854" s="22"/>
      <c r="M3854" s="22"/>
      <c r="N3854" s="22"/>
      <c r="O3854" s="22"/>
      <c r="P3854" s="22"/>
      <c r="Q3854" s="22"/>
      <c r="R3854" s="22"/>
      <c r="S3854" s="22"/>
      <c r="T3854" s="22"/>
      <c r="U3854" s="22"/>
      <c r="V3854" s="22"/>
      <c r="W3854" s="22"/>
      <c r="X3854" s="22"/>
    </row>
    <row r="3855" spans="1:24" x14ac:dyDescent="0.25">
      <c r="A3855" s="22"/>
      <c r="B3855" s="22"/>
      <c r="C3855" s="22"/>
      <c r="D3855" s="22"/>
      <c r="E3855" s="22"/>
      <c r="F3855" s="22"/>
      <c r="G3855" s="22"/>
      <c r="H3855" s="22"/>
      <c r="I3855" s="22"/>
      <c r="J3855" s="22"/>
      <c r="K3855" s="22"/>
      <c r="L3855" s="22"/>
      <c r="M3855" s="22"/>
      <c r="N3855" s="22"/>
      <c r="O3855" s="22"/>
      <c r="P3855" s="22"/>
      <c r="Q3855" s="22"/>
      <c r="R3855" s="22"/>
      <c r="S3855" s="22"/>
      <c r="T3855" s="22"/>
      <c r="U3855" s="22"/>
      <c r="V3855" s="22"/>
      <c r="W3855" s="22"/>
      <c r="X3855" s="22"/>
    </row>
    <row r="3856" spans="1:24" x14ac:dyDescent="0.25">
      <c r="A3856" s="22"/>
      <c r="B3856" s="22"/>
      <c r="C3856" s="22"/>
      <c r="D3856" s="22"/>
      <c r="E3856" s="22"/>
      <c r="F3856" s="22"/>
      <c r="G3856" s="22"/>
      <c r="H3856" s="22"/>
      <c r="I3856" s="22"/>
      <c r="J3856" s="22"/>
      <c r="K3856" s="22"/>
      <c r="L3856" s="22"/>
      <c r="M3856" s="22"/>
      <c r="N3856" s="22"/>
      <c r="O3856" s="22"/>
      <c r="P3856" s="22"/>
      <c r="Q3856" s="22"/>
      <c r="R3856" s="22"/>
      <c r="S3856" s="22"/>
      <c r="T3856" s="22"/>
      <c r="U3856" s="22"/>
      <c r="V3856" s="22"/>
      <c r="W3856" s="22"/>
      <c r="X3856" s="22"/>
    </row>
    <row r="3857" spans="1:24" x14ac:dyDescent="0.25">
      <c r="A3857" s="22"/>
      <c r="B3857" s="22"/>
      <c r="C3857" s="22"/>
      <c r="D3857" s="22"/>
      <c r="E3857" s="22"/>
      <c r="F3857" s="22"/>
      <c r="G3857" s="22"/>
      <c r="H3857" s="22"/>
      <c r="I3857" s="22"/>
      <c r="J3857" s="22"/>
      <c r="K3857" s="22"/>
      <c r="L3857" s="22"/>
      <c r="M3857" s="22"/>
      <c r="N3857" s="22"/>
      <c r="O3857" s="22"/>
      <c r="P3857" s="22"/>
      <c r="Q3857" s="22"/>
      <c r="R3857" s="22"/>
      <c r="S3857" s="22"/>
      <c r="T3857" s="22"/>
      <c r="U3857" s="22"/>
      <c r="V3857" s="22"/>
      <c r="W3857" s="22"/>
      <c r="X3857" s="22"/>
    </row>
    <row r="3858" spans="1:24" x14ac:dyDescent="0.25">
      <c r="A3858" s="22"/>
      <c r="B3858" s="22"/>
      <c r="C3858" s="22"/>
      <c r="D3858" s="22"/>
      <c r="E3858" s="22"/>
      <c r="F3858" s="22"/>
      <c r="G3858" s="22"/>
      <c r="H3858" s="22"/>
      <c r="I3858" s="22"/>
      <c r="J3858" s="22"/>
      <c r="K3858" s="22"/>
      <c r="L3858" s="22"/>
      <c r="M3858" s="22"/>
      <c r="N3858" s="22"/>
      <c r="O3858" s="22"/>
      <c r="P3858" s="22"/>
      <c r="Q3858" s="22"/>
      <c r="R3858" s="22"/>
      <c r="S3858" s="22"/>
      <c r="T3858" s="22"/>
      <c r="U3858" s="22"/>
      <c r="V3858" s="22"/>
      <c r="W3858" s="22"/>
      <c r="X3858" s="22"/>
    </row>
    <row r="3859" spans="1:24" x14ac:dyDescent="0.25">
      <c r="A3859" s="22"/>
      <c r="B3859" s="22"/>
      <c r="C3859" s="22"/>
      <c r="D3859" s="22"/>
      <c r="E3859" s="22"/>
      <c r="F3859" s="22"/>
      <c r="G3859" s="22"/>
      <c r="H3859" s="22"/>
      <c r="I3859" s="22"/>
      <c r="J3859" s="22"/>
      <c r="K3859" s="22"/>
      <c r="L3859" s="22"/>
      <c r="M3859" s="22"/>
      <c r="N3859" s="22"/>
      <c r="O3859" s="22"/>
      <c r="P3859" s="22"/>
      <c r="Q3859" s="22"/>
      <c r="R3859" s="22"/>
      <c r="S3859" s="22"/>
      <c r="T3859" s="22"/>
      <c r="U3859" s="22"/>
      <c r="V3859" s="22"/>
      <c r="W3859" s="22"/>
      <c r="X3859" s="22"/>
    </row>
    <row r="3860" spans="1:24" x14ac:dyDescent="0.25">
      <c r="A3860" s="22"/>
      <c r="B3860" s="22"/>
      <c r="C3860" s="22"/>
      <c r="D3860" s="22"/>
      <c r="E3860" s="22"/>
      <c r="F3860" s="22"/>
      <c r="G3860" s="22"/>
      <c r="H3860" s="22"/>
      <c r="I3860" s="22"/>
      <c r="J3860" s="22"/>
      <c r="K3860" s="22"/>
      <c r="L3860" s="22"/>
      <c r="M3860" s="22"/>
      <c r="N3860" s="22"/>
      <c r="O3860" s="22"/>
      <c r="P3860" s="22"/>
      <c r="Q3860" s="22"/>
      <c r="R3860" s="22"/>
      <c r="S3860" s="22"/>
      <c r="T3860" s="22"/>
      <c r="U3860" s="22"/>
      <c r="V3860" s="22"/>
      <c r="W3860" s="22"/>
      <c r="X3860" s="22"/>
    </row>
    <row r="3861" spans="1:24" x14ac:dyDescent="0.25">
      <c r="A3861" s="22"/>
      <c r="B3861" s="22"/>
      <c r="C3861" s="22"/>
      <c r="D3861" s="22"/>
      <c r="E3861" s="22"/>
      <c r="F3861" s="22"/>
      <c r="G3861" s="22"/>
      <c r="H3861" s="22"/>
      <c r="I3861" s="22"/>
      <c r="J3861" s="22"/>
      <c r="K3861" s="22"/>
      <c r="L3861" s="22"/>
      <c r="M3861" s="22"/>
      <c r="N3861" s="22"/>
      <c r="O3861" s="22"/>
      <c r="P3861" s="22"/>
      <c r="Q3861" s="22"/>
      <c r="R3861" s="22"/>
      <c r="S3861" s="22"/>
      <c r="T3861" s="22"/>
      <c r="U3861" s="22"/>
      <c r="V3861" s="22"/>
      <c r="W3861" s="22"/>
      <c r="X3861" s="22"/>
    </row>
    <row r="3862" spans="1:24" x14ac:dyDescent="0.25">
      <c r="A3862" s="22"/>
      <c r="B3862" s="22"/>
      <c r="C3862" s="22"/>
      <c r="D3862" s="22"/>
      <c r="E3862" s="22"/>
      <c r="F3862" s="22"/>
      <c r="G3862" s="22"/>
      <c r="H3862" s="22"/>
      <c r="I3862" s="22"/>
      <c r="J3862" s="22"/>
      <c r="K3862" s="22"/>
      <c r="L3862" s="22"/>
      <c r="M3862" s="22"/>
      <c r="N3862" s="22"/>
      <c r="O3862" s="22"/>
      <c r="P3862" s="22"/>
      <c r="Q3862" s="22"/>
      <c r="R3862" s="22"/>
      <c r="S3862" s="22"/>
      <c r="T3862" s="22"/>
      <c r="U3862" s="22"/>
      <c r="V3862" s="22"/>
      <c r="W3862" s="22"/>
      <c r="X3862" s="22"/>
    </row>
    <row r="3863" spans="1:24" x14ac:dyDescent="0.25">
      <c r="A3863" s="22"/>
      <c r="B3863" s="22"/>
      <c r="C3863" s="22"/>
      <c r="D3863" s="22"/>
      <c r="E3863" s="22"/>
      <c r="F3863" s="22"/>
      <c r="G3863" s="22"/>
      <c r="H3863" s="22"/>
      <c r="I3863" s="22"/>
      <c r="J3863" s="22"/>
      <c r="K3863" s="22"/>
      <c r="L3863" s="22"/>
      <c r="M3863" s="22"/>
      <c r="N3863" s="22"/>
      <c r="O3863" s="22"/>
      <c r="P3863" s="22"/>
      <c r="Q3863" s="22"/>
      <c r="R3863" s="22"/>
      <c r="S3863" s="22"/>
      <c r="T3863" s="22"/>
      <c r="U3863" s="22"/>
      <c r="V3863" s="22"/>
      <c r="W3863" s="22"/>
      <c r="X3863" s="22"/>
    </row>
    <row r="3864" spans="1:24" x14ac:dyDescent="0.25">
      <c r="A3864" s="22"/>
      <c r="B3864" s="22"/>
      <c r="C3864" s="22"/>
      <c r="D3864" s="22"/>
      <c r="E3864" s="22"/>
      <c r="F3864" s="22"/>
      <c r="G3864" s="22"/>
      <c r="H3864" s="22"/>
      <c r="I3864" s="22"/>
      <c r="J3864" s="22"/>
      <c r="K3864" s="22"/>
      <c r="L3864" s="22"/>
      <c r="M3864" s="22"/>
      <c r="N3864" s="22"/>
      <c r="O3864" s="22"/>
      <c r="P3864" s="22"/>
      <c r="Q3864" s="22"/>
      <c r="R3864" s="22"/>
      <c r="S3864" s="22"/>
      <c r="T3864" s="22"/>
      <c r="U3864" s="22"/>
      <c r="V3864" s="22"/>
      <c r="W3864" s="22"/>
      <c r="X3864" s="22"/>
    </row>
    <row r="3865" spans="1:24" x14ac:dyDescent="0.25">
      <c r="A3865" s="22"/>
      <c r="B3865" s="22"/>
      <c r="C3865" s="22"/>
      <c r="D3865" s="22"/>
      <c r="E3865" s="22"/>
      <c r="F3865" s="22"/>
      <c r="G3865" s="22"/>
      <c r="H3865" s="22"/>
      <c r="I3865" s="22"/>
      <c r="J3865" s="22"/>
      <c r="K3865" s="22"/>
      <c r="L3865" s="22"/>
      <c r="M3865" s="22"/>
      <c r="N3865" s="22"/>
      <c r="O3865" s="22"/>
      <c r="P3865" s="22"/>
      <c r="Q3865" s="22"/>
      <c r="R3865" s="22"/>
      <c r="S3865" s="22"/>
      <c r="T3865" s="22"/>
      <c r="U3865" s="22"/>
      <c r="V3865" s="22"/>
      <c r="W3865" s="22"/>
      <c r="X3865" s="22"/>
    </row>
    <row r="3866" spans="1:24" x14ac:dyDescent="0.25">
      <c r="A3866" s="22"/>
      <c r="B3866" s="22"/>
      <c r="C3866" s="22"/>
      <c r="D3866" s="22"/>
      <c r="E3866" s="22"/>
      <c r="F3866" s="22"/>
      <c r="G3866" s="22"/>
      <c r="H3866" s="22"/>
      <c r="I3866" s="22"/>
      <c r="J3866" s="22"/>
      <c r="K3866" s="22"/>
      <c r="L3866" s="22"/>
      <c r="M3866" s="22"/>
      <c r="N3866" s="22"/>
      <c r="O3866" s="22"/>
      <c r="P3866" s="22"/>
      <c r="Q3866" s="22"/>
      <c r="R3866" s="22"/>
      <c r="S3866" s="22"/>
      <c r="T3866" s="22"/>
      <c r="U3866" s="22"/>
      <c r="V3866" s="22"/>
      <c r="W3866" s="22"/>
      <c r="X3866" s="22"/>
    </row>
    <row r="3867" spans="1:24" x14ac:dyDescent="0.25">
      <c r="A3867" s="22"/>
      <c r="B3867" s="22"/>
      <c r="C3867" s="22"/>
      <c r="D3867" s="22"/>
      <c r="E3867" s="22"/>
      <c r="F3867" s="22"/>
      <c r="G3867" s="22"/>
      <c r="H3867" s="22"/>
      <c r="I3867" s="22"/>
      <c r="J3867" s="22"/>
      <c r="K3867" s="22"/>
      <c r="L3867" s="22"/>
      <c r="M3867" s="22"/>
      <c r="N3867" s="22"/>
      <c r="O3867" s="22"/>
      <c r="P3867" s="22"/>
      <c r="Q3867" s="22"/>
      <c r="R3867" s="22"/>
      <c r="S3867" s="22"/>
      <c r="T3867" s="22"/>
      <c r="U3867" s="22"/>
      <c r="V3867" s="22"/>
      <c r="W3867" s="22"/>
      <c r="X3867" s="22"/>
    </row>
    <row r="3868" spans="1:24" x14ac:dyDescent="0.25">
      <c r="A3868" s="22"/>
      <c r="B3868" s="22"/>
      <c r="C3868" s="22"/>
      <c r="D3868" s="22"/>
      <c r="E3868" s="22"/>
      <c r="F3868" s="22"/>
      <c r="G3868" s="22"/>
      <c r="H3868" s="22"/>
      <c r="I3868" s="22"/>
      <c r="J3868" s="22"/>
      <c r="K3868" s="22"/>
      <c r="L3868" s="22"/>
      <c r="M3868" s="22"/>
      <c r="N3868" s="22"/>
      <c r="O3868" s="22"/>
      <c r="P3868" s="22"/>
      <c r="Q3868" s="22"/>
      <c r="R3868" s="22"/>
      <c r="S3868" s="22"/>
      <c r="T3868" s="22"/>
      <c r="U3868" s="22"/>
      <c r="V3868" s="22"/>
      <c r="W3868" s="22"/>
      <c r="X3868" s="22"/>
    </row>
    <row r="3869" spans="1:24" x14ac:dyDescent="0.25">
      <c r="A3869" s="22"/>
      <c r="B3869" s="22"/>
      <c r="C3869" s="22"/>
      <c r="D3869" s="22"/>
      <c r="E3869" s="22"/>
      <c r="F3869" s="22"/>
      <c r="G3869" s="22"/>
      <c r="H3869" s="22"/>
      <c r="I3869" s="22"/>
      <c r="J3869" s="22"/>
      <c r="K3869" s="22"/>
      <c r="L3869" s="22"/>
      <c r="M3869" s="22"/>
      <c r="N3869" s="22"/>
      <c r="O3869" s="22"/>
      <c r="P3869" s="22"/>
      <c r="Q3869" s="22"/>
      <c r="R3869" s="22"/>
      <c r="S3869" s="22"/>
      <c r="T3869" s="22"/>
      <c r="U3869" s="22"/>
      <c r="V3869" s="22"/>
      <c r="W3869" s="22"/>
      <c r="X3869" s="22"/>
    </row>
    <row r="3870" spans="1:24" x14ac:dyDescent="0.25">
      <c r="A3870" s="22"/>
      <c r="B3870" s="22"/>
      <c r="C3870" s="22"/>
      <c r="D3870" s="22"/>
      <c r="E3870" s="22"/>
      <c r="F3870" s="22"/>
      <c r="G3870" s="22"/>
      <c r="H3870" s="22"/>
      <c r="I3870" s="22"/>
      <c r="J3870" s="22"/>
      <c r="K3870" s="22"/>
      <c r="L3870" s="22"/>
      <c r="M3870" s="22"/>
      <c r="N3870" s="22"/>
      <c r="O3870" s="22"/>
      <c r="P3870" s="22"/>
      <c r="Q3870" s="22"/>
      <c r="R3870" s="22"/>
      <c r="S3870" s="22"/>
      <c r="T3870" s="22"/>
      <c r="U3870" s="22"/>
      <c r="V3870" s="22"/>
      <c r="W3870" s="22"/>
      <c r="X3870" s="22"/>
    </row>
    <row r="3871" spans="1:24" x14ac:dyDescent="0.25">
      <c r="A3871" s="22"/>
      <c r="B3871" s="22"/>
      <c r="C3871" s="22"/>
      <c r="D3871" s="22"/>
      <c r="E3871" s="22"/>
      <c r="F3871" s="22"/>
      <c r="G3871" s="22"/>
      <c r="H3871" s="22"/>
      <c r="I3871" s="22"/>
      <c r="J3871" s="22"/>
      <c r="K3871" s="22"/>
      <c r="L3871" s="22"/>
      <c r="M3871" s="22"/>
      <c r="N3871" s="22"/>
      <c r="O3871" s="22"/>
      <c r="P3871" s="22"/>
      <c r="Q3871" s="22"/>
      <c r="R3871" s="22"/>
      <c r="S3871" s="22"/>
      <c r="T3871" s="22"/>
      <c r="U3871" s="22"/>
      <c r="V3871" s="22"/>
      <c r="W3871" s="22"/>
      <c r="X3871" s="22"/>
    </row>
    <row r="3872" spans="1:24" x14ac:dyDescent="0.25">
      <c r="A3872" s="22"/>
      <c r="B3872" s="22"/>
      <c r="C3872" s="22"/>
      <c r="D3872" s="22"/>
      <c r="E3872" s="22"/>
      <c r="F3872" s="22"/>
      <c r="G3872" s="22"/>
      <c r="H3872" s="22"/>
      <c r="I3872" s="22"/>
      <c r="J3872" s="22"/>
      <c r="K3872" s="22"/>
      <c r="L3872" s="22"/>
      <c r="M3872" s="22"/>
      <c r="N3872" s="22"/>
      <c r="O3872" s="22"/>
      <c r="P3872" s="22"/>
      <c r="Q3872" s="22"/>
      <c r="R3872" s="22"/>
      <c r="S3872" s="22"/>
      <c r="T3872" s="22"/>
      <c r="U3872" s="22"/>
      <c r="V3872" s="22"/>
      <c r="W3872" s="22"/>
      <c r="X3872" s="22"/>
    </row>
    <row r="3873" spans="1:24" x14ac:dyDescent="0.25">
      <c r="A3873" s="22"/>
      <c r="B3873" s="22"/>
      <c r="C3873" s="22"/>
      <c r="D3873" s="22"/>
      <c r="E3873" s="22"/>
      <c r="F3873" s="22"/>
      <c r="G3873" s="22"/>
      <c r="H3873" s="22"/>
      <c r="I3873" s="22"/>
      <c r="J3873" s="22"/>
      <c r="K3873" s="22"/>
      <c r="L3873" s="22"/>
      <c r="M3873" s="22"/>
      <c r="N3873" s="22"/>
      <c r="O3873" s="22"/>
      <c r="P3873" s="22"/>
      <c r="Q3873" s="22"/>
      <c r="R3873" s="22"/>
      <c r="S3873" s="22"/>
      <c r="T3873" s="22"/>
      <c r="U3873" s="22"/>
      <c r="V3873" s="22"/>
      <c r="W3873" s="22"/>
      <c r="X3873" s="22"/>
    </row>
    <row r="3874" spans="1:24" x14ac:dyDescent="0.25">
      <c r="A3874" s="22"/>
      <c r="B3874" s="22"/>
      <c r="C3874" s="22"/>
      <c r="D3874" s="22"/>
      <c r="E3874" s="22"/>
      <c r="F3874" s="22"/>
      <c r="G3874" s="22"/>
      <c r="H3874" s="22"/>
      <c r="I3874" s="22"/>
      <c r="J3874" s="22"/>
      <c r="K3874" s="22"/>
      <c r="L3874" s="22"/>
      <c r="M3874" s="22"/>
      <c r="N3874" s="22"/>
      <c r="O3874" s="22"/>
      <c r="P3874" s="22"/>
      <c r="Q3874" s="22"/>
      <c r="R3874" s="22"/>
      <c r="S3874" s="22"/>
      <c r="T3874" s="22"/>
      <c r="U3874" s="22"/>
      <c r="V3874" s="22"/>
      <c r="W3874" s="22"/>
      <c r="X3874" s="22"/>
    </row>
    <row r="3875" spans="1:24" x14ac:dyDescent="0.25">
      <c r="A3875" s="22"/>
      <c r="B3875" s="22"/>
      <c r="C3875" s="22"/>
      <c r="D3875" s="22"/>
      <c r="E3875" s="22"/>
      <c r="F3875" s="22"/>
      <c r="G3875" s="22"/>
      <c r="H3875" s="22"/>
      <c r="I3875" s="22"/>
      <c r="J3875" s="22"/>
      <c r="K3875" s="22"/>
      <c r="L3875" s="22"/>
      <c r="M3875" s="22"/>
      <c r="N3875" s="22"/>
      <c r="O3875" s="22"/>
      <c r="P3875" s="22"/>
      <c r="Q3875" s="22"/>
      <c r="R3875" s="22"/>
      <c r="S3875" s="22"/>
      <c r="T3875" s="22"/>
      <c r="U3875" s="22"/>
      <c r="V3875" s="22"/>
      <c r="W3875" s="22"/>
      <c r="X3875" s="22"/>
    </row>
    <row r="3876" spans="1:24" x14ac:dyDescent="0.25">
      <c r="A3876" s="22"/>
      <c r="B3876" s="22"/>
      <c r="C3876" s="22"/>
      <c r="D3876" s="22"/>
      <c r="E3876" s="22"/>
      <c r="F3876" s="22"/>
      <c r="G3876" s="22"/>
      <c r="H3876" s="22"/>
      <c r="I3876" s="22"/>
      <c r="J3876" s="22"/>
      <c r="K3876" s="22"/>
      <c r="L3876" s="22"/>
      <c r="M3876" s="22"/>
      <c r="N3876" s="22"/>
      <c r="O3876" s="22"/>
      <c r="P3876" s="22"/>
      <c r="Q3876" s="22"/>
      <c r="R3876" s="22"/>
      <c r="S3876" s="22"/>
      <c r="T3876" s="22"/>
      <c r="U3876" s="22"/>
      <c r="V3876" s="22"/>
      <c r="W3876" s="22"/>
      <c r="X3876" s="22"/>
    </row>
    <row r="3877" spans="1:24" x14ac:dyDescent="0.25">
      <c r="A3877" s="22"/>
      <c r="B3877" s="22"/>
      <c r="C3877" s="22"/>
      <c r="D3877" s="22"/>
      <c r="E3877" s="22"/>
      <c r="F3877" s="22"/>
      <c r="G3877" s="22"/>
      <c r="H3877" s="22"/>
      <c r="I3877" s="22"/>
      <c r="J3877" s="22"/>
      <c r="K3877" s="22"/>
      <c r="L3877" s="22"/>
      <c r="M3877" s="22"/>
      <c r="N3877" s="22"/>
      <c r="O3877" s="22"/>
      <c r="P3877" s="22"/>
      <c r="Q3877" s="22"/>
      <c r="R3877" s="22"/>
      <c r="S3877" s="22"/>
      <c r="T3877" s="22"/>
      <c r="U3877" s="22"/>
      <c r="V3877" s="22"/>
      <c r="W3877" s="22"/>
      <c r="X3877" s="22"/>
    </row>
    <row r="3878" spans="1:24" x14ac:dyDescent="0.25">
      <c r="A3878" s="22"/>
      <c r="B3878" s="22"/>
      <c r="C3878" s="22"/>
      <c r="D3878" s="22"/>
      <c r="E3878" s="22"/>
      <c r="F3878" s="22"/>
      <c r="G3878" s="22"/>
      <c r="H3878" s="22"/>
      <c r="I3878" s="22"/>
      <c r="J3878" s="22"/>
      <c r="K3878" s="22"/>
      <c r="L3878" s="22"/>
      <c r="M3878" s="22"/>
      <c r="N3878" s="22"/>
      <c r="O3878" s="22"/>
      <c r="P3878" s="22"/>
      <c r="Q3878" s="22"/>
      <c r="R3878" s="22"/>
      <c r="S3878" s="22"/>
      <c r="T3878" s="22"/>
      <c r="U3878" s="22"/>
      <c r="V3878" s="22"/>
      <c r="W3878" s="22"/>
      <c r="X3878" s="22"/>
    </row>
    <row r="3879" spans="1:24" x14ac:dyDescent="0.25">
      <c r="A3879" s="22"/>
      <c r="B3879" s="22"/>
      <c r="C3879" s="22"/>
      <c r="D3879" s="22"/>
      <c r="E3879" s="22"/>
      <c r="F3879" s="22"/>
      <c r="G3879" s="22"/>
      <c r="H3879" s="22"/>
      <c r="I3879" s="22"/>
      <c r="J3879" s="22"/>
      <c r="K3879" s="22"/>
      <c r="L3879" s="22"/>
      <c r="M3879" s="22"/>
      <c r="N3879" s="22"/>
      <c r="O3879" s="22"/>
      <c r="P3879" s="22"/>
      <c r="Q3879" s="22"/>
      <c r="R3879" s="22"/>
      <c r="S3879" s="22"/>
      <c r="T3879" s="22"/>
      <c r="U3879" s="22"/>
      <c r="V3879" s="22"/>
      <c r="W3879" s="22"/>
      <c r="X3879" s="22"/>
    </row>
    <row r="3880" spans="1:24" x14ac:dyDescent="0.25">
      <c r="A3880" s="22"/>
      <c r="B3880" s="22"/>
      <c r="C3880" s="22"/>
      <c r="D3880" s="22"/>
      <c r="E3880" s="22"/>
      <c r="F3880" s="22"/>
      <c r="G3880" s="22"/>
      <c r="H3880" s="22"/>
      <c r="I3880" s="22"/>
      <c r="J3880" s="22"/>
      <c r="K3880" s="22"/>
      <c r="L3880" s="22"/>
      <c r="M3880" s="22"/>
      <c r="N3880" s="22"/>
      <c r="O3880" s="22"/>
      <c r="P3880" s="22"/>
      <c r="Q3880" s="22"/>
      <c r="R3880" s="22"/>
      <c r="S3880" s="22"/>
      <c r="T3880" s="22"/>
      <c r="U3880" s="22"/>
      <c r="V3880" s="22"/>
      <c r="W3880" s="22"/>
      <c r="X3880" s="22"/>
    </row>
    <row r="3881" spans="1:24" x14ac:dyDescent="0.25">
      <c r="A3881" s="22"/>
      <c r="B3881" s="22"/>
      <c r="C3881" s="22"/>
      <c r="D3881" s="22"/>
      <c r="E3881" s="22"/>
      <c r="F3881" s="22"/>
      <c r="G3881" s="22"/>
      <c r="H3881" s="22"/>
      <c r="I3881" s="22"/>
      <c r="J3881" s="22"/>
      <c r="K3881" s="22"/>
      <c r="L3881" s="22"/>
      <c r="M3881" s="22"/>
      <c r="N3881" s="22"/>
      <c r="O3881" s="22"/>
      <c r="P3881" s="22"/>
      <c r="Q3881" s="22"/>
      <c r="R3881" s="22"/>
      <c r="S3881" s="22"/>
      <c r="T3881" s="22"/>
      <c r="U3881" s="22"/>
      <c r="V3881" s="22"/>
      <c r="W3881" s="22"/>
      <c r="X3881" s="22"/>
    </row>
    <row r="3882" spans="1:24" x14ac:dyDescent="0.25">
      <c r="A3882" s="22"/>
      <c r="B3882" s="22"/>
      <c r="C3882" s="22"/>
      <c r="D3882" s="22"/>
      <c r="E3882" s="22"/>
      <c r="F3882" s="22"/>
      <c r="G3882" s="22"/>
      <c r="H3882" s="22"/>
      <c r="I3882" s="22"/>
      <c r="J3882" s="22"/>
      <c r="K3882" s="22"/>
      <c r="L3882" s="22"/>
      <c r="M3882" s="22"/>
      <c r="N3882" s="22"/>
      <c r="O3882" s="22"/>
      <c r="P3882" s="22"/>
      <c r="Q3882" s="22"/>
      <c r="R3882" s="22"/>
      <c r="S3882" s="22"/>
      <c r="T3882" s="22"/>
      <c r="U3882" s="22"/>
      <c r="V3882" s="22"/>
      <c r="W3882" s="22"/>
      <c r="X3882" s="22"/>
    </row>
    <row r="3883" spans="1:24" x14ac:dyDescent="0.25">
      <c r="A3883" s="22"/>
      <c r="B3883" s="22"/>
      <c r="C3883" s="22"/>
      <c r="D3883" s="22"/>
      <c r="E3883" s="22"/>
      <c r="F3883" s="22"/>
      <c r="G3883" s="22"/>
      <c r="H3883" s="22"/>
      <c r="I3883" s="22"/>
      <c r="J3883" s="22"/>
      <c r="K3883" s="22"/>
      <c r="L3883" s="22"/>
      <c r="M3883" s="22"/>
      <c r="N3883" s="22"/>
      <c r="O3883" s="22"/>
      <c r="P3883" s="22"/>
      <c r="Q3883" s="22"/>
      <c r="R3883" s="22"/>
      <c r="S3883" s="22"/>
      <c r="T3883" s="22"/>
      <c r="U3883" s="22"/>
      <c r="V3883" s="22"/>
      <c r="W3883" s="22"/>
      <c r="X3883" s="22"/>
    </row>
    <row r="3884" spans="1:24" x14ac:dyDescent="0.25">
      <c r="A3884" s="22"/>
      <c r="B3884" s="22"/>
      <c r="C3884" s="22"/>
      <c r="D3884" s="22"/>
      <c r="E3884" s="22"/>
      <c r="F3884" s="22"/>
      <c r="G3884" s="22"/>
      <c r="H3884" s="22"/>
      <c r="I3884" s="22"/>
      <c r="J3884" s="22"/>
      <c r="K3884" s="22"/>
      <c r="L3884" s="22"/>
      <c r="M3884" s="22"/>
      <c r="N3884" s="22"/>
      <c r="O3884" s="22"/>
      <c r="P3884" s="22"/>
      <c r="Q3884" s="22"/>
      <c r="R3884" s="22"/>
      <c r="S3884" s="22"/>
      <c r="T3884" s="22"/>
      <c r="U3884" s="22"/>
      <c r="V3884" s="22"/>
      <c r="W3884" s="22"/>
      <c r="X3884" s="22"/>
    </row>
    <row r="3885" spans="1:24" x14ac:dyDescent="0.25">
      <c r="A3885" s="22"/>
      <c r="B3885" s="22"/>
      <c r="C3885" s="22"/>
      <c r="D3885" s="22"/>
      <c r="E3885" s="22"/>
      <c r="F3885" s="22"/>
      <c r="G3885" s="22"/>
      <c r="H3885" s="22"/>
      <c r="I3885" s="22"/>
      <c r="J3885" s="22"/>
      <c r="K3885" s="22"/>
      <c r="L3885" s="22"/>
      <c r="M3885" s="22"/>
      <c r="N3885" s="22"/>
      <c r="O3885" s="22"/>
      <c r="P3885" s="22"/>
      <c r="Q3885" s="22"/>
      <c r="R3885" s="22"/>
      <c r="S3885" s="22"/>
      <c r="T3885" s="22"/>
      <c r="U3885" s="22"/>
      <c r="V3885" s="22"/>
      <c r="W3885" s="22"/>
      <c r="X3885" s="22"/>
    </row>
    <row r="3886" spans="1:24" x14ac:dyDescent="0.25">
      <c r="A3886" s="22"/>
      <c r="B3886" s="22"/>
      <c r="C3886" s="22"/>
      <c r="D3886" s="22"/>
      <c r="E3886" s="22"/>
      <c r="F3886" s="22"/>
      <c r="G3886" s="22"/>
      <c r="H3886" s="22"/>
      <c r="I3886" s="22"/>
      <c r="J3886" s="22"/>
      <c r="K3886" s="22"/>
      <c r="L3886" s="22"/>
      <c r="M3886" s="22"/>
      <c r="N3886" s="22"/>
      <c r="O3886" s="22"/>
      <c r="P3886" s="22"/>
      <c r="Q3886" s="22"/>
      <c r="R3886" s="22"/>
      <c r="S3886" s="22"/>
      <c r="T3886" s="22"/>
      <c r="U3886" s="22"/>
      <c r="V3886" s="22"/>
      <c r="W3886" s="22"/>
      <c r="X3886" s="22"/>
    </row>
    <row r="3887" spans="1:24" x14ac:dyDescent="0.25">
      <c r="A3887" s="22"/>
      <c r="B3887" s="22"/>
      <c r="C3887" s="22"/>
      <c r="D3887" s="22"/>
      <c r="E3887" s="22"/>
      <c r="F3887" s="22"/>
      <c r="G3887" s="22"/>
      <c r="H3887" s="22"/>
      <c r="I3887" s="22"/>
      <c r="J3887" s="22"/>
      <c r="K3887" s="22"/>
      <c r="L3887" s="22"/>
      <c r="M3887" s="22"/>
      <c r="N3887" s="22"/>
      <c r="O3887" s="22"/>
      <c r="P3887" s="22"/>
      <c r="Q3887" s="22"/>
      <c r="R3887" s="22"/>
      <c r="S3887" s="22"/>
      <c r="T3887" s="22"/>
      <c r="U3887" s="22"/>
      <c r="V3887" s="22"/>
      <c r="W3887" s="22"/>
      <c r="X3887" s="22"/>
    </row>
    <row r="3888" spans="1:24" x14ac:dyDescent="0.25">
      <c r="A3888" s="22"/>
      <c r="B3888" s="22"/>
      <c r="C3888" s="22"/>
      <c r="D3888" s="22"/>
      <c r="E3888" s="22"/>
      <c r="F3888" s="22"/>
      <c r="G3888" s="22"/>
      <c r="H3888" s="22"/>
      <c r="I3888" s="22"/>
      <c r="J3888" s="22"/>
      <c r="K3888" s="22"/>
      <c r="L3888" s="22"/>
      <c r="M3888" s="22"/>
      <c r="N3888" s="22"/>
      <c r="O3888" s="22"/>
      <c r="P3888" s="22"/>
      <c r="Q3888" s="22"/>
      <c r="R3888" s="22"/>
      <c r="S3888" s="22"/>
      <c r="T3888" s="22"/>
      <c r="U3888" s="22"/>
      <c r="V3888" s="22"/>
      <c r="W3888" s="22"/>
      <c r="X3888" s="22"/>
    </row>
    <row r="3889" spans="1:24" x14ac:dyDescent="0.25">
      <c r="A3889" s="22"/>
      <c r="B3889" s="22"/>
      <c r="C3889" s="22"/>
      <c r="D3889" s="22"/>
      <c r="E3889" s="22"/>
      <c r="F3889" s="22"/>
      <c r="G3889" s="22"/>
      <c r="H3889" s="22"/>
      <c r="I3889" s="22"/>
      <c r="J3889" s="22"/>
      <c r="K3889" s="22"/>
      <c r="L3889" s="22"/>
      <c r="M3889" s="22"/>
      <c r="N3889" s="22"/>
      <c r="O3889" s="22"/>
      <c r="P3889" s="22"/>
      <c r="Q3889" s="22"/>
      <c r="R3889" s="22"/>
      <c r="S3889" s="22"/>
      <c r="T3889" s="22"/>
      <c r="U3889" s="22"/>
      <c r="V3889" s="22"/>
      <c r="W3889" s="22"/>
      <c r="X3889" s="22"/>
    </row>
    <row r="3890" spans="1:24" x14ac:dyDescent="0.25">
      <c r="A3890" s="22"/>
      <c r="B3890" s="22"/>
      <c r="C3890" s="22"/>
      <c r="D3890" s="22"/>
      <c r="E3890" s="22"/>
      <c r="F3890" s="22"/>
      <c r="G3890" s="22"/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  <c r="X3890" s="22"/>
    </row>
    <row r="3891" spans="1:24" x14ac:dyDescent="0.25">
      <c r="A3891" s="22"/>
      <c r="B3891" s="22"/>
      <c r="C3891" s="22"/>
      <c r="D3891" s="22"/>
      <c r="E3891" s="22"/>
      <c r="F3891" s="22"/>
      <c r="G3891" s="22"/>
      <c r="H3891" s="22"/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  <c r="X3891" s="22"/>
    </row>
    <row r="3892" spans="1:24" x14ac:dyDescent="0.25">
      <c r="A3892" s="22"/>
      <c r="B3892" s="22"/>
      <c r="C3892" s="22"/>
      <c r="D3892" s="22"/>
      <c r="E3892" s="22"/>
      <c r="F3892" s="22"/>
      <c r="G3892" s="22"/>
      <c r="H3892" s="22"/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  <c r="X3892" s="22"/>
    </row>
    <row r="3893" spans="1:24" x14ac:dyDescent="0.25">
      <c r="A3893" s="22"/>
      <c r="B3893" s="22"/>
      <c r="C3893" s="22"/>
      <c r="D3893" s="22"/>
      <c r="E3893" s="22"/>
      <c r="F3893" s="22"/>
      <c r="G3893" s="22"/>
      <c r="H3893" s="22"/>
      <c r="I3893" s="22"/>
      <c r="J3893" s="22"/>
      <c r="K3893" s="22"/>
      <c r="L3893" s="22"/>
      <c r="M3893" s="22"/>
      <c r="N3893" s="22"/>
      <c r="O3893" s="22"/>
      <c r="P3893" s="22"/>
      <c r="Q3893" s="22"/>
      <c r="R3893" s="22"/>
      <c r="S3893" s="22"/>
      <c r="T3893" s="22"/>
      <c r="U3893" s="22"/>
      <c r="V3893" s="22"/>
      <c r="W3893" s="22"/>
      <c r="X3893" s="22"/>
    </row>
    <row r="3894" spans="1:24" x14ac:dyDescent="0.25">
      <c r="A3894" s="22"/>
      <c r="B3894" s="22"/>
      <c r="C3894" s="22"/>
      <c r="D3894" s="22"/>
      <c r="E3894" s="22"/>
      <c r="F3894" s="22"/>
      <c r="G3894" s="22"/>
      <c r="H3894" s="22"/>
      <c r="I3894" s="22"/>
      <c r="J3894" s="22"/>
      <c r="K3894" s="22"/>
      <c r="L3894" s="22"/>
      <c r="M3894" s="22"/>
      <c r="N3894" s="22"/>
      <c r="O3894" s="22"/>
      <c r="P3894" s="22"/>
      <c r="Q3894" s="22"/>
      <c r="R3894" s="22"/>
      <c r="S3894" s="22"/>
      <c r="T3894" s="22"/>
      <c r="U3894" s="22"/>
      <c r="V3894" s="22"/>
      <c r="W3894" s="22"/>
      <c r="X3894" s="22"/>
    </row>
    <row r="3895" spans="1:24" x14ac:dyDescent="0.25">
      <c r="A3895" s="22"/>
      <c r="B3895" s="22"/>
      <c r="C3895" s="22"/>
      <c r="D3895" s="22"/>
      <c r="E3895" s="22"/>
      <c r="F3895" s="22"/>
      <c r="G3895" s="22"/>
      <c r="H3895" s="22"/>
      <c r="I3895" s="22"/>
      <c r="J3895" s="22"/>
      <c r="K3895" s="22"/>
      <c r="L3895" s="22"/>
      <c r="M3895" s="22"/>
      <c r="N3895" s="22"/>
      <c r="O3895" s="22"/>
      <c r="P3895" s="22"/>
      <c r="Q3895" s="22"/>
      <c r="R3895" s="22"/>
      <c r="S3895" s="22"/>
      <c r="T3895" s="22"/>
      <c r="U3895" s="22"/>
      <c r="V3895" s="22"/>
      <c r="W3895" s="22"/>
      <c r="X3895" s="22"/>
    </row>
    <row r="3896" spans="1:24" x14ac:dyDescent="0.25">
      <c r="A3896" s="22"/>
      <c r="B3896" s="22"/>
      <c r="C3896" s="22"/>
      <c r="D3896" s="22"/>
      <c r="E3896" s="22"/>
      <c r="F3896" s="22"/>
      <c r="G3896" s="22"/>
      <c r="H3896" s="22"/>
      <c r="I3896" s="22"/>
      <c r="J3896" s="22"/>
      <c r="K3896" s="22"/>
      <c r="L3896" s="22"/>
      <c r="M3896" s="22"/>
      <c r="N3896" s="22"/>
      <c r="O3896" s="22"/>
      <c r="P3896" s="22"/>
      <c r="Q3896" s="22"/>
      <c r="R3896" s="22"/>
      <c r="S3896" s="22"/>
      <c r="T3896" s="22"/>
      <c r="U3896" s="22"/>
      <c r="V3896" s="22"/>
      <c r="W3896" s="22"/>
      <c r="X3896" s="22"/>
    </row>
    <row r="3897" spans="1:24" x14ac:dyDescent="0.25">
      <c r="A3897" s="22"/>
      <c r="B3897" s="22"/>
      <c r="C3897" s="22"/>
      <c r="D3897" s="22"/>
      <c r="E3897" s="22"/>
      <c r="F3897" s="22"/>
      <c r="G3897" s="22"/>
      <c r="H3897" s="22"/>
      <c r="I3897" s="22"/>
      <c r="J3897" s="22"/>
      <c r="K3897" s="22"/>
      <c r="L3897" s="22"/>
      <c r="M3897" s="22"/>
      <c r="N3897" s="22"/>
      <c r="O3897" s="22"/>
      <c r="P3897" s="22"/>
      <c r="Q3897" s="22"/>
      <c r="R3897" s="22"/>
      <c r="S3897" s="22"/>
      <c r="T3897" s="22"/>
      <c r="U3897" s="22"/>
      <c r="V3897" s="22"/>
      <c r="W3897" s="22"/>
      <c r="X3897" s="22"/>
    </row>
    <row r="3898" spans="1:24" x14ac:dyDescent="0.25">
      <c r="A3898" s="22"/>
      <c r="B3898" s="22"/>
      <c r="C3898" s="22"/>
      <c r="D3898" s="22"/>
      <c r="E3898" s="22"/>
      <c r="F3898" s="22"/>
      <c r="G3898" s="22"/>
      <c r="H3898" s="22"/>
      <c r="I3898" s="22"/>
      <c r="J3898" s="22"/>
      <c r="K3898" s="22"/>
      <c r="L3898" s="22"/>
      <c r="M3898" s="22"/>
      <c r="N3898" s="22"/>
      <c r="O3898" s="22"/>
      <c r="P3898" s="22"/>
      <c r="Q3898" s="22"/>
      <c r="R3898" s="22"/>
      <c r="S3898" s="22"/>
      <c r="T3898" s="22"/>
      <c r="U3898" s="22"/>
      <c r="V3898" s="22"/>
      <c r="W3898" s="22"/>
      <c r="X3898" s="22"/>
    </row>
    <row r="3899" spans="1:24" x14ac:dyDescent="0.25">
      <c r="A3899" s="22"/>
      <c r="B3899" s="22"/>
      <c r="C3899" s="22"/>
      <c r="D3899" s="22"/>
      <c r="E3899" s="22"/>
      <c r="F3899" s="22"/>
      <c r="G3899" s="22"/>
      <c r="H3899" s="22"/>
      <c r="I3899" s="22"/>
      <c r="J3899" s="22"/>
      <c r="K3899" s="22"/>
      <c r="L3899" s="22"/>
      <c r="M3899" s="22"/>
      <c r="N3899" s="22"/>
      <c r="O3899" s="22"/>
      <c r="P3899" s="22"/>
      <c r="Q3899" s="22"/>
      <c r="R3899" s="22"/>
      <c r="S3899" s="22"/>
      <c r="T3899" s="22"/>
      <c r="U3899" s="22"/>
      <c r="V3899" s="22"/>
      <c r="W3899" s="22"/>
      <c r="X3899" s="22"/>
    </row>
    <row r="3900" spans="1:24" x14ac:dyDescent="0.25">
      <c r="A3900" s="22"/>
      <c r="B3900" s="22"/>
      <c r="C3900" s="22"/>
      <c r="D3900" s="22"/>
      <c r="E3900" s="22"/>
      <c r="F3900" s="22"/>
      <c r="G3900" s="22"/>
      <c r="H3900" s="22"/>
      <c r="I3900" s="22"/>
      <c r="J3900" s="22"/>
      <c r="K3900" s="22"/>
      <c r="L3900" s="22"/>
      <c r="M3900" s="22"/>
      <c r="N3900" s="22"/>
      <c r="O3900" s="22"/>
      <c r="P3900" s="22"/>
      <c r="Q3900" s="22"/>
      <c r="R3900" s="22"/>
      <c r="S3900" s="22"/>
      <c r="T3900" s="22"/>
      <c r="U3900" s="22"/>
      <c r="V3900" s="22"/>
      <c r="W3900" s="22"/>
      <c r="X3900" s="22"/>
    </row>
    <row r="3901" spans="1:24" x14ac:dyDescent="0.25">
      <c r="A3901" s="22"/>
      <c r="B3901" s="22"/>
      <c r="C3901" s="22"/>
      <c r="D3901" s="22"/>
      <c r="E3901" s="22"/>
      <c r="F3901" s="22"/>
      <c r="G3901" s="22"/>
      <c r="H3901" s="22"/>
      <c r="I3901" s="22"/>
      <c r="J3901" s="22"/>
      <c r="K3901" s="22"/>
      <c r="L3901" s="22"/>
      <c r="M3901" s="22"/>
      <c r="N3901" s="22"/>
      <c r="O3901" s="22"/>
      <c r="P3901" s="22"/>
      <c r="Q3901" s="22"/>
      <c r="R3901" s="22"/>
      <c r="S3901" s="22"/>
      <c r="T3901" s="22"/>
      <c r="U3901" s="22"/>
      <c r="V3901" s="22"/>
      <c r="W3901" s="22"/>
      <c r="X3901" s="22"/>
    </row>
    <row r="3902" spans="1:24" x14ac:dyDescent="0.25">
      <c r="A3902" s="22"/>
      <c r="B3902" s="22"/>
      <c r="C3902" s="22"/>
      <c r="D3902" s="22"/>
      <c r="E3902" s="22"/>
      <c r="F3902" s="22"/>
      <c r="G3902" s="22"/>
      <c r="H3902" s="22"/>
      <c r="I3902" s="22"/>
      <c r="J3902" s="22"/>
      <c r="K3902" s="22"/>
      <c r="L3902" s="22"/>
      <c r="M3902" s="22"/>
      <c r="N3902" s="22"/>
      <c r="O3902" s="22"/>
      <c r="P3902" s="22"/>
      <c r="Q3902" s="22"/>
      <c r="R3902" s="22"/>
      <c r="S3902" s="22"/>
      <c r="T3902" s="22"/>
      <c r="U3902" s="22"/>
      <c r="V3902" s="22"/>
      <c r="W3902" s="22"/>
      <c r="X3902" s="22"/>
    </row>
    <row r="3903" spans="1:24" x14ac:dyDescent="0.25">
      <c r="A3903" s="22"/>
      <c r="B3903" s="22"/>
      <c r="C3903" s="22"/>
      <c r="D3903" s="22"/>
      <c r="E3903" s="22"/>
      <c r="F3903" s="22"/>
      <c r="G3903" s="22"/>
      <c r="H3903" s="22"/>
      <c r="I3903" s="22"/>
      <c r="J3903" s="22"/>
      <c r="K3903" s="22"/>
      <c r="L3903" s="22"/>
      <c r="M3903" s="22"/>
      <c r="N3903" s="22"/>
      <c r="O3903" s="22"/>
      <c r="P3903" s="22"/>
      <c r="Q3903" s="22"/>
      <c r="R3903" s="22"/>
      <c r="S3903" s="22"/>
      <c r="T3903" s="22"/>
      <c r="U3903" s="22"/>
      <c r="V3903" s="22"/>
      <c r="W3903" s="22"/>
      <c r="X3903" s="22"/>
    </row>
    <row r="3904" spans="1:24" x14ac:dyDescent="0.25">
      <c r="A3904" s="22"/>
      <c r="B3904" s="22"/>
      <c r="C3904" s="22"/>
      <c r="D3904" s="22"/>
      <c r="E3904" s="22"/>
      <c r="F3904" s="22"/>
      <c r="G3904" s="22"/>
      <c r="H3904" s="22"/>
      <c r="I3904" s="22"/>
      <c r="J3904" s="22"/>
      <c r="K3904" s="22"/>
      <c r="L3904" s="22"/>
      <c r="M3904" s="22"/>
      <c r="N3904" s="22"/>
      <c r="O3904" s="22"/>
      <c r="P3904" s="22"/>
      <c r="Q3904" s="22"/>
      <c r="R3904" s="22"/>
      <c r="S3904" s="22"/>
      <c r="T3904" s="22"/>
      <c r="U3904" s="22"/>
      <c r="V3904" s="22"/>
      <c r="W3904" s="22"/>
      <c r="X3904" s="22"/>
    </row>
    <row r="3905" spans="1:24" x14ac:dyDescent="0.25">
      <c r="A3905" s="22"/>
      <c r="B3905" s="22"/>
      <c r="C3905" s="22"/>
      <c r="D3905" s="22"/>
      <c r="E3905" s="22"/>
      <c r="F3905" s="22"/>
      <c r="G3905" s="22"/>
      <c r="H3905" s="22"/>
      <c r="I3905" s="22"/>
      <c r="J3905" s="22"/>
      <c r="K3905" s="22"/>
      <c r="L3905" s="22"/>
      <c r="M3905" s="22"/>
      <c r="N3905" s="22"/>
      <c r="O3905" s="22"/>
      <c r="P3905" s="22"/>
      <c r="Q3905" s="22"/>
      <c r="R3905" s="22"/>
      <c r="S3905" s="22"/>
      <c r="T3905" s="22"/>
      <c r="U3905" s="22"/>
      <c r="V3905" s="22"/>
      <c r="W3905" s="22"/>
      <c r="X3905" s="22"/>
    </row>
    <row r="3906" spans="1:24" x14ac:dyDescent="0.25">
      <c r="A3906" s="22"/>
      <c r="B3906" s="22"/>
      <c r="C3906" s="22"/>
      <c r="D3906" s="22"/>
      <c r="E3906" s="22"/>
      <c r="F3906" s="22"/>
      <c r="G3906" s="22"/>
      <c r="H3906" s="22"/>
      <c r="I3906" s="22"/>
      <c r="J3906" s="22"/>
      <c r="K3906" s="22"/>
      <c r="L3906" s="22"/>
      <c r="M3906" s="22"/>
      <c r="N3906" s="22"/>
      <c r="O3906" s="22"/>
      <c r="P3906" s="22"/>
      <c r="Q3906" s="22"/>
      <c r="R3906" s="22"/>
      <c r="S3906" s="22"/>
      <c r="T3906" s="22"/>
      <c r="U3906" s="22"/>
      <c r="V3906" s="22"/>
      <c r="W3906" s="22"/>
      <c r="X3906" s="22"/>
    </row>
    <row r="3907" spans="1:24" x14ac:dyDescent="0.25">
      <c r="A3907" s="22"/>
      <c r="B3907" s="22"/>
      <c r="C3907" s="22"/>
      <c r="D3907" s="22"/>
      <c r="E3907" s="22"/>
      <c r="F3907" s="22"/>
      <c r="G3907" s="22"/>
      <c r="H3907" s="22"/>
      <c r="I3907" s="22"/>
      <c r="J3907" s="22"/>
      <c r="K3907" s="22"/>
      <c r="L3907" s="22"/>
      <c r="M3907" s="22"/>
      <c r="N3907" s="22"/>
      <c r="O3907" s="22"/>
      <c r="P3907" s="22"/>
      <c r="Q3907" s="22"/>
      <c r="R3907" s="22"/>
      <c r="S3907" s="22"/>
      <c r="T3907" s="22"/>
      <c r="U3907" s="22"/>
      <c r="V3907" s="22"/>
      <c r="W3907" s="22"/>
      <c r="X3907" s="22"/>
    </row>
    <row r="3908" spans="1:24" x14ac:dyDescent="0.25">
      <c r="A3908" s="22"/>
      <c r="B3908" s="22"/>
      <c r="C3908" s="22"/>
      <c r="D3908" s="22"/>
      <c r="E3908" s="22"/>
      <c r="F3908" s="22"/>
      <c r="G3908" s="22"/>
      <c r="H3908" s="22"/>
      <c r="I3908" s="22"/>
      <c r="J3908" s="22"/>
      <c r="K3908" s="22"/>
      <c r="L3908" s="22"/>
      <c r="M3908" s="22"/>
      <c r="N3908" s="22"/>
      <c r="O3908" s="22"/>
      <c r="P3908" s="22"/>
      <c r="Q3908" s="22"/>
      <c r="R3908" s="22"/>
      <c r="S3908" s="22"/>
      <c r="T3908" s="22"/>
      <c r="U3908" s="22"/>
      <c r="V3908" s="22"/>
      <c r="W3908" s="22"/>
      <c r="X3908" s="22"/>
    </row>
    <row r="3909" spans="1:24" x14ac:dyDescent="0.25">
      <c r="A3909" s="22"/>
      <c r="B3909" s="22"/>
      <c r="C3909" s="22"/>
      <c r="D3909" s="22"/>
      <c r="E3909" s="22"/>
      <c r="F3909" s="22"/>
      <c r="G3909" s="22"/>
      <c r="H3909" s="22"/>
      <c r="I3909" s="22"/>
      <c r="J3909" s="22"/>
      <c r="K3909" s="22"/>
      <c r="L3909" s="22"/>
      <c r="M3909" s="22"/>
      <c r="N3909" s="22"/>
      <c r="O3909" s="22"/>
      <c r="P3909" s="22"/>
      <c r="Q3909" s="22"/>
      <c r="R3909" s="22"/>
      <c r="S3909" s="22"/>
      <c r="T3909" s="22"/>
      <c r="U3909" s="22"/>
      <c r="V3909" s="22"/>
      <c r="W3909" s="22"/>
      <c r="X3909" s="22"/>
    </row>
    <row r="3910" spans="1:24" x14ac:dyDescent="0.25">
      <c r="A3910" s="22"/>
      <c r="B3910" s="22"/>
      <c r="C3910" s="22"/>
      <c r="D3910" s="22"/>
      <c r="E3910" s="22"/>
      <c r="F3910" s="22"/>
      <c r="G3910" s="22"/>
      <c r="H3910" s="22"/>
      <c r="I3910" s="22"/>
      <c r="J3910" s="22"/>
      <c r="K3910" s="22"/>
      <c r="L3910" s="22"/>
      <c r="M3910" s="22"/>
      <c r="N3910" s="22"/>
      <c r="O3910" s="22"/>
      <c r="P3910" s="22"/>
      <c r="Q3910" s="22"/>
      <c r="R3910" s="22"/>
      <c r="S3910" s="22"/>
      <c r="T3910" s="22"/>
      <c r="U3910" s="22"/>
      <c r="V3910" s="22"/>
      <c r="W3910" s="22"/>
      <c r="X3910" s="22"/>
    </row>
    <row r="3911" spans="1:24" x14ac:dyDescent="0.25">
      <c r="A3911" s="22"/>
      <c r="B3911" s="22"/>
      <c r="C3911" s="22"/>
      <c r="D3911" s="22"/>
      <c r="E3911" s="22"/>
      <c r="F3911" s="22"/>
      <c r="G3911" s="22"/>
      <c r="H3911" s="22"/>
      <c r="I3911" s="22"/>
      <c r="J3911" s="22"/>
      <c r="K3911" s="22"/>
      <c r="L3911" s="22"/>
      <c r="M3911" s="22"/>
      <c r="N3911" s="22"/>
      <c r="O3911" s="22"/>
      <c r="P3911" s="22"/>
      <c r="Q3911" s="22"/>
      <c r="R3911" s="22"/>
      <c r="S3911" s="22"/>
      <c r="T3911" s="22"/>
      <c r="U3911" s="22"/>
      <c r="V3911" s="22"/>
      <c r="W3911" s="22"/>
      <c r="X3911" s="22"/>
    </row>
    <row r="3912" spans="1:24" x14ac:dyDescent="0.25">
      <c r="A3912" s="22"/>
      <c r="B3912" s="22"/>
      <c r="C3912" s="22"/>
      <c r="D3912" s="22"/>
      <c r="E3912" s="22"/>
      <c r="F3912" s="22"/>
      <c r="G3912" s="22"/>
      <c r="H3912" s="22"/>
      <c r="I3912" s="22"/>
      <c r="J3912" s="22"/>
      <c r="K3912" s="22"/>
      <c r="L3912" s="22"/>
      <c r="M3912" s="22"/>
      <c r="N3912" s="22"/>
      <c r="O3912" s="22"/>
      <c r="P3912" s="22"/>
      <c r="Q3912" s="22"/>
      <c r="R3912" s="22"/>
      <c r="S3912" s="22"/>
      <c r="T3912" s="22"/>
      <c r="U3912" s="22"/>
      <c r="V3912" s="22"/>
      <c r="W3912" s="22"/>
      <c r="X3912" s="22"/>
    </row>
    <row r="3913" spans="1:24" x14ac:dyDescent="0.25">
      <c r="A3913" s="22"/>
      <c r="B3913" s="22"/>
      <c r="C3913" s="22"/>
      <c r="D3913" s="22"/>
      <c r="E3913" s="22"/>
      <c r="F3913" s="22"/>
      <c r="G3913" s="22"/>
      <c r="H3913" s="22"/>
      <c r="I3913" s="22"/>
      <c r="J3913" s="22"/>
      <c r="K3913" s="22"/>
      <c r="L3913" s="22"/>
      <c r="M3913" s="22"/>
      <c r="N3913" s="22"/>
      <c r="O3913" s="22"/>
      <c r="P3913" s="22"/>
      <c r="Q3913" s="22"/>
      <c r="R3913" s="22"/>
      <c r="S3913" s="22"/>
      <c r="T3913" s="22"/>
      <c r="U3913" s="22"/>
      <c r="V3913" s="22"/>
      <c r="W3913" s="22"/>
      <c r="X3913" s="22"/>
    </row>
    <row r="3914" spans="1:24" x14ac:dyDescent="0.25">
      <c r="A3914" s="22"/>
      <c r="B3914" s="22"/>
      <c r="C3914" s="22"/>
      <c r="D3914" s="22"/>
      <c r="E3914" s="22"/>
      <c r="F3914" s="22"/>
      <c r="G3914" s="22"/>
      <c r="H3914" s="22"/>
      <c r="I3914" s="22"/>
      <c r="J3914" s="22"/>
      <c r="K3914" s="22"/>
      <c r="L3914" s="22"/>
      <c r="M3914" s="22"/>
      <c r="N3914" s="22"/>
      <c r="O3914" s="22"/>
      <c r="P3914" s="22"/>
      <c r="Q3914" s="22"/>
      <c r="R3914" s="22"/>
      <c r="S3914" s="22"/>
      <c r="T3914" s="22"/>
      <c r="U3914" s="22"/>
      <c r="V3914" s="22"/>
      <c r="W3914" s="22"/>
      <c r="X3914" s="22"/>
    </row>
    <row r="3915" spans="1:24" x14ac:dyDescent="0.25">
      <c r="A3915" s="22"/>
      <c r="B3915" s="22"/>
      <c r="C3915" s="22"/>
      <c r="D3915" s="22"/>
      <c r="E3915" s="22"/>
      <c r="F3915" s="22"/>
      <c r="G3915" s="22"/>
      <c r="H3915" s="22"/>
      <c r="I3915" s="22"/>
      <c r="J3915" s="22"/>
      <c r="K3915" s="22"/>
      <c r="L3915" s="22"/>
      <c r="M3915" s="22"/>
      <c r="N3915" s="22"/>
      <c r="O3915" s="22"/>
      <c r="P3915" s="22"/>
      <c r="Q3915" s="22"/>
      <c r="R3915" s="22"/>
      <c r="S3915" s="22"/>
      <c r="T3915" s="22"/>
      <c r="U3915" s="22"/>
      <c r="V3915" s="22"/>
      <c r="W3915" s="22"/>
      <c r="X3915" s="22"/>
    </row>
    <row r="3916" spans="1:24" x14ac:dyDescent="0.25">
      <c r="A3916" s="22"/>
      <c r="B3916" s="22"/>
      <c r="C3916" s="22"/>
      <c r="D3916" s="22"/>
      <c r="E3916" s="22"/>
      <c r="F3916" s="22"/>
      <c r="G3916" s="22"/>
      <c r="H3916" s="22"/>
      <c r="I3916" s="22"/>
      <c r="J3916" s="22"/>
      <c r="K3916" s="22"/>
      <c r="L3916" s="22"/>
      <c r="M3916" s="22"/>
      <c r="N3916" s="22"/>
      <c r="O3916" s="22"/>
      <c r="P3916" s="22"/>
      <c r="Q3916" s="22"/>
      <c r="R3916" s="22"/>
      <c r="S3916" s="22"/>
      <c r="T3916" s="22"/>
      <c r="U3916" s="22"/>
      <c r="V3916" s="22"/>
      <c r="W3916" s="22"/>
      <c r="X3916" s="22"/>
    </row>
    <row r="3917" spans="1:24" x14ac:dyDescent="0.25">
      <c r="A3917" s="22"/>
      <c r="B3917" s="22"/>
      <c r="C3917" s="22"/>
      <c r="D3917" s="22"/>
      <c r="E3917" s="22"/>
      <c r="F3917" s="22"/>
      <c r="G3917" s="22"/>
      <c r="H3917" s="22"/>
      <c r="I3917" s="22"/>
      <c r="J3917" s="22"/>
      <c r="K3917" s="22"/>
      <c r="L3917" s="22"/>
      <c r="M3917" s="22"/>
      <c r="N3917" s="22"/>
      <c r="O3917" s="22"/>
      <c r="P3917" s="22"/>
      <c r="Q3917" s="22"/>
      <c r="R3917" s="22"/>
      <c r="S3917" s="22"/>
      <c r="T3917" s="22"/>
      <c r="U3917" s="22"/>
      <c r="V3917" s="22"/>
      <c r="W3917" s="22"/>
      <c r="X3917" s="22"/>
    </row>
    <row r="3918" spans="1:24" x14ac:dyDescent="0.25">
      <c r="A3918" s="22"/>
      <c r="B3918" s="22"/>
      <c r="C3918" s="22"/>
      <c r="D3918" s="22"/>
      <c r="E3918" s="22"/>
      <c r="F3918" s="22"/>
      <c r="G3918" s="22"/>
      <c r="H3918" s="22"/>
      <c r="I3918" s="22"/>
      <c r="J3918" s="22"/>
      <c r="K3918" s="22"/>
      <c r="L3918" s="22"/>
      <c r="M3918" s="22"/>
      <c r="N3918" s="22"/>
      <c r="O3918" s="22"/>
      <c r="P3918" s="22"/>
      <c r="Q3918" s="22"/>
      <c r="R3918" s="22"/>
      <c r="S3918" s="22"/>
      <c r="T3918" s="22"/>
      <c r="U3918" s="22"/>
      <c r="V3918" s="22"/>
      <c r="W3918" s="22"/>
      <c r="X3918" s="22"/>
    </row>
    <row r="3919" spans="1:24" x14ac:dyDescent="0.25">
      <c r="A3919" s="22"/>
      <c r="B3919" s="22"/>
      <c r="C3919" s="22"/>
      <c r="D3919" s="22"/>
      <c r="E3919" s="22"/>
      <c r="F3919" s="22"/>
      <c r="G3919" s="22"/>
      <c r="H3919" s="22"/>
      <c r="I3919" s="22"/>
      <c r="J3919" s="22"/>
      <c r="K3919" s="22"/>
      <c r="L3919" s="22"/>
      <c r="M3919" s="22"/>
      <c r="N3919" s="22"/>
      <c r="O3919" s="22"/>
      <c r="P3919" s="22"/>
      <c r="Q3919" s="22"/>
      <c r="R3919" s="22"/>
      <c r="S3919" s="22"/>
      <c r="T3919" s="22"/>
      <c r="U3919" s="22"/>
      <c r="V3919" s="22"/>
      <c r="W3919" s="22"/>
      <c r="X3919" s="22"/>
    </row>
    <row r="3920" spans="1:24" x14ac:dyDescent="0.25">
      <c r="A3920" s="22"/>
      <c r="B3920" s="22"/>
      <c r="C3920" s="22"/>
      <c r="D3920" s="22"/>
      <c r="E3920" s="22"/>
      <c r="F3920" s="22"/>
      <c r="G3920" s="22"/>
      <c r="H3920" s="22"/>
      <c r="I3920" s="22"/>
      <c r="J3920" s="22"/>
      <c r="K3920" s="22"/>
      <c r="L3920" s="22"/>
      <c r="M3920" s="22"/>
      <c r="N3920" s="22"/>
      <c r="O3920" s="22"/>
      <c r="P3920" s="22"/>
      <c r="Q3920" s="22"/>
      <c r="R3920" s="22"/>
      <c r="S3920" s="22"/>
      <c r="T3920" s="22"/>
      <c r="U3920" s="22"/>
      <c r="V3920" s="22"/>
      <c r="W3920" s="22"/>
      <c r="X3920" s="22"/>
    </row>
    <row r="3921" spans="1:24" x14ac:dyDescent="0.25">
      <c r="A3921" s="22"/>
      <c r="B3921" s="22"/>
      <c r="C3921" s="22"/>
      <c r="D3921" s="22"/>
      <c r="E3921" s="22"/>
      <c r="F3921" s="22"/>
      <c r="G3921" s="22"/>
      <c r="H3921" s="22"/>
      <c r="I3921" s="22"/>
      <c r="J3921" s="22"/>
      <c r="K3921" s="22"/>
      <c r="L3921" s="22"/>
      <c r="M3921" s="22"/>
      <c r="N3921" s="22"/>
      <c r="O3921" s="22"/>
      <c r="P3921" s="22"/>
      <c r="Q3921" s="22"/>
      <c r="R3921" s="22"/>
      <c r="S3921" s="22"/>
      <c r="T3921" s="22"/>
      <c r="U3921" s="22"/>
      <c r="V3921" s="22"/>
      <c r="W3921" s="22"/>
      <c r="X3921" s="22"/>
    </row>
    <row r="3922" spans="1:24" x14ac:dyDescent="0.25">
      <c r="A3922" s="22"/>
      <c r="B3922" s="22"/>
      <c r="C3922" s="22"/>
      <c r="D3922" s="22"/>
      <c r="E3922" s="22"/>
      <c r="F3922" s="22"/>
      <c r="G3922" s="22"/>
      <c r="H3922" s="22"/>
      <c r="I3922" s="22"/>
      <c r="J3922" s="22"/>
      <c r="K3922" s="22"/>
      <c r="L3922" s="22"/>
      <c r="M3922" s="22"/>
      <c r="N3922" s="22"/>
      <c r="O3922" s="22"/>
      <c r="P3922" s="22"/>
      <c r="Q3922" s="22"/>
      <c r="R3922" s="22"/>
      <c r="S3922" s="22"/>
      <c r="T3922" s="22"/>
      <c r="U3922" s="22"/>
      <c r="V3922" s="22"/>
      <c r="W3922" s="22"/>
      <c r="X3922" s="22"/>
    </row>
    <row r="3923" spans="1:24" x14ac:dyDescent="0.25">
      <c r="A3923" s="22"/>
      <c r="B3923" s="22"/>
      <c r="C3923" s="22"/>
      <c r="D3923" s="22"/>
      <c r="E3923" s="22"/>
      <c r="F3923" s="22"/>
      <c r="G3923" s="22"/>
      <c r="H3923" s="22"/>
      <c r="I3923" s="22"/>
      <c r="J3923" s="22"/>
      <c r="K3923" s="22"/>
      <c r="L3923" s="22"/>
      <c r="M3923" s="22"/>
      <c r="N3923" s="22"/>
      <c r="O3923" s="22"/>
      <c r="P3923" s="22"/>
      <c r="Q3923" s="22"/>
      <c r="R3923" s="22"/>
      <c r="S3923" s="22"/>
      <c r="T3923" s="22"/>
      <c r="U3923" s="22"/>
      <c r="V3923" s="22"/>
      <c r="W3923" s="22"/>
      <c r="X3923" s="22"/>
    </row>
    <row r="3924" spans="1:24" x14ac:dyDescent="0.25">
      <c r="A3924" s="22"/>
      <c r="B3924" s="22"/>
      <c r="C3924" s="22"/>
      <c r="D3924" s="22"/>
      <c r="E3924" s="22"/>
      <c r="F3924" s="22"/>
      <c r="G3924" s="22"/>
      <c r="H3924" s="22"/>
      <c r="I3924" s="22"/>
      <c r="J3924" s="22"/>
      <c r="K3924" s="22"/>
      <c r="L3924" s="22"/>
      <c r="M3924" s="22"/>
      <c r="N3924" s="22"/>
      <c r="O3924" s="22"/>
      <c r="P3924" s="22"/>
      <c r="Q3924" s="22"/>
      <c r="R3924" s="22"/>
      <c r="S3924" s="22"/>
      <c r="T3924" s="22"/>
      <c r="U3924" s="22"/>
      <c r="V3924" s="22"/>
      <c r="W3924" s="22"/>
      <c r="X3924" s="22"/>
    </row>
    <row r="3925" spans="1:24" x14ac:dyDescent="0.25">
      <c r="A3925" s="22"/>
      <c r="B3925" s="22"/>
      <c r="C3925" s="22"/>
      <c r="D3925" s="22"/>
      <c r="E3925" s="22"/>
      <c r="F3925" s="22"/>
      <c r="G3925" s="22"/>
      <c r="H3925" s="22"/>
      <c r="I3925" s="22"/>
      <c r="J3925" s="22"/>
      <c r="K3925" s="22"/>
      <c r="L3925" s="22"/>
      <c r="M3925" s="22"/>
      <c r="N3925" s="22"/>
      <c r="O3925" s="22"/>
      <c r="P3925" s="22"/>
      <c r="Q3925" s="22"/>
      <c r="R3925" s="22"/>
      <c r="S3925" s="22"/>
      <c r="T3925" s="22"/>
      <c r="U3925" s="22"/>
      <c r="V3925" s="22"/>
      <c r="W3925" s="22"/>
      <c r="X3925" s="22"/>
    </row>
    <row r="3926" spans="1:24" x14ac:dyDescent="0.25">
      <c r="A3926" s="22"/>
      <c r="B3926" s="22"/>
      <c r="C3926" s="22"/>
      <c r="D3926" s="22"/>
      <c r="E3926" s="22"/>
      <c r="F3926" s="22"/>
      <c r="G3926" s="22"/>
      <c r="H3926" s="22"/>
      <c r="I3926" s="22"/>
      <c r="J3926" s="22"/>
      <c r="K3926" s="22"/>
      <c r="L3926" s="22"/>
      <c r="M3926" s="22"/>
      <c r="N3926" s="22"/>
      <c r="O3926" s="22"/>
      <c r="P3926" s="22"/>
      <c r="Q3926" s="22"/>
      <c r="R3926" s="22"/>
      <c r="S3926" s="22"/>
      <c r="T3926" s="22"/>
      <c r="U3926" s="22"/>
      <c r="V3926" s="22"/>
      <c r="W3926" s="22"/>
      <c r="X3926" s="22"/>
    </row>
    <row r="3927" spans="1:24" x14ac:dyDescent="0.25">
      <c r="A3927" s="22"/>
      <c r="B3927" s="22"/>
      <c r="C3927" s="22"/>
      <c r="D3927" s="22"/>
      <c r="E3927" s="22"/>
      <c r="F3927" s="22"/>
      <c r="G3927" s="22"/>
      <c r="H3927" s="22"/>
      <c r="I3927" s="22"/>
      <c r="J3927" s="22"/>
      <c r="K3927" s="22"/>
      <c r="L3927" s="22"/>
      <c r="M3927" s="22"/>
      <c r="N3927" s="22"/>
      <c r="O3927" s="22"/>
      <c r="P3927" s="22"/>
      <c r="Q3927" s="22"/>
      <c r="R3927" s="22"/>
      <c r="S3927" s="22"/>
      <c r="T3927" s="22"/>
      <c r="U3927" s="22"/>
      <c r="V3927" s="22"/>
      <c r="W3927" s="22"/>
      <c r="X3927" s="22"/>
    </row>
    <row r="3928" spans="1:24" x14ac:dyDescent="0.25">
      <c r="A3928" s="22"/>
      <c r="B3928" s="22"/>
      <c r="C3928" s="22"/>
      <c r="D3928" s="22"/>
      <c r="E3928" s="22"/>
      <c r="F3928" s="22"/>
      <c r="G3928" s="22"/>
      <c r="H3928" s="22"/>
      <c r="I3928" s="22"/>
      <c r="J3928" s="22"/>
      <c r="K3928" s="22"/>
      <c r="L3928" s="22"/>
      <c r="M3928" s="22"/>
      <c r="N3928" s="22"/>
      <c r="O3928" s="22"/>
      <c r="P3928" s="22"/>
      <c r="Q3928" s="22"/>
      <c r="R3928" s="22"/>
      <c r="S3928" s="22"/>
      <c r="T3928" s="22"/>
      <c r="U3928" s="22"/>
      <c r="V3928" s="22"/>
      <c r="W3928" s="22"/>
      <c r="X3928" s="22"/>
    </row>
    <row r="3929" spans="1:24" x14ac:dyDescent="0.25">
      <c r="A3929" s="22"/>
      <c r="B3929" s="22"/>
      <c r="C3929" s="22"/>
      <c r="D3929" s="22"/>
      <c r="E3929" s="22"/>
      <c r="F3929" s="22"/>
      <c r="G3929" s="22"/>
      <c r="H3929" s="22"/>
      <c r="I3929" s="22"/>
      <c r="J3929" s="22"/>
      <c r="K3929" s="22"/>
      <c r="L3929" s="22"/>
      <c r="M3929" s="22"/>
      <c r="N3929" s="22"/>
      <c r="O3929" s="22"/>
      <c r="P3929" s="22"/>
      <c r="Q3929" s="22"/>
      <c r="R3929" s="22"/>
      <c r="S3929" s="22"/>
      <c r="T3929" s="22"/>
      <c r="U3929" s="22"/>
      <c r="V3929" s="22"/>
      <c r="W3929" s="22"/>
      <c r="X3929" s="22"/>
    </row>
    <row r="3930" spans="1:24" x14ac:dyDescent="0.25">
      <c r="A3930" s="22"/>
      <c r="B3930" s="22"/>
      <c r="C3930" s="22"/>
      <c r="D3930" s="22"/>
      <c r="E3930" s="22"/>
      <c r="F3930" s="22"/>
      <c r="G3930" s="22"/>
      <c r="H3930" s="22"/>
      <c r="I3930" s="22"/>
      <c r="J3930" s="22"/>
      <c r="K3930" s="22"/>
      <c r="L3930" s="22"/>
      <c r="M3930" s="22"/>
      <c r="N3930" s="22"/>
      <c r="O3930" s="22"/>
      <c r="P3930" s="22"/>
      <c r="Q3930" s="22"/>
      <c r="R3930" s="22"/>
      <c r="S3930" s="22"/>
      <c r="T3930" s="22"/>
      <c r="U3930" s="22"/>
      <c r="V3930" s="22"/>
      <c r="W3930" s="22"/>
      <c r="X3930" s="22"/>
    </row>
    <row r="3931" spans="1:24" x14ac:dyDescent="0.25">
      <c r="A3931" s="22"/>
      <c r="B3931" s="22"/>
      <c r="C3931" s="22"/>
      <c r="D3931" s="22"/>
      <c r="E3931" s="22"/>
      <c r="F3931" s="22"/>
      <c r="G3931" s="22"/>
      <c r="H3931" s="22"/>
      <c r="I3931" s="22"/>
      <c r="J3931" s="22"/>
      <c r="K3931" s="22"/>
      <c r="L3931" s="22"/>
      <c r="M3931" s="22"/>
      <c r="N3931" s="22"/>
      <c r="O3931" s="22"/>
      <c r="P3931" s="22"/>
      <c r="Q3931" s="22"/>
      <c r="R3931" s="22"/>
      <c r="S3931" s="22"/>
      <c r="T3931" s="22"/>
      <c r="U3931" s="22"/>
      <c r="V3931" s="22"/>
      <c r="W3931" s="22"/>
      <c r="X3931" s="22"/>
    </row>
    <row r="3932" spans="1:24" x14ac:dyDescent="0.25">
      <c r="A3932" s="22"/>
      <c r="B3932" s="22"/>
      <c r="C3932" s="22"/>
      <c r="D3932" s="22"/>
      <c r="E3932" s="22"/>
      <c r="F3932" s="22"/>
      <c r="G3932" s="22"/>
      <c r="H3932" s="22"/>
      <c r="I3932" s="22"/>
      <c r="J3932" s="22"/>
      <c r="K3932" s="22"/>
      <c r="L3932" s="22"/>
      <c r="M3932" s="22"/>
      <c r="N3932" s="22"/>
      <c r="O3932" s="22"/>
      <c r="P3932" s="22"/>
      <c r="Q3932" s="22"/>
      <c r="R3932" s="22"/>
      <c r="S3932" s="22"/>
      <c r="T3932" s="22"/>
      <c r="U3932" s="22"/>
      <c r="V3932" s="22"/>
      <c r="W3932" s="22"/>
      <c r="X3932" s="22"/>
    </row>
    <row r="3933" spans="1:24" x14ac:dyDescent="0.25">
      <c r="A3933" s="22"/>
      <c r="B3933" s="22"/>
      <c r="C3933" s="22"/>
      <c r="D3933" s="22"/>
      <c r="E3933" s="22"/>
      <c r="F3933" s="22"/>
      <c r="G3933" s="22"/>
      <c r="H3933" s="22"/>
      <c r="I3933" s="22"/>
      <c r="J3933" s="22"/>
      <c r="K3933" s="22"/>
      <c r="L3933" s="22"/>
      <c r="M3933" s="22"/>
      <c r="N3933" s="22"/>
      <c r="O3933" s="22"/>
      <c r="P3933" s="22"/>
      <c r="Q3933" s="22"/>
      <c r="R3933" s="22"/>
      <c r="S3933" s="22"/>
      <c r="T3933" s="22"/>
      <c r="U3933" s="22"/>
      <c r="V3933" s="22"/>
      <c r="W3933" s="22"/>
      <c r="X3933" s="22"/>
    </row>
    <row r="3934" spans="1:24" x14ac:dyDescent="0.25">
      <c r="A3934" s="22"/>
      <c r="B3934" s="22"/>
      <c r="C3934" s="22"/>
      <c r="D3934" s="22"/>
      <c r="E3934" s="22"/>
      <c r="F3934" s="22"/>
      <c r="G3934" s="22"/>
      <c r="H3934" s="22"/>
      <c r="I3934" s="22"/>
      <c r="J3934" s="22"/>
      <c r="K3934" s="22"/>
      <c r="L3934" s="22"/>
      <c r="M3934" s="22"/>
      <c r="N3934" s="22"/>
      <c r="O3934" s="22"/>
      <c r="P3934" s="22"/>
      <c r="Q3934" s="22"/>
      <c r="R3934" s="22"/>
      <c r="S3934" s="22"/>
      <c r="T3934" s="22"/>
      <c r="U3934" s="22"/>
      <c r="V3934" s="22"/>
      <c r="W3934" s="22"/>
      <c r="X3934" s="22"/>
    </row>
    <row r="3935" spans="1:24" x14ac:dyDescent="0.25">
      <c r="A3935" s="22"/>
      <c r="B3935" s="22"/>
      <c r="C3935" s="22"/>
      <c r="D3935" s="22"/>
      <c r="E3935" s="22"/>
      <c r="F3935" s="22"/>
      <c r="G3935" s="22"/>
      <c r="H3935" s="22"/>
      <c r="I3935" s="22"/>
      <c r="J3935" s="22"/>
      <c r="K3935" s="22"/>
      <c r="L3935" s="22"/>
      <c r="M3935" s="22"/>
      <c r="N3935" s="22"/>
      <c r="O3935" s="22"/>
      <c r="P3935" s="22"/>
      <c r="Q3935" s="22"/>
      <c r="R3935" s="22"/>
      <c r="S3935" s="22"/>
      <c r="T3935" s="22"/>
      <c r="U3935" s="22"/>
      <c r="V3935" s="22"/>
      <c r="W3935" s="22"/>
      <c r="X3935" s="22"/>
    </row>
    <row r="3936" spans="1:24" x14ac:dyDescent="0.25">
      <c r="A3936" s="22"/>
      <c r="B3936" s="22"/>
      <c r="C3936" s="22"/>
      <c r="D3936" s="22"/>
      <c r="E3936" s="22"/>
      <c r="F3936" s="22"/>
      <c r="G3936" s="22"/>
      <c r="H3936" s="22"/>
      <c r="I3936" s="22"/>
      <c r="J3936" s="22"/>
      <c r="K3936" s="22"/>
      <c r="L3936" s="22"/>
      <c r="M3936" s="22"/>
      <c r="N3936" s="22"/>
      <c r="O3936" s="22"/>
      <c r="P3936" s="22"/>
      <c r="Q3936" s="22"/>
      <c r="R3936" s="22"/>
      <c r="S3936" s="22"/>
      <c r="T3936" s="22"/>
      <c r="U3936" s="22"/>
      <c r="V3936" s="22"/>
      <c r="W3936" s="22"/>
      <c r="X3936" s="22"/>
    </row>
    <row r="3937" spans="1:24" x14ac:dyDescent="0.25">
      <c r="A3937" s="22"/>
      <c r="B3937" s="22"/>
      <c r="C3937" s="22"/>
      <c r="D3937" s="22"/>
      <c r="E3937" s="22"/>
      <c r="F3937" s="22"/>
      <c r="G3937" s="22"/>
      <c r="H3937" s="22"/>
      <c r="I3937" s="22"/>
      <c r="J3937" s="22"/>
      <c r="K3937" s="22"/>
      <c r="L3937" s="22"/>
      <c r="M3937" s="22"/>
      <c r="N3937" s="22"/>
      <c r="O3937" s="22"/>
      <c r="P3937" s="22"/>
      <c r="Q3937" s="22"/>
      <c r="R3937" s="22"/>
      <c r="S3937" s="22"/>
      <c r="T3937" s="22"/>
      <c r="U3937" s="22"/>
      <c r="V3937" s="22"/>
      <c r="W3937" s="22"/>
      <c r="X3937" s="22"/>
    </row>
    <row r="3938" spans="1:24" x14ac:dyDescent="0.25">
      <c r="A3938" s="22"/>
      <c r="B3938" s="22"/>
      <c r="C3938" s="22"/>
      <c r="D3938" s="22"/>
      <c r="E3938" s="22"/>
      <c r="F3938" s="22"/>
      <c r="G3938" s="22"/>
      <c r="H3938" s="22"/>
      <c r="I3938" s="22"/>
      <c r="J3938" s="22"/>
      <c r="K3938" s="22"/>
      <c r="L3938" s="22"/>
      <c r="M3938" s="22"/>
      <c r="N3938" s="22"/>
      <c r="O3938" s="22"/>
      <c r="P3938" s="22"/>
      <c r="Q3938" s="22"/>
      <c r="R3938" s="22"/>
      <c r="S3938" s="22"/>
      <c r="T3938" s="22"/>
      <c r="U3938" s="22"/>
      <c r="V3938" s="22"/>
      <c r="W3938" s="22"/>
      <c r="X3938" s="22"/>
    </row>
    <row r="3939" spans="1:24" x14ac:dyDescent="0.25">
      <c r="A3939" s="22"/>
      <c r="B3939" s="22"/>
      <c r="C3939" s="22"/>
      <c r="D3939" s="22"/>
      <c r="E3939" s="22"/>
      <c r="F3939" s="22"/>
      <c r="G3939" s="22"/>
      <c r="H3939" s="22"/>
      <c r="I3939" s="22"/>
      <c r="J3939" s="22"/>
      <c r="K3939" s="22"/>
      <c r="L3939" s="22"/>
      <c r="M3939" s="22"/>
      <c r="N3939" s="22"/>
      <c r="O3939" s="22"/>
      <c r="P3939" s="22"/>
      <c r="Q3939" s="22"/>
      <c r="R3939" s="22"/>
      <c r="S3939" s="22"/>
      <c r="T3939" s="22"/>
      <c r="U3939" s="22"/>
      <c r="V3939" s="22"/>
      <c r="W3939" s="22"/>
      <c r="X3939" s="22"/>
    </row>
    <row r="3940" spans="1:24" x14ac:dyDescent="0.25">
      <c r="A3940" s="22"/>
      <c r="B3940" s="22"/>
      <c r="C3940" s="22"/>
      <c r="D3940" s="22"/>
      <c r="E3940" s="22"/>
      <c r="F3940" s="22"/>
      <c r="G3940" s="22"/>
      <c r="H3940" s="22"/>
      <c r="I3940" s="22"/>
      <c r="J3940" s="22"/>
      <c r="K3940" s="22"/>
      <c r="L3940" s="22"/>
      <c r="M3940" s="22"/>
      <c r="N3940" s="22"/>
      <c r="O3940" s="22"/>
      <c r="P3940" s="22"/>
      <c r="Q3940" s="22"/>
      <c r="R3940" s="22"/>
      <c r="S3940" s="22"/>
      <c r="T3940" s="22"/>
      <c r="U3940" s="22"/>
      <c r="V3940" s="22"/>
      <c r="W3940" s="22"/>
      <c r="X3940" s="22"/>
    </row>
    <row r="3941" spans="1:24" x14ac:dyDescent="0.25">
      <c r="A3941" s="22"/>
      <c r="B3941" s="22"/>
      <c r="C3941" s="22"/>
      <c r="D3941" s="22"/>
      <c r="E3941" s="22"/>
      <c r="F3941" s="22"/>
      <c r="G3941" s="22"/>
      <c r="H3941" s="22"/>
      <c r="I3941" s="22"/>
      <c r="J3941" s="22"/>
      <c r="K3941" s="22"/>
      <c r="L3941" s="22"/>
      <c r="M3941" s="22"/>
      <c r="N3941" s="22"/>
      <c r="O3941" s="22"/>
      <c r="P3941" s="22"/>
      <c r="Q3941" s="22"/>
      <c r="R3941" s="22"/>
      <c r="S3941" s="22"/>
      <c r="T3941" s="22"/>
      <c r="U3941" s="22"/>
      <c r="V3941" s="22"/>
      <c r="W3941" s="22"/>
      <c r="X3941" s="22"/>
    </row>
    <row r="3942" spans="1:24" x14ac:dyDescent="0.25">
      <c r="A3942" s="22"/>
      <c r="B3942" s="22"/>
      <c r="C3942" s="22"/>
      <c r="D3942" s="22"/>
      <c r="E3942" s="22"/>
      <c r="F3942" s="22"/>
      <c r="G3942" s="22"/>
      <c r="H3942" s="22"/>
      <c r="I3942" s="22"/>
      <c r="J3942" s="22"/>
      <c r="K3942" s="22"/>
      <c r="L3942" s="22"/>
      <c r="M3942" s="22"/>
      <c r="N3942" s="22"/>
      <c r="O3942" s="22"/>
      <c r="P3942" s="22"/>
      <c r="Q3942" s="22"/>
      <c r="R3942" s="22"/>
      <c r="S3942" s="22"/>
      <c r="T3942" s="22"/>
      <c r="U3942" s="22"/>
      <c r="V3942" s="22"/>
      <c r="W3942" s="22"/>
      <c r="X3942" s="22"/>
    </row>
    <row r="3943" spans="1:24" x14ac:dyDescent="0.25">
      <c r="A3943" s="22"/>
      <c r="B3943" s="22"/>
      <c r="C3943" s="22"/>
      <c r="D3943" s="22"/>
      <c r="E3943" s="22"/>
      <c r="F3943" s="22"/>
      <c r="G3943" s="22"/>
      <c r="H3943" s="22"/>
      <c r="I3943" s="22"/>
      <c r="J3943" s="22"/>
      <c r="K3943" s="22"/>
      <c r="L3943" s="22"/>
      <c r="M3943" s="22"/>
      <c r="N3943" s="22"/>
      <c r="O3943" s="22"/>
      <c r="P3943" s="22"/>
      <c r="Q3943" s="22"/>
      <c r="R3943" s="22"/>
      <c r="S3943" s="22"/>
      <c r="T3943" s="22"/>
      <c r="U3943" s="22"/>
      <c r="V3943" s="22"/>
      <c r="W3943" s="22"/>
      <c r="X3943" s="22"/>
    </row>
    <row r="3944" spans="1:24" x14ac:dyDescent="0.25">
      <c r="A3944" s="22"/>
      <c r="B3944" s="22"/>
      <c r="C3944" s="22"/>
      <c r="D3944" s="22"/>
      <c r="E3944" s="22"/>
      <c r="F3944" s="22"/>
      <c r="G3944" s="22"/>
      <c r="H3944" s="22"/>
      <c r="I3944" s="22"/>
      <c r="J3944" s="22"/>
      <c r="K3944" s="22"/>
      <c r="L3944" s="22"/>
      <c r="M3944" s="22"/>
      <c r="N3944" s="22"/>
      <c r="O3944" s="22"/>
      <c r="P3944" s="22"/>
      <c r="Q3944" s="22"/>
      <c r="R3944" s="22"/>
      <c r="S3944" s="22"/>
      <c r="T3944" s="22"/>
      <c r="U3944" s="22"/>
      <c r="V3944" s="22"/>
      <c r="W3944" s="22"/>
      <c r="X3944" s="22"/>
    </row>
    <row r="3945" spans="1:24" x14ac:dyDescent="0.25">
      <c r="A3945" s="22"/>
      <c r="B3945" s="22"/>
      <c r="C3945" s="22"/>
      <c r="D3945" s="22"/>
      <c r="E3945" s="22"/>
      <c r="F3945" s="22"/>
      <c r="G3945" s="22"/>
      <c r="H3945" s="22"/>
      <c r="I3945" s="22"/>
      <c r="J3945" s="22"/>
      <c r="K3945" s="22"/>
      <c r="L3945" s="22"/>
      <c r="M3945" s="22"/>
      <c r="N3945" s="22"/>
      <c r="O3945" s="22"/>
      <c r="P3945" s="22"/>
      <c r="Q3945" s="22"/>
      <c r="R3945" s="22"/>
      <c r="S3945" s="22"/>
      <c r="T3945" s="22"/>
      <c r="U3945" s="22"/>
      <c r="V3945" s="22"/>
      <c r="W3945" s="22"/>
      <c r="X3945" s="22"/>
    </row>
    <row r="3946" spans="1:24" x14ac:dyDescent="0.25">
      <c r="A3946" s="22"/>
      <c r="B3946" s="22"/>
      <c r="C3946" s="22"/>
      <c r="D3946" s="22"/>
      <c r="E3946" s="22"/>
      <c r="F3946" s="22"/>
      <c r="G3946" s="22"/>
      <c r="H3946" s="22"/>
      <c r="I3946" s="22"/>
      <c r="J3946" s="22"/>
      <c r="K3946" s="22"/>
      <c r="L3946" s="22"/>
      <c r="M3946" s="22"/>
      <c r="N3946" s="22"/>
      <c r="O3946" s="22"/>
      <c r="P3946" s="22"/>
      <c r="Q3946" s="22"/>
      <c r="R3946" s="22"/>
      <c r="S3946" s="22"/>
      <c r="T3946" s="22"/>
      <c r="U3946" s="22"/>
      <c r="V3946" s="22"/>
      <c r="W3946" s="22"/>
      <c r="X3946" s="22"/>
    </row>
    <row r="3947" spans="1:24" x14ac:dyDescent="0.25">
      <c r="A3947" s="22"/>
      <c r="B3947" s="22"/>
      <c r="C3947" s="22"/>
      <c r="D3947" s="22"/>
      <c r="E3947" s="22"/>
      <c r="F3947" s="22"/>
      <c r="G3947" s="22"/>
      <c r="H3947" s="22"/>
      <c r="I3947" s="22"/>
      <c r="J3947" s="22"/>
      <c r="K3947" s="22"/>
      <c r="L3947" s="22"/>
      <c r="M3947" s="22"/>
      <c r="N3947" s="22"/>
      <c r="O3947" s="22"/>
      <c r="P3947" s="22"/>
      <c r="Q3947" s="22"/>
      <c r="R3947" s="22"/>
      <c r="S3947" s="22"/>
      <c r="T3947" s="22"/>
      <c r="U3947" s="22"/>
      <c r="V3947" s="22"/>
      <c r="W3947" s="22"/>
      <c r="X3947" s="22"/>
    </row>
    <row r="3948" spans="1:24" x14ac:dyDescent="0.25">
      <c r="A3948" s="22"/>
      <c r="B3948" s="22"/>
      <c r="C3948" s="22"/>
      <c r="D3948" s="22"/>
      <c r="E3948" s="22"/>
      <c r="F3948" s="22"/>
      <c r="G3948" s="22"/>
      <c r="H3948" s="22"/>
      <c r="I3948" s="22"/>
      <c r="J3948" s="22"/>
      <c r="K3948" s="22"/>
      <c r="L3948" s="22"/>
      <c r="M3948" s="22"/>
      <c r="N3948" s="22"/>
      <c r="O3948" s="22"/>
      <c r="P3948" s="22"/>
      <c r="Q3948" s="22"/>
      <c r="R3948" s="22"/>
      <c r="S3948" s="22"/>
      <c r="T3948" s="22"/>
      <c r="U3948" s="22"/>
      <c r="V3948" s="22"/>
      <c r="W3948" s="22"/>
      <c r="X3948" s="22"/>
    </row>
    <row r="3949" spans="1:24" x14ac:dyDescent="0.25">
      <c r="A3949" s="22"/>
      <c r="B3949" s="22"/>
      <c r="C3949" s="22"/>
      <c r="D3949" s="22"/>
      <c r="E3949" s="22"/>
      <c r="F3949" s="22"/>
      <c r="G3949" s="22"/>
      <c r="H3949" s="22"/>
      <c r="I3949" s="22"/>
      <c r="J3949" s="22"/>
      <c r="K3949" s="22"/>
      <c r="L3949" s="22"/>
      <c r="M3949" s="22"/>
      <c r="N3949" s="22"/>
      <c r="O3949" s="22"/>
      <c r="P3949" s="22"/>
      <c r="Q3949" s="22"/>
      <c r="R3949" s="22"/>
      <c r="S3949" s="22"/>
      <c r="T3949" s="22"/>
      <c r="U3949" s="22"/>
      <c r="V3949" s="22"/>
      <c r="W3949" s="22"/>
      <c r="X3949" s="22"/>
    </row>
    <row r="3950" spans="1:24" x14ac:dyDescent="0.25">
      <c r="A3950" s="22"/>
      <c r="B3950" s="22"/>
      <c r="C3950" s="22"/>
      <c r="D3950" s="22"/>
      <c r="E3950" s="22"/>
      <c r="F3950" s="22"/>
      <c r="G3950" s="22"/>
      <c r="H3950" s="22"/>
      <c r="I3950" s="22"/>
      <c r="J3950" s="22"/>
      <c r="K3950" s="22"/>
      <c r="L3950" s="22"/>
      <c r="M3950" s="22"/>
      <c r="N3950" s="22"/>
      <c r="O3950" s="22"/>
      <c r="P3950" s="22"/>
      <c r="Q3950" s="22"/>
      <c r="R3950" s="22"/>
      <c r="S3950" s="22"/>
      <c r="T3950" s="22"/>
      <c r="U3950" s="22"/>
      <c r="V3950" s="22"/>
      <c r="W3950" s="22"/>
      <c r="X3950" s="22"/>
    </row>
    <row r="3951" spans="1:24" x14ac:dyDescent="0.25">
      <c r="A3951" s="22"/>
      <c r="B3951" s="22"/>
      <c r="C3951" s="22"/>
      <c r="D3951" s="22"/>
      <c r="E3951" s="22"/>
      <c r="F3951" s="22"/>
      <c r="G3951" s="22"/>
      <c r="H3951" s="22"/>
      <c r="I3951" s="22"/>
      <c r="J3951" s="22"/>
      <c r="K3951" s="22"/>
      <c r="L3951" s="22"/>
      <c r="M3951" s="22"/>
      <c r="N3951" s="22"/>
      <c r="O3951" s="22"/>
      <c r="P3951" s="22"/>
      <c r="Q3951" s="22"/>
      <c r="R3951" s="22"/>
      <c r="S3951" s="22"/>
      <c r="T3951" s="22"/>
      <c r="U3951" s="22"/>
      <c r="V3951" s="22"/>
      <c r="W3951" s="22"/>
      <c r="X3951" s="22"/>
    </row>
    <row r="3952" spans="1:24" x14ac:dyDescent="0.25">
      <c r="A3952" s="22"/>
      <c r="B3952" s="22"/>
      <c r="C3952" s="22"/>
      <c r="D3952" s="22"/>
      <c r="E3952" s="22"/>
      <c r="F3952" s="22"/>
      <c r="G3952" s="22"/>
      <c r="H3952" s="22"/>
      <c r="I3952" s="22"/>
      <c r="J3952" s="22"/>
      <c r="K3952" s="22"/>
      <c r="L3952" s="22"/>
      <c r="M3952" s="22"/>
      <c r="N3952" s="22"/>
      <c r="O3952" s="22"/>
      <c r="P3952" s="22"/>
      <c r="Q3952" s="22"/>
      <c r="R3952" s="22"/>
      <c r="S3952" s="22"/>
      <c r="T3952" s="22"/>
      <c r="U3952" s="22"/>
      <c r="V3952" s="22"/>
      <c r="W3952" s="22"/>
      <c r="X3952" s="22"/>
    </row>
    <row r="3953" spans="1:24" x14ac:dyDescent="0.25">
      <c r="A3953" s="22"/>
      <c r="B3953" s="22"/>
      <c r="C3953" s="22"/>
      <c r="D3953" s="22"/>
      <c r="E3953" s="22"/>
      <c r="F3953" s="22"/>
      <c r="G3953" s="22"/>
      <c r="H3953" s="22"/>
      <c r="I3953" s="22"/>
      <c r="J3953" s="22"/>
      <c r="K3953" s="22"/>
      <c r="L3953" s="22"/>
      <c r="M3953" s="22"/>
      <c r="N3953" s="22"/>
      <c r="O3953" s="22"/>
      <c r="P3953" s="22"/>
      <c r="Q3953" s="22"/>
      <c r="R3953" s="22"/>
      <c r="S3953" s="22"/>
      <c r="T3953" s="22"/>
      <c r="U3953" s="22"/>
      <c r="V3953" s="22"/>
      <c r="W3953" s="22"/>
      <c r="X3953" s="22"/>
    </row>
    <row r="3954" spans="1:24" x14ac:dyDescent="0.25">
      <c r="A3954" s="22"/>
      <c r="B3954" s="22"/>
      <c r="C3954" s="22"/>
      <c r="D3954" s="22"/>
      <c r="E3954" s="22"/>
      <c r="F3954" s="22"/>
      <c r="G3954" s="22"/>
      <c r="H3954" s="22"/>
      <c r="I3954" s="22"/>
      <c r="J3954" s="22"/>
      <c r="K3954" s="22"/>
      <c r="L3954" s="22"/>
      <c r="M3954" s="22"/>
      <c r="N3954" s="22"/>
      <c r="O3954" s="22"/>
      <c r="P3954" s="22"/>
      <c r="Q3954" s="22"/>
      <c r="R3954" s="22"/>
      <c r="S3954" s="22"/>
      <c r="T3954" s="22"/>
      <c r="U3954" s="22"/>
      <c r="V3954" s="22"/>
      <c r="W3954" s="22"/>
      <c r="X3954" s="22"/>
    </row>
    <row r="3955" spans="1:24" x14ac:dyDescent="0.25">
      <c r="A3955" s="22"/>
      <c r="B3955" s="22"/>
      <c r="C3955" s="22"/>
      <c r="D3955" s="22"/>
      <c r="E3955" s="22"/>
      <c r="F3955" s="22"/>
      <c r="G3955" s="22"/>
      <c r="H3955" s="22"/>
      <c r="I3955" s="22"/>
      <c r="J3955" s="22"/>
      <c r="K3955" s="22"/>
      <c r="L3955" s="22"/>
      <c r="M3955" s="22"/>
      <c r="N3955" s="22"/>
      <c r="O3955" s="22"/>
      <c r="P3955" s="22"/>
      <c r="Q3955" s="22"/>
      <c r="R3955" s="22"/>
      <c r="S3955" s="22"/>
      <c r="T3955" s="22"/>
      <c r="U3955" s="22"/>
      <c r="V3955" s="22"/>
      <c r="W3955" s="22"/>
      <c r="X3955" s="22"/>
    </row>
    <row r="3956" spans="1:24" x14ac:dyDescent="0.25">
      <c r="A3956" s="22"/>
      <c r="B3956" s="22"/>
      <c r="C3956" s="22"/>
      <c r="D3956" s="22"/>
      <c r="E3956" s="22"/>
      <c r="F3956" s="22"/>
      <c r="G3956" s="22"/>
      <c r="H3956" s="22"/>
      <c r="I3956" s="22"/>
      <c r="J3956" s="22"/>
      <c r="K3956" s="22"/>
      <c r="L3956" s="22"/>
      <c r="M3956" s="22"/>
      <c r="N3956" s="22"/>
      <c r="O3956" s="22"/>
      <c r="P3956" s="22"/>
      <c r="Q3956" s="22"/>
      <c r="R3956" s="22"/>
      <c r="S3956" s="22"/>
      <c r="T3956" s="22"/>
      <c r="U3956" s="22"/>
      <c r="V3956" s="22"/>
      <c r="W3956" s="22"/>
      <c r="X3956" s="22"/>
    </row>
    <row r="3957" spans="1:24" x14ac:dyDescent="0.25">
      <c r="A3957" s="22"/>
      <c r="B3957" s="22"/>
      <c r="C3957" s="22"/>
      <c r="D3957" s="22"/>
      <c r="E3957" s="22"/>
      <c r="F3957" s="22"/>
      <c r="G3957" s="22"/>
      <c r="H3957" s="22"/>
      <c r="I3957" s="22"/>
      <c r="J3957" s="22"/>
      <c r="K3957" s="22"/>
      <c r="L3957" s="22"/>
      <c r="M3957" s="22"/>
      <c r="N3957" s="22"/>
      <c r="O3957" s="22"/>
      <c r="P3957" s="22"/>
      <c r="Q3957" s="22"/>
      <c r="R3957" s="22"/>
      <c r="S3957" s="22"/>
      <c r="T3957" s="22"/>
      <c r="U3957" s="22"/>
      <c r="V3957" s="22"/>
      <c r="W3957" s="22"/>
      <c r="X3957" s="22"/>
    </row>
    <row r="3958" spans="1:24" x14ac:dyDescent="0.25">
      <c r="A3958" s="22"/>
      <c r="B3958" s="22"/>
      <c r="C3958" s="22"/>
      <c r="D3958" s="22"/>
      <c r="E3958" s="22"/>
      <c r="F3958" s="22"/>
      <c r="G3958" s="22"/>
      <c r="H3958" s="22"/>
      <c r="I3958" s="22"/>
      <c r="J3958" s="22"/>
      <c r="K3958" s="22"/>
      <c r="L3958" s="22"/>
      <c r="M3958" s="22"/>
      <c r="N3958" s="22"/>
      <c r="O3958" s="22"/>
      <c r="P3958" s="22"/>
      <c r="Q3958" s="22"/>
      <c r="R3958" s="22"/>
      <c r="S3958" s="22"/>
      <c r="T3958" s="22"/>
      <c r="U3958" s="22"/>
      <c r="V3958" s="22"/>
      <c r="W3958" s="22"/>
      <c r="X3958" s="22"/>
    </row>
    <row r="3959" spans="1:24" x14ac:dyDescent="0.25">
      <c r="A3959" s="22"/>
      <c r="B3959" s="22"/>
      <c r="C3959" s="22"/>
      <c r="D3959" s="22"/>
      <c r="E3959" s="22"/>
      <c r="F3959" s="22"/>
      <c r="G3959" s="22"/>
      <c r="H3959" s="22"/>
      <c r="I3959" s="22"/>
      <c r="J3959" s="22"/>
      <c r="K3959" s="22"/>
      <c r="L3959" s="22"/>
      <c r="M3959" s="22"/>
      <c r="N3959" s="22"/>
      <c r="O3959" s="22"/>
      <c r="P3959" s="22"/>
      <c r="Q3959" s="22"/>
      <c r="R3959" s="22"/>
      <c r="S3959" s="22"/>
      <c r="T3959" s="22"/>
      <c r="U3959" s="22"/>
      <c r="V3959" s="22"/>
      <c r="W3959" s="22"/>
      <c r="X3959" s="22"/>
    </row>
    <row r="3960" spans="1:24" x14ac:dyDescent="0.25">
      <c r="A3960" s="22"/>
      <c r="B3960" s="22"/>
      <c r="C3960" s="22"/>
      <c r="D3960" s="22"/>
      <c r="E3960" s="22"/>
      <c r="F3960" s="22"/>
      <c r="G3960" s="22"/>
      <c r="H3960" s="22"/>
      <c r="I3960" s="22"/>
      <c r="J3960" s="22"/>
      <c r="K3960" s="22"/>
      <c r="L3960" s="22"/>
      <c r="M3960" s="22"/>
      <c r="N3960" s="22"/>
      <c r="O3960" s="22"/>
      <c r="P3960" s="22"/>
      <c r="Q3960" s="22"/>
      <c r="R3960" s="22"/>
      <c r="S3960" s="22"/>
      <c r="T3960" s="22"/>
      <c r="U3960" s="22"/>
      <c r="V3960" s="22"/>
      <c r="W3960" s="22"/>
      <c r="X3960" s="22"/>
    </row>
    <row r="3961" spans="1:24" x14ac:dyDescent="0.25">
      <c r="A3961" s="22"/>
      <c r="B3961" s="22"/>
      <c r="C3961" s="22"/>
      <c r="D3961" s="22"/>
      <c r="E3961" s="22"/>
      <c r="F3961" s="22"/>
      <c r="G3961" s="22"/>
      <c r="H3961" s="22"/>
      <c r="I3961" s="22"/>
      <c r="J3961" s="22"/>
      <c r="K3961" s="22"/>
      <c r="L3961" s="22"/>
      <c r="M3961" s="22"/>
      <c r="N3961" s="22"/>
      <c r="O3961" s="22"/>
      <c r="P3961" s="22"/>
      <c r="Q3961" s="22"/>
      <c r="R3961" s="22"/>
      <c r="S3961" s="22"/>
      <c r="T3961" s="22"/>
      <c r="U3961" s="22"/>
      <c r="V3961" s="22"/>
      <c r="W3961" s="22"/>
      <c r="X3961" s="22"/>
    </row>
    <row r="3962" spans="1:24" x14ac:dyDescent="0.25">
      <c r="A3962" s="22"/>
      <c r="B3962" s="22"/>
      <c r="C3962" s="22"/>
      <c r="D3962" s="22"/>
      <c r="E3962" s="22"/>
      <c r="F3962" s="22"/>
      <c r="G3962" s="22"/>
      <c r="H3962" s="22"/>
      <c r="I3962" s="22"/>
      <c r="J3962" s="22"/>
      <c r="K3962" s="22"/>
      <c r="L3962" s="22"/>
      <c r="M3962" s="22"/>
      <c r="N3962" s="22"/>
      <c r="O3962" s="22"/>
      <c r="P3962" s="22"/>
      <c r="Q3962" s="22"/>
      <c r="R3962" s="22"/>
      <c r="S3962" s="22"/>
      <c r="T3962" s="22"/>
      <c r="U3962" s="22"/>
      <c r="V3962" s="22"/>
      <c r="W3962" s="22"/>
      <c r="X3962" s="22"/>
    </row>
    <row r="3963" spans="1:24" x14ac:dyDescent="0.25">
      <c r="A3963" s="22"/>
      <c r="B3963" s="22"/>
      <c r="C3963" s="22"/>
      <c r="D3963" s="22"/>
      <c r="E3963" s="22"/>
      <c r="F3963" s="22"/>
      <c r="G3963" s="22"/>
      <c r="H3963" s="22"/>
      <c r="I3963" s="22"/>
      <c r="J3963" s="22"/>
      <c r="K3963" s="22"/>
      <c r="L3963" s="22"/>
      <c r="M3963" s="22"/>
      <c r="N3963" s="22"/>
      <c r="O3963" s="22"/>
      <c r="P3963" s="22"/>
      <c r="Q3963" s="22"/>
      <c r="R3963" s="22"/>
      <c r="S3963" s="22"/>
      <c r="T3963" s="22"/>
      <c r="U3963" s="22"/>
      <c r="V3963" s="22"/>
      <c r="W3963" s="22"/>
      <c r="X3963" s="22"/>
    </row>
    <row r="3964" spans="1:24" x14ac:dyDescent="0.25">
      <c r="A3964" s="22"/>
      <c r="B3964" s="22"/>
      <c r="C3964" s="22"/>
      <c r="D3964" s="22"/>
      <c r="E3964" s="22"/>
      <c r="F3964" s="22"/>
      <c r="G3964" s="22"/>
      <c r="H3964" s="22"/>
      <c r="I3964" s="22"/>
      <c r="J3964" s="22"/>
      <c r="K3964" s="22"/>
      <c r="L3964" s="22"/>
      <c r="M3964" s="22"/>
      <c r="N3964" s="22"/>
      <c r="O3964" s="22"/>
      <c r="P3964" s="22"/>
      <c r="Q3964" s="22"/>
      <c r="R3964" s="22"/>
      <c r="S3964" s="22"/>
      <c r="T3964" s="22"/>
      <c r="U3964" s="22"/>
      <c r="V3964" s="22"/>
      <c r="W3964" s="22"/>
      <c r="X3964" s="22"/>
    </row>
    <row r="3965" spans="1:24" x14ac:dyDescent="0.25">
      <c r="A3965" s="22"/>
      <c r="B3965" s="22"/>
      <c r="C3965" s="22"/>
      <c r="D3965" s="22"/>
      <c r="E3965" s="22"/>
      <c r="F3965" s="22"/>
      <c r="G3965" s="22"/>
      <c r="H3965" s="22"/>
      <c r="I3965" s="22"/>
      <c r="J3965" s="22"/>
      <c r="K3965" s="22"/>
      <c r="L3965" s="22"/>
      <c r="M3965" s="22"/>
      <c r="N3965" s="22"/>
      <c r="O3965" s="22"/>
      <c r="P3965" s="22"/>
      <c r="Q3965" s="22"/>
      <c r="R3965" s="22"/>
      <c r="S3965" s="22"/>
      <c r="T3965" s="22"/>
      <c r="U3965" s="22"/>
      <c r="V3965" s="22"/>
      <c r="W3965" s="22"/>
      <c r="X3965" s="22"/>
    </row>
    <row r="3966" spans="1:24" x14ac:dyDescent="0.25">
      <c r="A3966" s="22"/>
      <c r="B3966" s="22"/>
      <c r="C3966" s="22"/>
      <c r="D3966" s="22"/>
      <c r="E3966" s="22"/>
      <c r="F3966" s="22"/>
      <c r="G3966" s="22"/>
      <c r="H3966" s="22"/>
      <c r="I3966" s="22"/>
      <c r="J3966" s="22"/>
      <c r="K3966" s="22"/>
      <c r="L3966" s="22"/>
      <c r="M3966" s="22"/>
      <c r="N3966" s="22"/>
      <c r="O3966" s="22"/>
      <c r="P3966" s="22"/>
      <c r="Q3966" s="22"/>
      <c r="R3966" s="22"/>
      <c r="S3966" s="22"/>
      <c r="T3966" s="22"/>
      <c r="U3966" s="22"/>
      <c r="V3966" s="22"/>
      <c r="W3966" s="22"/>
      <c r="X3966" s="22"/>
    </row>
    <row r="3967" spans="1:24" x14ac:dyDescent="0.25">
      <c r="A3967" s="22"/>
      <c r="B3967" s="22"/>
      <c r="C3967" s="22"/>
      <c r="D3967" s="22"/>
      <c r="E3967" s="22"/>
      <c r="F3967" s="22"/>
      <c r="G3967" s="22"/>
      <c r="H3967" s="22"/>
      <c r="I3967" s="22"/>
      <c r="J3967" s="22"/>
      <c r="K3967" s="22"/>
      <c r="L3967" s="22"/>
      <c r="M3967" s="22"/>
      <c r="N3967" s="22"/>
      <c r="O3967" s="22"/>
      <c r="P3967" s="22"/>
      <c r="Q3967" s="22"/>
      <c r="R3967" s="22"/>
      <c r="S3967" s="22"/>
      <c r="T3967" s="22"/>
      <c r="U3967" s="22"/>
      <c r="V3967" s="22"/>
      <c r="W3967" s="22"/>
      <c r="X3967" s="22"/>
    </row>
    <row r="3968" spans="1:24" x14ac:dyDescent="0.25">
      <c r="A3968" s="22"/>
      <c r="B3968" s="22"/>
      <c r="C3968" s="22"/>
      <c r="D3968" s="22"/>
      <c r="E3968" s="22"/>
      <c r="F3968" s="22"/>
      <c r="G3968" s="22"/>
      <c r="H3968" s="22"/>
      <c r="I3968" s="22"/>
      <c r="J3968" s="22"/>
      <c r="K3968" s="22"/>
      <c r="L3968" s="22"/>
      <c r="M3968" s="22"/>
      <c r="N3968" s="22"/>
      <c r="O3968" s="22"/>
      <c r="P3968" s="22"/>
      <c r="Q3968" s="22"/>
      <c r="R3968" s="22"/>
      <c r="S3968" s="22"/>
      <c r="T3968" s="22"/>
      <c r="U3968" s="22"/>
      <c r="V3968" s="22"/>
      <c r="W3968" s="22"/>
      <c r="X3968" s="22"/>
    </row>
    <row r="3969" spans="1:24" x14ac:dyDescent="0.25">
      <c r="A3969" s="22"/>
      <c r="B3969" s="22"/>
      <c r="C3969" s="22"/>
      <c r="D3969" s="22"/>
      <c r="E3969" s="22"/>
      <c r="F3969" s="22"/>
      <c r="G3969" s="22"/>
      <c r="H3969" s="22"/>
      <c r="I3969" s="22"/>
      <c r="J3969" s="22"/>
      <c r="K3969" s="22"/>
      <c r="L3969" s="22"/>
      <c r="M3969" s="22"/>
      <c r="N3969" s="22"/>
      <c r="O3969" s="22"/>
      <c r="P3969" s="22"/>
      <c r="Q3969" s="22"/>
      <c r="R3969" s="22"/>
      <c r="S3969" s="22"/>
      <c r="T3969" s="22"/>
      <c r="U3969" s="22"/>
      <c r="V3969" s="22"/>
      <c r="W3969" s="22"/>
      <c r="X3969" s="22"/>
    </row>
    <row r="3970" spans="1:24" x14ac:dyDescent="0.25">
      <c r="A3970" s="22"/>
      <c r="B3970" s="22"/>
      <c r="C3970" s="22"/>
      <c r="D3970" s="22"/>
      <c r="E3970" s="22"/>
      <c r="F3970" s="22"/>
      <c r="G3970" s="22"/>
      <c r="H3970" s="22"/>
      <c r="I3970" s="22"/>
      <c r="J3970" s="22"/>
      <c r="K3970" s="22"/>
      <c r="L3970" s="22"/>
      <c r="M3970" s="22"/>
      <c r="N3970" s="22"/>
      <c r="O3970" s="22"/>
      <c r="P3970" s="22"/>
      <c r="Q3970" s="22"/>
      <c r="R3970" s="22"/>
      <c r="S3970" s="22"/>
      <c r="T3970" s="22"/>
      <c r="U3970" s="22"/>
      <c r="V3970" s="22"/>
      <c r="W3970" s="22"/>
      <c r="X3970" s="22"/>
    </row>
    <row r="3971" spans="1:24" x14ac:dyDescent="0.25">
      <c r="A3971" s="22"/>
      <c r="B3971" s="22"/>
      <c r="C3971" s="22"/>
      <c r="D3971" s="22"/>
      <c r="E3971" s="22"/>
      <c r="F3971" s="22"/>
      <c r="G3971" s="22"/>
      <c r="H3971" s="22"/>
      <c r="I3971" s="22"/>
      <c r="J3971" s="22"/>
      <c r="K3971" s="22"/>
      <c r="L3971" s="22"/>
      <c r="M3971" s="22"/>
      <c r="N3971" s="22"/>
      <c r="O3971" s="22"/>
      <c r="P3971" s="22"/>
      <c r="Q3971" s="22"/>
      <c r="R3971" s="22"/>
      <c r="S3971" s="22"/>
      <c r="T3971" s="22"/>
      <c r="U3971" s="22"/>
      <c r="V3971" s="22"/>
      <c r="W3971" s="22"/>
      <c r="X3971" s="22"/>
    </row>
    <row r="3972" spans="1:24" x14ac:dyDescent="0.25">
      <c r="A3972" s="22"/>
      <c r="B3972" s="22"/>
      <c r="C3972" s="22"/>
      <c r="D3972" s="22"/>
      <c r="E3972" s="22"/>
      <c r="F3972" s="22"/>
      <c r="G3972" s="22"/>
      <c r="H3972" s="22"/>
      <c r="I3972" s="22"/>
      <c r="J3972" s="22"/>
      <c r="K3972" s="22"/>
      <c r="L3972" s="22"/>
      <c r="M3972" s="22"/>
      <c r="N3972" s="22"/>
      <c r="O3972" s="22"/>
      <c r="P3972" s="22"/>
      <c r="Q3972" s="22"/>
      <c r="R3972" s="22"/>
      <c r="S3972" s="22"/>
      <c r="T3972" s="22"/>
      <c r="U3972" s="22"/>
      <c r="V3972" s="22"/>
      <c r="W3972" s="22"/>
      <c r="X3972" s="22"/>
    </row>
    <row r="3973" spans="1:24" x14ac:dyDescent="0.25">
      <c r="A3973" s="22"/>
      <c r="B3973" s="22"/>
      <c r="C3973" s="22"/>
      <c r="D3973" s="22"/>
      <c r="E3973" s="22"/>
      <c r="F3973" s="22"/>
      <c r="G3973" s="22"/>
      <c r="H3973" s="22"/>
      <c r="I3973" s="22"/>
      <c r="J3973" s="22"/>
      <c r="K3973" s="22"/>
      <c r="L3973" s="22"/>
      <c r="M3973" s="22"/>
      <c r="N3973" s="22"/>
      <c r="O3973" s="22"/>
      <c r="P3973" s="22"/>
      <c r="Q3973" s="22"/>
      <c r="R3973" s="22"/>
      <c r="S3973" s="22"/>
      <c r="T3973" s="22"/>
      <c r="U3973" s="22"/>
      <c r="V3973" s="22"/>
      <c r="W3973" s="22"/>
      <c r="X3973" s="22"/>
    </row>
    <row r="3974" spans="1:24" x14ac:dyDescent="0.25">
      <c r="A3974" s="22"/>
      <c r="B3974" s="22"/>
      <c r="C3974" s="22"/>
      <c r="D3974" s="22"/>
      <c r="E3974" s="22"/>
      <c r="F3974" s="22"/>
      <c r="G3974" s="22"/>
      <c r="H3974" s="22"/>
      <c r="I3974" s="22"/>
      <c r="J3974" s="22"/>
      <c r="K3974" s="22"/>
      <c r="L3974" s="22"/>
      <c r="M3974" s="22"/>
      <c r="N3974" s="22"/>
      <c r="O3974" s="22"/>
      <c r="P3974" s="22"/>
      <c r="Q3974" s="22"/>
      <c r="R3974" s="22"/>
      <c r="S3974" s="22"/>
      <c r="T3974" s="22"/>
      <c r="U3974" s="22"/>
      <c r="V3974" s="22"/>
      <c r="W3974" s="22"/>
      <c r="X3974" s="22"/>
    </row>
    <row r="3975" spans="1:24" x14ac:dyDescent="0.25">
      <c r="A3975" s="22"/>
      <c r="B3975" s="22"/>
      <c r="C3975" s="22"/>
      <c r="D3975" s="22"/>
      <c r="E3975" s="22"/>
      <c r="F3975" s="22"/>
      <c r="G3975" s="22"/>
      <c r="H3975" s="22"/>
      <c r="I3975" s="22"/>
      <c r="J3975" s="22"/>
      <c r="K3975" s="22"/>
      <c r="L3975" s="22"/>
      <c r="M3975" s="22"/>
      <c r="N3975" s="22"/>
      <c r="O3975" s="22"/>
      <c r="P3975" s="22"/>
      <c r="Q3975" s="22"/>
      <c r="R3975" s="22"/>
      <c r="S3975" s="22"/>
      <c r="T3975" s="22"/>
      <c r="U3975" s="22"/>
      <c r="V3975" s="22"/>
      <c r="W3975" s="22"/>
      <c r="X3975" s="22"/>
    </row>
    <row r="3976" spans="1:24" x14ac:dyDescent="0.25">
      <c r="A3976" s="22"/>
      <c r="B3976" s="22"/>
      <c r="C3976" s="22"/>
      <c r="D3976" s="22"/>
      <c r="E3976" s="22"/>
      <c r="F3976" s="22"/>
      <c r="G3976" s="22"/>
      <c r="H3976" s="22"/>
      <c r="I3976" s="22"/>
      <c r="J3976" s="22"/>
      <c r="K3976" s="22"/>
      <c r="L3976" s="22"/>
      <c r="M3976" s="22"/>
      <c r="N3976" s="22"/>
      <c r="O3976" s="22"/>
      <c r="P3976" s="22"/>
      <c r="Q3976" s="22"/>
      <c r="R3976" s="22"/>
      <c r="S3976" s="22"/>
      <c r="T3976" s="22"/>
      <c r="U3976" s="22"/>
      <c r="V3976" s="22"/>
      <c r="W3976" s="22"/>
      <c r="X3976" s="22"/>
    </row>
    <row r="3977" spans="1:24" x14ac:dyDescent="0.25">
      <c r="A3977" s="22"/>
      <c r="B3977" s="22"/>
      <c r="C3977" s="22"/>
      <c r="D3977" s="22"/>
      <c r="E3977" s="22"/>
      <c r="F3977" s="22"/>
      <c r="G3977" s="22"/>
      <c r="H3977" s="22"/>
      <c r="I3977" s="22"/>
      <c r="J3977" s="22"/>
      <c r="K3977" s="22"/>
      <c r="L3977" s="22"/>
      <c r="M3977" s="22"/>
      <c r="N3977" s="22"/>
      <c r="O3977" s="22"/>
      <c r="P3977" s="22"/>
      <c r="Q3977" s="22"/>
      <c r="R3977" s="22"/>
      <c r="S3977" s="22"/>
      <c r="T3977" s="22"/>
      <c r="U3977" s="22"/>
      <c r="V3977" s="22"/>
      <c r="W3977" s="22"/>
      <c r="X3977" s="22"/>
    </row>
    <row r="3978" spans="1:24" x14ac:dyDescent="0.25">
      <c r="A3978" s="22"/>
      <c r="B3978" s="22"/>
      <c r="C3978" s="22"/>
      <c r="D3978" s="22"/>
      <c r="E3978" s="22"/>
      <c r="F3978" s="22"/>
      <c r="G3978" s="22"/>
      <c r="H3978" s="22"/>
      <c r="I3978" s="22"/>
      <c r="J3978" s="22"/>
      <c r="K3978" s="22"/>
      <c r="L3978" s="22"/>
      <c r="M3978" s="22"/>
      <c r="N3978" s="22"/>
      <c r="O3978" s="22"/>
      <c r="P3978" s="22"/>
      <c r="Q3978" s="22"/>
      <c r="R3978" s="22"/>
      <c r="S3978" s="22"/>
      <c r="T3978" s="22"/>
      <c r="U3978" s="22"/>
      <c r="V3978" s="22"/>
      <c r="W3978" s="22"/>
      <c r="X3978" s="22"/>
    </row>
    <row r="3979" spans="1:24" x14ac:dyDescent="0.25">
      <c r="A3979" s="22"/>
      <c r="B3979" s="22"/>
      <c r="C3979" s="22"/>
      <c r="D3979" s="22"/>
      <c r="E3979" s="22"/>
      <c r="F3979" s="22"/>
      <c r="G3979" s="22"/>
      <c r="H3979" s="22"/>
      <c r="I3979" s="22"/>
      <c r="J3979" s="22"/>
      <c r="K3979" s="22"/>
      <c r="L3979" s="22"/>
      <c r="M3979" s="22"/>
      <c r="N3979" s="22"/>
      <c r="O3979" s="22"/>
      <c r="P3979" s="22"/>
      <c r="Q3979" s="22"/>
      <c r="R3979" s="22"/>
      <c r="S3979" s="22"/>
      <c r="T3979" s="22"/>
      <c r="U3979" s="22"/>
      <c r="V3979" s="22"/>
      <c r="W3979" s="22"/>
      <c r="X3979" s="22"/>
    </row>
    <row r="3980" spans="1:24" x14ac:dyDescent="0.25">
      <c r="A3980" s="22"/>
      <c r="B3980" s="22"/>
      <c r="C3980" s="22"/>
      <c r="D3980" s="22"/>
      <c r="E3980" s="22"/>
      <c r="F3980" s="22"/>
      <c r="G3980" s="22"/>
      <c r="H3980" s="22"/>
      <c r="I3980" s="22"/>
      <c r="J3980" s="22"/>
      <c r="K3980" s="22"/>
      <c r="L3980" s="22"/>
      <c r="M3980" s="22"/>
      <c r="N3980" s="22"/>
      <c r="O3980" s="22"/>
      <c r="P3980" s="22"/>
      <c r="Q3980" s="22"/>
      <c r="R3980" s="22"/>
      <c r="S3980" s="22"/>
      <c r="T3980" s="22"/>
      <c r="U3980" s="22"/>
      <c r="V3980" s="22"/>
      <c r="W3980" s="22"/>
      <c r="X3980" s="22"/>
    </row>
    <row r="3981" spans="1:24" x14ac:dyDescent="0.25">
      <c r="A3981" s="22"/>
      <c r="B3981" s="22"/>
      <c r="C3981" s="22"/>
      <c r="D3981" s="22"/>
      <c r="E3981" s="22"/>
      <c r="F3981" s="22"/>
      <c r="G3981" s="22"/>
      <c r="H3981" s="22"/>
      <c r="I3981" s="22"/>
      <c r="J3981" s="22"/>
      <c r="K3981" s="22"/>
      <c r="L3981" s="22"/>
      <c r="M3981" s="22"/>
      <c r="N3981" s="22"/>
      <c r="O3981" s="22"/>
      <c r="P3981" s="22"/>
      <c r="Q3981" s="22"/>
      <c r="R3981" s="22"/>
      <c r="S3981" s="22"/>
      <c r="T3981" s="22"/>
      <c r="U3981" s="22"/>
      <c r="V3981" s="22"/>
      <c r="W3981" s="22"/>
      <c r="X3981" s="22"/>
    </row>
    <row r="3982" spans="1:24" x14ac:dyDescent="0.25">
      <c r="A3982" s="22"/>
      <c r="B3982" s="22"/>
      <c r="C3982" s="22"/>
      <c r="D3982" s="22"/>
      <c r="E3982" s="22"/>
      <c r="F3982" s="22"/>
      <c r="G3982" s="22"/>
      <c r="H3982" s="22"/>
      <c r="I3982" s="22"/>
      <c r="J3982" s="22"/>
      <c r="K3982" s="22"/>
      <c r="L3982" s="22"/>
      <c r="M3982" s="22"/>
      <c r="N3982" s="22"/>
      <c r="O3982" s="22"/>
      <c r="P3982" s="22"/>
      <c r="Q3982" s="22"/>
      <c r="R3982" s="22"/>
      <c r="S3982" s="22"/>
      <c r="T3982" s="22"/>
      <c r="U3982" s="22"/>
      <c r="V3982" s="22"/>
      <c r="W3982" s="22"/>
      <c r="X3982" s="22"/>
    </row>
    <row r="3983" spans="1:24" x14ac:dyDescent="0.25">
      <c r="A3983" s="22"/>
      <c r="B3983" s="22"/>
      <c r="C3983" s="22"/>
      <c r="D3983" s="22"/>
      <c r="E3983" s="22"/>
      <c r="F3983" s="22"/>
      <c r="G3983" s="22"/>
      <c r="H3983" s="22"/>
      <c r="I3983" s="22"/>
      <c r="J3983" s="22"/>
      <c r="K3983" s="22"/>
      <c r="L3983" s="22"/>
      <c r="M3983" s="22"/>
      <c r="N3983" s="22"/>
      <c r="O3983" s="22"/>
      <c r="P3983" s="22"/>
      <c r="Q3983" s="22"/>
      <c r="R3983" s="22"/>
      <c r="S3983" s="22"/>
      <c r="T3983" s="22"/>
      <c r="U3983" s="22"/>
      <c r="V3983" s="22"/>
      <c r="W3983" s="22"/>
      <c r="X3983" s="22"/>
    </row>
    <row r="3984" spans="1:24" x14ac:dyDescent="0.25">
      <c r="A3984" s="22"/>
      <c r="B3984" s="22"/>
      <c r="C3984" s="22"/>
      <c r="D3984" s="22"/>
      <c r="E3984" s="22"/>
      <c r="F3984" s="22"/>
      <c r="G3984" s="22"/>
      <c r="H3984" s="22"/>
      <c r="I3984" s="22"/>
      <c r="J3984" s="22"/>
      <c r="K3984" s="22"/>
      <c r="L3984" s="22"/>
      <c r="M3984" s="22"/>
      <c r="N3984" s="22"/>
      <c r="O3984" s="22"/>
      <c r="P3984" s="22"/>
      <c r="Q3984" s="22"/>
      <c r="R3984" s="22"/>
      <c r="S3984" s="22"/>
      <c r="T3984" s="22"/>
      <c r="U3984" s="22"/>
      <c r="V3984" s="22"/>
      <c r="W3984" s="22"/>
      <c r="X3984" s="22"/>
    </row>
    <row r="3985" spans="1:24" x14ac:dyDescent="0.25">
      <c r="A3985" s="22"/>
      <c r="B3985" s="22"/>
      <c r="C3985" s="22"/>
      <c r="D3985" s="22"/>
      <c r="E3985" s="22"/>
      <c r="F3985" s="22"/>
      <c r="G3985" s="22"/>
      <c r="H3985" s="22"/>
      <c r="I3985" s="22"/>
      <c r="J3985" s="22"/>
      <c r="K3985" s="22"/>
      <c r="L3985" s="22"/>
      <c r="M3985" s="22"/>
      <c r="N3985" s="22"/>
      <c r="O3985" s="22"/>
      <c r="P3985" s="22"/>
      <c r="Q3985" s="22"/>
      <c r="R3985" s="22"/>
      <c r="S3985" s="22"/>
      <c r="T3985" s="22"/>
      <c r="U3985" s="22"/>
      <c r="V3985" s="22"/>
      <c r="W3985" s="22"/>
      <c r="X3985" s="22"/>
    </row>
    <row r="3986" spans="1:24" x14ac:dyDescent="0.25">
      <c r="A3986" s="22"/>
      <c r="B3986" s="22"/>
      <c r="C3986" s="22"/>
      <c r="D3986" s="22"/>
      <c r="E3986" s="22"/>
      <c r="F3986" s="22"/>
      <c r="G3986" s="22"/>
      <c r="H3986" s="22"/>
      <c r="I3986" s="22"/>
      <c r="J3986" s="22"/>
      <c r="K3986" s="22"/>
      <c r="L3986" s="22"/>
      <c r="M3986" s="22"/>
      <c r="N3986" s="22"/>
      <c r="O3986" s="22"/>
      <c r="P3986" s="22"/>
      <c r="Q3986" s="22"/>
      <c r="R3986" s="22"/>
      <c r="S3986" s="22"/>
      <c r="T3986" s="22"/>
      <c r="U3986" s="22"/>
      <c r="V3986" s="22"/>
      <c r="W3986" s="22"/>
      <c r="X3986" s="22"/>
    </row>
    <row r="3987" spans="1:24" x14ac:dyDescent="0.25">
      <c r="A3987" s="22"/>
      <c r="B3987" s="22"/>
      <c r="C3987" s="22"/>
      <c r="D3987" s="22"/>
      <c r="E3987" s="22"/>
      <c r="F3987" s="22"/>
      <c r="G3987" s="22"/>
      <c r="H3987" s="22"/>
      <c r="I3987" s="22"/>
      <c r="J3987" s="22"/>
      <c r="K3987" s="22"/>
      <c r="L3987" s="22"/>
      <c r="M3987" s="22"/>
      <c r="N3987" s="22"/>
      <c r="O3987" s="22"/>
      <c r="P3987" s="22"/>
      <c r="Q3987" s="22"/>
      <c r="R3987" s="22"/>
      <c r="S3987" s="22"/>
      <c r="T3987" s="22"/>
      <c r="U3987" s="22"/>
      <c r="V3987" s="22"/>
      <c r="W3987" s="22"/>
      <c r="X3987" s="22"/>
    </row>
    <row r="3988" spans="1:24" x14ac:dyDescent="0.25">
      <c r="A3988" s="22"/>
      <c r="B3988" s="22"/>
      <c r="C3988" s="22"/>
      <c r="D3988" s="22"/>
      <c r="E3988" s="22"/>
      <c r="F3988" s="22"/>
      <c r="G3988" s="22"/>
      <c r="H3988" s="22"/>
      <c r="I3988" s="22"/>
      <c r="J3988" s="22"/>
      <c r="K3988" s="22"/>
      <c r="L3988" s="22"/>
      <c r="M3988" s="22"/>
      <c r="N3988" s="22"/>
      <c r="O3988" s="22"/>
      <c r="P3988" s="22"/>
      <c r="Q3988" s="22"/>
      <c r="R3988" s="22"/>
      <c r="S3988" s="22"/>
      <c r="T3988" s="22"/>
      <c r="U3988" s="22"/>
      <c r="V3988" s="22"/>
      <c r="W3988" s="22"/>
      <c r="X3988" s="22"/>
    </row>
    <row r="3989" spans="1:24" x14ac:dyDescent="0.25">
      <c r="A3989" s="22"/>
      <c r="B3989" s="22"/>
      <c r="C3989" s="22"/>
      <c r="D3989" s="22"/>
      <c r="E3989" s="22"/>
      <c r="F3989" s="22"/>
      <c r="G3989" s="22"/>
      <c r="H3989" s="22"/>
      <c r="I3989" s="22"/>
      <c r="J3989" s="22"/>
      <c r="K3989" s="22"/>
      <c r="L3989" s="22"/>
      <c r="M3989" s="22"/>
      <c r="N3989" s="22"/>
      <c r="O3989" s="22"/>
      <c r="P3989" s="22"/>
      <c r="Q3989" s="22"/>
      <c r="R3989" s="22"/>
      <c r="S3989" s="22"/>
      <c r="T3989" s="22"/>
      <c r="U3989" s="22"/>
      <c r="V3989" s="22"/>
      <c r="W3989" s="22"/>
      <c r="X3989" s="22"/>
    </row>
    <row r="3990" spans="1:24" x14ac:dyDescent="0.25">
      <c r="A3990" s="22"/>
      <c r="B3990" s="22"/>
      <c r="C3990" s="22"/>
      <c r="D3990" s="22"/>
      <c r="E3990" s="22"/>
      <c r="F3990" s="22"/>
      <c r="G3990" s="22"/>
      <c r="H3990" s="22"/>
      <c r="I3990" s="22"/>
      <c r="J3990" s="22"/>
      <c r="K3990" s="22"/>
      <c r="L3990" s="22"/>
      <c r="M3990" s="22"/>
      <c r="N3990" s="22"/>
      <c r="O3990" s="22"/>
      <c r="P3990" s="22"/>
      <c r="Q3990" s="22"/>
      <c r="R3990" s="22"/>
      <c r="S3990" s="22"/>
      <c r="T3990" s="22"/>
      <c r="U3990" s="22"/>
      <c r="V3990" s="22"/>
      <c r="W3990" s="22"/>
      <c r="X3990" s="22"/>
    </row>
    <row r="3991" spans="1:24" x14ac:dyDescent="0.25">
      <c r="A3991" s="22"/>
      <c r="B3991" s="22"/>
      <c r="C3991" s="22"/>
      <c r="D3991" s="22"/>
      <c r="E3991" s="22"/>
      <c r="F3991" s="22"/>
      <c r="G3991" s="22"/>
      <c r="H3991" s="22"/>
      <c r="I3991" s="22"/>
      <c r="J3991" s="22"/>
      <c r="K3991" s="22"/>
      <c r="L3991" s="22"/>
      <c r="M3991" s="22"/>
      <c r="N3991" s="22"/>
      <c r="O3991" s="22"/>
      <c r="P3991" s="22"/>
      <c r="Q3991" s="22"/>
      <c r="R3991" s="22"/>
      <c r="S3991" s="22"/>
      <c r="T3991" s="22"/>
      <c r="U3991" s="22"/>
      <c r="V3991" s="22"/>
      <c r="W3991" s="22"/>
      <c r="X3991" s="22"/>
    </row>
    <row r="3992" spans="1:24" x14ac:dyDescent="0.25">
      <c r="A3992" s="22"/>
      <c r="B3992" s="22"/>
      <c r="C3992" s="22"/>
      <c r="D3992" s="22"/>
      <c r="E3992" s="22"/>
      <c r="F3992" s="22"/>
      <c r="G3992" s="22"/>
      <c r="H3992" s="22"/>
      <c r="I3992" s="22"/>
      <c r="J3992" s="22"/>
      <c r="K3992" s="22"/>
      <c r="L3992" s="22"/>
      <c r="M3992" s="22"/>
      <c r="N3992" s="22"/>
      <c r="O3992" s="22"/>
      <c r="P3992" s="22"/>
      <c r="Q3992" s="22"/>
      <c r="R3992" s="22"/>
      <c r="S3992" s="22"/>
      <c r="T3992" s="22"/>
      <c r="U3992" s="22"/>
      <c r="V3992" s="22"/>
      <c r="W3992" s="22"/>
      <c r="X3992" s="22"/>
    </row>
    <row r="3993" spans="1:24" x14ac:dyDescent="0.25">
      <c r="A3993" s="22"/>
      <c r="B3993" s="22"/>
      <c r="C3993" s="22"/>
      <c r="D3993" s="22"/>
      <c r="E3993" s="22"/>
      <c r="F3993" s="22"/>
      <c r="G3993" s="22"/>
      <c r="H3993" s="22"/>
      <c r="I3993" s="22"/>
      <c r="J3993" s="22"/>
      <c r="K3993" s="22"/>
      <c r="L3993" s="22"/>
      <c r="M3993" s="22"/>
      <c r="N3993" s="22"/>
      <c r="O3993" s="22"/>
      <c r="P3993" s="22"/>
      <c r="Q3993" s="22"/>
      <c r="R3993" s="22"/>
      <c r="S3993" s="22"/>
      <c r="T3993" s="22"/>
      <c r="U3993" s="22"/>
      <c r="V3993" s="22"/>
      <c r="W3993" s="22"/>
      <c r="X3993" s="22"/>
    </row>
    <row r="3994" spans="1:24" x14ac:dyDescent="0.25">
      <c r="A3994" s="22"/>
      <c r="B3994" s="22"/>
      <c r="C3994" s="22"/>
      <c r="D3994" s="22"/>
      <c r="E3994" s="22"/>
      <c r="F3994" s="22"/>
      <c r="G3994" s="22"/>
      <c r="H3994" s="22"/>
      <c r="I3994" s="22"/>
      <c r="J3994" s="22"/>
      <c r="K3994" s="22"/>
      <c r="L3994" s="22"/>
      <c r="M3994" s="22"/>
      <c r="N3994" s="22"/>
      <c r="O3994" s="22"/>
      <c r="P3994" s="22"/>
      <c r="Q3994" s="22"/>
      <c r="R3994" s="22"/>
      <c r="S3994" s="22"/>
      <c r="T3994" s="22"/>
      <c r="U3994" s="22"/>
      <c r="V3994" s="22"/>
      <c r="W3994" s="22"/>
      <c r="X3994" s="22"/>
    </row>
    <row r="3995" spans="1:24" x14ac:dyDescent="0.25">
      <c r="A3995" s="22"/>
      <c r="B3995" s="22"/>
      <c r="C3995" s="22"/>
      <c r="D3995" s="22"/>
      <c r="E3995" s="22"/>
      <c r="F3995" s="22"/>
      <c r="G3995" s="22"/>
      <c r="H3995" s="22"/>
      <c r="I3995" s="22"/>
      <c r="J3995" s="22"/>
      <c r="K3995" s="22"/>
      <c r="L3995" s="22"/>
      <c r="M3995" s="22"/>
      <c r="N3995" s="22"/>
      <c r="O3995" s="22"/>
      <c r="P3995" s="22"/>
      <c r="Q3995" s="22"/>
      <c r="R3995" s="22"/>
      <c r="S3995" s="22"/>
      <c r="T3995" s="22"/>
      <c r="U3995" s="22"/>
      <c r="V3995" s="22"/>
      <c r="W3995" s="22"/>
      <c r="X3995" s="22"/>
    </row>
    <row r="3996" spans="1:24" x14ac:dyDescent="0.25">
      <c r="A3996" s="22"/>
      <c r="B3996" s="22"/>
      <c r="C3996" s="22"/>
      <c r="D3996" s="22"/>
      <c r="E3996" s="22"/>
      <c r="F3996" s="22"/>
      <c r="G3996" s="22"/>
      <c r="H3996" s="22"/>
      <c r="I3996" s="22"/>
      <c r="J3996" s="22"/>
      <c r="K3996" s="22"/>
      <c r="L3996" s="22"/>
      <c r="M3996" s="22"/>
      <c r="N3996" s="22"/>
      <c r="O3996" s="22"/>
      <c r="P3996" s="22"/>
      <c r="Q3996" s="22"/>
      <c r="R3996" s="22"/>
      <c r="S3996" s="22"/>
      <c r="T3996" s="22"/>
      <c r="U3996" s="22"/>
      <c r="V3996" s="22"/>
      <c r="W3996" s="22"/>
      <c r="X3996" s="22"/>
    </row>
    <row r="3997" spans="1:24" x14ac:dyDescent="0.25">
      <c r="A3997" s="22"/>
      <c r="B3997" s="22"/>
      <c r="C3997" s="22"/>
      <c r="D3997" s="22"/>
      <c r="E3997" s="22"/>
      <c r="F3997" s="22"/>
      <c r="G3997" s="22"/>
      <c r="H3997" s="22"/>
      <c r="I3997" s="22"/>
      <c r="J3997" s="22"/>
      <c r="K3997" s="22"/>
      <c r="L3997" s="22"/>
      <c r="M3997" s="22"/>
      <c r="N3997" s="22"/>
      <c r="O3997" s="22"/>
      <c r="P3997" s="22"/>
      <c r="Q3997" s="22"/>
      <c r="R3997" s="22"/>
      <c r="S3997" s="22"/>
      <c r="T3997" s="22"/>
      <c r="U3997" s="22"/>
      <c r="V3997" s="22"/>
      <c r="W3997" s="22"/>
      <c r="X3997" s="22"/>
    </row>
    <row r="3998" spans="1:24" x14ac:dyDescent="0.25">
      <c r="A3998" s="22"/>
      <c r="B3998" s="22"/>
      <c r="C3998" s="22"/>
      <c r="D3998" s="22"/>
      <c r="E3998" s="22"/>
      <c r="F3998" s="22"/>
      <c r="G3998" s="22"/>
      <c r="H3998" s="22"/>
      <c r="I3998" s="22"/>
      <c r="J3998" s="22"/>
      <c r="K3998" s="22"/>
      <c r="L3998" s="22"/>
      <c r="M3998" s="22"/>
      <c r="N3998" s="22"/>
      <c r="O3998" s="22"/>
      <c r="P3998" s="22"/>
      <c r="Q3998" s="22"/>
      <c r="R3998" s="22"/>
      <c r="S3998" s="22"/>
      <c r="T3998" s="22"/>
      <c r="U3998" s="22"/>
      <c r="V3998" s="22"/>
      <c r="W3998" s="22"/>
      <c r="X3998" s="22"/>
    </row>
    <row r="3999" spans="1:24" x14ac:dyDescent="0.25">
      <c r="A3999" s="22"/>
      <c r="B3999" s="22"/>
      <c r="C3999" s="22"/>
      <c r="D3999" s="22"/>
      <c r="E3999" s="22"/>
      <c r="F3999" s="22"/>
      <c r="G3999" s="22"/>
      <c r="H3999" s="22"/>
      <c r="I3999" s="22"/>
      <c r="J3999" s="22"/>
      <c r="K3999" s="22"/>
      <c r="L3999" s="22"/>
      <c r="M3999" s="22"/>
      <c r="N3999" s="22"/>
      <c r="O3999" s="22"/>
      <c r="P3999" s="22"/>
      <c r="Q3999" s="22"/>
      <c r="R3999" s="22"/>
      <c r="S3999" s="22"/>
      <c r="T3999" s="22"/>
      <c r="U3999" s="22"/>
      <c r="V3999" s="22"/>
      <c r="W3999" s="22"/>
      <c r="X3999" s="22"/>
    </row>
    <row r="4000" spans="1:24" x14ac:dyDescent="0.25">
      <c r="A4000" s="22"/>
      <c r="B4000" s="22"/>
      <c r="C4000" s="22"/>
      <c r="D4000" s="22"/>
      <c r="E4000" s="22"/>
      <c r="F4000" s="22"/>
      <c r="G4000" s="22"/>
      <c r="H4000" s="22"/>
      <c r="I4000" s="22"/>
      <c r="J4000" s="22"/>
      <c r="K4000" s="22"/>
      <c r="L4000" s="22"/>
      <c r="M4000" s="22"/>
      <c r="N4000" s="22"/>
      <c r="O4000" s="22"/>
      <c r="P4000" s="22"/>
      <c r="Q4000" s="22"/>
      <c r="R4000" s="22"/>
      <c r="S4000" s="22"/>
      <c r="T4000" s="22"/>
      <c r="U4000" s="22"/>
      <c r="V4000" s="22"/>
      <c r="W4000" s="22"/>
      <c r="X4000" s="22"/>
    </row>
    <row r="4001" spans="1:24" x14ac:dyDescent="0.25">
      <c r="A4001" s="22"/>
      <c r="B4001" s="22"/>
      <c r="C4001" s="22"/>
      <c r="D4001" s="22"/>
      <c r="E4001" s="22"/>
      <c r="F4001" s="22"/>
      <c r="G4001" s="22"/>
      <c r="H4001" s="22"/>
      <c r="I4001" s="22"/>
      <c r="J4001" s="22"/>
      <c r="K4001" s="22"/>
      <c r="L4001" s="22"/>
      <c r="M4001" s="22"/>
      <c r="N4001" s="22"/>
      <c r="O4001" s="22"/>
      <c r="P4001" s="22"/>
      <c r="Q4001" s="22"/>
      <c r="R4001" s="22"/>
      <c r="S4001" s="22"/>
      <c r="T4001" s="22"/>
      <c r="U4001" s="22"/>
      <c r="V4001" s="22"/>
      <c r="W4001" s="22"/>
      <c r="X4001" s="22"/>
    </row>
    <row r="4002" spans="1:24" x14ac:dyDescent="0.25">
      <c r="A4002" s="22"/>
      <c r="B4002" s="22"/>
      <c r="C4002" s="22"/>
      <c r="D4002" s="22"/>
      <c r="E4002" s="22"/>
      <c r="F4002" s="22"/>
      <c r="G4002" s="22"/>
      <c r="H4002" s="22"/>
      <c r="I4002" s="22"/>
      <c r="J4002" s="22"/>
      <c r="K4002" s="22"/>
      <c r="L4002" s="22"/>
      <c r="M4002" s="22"/>
      <c r="N4002" s="22"/>
      <c r="O4002" s="22"/>
      <c r="P4002" s="22"/>
      <c r="Q4002" s="22"/>
      <c r="R4002" s="22"/>
      <c r="S4002" s="22"/>
      <c r="T4002" s="22"/>
      <c r="U4002" s="22"/>
      <c r="V4002" s="22"/>
      <c r="W4002" s="22"/>
      <c r="X4002" s="22"/>
    </row>
    <row r="4003" spans="1:24" x14ac:dyDescent="0.25">
      <c r="A4003" s="22"/>
      <c r="B4003" s="22"/>
      <c r="C4003" s="22"/>
      <c r="D4003" s="22"/>
      <c r="E4003" s="22"/>
      <c r="F4003" s="22"/>
      <c r="G4003" s="22"/>
      <c r="H4003" s="22"/>
      <c r="I4003" s="22"/>
      <c r="J4003" s="22"/>
      <c r="K4003" s="22"/>
      <c r="L4003" s="22"/>
      <c r="M4003" s="22"/>
      <c r="N4003" s="22"/>
      <c r="O4003" s="22"/>
      <c r="P4003" s="22"/>
      <c r="Q4003" s="22"/>
      <c r="R4003" s="22"/>
      <c r="S4003" s="22"/>
      <c r="T4003" s="22"/>
      <c r="U4003" s="22"/>
      <c r="V4003" s="22"/>
      <c r="W4003" s="22"/>
      <c r="X4003" s="22"/>
    </row>
    <row r="4004" spans="1:24" x14ac:dyDescent="0.25">
      <c r="A4004" s="22"/>
      <c r="B4004" s="22"/>
      <c r="C4004" s="22"/>
      <c r="D4004" s="22"/>
      <c r="E4004" s="22"/>
      <c r="F4004" s="22"/>
      <c r="G4004" s="22"/>
      <c r="H4004" s="22"/>
      <c r="I4004" s="22"/>
      <c r="J4004" s="22"/>
      <c r="K4004" s="22"/>
      <c r="L4004" s="22"/>
      <c r="M4004" s="22"/>
      <c r="N4004" s="22"/>
      <c r="O4004" s="22"/>
      <c r="P4004" s="22"/>
      <c r="Q4004" s="22"/>
      <c r="R4004" s="22"/>
      <c r="S4004" s="22"/>
      <c r="T4004" s="22"/>
      <c r="U4004" s="22"/>
      <c r="V4004" s="22"/>
      <c r="W4004" s="22"/>
      <c r="X4004" s="22"/>
    </row>
    <row r="4005" spans="1:24" x14ac:dyDescent="0.25">
      <c r="A4005" s="22"/>
      <c r="B4005" s="22"/>
      <c r="C4005" s="22"/>
      <c r="D4005" s="22"/>
      <c r="E4005" s="22"/>
      <c r="F4005" s="22"/>
      <c r="G4005" s="22"/>
      <c r="H4005" s="22"/>
      <c r="I4005" s="22"/>
      <c r="J4005" s="22"/>
      <c r="K4005" s="22"/>
      <c r="L4005" s="22"/>
      <c r="M4005" s="22"/>
      <c r="N4005" s="22"/>
      <c r="O4005" s="22"/>
      <c r="P4005" s="22"/>
      <c r="Q4005" s="22"/>
      <c r="R4005" s="22"/>
      <c r="S4005" s="22"/>
      <c r="T4005" s="22"/>
      <c r="U4005" s="22"/>
      <c r="V4005" s="22"/>
      <c r="W4005" s="22"/>
      <c r="X4005" s="22"/>
    </row>
    <row r="4006" spans="1:24" x14ac:dyDescent="0.25">
      <c r="A4006" s="22"/>
      <c r="B4006" s="22"/>
      <c r="C4006" s="22"/>
      <c r="D4006" s="22"/>
      <c r="E4006" s="22"/>
      <c r="F4006" s="22"/>
      <c r="G4006" s="22"/>
      <c r="H4006" s="22"/>
      <c r="I4006" s="22"/>
      <c r="J4006" s="22"/>
      <c r="K4006" s="22"/>
      <c r="L4006" s="22"/>
      <c r="M4006" s="22"/>
      <c r="N4006" s="22"/>
      <c r="O4006" s="22"/>
      <c r="P4006" s="22"/>
      <c r="Q4006" s="22"/>
      <c r="R4006" s="22"/>
      <c r="S4006" s="22"/>
      <c r="T4006" s="22"/>
      <c r="U4006" s="22"/>
      <c r="V4006" s="22"/>
      <c r="W4006" s="22"/>
      <c r="X4006" s="22"/>
    </row>
    <row r="4007" spans="1:24" x14ac:dyDescent="0.25">
      <c r="A4007" s="22"/>
      <c r="B4007" s="22"/>
      <c r="C4007" s="22"/>
      <c r="D4007" s="22"/>
      <c r="E4007" s="22"/>
      <c r="F4007" s="22"/>
      <c r="G4007" s="22"/>
      <c r="H4007" s="22"/>
      <c r="I4007" s="22"/>
      <c r="J4007" s="22"/>
      <c r="K4007" s="22"/>
      <c r="L4007" s="22"/>
      <c r="M4007" s="22"/>
      <c r="N4007" s="22"/>
      <c r="O4007" s="22"/>
      <c r="P4007" s="22"/>
      <c r="Q4007" s="22"/>
      <c r="R4007" s="22"/>
      <c r="S4007" s="22"/>
      <c r="T4007" s="22"/>
      <c r="U4007" s="22"/>
      <c r="V4007" s="22"/>
      <c r="W4007" s="22"/>
      <c r="X4007" s="22"/>
    </row>
    <row r="4008" spans="1:24" x14ac:dyDescent="0.25">
      <c r="A4008" s="22"/>
      <c r="B4008" s="22"/>
      <c r="C4008" s="22"/>
      <c r="D4008" s="22"/>
      <c r="E4008" s="22"/>
      <c r="F4008" s="22"/>
      <c r="G4008" s="22"/>
      <c r="H4008" s="22"/>
      <c r="I4008" s="22"/>
      <c r="J4008" s="22"/>
      <c r="K4008" s="22"/>
      <c r="L4008" s="22"/>
      <c r="M4008" s="22"/>
      <c r="N4008" s="22"/>
      <c r="O4008" s="22"/>
      <c r="P4008" s="22"/>
      <c r="Q4008" s="22"/>
      <c r="R4008" s="22"/>
      <c r="S4008" s="22"/>
      <c r="T4008" s="22"/>
      <c r="U4008" s="22"/>
      <c r="V4008" s="22"/>
      <c r="W4008" s="22"/>
      <c r="X4008" s="22"/>
    </row>
    <row r="4009" spans="1:24" x14ac:dyDescent="0.25">
      <c r="A4009" s="22"/>
      <c r="B4009" s="22"/>
      <c r="C4009" s="22"/>
      <c r="D4009" s="22"/>
      <c r="E4009" s="22"/>
      <c r="F4009" s="22"/>
      <c r="G4009" s="22"/>
      <c r="H4009" s="22"/>
      <c r="I4009" s="22"/>
      <c r="J4009" s="22"/>
      <c r="K4009" s="22"/>
      <c r="L4009" s="22"/>
      <c r="M4009" s="22"/>
      <c r="N4009" s="22"/>
      <c r="O4009" s="22"/>
      <c r="P4009" s="22"/>
      <c r="Q4009" s="22"/>
      <c r="R4009" s="22"/>
      <c r="S4009" s="22"/>
      <c r="T4009" s="22"/>
      <c r="U4009" s="22"/>
      <c r="V4009" s="22"/>
      <c r="W4009" s="22"/>
      <c r="X4009" s="22"/>
    </row>
    <row r="4010" spans="1:24" x14ac:dyDescent="0.25">
      <c r="A4010" s="22"/>
      <c r="B4010" s="22"/>
      <c r="C4010" s="22"/>
      <c r="D4010" s="22"/>
      <c r="E4010" s="22"/>
      <c r="F4010" s="22"/>
      <c r="G4010" s="22"/>
      <c r="H4010" s="22"/>
      <c r="I4010" s="22"/>
      <c r="J4010" s="22"/>
      <c r="K4010" s="22"/>
      <c r="L4010" s="22"/>
      <c r="M4010" s="22"/>
      <c r="N4010" s="22"/>
      <c r="O4010" s="22"/>
      <c r="P4010" s="22"/>
      <c r="Q4010" s="22"/>
      <c r="R4010" s="22"/>
      <c r="S4010" s="22"/>
      <c r="T4010" s="22"/>
      <c r="U4010" s="22"/>
      <c r="V4010" s="22"/>
      <c r="W4010" s="22"/>
      <c r="X4010" s="22"/>
    </row>
    <row r="4011" spans="1:24" x14ac:dyDescent="0.25">
      <c r="A4011" s="22"/>
      <c r="B4011" s="22"/>
      <c r="C4011" s="22"/>
      <c r="D4011" s="22"/>
      <c r="E4011" s="22"/>
      <c r="F4011" s="22"/>
      <c r="G4011" s="22"/>
      <c r="H4011" s="22"/>
      <c r="I4011" s="22"/>
      <c r="J4011" s="22"/>
      <c r="K4011" s="22"/>
      <c r="L4011" s="22"/>
      <c r="M4011" s="22"/>
      <c r="N4011" s="22"/>
      <c r="O4011" s="22"/>
      <c r="P4011" s="22"/>
      <c r="Q4011" s="22"/>
      <c r="R4011" s="22"/>
      <c r="S4011" s="22"/>
      <c r="T4011" s="22"/>
      <c r="U4011" s="22"/>
      <c r="V4011" s="22"/>
      <c r="W4011" s="22"/>
      <c r="X4011" s="22"/>
    </row>
    <row r="4012" spans="1:24" x14ac:dyDescent="0.25">
      <c r="A4012" s="22"/>
      <c r="B4012" s="22"/>
      <c r="C4012" s="22"/>
      <c r="D4012" s="22"/>
      <c r="E4012" s="22"/>
      <c r="F4012" s="22"/>
      <c r="G4012" s="22"/>
      <c r="H4012" s="22"/>
      <c r="I4012" s="22"/>
      <c r="J4012" s="22"/>
      <c r="K4012" s="22"/>
      <c r="L4012" s="22"/>
      <c r="M4012" s="22"/>
      <c r="N4012" s="22"/>
      <c r="O4012" s="22"/>
      <c r="P4012" s="22"/>
      <c r="Q4012" s="22"/>
      <c r="R4012" s="22"/>
      <c r="S4012" s="22"/>
      <c r="T4012" s="22"/>
      <c r="U4012" s="22"/>
      <c r="V4012" s="22"/>
      <c r="W4012" s="22"/>
      <c r="X4012" s="22"/>
    </row>
    <row r="4013" spans="1:24" x14ac:dyDescent="0.25">
      <c r="A4013" s="22"/>
      <c r="B4013" s="22"/>
      <c r="C4013" s="22"/>
      <c r="D4013" s="22"/>
      <c r="E4013" s="22"/>
      <c r="F4013" s="22"/>
      <c r="G4013" s="22"/>
      <c r="H4013" s="22"/>
      <c r="I4013" s="22"/>
      <c r="J4013" s="22"/>
      <c r="K4013" s="22"/>
      <c r="L4013" s="22"/>
      <c r="M4013" s="22"/>
      <c r="N4013" s="22"/>
      <c r="O4013" s="22"/>
      <c r="P4013" s="22"/>
      <c r="Q4013" s="22"/>
      <c r="R4013" s="22"/>
      <c r="S4013" s="22"/>
      <c r="T4013" s="22"/>
      <c r="U4013" s="22"/>
      <c r="V4013" s="22"/>
      <c r="W4013" s="22"/>
      <c r="X4013" s="22"/>
    </row>
    <row r="4014" spans="1:24" x14ac:dyDescent="0.25">
      <c r="A4014" s="22"/>
      <c r="B4014" s="22"/>
      <c r="C4014" s="22"/>
      <c r="D4014" s="22"/>
      <c r="E4014" s="22"/>
      <c r="F4014" s="22"/>
      <c r="G4014" s="22"/>
      <c r="H4014" s="22"/>
      <c r="I4014" s="22"/>
      <c r="J4014" s="22"/>
      <c r="K4014" s="22"/>
      <c r="L4014" s="22"/>
      <c r="M4014" s="22"/>
      <c r="N4014" s="22"/>
      <c r="O4014" s="22"/>
      <c r="P4014" s="22"/>
      <c r="Q4014" s="22"/>
      <c r="R4014" s="22"/>
      <c r="S4014" s="22"/>
      <c r="T4014" s="22"/>
      <c r="U4014" s="22"/>
      <c r="V4014" s="22"/>
      <c r="W4014" s="22"/>
      <c r="X4014" s="22"/>
    </row>
    <row r="4015" spans="1:24" x14ac:dyDescent="0.25">
      <c r="A4015" s="22"/>
      <c r="B4015" s="22"/>
      <c r="C4015" s="22"/>
      <c r="D4015" s="22"/>
      <c r="E4015" s="22"/>
      <c r="F4015" s="22"/>
      <c r="G4015" s="22"/>
      <c r="H4015" s="22"/>
      <c r="I4015" s="22"/>
      <c r="J4015" s="22"/>
      <c r="K4015" s="22"/>
      <c r="L4015" s="22"/>
      <c r="M4015" s="22"/>
      <c r="N4015" s="22"/>
      <c r="O4015" s="22"/>
      <c r="P4015" s="22"/>
      <c r="Q4015" s="22"/>
      <c r="R4015" s="22"/>
      <c r="S4015" s="22"/>
      <c r="T4015" s="22"/>
      <c r="U4015" s="22"/>
      <c r="V4015" s="22"/>
      <c r="W4015" s="22"/>
      <c r="X4015" s="22"/>
    </row>
    <row r="4016" spans="1:24" x14ac:dyDescent="0.25">
      <c r="A4016" s="22"/>
      <c r="B4016" s="22"/>
      <c r="C4016" s="22"/>
      <c r="D4016" s="22"/>
      <c r="E4016" s="22"/>
      <c r="F4016" s="22"/>
      <c r="G4016" s="22"/>
      <c r="H4016" s="22"/>
      <c r="I4016" s="22"/>
      <c r="J4016" s="22"/>
      <c r="K4016" s="22"/>
      <c r="L4016" s="22"/>
      <c r="M4016" s="22"/>
      <c r="N4016" s="22"/>
      <c r="O4016" s="22"/>
      <c r="P4016" s="22"/>
      <c r="Q4016" s="22"/>
      <c r="R4016" s="22"/>
      <c r="S4016" s="22"/>
      <c r="T4016" s="22"/>
      <c r="U4016" s="22"/>
      <c r="V4016" s="22"/>
      <c r="W4016" s="22"/>
      <c r="X4016" s="22"/>
    </row>
    <row r="4017" spans="1:24" x14ac:dyDescent="0.25">
      <c r="A4017" s="22"/>
      <c r="B4017" s="22"/>
      <c r="C4017" s="22"/>
      <c r="D4017" s="22"/>
      <c r="E4017" s="22"/>
      <c r="F4017" s="22"/>
      <c r="G4017" s="22"/>
      <c r="H4017" s="22"/>
      <c r="I4017" s="22"/>
      <c r="J4017" s="22"/>
      <c r="K4017" s="22"/>
      <c r="L4017" s="22"/>
      <c r="M4017" s="22"/>
      <c r="N4017" s="22"/>
      <c r="O4017" s="22"/>
      <c r="P4017" s="22"/>
      <c r="Q4017" s="22"/>
      <c r="R4017" s="22"/>
      <c r="S4017" s="22"/>
      <c r="T4017" s="22"/>
      <c r="U4017" s="22"/>
      <c r="V4017" s="22"/>
      <c r="W4017" s="22"/>
      <c r="X4017" s="22"/>
    </row>
    <row r="4018" spans="1:24" x14ac:dyDescent="0.25">
      <c r="A4018" s="22"/>
      <c r="B4018" s="22"/>
      <c r="C4018" s="22"/>
      <c r="D4018" s="22"/>
      <c r="E4018" s="22"/>
      <c r="F4018" s="22"/>
      <c r="G4018" s="22"/>
      <c r="H4018" s="22"/>
      <c r="I4018" s="22"/>
      <c r="J4018" s="22"/>
      <c r="K4018" s="22"/>
      <c r="L4018" s="22"/>
      <c r="M4018" s="22"/>
      <c r="N4018" s="22"/>
      <c r="O4018" s="22"/>
      <c r="P4018" s="22"/>
      <c r="Q4018" s="22"/>
      <c r="R4018" s="22"/>
      <c r="S4018" s="22"/>
      <c r="T4018" s="22"/>
      <c r="U4018" s="22"/>
      <c r="V4018" s="22"/>
      <c r="W4018" s="22"/>
      <c r="X4018" s="22"/>
    </row>
    <row r="4019" spans="1:24" x14ac:dyDescent="0.25">
      <c r="A4019" s="22"/>
      <c r="B4019" s="22"/>
      <c r="C4019" s="22"/>
      <c r="D4019" s="22"/>
      <c r="E4019" s="22"/>
      <c r="F4019" s="22"/>
      <c r="G4019" s="22"/>
      <c r="H4019" s="22"/>
      <c r="I4019" s="22"/>
      <c r="J4019" s="22"/>
      <c r="K4019" s="22"/>
      <c r="L4019" s="22"/>
      <c r="M4019" s="22"/>
      <c r="N4019" s="22"/>
      <c r="O4019" s="22"/>
      <c r="P4019" s="22"/>
      <c r="Q4019" s="22"/>
      <c r="R4019" s="22"/>
      <c r="S4019" s="22"/>
      <c r="T4019" s="22"/>
      <c r="U4019" s="22"/>
      <c r="V4019" s="22"/>
      <c r="W4019" s="22"/>
      <c r="X4019" s="22"/>
    </row>
    <row r="4020" spans="1:24" x14ac:dyDescent="0.25">
      <c r="A4020" s="22"/>
      <c r="B4020" s="22"/>
      <c r="C4020" s="22"/>
      <c r="D4020" s="22"/>
      <c r="E4020" s="22"/>
      <c r="F4020" s="22"/>
      <c r="G4020" s="22"/>
      <c r="H4020" s="22"/>
      <c r="I4020" s="22"/>
      <c r="J4020" s="22"/>
      <c r="K4020" s="22"/>
      <c r="L4020" s="22"/>
      <c r="M4020" s="22"/>
      <c r="N4020" s="22"/>
      <c r="O4020" s="22"/>
      <c r="P4020" s="22"/>
      <c r="Q4020" s="22"/>
      <c r="R4020" s="22"/>
      <c r="S4020" s="22"/>
      <c r="T4020" s="22"/>
      <c r="U4020" s="22"/>
      <c r="V4020" s="22"/>
      <c r="W4020" s="22"/>
      <c r="X4020" s="22"/>
    </row>
    <row r="4021" spans="1:24" x14ac:dyDescent="0.25">
      <c r="A4021" s="22"/>
      <c r="B4021" s="22"/>
      <c r="C4021" s="22"/>
      <c r="D4021" s="22"/>
      <c r="E4021" s="22"/>
      <c r="F4021" s="22"/>
      <c r="G4021" s="22"/>
      <c r="H4021" s="22"/>
      <c r="I4021" s="22"/>
      <c r="J4021" s="22"/>
      <c r="K4021" s="22"/>
      <c r="L4021" s="22"/>
      <c r="M4021" s="22"/>
      <c r="N4021" s="22"/>
      <c r="O4021" s="22"/>
      <c r="P4021" s="22"/>
      <c r="Q4021" s="22"/>
      <c r="R4021" s="22"/>
      <c r="S4021" s="22"/>
      <c r="T4021" s="22"/>
      <c r="U4021" s="22"/>
      <c r="V4021" s="22"/>
      <c r="W4021" s="22"/>
      <c r="X4021" s="22"/>
    </row>
    <row r="4022" spans="1:24" x14ac:dyDescent="0.25">
      <c r="A4022" s="22"/>
      <c r="B4022" s="22"/>
      <c r="C4022" s="22"/>
      <c r="D4022" s="22"/>
      <c r="E4022" s="22"/>
      <c r="F4022" s="22"/>
      <c r="G4022" s="22"/>
      <c r="H4022" s="22"/>
      <c r="I4022" s="22"/>
      <c r="J4022" s="22"/>
      <c r="K4022" s="22"/>
      <c r="L4022" s="22"/>
      <c r="M4022" s="22"/>
      <c r="N4022" s="22"/>
      <c r="O4022" s="22"/>
      <c r="P4022" s="22"/>
      <c r="Q4022" s="22"/>
      <c r="R4022" s="22"/>
      <c r="S4022" s="22"/>
      <c r="T4022" s="22"/>
      <c r="U4022" s="22"/>
      <c r="V4022" s="22"/>
      <c r="W4022" s="22"/>
      <c r="X4022" s="22"/>
    </row>
    <row r="4023" spans="1:24" x14ac:dyDescent="0.25">
      <c r="A4023" s="22"/>
      <c r="B4023" s="22"/>
      <c r="C4023" s="22"/>
      <c r="D4023" s="22"/>
      <c r="E4023" s="22"/>
      <c r="F4023" s="22"/>
      <c r="G4023" s="22"/>
      <c r="H4023" s="22"/>
      <c r="I4023" s="22"/>
      <c r="J4023" s="22"/>
      <c r="K4023" s="22"/>
      <c r="L4023" s="22"/>
      <c r="M4023" s="22"/>
      <c r="N4023" s="22"/>
      <c r="O4023" s="22"/>
      <c r="P4023" s="22"/>
      <c r="Q4023" s="22"/>
      <c r="R4023" s="22"/>
      <c r="S4023" s="22"/>
      <c r="T4023" s="22"/>
      <c r="U4023" s="22"/>
      <c r="V4023" s="22"/>
      <c r="W4023" s="22"/>
      <c r="X4023" s="22"/>
    </row>
    <row r="4024" spans="1:24" x14ac:dyDescent="0.25">
      <c r="A4024" s="22"/>
      <c r="B4024" s="22"/>
      <c r="C4024" s="22"/>
      <c r="D4024" s="22"/>
      <c r="E4024" s="22"/>
      <c r="F4024" s="22"/>
      <c r="G4024" s="22"/>
      <c r="H4024" s="22"/>
      <c r="I4024" s="22"/>
      <c r="J4024" s="22"/>
      <c r="K4024" s="22"/>
      <c r="L4024" s="22"/>
      <c r="M4024" s="22"/>
      <c r="N4024" s="22"/>
      <c r="O4024" s="22"/>
      <c r="P4024" s="22"/>
      <c r="Q4024" s="22"/>
      <c r="R4024" s="22"/>
      <c r="S4024" s="22"/>
      <c r="T4024" s="22"/>
      <c r="U4024" s="22"/>
      <c r="V4024" s="22"/>
      <c r="W4024" s="22"/>
      <c r="X4024" s="22"/>
    </row>
    <row r="4025" spans="1:24" x14ac:dyDescent="0.25">
      <c r="A4025" s="22"/>
      <c r="B4025" s="22"/>
      <c r="C4025" s="22"/>
      <c r="D4025" s="22"/>
      <c r="E4025" s="22"/>
      <c r="F4025" s="22"/>
      <c r="G4025" s="22"/>
      <c r="H4025" s="22"/>
      <c r="I4025" s="22"/>
      <c r="J4025" s="22"/>
      <c r="K4025" s="22"/>
      <c r="L4025" s="22"/>
      <c r="M4025" s="22"/>
      <c r="N4025" s="22"/>
      <c r="O4025" s="22"/>
      <c r="P4025" s="22"/>
      <c r="Q4025" s="22"/>
      <c r="R4025" s="22"/>
      <c r="S4025" s="22"/>
      <c r="T4025" s="22"/>
      <c r="U4025" s="22"/>
      <c r="V4025" s="22"/>
      <c r="W4025" s="22"/>
      <c r="X4025" s="22"/>
    </row>
    <row r="4026" spans="1:24" x14ac:dyDescent="0.25">
      <c r="A4026" s="22"/>
      <c r="B4026" s="22"/>
      <c r="C4026" s="22"/>
      <c r="D4026" s="22"/>
      <c r="E4026" s="22"/>
      <c r="F4026" s="22"/>
      <c r="G4026" s="22"/>
      <c r="H4026" s="22"/>
      <c r="I4026" s="22"/>
      <c r="J4026" s="22"/>
      <c r="K4026" s="22"/>
      <c r="L4026" s="22"/>
      <c r="M4026" s="22"/>
      <c r="N4026" s="22"/>
      <c r="O4026" s="22"/>
      <c r="P4026" s="22"/>
      <c r="Q4026" s="22"/>
      <c r="R4026" s="22"/>
      <c r="S4026" s="22"/>
      <c r="T4026" s="22"/>
      <c r="U4026" s="22"/>
      <c r="V4026" s="22"/>
      <c r="W4026" s="22"/>
      <c r="X4026" s="22"/>
    </row>
    <row r="4027" spans="1:24" x14ac:dyDescent="0.25">
      <c r="A4027" s="22"/>
      <c r="B4027" s="22"/>
      <c r="C4027" s="22"/>
      <c r="D4027" s="22"/>
      <c r="E4027" s="22"/>
      <c r="F4027" s="22"/>
      <c r="G4027" s="22"/>
      <c r="H4027" s="22"/>
      <c r="I4027" s="22"/>
      <c r="J4027" s="22"/>
      <c r="K4027" s="22"/>
      <c r="L4027" s="22"/>
      <c r="M4027" s="22"/>
      <c r="N4027" s="22"/>
      <c r="O4027" s="22"/>
      <c r="P4027" s="22"/>
      <c r="Q4027" s="22"/>
      <c r="R4027" s="22"/>
      <c r="S4027" s="22"/>
      <c r="T4027" s="22"/>
      <c r="U4027" s="22"/>
      <c r="V4027" s="22"/>
      <c r="W4027" s="22"/>
      <c r="X4027" s="22"/>
    </row>
    <row r="4028" spans="1:24" x14ac:dyDescent="0.25">
      <c r="A4028" s="22"/>
      <c r="B4028" s="22"/>
      <c r="C4028" s="22"/>
      <c r="D4028" s="22"/>
      <c r="E4028" s="22"/>
      <c r="F4028" s="22"/>
      <c r="G4028" s="22"/>
      <c r="H4028" s="22"/>
      <c r="I4028" s="22"/>
      <c r="J4028" s="22"/>
      <c r="K4028" s="22"/>
      <c r="L4028" s="22"/>
      <c r="M4028" s="22"/>
      <c r="N4028" s="22"/>
      <c r="O4028" s="22"/>
      <c r="P4028" s="22"/>
      <c r="Q4028" s="22"/>
      <c r="R4028" s="22"/>
      <c r="S4028" s="22"/>
      <c r="T4028" s="22"/>
      <c r="U4028" s="22"/>
      <c r="V4028" s="22"/>
      <c r="W4028" s="22"/>
      <c r="X4028" s="22"/>
    </row>
    <row r="4029" spans="1:24" x14ac:dyDescent="0.25">
      <c r="A4029" s="22"/>
      <c r="B4029" s="22"/>
      <c r="C4029" s="22"/>
      <c r="D4029" s="22"/>
      <c r="E4029" s="22"/>
      <c r="F4029" s="22"/>
      <c r="G4029" s="22"/>
      <c r="H4029" s="22"/>
      <c r="I4029" s="22"/>
      <c r="J4029" s="22"/>
      <c r="K4029" s="22"/>
      <c r="L4029" s="22"/>
      <c r="M4029" s="22"/>
      <c r="N4029" s="22"/>
      <c r="O4029" s="22"/>
      <c r="P4029" s="22"/>
      <c r="Q4029" s="22"/>
      <c r="R4029" s="22"/>
      <c r="S4029" s="22"/>
      <c r="T4029" s="22"/>
      <c r="U4029" s="22"/>
      <c r="V4029" s="22"/>
      <c r="W4029" s="22"/>
      <c r="X4029" s="22"/>
    </row>
    <row r="4030" spans="1:24" x14ac:dyDescent="0.25">
      <c r="A4030" s="22"/>
      <c r="B4030" s="22"/>
      <c r="C4030" s="22"/>
      <c r="D4030" s="22"/>
      <c r="E4030" s="22"/>
      <c r="F4030" s="22"/>
      <c r="G4030" s="22"/>
      <c r="H4030" s="22"/>
      <c r="I4030" s="22"/>
      <c r="J4030" s="22"/>
      <c r="K4030" s="22"/>
      <c r="L4030" s="22"/>
      <c r="M4030" s="22"/>
      <c r="N4030" s="22"/>
      <c r="O4030" s="22"/>
      <c r="P4030" s="22"/>
      <c r="Q4030" s="22"/>
      <c r="R4030" s="22"/>
      <c r="S4030" s="22"/>
      <c r="T4030" s="22"/>
      <c r="U4030" s="22"/>
      <c r="V4030" s="22"/>
      <c r="W4030" s="22"/>
      <c r="X4030" s="22"/>
    </row>
    <row r="4031" spans="1:24" x14ac:dyDescent="0.25">
      <c r="A4031" s="22"/>
      <c r="B4031" s="22"/>
      <c r="C4031" s="22"/>
      <c r="D4031" s="22"/>
      <c r="E4031" s="22"/>
      <c r="F4031" s="22"/>
      <c r="G4031" s="22"/>
      <c r="H4031" s="22"/>
      <c r="I4031" s="22"/>
      <c r="J4031" s="22"/>
      <c r="K4031" s="22"/>
      <c r="L4031" s="22"/>
      <c r="M4031" s="22"/>
      <c r="N4031" s="22"/>
      <c r="O4031" s="22"/>
      <c r="P4031" s="22"/>
      <c r="Q4031" s="22"/>
      <c r="R4031" s="22"/>
      <c r="S4031" s="22"/>
      <c r="T4031" s="22"/>
      <c r="U4031" s="22"/>
      <c r="V4031" s="22"/>
      <c r="W4031" s="22"/>
      <c r="X4031" s="22"/>
    </row>
    <row r="4032" spans="1:24" x14ac:dyDescent="0.25">
      <c r="A4032" s="22"/>
      <c r="B4032" s="22"/>
      <c r="C4032" s="22"/>
      <c r="D4032" s="22"/>
      <c r="E4032" s="22"/>
      <c r="F4032" s="22"/>
      <c r="G4032" s="22"/>
      <c r="H4032" s="22"/>
      <c r="I4032" s="22"/>
      <c r="J4032" s="22"/>
      <c r="K4032" s="22"/>
      <c r="L4032" s="22"/>
      <c r="M4032" s="22"/>
      <c r="N4032" s="22"/>
      <c r="O4032" s="22"/>
      <c r="P4032" s="22"/>
      <c r="Q4032" s="22"/>
      <c r="R4032" s="22"/>
      <c r="S4032" s="22"/>
      <c r="T4032" s="22"/>
      <c r="U4032" s="22"/>
      <c r="V4032" s="22"/>
      <c r="W4032" s="22"/>
      <c r="X4032" s="22"/>
    </row>
    <row r="4033" spans="1:24" x14ac:dyDescent="0.25">
      <c r="A4033" s="22"/>
      <c r="B4033" s="22"/>
      <c r="C4033" s="22"/>
      <c r="D4033" s="22"/>
      <c r="E4033" s="22"/>
      <c r="F4033" s="22"/>
      <c r="G4033" s="22"/>
      <c r="H4033" s="22"/>
      <c r="I4033" s="22"/>
      <c r="J4033" s="22"/>
      <c r="K4033" s="22"/>
      <c r="L4033" s="22"/>
      <c r="M4033" s="22"/>
      <c r="N4033" s="22"/>
      <c r="O4033" s="22"/>
      <c r="P4033" s="22"/>
      <c r="Q4033" s="22"/>
      <c r="R4033" s="22"/>
      <c r="S4033" s="22"/>
      <c r="T4033" s="22"/>
      <c r="U4033" s="22"/>
      <c r="V4033" s="22"/>
      <c r="W4033" s="22"/>
      <c r="X4033" s="22"/>
    </row>
    <row r="4034" spans="1:24" x14ac:dyDescent="0.25">
      <c r="A4034" s="22"/>
      <c r="B4034" s="22"/>
      <c r="C4034" s="22"/>
      <c r="D4034" s="22"/>
      <c r="E4034" s="22"/>
      <c r="F4034" s="22"/>
      <c r="G4034" s="22"/>
      <c r="H4034" s="22"/>
      <c r="I4034" s="22"/>
      <c r="J4034" s="22"/>
      <c r="K4034" s="22"/>
      <c r="L4034" s="22"/>
      <c r="M4034" s="22"/>
      <c r="N4034" s="22"/>
      <c r="O4034" s="22"/>
      <c r="P4034" s="22"/>
      <c r="Q4034" s="22"/>
      <c r="R4034" s="22"/>
      <c r="S4034" s="22"/>
      <c r="T4034" s="22"/>
      <c r="U4034" s="22"/>
      <c r="V4034" s="22"/>
      <c r="W4034" s="22"/>
      <c r="X4034" s="22"/>
    </row>
    <row r="4035" spans="1:24" x14ac:dyDescent="0.25">
      <c r="A4035" s="22"/>
      <c r="B4035" s="22"/>
      <c r="C4035" s="22"/>
      <c r="D4035" s="22"/>
      <c r="E4035" s="22"/>
      <c r="F4035" s="22"/>
      <c r="G4035" s="22"/>
      <c r="H4035" s="22"/>
      <c r="I4035" s="22"/>
      <c r="J4035" s="22"/>
      <c r="K4035" s="22"/>
      <c r="L4035" s="22"/>
      <c r="M4035" s="22"/>
      <c r="N4035" s="22"/>
      <c r="O4035" s="22"/>
      <c r="P4035" s="22"/>
      <c r="Q4035" s="22"/>
      <c r="R4035" s="22"/>
      <c r="S4035" s="22"/>
      <c r="T4035" s="22"/>
      <c r="U4035" s="22"/>
      <c r="V4035" s="22"/>
      <c r="W4035" s="22"/>
      <c r="X4035" s="22"/>
    </row>
    <row r="4036" spans="1:24" x14ac:dyDescent="0.25">
      <c r="A4036" s="22"/>
      <c r="B4036" s="22"/>
      <c r="C4036" s="22"/>
      <c r="D4036" s="22"/>
      <c r="E4036" s="22"/>
      <c r="F4036" s="22"/>
      <c r="G4036" s="22"/>
      <c r="H4036" s="22"/>
      <c r="I4036" s="22"/>
      <c r="J4036" s="22"/>
      <c r="K4036" s="22"/>
      <c r="L4036" s="22"/>
      <c r="M4036" s="22"/>
      <c r="N4036" s="22"/>
      <c r="O4036" s="22"/>
      <c r="P4036" s="22"/>
      <c r="Q4036" s="22"/>
      <c r="R4036" s="22"/>
      <c r="S4036" s="22"/>
      <c r="T4036" s="22"/>
      <c r="U4036" s="22"/>
      <c r="V4036" s="22"/>
      <c r="W4036" s="22"/>
      <c r="X4036" s="22"/>
    </row>
    <row r="4037" spans="1:24" x14ac:dyDescent="0.25">
      <c r="A4037" s="22"/>
      <c r="B4037" s="22"/>
      <c r="C4037" s="22"/>
      <c r="D4037" s="22"/>
      <c r="E4037" s="22"/>
      <c r="F4037" s="22"/>
      <c r="G4037" s="22"/>
      <c r="H4037" s="22"/>
      <c r="I4037" s="22"/>
      <c r="J4037" s="22"/>
      <c r="K4037" s="22"/>
      <c r="L4037" s="22"/>
      <c r="M4037" s="22"/>
      <c r="N4037" s="22"/>
      <c r="O4037" s="22"/>
      <c r="P4037" s="22"/>
      <c r="Q4037" s="22"/>
      <c r="R4037" s="22"/>
      <c r="S4037" s="22"/>
      <c r="T4037" s="22"/>
      <c r="U4037" s="22"/>
      <c r="V4037" s="22"/>
      <c r="W4037" s="22"/>
      <c r="X4037" s="22"/>
    </row>
    <row r="4038" spans="1:24" x14ac:dyDescent="0.25">
      <c r="A4038" s="22"/>
      <c r="B4038" s="22"/>
      <c r="C4038" s="22"/>
      <c r="D4038" s="22"/>
      <c r="E4038" s="22"/>
      <c r="F4038" s="22"/>
      <c r="G4038" s="22"/>
      <c r="H4038" s="22"/>
      <c r="I4038" s="22"/>
      <c r="J4038" s="22"/>
      <c r="K4038" s="22"/>
      <c r="L4038" s="22"/>
      <c r="M4038" s="22"/>
      <c r="N4038" s="22"/>
      <c r="O4038" s="22"/>
      <c r="P4038" s="22"/>
      <c r="Q4038" s="22"/>
      <c r="R4038" s="22"/>
      <c r="S4038" s="22"/>
      <c r="T4038" s="22"/>
      <c r="U4038" s="22"/>
      <c r="V4038" s="22"/>
      <c r="W4038" s="22"/>
      <c r="X4038" s="22"/>
    </row>
    <row r="4039" spans="1:24" x14ac:dyDescent="0.25">
      <c r="A4039" s="22"/>
      <c r="B4039" s="22"/>
      <c r="C4039" s="22"/>
      <c r="D4039" s="22"/>
      <c r="E4039" s="22"/>
      <c r="F4039" s="22"/>
      <c r="G4039" s="22"/>
      <c r="H4039" s="22"/>
      <c r="I4039" s="22"/>
      <c r="J4039" s="22"/>
      <c r="K4039" s="22"/>
      <c r="L4039" s="22"/>
      <c r="M4039" s="22"/>
      <c r="N4039" s="22"/>
      <c r="O4039" s="22"/>
      <c r="P4039" s="22"/>
      <c r="Q4039" s="22"/>
      <c r="R4039" s="22"/>
      <c r="S4039" s="22"/>
      <c r="T4039" s="22"/>
      <c r="U4039" s="22"/>
      <c r="V4039" s="22"/>
      <c r="W4039" s="22"/>
      <c r="X4039" s="22"/>
    </row>
    <row r="4040" spans="1:24" x14ac:dyDescent="0.25">
      <c r="A4040" s="22"/>
      <c r="B4040" s="22"/>
      <c r="C4040" s="22"/>
      <c r="D4040" s="22"/>
      <c r="E4040" s="22"/>
      <c r="F4040" s="22"/>
      <c r="G4040" s="22"/>
      <c r="H4040" s="22"/>
      <c r="I4040" s="22"/>
      <c r="J4040" s="22"/>
      <c r="K4040" s="22"/>
      <c r="L4040" s="22"/>
      <c r="M4040" s="22"/>
      <c r="N4040" s="22"/>
      <c r="O4040" s="22"/>
      <c r="P4040" s="22"/>
      <c r="Q4040" s="22"/>
      <c r="R4040" s="22"/>
      <c r="S4040" s="22"/>
      <c r="T4040" s="22"/>
      <c r="U4040" s="22"/>
      <c r="V4040" s="22"/>
      <c r="W4040" s="22"/>
      <c r="X4040" s="22"/>
    </row>
    <row r="4041" spans="1:24" x14ac:dyDescent="0.25">
      <c r="A4041" s="22"/>
      <c r="B4041" s="22"/>
      <c r="C4041" s="22"/>
      <c r="D4041" s="22"/>
      <c r="E4041" s="22"/>
      <c r="F4041" s="22"/>
      <c r="G4041" s="22"/>
      <c r="H4041" s="22"/>
      <c r="I4041" s="22"/>
      <c r="J4041" s="22"/>
      <c r="K4041" s="22"/>
      <c r="L4041" s="22"/>
      <c r="M4041" s="22"/>
      <c r="N4041" s="22"/>
      <c r="O4041" s="22"/>
      <c r="P4041" s="22"/>
      <c r="Q4041" s="22"/>
      <c r="R4041" s="22"/>
      <c r="S4041" s="22"/>
      <c r="T4041" s="22"/>
      <c r="U4041" s="22"/>
      <c r="V4041" s="22"/>
      <c r="W4041" s="22"/>
      <c r="X4041" s="22"/>
    </row>
    <row r="4042" spans="1:24" x14ac:dyDescent="0.25">
      <c r="A4042" s="22"/>
      <c r="B4042" s="22"/>
      <c r="C4042" s="22"/>
      <c r="D4042" s="22"/>
      <c r="E4042" s="22"/>
      <c r="F4042" s="22"/>
      <c r="G4042" s="22"/>
      <c r="H4042" s="22"/>
      <c r="I4042" s="22"/>
      <c r="J4042" s="22"/>
      <c r="K4042" s="22"/>
      <c r="L4042" s="22"/>
      <c r="M4042" s="22"/>
      <c r="N4042" s="22"/>
      <c r="O4042" s="22"/>
      <c r="P4042" s="22"/>
      <c r="Q4042" s="22"/>
      <c r="R4042" s="22"/>
      <c r="S4042" s="22"/>
      <c r="T4042" s="22"/>
      <c r="U4042" s="22"/>
      <c r="V4042" s="22"/>
      <c r="W4042" s="22"/>
      <c r="X4042" s="22"/>
    </row>
    <row r="4043" spans="1:24" x14ac:dyDescent="0.25">
      <c r="A4043" s="22"/>
      <c r="B4043" s="22"/>
      <c r="C4043" s="22"/>
      <c r="D4043" s="22"/>
      <c r="E4043" s="22"/>
      <c r="F4043" s="22"/>
      <c r="G4043" s="22"/>
      <c r="H4043" s="22"/>
      <c r="I4043" s="22"/>
      <c r="J4043" s="22"/>
      <c r="K4043" s="22"/>
      <c r="L4043" s="22"/>
      <c r="M4043" s="22"/>
      <c r="N4043" s="22"/>
      <c r="O4043" s="22"/>
      <c r="P4043" s="22"/>
      <c r="Q4043" s="22"/>
      <c r="R4043" s="22"/>
      <c r="S4043" s="22"/>
      <c r="T4043" s="22"/>
      <c r="U4043" s="22"/>
      <c r="V4043" s="22"/>
      <c r="W4043" s="22"/>
      <c r="X4043" s="22"/>
    </row>
    <row r="4044" spans="1:24" x14ac:dyDescent="0.25">
      <c r="A4044" s="22"/>
      <c r="B4044" s="22"/>
      <c r="C4044" s="22"/>
      <c r="D4044" s="22"/>
      <c r="E4044" s="22"/>
      <c r="F4044" s="22"/>
      <c r="G4044" s="22"/>
      <c r="H4044" s="22"/>
      <c r="I4044" s="22"/>
      <c r="J4044" s="22"/>
      <c r="K4044" s="22"/>
      <c r="L4044" s="22"/>
      <c r="M4044" s="22"/>
      <c r="N4044" s="22"/>
      <c r="O4044" s="22"/>
      <c r="P4044" s="22"/>
      <c r="Q4044" s="22"/>
      <c r="R4044" s="22"/>
      <c r="S4044" s="22"/>
      <c r="T4044" s="22"/>
      <c r="U4044" s="22"/>
      <c r="V4044" s="22"/>
      <c r="W4044" s="22"/>
      <c r="X4044" s="22"/>
    </row>
    <row r="4045" spans="1:24" x14ac:dyDescent="0.25">
      <c r="A4045" s="22"/>
      <c r="B4045" s="22"/>
      <c r="C4045" s="22"/>
      <c r="D4045" s="22"/>
      <c r="E4045" s="22"/>
      <c r="F4045" s="22"/>
      <c r="G4045" s="22"/>
      <c r="H4045" s="22"/>
      <c r="I4045" s="22"/>
      <c r="J4045" s="22"/>
      <c r="K4045" s="22"/>
      <c r="L4045" s="22"/>
      <c r="M4045" s="22"/>
      <c r="N4045" s="22"/>
      <c r="O4045" s="22"/>
      <c r="P4045" s="22"/>
      <c r="Q4045" s="22"/>
      <c r="R4045" s="22"/>
      <c r="S4045" s="22"/>
      <c r="T4045" s="22"/>
      <c r="U4045" s="22"/>
      <c r="V4045" s="22"/>
      <c r="W4045" s="22"/>
      <c r="X4045" s="22"/>
    </row>
    <row r="4046" spans="1:24" x14ac:dyDescent="0.25">
      <c r="A4046" s="22"/>
      <c r="B4046" s="22"/>
      <c r="C4046" s="22"/>
      <c r="D4046" s="22"/>
      <c r="E4046" s="22"/>
      <c r="F4046" s="22"/>
      <c r="G4046" s="22"/>
      <c r="H4046" s="22"/>
      <c r="I4046" s="22"/>
      <c r="J4046" s="22"/>
      <c r="K4046" s="22"/>
      <c r="L4046" s="22"/>
      <c r="M4046" s="22"/>
      <c r="N4046" s="22"/>
      <c r="O4046" s="22"/>
      <c r="P4046" s="22"/>
      <c r="Q4046" s="22"/>
      <c r="R4046" s="22"/>
      <c r="S4046" s="22"/>
      <c r="T4046" s="22"/>
      <c r="U4046" s="22"/>
      <c r="V4046" s="22"/>
      <c r="W4046" s="22"/>
      <c r="X4046" s="22"/>
    </row>
    <row r="4047" spans="1:24" x14ac:dyDescent="0.25">
      <c r="A4047" s="22"/>
      <c r="B4047" s="22"/>
      <c r="C4047" s="22"/>
      <c r="D4047" s="22"/>
      <c r="E4047" s="22"/>
      <c r="F4047" s="22"/>
      <c r="G4047" s="22"/>
      <c r="H4047" s="22"/>
      <c r="I4047" s="22"/>
      <c r="J4047" s="22"/>
      <c r="K4047" s="22"/>
      <c r="L4047" s="22"/>
      <c r="M4047" s="22"/>
      <c r="N4047" s="22"/>
      <c r="O4047" s="22"/>
      <c r="P4047" s="22"/>
      <c r="Q4047" s="22"/>
      <c r="R4047" s="22"/>
      <c r="S4047" s="22"/>
      <c r="T4047" s="22"/>
      <c r="U4047" s="22"/>
      <c r="V4047" s="22"/>
      <c r="W4047" s="22"/>
      <c r="X4047" s="22"/>
    </row>
    <row r="4048" spans="1:24" x14ac:dyDescent="0.25">
      <c r="A4048" s="22"/>
      <c r="B4048" s="22"/>
      <c r="C4048" s="22"/>
      <c r="D4048" s="22"/>
      <c r="E4048" s="22"/>
      <c r="F4048" s="22"/>
      <c r="G4048" s="22"/>
      <c r="H4048" s="22"/>
      <c r="I4048" s="22"/>
      <c r="J4048" s="22"/>
      <c r="K4048" s="22"/>
      <c r="L4048" s="22"/>
      <c r="M4048" s="22"/>
      <c r="N4048" s="22"/>
      <c r="O4048" s="22"/>
      <c r="P4048" s="22"/>
      <c r="Q4048" s="22"/>
      <c r="R4048" s="22"/>
      <c r="S4048" s="22"/>
      <c r="T4048" s="22"/>
      <c r="U4048" s="22"/>
      <c r="V4048" s="22"/>
      <c r="W4048" s="22"/>
      <c r="X4048" s="22"/>
    </row>
    <row r="4049" spans="1:24" x14ac:dyDescent="0.25">
      <c r="A4049" s="22"/>
      <c r="B4049" s="22"/>
      <c r="C4049" s="22"/>
      <c r="D4049" s="22"/>
      <c r="E4049" s="22"/>
      <c r="F4049" s="22"/>
      <c r="G4049" s="22"/>
      <c r="H4049" s="22"/>
      <c r="I4049" s="22"/>
      <c r="J4049" s="22"/>
      <c r="K4049" s="22"/>
      <c r="L4049" s="22"/>
      <c r="M4049" s="22"/>
      <c r="N4049" s="22"/>
      <c r="O4049" s="22"/>
      <c r="P4049" s="22"/>
      <c r="Q4049" s="22"/>
      <c r="R4049" s="22"/>
      <c r="S4049" s="22"/>
      <c r="T4049" s="22"/>
      <c r="U4049" s="22"/>
      <c r="V4049" s="22"/>
      <c r="W4049" s="22"/>
      <c r="X4049" s="22"/>
    </row>
    <row r="4050" spans="1:24" x14ac:dyDescent="0.25">
      <c r="A4050" s="22"/>
      <c r="B4050" s="22"/>
      <c r="C4050" s="22"/>
      <c r="D4050" s="22"/>
      <c r="E4050" s="22"/>
      <c r="F4050" s="22"/>
      <c r="G4050" s="22"/>
      <c r="H4050" s="22"/>
      <c r="I4050" s="22"/>
      <c r="J4050" s="22"/>
      <c r="K4050" s="22"/>
      <c r="L4050" s="22"/>
      <c r="M4050" s="22"/>
      <c r="N4050" s="22"/>
      <c r="O4050" s="22"/>
      <c r="P4050" s="22"/>
      <c r="Q4050" s="22"/>
      <c r="R4050" s="22"/>
      <c r="S4050" s="22"/>
      <c r="T4050" s="22"/>
      <c r="U4050" s="22"/>
      <c r="V4050" s="22"/>
      <c r="W4050" s="22"/>
      <c r="X4050" s="22"/>
    </row>
    <row r="4051" spans="1:24" x14ac:dyDescent="0.25">
      <c r="A4051" s="22"/>
      <c r="B4051" s="22"/>
      <c r="C4051" s="22"/>
      <c r="D4051" s="22"/>
      <c r="E4051" s="22"/>
      <c r="F4051" s="22"/>
      <c r="G4051" s="22"/>
      <c r="H4051" s="22"/>
      <c r="I4051" s="22"/>
      <c r="J4051" s="22"/>
      <c r="K4051" s="22"/>
      <c r="L4051" s="22"/>
      <c r="M4051" s="22"/>
      <c r="N4051" s="22"/>
      <c r="O4051" s="22"/>
      <c r="P4051" s="22"/>
      <c r="Q4051" s="22"/>
      <c r="R4051" s="22"/>
      <c r="S4051" s="22"/>
      <c r="T4051" s="22"/>
      <c r="U4051" s="22"/>
      <c r="V4051" s="22"/>
      <c r="W4051" s="22"/>
      <c r="X4051" s="22"/>
    </row>
    <row r="4052" spans="1:24" x14ac:dyDescent="0.25">
      <c r="A4052" s="22"/>
      <c r="B4052" s="22"/>
      <c r="C4052" s="22"/>
      <c r="D4052" s="22"/>
      <c r="E4052" s="22"/>
      <c r="F4052" s="22"/>
      <c r="G4052" s="22"/>
      <c r="H4052" s="22"/>
      <c r="I4052" s="22"/>
      <c r="J4052" s="22"/>
      <c r="K4052" s="22"/>
      <c r="L4052" s="22"/>
      <c r="M4052" s="22"/>
      <c r="N4052" s="22"/>
      <c r="O4052" s="22"/>
      <c r="P4052" s="22"/>
      <c r="Q4052" s="22"/>
      <c r="R4052" s="22"/>
      <c r="S4052" s="22"/>
      <c r="T4052" s="22"/>
      <c r="U4052" s="22"/>
      <c r="V4052" s="22"/>
      <c r="W4052" s="22"/>
      <c r="X4052" s="22"/>
    </row>
    <row r="4053" spans="1:24" x14ac:dyDescent="0.25">
      <c r="A4053" s="22"/>
      <c r="B4053" s="22"/>
      <c r="C4053" s="22"/>
      <c r="D4053" s="22"/>
      <c r="E4053" s="22"/>
      <c r="F4053" s="22"/>
      <c r="G4053" s="22"/>
      <c r="H4053" s="22"/>
      <c r="I4053" s="22"/>
      <c r="J4053" s="22"/>
      <c r="K4053" s="22"/>
      <c r="L4053" s="22"/>
      <c r="M4053" s="22"/>
      <c r="N4053" s="22"/>
      <c r="O4053" s="22"/>
      <c r="P4053" s="22"/>
      <c r="Q4053" s="22"/>
      <c r="R4053" s="22"/>
      <c r="S4053" s="22"/>
      <c r="T4053" s="22"/>
      <c r="U4053" s="22"/>
      <c r="V4053" s="22"/>
      <c r="W4053" s="22"/>
      <c r="X4053" s="22"/>
    </row>
    <row r="4054" spans="1:24" x14ac:dyDescent="0.25">
      <c r="A4054" s="22"/>
      <c r="B4054" s="22"/>
      <c r="C4054" s="22"/>
      <c r="D4054" s="22"/>
      <c r="E4054" s="22"/>
      <c r="F4054" s="22"/>
      <c r="G4054" s="22"/>
      <c r="H4054" s="22"/>
      <c r="I4054" s="22"/>
      <c r="J4054" s="22"/>
      <c r="K4054" s="22"/>
      <c r="L4054" s="22"/>
      <c r="M4054" s="22"/>
      <c r="N4054" s="22"/>
      <c r="O4054" s="22"/>
      <c r="P4054" s="22"/>
      <c r="Q4054" s="22"/>
      <c r="R4054" s="22"/>
      <c r="S4054" s="22"/>
      <c r="T4054" s="22"/>
      <c r="U4054" s="22"/>
      <c r="V4054" s="22"/>
      <c r="W4054" s="22"/>
      <c r="X4054" s="22"/>
    </row>
    <row r="4055" spans="1:24" x14ac:dyDescent="0.25">
      <c r="A4055" s="22"/>
      <c r="B4055" s="22"/>
      <c r="C4055" s="22"/>
      <c r="D4055" s="22"/>
      <c r="E4055" s="22"/>
      <c r="F4055" s="22"/>
      <c r="G4055" s="22"/>
      <c r="H4055" s="22"/>
      <c r="I4055" s="22"/>
      <c r="J4055" s="22"/>
      <c r="K4055" s="22"/>
      <c r="L4055" s="22"/>
      <c r="M4055" s="22"/>
      <c r="N4055" s="22"/>
      <c r="O4055" s="22"/>
      <c r="P4055" s="22"/>
      <c r="Q4055" s="22"/>
      <c r="R4055" s="22"/>
      <c r="S4055" s="22"/>
      <c r="T4055" s="22"/>
      <c r="U4055" s="22"/>
      <c r="V4055" s="22"/>
      <c r="W4055" s="22"/>
      <c r="X4055" s="22"/>
    </row>
    <row r="4056" spans="1:24" x14ac:dyDescent="0.25">
      <c r="A4056" s="22"/>
      <c r="B4056" s="22"/>
      <c r="C4056" s="22"/>
      <c r="D4056" s="22"/>
      <c r="E4056" s="22"/>
      <c r="F4056" s="22"/>
      <c r="G4056" s="22"/>
      <c r="H4056" s="22"/>
      <c r="I4056" s="22"/>
      <c r="J4056" s="22"/>
      <c r="K4056" s="22"/>
      <c r="L4056" s="22"/>
      <c r="M4056" s="22"/>
      <c r="N4056" s="22"/>
      <c r="O4056" s="22"/>
      <c r="P4056" s="22"/>
      <c r="Q4056" s="22"/>
      <c r="R4056" s="22"/>
      <c r="S4056" s="22"/>
      <c r="T4056" s="22"/>
      <c r="U4056" s="22"/>
      <c r="V4056" s="22"/>
      <c r="W4056" s="22"/>
      <c r="X4056" s="22"/>
    </row>
    <row r="4057" spans="1:24" x14ac:dyDescent="0.25">
      <c r="A4057" s="22"/>
      <c r="B4057" s="22"/>
      <c r="C4057" s="22"/>
      <c r="D4057" s="22"/>
      <c r="E4057" s="22"/>
      <c r="F4057" s="22"/>
      <c r="G4057" s="22"/>
      <c r="H4057" s="22"/>
      <c r="I4057" s="22"/>
      <c r="J4057" s="22"/>
      <c r="K4057" s="22"/>
      <c r="L4057" s="22"/>
      <c r="M4057" s="22"/>
      <c r="N4057" s="22"/>
      <c r="O4057" s="22"/>
      <c r="P4057" s="22"/>
      <c r="Q4057" s="22"/>
      <c r="R4057" s="22"/>
      <c r="S4057" s="22"/>
      <c r="T4057" s="22"/>
      <c r="U4057" s="22"/>
      <c r="V4057" s="22"/>
      <c r="W4057" s="22"/>
      <c r="X4057" s="22"/>
    </row>
    <row r="4058" spans="1:24" x14ac:dyDescent="0.25">
      <c r="A4058" s="22"/>
      <c r="B4058" s="22"/>
      <c r="C4058" s="22"/>
      <c r="D4058" s="22"/>
      <c r="E4058" s="22"/>
      <c r="F4058" s="22"/>
      <c r="G4058" s="22"/>
      <c r="H4058" s="22"/>
      <c r="I4058" s="22"/>
      <c r="J4058" s="22"/>
      <c r="K4058" s="22"/>
      <c r="L4058" s="22"/>
      <c r="M4058" s="22"/>
      <c r="N4058" s="22"/>
      <c r="O4058" s="22"/>
      <c r="P4058" s="22"/>
      <c r="Q4058" s="22"/>
      <c r="R4058" s="22"/>
      <c r="S4058" s="22"/>
      <c r="T4058" s="22"/>
      <c r="U4058" s="22"/>
      <c r="V4058" s="22"/>
      <c r="W4058" s="22"/>
      <c r="X4058" s="22"/>
    </row>
    <row r="4059" spans="1:24" x14ac:dyDescent="0.25">
      <c r="A4059" s="22"/>
      <c r="B4059" s="22"/>
      <c r="C4059" s="22"/>
      <c r="D4059" s="22"/>
      <c r="E4059" s="22"/>
      <c r="F4059" s="22"/>
      <c r="G4059" s="22"/>
      <c r="H4059" s="22"/>
      <c r="I4059" s="22"/>
      <c r="J4059" s="22"/>
      <c r="K4059" s="22"/>
      <c r="L4059" s="22"/>
      <c r="M4059" s="22"/>
      <c r="N4059" s="22"/>
      <c r="O4059" s="22"/>
      <c r="P4059" s="22"/>
      <c r="Q4059" s="22"/>
      <c r="R4059" s="22"/>
      <c r="S4059" s="22"/>
      <c r="T4059" s="22"/>
      <c r="U4059" s="22"/>
      <c r="V4059" s="22"/>
      <c r="W4059" s="22"/>
      <c r="X4059" s="22"/>
    </row>
    <row r="4060" spans="1:24" x14ac:dyDescent="0.25">
      <c r="A4060" s="22"/>
      <c r="B4060" s="22"/>
      <c r="C4060" s="22"/>
      <c r="D4060" s="22"/>
      <c r="E4060" s="22"/>
      <c r="F4060" s="22"/>
      <c r="G4060" s="22"/>
      <c r="H4060" s="22"/>
      <c r="I4060" s="22"/>
      <c r="J4060" s="22"/>
      <c r="K4060" s="22"/>
      <c r="L4060" s="22"/>
      <c r="M4060" s="22"/>
      <c r="N4060" s="22"/>
      <c r="O4060" s="22"/>
      <c r="P4060" s="22"/>
      <c r="Q4060" s="22"/>
      <c r="R4060" s="22"/>
      <c r="S4060" s="22"/>
      <c r="T4060" s="22"/>
      <c r="U4060" s="22"/>
      <c r="V4060" s="22"/>
      <c r="W4060" s="22"/>
      <c r="X4060" s="22"/>
    </row>
    <row r="4061" spans="1:24" x14ac:dyDescent="0.25">
      <c r="A4061" s="22"/>
      <c r="B4061" s="22"/>
      <c r="C4061" s="22"/>
      <c r="D4061" s="22"/>
      <c r="E4061" s="22"/>
      <c r="F4061" s="22"/>
      <c r="G4061" s="22"/>
      <c r="H4061" s="22"/>
      <c r="I4061" s="22"/>
      <c r="J4061" s="22"/>
      <c r="K4061" s="22"/>
      <c r="L4061" s="22"/>
      <c r="M4061" s="22"/>
      <c r="N4061" s="22"/>
      <c r="O4061" s="22"/>
      <c r="P4061" s="22"/>
      <c r="Q4061" s="22"/>
      <c r="R4061" s="22"/>
      <c r="S4061" s="22"/>
      <c r="T4061" s="22"/>
      <c r="U4061" s="22"/>
      <c r="V4061" s="22"/>
      <c r="W4061" s="22"/>
      <c r="X4061" s="22"/>
    </row>
    <row r="4062" spans="1:24" x14ac:dyDescent="0.25">
      <c r="A4062" s="22"/>
      <c r="B4062" s="22"/>
      <c r="C4062" s="22"/>
      <c r="D4062" s="22"/>
      <c r="E4062" s="22"/>
      <c r="F4062" s="22"/>
      <c r="G4062" s="22"/>
      <c r="H4062" s="22"/>
      <c r="I4062" s="22"/>
      <c r="J4062" s="22"/>
      <c r="K4062" s="22"/>
      <c r="L4062" s="22"/>
      <c r="M4062" s="22"/>
      <c r="N4062" s="22"/>
      <c r="O4062" s="22"/>
      <c r="P4062" s="22"/>
      <c r="Q4062" s="22"/>
      <c r="R4062" s="22"/>
      <c r="S4062" s="22"/>
      <c r="T4062" s="22"/>
      <c r="U4062" s="22"/>
      <c r="V4062" s="22"/>
      <c r="W4062" s="22"/>
      <c r="X4062" s="22"/>
    </row>
    <row r="4063" spans="1:24" x14ac:dyDescent="0.25">
      <c r="A4063" s="22"/>
      <c r="B4063" s="22"/>
      <c r="C4063" s="22"/>
      <c r="D4063" s="22"/>
      <c r="E4063" s="22"/>
      <c r="F4063" s="22"/>
      <c r="G4063" s="22"/>
      <c r="H4063" s="22"/>
      <c r="I4063" s="22"/>
      <c r="J4063" s="22"/>
      <c r="K4063" s="22"/>
      <c r="L4063" s="22"/>
      <c r="M4063" s="22"/>
      <c r="N4063" s="22"/>
      <c r="O4063" s="22"/>
      <c r="P4063" s="22"/>
      <c r="Q4063" s="22"/>
      <c r="R4063" s="22"/>
      <c r="S4063" s="22"/>
      <c r="T4063" s="22"/>
      <c r="U4063" s="22"/>
      <c r="V4063" s="22"/>
      <c r="W4063" s="22"/>
      <c r="X4063" s="22"/>
    </row>
    <row r="4064" spans="1:24" x14ac:dyDescent="0.25">
      <c r="A4064" s="22"/>
      <c r="B4064" s="22"/>
      <c r="C4064" s="22"/>
      <c r="D4064" s="22"/>
      <c r="E4064" s="22"/>
      <c r="F4064" s="22"/>
      <c r="G4064" s="22"/>
      <c r="H4064" s="22"/>
      <c r="I4064" s="22"/>
      <c r="J4064" s="22"/>
      <c r="K4064" s="22"/>
      <c r="L4064" s="22"/>
      <c r="M4064" s="22"/>
      <c r="N4064" s="22"/>
      <c r="O4064" s="22"/>
      <c r="P4064" s="22"/>
      <c r="Q4064" s="22"/>
      <c r="R4064" s="22"/>
      <c r="S4064" s="22"/>
      <c r="T4064" s="22"/>
      <c r="U4064" s="22"/>
      <c r="V4064" s="22"/>
      <c r="W4064" s="22"/>
      <c r="X4064" s="22"/>
    </row>
    <row r="4065" spans="1:24" x14ac:dyDescent="0.25">
      <c r="A4065" s="22"/>
      <c r="B4065" s="22"/>
      <c r="C4065" s="22"/>
      <c r="D4065" s="22"/>
      <c r="E4065" s="22"/>
      <c r="F4065" s="22"/>
      <c r="G4065" s="22"/>
      <c r="H4065" s="22"/>
      <c r="I4065" s="22"/>
      <c r="J4065" s="22"/>
      <c r="K4065" s="22"/>
      <c r="L4065" s="22"/>
      <c r="M4065" s="22"/>
      <c r="N4065" s="22"/>
      <c r="O4065" s="22"/>
      <c r="P4065" s="22"/>
      <c r="Q4065" s="22"/>
      <c r="R4065" s="22"/>
      <c r="S4065" s="22"/>
      <c r="T4065" s="22"/>
      <c r="U4065" s="22"/>
      <c r="V4065" s="22"/>
      <c r="W4065" s="22"/>
      <c r="X4065" s="22"/>
    </row>
    <row r="4066" spans="1:24" x14ac:dyDescent="0.25">
      <c r="A4066" s="22"/>
      <c r="B4066" s="22"/>
      <c r="C4066" s="22"/>
      <c r="D4066" s="22"/>
      <c r="E4066" s="22"/>
      <c r="F4066" s="22"/>
      <c r="G4066" s="22"/>
      <c r="H4066" s="22"/>
      <c r="I4066" s="22"/>
      <c r="J4066" s="22"/>
      <c r="K4066" s="22"/>
      <c r="L4066" s="22"/>
      <c r="M4066" s="22"/>
      <c r="N4066" s="22"/>
      <c r="O4066" s="22"/>
      <c r="P4066" s="22"/>
      <c r="Q4066" s="22"/>
      <c r="R4066" s="22"/>
      <c r="S4066" s="22"/>
      <c r="T4066" s="22"/>
      <c r="U4066" s="22"/>
      <c r="V4066" s="22"/>
      <c r="W4066" s="22"/>
      <c r="X4066" s="22"/>
    </row>
    <row r="4067" spans="1:24" x14ac:dyDescent="0.25">
      <c r="A4067" s="22"/>
      <c r="B4067" s="22"/>
      <c r="C4067" s="22"/>
      <c r="D4067" s="22"/>
      <c r="E4067" s="22"/>
      <c r="F4067" s="22"/>
      <c r="G4067" s="22"/>
      <c r="H4067" s="22"/>
      <c r="I4067" s="22"/>
      <c r="J4067" s="22"/>
      <c r="K4067" s="22"/>
      <c r="L4067" s="22"/>
      <c r="M4067" s="22"/>
      <c r="N4067" s="22"/>
      <c r="O4067" s="22"/>
      <c r="P4067" s="22"/>
      <c r="Q4067" s="22"/>
      <c r="R4067" s="22"/>
      <c r="S4067" s="22"/>
      <c r="T4067" s="22"/>
      <c r="U4067" s="22"/>
      <c r="V4067" s="22"/>
      <c r="W4067" s="22"/>
      <c r="X4067" s="22"/>
    </row>
    <row r="4068" spans="1:24" x14ac:dyDescent="0.25">
      <c r="A4068" s="22"/>
      <c r="B4068" s="22"/>
      <c r="C4068" s="22"/>
      <c r="D4068" s="22"/>
      <c r="E4068" s="22"/>
      <c r="F4068" s="22"/>
      <c r="G4068" s="22"/>
      <c r="H4068" s="22"/>
      <c r="I4068" s="22"/>
      <c r="J4068" s="22"/>
      <c r="K4068" s="22"/>
      <c r="L4068" s="22"/>
      <c r="M4068" s="22"/>
      <c r="N4068" s="22"/>
      <c r="O4068" s="22"/>
      <c r="P4068" s="22"/>
      <c r="Q4068" s="22"/>
      <c r="R4068" s="22"/>
      <c r="S4068" s="22"/>
      <c r="T4068" s="22"/>
      <c r="U4068" s="22"/>
      <c r="V4068" s="22"/>
      <c r="W4068" s="22"/>
      <c r="X4068" s="22"/>
    </row>
    <row r="4069" spans="1:24" x14ac:dyDescent="0.25">
      <c r="A4069" s="22"/>
      <c r="B4069" s="22"/>
      <c r="C4069" s="22"/>
      <c r="D4069" s="22"/>
      <c r="E4069" s="22"/>
      <c r="F4069" s="22"/>
      <c r="G4069" s="22"/>
      <c r="H4069" s="22"/>
      <c r="I4069" s="22"/>
      <c r="J4069" s="22"/>
      <c r="K4069" s="22"/>
      <c r="L4069" s="22"/>
      <c r="M4069" s="22"/>
      <c r="N4069" s="22"/>
      <c r="O4069" s="22"/>
      <c r="P4069" s="22"/>
      <c r="Q4069" s="22"/>
      <c r="R4069" s="22"/>
      <c r="S4069" s="22"/>
      <c r="T4069" s="22"/>
      <c r="U4069" s="22"/>
      <c r="V4069" s="22"/>
      <c r="W4069" s="22"/>
      <c r="X4069" s="22"/>
    </row>
    <row r="4070" spans="1:24" x14ac:dyDescent="0.25">
      <c r="A4070" s="22"/>
      <c r="B4070" s="22"/>
      <c r="C4070" s="22"/>
      <c r="D4070" s="22"/>
      <c r="E4070" s="22"/>
      <c r="F4070" s="22"/>
      <c r="G4070" s="22"/>
      <c r="H4070" s="22"/>
      <c r="I4070" s="22"/>
      <c r="J4070" s="22"/>
      <c r="K4070" s="22"/>
      <c r="L4070" s="22"/>
      <c r="M4070" s="22"/>
      <c r="N4070" s="22"/>
      <c r="O4070" s="22"/>
      <c r="P4070" s="22"/>
      <c r="Q4070" s="22"/>
      <c r="R4070" s="22"/>
      <c r="S4070" s="22"/>
      <c r="T4070" s="22"/>
      <c r="U4070" s="22"/>
      <c r="V4070" s="22"/>
      <c r="W4070" s="22"/>
      <c r="X4070" s="22"/>
    </row>
    <row r="4071" spans="1:24" x14ac:dyDescent="0.25">
      <c r="A4071" s="22"/>
      <c r="B4071" s="22"/>
      <c r="C4071" s="22"/>
      <c r="D4071" s="22"/>
      <c r="E4071" s="22"/>
      <c r="F4071" s="22"/>
      <c r="G4071" s="22"/>
      <c r="H4071" s="22"/>
      <c r="I4071" s="22"/>
      <c r="J4071" s="22"/>
      <c r="K4071" s="22"/>
      <c r="L4071" s="22"/>
      <c r="M4071" s="22"/>
      <c r="N4071" s="22"/>
      <c r="O4071" s="22"/>
      <c r="P4071" s="22"/>
      <c r="Q4071" s="22"/>
      <c r="R4071" s="22"/>
      <c r="S4071" s="22"/>
      <c r="T4071" s="22"/>
      <c r="U4071" s="22"/>
      <c r="V4071" s="22"/>
      <c r="W4071" s="22"/>
      <c r="X4071" s="22"/>
    </row>
    <row r="4072" spans="1:24" x14ac:dyDescent="0.25">
      <c r="A4072" s="22"/>
      <c r="B4072" s="22"/>
      <c r="C4072" s="22"/>
      <c r="D4072" s="22"/>
      <c r="E4072" s="22"/>
      <c r="F4072" s="22"/>
      <c r="G4072" s="22"/>
      <c r="H4072" s="22"/>
      <c r="I4072" s="22"/>
      <c r="J4072" s="22"/>
      <c r="K4072" s="22"/>
      <c r="L4072" s="22"/>
      <c r="M4072" s="22"/>
      <c r="N4072" s="22"/>
      <c r="O4072" s="22"/>
      <c r="P4072" s="22"/>
      <c r="Q4072" s="22"/>
      <c r="R4072" s="22"/>
      <c r="S4072" s="22"/>
      <c r="T4072" s="22"/>
      <c r="U4072" s="22"/>
      <c r="V4072" s="22"/>
      <c r="W4072" s="22"/>
      <c r="X4072" s="22"/>
    </row>
    <row r="4073" spans="1:24" x14ac:dyDescent="0.25">
      <c r="A4073" s="22"/>
      <c r="B4073" s="22"/>
      <c r="C4073" s="22"/>
      <c r="D4073" s="22"/>
      <c r="E4073" s="22"/>
      <c r="F4073" s="22"/>
      <c r="G4073" s="22"/>
      <c r="H4073" s="22"/>
      <c r="I4073" s="22"/>
      <c r="J4073" s="22"/>
      <c r="K4073" s="22"/>
      <c r="L4073" s="22"/>
      <c r="M4073" s="22"/>
      <c r="N4073" s="22"/>
      <c r="O4073" s="22"/>
      <c r="P4073" s="22"/>
      <c r="Q4073" s="22"/>
      <c r="R4073" s="22"/>
      <c r="S4073" s="22"/>
      <c r="T4073" s="22"/>
      <c r="U4073" s="22"/>
      <c r="V4073" s="22"/>
      <c r="W4073" s="22"/>
      <c r="X4073" s="22"/>
    </row>
    <row r="4074" spans="1:24" x14ac:dyDescent="0.25">
      <c r="A4074" s="22"/>
      <c r="B4074" s="22"/>
      <c r="C4074" s="22"/>
      <c r="D4074" s="22"/>
      <c r="E4074" s="22"/>
      <c r="F4074" s="22"/>
      <c r="G4074" s="22"/>
      <c r="H4074" s="22"/>
      <c r="I4074" s="22"/>
      <c r="J4074" s="22"/>
      <c r="K4074" s="22"/>
      <c r="L4074" s="22"/>
      <c r="M4074" s="22"/>
      <c r="N4074" s="22"/>
      <c r="O4074" s="22"/>
      <c r="P4074" s="22"/>
      <c r="Q4074" s="22"/>
      <c r="R4074" s="22"/>
      <c r="S4074" s="22"/>
      <c r="T4074" s="22"/>
      <c r="U4074" s="22"/>
      <c r="V4074" s="22"/>
      <c r="W4074" s="22"/>
      <c r="X4074" s="22"/>
    </row>
    <row r="4075" spans="1:24" x14ac:dyDescent="0.25">
      <c r="A4075" s="22"/>
      <c r="B4075" s="22"/>
      <c r="C4075" s="22"/>
      <c r="D4075" s="22"/>
      <c r="E4075" s="22"/>
      <c r="F4075" s="22"/>
      <c r="G4075" s="22"/>
      <c r="H4075" s="22"/>
      <c r="I4075" s="22"/>
      <c r="J4075" s="22"/>
      <c r="K4075" s="22"/>
      <c r="L4075" s="22"/>
      <c r="M4075" s="22"/>
      <c r="N4075" s="22"/>
      <c r="O4075" s="22"/>
      <c r="P4075" s="22"/>
      <c r="Q4075" s="22"/>
      <c r="R4075" s="22"/>
      <c r="S4075" s="22"/>
      <c r="T4075" s="22"/>
      <c r="U4075" s="22"/>
      <c r="V4075" s="22"/>
      <c r="W4075" s="22"/>
      <c r="X4075" s="22"/>
    </row>
    <row r="4076" spans="1:24" x14ac:dyDescent="0.25">
      <c r="A4076" s="22"/>
      <c r="B4076" s="22"/>
      <c r="C4076" s="22"/>
      <c r="D4076" s="22"/>
      <c r="E4076" s="22"/>
      <c r="F4076" s="22"/>
      <c r="G4076" s="22"/>
      <c r="H4076" s="22"/>
      <c r="I4076" s="22"/>
      <c r="J4076" s="22"/>
      <c r="K4076" s="22"/>
      <c r="L4076" s="22"/>
      <c r="M4076" s="22"/>
      <c r="N4076" s="22"/>
      <c r="O4076" s="22"/>
      <c r="P4076" s="22"/>
      <c r="Q4076" s="22"/>
      <c r="R4076" s="22"/>
      <c r="S4076" s="22"/>
      <c r="T4076" s="22"/>
      <c r="U4076" s="22"/>
      <c r="V4076" s="22"/>
      <c r="W4076" s="22"/>
      <c r="X4076" s="22"/>
    </row>
    <row r="4077" spans="1:24" x14ac:dyDescent="0.25">
      <c r="A4077" s="22"/>
      <c r="B4077" s="22"/>
      <c r="C4077" s="22"/>
      <c r="D4077" s="22"/>
      <c r="E4077" s="22"/>
      <c r="F4077" s="22"/>
      <c r="G4077" s="22"/>
      <c r="H4077" s="22"/>
      <c r="I4077" s="22"/>
      <c r="J4077" s="22"/>
      <c r="K4077" s="22"/>
      <c r="L4077" s="22"/>
      <c r="M4077" s="22"/>
      <c r="N4077" s="22"/>
      <c r="O4077" s="22"/>
      <c r="P4077" s="22"/>
      <c r="Q4077" s="22"/>
      <c r="R4077" s="22"/>
      <c r="S4077" s="22"/>
      <c r="T4077" s="22"/>
      <c r="U4077" s="22"/>
      <c r="V4077" s="22"/>
      <c r="W4077" s="22"/>
      <c r="X4077" s="22"/>
    </row>
    <row r="4078" spans="1:24" x14ac:dyDescent="0.25">
      <c r="A4078" s="22"/>
      <c r="B4078" s="22"/>
      <c r="C4078" s="22"/>
      <c r="D4078" s="22"/>
      <c r="E4078" s="22"/>
      <c r="F4078" s="22"/>
      <c r="G4078" s="22"/>
      <c r="H4078" s="22"/>
      <c r="I4078" s="22"/>
      <c r="J4078" s="22"/>
      <c r="K4078" s="22"/>
      <c r="L4078" s="22"/>
      <c r="M4078" s="22"/>
      <c r="N4078" s="22"/>
      <c r="O4078" s="22"/>
      <c r="P4078" s="22"/>
      <c r="Q4078" s="22"/>
      <c r="R4078" s="22"/>
      <c r="S4078" s="22"/>
      <c r="T4078" s="22"/>
      <c r="U4078" s="22"/>
      <c r="V4078" s="22"/>
      <c r="W4078" s="22"/>
      <c r="X4078" s="22"/>
    </row>
    <row r="4079" spans="1:24" x14ac:dyDescent="0.25">
      <c r="A4079" s="22"/>
      <c r="B4079" s="22"/>
      <c r="C4079" s="22"/>
      <c r="D4079" s="22"/>
      <c r="E4079" s="22"/>
      <c r="F4079" s="22"/>
      <c r="G4079" s="22"/>
      <c r="H4079" s="22"/>
      <c r="I4079" s="22"/>
      <c r="J4079" s="22"/>
      <c r="K4079" s="22"/>
      <c r="L4079" s="22"/>
      <c r="M4079" s="22"/>
      <c r="N4079" s="22"/>
      <c r="O4079" s="22"/>
      <c r="P4079" s="22"/>
      <c r="Q4079" s="22"/>
      <c r="R4079" s="22"/>
      <c r="S4079" s="22"/>
      <c r="T4079" s="22"/>
      <c r="U4079" s="22"/>
      <c r="V4079" s="22"/>
      <c r="W4079" s="22"/>
      <c r="X4079" s="22"/>
    </row>
    <row r="4080" spans="1:24" x14ac:dyDescent="0.25">
      <c r="A4080" s="22"/>
      <c r="B4080" s="22"/>
      <c r="C4080" s="22"/>
      <c r="D4080" s="22"/>
      <c r="E4080" s="22"/>
      <c r="F4080" s="22"/>
      <c r="G4080" s="22"/>
      <c r="H4080" s="22"/>
      <c r="I4080" s="22"/>
      <c r="J4080" s="22"/>
      <c r="K4080" s="22"/>
      <c r="L4080" s="22"/>
      <c r="M4080" s="22"/>
      <c r="N4080" s="22"/>
      <c r="O4080" s="22"/>
      <c r="P4080" s="22"/>
      <c r="Q4080" s="22"/>
      <c r="R4080" s="22"/>
      <c r="S4080" s="22"/>
      <c r="T4080" s="22"/>
      <c r="U4080" s="22"/>
      <c r="V4080" s="22"/>
      <c r="W4080" s="22"/>
      <c r="X4080" s="22"/>
    </row>
    <row r="4081" spans="1:24" x14ac:dyDescent="0.25">
      <c r="A4081" s="22"/>
      <c r="B4081" s="22"/>
      <c r="C4081" s="22"/>
      <c r="D4081" s="22"/>
      <c r="E4081" s="22"/>
      <c r="F4081" s="22"/>
      <c r="G4081" s="22"/>
      <c r="H4081" s="22"/>
      <c r="I4081" s="22"/>
      <c r="J4081" s="22"/>
      <c r="K4081" s="22"/>
      <c r="L4081" s="22"/>
      <c r="M4081" s="22"/>
      <c r="N4081" s="22"/>
      <c r="O4081" s="22"/>
      <c r="P4081" s="22"/>
      <c r="Q4081" s="22"/>
      <c r="R4081" s="22"/>
      <c r="S4081" s="22"/>
      <c r="T4081" s="22"/>
      <c r="U4081" s="22"/>
      <c r="V4081" s="22"/>
      <c r="W4081" s="22"/>
      <c r="X4081" s="22"/>
    </row>
    <row r="4082" spans="1:24" x14ac:dyDescent="0.25">
      <c r="A4082" s="22"/>
      <c r="B4082" s="22"/>
      <c r="C4082" s="22"/>
      <c r="D4082" s="22"/>
      <c r="E4082" s="22"/>
      <c r="F4082" s="22"/>
      <c r="G4082" s="22"/>
      <c r="H4082" s="22"/>
      <c r="I4082" s="22"/>
      <c r="J4082" s="22"/>
      <c r="K4082" s="22"/>
      <c r="L4082" s="22"/>
      <c r="M4082" s="22"/>
      <c r="N4082" s="22"/>
      <c r="O4082" s="22"/>
      <c r="P4082" s="22"/>
      <c r="Q4082" s="22"/>
      <c r="R4082" s="22"/>
      <c r="S4082" s="22"/>
      <c r="T4082" s="22"/>
      <c r="U4082" s="22"/>
      <c r="V4082" s="22"/>
      <c r="W4082" s="22"/>
      <c r="X4082" s="22"/>
    </row>
    <row r="4083" spans="1:24" x14ac:dyDescent="0.25">
      <c r="A4083" s="22"/>
      <c r="B4083" s="22"/>
      <c r="C4083" s="22"/>
      <c r="D4083" s="22"/>
      <c r="E4083" s="22"/>
      <c r="F4083" s="22"/>
      <c r="G4083" s="22"/>
      <c r="H4083" s="22"/>
      <c r="I4083" s="22"/>
      <c r="J4083" s="22"/>
      <c r="K4083" s="22"/>
      <c r="L4083" s="22"/>
      <c r="M4083" s="22"/>
      <c r="N4083" s="22"/>
      <c r="O4083" s="22"/>
      <c r="P4083" s="22"/>
      <c r="Q4083" s="22"/>
      <c r="R4083" s="22"/>
      <c r="S4083" s="22"/>
      <c r="T4083" s="22"/>
      <c r="U4083" s="22"/>
      <c r="V4083" s="22"/>
      <c r="W4083" s="22"/>
      <c r="X4083" s="22"/>
    </row>
    <row r="4084" spans="1:24" x14ac:dyDescent="0.25">
      <c r="A4084" s="22"/>
      <c r="B4084" s="22"/>
      <c r="C4084" s="22"/>
      <c r="D4084" s="22"/>
      <c r="E4084" s="22"/>
      <c r="F4084" s="22"/>
      <c r="G4084" s="22"/>
      <c r="H4084" s="22"/>
      <c r="I4084" s="22"/>
      <c r="J4084" s="22"/>
      <c r="K4084" s="22"/>
      <c r="L4084" s="22"/>
      <c r="M4084" s="22"/>
      <c r="N4084" s="22"/>
      <c r="O4084" s="22"/>
      <c r="P4084" s="22"/>
      <c r="Q4084" s="22"/>
      <c r="R4084" s="22"/>
      <c r="S4084" s="22"/>
      <c r="T4084" s="22"/>
      <c r="U4084" s="22"/>
      <c r="V4084" s="22"/>
      <c r="W4084" s="22"/>
      <c r="X4084" s="22"/>
    </row>
    <row r="4085" spans="1:24" x14ac:dyDescent="0.25">
      <c r="A4085" s="22"/>
      <c r="B4085" s="22"/>
      <c r="C4085" s="22"/>
      <c r="D4085" s="22"/>
      <c r="E4085" s="22"/>
      <c r="F4085" s="22"/>
      <c r="G4085" s="22"/>
      <c r="H4085" s="22"/>
      <c r="I4085" s="22"/>
      <c r="J4085" s="22"/>
      <c r="K4085" s="22"/>
      <c r="L4085" s="22"/>
      <c r="M4085" s="22"/>
      <c r="N4085" s="22"/>
      <c r="O4085" s="22"/>
      <c r="P4085" s="22"/>
      <c r="Q4085" s="22"/>
      <c r="R4085" s="22"/>
      <c r="S4085" s="22"/>
      <c r="T4085" s="22"/>
      <c r="U4085" s="22"/>
      <c r="V4085" s="22"/>
      <c r="W4085" s="22"/>
      <c r="X4085" s="22"/>
    </row>
    <row r="4086" spans="1:24" x14ac:dyDescent="0.25">
      <c r="A4086" s="22"/>
      <c r="B4086" s="22"/>
      <c r="C4086" s="22"/>
      <c r="D4086" s="22"/>
      <c r="E4086" s="22"/>
      <c r="F4086" s="22"/>
      <c r="G4086" s="22"/>
      <c r="H4086" s="22"/>
      <c r="I4086" s="22"/>
      <c r="J4086" s="22"/>
      <c r="K4086" s="22"/>
      <c r="L4086" s="22"/>
      <c r="M4086" s="22"/>
      <c r="N4086" s="22"/>
      <c r="O4086" s="22"/>
      <c r="P4086" s="22"/>
      <c r="Q4086" s="22"/>
      <c r="R4086" s="22"/>
      <c r="S4086" s="22"/>
      <c r="T4086" s="22"/>
      <c r="U4086" s="22"/>
      <c r="V4086" s="22"/>
      <c r="W4086" s="22"/>
      <c r="X4086" s="22"/>
    </row>
    <row r="4087" spans="1:24" x14ac:dyDescent="0.25">
      <c r="A4087" s="22"/>
      <c r="B4087" s="22"/>
      <c r="C4087" s="22"/>
      <c r="D4087" s="22"/>
      <c r="E4087" s="22"/>
      <c r="F4087" s="22"/>
      <c r="G4087" s="22"/>
      <c r="H4087" s="22"/>
      <c r="I4087" s="22"/>
      <c r="J4087" s="22"/>
      <c r="K4087" s="22"/>
      <c r="L4087" s="22"/>
      <c r="M4087" s="22"/>
      <c r="N4087" s="22"/>
      <c r="O4087" s="22"/>
      <c r="P4087" s="22"/>
      <c r="Q4087" s="22"/>
      <c r="R4087" s="22"/>
      <c r="S4087" s="22"/>
      <c r="T4087" s="22"/>
      <c r="U4087" s="22"/>
      <c r="V4087" s="22"/>
      <c r="W4087" s="22"/>
      <c r="X4087" s="22"/>
    </row>
    <row r="4088" spans="1:24" x14ac:dyDescent="0.25">
      <c r="A4088" s="22"/>
      <c r="B4088" s="22"/>
      <c r="C4088" s="22"/>
      <c r="D4088" s="22"/>
      <c r="E4088" s="22"/>
      <c r="F4088" s="22"/>
      <c r="G4088" s="22"/>
      <c r="H4088" s="22"/>
      <c r="I4088" s="22"/>
      <c r="J4088" s="22"/>
      <c r="K4088" s="22"/>
      <c r="L4088" s="22"/>
      <c r="M4088" s="22"/>
      <c r="N4088" s="22"/>
      <c r="O4088" s="22"/>
      <c r="P4088" s="22"/>
      <c r="Q4088" s="22"/>
      <c r="R4088" s="22"/>
      <c r="S4088" s="22"/>
      <c r="T4088" s="22"/>
      <c r="U4088" s="22"/>
      <c r="V4088" s="22"/>
      <c r="W4088" s="22"/>
      <c r="X4088" s="22"/>
    </row>
    <row r="4089" spans="1:24" x14ac:dyDescent="0.25">
      <c r="A4089" s="22"/>
      <c r="B4089" s="22"/>
      <c r="C4089" s="22"/>
      <c r="D4089" s="22"/>
      <c r="E4089" s="22"/>
      <c r="F4089" s="22"/>
      <c r="G4089" s="22"/>
      <c r="H4089" s="22"/>
      <c r="I4089" s="22"/>
      <c r="J4089" s="22"/>
      <c r="K4089" s="22"/>
      <c r="L4089" s="22"/>
      <c r="M4089" s="22"/>
      <c r="N4089" s="22"/>
      <c r="O4089" s="22"/>
      <c r="P4089" s="22"/>
      <c r="Q4089" s="22"/>
      <c r="R4089" s="22"/>
      <c r="S4089" s="22"/>
      <c r="T4089" s="22"/>
      <c r="U4089" s="22"/>
      <c r="V4089" s="22"/>
      <c r="W4089" s="22"/>
      <c r="X4089" s="22"/>
    </row>
    <row r="4090" spans="1:24" x14ac:dyDescent="0.25">
      <c r="A4090" s="22"/>
      <c r="B4090" s="22"/>
      <c r="C4090" s="22"/>
      <c r="D4090" s="22"/>
      <c r="E4090" s="22"/>
      <c r="F4090" s="22"/>
      <c r="G4090" s="22"/>
      <c r="H4090" s="22"/>
      <c r="I4090" s="22"/>
      <c r="J4090" s="22"/>
      <c r="K4090" s="22"/>
      <c r="L4090" s="22"/>
      <c r="M4090" s="22"/>
      <c r="N4090" s="22"/>
      <c r="O4090" s="22"/>
      <c r="P4090" s="22"/>
      <c r="Q4090" s="22"/>
      <c r="R4090" s="22"/>
      <c r="S4090" s="22"/>
      <c r="T4090" s="22"/>
      <c r="U4090" s="22"/>
      <c r="V4090" s="22"/>
      <c r="W4090" s="22"/>
      <c r="X4090" s="22"/>
    </row>
    <row r="4091" spans="1:24" x14ac:dyDescent="0.25">
      <c r="A4091" s="22"/>
      <c r="B4091" s="22"/>
      <c r="C4091" s="22"/>
      <c r="D4091" s="22"/>
      <c r="E4091" s="22"/>
      <c r="F4091" s="22"/>
      <c r="G4091" s="22"/>
      <c r="H4091" s="22"/>
      <c r="I4091" s="22"/>
      <c r="J4091" s="22"/>
      <c r="K4091" s="22"/>
      <c r="L4091" s="22"/>
      <c r="M4091" s="22"/>
      <c r="N4091" s="22"/>
      <c r="O4091" s="22"/>
      <c r="P4091" s="22"/>
      <c r="Q4091" s="22"/>
      <c r="R4091" s="22"/>
      <c r="S4091" s="22"/>
      <c r="T4091" s="22"/>
      <c r="U4091" s="22"/>
      <c r="V4091" s="22"/>
      <c r="W4091" s="22"/>
      <c r="X4091" s="22"/>
    </row>
    <row r="4092" spans="1:24" x14ac:dyDescent="0.25">
      <c r="A4092" s="22"/>
      <c r="B4092" s="22"/>
      <c r="C4092" s="22"/>
      <c r="D4092" s="22"/>
      <c r="E4092" s="22"/>
      <c r="F4092" s="22"/>
      <c r="G4092" s="22"/>
      <c r="H4092" s="22"/>
      <c r="I4092" s="22"/>
      <c r="J4092" s="22"/>
      <c r="K4092" s="22"/>
      <c r="L4092" s="22"/>
      <c r="M4092" s="22"/>
      <c r="N4092" s="22"/>
      <c r="O4092" s="22"/>
      <c r="P4092" s="22"/>
      <c r="Q4092" s="22"/>
      <c r="R4092" s="22"/>
      <c r="S4092" s="22"/>
      <c r="T4092" s="22"/>
      <c r="U4092" s="22"/>
      <c r="V4092" s="22"/>
      <c r="W4092" s="22"/>
      <c r="X4092" s="22"/>
    </row>
    <row r="4093" spans="1:24" x14ac:dyDescent="0.25">
      <c r="A4093" s="22"/>
      <c r="B4093" s="22"/>
      <c r="C4093" s="22"/>
      <c r="D4093" s="22"/>
      <c r="E4093" s="22"/>
      <c r="F4093" s="22"/>
      <c r="G4093" s="22"/>
      <c r="H4093" s="22"/>
      <c r="I4093" s="22"/>
      <c r="J4093" s="22"/>
      <c r="K4093" s="22"/>
      <c r="L4093" s="22"/>
      <c r="M4093" s="22"/>
      <c r="N4093" s="22"/>
      <c r="O4093" s="22"/>
      <c r="P4093" s="22"/>
      <c r="Q4093" s="22"/>
      <c r="R4093" s="22"/>
      <c r="S4093" s="22"/>
      <c r="T4093" s="22"/>
      <c r="U4093" s="22"/>
      <c r="V4093" s="22"/>
      <c r="W4093" s="22"/>
      <c r="X4093" s="22"/>
    </row>
    <row r="4094" spans="1:24" x14ac:dyDescent="0.25">
      <c r="A4094" s="22"/>
      <c r="B4094" s="22"/>
      <c r="C4094" s="22"/>
      <c r="D4094" s="22"/>
      <c r="E4094" s="22"/>
      <c r="F4094" s="22"/>
      <c r="G4094" s="22"/>
      <c r="H4094" s="22"/>
      <c r="I4094" s="22"/>
      <c r="J4094" s="22"/>
      <c r="K4094" s="22"/>
      <c r="L4094" s="22"/>
      <c r="M4094" s="22"/>
      <c r="N4094" s="22"/>
      <c r="O4094" s="22"/>
      <c r="P4094" s="22"/>
      <c r="Q4094" s="22"/>
      <c r="R4094" s="22"/>
      <c r="S4094" s="22"/>
      <c r="T4094" s="22"/>
      <c r="U4094" s="22"/>
      <c r="V4094" s="22"/>
      <c r="W4094" s="22"/>
      <c r="X4094" s="22"/>
    </row>
    <row r="4095" spans="1:24" x14ac:dyDescent="0.25">
      <c r="A4095" s="22"/>
      <c r="B4095" s="22"/>
      <c r="C4095" s="22"/>
      <c r="D4095" s="22"/>
      <c r="E4095" s="22"/>
      <c r="F4095" s="22"/>
      <c r="G4095" s="22"/>
      <c r="H4095" s="22"/>
      <c r="I4095" s="22"/>
      <c r="J4095" s="22"/>
      <c r="K4095" s="22"/>
      <c r="L4095" s="22"/>
      <c r="M4095" s="22"/>
      <c r="N4095" s="22"/>
      <c r="O4095" s="22"/>
      <c r="P4095" s="22"/>
      <c r="Q4095" s="22"/>
      <c r="R4095" s="22"/>
      <c r="S4095" s="22"/>
      <c r="T4095" s="22"/>
      <c r="U4095" s="22"/>
      <c r="V4095" s="22"/>
      <c r="W4095" s="22"/>
      <c r="X4095" s="22"/>
    </row>
    <row r="4096" spans="1:24" x14ac:dyDescent="0.25">
      <c r="A4096" s="22"/>
      <c r="B4096" s="22"/>
      <c r="C4096" s="22"/>
      <c r="D4096" s="22"/>
      <c r="E4096" s="22"/>
      <c r="F4096" s="22"/>
      <c r="G4096" s="22"/>
      <c r="H4096" s="22"/>
      <c r="I4096" s="22"/>
      <c r="J4096" s="22"/>
      <c r="K4096" s="22"/>
      <c r="L4096" s="22"/>
      <c r="M4096" s="22"/>
      <c r="N4096" s="22"/>
      <c r="O4096" s="22"/>
      <c r="P4096" s="22"/>
      <c r="Q4096" s="22"/>
      <c r="R4096" s="22"/>
      <c r="S4096" s="22"/>
      <c r="T4096" s="22"/>
      <c r="U4096" s="22"/>
      <c r="V4096" s="22"/>
      <c r="W4096" s="22"/>
      <c r="X4096" s="22"/>
    </row>
    <row r="4097" spans="1:24" x14ac:dyDescent="0.25">
      <c r="A4097" s="22"/>
      <c r="B4097" s="22"/>
      <c r="C4097" s="22"/>
      <c r="D4097" s="22"/>
      <c r="E4097" s="22"/>
      <c r="F4097" s="22"/>
      <c r="G4097" s="22"/>
      <c r="H4097" s="22"/>
      <c r="I4097" s="22"/>
      <c r="J4097" s="22"/>
      <c r="K4097" s="22"/>
      <c r="L4097" s="22"/>
      <c r="M4097" s="22"/>
      <c r="N4097" s="22"/>
      <c r="O4097" s="22"/>
      <c r="P4097" s="22"/>
      <c r="Q4097" s="22"/>
      <c r="R4097" s="22"/>
      <c r="S4097" s="22"/>
      <c r="T4097" s="22"/>
      <c r="U4097" s="22"/>
      <c r="V4097" s="22"/>
      <c r="W4097" s="22"/>
      <c r="X4097" s="22"/>
    </row>
    <row r="4098" spans="1:24" x14ac:dyDescent="0.25">
      <c r="A4098" s="22"/>
      <c r="B4098" s="22"/>
      <c r="C4098" s="22"/>
      <c r="D4098" s="22"/>
      <c r="E4098" s="22"/>
      <c r="F4098" s="22"/>
      <c r="G4098" s="22"/>
      <c r="H4098" s="22"/>
      <c r="I4098" s="22"/>
      <c r="J4098" s="22"/>
      <c r="K4098" s="22"/>
      <c r="L4098" s="22"/>
      <c r="M4098" s="22"/>
      <c r="N4098" s="22"/>
      <c r="O4098" s="22"/>
      <c r="P4098" s="22"/>
      <c r="Q4098" s="22"/>
      <c r="R4098" s="22"/>
      <c r="S4098" s="22"/>
      <c r="T4098" s="22"/>
      <c r="U4098" s="22"/>
      <c r="V4098" s="22"/>
      <c r="W4098" s="22"/>
      <c r="X4098" s="22"/>
    </row>
    <row r="4099" spans="1:24" x14ac:dyDescent="0.25">
      <c r="A4099" s="22"/>
      <c r="B4099" s="22"/>
      <c r="C4099" s="22"/>
      <c r="D4099" s="22"/>
      <c r="E4099" s="22"/>
      <c r="F4099" s="22"/>
      <c r="G4099" s="22"/>
      <c r="H4099" s="22"/>
      <c r="I4099" s="22"/>
      <c r="J4099" s="22"/>
      <c r="K4099" s="22"/>
      <c r="L4099" s="22"/>
      <c r="M4099" s="22"/>
      <c r="N4099" s="22"/>
      <c r="O4099" s="22"/>
      <c r="P4099" s="22"/>
      <c r="Q4099" s="22"/>
      <c r="R4099" s="22"/>
      <c r="S4099" s="22"/>
      <c r="T4099" s="22"/>
      <c r="U4099" s="22"/>
      <c r="V4099" s="22"/>
      <c r="W4099" s="22"/>
      <c r="X4099" s="22"/>
    </row>
    <row r="4100" spans="1:24" x14ac:dyDescent="0.25">
      <c r="A4100" s="22"/>
      <c r="B4100" s="22"/>
      <c r="C4100" s="22"/>
      <c r="D4100" s="22"/>
      <c r="E4100" s="22"/>
      <c r="F4100" s="22"/>
      <c r="G4100" s="22"/>
      <c r="H4100" s="22"/>
      <c r="I4100" s="22"/>
      <c r="J4100" s="22"/>
      <c r="K4100" s="22"/>
      <c r="L4100" s="22"/>
      <c r="M4100" s="22"/>
      <c r="N4100" s="22"/>
      <c r="O4100" s="22"/>
      <c r="P4100" s="22"/>
      <c r="Q4100" s="22"/>
      <c r="R4100" s="22"/>
      <c r="S4100" s="22"/>
      <c r="T4100" s="22"/>
      <c r="U4100" s="22"/>
      <c r="V4100" s="22"/>
      <c r="W4100" s="22"/>
      <c r="X4100" s="22"/>
    </row>
    <row r="4101" spans="1:24" x14ac:dyDescent="0.25">
      <c r="A4101" s="22"/>
      <c r="B4101" s="22"/>
      <c r="C4101" s="22"/>
      <c r="D4101" s="22"/>
      <c r="E4101" s="22"/>
      <c r="F4101" s="22"/>
      <c r="G4101" s="22"/>
      <c r="H4101" s="22"/>
      <c r="I4101" s="22"/>
      <c r="J4101" s="22"/>
      <c r="K4101" s="22"/>
      <c r="L4101" s="22"/>
      <c r="M4101" s="22"/>
      <c r="N4101" s="22"/>
      <c r="O4101" s="22"/>
      <c r="P4101" s="22"/>
      <c r="Q4101" s="22"/>
      <c r="R4101" s="22"/>
      <c r="S4101" s="22"/>
      <c r="T4101" s="22"/>
      <c r="U4101" s="22"/>
      <c r="V4101" s="22"/>
      <c r="W4101" s="22"/>
      <c r="X4101" s="22"/>
    </row>
    <row r="4102" spans="1:24" x14ac:dyDescent="0.25">
      <c r="A4102" s="22"/>
      <c r="B4102" s="22"/>
      <c r="C4102" s="22"/>
      <c r="D4102" s="22"/>
      <c r="E4102" s="22"/>
      <c r="F4102" s="22"/>
      <c r="G4102" s="22"/>
      <c r="H4102" s="22"/>
      <c r="I4102" s="22"/>
      <c r="J4102" s="22"/>
      <c r="K4102" s="22"/>
      <c r="L4102" s="22"/>
      <c r="M4102" s="22"/>
      <c r="N4102" s="22"/>
      <c r="O4102" s="22"/>
      <c r="P4102" s="22"/>
      <c r="Q4102" s="22"/>
      <c r="R4102" s="22"/>
      <c r="S4102" s="22"/>
      <c r="T4102" s="22"/>
      <c r="U4102" s="22"/>
      <c r="V4102" s="22"/>
      <c r="W4102" s="22"/>
      <c r="X4102" s="22"/>
    </row>
    <row r="4103" spans="1:24" x14ac:dyDescent="0.25">
      <c r="A4103" s="22"/>
      <c r="B4103" s="22"/>
      <c r="C4103" s="22"/>
      <c r="D4103" s="22"/>
      <c r="E4103" s="22"/>
      <c r="F4103" s="22"/>
      <c r="G4103" s="22"/>
      <c r="H4103" s="22"/>
      <c r="I4103" s="22"/>
      <c r="J4103" s="22"/>
      <c r="K4103" s="22"/>
      <c r="L4103" s="22"/>
      <c r="M4103" s="22"/>
      <c r="N4103" s="22"/>
      <c r="O4103" s="22"/>
      <c r="P4103" s="22"/>
      <c r="Q4103" s="22"/>
      <c r="R4103" s="22"/>
      <c r="S4103" s="22"/>
      <c r="T4103" s="22"/>
      <c r="U4103" s="22"/>
      <c r="V4103" s="22"/>
      <c r="W4103" s="22"/>
      <c r="X4103" s="22"/>
    </row>
    <row r="4104" spans="1:24" x14ac:dyDescent="0.25">
      <c r="A4104" s="22"/>
      <c r="B4104" s="22"/>
      <c r="C4104" s="22"/>
      <c r="D4104" s="22"/>
      <c r="E4104" s="22"/>
      <c r="F4104" s="22"/>
      <c r="G4104" s="22"/>
      <c r="H4104" s="22"/>
      <c r="I4104" s="22"/>
      <c r="J4104" s="22"/>
      <c r="K4104" s="22"/>
      <c r="L4104" s="22"/>
      <c r="M4104" s="22"/>
      <c r="N4104" s="22"/>
      <c r="O4104" s="22"/>
      <c r="P4104" s="22"/>
      <c r="Q4104" s="22"/>
      <c r="R4104" s="22"/>
      <c r="S4104" s="22"/>
      <c r="T4104" s="22"/>
      <c r="U4104" s="22"/>
      <c r="V4104" s="22"/>
      <c r="W4104" s="22"/>
      <c r="X4104" s="22"/>
    </row>
    <row r="4105" spans="1:24" x14ac:dyDescent="0.25">
      <c r="A4105" s="22"/>
      <c r="B4105" s="22"/>
      <c r="C4105" s="22"/>
      <c r="D4105" s="22"/>
      <c r="E4105" s="22"/>
      <c r="F4105" s="22"/>
      <c r="G4105" s="22"/>
      <c r="H4105" s="22"/>
      <c r="I4105" s="22"/>
      <c r="J4105" s="22"/>
      <c r="K4105" s="22"/>
      <c r="L4105" s="22"/>
      <c r="M4105" s="22"/>
      <c r="N4105" s="22"/>
      <c r="O4105" s="22"/>
      <c r="P4105" s="22"/>
      <c r="Q4105" s="22"/>
      <c r="R4105" s="22"/>
      <c r="S4105" s="22"/>
      <c r="T4105" s="22"/>
      <c r="U4105" s="22"/>
      <c r="V4105" s="22"/>
      <c r="W4105" s="22"/>
      <c r="X4105" s="22"/>
    </row>
    <row r="4106" spans="1:24" x14ac:dyDescent="0.25">
      <c r="A4106" s="22"/>
      <c r="B4106" s="22"/>
      <c r="C4106" s="22"/>
      <c r="D4106" s="22"/>
      <c r="E4106" s="22"/>
      <c r="F4106" s="22"/>
      <c r="G4106" s="22"/>
      <c r="H4106" s="22"/>
      <c r="I4106" s="22"/>
      <c r="J4106" s="22"/>
      <c r="K4106" s="22"/>
      <c r="L4106" s="22"/>
      <c r="M4106" s="22"/>
      <c r="N4106" s="22"/>
      <c r="O4106" s="22"/>
      <c r="P4106" s="22"/>
      <c r="Q4106" s="22"/>
      <c r="R4106" s="22"/>
      <c r="S4106" s="22"/>
      <c r="T4106" s="22"/>
      <c r="U4106" s="22"/>
      <c r="V4106" s="22"/>
      <c r="W4106" s="22"/>
      <c r="X4106" s="22"/>
    </row>
    <row r="4107" spans="1:24" x14ac:dyDescent="0.25">
      <c r="A4107" s="22"/>
      <c r="B4107" s="22"/>
      <c r="C4107" s="22"/>
      <c r="D4107" s="22"/>
      <c r="E4107" s="22"/>
      <c r="F4107" s="22"/>
      <c r="G4107" s="22"/>
      <c r="H4107" s="22"/>
      <c r="I4107" s="22"/>
      <c r="J4107" s="22"/>
      <c r="K4107" s="22"/>
      <c r="L4107" s="22"/>
      <c r="M4107" s="22"/>
      <c r="N4107" s="22"/>
      <c r="O4107" s="22"/>
      <c r="P4107" s="22"/>
      <c r="Q4107" s="22"/>
      <c r="R4107" s="22"/>
      <c r="S4107" s="22"/>
      <c r="T4107" s="22"/>
      <c r="U4107" s="22"/>
      <c r="V4107" s="22"/>
      <c r="W4107" s="22"/>
      <c r="X4107" s="22"/>
    </row>
    <row r="4108" spans="1:24" x14ac:dyDescent="0.25">
      <c r="A4108" s="22"/>
      <c r="B4108" s="22"/>
      <c r="C4108" s="22"/>
      <c r="D4108" s="22"/>
      <c r="E4108" s="22"/>
      <c r="F4108" s="22"/>
      <c r="G4108" s="22"/>
      <c r="H4108" s="22"/>
      <c r="I4108" s="22"/>
      <c r="J4108" s="22"/>
      <c r="K4108" s="22"/>
      <c r="L4108" s="22"/>
      <c r="M4108" s="22"/>
      <c r="N4108" s="22"/>
      <c r="O4108" s="22"/>
      <c r="P4108" s="22"/>
      <c r="Q4108" s="22"/>
      <c r="R4108" s="22"/>
      <c r="S4108" s="22"/>
      <c r="T4108" s="22"/>
      <c r="U4108" s="22"/>
      <c r="V4108" s="22"/>
      <c r="W4108" s="22"/>
      <c r="X4108" s="22"/>
    </row>
    <row r="4109" spans="1:24" x14ac:dyDescent="0.25">
      <c r="A4109" s="22"/>
      <c r="B4109" s="22"/>
      <c r="C4109" s="22"/>
      <c r="D4109" s="22"/>
      <c r="E4109" s="22"/>
      <c r="F4109" s="22"/>
      <c r="G4109" s="22"/>
      <c r="H4109" s="22"/>
      <c r="I4109" s="22"/>
      <c r="J4109" s="22"/>
      <c r="K4109" s="22"/>
      <c r="L4109" s="22"/>
      <c r="M4109" s="22"/>
      <c r="N4109" s="22"/>
      <c r="O4109" s="22"/>
      <c r="P4109" s="22"/>
      <c r="Q4109" s="22"/>
      <c r="R4109" s="22"/>
      <c r="S4109" s="22"/>
      <c r="T4109" s="22"/>
      <c r="U4109" s="22"/>
      <c r="V4109" s="22"/>
      <c r="W4109" s="22"/>
      <c r="X4109" s="22"/>
    </row>
    <row r="4110" spans="1:24" x14ac:dyDescent="0.25">
      <c r="A4110" s="22"/>
      <c r="B4110" s="22"/>
      <c r="C4110" s="22"/>
      <c r="D4110" s="22"/>
      <c r="E4110" s="22"/>
      <c r="F4110" s="22"/>
      <c r="G4110" s="22"/>
      <c r="H4110" s="22"/>
      <c r="I4110" s="22"/>
      <c r="J4110" s="22"/>
      <c r="K4110" s="22"/>
      <c r="L4110" s="22"/>
      <c r="M4110" s="22"/>
      <c r="N4110" s="22"/>
      <c r="O4110" s="22"/>
      <c r="P4110" s="22"/>
      <c r="Q4110" s="22"/>
      <c r="R4110" s="22"/>
      <c r="S4110" s="22"/>
      <c r="T4110" s="22"/>
      <c r="U4110" s="22"/>
      <c r="V4110" s="22"/>
      <c r="W4110" s="22"/>
      <c r="X4110" s="22"/>
    </row>
    <row r="4111" spans="1:24" x14ac:dyDescent="0.25">
      <c r="A4111" s="22"/>
      <c r="B4111" s="22"/>
      <c r="C4111" s="22"/>
      <c r="D4111" s="22"/>
      <c r="E4111" s="22"/>
      <c r="F4111" s="22"/>
      <c r="G4111" s="22"/>
      <c r="H4111" s="22"/>
      <c r="I4111" s="22"/>
      <c r="J4111" s="22"/>
      <c r="K4111" s="22"/>
      <c r="L4111" s="22"/>
      <c r="M4111" s="22"/>
      <c r="N4111" s="22"/>
      <c r="O4111" s="22"/>
      <c r="P4111" s="22"/>
      <c r="Q4111" s="22"/>
      <c r="R4111" s="22"/>
      <c r="S4111" s="22"/>
      <c r="T4111" s="22"/>
      <c r="U4111" s="22"/>
      <c r="V4111" s="22"/>
      <c r="W4111" s="22"/>
      <c r="X4111" s="22"/>
    </row>
    <row r="4112" spans="1:24" x14ac:dyDescent="0.25">
      <c r="A4112" s="22"/>
      <c r="B4112" s="22"/>
      <c r="C4112" s="22"/>
      <c r="D4112" s="22"/>
      <c r="E4112" s="22"/>
      <c r="F4112" s="22"/>
      <c r="G4112" s="22"/>
      <c r="H4112" s="22"/>
      <c r="I4112" s="22"/>
      <c r="J4112" s="22"/>
      <c r="K4112" s="22"/>
      <c r="L4112" s="22"/>
      <c r="M4112" s="22"/>
      <c r="N4112" s="22"/>
      <c r="O4112" s="22"/>
      <c r="P4112" s="22"/>
      <c r="Q4112" s="22"/>
      <c r="R4112" s="22"/>
      <c r="S4112" s="22"/>
      <c r="T4112" s="22"/>
      <c r="U4112" s="22"/>
      <c r="V4112" s="22"/>
      <c r="W4112" s="22"/>
      <c r="X4112" s="22"/>
    </row>
    <row r="4113" spans="1:24" x14ac:dyDescent="0.25">
      <c r="A4113" s="22"/>
      <c r="B4113" s="22"/>
      <c r="C4113" s="22"/>
      <c r="D4113" s="22"/>
      <c r="E4113" s="22"/>
      <c r="F4113" s="22"/>
      <c r="G4113" s="22"/>
      <c r="H4113" s="22"/>
      <c r="I4113" s="22"/>
      <c r="J4113" s="22"/>
      <c r="K4113" s="22"/>
      <c r="L4113" s="22"/>
      <c r="M4113" s="22"/>
      <c r="N4113" s="22"/>
      <c r="O4113" s="22"/>
      <c r="P4113" s="22"/>
      <c r="Q4113" s="22"/>
      <c r="R4113" s="22"/>
      <c r="S4113" s="22"/>
      <c r="T4113" s="22"/>
      <c r="U4113" s="22"/>
      <c r="V4113" s="22"/>
      <c r="W4113" s="22"/>
      <c r="X4113" s="22"/>
    </row>
    <row r="4114" spans="1:24" x14ac:dyDescent="0.25">
      <c r="A4114" s="22"/>
      <c r="B4114" s="22"/>
      <c r="C4114" s="22"/>
      <c r="D4114" s="22"/>
      <c r="E4114" s="22"/>
      <c r="F4114" s="22"/>
      <c r="G4114" s="22"/>
      <c r="H4114" s="22"/>
      <c r="I4114" s="22"/>
      <c r="J4114" s="22"/>
      <c r="K4114" s="22"/>
      <c r="L4114" s="22"/>
      <c r="M4114" s="22"/>
      <c r="N4114" s="22"/>
      <c r="O4114" s="22"/>
      <c r="P4114" s="22"/>
      <c r="Q4114" s="22"/>
      <c r="R4114" s="22"/>
      <c r="S4114" s="22"/>
      <c r="T4114" s="22"/>
      <c r="U4114" s="22"/>
      <c r="V4114" s="22"/>
      <c r="W4114" s="22"/>
      <c r="X4114" s="22"/>
    </row>
    <row r="4115" spans="1:24" x14ac:dyDescent="0.25">
      <c r="A4115" s="22"/>
      <c r="B4115" s="22"/>
      <c r="C4115" s="22"/>
      <c r="D4115" s="22"/>
      <c r="E4115" s="22"/>
      <c r="F4115" s="22"/>
      <c r="G4115" s="22"/>
      <c r="H4115" s="22"/>
      <c r="I4115" s="22"/>
      <c r="J4115" s="22"/>
      <c r="K4115" s="22"/>
      <c r="L4115" s="22"/>
      <c r="M4115" s="22"/>
      <c r="N4115" s="22"/>
      <c r="O4115" s="22"/>
      <c r="P4115" s="22"/>
      <c r="Q4115" s="22"/>
      <c r="R4115" s="22"/>
      <c r="S4115" s="22"/>
      <c r="T4115" s="22"/>
      <c r="U4115" s="22"/>
      <c r="V4115" s="22"/>
      <c r="W4115" s="22"/>
      <c r="X4115" s="22"/>
    </row>
    <row r="4116" spans="1:24" x14ac:dyDescent="0.25">
      <c r="A4116" s="22"/>
      <c r="B4116" s="22"/>
      <c r="C4116" s="22"/>
      <c r="D4116" s="22"/>
      <c r="E4116" s="22"/>
      <c r="F4116" s="22"/>
      <c r="G4116" s="22"/>
      <c r="H4116" s="22"/>
      <c r="I4116" s="22"/>
      <c r="J4116" s="22"/>
      <c r="K4116" s="22"/>
      <c r="L4116" s="22"/>
      <c r="M4116" s="22"/>
      <c r="N4116" s="22"/>
      <c r="O4116" s="22"/>
      <c r="P4116" s="22"/>
      <c r="Q4116" s="22"/>
      <c r="R4116" s="22"/>
      <c r="S4116" s="22"/>
      <c r="T4116" s="22"/>
      <c r="U4116" s="22"/>
      <c r="V4116" s="22"/>
      <c r="W4116" s="22"/>
      <c r="X4116" s="22"/>
    </row>
    <row r="4117" spans="1:24" x14ac:dyDescent="0.25">
      <c r="A4117" s="22"/>
      <c r="B4117" s="22"/>
      <c r="C4117" s="22"/>
      <c r="D4117" s="22"/>
      <c r="E4117" s="22"/>
      <c r="F4117" s="22"/>
      <c r="G4117" s="22"/>
      <c r="H4117" s="22"/>
      <c r="I4117" s="22"/>
      <c r="J4117" s="22"/>
      <c r="K4117" s="22"/>
      <c r="L4117" s="22"/>
      <c r="M4117" s="22"/>
      <c r="N4117" s="22"/>
      <c r="O4117" s="22"/>
      <c r="P4117" s="22"/>
      <c r="Q4117" s="22"/>
      <c r="R4117" s="22"/>
      <c r="S4117" s="22"/>
      <c r="T4117" s="22"/>
      <c r="U4117" s="22"/>
      <c r="V4117" s="22"/>
      <c r="W4117" s="22"/>
      <c r="X4117" s="22"/>
    </row>
    <row r="4118" spans="1:24" x14ac:dyDescent="0.25">
      <c r="A4118" s="22"/>
      <c r="B4118" s="22"/>
      <c r="C4118" s="22"/>
      <c r="D4118" s="22"/>
      <c r="E4118" s="22"/>
      <c r="F4118" s="22"/>
      <c r="G4118" s="22"/>
      <c r="H4118" s="22"/>
      <c r="I4118" s="22"/>
      <c r="J4118" s="22"/>
      <c r="K4118" s="22"/>
      <c r="L4118" s="22"/>
      <c r="M4118" s="22"/>
      <c r="N4118" s="22"/>
      <c r="O4118" s="22"/>
      <c r="P4118" s="22"/>
      <c r="Q4118" s="22"/>
      <c r="R4118" s="22"/>
      <c r="S4118" s="22"/>
      <c r="T4118" s="22"/>
      <c r="U4118" s="22"/>
      <c r="V4118" s="22"/>
      <c r="W4118" s="22"/>
      <c r="X4118" s="22"/>
    </row>
    <row r="4119" spans="1:24" x14ac:dyDescent="0.25">
      <c r="A4119" s="22"/>
      <c r="B4119" s="22"/>
      <c r="C4119" s="22"/>
      <c r="D4119" s="22"/>
      <c r="E4119" s="22"/>
      <c r="F4119" s="22"/>
      <c r="G4119" s="22"/>
      <c r="H4119" s="22"/>
      <c r="I4119" s="22"/>
      <c r="J4119" s="22"/>
      <c r="K4119" s="22"/>
      <c r="L4119" s="22"/>
      <c r="M4119" s="22"/>
      <c r="N4119" s="22"/>
      <c r="O4119" s="22"/>
      <c r="P4119" s="22"/>
      <c r="Q4119" s="22"/>
      <c r="R4119" s="22"/>
      <c r="S4119" s="22"/>
      <c r="T4119" s="22"/>
      <c r="U4119" s="22"/>
      <c r="V4119" s="22"/>
      <c r="W4119" s="22"/>
      <c r="X4119" s="22"/>
    </row>
    <row r="4120" spans="1:24" x14ac:dyDescent="0.25">
      <c r="A4120" s="22"/>
      <c r="B4120" s="22"/>
      <c r="C4120" s="22"/>
      <c r="D4120" s="22"/>
      <c r="E4120" s="22"/>
      <c r="F4120" s="22"/>
      <c r="G4120" s="22"/>
      <c r="H4120" s="22"/>
      <c r="I4120" s="22"/>
      <c r="J4120" s="22"/>
      <c r="K4120" s="22"/>
      <c r="L4120" s="22"/>
      <c r="M4120" s="22"/>
      <c r="N4120" s="22"/>
      <c r="O4120" s="22"/>
      <c r="P4120" s="22"/>
      <c r="Q4120" s="22"/>
      <c r="R4120" s="22"/>
      <c r="S4120" s="22"/>
      <c r="T4120" s="22"/>
      <c r="U4120" s="22"/>
      <c r="V4120" s="22"/>
      <c r="W4120" s="22"/>
      <c r="X4120" s="22"/>
    </row>
    <row r="4121" spans="1:24" x14ac:dyDescent="0.25">
      <c r="A4121" s="22"/>
      <c r="B4121" s="22"/>
      <c r="C4121" s="22"/>
      <c r="D4121" s="22"/>
      <c r="E4121" s="22"/>
      <c r="F4121" s="22"/>
      <c r="G4121" s="22"/>
      <c r="H4121" s="22"/>
      <c r="I4121" s="22"/>
      <c r="J4121" s="22"/>
      <c r="K4121" s="22"/>
      <c r="L4121" s="22"/>
      <c r="M4121" s="22"/>
      <c r="N4121" s="22"/>
      <c r="O4121" s="22"/>
      <c r="P4121" s="22"/>
      <c r="Q4121" s="22"/>
      <c r="R4121" s="22"/>
      <c r="S4121" s="22"/>
      <c r="T4121" s="22"/>
      <c r="U4121" s="22"/>
      <c r="V4121" s="22"/>
      <c r="W4121" s="22"/>
      <c r="X4121" s="22"/>
    </row>
    <row r="4122" spans="1:24" x14ac:dyDescent="0.25">
      <c r="A4122" s="22"/>
      <c r="B4122" s="22"/>
      <c r="C4122" s="22"/>
      <c r="D4122" s="22"/>
      <c r="E4122" s="22"/>
      <c r="F4122" s="22"/>
      <c r="G4122" s="22"/>
      <c r="H4122" s="22"/>
      <c r="I4122" s="22"/>
      <c r="J4122" s="22"/>
      <c r="K4122" s="22"/>
      <c r="L4122" s="22"/>
      <c r="M4122" s="22"/>
      <c r="N4122" s="22"/>
      <c r="O4122" s="22"/>
      <c r="P4122" s="22"/>
      <c r="Q4122" s="22"/>
      <c r="R4122" s="22"/>
      <c r="S4122" s="22"/>
      <c r="T4122" s="22"/>
      <c r="U4122" s="22"/>
      <c r="V4122" s="22"/>
      <c r="W4122" s="22"/>
      <c r="X4122" s="22"/>
    </row>
    <row r="4123" spans="1:24" x14ac:dyDescent="0.25">
      <c r="A4123" s="22"/>
      <c r="B4123" s="22"/>
      <c r="C4123" s="22"/>
      <c r="D4123" s="22"/>
      <c r="E4123" s="22"/>
      <c r="F4123" s="22"/>
      <c r="G4123" s="22"/>
      <c r="H4123" s="22"/>
      <c r="I4123" s="22"/>
      <c r="J4123" s="22"/>
      <c r="K4123" s="22"/>
      <c r="L4123" s="22"/>
      <c r="M4123" s="22"/>
      <c r="N4123" s="22"/>
      <c r="O4123" s="22"/>
      <c r="P4123" s="22"/>
      <c r="Q4123" s="22"/>
      <c r="R4123" s="22"/>
      <c r="S4123" s="22"/>
      <c r="T4123" s="22"/>
      <c r="U4123" s="22"/>
      <c r="V4123" s="22"/>
      <c r="W4123" s="22"/>
      <c r="X4123" s="22"/>
    </row>
    <row r="4124" spans="1:24" x14ac:dyDescent="0.25">
      <c r="A4124" s="22"/>
      <c r="B4124" s="22"/>
      <c r="C4124" s="22"/>
      <c r="D4124" s="22"/>
      <c r="E4124" s="22"/>
      <c r="F4124" s="22"/>
      <c r="G4124" s="22"/>
      <c r="H4124" s="22"/>
      <c r="I4124" s="22"/>
      <c r="J4124" s="22"/>
      <c r="K4124" s="22"/>
      <c r="L4124" s="22"/>
      <c r="M4124" s="22"/>
      <c r="N4124" s="22"/>
      <c r="O4124" s="22"/>
      <c r="P4124" s="22"/>
      <c r="Q4124" s="22"/>
      <c r="R4124" s="22"/>
      <c r="S4124" s="22"/>
      <c r="T4124" s="22"/>
      <c r="U4124" s="22"/>
      <c r="V4124" s="22"/>
      <c r="W4124" s="22"/>
      <c r="X4124" s="22"/>
    </row>
    <row r="4125" spans="1:24" x14ac:dyDescent="0.25">
      <c r="A4125" s="22"/>
      <c r="B4125" s="22"/>
      <c r="C4125" s="22"/>
      <c r="D4125" s="22"/>
      <c r="E4125" s="22"/>
      <c r="F4125" s="22"/>
      <c r="G4125" s="22"/>
      <c r="H4125" s="22"/>
      <c r="I4125" s="22"/>
      <c r="J4125" s="22"/>
      <c r="K4125" s="22"/>
      <c r="L4125" s="22"/>
      <c r="M4125" s="22"/>
      <c r="N4125" s="22"/>
      <c r="O4125" s="22"/>
      <c r="P4125" s="22"/>
      <c r="Q4125" s="22"/>
      <c r="R4125" s="22"/>
      <c r="S4125" s="22"/>
      <c r="T4125" s="22"/>
      <c r="U4125" s="22"/>
      <c r="V4125" s="22"/>
      <c r="W4125" s="22"/>
      <c r="X4125" s="22"/>
    </row>
    <row r="4126" spans="1:24" x14ac:dyDescent="0.25">
      <c r="A4126" s="22"/>
      <c r="B4126" s="22"/>
      <c r="C4126" s="22"/>
      <c r="D4126" s="22"/>
      <c r="E4126" s="22"/>
      <c r="F4126" s="22"/>
      <c r="G4126" s="22"/>
      <c r="H4126" s="22"/>
      <c r="I4126" s="22"/>
      <c r="J4126" s="22"/>
      <c r="K4126" s="22"/>
      <c r="L4126" s="22"/>
      <c r="M4126" s="22"/>
      <c r="N4126" s="22"/>
      <c r="O4126" s="22"/>
      <c r="P4126" s="22"/>
      <c r="Q4126" s="22"/>
      <c r="R4126" s="22"/>
      <c r="S4126" s="22"/>
      <c r="T4126" s="22"/>
      <c r="U4126" s="22"/>
      <c r="V4126" s="22"/>
      <c r="W4126" s="22"/>
      <c r="X4126" s="22"/>
    </row>
    <row r="4127" spans="1:24" x14ac:dyDescent="0.25">
      <c r="A4127" s="22"/>
      <c r="B4127" s="22"/>
      <c r="C4127" s="22"/>
      <c r="D4127" s="22"/>
      <c r="E4127" s="22"/>
      <c r="F4127" s="22"/>
      <c r="G4127" s="22"/>
      <c r="H4127" s="22"/>
      <c r="I4127" s="22"/>
      <c r="J4127" s="22"/>
      <c r="K4127" s="22"/>
      <c r="L4127" s="22"/>
      <c r="M4127" s="22"/>
      <c r="N4127" s="22"/>
      <c r="O4127" s="22"/>
      <c r="P4127" s="22"/>
      <c r="Q4127" s="22"/>
      <c r="R4127" s="22"/>
      <c r="S4127" s="22"/>
      <c r="T4127" s="22"/>
      <c r="U4127" s="22"/>
      <c r="V4127" s="22"/>
      <c r="W4127" s="22"/>
      <c r="X4127" s="22"/>
    </row>
    <row r="4128" spans="1:24" x14ac:dyDescent="0.25">
      <c r="A4128" s="22"/>
      <c r="B4128" s="22"/>
      <c r="C4128" s="22"/>
      <c r="D4128" s="22"/>
      <c r="E4128" s="22"/>
      <c r="F4128" s="22"/>
      <c r="G4128" s="22"/>
      <c r="H4128" s="22"/>
      <c r="I4128" s="22"/>
      <c r="J4128" s="22"/>
      <c r="K4128" s="22"/>
      <c r="L4128" s="22"/>
      <c r="M4128" s="22"/>
      <c r="N4128" s="22"/>
      <c r="O4128" s="22"/>
      <c r="P4128" s="22"/>
      <c r="Q4128" s="22"/>
      <c r="R4128" s="22"/>
      <c r="S4128" s="22"/>
      <c r="T4128" s="22"/>
      <c r="U4128" s="22"/>
      <c r="V4128" s="22"/>
      <c r="W4128" s="22"/>
      <c r="X4128" s="22"/>
    </row>
    <row r="4129" spans="1:24" x14ac:dyDescent="0.25">
      <c r="A4129" s="22"/>
      <c r="B4129" s="22"/>
      <c r="C4129" s="22"/>
      <c r="D4129" s="22"/>
      <c r="E4129" s="22"/>
      <c r="F4129" s="22"/>
      <c r="G4129" s="22"/>
      <c r="H4129" s="22"/>
      <c r="I4129" s="22"/>
      <c r="J4129" s="22"/>
      <c r="K4129" s="22"/>
      <c r="L4129" s="22"/>
      <c r="M4129" s="22"/>
      <c r="N4129" s="22"/>
      <c r="O4129" s="22"/>
      <c r="P4129" s="22"/>
      <c r="Q4129" s="22"/>
      <c r="R4129" s="22"/>
      <c r="S4129" s="22"/>
      <c r="T4129" s="22"/>
      <c r="U4129" s="22"/>
      <c r="V4129" s="22"/>
      <c r="W4129" s="22"/>
      <c r="X4129" s="22"/>
    </row>
    <row r="4130" spans="1:24" x14ac:dyDescent="0.25">
      <c r="A4130" s="22"/>
      <c r="B4130" s="22"/>
      <c r="C4130" s="22"/>
      <c r="D4130" s="22"/>
      <c r="E4130" s="22"/>
      <c r="F4130" s="22"/>
      <c r="G4130" s="22"/>
      <c r="H4130" s="22"/>
      <c r="I4130" s="22"/>
      <c r="J4130" s="22"/>
      <c r="K4130" s="22"/>
      <c r="L4130" s="22"/>
      <c r="M4130" s="22"/>
      <c r="N4130" s="22"/>
      <c r="O4130" s="22"/>
      <c r="P4130" s="22"/>
      <c r="Q4130" s="22"/>
      <c r="R4130" s="22"/>
      <c r="S4130" s="22"/>
      <c r="T4130" s="22"/>
      <c r="U4130" s="22"/>
      <c r="V4130" s="22"/>
      <c r="W4130" s="22"/>
      <c r="X4130" s="22"/>
    </row>
    <row r="4131" spans="1:24" x14ac:dyDescent="0.25">
      <c r="A4131" s="22"/>
      <c r="B4131" s="22"/>
      <c r="C4131" s="22"/>
      <c r="D4131" s="22"/>
      <c r="E4131" s="22"/>
      <c r="F4131" s="22"/>
      <c r="G4131" s="22"/>
      <c r="H4131" s="22"/>
      <c r="I4131" s="22"/>
      <c r="J4131" s="22"/>
      <c r="K4131" s="22"/>
      <c r="L4131" s="22"/>
      <c r="M4131" s="22"/>
      <c r="N4131" s="22"/>
      <c r="O4131" s="22"/>
      <c r="P4131" s="22"/>
      <c r="Q4131" s="22"/>
      <c r="R4131" s="22"/>
      <c r="S4131" s="22"/>
      <c r="T4131" s="22"/>
      <c r="U4131" s="22"/>
      <c r="V4131" s="22"/>
      <c r="W4131" s="22"/>
      <c r="X4131" s="22"/>
    </row>
    <row r="4132" spans="1:24" x14ac:dyDescent="0.25">
      <c r="A4132" s="22"/>
      <c r="B4132" s="22"/>
      <c r="C4132" s="22"/>
      <c r="D4132" s="22"/>
      <c r="E4132" s="22"/>
      <c r="F4132" s="22"/>
      <c r="G4132" s="22"/>
      <c r="H4132" s="22"/>
      <c r="I4132" s="22"/>
      <c r="J4132" s="22"/>
      <c r="K4132" s="22"/>
      <c r="L4132" s="22"/>
      <c r="M4132" s="22"/>
      <c r="N4132" s="22"/>
      <c r="O4132" s="22"/>
      <c r="P4132" s="22"/>
      <c r="Q4132" s="22"/>
      <c r="R4132" s="22"/>
      <c r="S4132" s="22"/>
      <c r="T4132" s="22"/>
      <c r="U4132" s="22"/>
      <c r="V4132" s="22"/>
      <c r="W4132" s="22"/>
      <c r="X4132" s="22"/>
    </row>
    <row r="4133" spans="1:24" x14ac:dyDescent="0.25">
      <c r="A4133" s="22"/>
      <c r="B4133" s="22"/>
      <c r="C4133" s="22"/>
      <c r="D4133" s="22"/>
      <c r="E4133" s="22"/>
      <c r="F4133" s="22"/>
      <c r="G4133" s="22"/>
      <c r="H4133" s="22"/>
      <c r="I4133" s="22"/>
      <c r="J4133" s="22"/>
      <c r="K4133" s="22"/>
      <c r="L4133" s="22"/>
      <c r="M4133" s="22"/>
      <c r="N4133" s="22"/>
      <c r="O4133" s="22"/>
      <c r="P4133" s="22"/>
      <c r="Q4133" s="22"/>
      <c r="R4133" s="22"/>
      <c r="S4133" s="22"/>
      <c r="T4133" s="22"/>
      <c r="U4133" s="22"/>
      <c r="V4133" s="22"/>
      <c r="W4133" s="22"/>
      <c r="X4133" s="22"/>
    </row>
    <row r="4134" spans="1:24" x14ac:dyDescent="0.25">
      <c r="A4134" s="22"/>
      <c r="B4134" s="22"/>
      <c r="C4134" s="22"/>
      <c r="D4134" s="22"/>
      <c r="E4134" s="22"/>
      <c r="F4134" s="22"/>
      <c r="G4134" s="22"/>
      <c r="H4134" s="22"/>
      <c r="I4134" s="22"/>
      <c r="J4134" s="22"/>
      <c r="K4134" s="22"/>
      <c r="L4134" s="22"/>
      <c r="M4134" s="22"/>
      <c r="N4134" s="22"/>
      <c r="O4134" s="22"/>
      <c r="P4134" s="22"/>
      <c r="Q4134" s="22"/>
      <c r="R4134" s="22"/>
      <c r="S4134" s="22"/>
      <c r="T4134" s="22"/>
      <c r="U4134" s="22"/>
      <c r="V4134" s="22"/>
      <c r="W4134" s="22"/>
      <c r="X4134" s="22"/>
    </row>
    <row r="4135" spans="1:24" x14ac:dyDescent="0.25">
      <c r="A4135" s="22"/>
      <c r="B4135" s="22"/>
      <c r="C4135" s="22"/>
      <c r="D4135" s="22"/>
      <c r="E4135" s="22"/>
      <c r="F4135" s="22"/>
      <c r="G4135" s="22"/>
      <c r="H4135" s="22"/>
      <c r="I4135" s="22"/>
      <c r="J4135" s="22"/>
      <c r="K4135" s="22"/>
      <c r="L4135" s="22"/>
      <c r="M4135" s="22"/>
      <c r="N4135" s="22"/>
      <c r="O4135" s="22"/>
      <c r="P4135" s="22"/>
      <c r="Q4135" s="22"/>
      <c r="R4135" s="22"/>
      <c r="S4135" s="22"/>
      <c r="T4135" s="22"/>
      <c r="U4135" s="22"/>
      <c r="V4135" s="22"/>
      <c r="W4135" s="22"/>
      <c r="X4135" s="22"/>
    </row>
    <row r="4136" spans="1:24" x14ac:dyDescent="0.25">
      <c r="A4136" s="22"/>
      <c r="B4136" s="22"/>
      <c r="C4136" s="22"/>
      <c r="D4136" s="22"/>
      <c r="E4136" s="22"/>
      <c r="F4136" s="22"/>
      <c r="G4136" s="22"/>
      <c r="H4136" s="22"/>
      <c r="I4136" s="22"/>
      <c r="J4136" s="22"/>
      <c r="K4136" s="22"/>
      <c r="L4136" s="22"/>
      <c r="M4136" s="22"/>
      <c r="N4136" s="22"/>
      <c r="O4136" s="22"/>
      <c r="P4136" s="22"/>
      <c r="Q4136" s="22"/>
      <c r="R4136" s="22"/>
      <c r="S4136" s="22"/>
      <c r="T4136" s="22"/>
      <c r="U4136" s="22"/>
      <c r="V4136" s="22"/>
      <c r="W4136" s="22"/>
      <c r="X4136" s="22"/>
    </row>
    <row r="4137" spans="1:24" x14ac:dyDescent="0.25">
      <c r="A4137" s="22"/>
      <c r="B4137" s="22"/>
      <c r="C4137" s="22"/>
      <c r="D4137" s="22"/>
      <c r="E4137" s="22"/>
      <c r="F4137" s="22"/>
      <c r="G4137" s="22"/>
      <c r="H4137" s="22"/>
      <c r="I4137" s="22"/>
      <c r="J4137" s="22"/>
      <c r="K4137" s="22"/>
      <c r="L4137" s="22"/>
      <c r="M4137" s="22"/>
      <c r="N4137" s="22"/>
      <c r="O4137" s="22"/>
      <c r="P4137" s="22"/>
      <c r="Q4137" s="22"/>
      <c r="R4137" s="22"/>
      <c r="S4137" s="22"/>
      <c r="T4137" s="22"/>
      <c r="U4137" s="22"/>
      <c r="V4137" s="22"/>
      <c r="W4137" s="22"/>
      <c r="X4137" s="22"/>
    </row>
    <row r="4138" spans="1:24" x14ac:dyDescent="0.25">
      <c r="A4138" s="22"/>
      <c r="B4138" s="22"/>
      <c r="C4138" s="22"/>
      <c r="D4138" s="22"/>
      <c r="E4138" s="22"/>
      <c r="F4138" s="22"/>
      <c r="G4138" s="22"/>
      <c r="H4138" s="22"/>
      <c r="I4138" s="22"/>
      <c r="J4138" s="22"/>
      <c r="K4138" s="22"/>
      <c r="L4138" s="22"/>
      <c r="M4138" s="22"/>
      <c r="N4138" s="22"/>
      <c r="O4138" s="22"/>
      <c r="P4138" s="22"/>
      <c r="Q4138" s="22"/>
      <c r="R4138" s="22"/>
      <c r="S4138" s="22"/>
      <c r="T4138" s="22"/>
      <c r="U4138" s="22"/>
      <c r="V4138" s="22"/>
      <c r="W4138" s="22"/>
      <c r="X4138" s="22"/>
    </row>
    <row r="4139" spans="1:24" x14ac:dyDescent="0.25">
      <c r="A4139" s="22"/>
      <c r="B4139" s="22"/>
      <c r="C4139" s="22"/>
      <c r="D4139" s="22"/>
      <c r="E4139" s="22"/>
      <c r="F4139" s="22"/>
      <c r="G4139" s="22"/>
      <c r="H4139" s="22"/>
      <c r="I4139" s="22"/>
      <c r="J4139" s="22"/>
      <c r="K4139" s="22"/>
      <c r="L4139" s="22"/>
      <c r="M4139" s="22"/>
      <c r="N4139" s="22"/>
      <c r="O4139" s="22"/>
      <c r="P4139" s="22"/>
      <c r="Q4139" s="22"/>
      <c r="R4139" s="22"/>
      <c r="S4139" s="22"/>
      <c r="T4139" s="22"/>
      <c r="U4139" s="22"/>
      <c r="V4139" s="22"/>
      <c r="W4139" s="22"/>
      <c r="X4139" s="22"/>
    </row>
    <row r="4140" spans="1:24" x14ac:dyDescent="0.25">
      <c r="A4140" s="22"/>
      <c r="B4140" s="22"/>
      <c r="C4140" s="22"/>
      <c r="D4140" s="22"/>
      <c r="E4140" s="22"/>
      <c r="F4140" s="22"/>
      <c r="G4140" s="22"/>
      <c r="H4140" s="22"/>
      <c r="I4140" s="22"/>
      <c r="J4140" s="22"/>
      <c r="K4140" s="22"/>
      <c r="L4140" s="22"/>
      <c r="M4140" s="22"/>
      <c r="N4140" s="22"/>
      <c r="O4140" s="22"/>
      <c r="P4140" s="22"/>
      <c r="Q4140" s="22"/>
      <c r="R4140" s="22"/>
      <c r="S4140" s="22"/>
      <c r="T4140" s="22"/>
      <c r="U4140" s="22"/>
      <c r="V4140" s="22"/>
      <c r="W4140" s="22"/>
      <c r="X4140" s="22"/>
    </row>
    <row r="4141" spans="1:24" x14ac:dyDescent="0.25">
      <c r="A4141" s="22"/>
      <c r="B4141" s="22"/>
      <c r="C4141" s="22"/>
      <c r="D4141" s="22"/>
      <c r="E4141" s="22"/>
      <c r="F4141" s="22"/>
      <c r="G4141" s="22"/>
      <c r="H4141" s="22"/>
      <c r="I4141" s="22"/>
      <c r="J4141" s="22"/>
      <c r="K4141" s="22"/>
      <c r="L4141" s="22"/>
      <c r="M4141" s="22"/>
      <c r="N4141" s="22"/>
      <c r="O4141" s="22"/>
      <c r="P4141" s="22"/>
      <c r="Q4141" s="22"/>
      <c r="R4141" s="22"/>
      <c r="S4141" s="22"/>
      <c r="T4141" s="22"/>
      <c r="U4141" s="22"/>
      <c r="V4141" s="22"/>
      <c r="W4141" s="22"/>
      <c r="X4141" s="22"/>
    </row>
    <row r="4142" spans="1:24" x14ac:dyDescent="0.25">
      <c r="A4142" s="22"/>
      <c r="B4142" s="22"/>
      <c r="C4142" s="22"/>
      <c r="D4142" s="22"/>
      <c r="E4142" s="22"/>
      <c r="F4142" s="22"/>
      <c r="G4142" s="22"/>
      <c r="H4142" s="22"/>
      <c r="I4142" s="22"/>
      <c r="J4142" s="22"/>
      <c r="K4142" s="22"/>
      <c r="L4142" s="22"/>
      <c r="M4142" s="22"/>
      <c r="N4142" s="22"/>
      <c r="O4142" s="22"/>
      <c r="P4142" s="22"/>
      <c r="Q4142" s="22"/>
      <c r="R4142" s="22"/>
      <c r="S4142" s="22"/>
      <c r="T4142" s="22"/>
      <c r="U4142" s="22"/>
      <c r="V4142" s="22"/>
      <c r="W4142" s="22"/>
      <c r="X4142" s="22"/>
    </row>
    <row r="4143" spans="1:24" x14ac:dyDescent="0.25">
      <c r="A4143" s="22"/>
      <c r="B4143" s="22"/>
      <c r="C4143" s="22"/>
      <c r="D4143" s="22"/>
      <c r="E4143" s="22"/>
      <c r="F4143" s="22"/>
      <c r="G4143" s="22"/>
      <c r="H4143" s="22"/>
      <c r="I4143" s="22"/>
      <c r="J4143" s="22"/>
      <c r="K4143" s="22"/>
      <c r="L4143" s="22"/>
      <c r="M4143" s="22"/>
      <c r="N4143" s="22"/>
      <c r="O4143" s="22"/>
      <c r="P4143" s="22"/>
      <c r="Q4143" s="22"/>
      <c r="R4143" s="22"/>
      <c r="S4143" s="22"/>
      <c r="T4143" s="22"/>
      <c r="U4143" s="22"/>
      <c r="V4143" s="22"/>
      <c r="W4143" s="22"/>
      <c r="X4143" s="22"/>
    </row>
    <row r="4144" spans="1:24" x14ac:dyDescent="0.25">
      <c r="A4144" s="22"/>
      <c r="B4144" s="22"/>
      <c r="C4144" s="22"/>
      <c r="D4144" s="22"/>
      <c r="E4144" s="22"/>
      <c r="F4144" s="22"/>
      <c r="G4144" s="22"/>
      <c r="H4144" s="22"/>
      <c r="I4144" s="22"/>
      <c r="J4144" s="22"/>
      <c r="K4144" s="22"/>
      <c r="L4144" s="22"/>
      <c r="M4144" s="22"/>
      <c r="N4144" s="22"/>
      <c r="O4144" s="22"/>
      <c r="P4144" s="22"/>
      <c r="Q4144" s="22"/>
      <c r="R4144" s="22"/>
      <c r="S4144" s="22"/>
      <c r="T4144" s="22"/>
      <c r="U4144" s="22"/>
      <c r="V4144" s="22"/>
      <c r="W4144" s="22"/>
      <c r="X4144" s="22"/>
    </row>
    <row r="4145" spans="1:24" x14ac:dyDescent="0.25">
      <c r="A4145" s="22"/>
      <c r="B4145" s="22"/>
      <c r="C4145" s="22"/>
      <c r="D4145" s="22"/>
      <c r="E4145" s="22"/>
      <c r="F4145" s="22"/>
      <c r="G4145" s="22"/>
      <c r="H4145" s="22"/>
      <c r="I4145" s="22"/>
      <c r="J4145" s="22"/>
      <c r="K4145" s="22"/>
      <c r="L4145" s="22"/>
      <c r="M4145" s="22"/>
      <c r="N4145" s="22"/>
      <c r="O4145" s="22"/>
      <c r="P4145" s="22"/>
      <c r="Q4145" s="22"/>
      <c r="R4145" s="22"/>
      <c r="S4145" s="22"/>
      <c r="T4145" s="22"/>
      <c r="U4145" s="22"/>
      <c r="V4145" s="22"/>
      <c r="W4145" s="22"/>
      <c r="X4145" s="22"/>
    </row>
    <row r="4146" spans="1:24" x14ac:dyDescent="0.25">
      <c r="A4146" s="22"/>
      <c r="B4146" s="22"/>
      <c r="C4146" s="22"/>
      <c r="D4146" s="22"/>
      <c r="E4146" s="22"/>
      <c r="F4146" s="22"/>
      <c r="G4146" s="22"/>
      <c r="H4146" s="22"/>
      <c r="I4146" s="22"/>
      <c r="J4146" s="22"/>
      <c r="K4146" s="22"/>
      <c r="L4146" s="22"/>
      <c r="M4146" s="22"/>
      <c r="N4146" s="22"/>
      <c r="O4146" s="22"/>
      <c r="P4146" s="22"/>
      <c r="Q4146" s="22"/>
      <c r="R4146" s="22"/>
      <c r="S4146" s="22"/>
      <c r="T4146" s="22"/>
      <c r="U4146" s="22"/>
      <c r="V4146" s="22"/>
      <c r="W4146" s="22"/>
      <c r="X4146" s="22"/>
    </row>
    <row r="4147" spans="1:24" x14ac:dyDescent="0.25">
      <c r="A4147" s="22"/>
      <c r="B4147" s="22"/>
      <c r="C4147" s="22"/>
      <c r="D4147" s="22"/>
      <c r="E4147" s="22"/>
      <c r="F4147" s="22"/>
      <c r="G4147" s="22"/>
      <c r="H4147" s="22"/>
      <c r="I4147" s="22"/>
      <c r="J4147" s="22"/>
      <c r="K4147" s="22"/>
      <c r="L4147" s="22"/>
      <c r="M4147" s="22"/>
      <c r="N4147" s="22"/>
      <c r="O4147" s="22"/>
      <c r="P4147" s="22"/>
      <c r="Q4147" s="22"/>
      <c r="R4147" s="22"/>
      <c r="S4147" s="22"/>
      <c r="T4147" s="22"/>
      <c r="U4147" s="22"/>
      <c r="V4147" s="22"/>
      <c r="W4147" s="22"/>
      <c r="X4147" s="22"/>
    </row>
    <row r="4148" spans="1:24" x14ac:dyDescent="0.25">
      <c r="A4148" s="22"/>
      <c r="B4148" s="22"/>
      <c r="C4148" s="22"/>
      <c r="D4148" s="22"/>
      <c r="E4148" s="22"/>
      <c r="F4148" s="22"/>
      <c r="G4148" s="22"/>
      <c r="H4148" s="22"/>
      <c r="I4148" s="22"/>
      <c r="J4148" s="22"/>
      <c r="K4148" s="22"/>
      <c r="L4148" s="22"/>
      <c r="M4148" s="22"/>
      <c r="N4148" s="22"/>
      <c r="O4148" s="22"/>
      <c r="P4148" s="22"/>
      <c r="Q4148" s="22"/>
      <c r="R4148" s="22"/>
      <c r="S4148" s="22"/>
      <c r="T4148" s="22"/>
      <c r="U4148" s="22"/>
      <c r="V4148" s="22"/>
      <c r="W4148" s="22"/>
      <c r="X4148" s="22"/>
    </row>
    <row r="4149" spans="1:24" x14ac:dyDescent="0.25">
      <c r="A4149" s="22"/>
      <c r="B4149" s="22"/>
      <c r="C4149" s="22"/>
      <c r="D4149" s="22"/>
      <c r="E4149" s="22"/>
      <c r="F4149" s="22"/>
      <c r="G4149" s="22"/>
      <c r="H4149" s="22"/>
      <c r="I4149" s="22"/>
      <c r="J4149" s="22"/>
      <c r="K4149" s="22"/>
      <c r="L4149" s="22"/>
      <c r="M4149" s="22"/>
      <c r="N4149" s="22"/>
      <c r="O4149" s="22"/>
      <c r="P4149" s="22"/>
      <c r="Q4149" s="22"/>
      <c r="R4149" s="22"/>
      <c r="S4149" s="22"/>
      <c r="T4149" s="22"/>
      <c r="U4149" s="22"/>
      <c r="V4149" s="22"/>
      <c r="W4149" s="22"/>
      <c r="X4149" s="22"/>
    </row>
    <row r="4150" spans="1:24" x14ac:dyDescent="0.25">
      <c r="A4150" s="22"/>
      <c r="B4150" s="22"/>
      <c r="C4150" s="22"/>
      <c r="D4150" s="22"/>
      <c r="E4150" s="22"/>
      <c r="F4150" s="22"/>
      <c r="G4150" s="22"/>
      <c r="H4150" s="22"/>
      <c r="I4150" s="22"/>
      <c r="J4150" s="22"/>
      <c r="K4150" s="22"/>
      <c r="L4150" s="22"/>
      <c r="M4150" s="22"/>
      <c r="N4150" s="22"/>
      <c r="O4150" s="22"/>
      <c r="P4150" s="22"/>
      <c r="Q4150" s="22"/>
      <c r="R4150" s="22"/>
      <c r="S4150" s="22"/>
      <c r="T4150" s="22"/>
      <c r="U4150" s="22"/>
      <c r="V4150" s="22"/>
      <c r="W4150" s="22"/>
      <c r="X4150" s="22"/>
    </row>
    <row r="4151" spans="1:24" x14ac:dyDescent="0.25">
      <c r="A4151" s="22"/>
      <c r="B4151" s="22"/>
      <c r="C4151" s="22"/>
      <c r="D4151" s="22"/>
      <c r="E4151" s="22"/>
      <c r="F4151" s="22"/>
      <c r="G4151" s="22"/>
      <c r="H4151" s="22"/>
      <c r="I4151" s="22"/>
      <c r="J4151" s="22"/>
      <c r="K4151" s="22"/>
      <c r="L4151" s="22"/>
      <c r="M4151" s="22"/>
      <c r="N4151" s="22"/>
      <c r="O4151" s="22"/>
      <c r="P4151" s="22"/>
      <c r="Q4151" s="22"/>
      <c r="R4151" s="22"/>
      <c r="S4151" s="22"/>
      <c r="T4151" s="22"/>
      <c r="U4151" s="22"/>
      <c r="V4151" s="22"/>
      <c r="W4151" s="22"/>
      <c r="X4151" s="22"/>
    </row>
    <row r="4152" spans="1:24" x14ac:dyDescent="0.25">
      <c r="A4152" s="22"/>
      <c r="B4152" s="22"/>
      <c r="C4152" s="22"/>
      <c r="D4152" s="22"/>
      <c r="E4152" s="22"/>
      <c r="F4152" s="22"/>
      <c r="G4152" s="22"/>
      <c r="H4152" s="22"/>
      <c r="I4152" s="22"/>
      <c r="J4152" s="22"/>
      <c r="K4152" s="22"/>
      <c r="L4152" s="22"/>
      <c r="M4152" s="22"/>
      <c r="N4152" s="22"/>
      <c r="O4152" s="22"/>
      <c r="P4152" s="22"/>
      <c r="Q4152" s="22"/>
      <c r="R4152" s="22"/>
      <c r="S4152" s="22"/>
      <c r="T4152" s="22"/>
      <c r="U4152" s="22"/>
      <c r="V4152" s="22"/>
      <c r="W4152" s="22"/>
      <c r="X4152" s="22"/>
    </row>
    <row r="4153" spans="1:24" x14ac:dyDescent="0.25">
      <c r="A4153" s="22"/>
      <c r="B4153" s="22"/>
      <c r="C4153" s="22"/>
      <c r="D4153" s="22"/>
      <c r="E4153" s="22"/>
      <c r="F4153" s="22"/>
      <c r="G4153" s="22"/>
      <c r="H4153" s="22"/>
      <c r="I4153" s="22"/>
      <c r="J4153" s="22"/>
      <c r="K4153" s="22"/>
      <c r="L4153" s="22"/>
      <c r="M4153" s="22"/>
      <c r="N4153" s="22"/>
      <c r="O4153" s="22"/>
      <c r="P4153" s="22"/>
      <c r="Q4153" s="22"/>
      <c r="R4153" s="22"/>
      <c r="S4153" s="22"/>
      <c r="T4153" s="22"/>
      <c r="U4153" s="22"/>
      <c r="V4153" s="22"/>
      <c r="W4153" s="22"/>
      <c r="X4153" s="22"/>
    </row>
    <row r="4154" spans="1:24" x14ac:dyDescent="0.25">
      <c r="A4154" s="22"/>
      <c r="B4154" s="22"/>
      <c r="C4154" s="22"/>
      <c r="D4154" s="22"/>
      <c r="E4154" s="22"/>
      <c r="F4154" s="22"/>
      <c r="G4154" s="22"/>
      <c r="H4154" s="22"/>
      <c r="I4154" s="22"/>
      <c r="J4154" s="22"/>
      <c r="K4154" s="22"/>
      <c r="L4154" s="22"/>
      <c r="M4154" s="22"/>
      <c r="N4154" s="22"/>
      <c r="O4154" s="22"/>
      <c r="P4154" s="22"/>
      <c r="Q4154" s="22"/>
      <c r="R4154" s="22"/>
      <c r="S4154" s="22"/>
      <c r="T4154" s="22"/>
      <c r="U4154" s="22"/>
      <c r="V4154" s="22"/>
      <c r="W4154" s="22"/>
      <c r="X4154" s="22"/>
    </row>
    <row r="4155" spans="1:24" x14ac:dyDescent="0.25">
      <c r="A4155" s="22"/>
      <c r="B4155" s="22"/>
      <c r="C4155" s="22"/>
      <c r="D4155" s="22"/>
      <c r="E4155" s="22"/>
      <c r="F4155" s="22"/>
      <c r="G4155" s="22"/>
      <c r="H4155" s="22"/>
      <c r="I4155" s="22"/>
      <c r="J4155" s="22"/>
      <c r="K4155" s="22"/>
      <c r="L4155" s="22"/>
      <c r="M4155" s="22"/>
      <c r="N4155" s="22"/>
      <c r="O4155" s="22"/>
      <c r="P4155" s="22"/>
      <c r="Q4155" s="22"/>
      <c r="R4155" s="22"/>
      <c r="S4155" s="22"/>
      <c r="T4155" s="22"/>
      <c r="U4155" s="22"/>
      <c r="V4155" s="22"/>
      <c r="W4155" s="22"/>
      <c r="X4155" s="22"/>
    </row>
    <row r="4156" spans="1:24" x14ac:dyDescent="0.25">
      <c r="A4156" s="22"/>
      <c r="B4156" s="22"/>
      <c r="C4156" s="22"/>
      <c r="D4156" s="22"/>
      <c r="E4156" s="22"/>
      <c r="F4156" s="22"/>
      <c r="G4156" s="22"/>
      <c r="H4156" s="22"/>
      <c r="I4156" s="22"/>
      <c r="J4156" s="22"/>
      <c r="K4156" s="22"/>
      <c r="L4156" s="22"/>
      <c r="M4156" s="22"/>
      <c r="N4156" s="22"/>
      <c r="O4156" s="22"/>
      <c r="P4156" s="22"/>
      <c r="Q4156" s="22"/>
      <c r="R4156" s="22"/>
      <c r="S4156" s="22"/>
      <c r="T4156" s="22"/>
      <c r="U4156" s="22"/>
      <c r="V4156" s="22"/>
      <c r="W4156" s="22"/>
      <c r="X4156" s="22"/>
    </row>
    <row r="4157" spans="1:24" x14ac:dyDescent="0.25">
      <c r="A4157" s="22"/>
      <c r="B4157" s="22"/>
      <c r="C4157" s="22"/>
      <c r="D4157" s="22"/>
      <c r="E4157" s="22"/>
      <c r="F4157" s="22"/>
      <c r="G4157" s="22"/>
      <c r="H4157" s="22"/>
      <c r="I4157" s="22"/>
      <c r="J4157" s="22"/>
      <c r="K4157" s="22"/>
      <c r="L4157" s="22"/>
      <c r="M4157" s="22"/>
      <c r="N4157" s="22"/>
      <c r="O4157" s="22"/>
      <c r="P4157" s="22"/>
      <c r="Q4157" s="22"/>
      <c r="R4157" s="22"/>
      <c r="S4157" s="22"/>
      <c r="T4157" s="22"/>
      <c r="U4157" s="22"/>
      <c r="V4157" s="22"/>
      <c r="W4157" s="22"/>
      <c r="X4157" s="22"/>
    </row>
    <row r="4158" spans="1:24" x14ac:dyDescent="0.25">
      <c r="A4158" s="22"/>
      <c r="B4158" s="22"/>
      <c r="C4158" s="22"/>
      <c r="D4158" s="22"/>
      <c r="E4158" s="22"/>
      <c r="F4158" s="22"/>
      <c r="G4158" s="22"/>
      <c r="H4158" s="22"/>
      <c r="I4158" s="22"/>
      <c r="J4158" s="22"/>
      <c r="K4158" s="22"/>
      <c r="L4158" s="22"/>
      <c r="M4158" s="22"/>
      <c r="N4158" s="22"/>
      <c r="O4158" s="22"/>
      <c r="P4158" s="22"/>
      <c r="Q4158" s="22"/>
      <c r="R4158" s="22"/>
      <c r="S4158" s="22"/>
      <c r="T4158" s="22"/>
      <c r="U4158" s="22"/>
      <c r="V4158" s="22"/>
      <c r="W4158" s="22"/>
      <c r="X4158" s="22"/>
    </row>
    <row r="4159" spans="1:24" x14ac:dyDescent="0.25">
      <c r="A4159" s="22"/>
      <c r="B4159" s="22"/>
      <c r="C4159" s="22"/>
      <c r="D4159" s="22"/>
      <c r="E4159" s="22"/>
      <c r="F4159" s="22"/>
      <c r="G4159" s="22"/>
      <c r="H4159" s="22"/>
      <c r="I4159" s="22"/>
      <c r="J4159" s="22"/>
      <c r="K4159" s="22"/>
      <c r="L4159" s="22"/>
      <c r="M4159" s="22"/>
      <c r="N4159" s="22"/>
      <c r="O4159" s="22"/>
      <c r="P4159" s="22"/>
      <c r="Q4159" s="22"/>
      <c r="R4159" s="22"/>
      <c r="S4159" s="22"/>
      <c r="T4159" s="22"/>
      <c r="U4159" s="22"/>
      <c r="V4159" s="22"/>
      <c r="W4159" s="22"/>
      <c r="X4159" s="22"/>
    </row>
    <row r="4160" spans="1:24" x14ac:dyDescent="0.25">
      <c r="A4160" s="22"/>
      <c r="B4160" s="22"/>
      <c r="C4160" s="22"/>
      <c r="D4160" s="22"/>
      <c r="E4160" s="22"/>
      <c r="F4160" s="22"/>
      <c r="G4160" s="22"/>
      <c r="H4160" s="22"/>
      <c r="I4160" s="22"/>
      <c r="J4160" s="22"/>
      <c r="K4160" s="22"/>
      <c r="L4160" s="22"/>
      <c r="M4160" s="22"/>
      <c r="N4160" s="22"/>
      <c r="O4160" s="22"/>
      <c r="P4160" s="22"/>
      <c r="Q4160" s="22"/>
      <c r="R4160" s="22"/>
      <c r="S4160" s="22"/>
      <c r="T4160" s="22"/>
      <c r="U4160" s="22"/>
      <c r="V4160" s="22"/>
      <c r="W4160" s="22"/>
      <c r="X4160" s="22"/>
    </row>
    <row r="4161" spans="1:24" x14ac:dyDescent="0.25">
      <c r="A4161" s="22"/>
      <c r="B4161" s="22"/>
      <c r="C4161" s="22"/>
      <c r="D4161" s="22"/>
      <c r="E4161" s="22"/>
      <c r="F4161" s="22"/>
      <c r="G4161" s="22"/>
      <c r="H4161" s="22"/>
      <c r="I4161" s="22"/>
      <c r="J4161" s="22"/>
      <c r="K4161" s="22"/>
      <c r="L4161" s="22"/>
      <c r="M4161" s="22"/>
      <c r="N4161" s="22"/>
      <c r="O4161" s="22"/>
      <c r="P4161" s="22"/>
      <c r="Q4161" s="22"/>
      <c r="R4161" s="22"/>
      <c r="S4161" s="22"/>
      <c r="T4161" s="22"/>
      <c r="U4161" s="22"/>
      <c r="V4161" s="22"/>
      <c r="W4161" s="22"/>
      <c r="X4161" s="22"/>
    </row>
    <row r="4162" spans="1:24" x14ac:dyDescent="0.25">
      <c r="A4162" s="22"/>
      <c r="B4162" s="22"/>
      <c r="C4162" s="22"/>
      <c r="D4162" s="22"/>
      <c r="E4162" s="22"/>
      <c r="F4162" s="22"/>
      <c r="G4162" s="22"/>
      <c r="H4162" s="22"/>
      <c r="I4162" s="22"/>
      <c r="J4162" s="22"/>
      <c r="K4162" s="22"/>
      <c r="L4162" s="22"/>
      <c r="M4162" s="22"/>
      <c r="N4162" s="22"/>
      <c r="O4162" s="22"/>
      <c r="P4162" s="22"/>
      <c r="Q4162" s="22"/>
      <c r="R4162" s="22"/>
      <c r="S4162" s="22"/>
      <c r="T4162" s="22"/>
      <c r="U4162" s="22"/>
      <c r="V4162" s="22"/>
      <c r="W4162" s="22"/>
      <c r="X4162" s="22"/>
    </row>
    <row r="4163" spans="1:24" x14ac:dyDescent="0.25">
      <c r="A4163" s="22"/>
      <c r="B4163" s="22"/>
      <c r="C4163" s="22"/>
      <c r="D4163" s="22"/>
      <c r="E4163" s="22"/>
      <c r="F4163" s="22"/>
      <c r="G4163" s="22"/>
      <c r="H4163" s="22"/>
      <c r="I4163" s="22"/>
      <c r="J4163" s="22"/>
      <c r="K4163" s="22"/>
      <c r="L4163" s="22"/>
      <c r="M4163" s="22"/>
      <c r="N4163" s="22"/>
      <c r="O4163" s="22"/>
      <c r="P4163" s="22"/>
      <c r="Q4163" s="22"/>
      <c r="R4163" s="22"/>
      <c r="S4163" s="22"/>
      <c r="T4163" s="22"/>
      <c r="U4163" s="22"/>
      <c r="V4163" s="22"/>
      <c r="W4163" s="22"/>
      <c r="X4163" s="22"/>
    </row>
    <row r="4164" spans="1:24" x14ac:dyDescent="0.25">
      <c r="A4164" s="22"/>
      <c r="B4164" s="22"/>
      <c r="C4164" s="22"/>
      <c r="D4164" s="22"/>
      <c r="E4164" s="22"/>
      <c r="F4164" s="22"/>
      <c r="G4164" s="22"/>
      <c r="H4164" s="22"/>
      <c r="I4164" s="22"/>
      <c r="J4164" s="22"/>
      <c r="K4164" s="22"/>
      <c r="L4164" s="22"/>
      <c r="M4164" s="22"/>
      <c r="N4164" s="22"/>
      <c r="O4164" s="22"/>
      <c r="P4164" s="22"/>
      <c r="Q4164" s="22"/>
      <c r="R4164" s="22"/>
      <c r="S4164" s="22"/>
      <c r="T4164" s="22"/>
      <c r="U4164" s="22"/>
      <c r="V4164" s="22"/>
      <c r="W4164" s="22"/>
      <c r="X4164" s="22"/>
    </row>
    <row r="4165" spans="1:24" x14ac:dyDescent="0.25">
      <c r="A4165" s="22"/>
      <c r="B4165" s="22"/>
      <c r="C4165" s="22"/>
      <c r="D4165" s="22"/>
      <c r="E4165" s="22"/>
      <c r="F4165" s="22"/>
      <c r="G4165" s="22"/>
      <c r="H4165" s="22"/>
      <c r="I4165" s="22"/>
      <c r="J4165" s="22"/>
      <c r="K4165" s="22"/>
      <c r="L4165" s="22"/>
      <c r="M4165" s="22"/>
      <c r="N4165" s="22"/>
      <c r="O4165" s="22"/>
      <c r="P4165" s="22"/>
      <c r="Q4165" s="22"/>
      <c r="R4165" s="22"/>
      <c r="S4165" s="22"/>
      <c r="T4165" s="22"/>
      <c r="U4165" s="22"/>
      <c r="V4165" s="22"/>
      <c r="W4165" s="22"/>
      <c r="X4165" s="22"/>
    </row>
    <row r="4166" spans="1:24" x14ac:dyDescent="0.25">
      <c r="A4166" s="22"/>
      <c r="B4166" s="22"/>
      <c r="C4166" s="22"/>
      <c r="D4166" s="22"/>
      <c r="E4166" s="22"/>
      <c r="F4166" s="22"/>
      <c r="G4166" s="22"/>
      <c r="H4166" s="22"/>
      <c r="I4166" s="22"/>
      <c r="J4166" s="22"/>
      <c r="K4166" s="22"/>
      <c r="L4166" s="22"/>
      <c r="M4166" s="22"/>
      <c r="N4166" s="22"/>
      <c r="O4166" s="22"/>
      <c r="P4166" s="22"/>
      <c r="Q4166" s="22"/>
      <c r="R4166" s="22"/>
      <c r="S4166" s="22"/>
      <c r="T4166" s="22"/>
      <c r="U4166" s="22"/>
      <c r="V4166" s="22"/>
      <c r="W4166" s="22"/>
      <c r="X4166" s="22"/>
    </row>
    <row r="4167" spans="1:24" x14ac:dyDescent="0.25">
      <c r="A4167" s="22"/>
      <c r="B4167" s="22"/>
      <c r="C4167" s="22"/>
      <c r="D4167" s="22"/>
      <c r="E4167" s="22"/>
      <c r="F4167" s="22"/>
      <c r="G4167" s="22"/>
      <c r="H4167" s="22"/>
      <c r="I4167" s="22"/>
      <c r="J4167" s="22"/>
      <c r="K4167" s="22"/>
      <c r="L4167" s="22"/>
      <c r="M4167" s="22"/>
      <c r="N4167" s="22"/>
      <c r="O4167" s="22"/>
      <c r="P4167" s="22"/>
      <c r="Q4167" s="22"/>
      <c r="R4167" s="22"/>
      <c r="S4167" s="22"/>
      <c r="T4167" s="22"/>
      <c r="U4167" s="22"/>
      <c r="V4167" s="22"/>
      <c r="W4167" s="22"/>
      <c r="X4167" s="22"/>
    </row>
    <row r="4168" spans="1:24" x14ac:dyDescent="0.25">
      <c r="A4168" s="22"/>
      <c r="B4168" s="22"/>
      <c r="C4168" s="22"/>
      <c r="D4168" s="22"/>
      <c r="E4168" s="22"/>
      <c r="F4168" s="22"/>
      <c r="G4168" s="22"/>
      <c r="H4168" s="22"/>
      <c r="I4168" s="22"/>
      <c r="J4168" s="22"/>
      <c r="K4168" s="22"/>
      <c r="L4168" s="22"/>
      <c r="M4168" s="22"/>
      <c r="N4168" s="22"/>
      <c r="O4168" s="22"/>
      <c r="P4168" s="22"/>
      <c r="Q4168" s="22"/>
      <c r="R4168" s="22"/>
      <c r="S4168" s="22"/>
      <c r="T4168" s="22"/>
      <c r="U4168" s="22"/>
      <c r="V4168" s="22"/>
      <c r="W4168" s="22"/>
      <c r="X4168" s="22"/>
    </row>
    <row r="4169" spans="1:24" x14ac:dyDescent="0.25">
      <c r="A4169" s="22"/>
      <c r="B4169" s="22"/>
      <c r="C4169" s="22"/>
      <c r="D4169" s="22"/>
      <c r="E4169" s="22"/>
      <c r="F4169" s="22"/>
      <c r="G4169" s="22"/>
      <c r="H4169" s="22"/>
      <c r="I4169" s="22"/>
      <c r="J4169" s="22"/>
      <c r="K4169" s="22"/>
      <c r="L4169" s="22"/>
      <c r="M4169" s="22"/>
      <c r="N4169" s="22"/>
      <c r="O4169" s="22"/>
      <c r="P4169" s="22"/>
      <c r="Q4169" s="22"/>
      <c r="R4169" s="22"/>
      <c r="S4169" s="22"/>
      <c r="T4169" s="22"/>
      <c r="U4169" s="22"/>
      <c r="V4169" s="22"/>
      <c r="W4169" s="22"/>
      <c r="X4169" s="22"/>
    </row>
    <row r="4170" spans="1:24" x14ac:dyDescent="0.25">
      <c r="A4170" s="22"/>
      <c r="B4170" s="22"/>
      <c r="C4170" s="22"/>
      <c r="D4170" s="22"/>
      <c r="E4170" s="22"/>
      <c r="F4170" s="22"/>
      <c r="G4170" s="22"/>
      <c r="H4170" s="22"/>
      <c r="I4170" s="22"/>
      <c r="J4170" s="22"/>
      <c r="K4170" s="22"/>
      <c r="L4170" s="22"/>
      <c r="M4170" s="22"/>
      <c r="N4170" s="22"/>
      <c r="O4170" s="22"/>
      <c r="P4170" s="22"/>
      <c r="Q4170" s="22"/>
      <c r="R4170" s="22"/>
      <c r="S4170" s="22"/>
      <c r="T4170" s="22"/>
      <c r="U4170" s="22"/>
      <c r="V4170" s="22"/>
      <c r="W4170" s="22"/>
      <c r="X4170" s="22"/>
    </row>
    <row r="4171" spans="1:24" x14ac:dyDescent="0.25">
      <c r="A4171" s="22"/>
      <c r="B4171" s="22"/>
      <c r="C4171" s="22"/>
      <c r="D4171" s="22"/>
      <c r="E4171" s="22"/>
      <c r="F4171" s="22"/>
      <c r="G4171" s="22"/>
      <c r="H4171" s="22"/>
      <c r="I4171" s="22"/>
      <c r="J4171" s="22"/>
      <c r="K4171" s="22"/>
      <c r="L4171" s="22"/>
      <c r="M4171" s="22"/>
      <c r="N4171" s="22"/>
      <c r="O4171" s="22"/>
      <c r="P4171" s="22"/>
      <c r="Q4171" s="22"/>
      <c r="R4171" s="22"/>
      <c r="S4171" s="22"/>
      <c r="T4171" s="22"/>
      <c r="U4171" s="22"/>
      <c r="V4171" s="22"/>
      <c r="W4171" s="22"/>
      <c r="X4171" s="22"/>
    </row>
    <row r="4172" spans="1:24" x14ac:dyDescent="0.25">
      <c r="A4172" s="22"/>
      <c r="B4172" s="22"/>
      <c r="C4172" s="22"/>
      <c r="D4172" s="22"/>
      <c r="E4172" s="22"/>
      <c r="F4172" s="22"/>
      <c r="G4172" s="22"/>
      <c r="H4172" s="22"/>
      <c r="I4172" s="22"/>
      <c r="J4172" s="22"/>
      <c r="K4172" s="22"/>
      <c r="L4172" s="22"/>
      <c r="M4172" s="22"/>
      <c r="N4172" s="22"/>
      <c r="O4172" s="22"/>
      <c r="P4172" s="22"/>
      <c r="Q4172" s="22"/>
      <c r="R4172" s="22"/>
      <c r="S4172" s="22"/>
      <c r="T4172" s="22"/>
      <c r="U4172" s="22"/>
      <c r="V4172" s="22"/>
      <c r="W4172" s="22"/>
      <c r="X4172" s="22"/>
    </row>
    <row r="4173" spans="1:24" x14ac:dyDescent="0.25">
      <c r="A4173" s="22"/>
      <c r="B4173" s="22"/>
      <c r="C4173" s="22"/>
      <c r="D4173" s="22"/>
      <c r="E4173" s="22"/>
      <c r="F4173" s="22"/>
      <c r="G4173" s="22"/>
      <c r="H4173" s="22"/>
      <c r="I4173" s="22"/>
      <c r="J4173" s="22"/>
      <c r="K4173" s="22"/>
      <c r="L4173" s="22"/>
      <c r="M4173" s="22"/>
      <c r="N4173" s="22"/>
      <c r="O4173" s="22"/>
      <c r="P4173" s="22"/>
      <c r="Q4173" s="22"/>
      <c r="R4173" s="22"/>
      <c r="S4173" s="22"/>
      <c r="T4173" s="22"/>
      <c r="U4173" s="22"/>
      <c r="V4173" s="22"/>
      <c r="W4173" s="22"/>
      <c r="X4173" s="22"/>
    </row>
    <row r="4174" spans="1:24" x14ac:dyDescent="0.25">
      <c r="A4174" s="22"/>
      <c r="B4174" s="22"/>
      <c r="C4174" s="22"/>
      <c r="D4174" s="22"/>
      <c r="E4174" s="22"/>
      <c r="F4174" s="22"/>
      <c r="G4174" s="22"/>
      <c r="H4174" s="22"/>
      <c r="I4174" s="22"/>
      <c r="J4174" s="22"/>
      <c r="K4174" s="22"/>
      <c r="L4174" s="22"/>
      <c r="M4174" s="22"/>
      <c r="N4174" s="22"/>
      <c r="O4174" s="22"/>
      <c r="P4174" s="22"/>
      <c r="Q4174" s="22"/>
      <c r="R4174" s="22"/>
      <c r="S4174" s="22"/>
      <c r="T4174" s="22"/>
      <c r="U4174" s="22"/>
      <c r="V4174" s="22"/>
      <c r="W4174" s="22"/>
      <c r="X4174" s="22"/>
    </row>
    <row r="4175" spans="1:24" x14ac:dyDescent="0.25">
      <c r="A4175" s="22"/>
      <c r="B4175" s="22"/>
      <c r="C4175" s="22"/>
      <c r="D4175" s="22"/>
      <c r="E4175" s="22"/>
      <c r="F4175" s="22"/>
      <c r="G4175" s="22"/>
      <c r="H4175" s="22"/>
      <c r="I4175" s="22"/>
      <c r="J4175" s="22"/>
      <c r="K4175" s="22"/>
      <c r="L4175" s="22"/>
      <c r="M4175" s="22"/>
      <c r="N4175" s="22"/>
      <c r="O4175" s="22"/>
      <c r="P4175" s="22"/>
      <c r="Q4175" s="22"/>
      <c r="R4175" s="22"/>
      <c r="S4175" s="22"/>
      <c r="T4175" s="22"/>
      <c r="U4175" s="22"/>
      <c r="V4175" s="22"/>
      <c r="W4175" s="22"/>
      <c r="X4175" s="22"/>
    </row>
    <row r="4176" spans="1:24" x14ac:dyDescent="0.25">
      <c r="A4176" s="22"/>
      <c r="B4176" s="22"/>
      <c r="C4176" s="22"/>
      <c r="D4176" s="22"/>
      <c r="E4176" s="22"/>
      <c r="F4176" s="22"/>
      <c r="G4176" s="22"/>
      <c r="H4176" s="22"/>
      <c r="I4176" s="22"/>
      <c r="J4176" s="22"/>
      <c r="K4176" s="22"/>
      <c r="L4176" s="22"/>
      <c r="M4176" s="22"/>
      <c r="N4176" s="22"/>
      <c r="O4176" s="22"/>
      <c r="P4176" s="22"/>
      <c r="Q4176" s="22"/>
      <c r="R4176" s="22"/>
      <c r="S4176" s="22"/>
      <c r="T4176" s="22"/>
      <c r="U4176" s="22"/>
      <c r="V4176" s="22"/>
      <c r="W4176" s="22"/>
      <c r="X4176" s="22"/>
    </row>
    <row r="4177" spans="1:24" x14ac:dyDescent="0.25">
      <c r="A4177" s="22"/>
      <c r="B4177" s="22"/>
      <c r="C4177" s="22"/>
      <c r="D4177" s="22"/>
      <c r="E4177" s="22"/>
      <c r="F4177" s="22"/>
      <c r="G4177" s="22"/>
      <c r="H4177" s="22"/>
      <c r="I4177" s="22"/>
      <c r="J4177" s="22"/>
      <c r="K4177" s="22"/>
      <c r="L4177" s="22"/>
      <c r="M4177" s="22"/>
      <c r="N4177" s="22"/>
      <c r="O4177" s="22"/>
      <c r="P4177" s="22"/>
      <c r="Q4177" s="22"/>
      <c r="R4177" s="22"/>
      <c r="S4177" s="22"/>
      <c r="T4177" s="22"/>
      <c r="U4177" s="22"/>
      <c r="V4177" s="22"/>
      <c r="W4177" s="22"/>
      <c r="X4177" s="22"/>
    </row>
    <row r="4178" spans="1:24" x14ac:dyDescent="0.25">
      <c r="A4178" s="22"/>
      <c r="B4178" s="22"/>
      <c r="C4178" s="22"/>
      <c r="D4178" s="22"/>
      <c r="E4178" s="22"/>
      <c r="F4178" s="22"/>
      <c r="G4178" s="22"/>
      <c r="H4178" s="22"/>
      <c r="I4178" s="22"/>
      <c r="J4178" s="22"/>
      <c r="K4178" s="22"/>
      <c r="L4178" s="22"/>
      <c r="M4178" s="22"/>
      <c r="N4178" s="22"/>
      <c r="O4178" s="22"/>
      <c r="P4178" s="22"/>
      <c r="Q4178" s="22"/>
      <c r="R4178" s="22"/>
      <c r="S4178" s="22"/>
      <c r="T4178" s="22"/>
      <c r="U4178" s="22"/>
      <c r="V4178" s="22"/>
      <c r="W4178" s="22"/>
      <c r="X4178" s="22"/>
    </row>
    <row r="4179" spans="1:24" x14ac:dyDescent="0.25">
      <c r="A4179" s="22"/>
      <c r="B4179" s="22"/>
      <c r="C4179" s="22"/>
      <c r="D4179" s="22"/>
      <c r="E4179" s="22"/>
      <c r="F4179" s="22"/>
      <c r="G4179" s="22"/>
      <c r="H4179" s="22"/>
      <c r="I4179" s="22"/>
      <c r="J4179" s="22"/>
      <c r="K4179" s="22"/>
      <c r="L4179" s="22"/>
      <c r="M4179" s="22"/>
      <c r="N4179" s="22"/>
      <c r="O4179" s="22"/>
      <c r="P4179" s="22"/>
      <c r="Q4179" s="22"/>
      <c r="R4179" s="22"/>
      <c r="S4179" s="22"/>
      <c r="T4179" s="22"/>
      <c r="U4179" s="22"/>
      <c r="V4179" s="22"/>
      <c r="W4179" s="22"/>
      <c r="X4179" s="22"/>
    </row>
    <row r="4180" spans="1:24" x14ac:dyDescent="0.25">
      <c r="A4180" s="22"/>
      <c r="B4180" s="22"/>
      <c r="C4180" s="22"/>
      <c r="D4180" s="22"/>
      <c r="E4180" s="22"/>
      <c r="F4180" s="22"/>
      <c r="G4180" s="22"/>
      <c r="H4180" s="22"/>
      <c r="I4180" s="22"/>
      <c r="J4180" s="22"/>
      <c r="K4180" s="22"/>
      <c r="L4180" s="22"/>
      <c r="M4180" s="22"/>
      <c r="N4180" s="22"/>
      <c r="O4180" s="22"/>
      <c r="P4180" s="22"/>
      <c r="Q4180" s="22"/>
      <c r="R4180" s="22"/>
      <c r="S4180" s="22"/>
      <c r="T4180" s="22"/>
      <c r="U4180" s="22"/>
      <c r="V4180" s="22"/>
      <c r="W4180" s="22"/>
      <c r="X4180" s="22"/>
    </row>
    <row r="4181" spans="1:24" x14ac:dyDescent="0.25">
      <c r="A4181" s="22"/>
      <c r="B4181" s="22"/>
      <c r="C4181" s="22"/>
      <c r="D4181" s="22"/>
      <c r="E4181" s="22"/>
      <c r="F4181" s="22"/>
      <c r="G4181" s="22"/>
      <c r="H4181" s="22"/>
      <c r="I4181" s="22"/>
      <c r="J4181" s="22"/>
      <c r="K4181" s="22"/>
      <c r="L4181" s="22"/>
      <c r="M4181" s="22"/>
      <c r="N4181" s="22"/>
      <c r="O4181" s="22"/>
      <c r="P4181" s="22"/>
      <c r="Q4181" s="22"/>
      <c r="R4181" s="22"/>
      <c r="S4181" s="22"/>
      <c r="T4181" s="22"/>
      <c r="U4181" s="22"/>
      <c r="V4181" s="22"/>
      <c r="W4181" s="22"/>
      <c r="X4181" s="22"/>
    </row>
    <row r="4182" spans="1:24" x14ac:dyDescent="0.25">
      <c r="A4182" s="22"/>
      <c r="B4182" s="22"/>
      <c r="C4182" s="22"/>
      <c r="D4182" s="22"/>
      <c r="E4182" s="22"/>
      <c r="F4182" s="22"/>
      <c r="G4182" s="22"/>
      <c r="H4182" s="22"/>
      <c r="I4182" s="22"/>
      <c r="J4182" s="22"/>
      <c r="K4182" s="22"/>
      <c r="L4182" s="22"/>
      <c r="M4182" s="22"/>
      <c r="N4182" s="22"/>
      <c r="O4182" s="22"/>
      <c r="P4182" s="22"/>
      <c r="Q4182" s="22"/>
      <c r="R4182" s="22"/>
      <c r="S4182" s="22"/>
      <c r="T4182" s="22"/>
      <c r="U4182" s="22"/>
      <c r="V4182" s="22"/>
      <c r="W4182" s="22"/>
      <c r="X4182" s="22"/>
    </row>
    <row r="4183" spans="1:24" x14ac:dyDescent="0.25">
      <c r="A4183" s="22"/>
      <c r="B4183" s="22"/>
      <c r="C4183" s="22"/>
      <c r="D4183" s="22"/>
      <c r="E4183" s="22"/>
      <c r="F4183" s="22"/>
      <c r="G4183" s="22"/>
      <c r="H4183" s="22"/>
      <c r="I4183" s="22"/>
      <c r="J4183" s="22"/>
      <c r="K4183" s="22"/>
      <c r="L4183" s="22"/>
      <c r="M4183" s="22"/>
      <c r="N4183" s="22"/>
      <c r="O4183" s="22"/>
      <c r="P4183" s="22"/>
      <c r="Q4183" s="22"/>
      <c r="R4183" s="22"/>
      <c r="S4183" s="22"/>
      <c r="T4183" s="22"/>
      <c r="U4183" s="22"/>
      <c r="V4183" s="22"/>
      <c r="W4183" s="22"/>
      <c r="X4183" s="22"/>
    </row>
    <row r="4184" spans="1:24" x14ac:dyDescent="0.25">
      <c r="A4184" s="22"/>
      <c r="B4184" s="22"/>
      <c r="C4184" s="22"/>
      <c r="D4184" s="22"/>
      <c r="E4184" s="22"/>
      <c r="F4184" s="22"/>
      <c r="G4184" s="22"/>
      <c r="H4184" s="22"/>
      <c r="I4184" s="22"/>
      <c r="J4184" s="22"/>
      <c r="K4184" s="22"/>
      <c r="L4184" s="22"/>
      <c r="M4184" s="22"/>
      <c r="N4184" s="22"/>
      <c r="O4184" s="22"/>
      <c r="P4184" s="22"/>
      <c r="Q4184" s="22"/>
      <c r="R4184" s="22"/>
      <c r="S4184" s="22"/>
      <c r="T4184" s="22"/>
      <c r="U4184" s="22"/>
      <c r="V4184" s="22"/>
      <c r="W4184" s="22"/>
      <c r="X4184" s="22"/>
    </row>
    <row r="4185" spans="1:24" x14ac:dyDescent="0.25">
      <c r="A4185" s="22"/>
      <c r="B4185" s="22"/>
      <c r="C4185" s="22"/>
      <c r="D4185" s="22"/>
      <c r="E4185" s="22"/>
      <c r="F4185" s="22"/>
      <c r="G4185" s="22"/>
      <c r="H4185" s="22"/>
      <c r="I4185" s="22"/>
      <c r="J4185" s="22"/>
      <c r="K4185" s="22"/>
      <c r="L4185" s="22"/>
      <c r="M4185" s="22"/>
      <c r="N4185" s="22"/>
      <c r="O4185" s="22"/>
      <c r="P4185" s="22"/>
      <c r="Q4185" s="22"/>
      <c r="R4185" s="22"/>
      <c r="S4185" s="22"/>
      <c r="T4185" s="22"/>
      <c r="U4185" s="22"/>
      <c r="V4185" s="22"/>
      <c r="W4185" s="22"/>
      <c r="X4185" s="22"/>
    </row>
    <row r="4186" spans="1:24" x14ac:dyDescent="0.25">
      <c r="A4186" s="22"/>
      <c r="B4186" s="22"/>
      <c r="C4186" s="22"/>
      <c r="D4186" s="22"/>
      <c r="E4186" s="22"/>
      <c r="F4186" s="22"/>
      <c r="G4186" s="22"/>
      <c r="H4186" s="22"/>
      <c r="I4186" s="22"/>
      <c r="J4186" s="22"/>
      <c r="K4186" s="22"/>
      <c r="L4186" s="22"/>
      <c r="M4186" s="22"/>
      <c r="N4186" s="22"/>
      <c r="O4186" s="22"/>
      <c r="P4186" s="22"/>
      <c r="Q4186" s="22"/>
      <c r="R4186" s="22"/>
      <c r="S4186" s="22"/>
      <c r="T4186" s="22"/>
      <c r="U4186" s="22"/>
      <c r="V4186" s="22"/>
      <c r="W4186" s="22"/>
      <c r="X4186" s="22"/>
    </row>
    <row r="4187" spans="1:24" x14ac:dyDescent="0.25">
      <c r="A4187" s="22"/>
      <c r="B4187" s="22"/>
      <c r="C4187" s="22"/>
      <c r="D4187" s="22"/>
      <c r="E4187" s="22"/>
      <c r="F4187" s="22"/>
      <c r="G4187" s="22"/>
      <c r="H4187" s="22"/>
      <c r="I4187" s="22"/>
      <c r="J4187" s="22"/>
      <c r="K4187" s="22"/>
      <c r="L4187" s="22"/>
      <c r="M4187" s="22"/>
      <c r="N4187" s="22"/>
      <c r="O4187" s="22"/>
      <c r="P4187" s="22"/>
      <c r="Q4187" s="22"/>
      <c r="R4187" s="22"/>
      <c r="S4187" s="22"/>
      <c r="T4187" s="22"/>
      <c r="U4187" s="22"/>
      <c r="V4187" s="22"/>
      <c r="W4187" s="22"/>
      <c r="X4187" s="22"/>
    </row>
    <row r="4188" spans="1:24" x14ac:dyDescent="0.25">
      <c r="A4188" s="22"/>
      <c r="B4188" s="22"/>
      <c r="C4188" s="22"/>
      <c r="D4188" s="22"/>
      <c r="E4188" s="22"/>
      <c r="F4188" s="22"/>
      <c r="G4188" s="22"/>
      <c r="H4188" s="22"/>
      <c r="I4188" s="22"/>
      <c r="J4188" s="22"/>
      <c r="K4188" s="22"/>
      <c r="L4188" s="22"/>
      <c r="M4188" s="22"/>
      <c r="N4188" s="22"/>
      <c r="O4188" s="22"/>
      <c r="P4188" s="22"/>
      <c r="Q4188" s="22"/>
      <c r="R4188" s="22"/>
      <c r="S4188" s="22"/>
      <c r="T4188" s="22"/>
      <c r="U4188" s="22"/>
      <c r="V4188" s="22"/>
      <c r="W4188" s="22"/>
      <c r="X4188" s="22"/>
    </row>
    <row r="4189" spans="1:24" x14ac:dyDescent="0.25">
      <c r="A4189" s="22"/>
      <c r="B4189" s="22"/>
      <c r="C4189" s="22"/>
      <c r="D4189" s="22"/>
      <c r="E4189" s="22"/>
      <c r="F4189" s="22"/>
      <c r="G4189" s="22"/>
      <c r="H4189" s="22"/>
      <c r="I4189" s="22"/>
      <c r="J4189" s="22"/>
      <c r="K4189" s="22"/>
      <c r="L4189" s="22"/>
      <c r="M4189" s="22"/>
      <c r="N4189" s="22"/>
      <c r="O4189" s="22"/>
      <c r="P4189" s="22"/>
      <c r="Q4189" s="22"/>
      <c r="R4189" s="22"/>
      <c r="S4189" s="22"/>
      <c r="T4189" s="22"/>
      <c r="U4189" s="22"/>
      <c r="V4189" s="22"/>
      <c r="W4189" s="22"/>
      <c r="X4189" s="22"/>
    </row>
    <row r="4190" spans="1:24" x14ac:dyDescent="0.25">
      <c r="A4190" s="22"/>
      <c r="B4190" s="22"/>
      <c r="C4190" s="22"/>
      <c r="D4190" s="22"/>
      <c r="E4190" s="22"/>
      <c r="F4190" s="22"/>
      <c r="G4190" s="22"/>
      <c r="H4190" s="22"/>
      <c r="I4190" s="22"/>
      <c r="J4190" s="22"/>
      <c r="K4190" s="22"/>
      <c r="L4190" s="22"/>
      <c r="M4190" s="22"/>
      <c r="N4190" s="22"/>
      <c r="O4190" s="22"/>
      <c r="P4190" s="22"/>
      <c r="Q4190" s="22"/>
      <c r="R4190" s="22"/>
      <c r="S4190" s="22"/>
      <c r="T4190" s="22"/>
      <c r="U4190" s="22"/>
      <c r="V4190" s="22"/>
      <c r="W4190" s="22"/>
      <c r="X4190" s="22"/>
    </row>
    <row r="4191" spans="1:24" x14ac:dyDescent="0.25">
      <c r="A4191" s="22"/>
      <c r="B4191" s="22"/>
      <c r="C4191" s="22"/>
      <c r="D4191" s="22"/>
      <c r="E4191" s="22"/>
      <c r="F4191" s="22"/>
      <c r="G4191" s="22"/>
      <c r="H4191" s="22"/>
      <c r="I4191" s="22"/>
      <c r="J4191" s="22"/>
      <c r="K4191" s="22"/>
      <c r="L4191" s="22"/>
      <c r="M4191" s="22"/>
      <c r="N4191" s="22"/>
      <c r="O4191" s="22"/>
      <c r="P4191" s="22"/>
      <c r="Q4191" s="22"/>
      <c r="R4191" s="22"/>
      <c r="S4191" s="22"/>
      <c r="T4191" s="22"/>
      <c r="U4191" s="22"/>
      <c r="V4191" s="22"/>
      <c r="W4191" s="22"/>
      <c r="X4191" s="22"/>
    </row>
    <row r="4192" spans="1:24" x14ac:dyDescent="0.25">
      <c r="A4192" s="22"/>
      <c r="B4192" s="22"/>
      <c r="C4192" s="22"/>
      <c r="D4192" s="22"/>
      <c r="E4192" s="22"/>
      <c r="F4192" s="22"/>
      <c r="G4192" s="22"/>
      <c r="H4192" s="22"/>
      <c r="I4192" s="22"/>
      <c r="J4192" s="22"/>
      <c r="K4192" s="22"/>
      <c r="L4192" s="22"/>
      <c r="M4192" s="22"/>
      <c r="N4192" s="22"/>
      <c r="O4192" s="22"/>
      <c r="P4192" s="22"/>
      <c r="Q4192" s="22"/>
      <c r="R4192" s="22"/>
      <c r="S4192" s="22"/>
      <c r="T4192" s="22"/>
      <c r="U4192" s="22"/>
      <c r="V4192" s="22"/>
      <c r="W4192" s="22"/>
      <c r="X4192" s="22"/>
    </row>
    <row r="4193" spans="1:24" x14ac:dyDescent="0.25">
      <c r="A4193" s="22"/>
      <c r="B4193" s="22"/>
      <c r="C4193" s="22"/>
      <c r="D4193" s="22"/>
      <c r="E4193" s="22"/>
      <c r="F4193" s="22"/>
      <c r="G4193" s="22"/>
      <c r="H4193" s="22"/>
      <c r="I4193" s="22"/>
      <c r="J4193" s="22"/>
      <c r="K4193" s="22"/>
      <c r="L4193" s="22"/>
      <c r="M4193" s="22"/>
      <c r="N4193" s="22"/>
      <c r="O4193" s="22"/>
      <c r="P4193" s="22"/>
      <c r="Q4193" s="22"/>
      <c r="R4193" s="22"/>
      <c r="S4193" s="22"/>
      <c r="T4193" s="22"/>
      <c r="U4193" s="22"/>
      <c r="V4193" s="22"/>
      <c r="W4193" s="22"/>
      <c r="X4193" s="22"/>
    </row>
    <row r="4194" spans="1:24" x14ac:dyDescent="0.25">
      <c r="A4194" s="22"/>
      <c r="B4194" s="22"/>
      <c r="C4194" s="22"/>
      <c r="D4194" s="22"/>
      <c r="E4194" s="22"/>
      <c r="F4194" s="22"/>
      <c r="G4194" s="22"/>
      <c r="H4194" s="22"/>
      <c r="I4194" s="22"/>
      <c r="J4194" s="22"/>
      <c r="K4194" s="22"/>
      <c r="L4194" s="22"/>
      <c r="M4194" s="22"/>
      <c r="N4194" s="22"/>
      <c r="O4194" s="22"/>
      <c r="P4194" s="22"/>
      <c r="Q4194" s="22"/>
      <c r="R4194" s="22"/>
      <c r="S4194" s="22"/>
      <c r="T4194" s="22"/>
      <c r="U4194" s="22"/>
      <c r="V4194" s="22"/>
      <c r="W4194" s="22"/>
      <c r="X4194" s="22"/>
    </row>
    <row r="4195" spans="1:24" x14ac:dyDescent="0.25">
      <c r="A4195" s="22"/>
      <c r="B4195" s="22"/>
      <c r="C4195" s="22"/>
      <c r="D4195" s="22"/>
      <c r="E4195" s="22"/>
      <c r="F4195" s="22"/>
      <c r="G4195" s="22"/>
      <c r="H4195" s="22"/>
      <c r="I4195" s="22"/>
      <c r="J4195" s="22"/>
      <c r="K4195" s="22"/>
      <c r="L4195" s="22"/>
      <c r="M4195" s="22"/>
      <c r="N4195" s="22"/>
      <c r="O4195" s="22"/>
      <c r="P4195" s="22"/>
      <c r="Q4195" s="22"/>
      <c r="R4195" s="22"/>
      <c r="S4195" s="22"/>
      <c r="T4195" s="22"/>
      <c r="U4195" s="22"/>
      <c r="V4195" s="22"/>
      <c r="W4195" s="22"/>
      <c r="X4195" s="22"/>
    </row>
    <row r="4196" spans="1:24" x14ac:dyDescent="0.25">
      <c r="A4196" s="22"/>
      <c r="B4196" s="22"/>
      <c r="C4196" s="22"/>
      <c r="D4196" s="22"/>
      <c r="E4196" s="22"/>
      <c r="F4196" s="22"/>
      <c r="G4196" s="22"/>
      <c r="H4196" s="22"/>
      <c r="I4196" s="22"/>
      <c r="J4196" s="22"/>
      <c r="K4196" s="22"/>
      <c r="L4196" s="22"/>
      <c r="M4196" s="22"/>
      <c r="N4196" s="22"/>
      <c r="O4196" s="22"/>
      <c r="P4196" s="22"/>
      <c r="Q4196" s="22"/>
      <c r="R4196" s="22"/>
      <c r="S4196" s="22"/>
      <c r="T4196" s="22"/>
      <c r="U4196" s="22"/>
      <c r="V4196" s="22"/>
      <c r="W4196" s="22"/>
      <c r="X4196" s="22"/>
    </row>
    <row r="4197" spans="1:24" x14ac:dyDescent="0.25">
      <c r="A4197" s="22"/>
      <c r="B4197" s="22"/>
      <c r="C4197" s="22"/>
      <c r="D4197" s="22"/>
      <c r="E4197" s="22"/>
      <c r="F4197" s="22"/>
      <c r="G4197" s="22"/>
      <c r="H4197" s="22"/>
      <c r="I4197" s="22"/>
      <c r="J4197" s="22"/>
      <c r="K4197" s="22"/>
      <c r="L4197" s="22"/>
      <c r="M4197" s="22"/>
      <c r="N4197" s="22"/>
      <c r="O4197" s="22"/>
      <c r="P4197" s="22"/>
      <c r="Q4197" s="22"/>
      <c r="R4197" s="22"/>
      <c r="S4197" s="22"/>
      <c r="T4197" s="22"/>
      <c r="U4197" s="22"/>
      <c r="V4197" s="22"/>
      <c r="W4197" s="22"/>
      <c r="X4197" s="22"/>
    </row>
    <row r="4198" spans="1:24" x14ac:dyDescent="0.25">
      <c r="A4198" s="22"/>
      <c r="B4198" s="22"/>
      <c r="C4198" s="22"/>
      <c r="D4198" s="22"/>
      <c r="E4198" s="22"/>
      <c r="F4198" s="22"/>
      <c r="G4198" s="22"/>
      <c r="H4198" s="22"/>
      <c r="I4198" s="22"/>
      <c r="J4198" s="22"/>
      <c r="K4198" s="22"/>
      <c r="L4198" s="22"/>
      <c r="M4198" s="22"/>
      <c r="N4198" s="22"/>
      <c r="O4198" s="22"/>
      <c r="P4198" s="22"/>
      <c r="Q4198" s="22"/>
      <c r="R4198" s="22"/>
      <c r="S4198" s="22"/>
      <c r="T4198" s="22"/>
      <c r="U4198" s="22"/>
      <c r="V4198" s="22"/>
      <c r="W4198" s="22"/>
      <c r="X4198" s="22"/>
    </row>
    <row r="4199" spans="1:24" x14ac:dyDescent="0.25">
      <c r="A4199" s="22"/>
      <c r="B4199" s="22"/>
      <c r="C4199" s="22"/>
      <c r="D4199" s="22"/>
      <c r="E4199" s="22"/>
      <c r="F4199" s="22"/>
      <c r="G4199" s="22"/>
      <c r="H4199" s="22"/>
      <c r="I4199" s="22"/>
      <c r="J4199" s="22"/>
      <c r="K4199" s="22"/>
      <c r="L4199" s="22"/>
      <c r="M4199" s="22"/>
      <c r="N4199" s="22"/>
      <c r="O4199" s="22"/>
      <c r="P4199" s="22"/>
      <c r="Q4199" s="22"/>
      <c r="R4199" s="22"/>
      <c r="S4199" s="22"/>
      <c r="T4199" s="22"/>
      <c r="U4199" s="22"/>
      <c r="V4199" s="22"/>
      <c r="W4199" s="22"/>
      <c r="X4199" s="22"/>
    </row>
    <row r="4200" spans="1:24" x14ac:dyDescent="0.25">
      <c r="A4200" s="22"/>
      <c r="B4200" s="22"/>
      <c r="C4200" s="22"/>
      <c r="D4200" s="22"/>
      <c r="E4200" s="22"/>
      <c r="F4200" s="22"/>
      <c r="G4200" s="22"/>
      <c r="H4200" s="22"/>
      <c r="I4200" s="22"/>
      <c r="J4200" s="22"/>
      <c r="K4200" s="22"/>
      <c r="L4200" s="22"/>
      <c r="M4200" s="22"/>
      <c r="N4200" s="22"/>
      <c r="O4200" s="22"/>
      <c r="P4200" s="22"/>
      <c r="Q4200" s="22"/>
      <c r="R4200" s="22"/>
      <c r="S4200" s="22"/>
      <c r="T4200" s="22"/>
      <c r="U4200" s="22"/>
      <c r="V4200" s="22"/>
      <c r="W4200" s="22"/>
      <c r="X4200" s="22"/>
    </row>
    <row r="4201" spans="1:24" x14ac:dyDescent="0.25">
      <c r="A4201" s="22"/>
      <c r="B4201" s="22"/>
      <c r="C4201" s="22"/>
      <c r="D4201" s="22"/>
      <c r="E4201" s="22"/>
      <c r="F4201" s="22"/>
      <c r="G4201" s="22"/>
      <c r="H4201" s="22"/>
      <c r="I4201" s="22"/>
      <c r="J4201" s="22"/>
      <c r="K4201" s="22"/>
      <c r="L4201" s="22"/>
      <c r="M4201" s="22"/>
      <c r="N4201" s="22"/>
      <c r="O4201" s="22"/>
      <c r="P4201" s="22"/>
      <c r="Q4201" s="22"/>
      <c r="R4201" s="22"/>
      <c r="S4201" s="22"/>
      <c r="T4201" s="22"/>
      <c r="U4201" s="22"/>
      <c r="V4201" s="22"/>
      <c r="W4201" s="22"/>
      <c r="X4201" s="22"/>
    </row>
    <row r="4202" spans="1:24" x14ac:dyDescent="0.25">
      <c r="A4202" s="22"/>
      <c r="B4202" s="22"/>
      <c r="C4202" s="22"/>
      <c r="D4202" s="22"/>
      <c r="E4202" s="22"/>
      <c r="F4202" s="22"/>
      <c r="G4202" s="22"/>
      <c r="H4202" s="22"/>
      <c r="I4202" s="22"/>
      <c r="J4202" s="22"/>
      <c r="K4202" s="22"/>
      <c r="L4202" s="22"/>
      <c r="M4202" s="22"/>
      <c r="N4202" s="22"/>
      <c r="O4202" s="22"/>
      <c r="P4202" s="22"/>
      <c r="Q4202" s="22"/>
      <c r="R4202" s="22"/>
      <c r="S4202" s="22"/>
      <c r="T4202" s="22"/>
      <c r="U4202" s="22"/>
      <c r="V4202" s="22"/>
      <c r="W4202" s="22"/>
      <c r="X4202" s="22"/>
    </row>
    <row r="4203" spans="1:24" x14ac:dyDescent="0.25">
      <c r="A4203" s="22"/>
      <c r="B4203" s="22"/>
      <c r="C4203" s="22"/>
      <c r="D4203" s="22"/>
      <c r="E4203" s="22"/>
      <c r="F4203" s="22"/>
      <c r="G4203" s="22"/>
      <c r="H4203" s="22"/>
      <c r="I4203" s="22"/>
      <c r="J4203" s="22"/>
      <c r="K4203" s="22"/>
      <c r="L4203" s="22"/>
      <c r="M4203" s="22"/>
      <c r="N4203" s="22"/>
      <c r="O4203" s="22"/>
      <c r="P4203" s="22"/>
      <c r="Q4203" s="22"/>
      <c r="R4203" s="22"/>
      <c r="S4203" s="22"/>
      <c r="T4203" s="22"/>
      <c r="U4203" s="22"/>
      <c r="V4203" s="22"/>
      <c r="W4203" s="22"/>
      <c r="X4203" s="22"/>
    </row>
    <row r="4204" spans="1:24" x14ac:dyDescent="0.25">
      <c r="A4204" s="22"/>
      <c r="B4204" s="22"/>
      <c r="C4204" s="22"/>
      <c r="D4204" s="22"/>
      <c r="E4204" s="22"/>
      <c r="F4204" s="22"/>
      <c r="G4204" s="22"/>
      <c r="H4204" s="22"/>
      <c r="I4204" s="22"/>
      <c r="J4204" s="22"/>
      <c r="K4204" s="22"/>
      <c r="L4204" s="22"/>
      <c r="M4204" s="22"/>
      <c r="N4204" s="22"/>
      <c r="O4204" s="22"/>
      <c r="P4204" s="22"/>
      <c r="Q4204" s="22"/>
      <c r="R4204" s="22"/>
      <c r="S4204" s="22"/>
      <c r="T4204" s="22"/>
      <c r="U4204" s="22"/>
      <c r="V4204" s="22"/>
      <c r="W4204" s="22"/>
      <c r="X4204" s="22"/>
    </row>
    <row r="4205" spans="1:24" x14ac:dyDescent="0.25">
      <c r="A4205" s="22"/>
      <c r="B4205" s="22"/>
      <c r="C4205" s="22"/>
      <c r="D4205" s="22"/>
      <c r="E4205" s="22"/>
      <c r="F4205" s="22"/>
      <c r="G4205" s="22"/>
      <c r="H4205" s="22"/>
      <c r="I4205" s="22"/>
      <c r="J4205" s="22"/>
      <c r="K4205" s="22"/>
      <c r="L4205" s="22"/>
      <c r="M4205" s="22"/>
      <c r="N4205" s="22"/>
      <c r="O4205" s="22"/>
      <c r="P4205" s="22"/>
      <c r="Q4205" s="22"/>
      <c r="R4205" s="22"/>
      <c r="S4205" s="22"/>
      <c r="T4205" s="22"/>
      <c r="U4205" s="22"/>
      <c r="V4205" s="22"/>
      <c r="W4205" s="22"/>
      <c r="X4205" s="22"/>
    </row>
    <row r="4206" spans="1:24" x14ac:dyDescent="0.25">
      <c r="A4206" s="22"/>
      <c r="B4206" s="22"/>
      <c r="C4206" s="22"/>
      <c r="D4206" s="22"/>
      <c r="E4206" s="22"/>
      <c r="F4206" s="22"/>
      <c r="G4206" s="22"/>
      <c r="H4206" s="22"/>
      <c r="I4206" s="22"/>
      <c r="J4206" s="22"/>
      <c r="K4206" s="22"/>
      <c r="L4206" s="22"/>
      <c r="M4206" s="22"/>
      <c r="N4206" s="22"/>
      <c r="O4206" s="22"/>
      <c r="P4206" s="22"/>
      <c r="Q4206" s="22"/>
      <c r="R4206" s="22"/>
      <c r="S4206" s="22"/>
      <c r="T4206" s="22"/>
      <c r="U4206" s="22"/>
      <c r="V4206" s="22"/>
      <c r="W4206" s="22"/>
      <c r="X4206" s="22"/>
    </row>
    <row r="4207" spans="1:24" x14ac:dyDescent="0.25">
      <c r="A4207" s="22"/>
      <c r="B4207" s="22"/>
      <c r="C4207" s="22"/>
      <c r="D4207" s="22"/>
      <c r="E4207" s="22"/>
      <c r="F4207" s="22"/>
      <c r="G4207" s="22"/>
      <c r="H4207" s="22"/>
      <c r="I4207" s="22"/>
      <c r="J4207" s="22"/>
      <c r="K4207" s="22"/>
      <c r="L4207" s="22"/>
      <c r="M4207" s="22"/>
      <c r="N4207" s="22"/>
      <c r="O4207" s="22"/>
      <c r="P4207" s="22"/>
      <c r="Q4207" s="22"/>
      <c r="R4207" s="22"/>
      <c r="S4207" s="22"/>
      <c r="T4207" s="22"/>
      <c r="U4207" s="22"/>
      <c r="V4207" s="22"/>
      <c r="W4207" s="22"/>
      <c r="X4207" s="22"/>
    </row>
    <row r="4208" spans="1:24" x14ac:dyDescent="0.25">
      <c r="A4208" s="22"/>
      <c r="B4208" s="22"/>
      <c r="C4208" s="22"/>
      <c r="D4208" s="22"/>
      <c r="E4208" s="22"/>
      <c r="F4208" s="22"/>
      <c r="G4208" s="22"/>
      <c r="H4208" s="22"/>
      <c r="I4208" s="22"/>
      <c r="J4208" s="22"/>
      <c r="K4208" s="22"/>
      <c r="L4208" s="22"/>
      <c r="M4208" s="22"/>
      <c r="N4208" s="22"/>
      <c r="O4208" s="22"/>
      <c r="P4208" s="22"/>
      <c r="Q4208" s="22"/>
      <c r="R4208" s="22"/>
      <c r="S4208" s="22"/>
      <c r="T4208" s="22"/>
      <c r="U4208" s="22"/>
      <c r="V4208" s="22"/>
      <c r="W4208" s="22"/>
      <c r="X4208" s="22"/>
    </row>
    <row r="4209" spans="1:24" x14ac:dyDescent="0.25">
      <c r="A4209" s="22"/>
      <c r="B4209" s="22"/>
      <c r="C4209" s="22"/>
      <c r="D4209" s="22"/>
      <c r="E4209" s="22"/>
      <c r="F4209" s="22"/>
      <c r="G4209" s="22"/>
      <c r="H4209" s="22"/>
      <c r="I4209" s="22"/>
      <c r="J4209" s="22"/>
      <c r="K4209" s="22"/>
      <c r="L4209" s="22"/>
      <c r="M4209" s="22"/>
      <c r="N4209" s="22"/>
      <c r="O4209" s="22"/>
      <c r="P4209" s="22"/>
      <c r="Q4209" s="22"/>
      <c r="R4209" s="22"/>
      <c r="S4209" s="22"/>
      <c r="T4209" s="22"/>
      <c r="U4209" s="22"/>
      <c r="V4209" s="22"/>
      <c r="W4209" s="22"/>
      <c r="X4209" s="22"/>
    </row>
    <row r="4210" spans="1:24" x14ac:dyDescent="0.25">
      <c r="A4210" s="22"/>
      <c r="B4210" s="22"/>
      <c r="C4210" s="22"/>
      <c r="D4210" s="22"/>
      <c r="E4210" s="22"/>
      <c r="F4210" s="22"/>
      <c r="G4210" s="22"/>
      <c r="H4210" s="22"/>
      <c r="I4210" s="22"/>
      <c r="J4210" s="22"/>
      <c r="K4210" s="22"/>
      <c r="L4210" s="22"/>
      <c r="M4210" s="22"/>
      <c r="N4210" s="22"/>
      <c r="O4210" s="22"/>
      <c r="P4210" s="22"/>
      <c r="Q4210" s="22"/>
      <c r="R4210" s="22"/>
      <c r="S4210" s="22"/>
      <c r="T4210" s="22"/>
      <c r="U4210" s="22"/>
      <c r="V4210" s="22"/>
      <c r="W4210" s="22"/>
      <c r="X4210" s="22"/>
    </row>
    <row r="4211" spans="1:24" x14ac:dyDescent="0.25">
      <c r="A4211" s="22"/>
      <c r="B4211" s="22"/>
      <c r="C4211" s="22"/>
      <c r="D4211" s="22"/>
      <c r="E4211" s="22"/>
      <c r="F4211" s="22"/>
      <c r="G4211" s="22"/>
      <c r="H4211" s="22"/>
      <c r="I4211" s="22"/>
      <c r="J4211" s="22"/>
      <c r="K4211" s="22"/>
      <c r="L4211" s="22"/>
      <c r="M4211" s="22"/>
      <c r="N4211" s="22"/>
      <c r="O4211" s="22"/>
      <c r="P4211" s="22"/>
      <c r="Q4211" s="22"/>
      <c r="R4211" s="22"/>
      <c r="S4211" s="22"/>
      <c r="T4211" s="22"/>
      <c r="U4211" s="22"/>
      <c r="V4211" s="22"/>
      <c r="W4211" s="22"/>
      <c r="X4211" s="22"/>
    </row>
    <row r="4212" spans="1:24" x14ac:dyDescent="0.25">
      <c r="A4212" s="22"/>
      <c r="B4212" s="22"/>
      <c r="C4212" s="22"/>
      <c r="D4212" s="22"/>
      <c r="E4212" s="22"/>
      <c r="F4212" s="22"/>
      <c r="G4212" s="22"/>
      <c r="H4212" s="22"/>
      <c r="I4212" s="22"/>
      <c r="J4212" s="22"/>
      <c r="K4212" s="22"/>
      <c r="L4212" s="22"/>
      <c r="M4212" s="22"/>
      <c r="N4212" s="22"/>
      <c r="O4212" s="22"/>
      <c r="P4212" s="22"/>
      <c r="Q4212" s="22"/>
      <c r="R4212" s="22"/>
      <c r="S4212" s="22"/>
      <c r="T4212" s="22"/>
      <c r="U4212" s="22"/>
      <c r="V4212" s="22"/>
      <c r="W4212" s="22"/>
      <c r="X4212" s="22"/>
    </row>
    <row r="4213" spans="1:24" x14ac:dyDescent="0.25">
      <c r="A4213" s="22"/>
      <c r="B4213" s="22"/>
      <c r="C4213" s="22"/>
      <c r="D4213" s="22"/>
      <c r="E4213" s="22"/>
      <c r="F4213" s="22"/>
      <c r="G4213" s="22"/>
      <c r="H4213" s="22"/>
      <c r="I4213" s="22"/>
      <c r="J4213" s="22"/>
      <c r="K4213" s="22"/>
      <c r="L4213" s="22"/>
      <c r="M4213" s="22"/>
      <c r="N4213" s="22"/>
      <c r="O4213" s="22"/>
      <c r="P4213" s="22"/>
      <c r="Q4213" s="22"/>
      <c r="R4213" s="22"/>
      <c r="S4213" s="22"/>
      <c r="T4213" s="22"/>
      <c r="U4213" s="22"/>
      <c r="V4213" s="22"/>
      <c r="W4213" s="22"/>
      <c r="X4213" s="22"/>
    </row>
    <row r="4214" spans="1:24" x14ac:dyDescent="0.25">
      <c r="A4214" s="22"/>
      <c r="B4214" s="22"/>
      <c r="C4214" s="22"/>
      <c r="D4214" s="22"/>
      <c r="E4214" s="22"/>
      <c r="F4214" s="22"/>
      <c r="G4214" s="22"/>
      <c r="H4214" s="22"/>
      <c r="I4214" s="22"/>
      <c r="J4214" s="22"/>
      <c r="K4214" s="22"/>
      <c r="L4214" s="22"/>
      <c r="M4214" s="22"/>
      <c r="N4214" s="22"/>
      <c r="O4214" s="22"/>
      <c r="P4214" s="22"/>
      <c r="Q4214" s="22"/>
      <c r="R4214" s="22"/>
      <c r="S4214" s="22"/>
      <c r="T4214" s="22"/>
      <c r="U4214" s="22"/>
      <c r="V4214" s="22"/>
      <c r="W4214" s="22"/>
      <c r="X4214" s="22"/>
    </row>
    <row r="4215" spans="1:24" x14ac:dyDescent="0.25">
      <c r="A4215" s="22"/>
      <c r="B4215" s="22"/>
      <c r="C4215" s="22"/>
      <c r="D4215" s="22"/>
      <c r="E4215" s="22"/>
      <c r="F4215" s="22"/>
      <c r="G4215" s="22"/>
      <c r="H4215" s="22"/>
      <c r="I4215" s="22"/>
      <c r="J4215" s="22"/>
      <c r="K4215" s="22"/>
      <c r="L4215" s="22"/>
      <c r="M4215" s="22"/>
      <c r="N4215" s="22"/>
      <c r="O4215" s="22"/>
      <c r="P4215" s="22"/>
      <c r="Q4215" s="22"/>
      <c r="R4215" s="22"/>
      <c r="S4215" s="22"/>
      <c r="T4215" s="22"/>
      <c r="U4215" s="22"/>
      <c r="V4215" s="22"/>
      <c r="W4215" s="22"/>
      <c r="X4215" s="22"/>
    </row>
    <row r="4216" spans="1:24" x14ac:dyDescent="0.25">
      <c r="A4216" s="22"/>
      <c r="B4216" s="22"/>
      <c r="C4216" s="22"/>
      <c r="D4216" s="22"/>
      <c r="E4216" s="22"/>
      <c r="F4216" s="22"/>
      <c r="G4216" s="22"/>
      <c r="H4216" s="22"/>
      <c r="I4216" s="22"/>
      <c r="J4216" s="22"/>
      <c r="K4216" s="22"/>
      <c r="L4216" s="22"/>
      <c r="M4216" s="22"/>
      <c r="N4216" s="22"/>
      <c r="O4216" s="22"/>
      <c r="P4216" s="22"/>
      <c r="Q4216" s="22"/>
      <c r="R4216" s="22"/>
      <c r="S4216" s="22"/>
      <c r="T4216" s="22"/>
      <c r="U4216" s="22"/>
      <c r="V4216" s="22"/>
      <c r="W4216" s="22"/>
      <c r="X4216" s="22"/>
    </row>
    <row r="4217" spans="1:24" x14ac:dyDescent="0.25">
      <c r="A4217" s="22"/>
      <c r="B4217" s="22"/>
      <c r="C4217" s="22"/>
      <c r="D4217" s="22"/>
      <c r="E4217" s="22"/>
      <c r="F4217" s="22"/>
      <c r="G4217" s="22"/>
      <c r="H4217" s="22"/>
      <c r="I4217" s="22"/>
      <c r="J4217" s="22"/>
      <c r="K4217" s="22"/>
      <c r="L4217" s="22"/>
      <c r="M4217" s="22"/>
      <c r="N4217" s="22"/>
      <c r="O4217" s="22"/>
      <c r="P4217" s="22"/>
      <c r="Q4217" s="22"/>
      <c r="R4217" s="22"/>
      <c r="S4217" s="22"/>
      <c r="T4217" s="22"/>
      <c r="U4217" s="22"/>
      <c r="V4217" s="22"/>
      <c r="W4217" s="22"/>
      <c r="X4217" s="22"/>
    </row>
    <row r="4218" spans="1:24" x14ac:dyDescent="0.25">
      <c r="A4218" s="22"/>
      <c r="B4218" s="22"/>
      <c r="C4218" s="22"/>
      <c r="D4218" s="22"/>
      <c r="E4218" s="22"/>
      <c r="F4218" s="22"/>
      <c r="G4218" s="22"/>
      <c r="H4218" s="22"/>
      <c r="I4218" s="22"/>
      <c r="J4218" s="22"/>
      <c r="K4218" s="22"/>
      <c r="L4218" s="22"/>
      <c r="M4218" s="22"/>
      <c r="N4218" s="22"/>
      <c r="O4218" s="22"/>
      <c r="P4218" s="22"/>
      <c r="Q4218" s="22"/>
      <c r="R4218" s="22"/>
      <c r="S4218" s="22"/>
      <c r="T4218" s="22"/>
      <c r="U4218" s="22"/>
      <c r="V4218" s="22"/>
      <c r="W4218" s="22"/>
      <c r="X4218" s="22"/>
    </row>
    <row r="4219" spans="1:24" x14ac:dyDescent="0.25">
      <c r="A4219" s="22"/>
      <c r="B4219" s="22"/>
      <c r="C4219" s="22"/>
      <c r="D4219" s="22"/>
      <c r="E4219" s="22"/>
      <c r="F4219" s="22"/>
      <c r="G4219" s="22"/>
      <c r="H4219" s="22"/>
      <c r="I4219" s="22"/>
      <c r="J4219" s="22"/>
      <c r="K4219" s="22"/>
      <c r="L4219" s="22"/>
      <c r="M4219" s="22"/>
      <c r="N4219" s="22"/>
      <c r="O4219" s="22"/>
      <c r="P4219" s="22"/>
      <c r="Q4219" s="22"/>
      <c r="R4219" s="22"/>
      <c r="S4219" s="22"/>
      <c r="T4219" s="22"/>
      <c r="U4219" s="22"/>
      <c r="V4219" s="22"/>
      <c r="W4219" s="22"/>
      <c r="X4219" s="22"/>
    </row>
    <row r="4220" spans="1:24" x14ac:dyDescent="0.25">
      <c r="A4220" s="22"/>
      <c r="B4220" s="22"/>
      <c r="C4220" s="22"/>
      <c r="D4220" s="22"/>
      <c r="E4220" s="22"/>
      <c r="F4220" s="22"/>
      <c r="G4220" s="22"/>
      <c r="H4220" s="22"/>
      <c r="I4220" s="22"/>
      <c r="J4220" s="22"/>
      <c r="K4220" s="22"/>
      <c r="L4220" s="22"/>
      <c r="M4220" s="22"/>
      <c r="N4220" s="22"/>
      <c r="O4220" s="22"/>
      <c r="P4220" s="22"/>
      <c r="Q4220" s="22"/>
      <c r="R4220" s="22"/>
      <c r="S4220" s="22"/>
      <c r="T4220" s="22"/>
      <c r="U4220" s="22"/>
      <c r="V4220" s="22"/>
      <c r="W4220" s="22"/>
      <c r="X4220" s="22"/>
    </row>
    <row r="4221" spans="1:24" x14ac:dyDescent="0.25">
      <c r="A4221" s="22"/>
      <c r="B4221" s="22"/>
      <c r="C4221" s="22"/>
      <c r="D4221" s="22"/>
      <c r="E4221" s="22"/>
      <c r="F4221" s="22"/>
      <c r="G4221" s="22"/>
      <c r="H4221" s="22"/>
      <c r="I4221" s="22"/>
      <c r="J4221" s="22"/>
      <c r="K4221" s="22"/>
      <c r="L4221" s="22"/>
      <c r="M4221" s="22"/>
      <c r="N4221" s="22"/>
      <c r="O4221" s="22"/>
      <c r="P4221" s="22"/>
      <c r="Q4221" s="22"/>
      <c r="R4221" s="22"/>
      <c r="S4221" s="22"/>
      <c r="T4221" s="22"/>
      <c r="U4221" s="22"/>
      <c r="V4221" s="22"/>
      <c r="W4221" s="22"/>
      <c r="X4221" s="22"/>
    </row>
    <row r="4222" spans="1:24" x14ac:dyDescent="0.25">
      <c r="A4222" s="22"/>
      <c r="B4222" s="22"/>
      <c r="C4222" s="22"/>
      <c r="D4222" s="22"/>
      <c r="E4222" s="22"/>
      <c r="F4222" s="22"/>
      <c r="G4222" s="22"/>
      <c r="H4222" s="22"/>
      <c r="I4222" s="22"/>
      <c r="J4222" s="22"/>
      <c r="K4222" s="22"/>
      <c r="L4222" s="22"/>
      <c r="M4222" s="22"/>
      <c r="N4222" s="22"/>
      <c r="O4222" s="22"/>
      <c r="P4222" s="22"/>
      <c r="Q4222" s="22"/>
      <c r="R4222" s="22"/>
      <c r="S4222" s="22"/>
      <c r="T4222" s="22"/>
      <c r="U4222" s="22"/>
      <c r="V4222" s="22"/>
      <c r="W4222" s="22"/>
      <c r="X4222" s="22"/>
    </row>
    <row r="4223" spans="1:24" x14ac:dyDescent="0.25">
      <c r="A4223" s="22"/>
      <c r="B4223" s="22"/>
      <c r="C4223" s="22"/>
      <c r="D4223" s="22"/>
      <c r="E4223" s="22"/>
      <c r="F4223" s="22"/>
      <c r="G4223" s="22"/>
      <c r="H4223" s="22"/>
      <c r="I4223" s="22"/>
      <c r="J4223" s="22"/>
      <c r="K4223" s="22"/>
      <c r="L4223" s="22"/>
      <c r="M4223" s="22"/>
      <c r="N4223" s="22"/>
      <c r="O4223" s="22"/>
      <c r="P4223" s="22"/>
      <c r="Q4223" s="22"/>
      <c r="R4223" s="22"/>
      <c r="S4223" s="22"/>
      <c r="T4223" s="22"/>
      <c r="U4223" s="22"/>
      <c r="V4223" s="22"/>
      <c r="W4223" s="22"/>
      <c r="X4223" s="22"/>
    </row>
    <row r="4224" spans="1:24" x14ac:dyDescent="0.25">
      <c r="A4224" s="22"/>
      <c r="B4224" s="22"/>
      <c r="C4224" s="22"/>
      <c r="D4224" s="22"/>
      <c r="E4224" s="22"/>
      <c r="F4224" s="22"/>
      <c r="G4224" s="22"/>
      <c r="H4224" s="22"/>
      <c r="I4224" s="22"/>
      <c r="J4224" s="22"/>
      <c r="K4224" s="22"/>
      <c r="L4224" s="22"/>
      <c r="M4224" s="22"/>
      <c r="N4224" s="22"/>
      <c r="O4224" s="22"/>
      <c r="P4224" s="22"/>
      <c r="Q4224" s="22"/>
      <c r="R4224" s="22"/>
      <c r="S4224" s="22"/>
      <c r="T4224" s="22"/>
      <c r="U4224" s="22"/>
      <c r="V4224" s="22"/>
      <c r="W4224" s="22"/>
      <c r="X4224" s="22"/>
    </row>
    <row r="4225" spans="1:24" x14ac:dyDescent="0.25">
      <c r="A4225" s="22"/>
      <c r="B4225" s="22"/>
      <c r="C4225" s="22"/>
      <c r="D4225" s="22"/>
      <c r="E4225" s="22"/>
      <c r="F4225" s="22"/>
      <c r="G4225" s="22"/>
      <c r="H4225" s="22"/>
      <c r="I4225" s="22"/>
      <c r="J4225" s="22"/>
      <c r="K4225" s="22"/>
      <c r="L4225" s="22"/>
      <c r="M4225" s="22"/>
      <c r="N4225" s="22"/>
      <c r="O4225" s="22"/>
      <c r="P4225" s="22"/>
      <c r="Q4225" s="22"/>
      <c r="R4225" s="22"/>
      <c r="S4225" s="22"/>
      <c r="T4225" s="22"/>
      <c r="U4225" s="22"/>
      <c r="V4225" s="22"/>
      <c r="W4225" s="22"/>
      <c r="X4225" s="22"/>
    </row>
    <row r="4226" spans="1:24" x14ac:dyDescent="0.25">
      <c r="A4226" s="22"/>
      <c r="B4226" s="22"/>
      <c r="C4226" s="22"/>
      <c r="D4226" s="22"/>
      <c r="E4226" s="22"/>
      <c r="F4226" s="22"/>
      <c r="G4226" s="22"/>
      <c r="H4226" s="22"/>
      <c r="I4226" s="22"/>
      <c r="J4226" s="22"/>
      <c r="K4226" s="22"/>
      <c r="L4226" s="22"/>
      <c r="M4226" s="22"/>
      <c r="N4226" s="22"/>
      <c r="O4226" s="22"/>
      <c r="P4226" s="22"/>
      <c r="Q4226" s="22"/>
      <c r="R4226" s="22"/>
      <c r="S4226" s="22"/>
      <c r="T4226" s="22"/>
      <c r="U4226" s="22"/>
      <c r="V4226" s="22"/>
      <c r="W4226" s="22"/>
      <c r="X4226" s="22"/>
    </row>
    <row r="4227" spans="1:24" x14ac:dyDescent="0.25">
      <c r="A4227" s="22"/>
      <c r="B4227" s="22"/>
      <c r="C4227" s="22"/>
      <c r="D4227" s="22"/>
      <c r="E4227" s="22"/>
      <c r="F4227" s="22"/>
      <c r="G4227" s="22"/>
      <c r="H4227" s="22"/>
      <c r="I4227" s="22"/>
      <c r="J4227" s="22"/>
      <c r="K4227" s="22"/>
      <c r="L4227" s="22"/>
      <c r="M4227" s="22"/>
      <c r="N4227" s="22"/>
      <c r="O4227" s="22"/>
      <c r="P4227" s="22"/>
      <c r="Q4227" s="22"/>
      <c r="R4227" s="22"/>
      <c r="S4227" s="22"/>
      <c r="T4227" s="22"/>
      <c r="U4227" s="22"/>
      <c r="V4227" s="22"/>
      <c r="W4227" s="22"/>
      <c r="X4227" s="22"/>
    </row>
    <row r="4228" spans="1:24" x14ac:dyDescent="0.25">
      <c r="A4228" s="22"/>
      <c r="B4228" s="22"/>
      <c r="C4228" s="22"/>
      <c r="D4228" s="22"/>
      <c r="E4228" s="22"/>
      <c r="F4228" s="22"/>
      <c r="G4228" s="22"/>
      <c r="H4228" s="22"/>
      <c r="I4228" s="22"/>
      <c r="J4228" s="22"/>
      <c r="K4228" s="22"/>
      <c r="L4228" s="22"/>
      <c r="M4228" s="22"/>
      <c r="N4228" s="22"/>
      <c r="O4228" s="22"/>
      <c r="P4228" s="22"/>
      <c r="Q4228" s="22"/>
      <c r="R4228" s="22"/>
      <c r="S4228" s="22"/>
      <c r="T4228" s="22"/>
      <c r="U4228" s="22"/>
      <c r="V4228" s="22"/>
      <c r="W4228" s="22"/>
      <c r="X4228" s="22"/>
    </row>
    <row r="4229" spans="1:24" x14ac:dyDescent="0.25">
      <c r="A4229" s="22"/>
      <c r="B4229" s="22"/>
      <c r="C4229" s="22"/>
      <c r="D4229" s="22"/>
      <c r="E4229" s="22"/>
      <c r="F4229" s="22"/>
      <c r="G4229" s="22"/>
      <c r="H4229" s="22"/>
      <c r="I4229" s="22"/>
      <c r="J4229" s="22"/>
      <c r="K4229" s="22"/>
      <c r="L4229" s="22"/>
      <c r="M4229" s="22"/>
      <c r="N4229" s="22"/>
      <c r="O4229" s="22"/>
      <c r="P4229" s="22"/>
      <c r="Q4229" s="22"/>
      <c r="R4229" s="22"/>
      <c r="S4229" s="22"/>
      <c r="T4229" s="22"/>
      <c r="U4229" s="22"/>
      <c r="V4229" s="22"/>
      <c r="W4229" s="22"/>
      <c r="X4229" s="22"/>
    </row>
    <row r="4230" spans="1:24" x14ac:dyDescent="0.25">
      <c r="A4230" s="22"/>
      <c r="B4230" s="22"/>
      <c r="C4230" s="22"/>
      <c r="D4230" s="22"/>
      <c r="E4230" s="22"/>
      <c r="F4230" s="22"/>
      <c r="G4230" s="22"/>
      <c r="H4230" s="22"/>
      <c r="I4230" s="22"/>
      <c r="J4230" s="22"/>
      <c r="K4230" s="22"/>
      <c r="L4230" s="22"/>
      <c r="M4230" s="22"/>
      <c r="N4230" s="22"/>
      <c r="O4230" s="22"/>
      <c r="P4230" s="22"/>
      <c r="Q4230" s="22"/>
      <c r="R4230" s="22"/>
      <c r="S4230" s="22"/>
      <c r="T4230" s="22"/>
      <c r="U4230" s="22"/>
      <c r="V4230" s="22"/>
      <c r="W4230" s="22"/>
      <c r="X4230" s="22"/>
    </row>
    <row r="4231" spans="1:24" x14ac:dyDescent="0.25">
      <c r="A4231" s="22"/>
      <c r="B4231" s="22"/>
      <c r="C4231" s="22"/>
      <c r="D4231" s="22"/>
      <c r="E4231" s="22"/>
      <c r="F4231" s="22"/>
      <c r="G4231" s="22"/>
      <c r="H4231" s="22"/>
      <c r="I4231" s="22"/>
      <c r="J4231" s="22"/>
      <c r="K4231" s="22"/>
      <c r="L4231" s="22"/>
      <c r="M4231" s="22"/>
      <c r="N4231" s="22"/>
      <c r="O4231" s="22"/>
      <c r="P4231" s="22"/>
      <c r="Q4231" s="22"/>
      <c r="R4231" s="22"/>
      <c r="S4231" s="22"/>
      <c r="T4231" s="22"/>
      <c r="U4231" s="22"/>
      <c r="V4231" s="22"/>
      <c r="W4231" s="22"/>
      <c r="X4231" s="22"/>
    </row>
    <row r="4232" spans="1:24" x14ac:dyDescent="0.25">
      <c r="A4232" s="22"/>
      <c r="B4232" s="22"/>
      <c r="C4232" s="22"/>
      <c r="D4232" s="22"/>
      <c r="E4232" s="22"/>
      <c r="F4232" s="22"/>
      <c r="G4232" s="22"/>
      <c r="H4232" s="22"/>
      <c r="I4232" s="22"/>
      <c r="J4232" s="22"/>
      <c r="K4232" s="22"/>
      <c r="L4232" s="22"/>
      <c r="M4232" s="22"/>
      <c r="N4232" s="22"/>
      <c r="O4232" s="22"/>
      <c r="P4232" s="22"/>
      <c r="Q4232" s="22"/>
      <c r="R4232" s="22"/>
      <c r="S4232" s="22"/>
      <c r="T4232" s="22"/>
      <c r="U4232" s="22"/>
      <c r="V4232" s="22"/>
      <c r="W4232" s="22"/>
      <c r="X4232" s="22"/>
    </row>
    <row r="4233" spans="1:24" x14ac:dyDescent="0.25">
      <c r="A4233" s="22"/>
      <c r="B4233" s="22"/>
      <c r="C4233" s="22"/>
      <c r="D4233" s="22"/>
      <c r="E4233" s="22"/>
      <c r="F4233" s="22"/>
      <c r="G4233" s="22"/>
      <c r="H4233" s="22"/>
      <c r="I4233" s="22"/>
      <c r="J4233" s="22"/>
      <c r="K4233" s="22"/>
      <c r="L4233" s="22"/>
      <c r="M4233" s="22"/>
      <c r="N4233" s="22"/>
      <c r="O4233" s="22"/>
      <c r="P4233" s="22"/>
      <c r="Q4233" s="22"/>
      <c r="R4233" s="22"/>
      <c r="S4233" s="22"/>
      <c r="T4233" s="22"/>
      <c r="U4233" s="22"/>
      <c r="V4233" s="22"/>
      <c r="W4233" s="22"/>
      <c r="X4233" s="22"/>
    </row>
    <row r="4234" spans="1:24" x14ac:dyDescent="0.25">
      <c r="A4234" s="22"/>
      <c r="B4234" s="22"/>
      <c r="C4234" s="22"/>
      <c r="D4234" s="22"/>
      <c r="E4234" s="22"/>
      <c r="F4234" s="22"/>
      <c r="G4234" s="22"/>
      <c r="H4234" s="22"/>
      <c r="I4234" s="22"/>
      <c r="J4234" s="22"/>
      <c r="K4234" s="22"/>
      <c r="L4234" s="22"/>
      <c r="M4234" s="22"/>
      <c r="N4234" s="22"/>
      <c r="O4234" s="22"/>
      <c r="P4234" s="22"/>
      <c r="Q4234" s="22"/>
      <c r="R4234" s="22"/>
      <c r="S4234" s="22"/>
      <c r="T4234" s="22"/>
      <c r="U4234" s="22"/>
      <c r="V4234" s="22"/>
      <c r="W4234" s="22"/>
      <c r="X4234" s="22"/>
    </row>
    <row r="4235" spans="1:24" x14ac:dyDescent="0.25">
      <c r="A4235" s="22"/>
      <c r="B4235" s="22"/>
      <c r="C4235" s="22"/>
      <c r="D4235" s="22"/>
      <c r="E4235" s="22"/>
      <c r="F4235" s="22"/>
      <c r="G4235" s="22"/>
      <c r="H4235" s="22"/>
      <c r="I4235" s="22"/>
      <c r="J4235" s="22"/>
      <c r="K4235" s="22"/>
      <c r="L4235" s="22"/>
      <c r="M4235" s="22"/>
      <c r="N4235" s="22"/>
      <c r="O4235" s="22"/>
      <c r="P4235" s="22"/>
      <c r="Q4235" s="22"/>
      <c r="R4235" s="22"/>
      <c r="S4235" s="22"/>
      <c r="T4235" s="22"/>
      <c r="U4235" s="22"/>
      <c r="V4235" s="22"/>
      <c r="W4235" s="22"/>
      <c r="X4235" s="22"/>
    </row>
    <row r="4236" spans="1:24" x14ac:dyDescent="0.25">
      <c r="A4236" s="22"/>
      <c r="B4236" s="22"/>
      <c r="C4236" s="22"/>
      <c r="D4236" s="22"/>
      <c r="E4236" s="22"/>
      <c r="F4236" s="22"/>
      <c r="G4236" s="22"/>
      <c r="H4236" s="22"/>
      <c r="I4236" s="22"/>
      <c r="J4236" s="22"/>
      <c r="K4236" s="22"/>
      <c r="L4236" s="22"/>
      <c r="M4236" s="22"/>
      <c r="N4236" s="22"/>
      <c r="O4236" s="22"/>
      <c r="P4236" s="22"/>
      <c r="Q4236" s="22"/>
      <c r="R4236" s="22"/>
      <c r="S4236" s="22"/>
      <c r="T4236" s="22"/>
      <c r="U4236" s="22"/>
      <c r="V4236" s="22"/>
      <c r="W4236" s="22"/>
      <c r="X4236" s="22"/>
    </row>
    <row r="4237" spans="1:24" x14ac:dyDescent="0.25">
      <c r="A4237" s="22"/>
      <c r="B4237" s="22"/>
      <c r="C4237" s="22"/>
      <c r="D4237" s="22"/>
      <c r="E4237" s="22"/>
      <c r="F4237" s="22"/>
      <c r="G4237" s="22"/>
      <c r="H4237" s="22"/>
      <c r="I4237" s="22"/>
      <c r="J4237" s="22"/>
      <c r="K4237" s="22"/>
      <c r="L4237" s="22"/>
      <c r="M4237" s="22"/>
      <c r="N4237" s="22"/>
      <c r="O4237" s="22"/>
      <c r="P4237" s="22"/>
      <c r="Q4237" s="22"/>
      <c r="R4237" s="22"/>
      <c r="S4237" s="22"/>
      <c r="T4237" s="22"/>
      <c r="U4237" s="22"/>
      <c r="V4237" s="22"/>
      <c r="W4237" s="22"/>
      <c r="X4237" s="22"/>
    </row>
    <row r="4238" spans="1:24" x14ac:dyDescent="0.25">
      <c r="A4238" s="22"/>
      <c r="B4238" s="22"/>
      <c r="C4238" s="22"/>
      <c r="D4238" s="22"/>
      <c r="E4238" s="22"/>
      <c r="F4238" s="22"/>
      <c r="G4238" s="22"/>
      <c r="H4238" s="22"/>
      <c r="I4238" s="22"/>
      <c r="J4238" s="22"/>
      <c r="K4238" s="22"/>
      <c r="L4238" s="22"/>
      <c r="M4238" s="22"/>
      <c r="N4238" s="22"/>
      <c r="O4238" s="22"/>
      <c r="P4238" s="22"/>
      <c r="Q4238" s="22"/>
      <c r="R4238" s="22"/>
      <c r="S4238" s="22"/>
      <c r="T4238" s="22"/>
      <c r="U4238" s="22"/>
      <c r="V4238" s="22"/>
      <c r="W4238" s="22"/>
      <c r="X4238" s="22"/>
    </row>
    <row r="4239" spans="1:24" x14ac:dyDescent="0.25">
      <c r="A4239" s="22"/>
      <c r="B4239" s="22"/>
      <c r="C4239" s="22"/>
      <c r="D4239" s="22"/>
      <c r="E4239" s="22"/>
      <c r="F4239" s="22"/>
      <c r="G4239" s="22"/>
      <c r="H4239" s="22"/>
      <c r="I4239" s="22"/>
      <c r="J4239" s="22"/>
      <c r="K4239" s="22"/>
      <c r="L4239" s="22"/>
      <c r="M4239" s="22"/>
      <c r="N4239" s="22"/>
      <c r="O4239" s="22"/>
      <c r="P4239" s="22"/>
      <c r="Q4239" s="22"/>
      <c r="R4239" s="22"/>
      <c r="S4239" s="22"/>
      <c r="T4239" s="22"/>
      <c r="U4239" s="22"/>
      <c r="V4239" s="22"/>
      <c r="W4239" s="22"/>
      <c r="X4239" s="22"/>
    </row>
    <row r="4240" spans="1:24" x14ac:dyDescent="0.25">
      <c r="A4240" s="22"/>
      <c r="B4240" s="22"/>
      <c r="C4240" s="22"/>
      <c r="D4240" s="22"/>
      <c r="E4240" s="22"/>
      <c r="F4240" s="22"/>
      <c r="G4240" s="22"/>
      <c r="H4240" s="22"/>
      <c r="I4240" s="22"/>
      <c r="J4240" s="22"/>
      <c r="K4240" s="22"/>
      <c r="L4240" s="22"/>
      <c r="M4240" s="22"/>
      <c r="N4240" s="22"/>
      <c r="O4240" s="22"/>
      <c r="P4240" s="22"/>
      <c r="Q4240" s="22"/>
      <c r="R4240" s="22"/>
      <c r="S4240" s="22"/>
      <c r="T4240" s="22"/>
      <c r="U4240" s="22"/>
      <c r="V4240" s="22"/>
      <c r="W4240" s="22"/>
      <c r="X4240" s="22"/>
    </row>
    <row r="4241" spans="1:24" x14ac:dyDescent="0.25">
      <c r="A4241" s="22"/>
      <c r="B4241" s="22"/>
      <c r="C4241" s="22"/>
      <c r="D4241" s="22"/>
      <c r="E4241" s="22"/>
      <c r="F4241" s="22"/>
      <c r="G4241" s="22"/>
      <c r="H4241" s="22"/>
      <c r="I4241" s="22"/>
      <c r="J4241" s="22"/>
      <c r="K4241" s="22"/>
      <c r="L4241" s="22"/>
      <c r="M4241" s="22"/>
      <c r="N4241" s="22"/>
      <c r="O4241" s="22"/>
      <c r="P4241" s="22"/>
      <c r="Q4241" s="22"/>
      <c r="R4241" s="22"/>
      <c r="S4241" s="22"/>
      <c r="T4241" s="22"/>
      <c r="U4241" s="22"/>
      <c r="V4241" s="22"/>
      <c r="W4241" s="22"/>
      <c r="X4241" s="22"/>
    </row>
    <row r="4242" spans="1:24" x14ac:dyDescent="0.25">
      <c r="A4242" s="22"/>
      <c r="B4242" s="22"/>
      <c r="C4242" s="22"/>
      <c r="D4242" s="22"/>
      <c r="E4242" s="22"/>
      <c r="F4242" s="22"/>
      <c r="G4242" s="22"/>
      <c r="H4242" s="22"/>
      <c r="I4242" s="22"/>
      <c r="J4242" s="22"/>
      <c r="K4242" s="22"/>
      <c r="L4242" s="22"/>
      <c r="M4242" s="22"/>
      <c r="N4242" s="22"/>
      <c r="O4242" s="22"/>
      <c r="P4242" s="22"/>
      <c r="Q4242" s="22"/>
      <c r="R4242" s="22"/>
      <c r="S4242" s="22"/>
      <c r="T4242" s="22"/>
      <c r="U4242" s="22"/>
      <c r="V4242" s="22"/>
      <c r="W4242" s="22"/>
      <c r="X4242" s="22"/>
    </row>
    <row r="4243" spans="1:24" x14ac:dyDescent="0.25">
      <c r="A4243" s="22"/>
      <c r="B4243" s="22"/>
      <c r="C4243" s="22"/>
      <c r="D4243" s="22"/>
      <c r="E4243" s="22"/>
      <c r="F4243" s="22"/>
      <c r="G4243" s="22"/>
      <c r="H4243" s="22"/>
      <c r="I4243" s="22"/>
      <c r="J4243" s="22"/>
      <c r="K4243" s="22"/>
      <c r="L4243" s="22"/>
      <c r="M4243" s="22"/>
      <c r="N4243" s="22"/>
      <c r="O4243" s="22"/>
      <c r="P4243" s="22"/>
      <c r="Q4243" s="22"/>
      <c r="R4243" s="22"/>
      <c r="S4243" s="22"/>
      <c r="T4243" s="22"/>
      <c r="U4243" s="22"/>
      <c r="V4243" s="22"/>
      <c r="W4243" s="22"/>
      <c r="X4243" s="22"/>
    </row>
    <row r="4244" spans="1:24" x14ac:dyDescent="0.25">
      <c r="A4244" s="22"/>
      <c r="B4244" s="22"/>
      <c r="C4244" s="22"/>
      <c r="D4244" s="22"/>
      <c r="E4244" s="22"/>
      <c r="F4244" s="22"/>
      <c r="G4244" s="22"/>
      <c r="H4244" s="22"/>
      <c r="I4244" s="22"/>
      <c r="J4244" s="22"/>
      <c r="K4244" s="22"/>
      <c r="L4244" s="22"/>
      <c r="M4244" s="22"/>
      <c r="N4244" s="22"/>
      <c r="O4244" s="22"/>
      <c r="P4244" s="22"/>
      <c r="Q4244" s="22"/>
      <c r="R4244" s="22"/>
      <c r="S4244" s="22"/>
      <c r="T4244" s="22"/>
      <c r="U4244" s="22"/>
      <c r="V4244" s="22"/>
      <c r="W4244" s="22"/>
      <c r="X4244" s="22"/>
    </row>
    <row r="4245" spans="1:24" x14ac:dyDescent="0.25">
      <c r="A4245" s="22"/>
      <c r="B4245" s="22"/>
      <c r="C4245" s="22"/>
      <c r="D4245" s="22"/>
      <c r="E4245" s="22"/>
      <c r="F4245" s="22"/>
      <c r="G4245" s="22"/>
      <c r="H4245" s="22"/>
      <c r="I4245" s="22"/>
      <c r="J4245" s="22"/>
      <c r="K4245" s="22"/>
      <c r="L4245" s="22"/>
      <c r="M4245" s="22"/>
      <c r="N4245" s="22"/>
      <c r="O4245" s="22"/>
      <c r="P4245" s="22"/>
      <c r="Q4245" s="22"/>
      <c r="R4245" s="22"/>
      <c r="S4245" s="22"/>
      <c r="T4245" s="22"/>
      <c r="U4245" s="22"/>
      <c r="V4245" s="22"/>
      <c r="W4245" s="22"/>
      <c r="X4245" s="22"/>
    </row>
    <row r="4246" spans="1:24" x14ac:dyDescent="0.25">
      <c r="A4246" s="22"/>
      <c r="B4246" s="22"/>
      <c r="C4246" s="22"/>
      <c r="D4246" s="22"/>
      <c r="E4246" s="22"/>
      <c r="F4246" s="22"/>
      <c r="G4246" s="22"/>
      <c r="H4246" s="22"/>
      <c r="I4246" s="22"/>
      <c r="J4246" s="22"/>
      <c r="K4246" s="22"/>
      <c r="L4246" s="22"/>
      <c r="M4246" s="22"/>
      <c r="N4246" s="22"/>
      <c r="O4246" s="22"/>
      <c r="P4246" s="22"/>
      <c r="Q4246" s="22"/>
      <c r="R4246" s="22"/>
      <c r="S4246" s="22"/>
      <c r="T4246" s="22"/>
      <c r="U4246" s="22"/>
      <c r="V4246" s="22"/>
      <c r="W4246" s="22"/>
      <c r="X4246" s="22"/>
    </row>
    <row r="4247" spans="1:24" x14ac:dyDescent="0.25">
      <c r="A4247" s="22"/>
      <c r="B4247" s="22"/>
      <c r="C4247" s="22"/>
      <c r="D4247" s="22"/>
      <c r="E4247" s="22"/>
      <c r="F4247" s="22"/>
      <c r="G4247" s="22"/>
      <c r="H4247" s="22"/>
      <c r="I4247" s="22"/>
      <c r="J4247" s="22"/>
      <c r="K4247" s="22"/>
      <c r="L4247" s="22"/>
      <c r="M4247" s="22"/>
      <c r="N4247" s="22"/>
      <c r="O4247" s="22"/>
      <c r="P4247" s="22"/>
      <c r="Q4247" s="22"/>
      <c r="R4247" s="22"/>
      <c r="S4247" s="22"/>
      <c r="T4247" s="22"/>
      <c r="U4247" s="22"/>
      <c r="V4247" s="22"/>
      <c r="W4247" s="22"/>
      <c r="X4247" s="22"/>
    </row>
    <row r="4248" spans="1:24" x14ac:dyDescent="0.25">
      <c r="A4248" s="22"/>
      <c r="B4248" s="22"/>
      <c r="C4248" s="22"/>
      <c r="D4248" s="22"/>
      <c r="E4248" s="22"/>
      <c r="F4248" s="22"/>
      <c r="G4248" s="22"/>
      <c r="H4248" s="22"/>
      <c r="I4248" s="22"/>
      <c r="J4248" s="22"/>
      <c r="K4248" s="22"/>
      <c r="L4248" s="22"/>
      <c r="M4248" s="22"/>
      <c r="N4248" s="22"/>
      <c r="O4248" s="22"/>
      <c r="P4248" s="22"/>
      <c r="Q4248" s="22"/>
      <c r="R4248" s="22"/>
      <c r="S4248" s="22"/>
      <c r="T4248" s="22"/>
      <c r="U4248" s="22"/>
      <c r="V4248" s="22"/>
      <c r="W4248" s="22"/>
      <c r="X4248" s="22"/>
    </row>
    <row r="4249" spans="1:24" x14ac:dyDescent="0.25">
      <c r="A4249" s="22"/>
      <c r="B4249" s="22"/>
      <c r="C4249" s="22"/>
      <c r="D4249" s="22"/>
      <c r="E4249" s="22"/>
      <c r="F4249" s="22"/>
      <c r="G4249" s="22"/>
      <c r="H4249" s="22"/>
      <c r="I4249" s="22"/>
      <c r="J4249" s="22"/>
      <c r="K4249" s="22"/>
      <c r="L4249" s="22"/>
      <c r="M4249" s="22"/>
      <c r="N4249" s="22"/>
      <c r="O4249" s="22"/>
      <c r="P4249" s="22"/>
      <c r="Q4249" s="22"/>
      <c r="R4249" s="22"/>
      <c r="S4249" s="22"/>
      <c r="T4249" s="22"/>
      <c r="U4249" s="22"/>
      <c r="V4249" s="22"/>
      <c r="W4249" s="22"/>
      <c r="X4249" s="22"/>
    </row>
    <row r="4250" spans="1:24" x14ac:dyDescent="0.25">
      <c r="A4250" s="22"/>
      <c r="B4250" s="22"/>
      <c r="C4250" s="22"/>
      <c r="D4250" s="22"/>
      <c r="E4250" s="22"/>
      <c r="F4250" s="22"/>
      <c r="G4250" s="22"/>
      <c r="H4250" s="22"/>
      <c r="I4250" s="22"/>
      <c r="J4250" s="22"/>
      <c r="K4250" s="22"/>
      <c r="L4250" s="22"/>
      <c r="M4250" s="22"/>
      <c r="N4250" s="22"/>
      <c r="O4250" s="22"/>
      <c r="P4250" s="22"/>
      <c r="Q4250" s="22"/>
      <c r="R4250" s="22"/>
      <c r="S4250" s="22"/>
      <c r="T4250" s="22"/>
      <c r="U4250" s="22"/>
      <c r="V4250" s="22"/>
      <c r="W4250" s="22"/>
      <c r="X4250" s="22"/>
    </row>
    <row r="4251" spans="1:24" x14ac:dyDescent="0.25">
      <c r="A4251" s="22"/>
      <c r="B4251" s="22"/>
      <c r="C4251" s="22"/>
      <c r="D4251" s="22"/>
      <c r="E4251" s="22"/>
      <c r="F4251" s="22"/>
      <c r="G4251" s="22"/>
      <c r="H4251" s="22"/>
      <c r="I4251" s="22"/>
      <c r="J4251" s="22"/>
      <c r="K4251" s="22"/>
      <c r="L4251" s="22"/>
      <c r="M4251" s="22"/>
      <c r="N4251" s="22"/>
      <c r="O4251" s="22"/>
      <c r="P4251" s="22"/>
      <c r="Q4251" s="22"/>
      <c r="R4251" s="22"/>
      <c r="S4251" s="22"/>
      <c r="T4251" s="22"/>
      <c r="U4251" s="22"/>
      <c r="V4251" s="22"/>
      <c r="W4251" s="22"/>
      <c r="X4251" s="22"/>
    </row>
    <row r="4252" spans="1:24" x14ac:dyDescent="0.25">
      <c r="A4252" s="22"/>
      <c r="B4252" s="22"/>
      <c r="C4252" s="22"/>
      <c r="D4252" s="22"/>
      <c r="E4252" s="22"/>
      <c r="F4252" s="22"/>
      <c r="G4252" s="22"/>
      <c r="H4252" s="22"/>
      <c r="I4252" s="22"/>
      <c r="J4252" s="22"/>
      <c r="K4252" s="22"/>
      <c r="L4252" s="22"/>
      <c r="M4252" s="22"/>
      <c r="N4252" s="22"/>
      <c r="O4252" s="22"/>
      <c r="P4252" s="22"/>
      <c r="Q4252" s="22"/>
      <c r="R4252" s="22"/>
      <c r="S4252" s="22"/>
      <c r="T4252" s="22"/>
      <c r="U4252" s="22"/>
      <c r="V4252" s="22"/>
      <c r="W4252" s="22"/>
      <c r="X4252" s="22"/>
    </row>
    <row r="4253" spans="1:24" x14ac:dyDescent="0.25">
      <c r="A4253" s="22"/>
      <c r="B4253" s="22"/>
      <c r="C4253" s="22"/>
      <c r="D4253" s="22"/>
      <c r="E4253" s="22"/>
      <c r="F4253" s="22"/>
      <c r="G4253" s="22"/>
      <c r="H4253" s="22"/>
      <c r="I4253" s="22"/>
      <c r="J4253" s="22"/>
      <c r="K4253" s="22"/>
      <c r="L4253" s="22"/>
      <c r="M4253" s="22"/>
      <c r="N4253" s="22"/>
      <c r="O4253" s="22"/>
      <c r="P4253" s="22"/>
      <c r="Q4253" s="22"/>
      <c r="R4253" s="22"/>
      <c r="S4253" s="22"/>
      <c r="T4253" s="22"/>
      <c r="U4253" s="22"/>
      <c r="V4253" s="22"/>
      <c r="W4253" s="22"/>
      <c r="X4253" s="22"/>
    </row>
    <row r="4254" spans="1:24" x14ac:dyDescent="0.25">
      <c r="A4254" s="22"/>
      <c r="B4254" s="22"/>
      <c r="C4254" s="22"/>
      <c r="D4254" s="22"/>
      <c r="E4254" s="22"/>
      <c r="F4254" s="22"/>
      <c r="G4254" s="22"/>
      <c r="H4254" s="22"/>
      <c r="I4254" s="22"/>
      <c r="J4254" s="22"/>
      <c r="K4254" s="22"/>
      <c r="L4254" s="22"/>
      <c r="M4254" s="22"/>
      <c r="N4254" s="22"/>
      <c r="O4254" s="22"/>
      <c r="P4254" s="22"/>
      <c r="Q4254" s="22"/>
      <c r="R4254" s="22"/>
      <c r="S4254" s="22"/>
      <c r="T4254" s="22"/>
      <c r="U4254" s="22"/>
      <c r="V4254" s="22"/>
      <c r="W4254" s="22"/>
      <c r="X4254" s="22"/>
    </row>
    <row r="4255" spans="1:24" x14ac:dyDescent="0.25">
      <c r="A4255" s="22"/>
      <c r="B4255" s="22"/>
      <c r="C4255" s="22"/>
      <c r="D4255" s="22"/>
      <c r="E4255" s="22"/>
      <c r="F4255" s="22"/>
      <c r="G4255" s="22"/>
      <c r="H4255" s="22"/>
      <c r="I4255" s="22"/>
      <c r="J4255" s="22"/>
      <c r="K4255" s="22"/>
      <c r="L4255" s="22"/>
      <c r="M4255" s="22"/>
      <c r="N4255" s="22"/>
      <c r="O4255" s="22"/>
      <c r="P4255" s="22"/>
      <c r="Q4255" s="22"/>
      <c r="R4255" s="22"/>
      <c r="S4255" s="22"/>
      <c r="T4255" s="22"/>
      <c r="U4255" s="22"/>
      <c r="V4255" s="22"/>
      <c r="W4255" s="22"/>
      <c r="X4255" s="22"/>
    </row>
    <row r="4256" spans="1:24" x14ac:dyDescent="0.25">
      <c r="A4256" s="22"/>
      <c r="B4256" s="22"/>
      <c r="C4256" s="22"/>
      <c r="D4256" s="22"/>
      <c r="E4256" s="22"/>
      <c r="F4256" s="22"/>
      <c r="G4256" s="22"/>
      <c r="H4256" s="22"/>
      <c r="I4256" s="22"/>
      <c r="J4256" s="22"/>
      <c r="K4256" s="22"/>
      <c r="L4256" s="22"/>
      <c r="M4256" s="22"/>
      <c r="N4256" s="22"/>
      <c r="O4256" s="22"/>
      <c r="P4256" s="22"/>
      <c r="Q4256" s="22"/>
      <c r="R4256" s="22"/>
      <c r="S4256" s="22"/>
      <c r="T4256" s="22"/>
      <c r="U4256" s="22"/>
      <c r="V4256" s="22"/>
      <c r="W4256" s="22"/>
      <c r="X4256" s="22"/>
    </row>
    <row r="4257" spans="1:24" x14ac:dyDescent="0.25">
      <c r="A4257" s="22"/>
      <c r="B4257" s="22"/>
      <c r="C4257" s="22"/>
      <c r="D4257" s="22"/>
      <c r="E4257" s="22"/>
      <c r="F4257" s="22"/>
      <c r="G4257" s="22"/>
      <c r="H4257" s="22"/>
      <c r="I4257" s="22"/>
      <c r="J4257" s="22"/>
      <c r="K4257" s="22"/>
      <c r="L4257" s="22"/>
      <c r="M4257" s="22"/>
      <c r="N4257" s="22"/>
      <c r="O4257" s="22"/>
      <c r="P4257" s="22"/>
      <c r="Q4257" s="22"/>
      <c r="R4257" s="22"/>
      <c r="S4257" s="22"/>
      <c r="T4257" s="22"/>
      <c r="U4257" s="22"/>
      <c r="V4257" s="22"/>
      <c r="W4257" s="22"/>
      <c r="X4257" s="22"/>
    </row>
    <row r="4258" spans="1:24" x14ac:dyDescent="0.25">
      <c r="A4258" s="22"/>
      <c r="B4258" s="22"/>
      <c r="C4258" s="22"/>
      <c r="D4258" s="22"/>
      <c r="E4258" s="22"/>
      <c r="F4258" s="22"/>
      <c r="G4258" s="22"/>
      <c r="H4258" s="22"/>
      <c r="I4258" s="22"/>
      <c r="J4258" s="22"/>
      <c r="K4258" s="22"/>
      <c r="L4258" s="22"/>
      <c r="M4258" s="22"/>
      <c r="N4258" s="22"/>
      <c r="O4258" s="22"/>
      <c r="P4258" s="22"/>
      <c r="Q4258" s="22"/>
      <c r="R4258" s="22"/>
      <c r="S4258" s="22"/>
      <c r="T4258" s="22"/>
      <c r="U4258" s="22"/>
      <c r="V4258" s="22"/>
      <c r="W4258" s="22"/>
      <c r="X4258" s="22"/>
    </row>
    <row r="4259" spans="1:24" x14ac:dyDescent="0.25">
      <c r="A4259" s="22"/>
      <c r="B4259" s="22"/>
      <c r="C4259" s="22"/>
      <c r="D4259" s="22"/>
      <c r="E4259" s="22"/>
      <c r="F4259" s="22"/>
      <c r="G4259" s="22"/>
      <c r="H4259" s="22"/>
      <c r="I4259" s="22"/>
      <c r="J4259" s="22"/>
      <c r="K4259" s="22"/>
      <c r="L4259" s="22"/>
      <c r="M4259" s="22"/>
      <c r="N4259" s="22"/>
      <c r="O4259" s="22"/>
      <c r="P4259" s="22"/>
      <c r="Q4259" s="22"/>
      <c r="R4259" s="22"/>
      <c r="S4259" s="22"/>
      <c r="T4259" s="22"/>
      <c r="U4259" s="22"/>
      <c r="V4259" s="22"/>
      <c r="W4259" s="22"/>
      <c r="X4259" s="22"/>
    </row>
    <row r="4260" spans="1:24" x14ac:dyDescent="0.25">
      <c r="A4260" s="22"/>
      <c r="B4260" s="22"/>
      <c r="C4260" s="22"/>
      <c r="D4260" s="22"/>
      <c r="E4260" s="22"/>
      <c r="F4260" s="22"/>
      <c r="G4260" s="22"/>
      <c r="H4260" s="22"/>
      <c r="I4260" s="22"/>
      <c r="J4260" s="22"/>
      <c r="K4260" s="22"/>
      <c r="L4260" s="22"/>
      <c r="M4260" s="22"/>
      <c r="N4260" s="22"/>
      <c r="O4260" s="22"/>
      <c r="P4260" s="22"/>
      <c r="Q4260" s="22"/>
      <c r="R4260" s="22"/>
      <c r="S4260" s="22"/>
      <c r="T4260" s="22"/>
      <c r="U4260" s="22"/>
      <c r="V4260" s="22"/>
      <c r="W4260" s="22"/>
      <c r="X4260" s="22"/>
    </row>
    <row r="4261" spans="1:24" x14ac:dyDescent="0.25">
      <c r="A4261" s="22"/>
      <c r="B4261" s="22"/>
      <c r="C4261" s="22"/>
      <c r="D4261" s="22"/>
      <c r="E4261" s="22"/>
      <c r="F4261" s="22"/>
      <c r="G4261" s="22"/>
      <c r="H4261" s="22"/>
      <c r="I4261" s="22"/>
      <c r="J4261" s="22"/>
      <c r="K4261" s="22"/>
      <c r="L4261" s="22"/>
      <c r="M4261" s="22"/>
      <c r="N4261" s="22"/>
      <c r="O4261" s="22"/>
      <c r="P4261" s="22"/>
      <c r="Q4261" s="22"/>
      <c r="R4261" s="22"/>
      <c r="S4261" s="22"/>
      <c r="T4261" s="22"/>
      <c r="U4261" s="22"/>
      <c r="V4261" s="22"/>
      <c r="W4261" s="22"/>
      <c r="X4261" s="22"/>
    </row>
    <row r="4262" spans="1:24" x14ac:dyDescent="0.25">
      <c r="A4262" s="22"/>
      <c r="B4262" s="22"/>
      <c r="C4262" s="22"/>
      <c r="D4262" s="22"/>
      <c r="E4262" s="22"/>
      <c r="F4262" s="22"/>
      <c r="G4262" s="22"/>
      <c r="H4262" s="22"/>
      <c r="I4262" s="22"/>
      <c r="J4262" s="22"/>
      <c r="K4262" s="22"/>
      <c r="L4262" s="22"/>
      <c r="M4262" s="22"/>
      <c r="N4262" s="22"/>
      <c r="O4262" s="22"/>
      <c r="P4262" s="22"/>
      <c r="Q4262" s="22"/>
      <c r="R4262" s="22"/>
      <c r="S4262" s="22"/>
      <c r="T4262" s="22"/>
      <c r="U4262" s="22"/>
      <c r="V4262" s="22"/>
      <c r="W4262" s="22"/>
      <c r="X4262" s="22"/>
    </row>
    <row r="4263" spans="1:24" x14ac:dyDescent="0.25">
      <c r="A4263" s="22"/>
      <c r="B4263" s="22"/>
      <c r="C4263" s="22"/>
      <c r="D4263" s="22"/>
      <c r="E4263" s="22"/>
      <c r="F4263" s="22"/>
      <c r="G4263" s="22"/>
      <c r="H4263" s="22"/>
      <c r="I4263" s="22"/>
      <c r="J4263" s="22"/>
      <c r="K4263" s="22"/>
      <c r="L4263" s="22"/>
      <c r="M4263" s="22"/>
      <c r="N4263" s="22"/>
      <c r="O4263" s="22"/>
      <c r="P4263" s="22"/>
      <c r="Q4263" s="22"/>
      <c r="R4263" s="22"/>
      <c r="S4263" s="22"/>
      <c r="T4263" s="22"/>
      <c r="U4263" s="22"/>
      <c r="V4263" s="22"/>
      <c r="W4263" s="22"/>
      <c r="X4263" s="22"/>
    </row>
    <row r="4264" spans="1:24" x14ac:dyDescent="0.25">
      <c r="A4264" s="22"/>
      <c r="B4264" s="22"/>
      <c r="C4264" s="22"/>
      <c r="D4264" s="22"/>
      <c r="E4264" s="22"/>
      <c r="F4264" s="22"/>
      <c r="G4264" s="22"/>
      <c r="H4264" s="22"/>
      <c r="I4264" s="22"/>
      <c r="J4264" s="22"/>
      <c r="K4264" s="22"/>
      <c r="L4264" s="22"/>
      <c r="M4264" s="22"/>
      <c r="N4264" s="22"/>
      <c r="O4264" s="22"/>
      <c r="P4264" s="22"/>
      <c r="Q4264" s="22"/>
      <c r="R4264" s="22"/>
      <c r="S4264" s="22"/>
      <c r="T4264" s="22"/>
      <c r="U4264" s="22"/>
      <c r="V4264" s="22"/>
      <c r="W4264" s="22"/>
      <c r="X4264" s="22"/>
    </row>
    <row r="4265" spans="1:24" x14ac:dyDescent="0.25">
      <c r="A4265" s="22"/>
      <c r="B4265" s="22"/>
      <c r="C4265" s="22"/>
      <c r="D4265" s="22"/>
      <c r="E4265" s="22"/>
      <c r="F4265" s="22"/>
      <c r="G4265" s="22"/>
      <c r="H4265" s="22"/>
      <c r="I4265" s="22"/>
      <c r="J4265" s="22"/>
      <c r="K4265" s="22"/>
      <c r="L4265" s="22"/>
      <c r="M4265" s="22"/>
      <c r="N4265" s="22"/>
      <c r="O4265" s="22"/>
      <c r="P4265" s="22"/>
      <c r="Q4265" s="22"/>
      <c r="R4265" s="22"/>
      <c r="S4265" s="22"/>
      <c r="T4265" s="22"/>
      <c r="U4265" s="22"/>
      <c r="V4265" s="22"/>
      <c r="W4265" s="22"/>
      <c r="X4265" s="22"/>
    </row>
    <row r="4266" spans="1:24" x14ac:dyDescent="0.25">
      <c r="A4266" s="22"/>
      <c r="B4266" s="22"/>
      <c r="C4266" s="22"/>
      <c r="D4266" s="22"/>
      <c r="E4266" s="22"/>
      <c r="F4266" s="22"/>
      <c r="G4266" s="22"/>
      <c r="H4266" s="22"/>
      <c r="I4266" s="22"/>
      <c r="J4266" s="22"/>
      <c r="K4266" s="22"/>
      <c r="L4266" s="22"/>
      <c r="M4266" s="22"/>
      <c r="N4266" s="22"/>
      <c r="O4266" s="22"/>
      <c r="P4266" s="22"/>
      <c r="Q4266" s="22"/>
      <c r="R4266" s="22"/>
      <c r="S4266" s="22"/>
      <c r="T4266" s="22"/>
      <c r="U4266" s="22"/>
      <c r="V4266" s="22"/>
      <c r="W4266" s="22"/>
      <c r="X4266" s="22"/>
    </row>
    <row r="4267" spans="1:24" x14ac:dyDescent="0.25">
      <c r="A4267" s="22"/>
      <c r="B4267" s="22"/>
      <c r="C4267" s="22"/>
      <c r="D4267" s="22"/>
      <c r="E4267" s="22"/>
      <c r="F4267" s="22"/>
      <c r="G4267" s="22"/>
      <c r="H4267" s="22"/>
      <c r="I4267" s="22"/>
      <c r="J4267" s="22"/>
      <c r="K4267" s="22"/>
      <c r="L4267" s="22"/>
      <c r="M4267" s="22"/>
      <c r="N4267" s="22"/>
      <c r="O4267" s="22"/>
      <c r="P4267" s="22"/>
      <c r="Q4267" s="22"/>
      <c r="R4267" s="22"/>
      <c r="S4267" s="22"/>
      <c r="T4267" s="22"/>
      <c r="U4267" s="22"/>
      <c r="V4267" s="22"/>
      <c r="W4267" s="22"/>
      <c r="X4267" s="22"/>
    </row>
    <row r="4268" spans="1:24" x14ac:dyDescent="0.25">
      <c r="A4268" s="22"/>
      <c r="B4268" s="22"/>
      <c r="C4268" s="22"/>
      <c r="D4268" s="22"/>
      <c r="E4268" s="22"/>
      <c r="F4268" s="22"/>
      <c r="G4268" s="22"/>
      <c r="H4268" s="22"/>
      <c r="I4268" s="22"/>
      <c r="J4268" s="22"/>
      <c r="K4268" s="22"/>
      <c r="L4268" s="22"/>
      <c r="M4268" s="22"/>
      <c r="N4268" s="22"/>
      <c r="O4268" s="22"/>
      <c r="P4268" s="22"/>
      <c r="Q4268" s="22"/>
      <c r="R4268" s="22"/>
      <c r="S4268" s="22"/>
      <c r="T4268" s="22"/>
      <c r="U4268" s="22"/>
      <c r="V4268" s="22"/>
      <c r="W4268" s="22"/>
      <c r="X4268" s="22"/>
    </row>
    <row r="4269" spans="1:24" x14ac:dyDescent="0.25">
      <c r="A4269" s="22"/>
      <c r="B4269" s="22"/>
      <c r="C4269" s="22"/>
      <c r="D4269" s="22"/>
      <c r="E4269" s="22"/>
      <c r="F4269" s="22"/>
      <c r="G4269" s="22"/>
      <c r="H4269" s="22"/>
      <c r="I4269" s="22"/>
      <c r="J4269" s="22"/>
      <c r="K4269" s="22"/>
      <c r="L4269" s="22"/>
      <c r="M4269" s="22"/>
      <c r="N4269" s="22"/>
      <c r="O4269" s="22"/>
      <c r="P4269" s="22"/>
      <c r="Q4269" s="22"/>
      <c r="R4269" s="22"/>
      <c r="S4269" s="22"/>
      <c r="T4269" s="22"/>
      <c r="U4269" s="22"/>
      <c r="V4269" s="22"/>
      <c r="W4269" s="22"/>
      <c r="X4269" s="22"/>
    </row>
    <row r="4270" spans="1:24" x14ac:dyDescent="0.25">
      <c r="A4270" s="22"/>
      <c r="B4270" s="22"/>
      <c r="C4270" s="22"/>
      <c r="D4270" s="22"/>
      <c r="E4270" s="22"/>
      <c r="F4270" s="22"/>
      <c r="G4270" s="22"/>
      <c r="H4270" s="22"/>
      <c r="I4270" s="22"/>
      <c r="J4270" s="22"/>
      <c r="K4270" s="22"/>
      <c r="L4270" s="22"/>
      <c r="M4270" s="22"/>
      <c r="N4270" s="22"/>
      <c r="O4270" s="22"/>
      <c r="P4270" s="22"/>
      <c r="Q4270" s="22"/>
      <c r="R4270" s="22"/>
      <c r="S4270" s="22"/>
      <c r="T4270" s="22"/>
      <c r="U4270" s="22"/>
      <c r="V4270" s="22"/>
      <c r="W4270" s="22"/>
      <c r="X4270" s="22"/>
    </row>
    <row r="4271" spans="1:24" x14ac:dyDescent="0.25">
      <c r="A4271" s="22"/>
      <c r="B4271" s="22"/>
      <c r="C4271" s="22"/>
      <c r="D4271" s="22"/>
      <c r="E4271" s="22"/>
      <c r="F4271" s="22"/>
      <c r="G4271" s="22"/>
      <c r="H4271" s="22"/>
      <c r="I4271" s="22"/>
      <c r="J4271" s="22"/>
      <c r="K4271" s="22"/>
      <c r="L4271" s="22"/>
      <c r="M4271" s="22"/>
      <c r="N4271" s="22"/>
      <c r="O4271" s="22"/>
      <c r="P4271" s="22"/>
      <c r="Q4271" s="22"/>
      <c r="R4271" s="22"/>
      <c r="S4271" s="22"/>
      <c r="T4271" s="22"/>
      <c r="U4271" s="22"/>
      <c r="V4271" s="22"/>
      <c r="W4271" s="22"/>
      <c r="X4271" s="22"/>
    </row>
    <row r="4272" spans="1:24" x14ac:dyDescent="0.25">
      <c r="A4272" s="22"/>
      <c r="B4272" s="22"/>
      <c r="C4272" s="22"/>
      <c r="D4272" s="22"/>
      <c r="E4272" s="22"/>
      <c r="F4272" s="22"/>
      <c r="G4272" s="22"/>
      <c r="H4272" s="22"/>
      <c r="I4272" s="22"/>
      <c r="J4272" s="22"/>
      <c r="K4272" s="22"/>
      <c r="L4272" s="22"/>
      <c r="M4272" s="22"/>
      <c r="N4272" s="22"/>
      <c r="O4272" s="22"/>
      <c r="P4272" s="22"/>
      <c r="Q4272" s="22"/>
      <c r="R4272" s="22"/>
      <c r="S4272" s="22"/>
      <c r="T4272" s="22"/>
      <c r="U4272" s="22"/>
      <c r="V4272" s="22"/>
      <c r="W4272" s="22"/>
      <c r="X4272" s="22"/>
    </row>
    <row r="4273" spans="1:24" x14ac:dyDescent="0.25">
      <c r="A4273" s="22"/>
      <c r="B4273" s="22"/>
      <c r="C4273" s="22"/>
      <c r="D4273" s="22"/>
      <c r="E4273" s="22"/>
      <c r="F4273" s="22"/>
      <c r="G4273" s="22"/>
      <c r="H4273" s="22"/>
      <c r="I4273" s="22"/>
      <c r="J4273" s="22"/>
      <c r="K4273" s="22"/>
      <c r="L4273" s="22"/>
      <c r="M4273" s="22"/>
      <c r="N4273" s="22"/>
      <c r="O4273" s="22"/>
      <c r="P4273" s="22"/>
      <c r="Q4273" s="22"/>
      <c r="R4273" s="22"/>
      <c r="S4273" s="22"/>
      <c r="T4273" s="22"/>
      <c r="U4273" s="22"/>
      <c r="V4273" s="22"/>
      <c r="W4273" s="22"/>
      <c r="X4273" s="22"/>
    </row>
    <row r="4274" spans="1:24" x14ac:dyDescent="0.25">
      <c r="A4274" s="22"/>
      <c r="B4274" s="22"/>
      <c r="C4274" s="22"/>
      <c r="D4274" s="22"/>
      <c r="E4274" s="22"/>
      <c r="F4274" s="22"/>
      <c r="G4274" s="22"/>
      <c r="H4274" s="22"/>
      <c r="I4274" s="22"/>
      <c r="J4274" s="22"/>
      <c r="K4274" s="22"/>
      <c r="L4274" s="22"/>
      <c r="M4274" s="22"/>
      <c r="N4274" s="22"/>
      <c r="O4274" s="22"/>
      <c r="P4274" s="22"/>
      <c r="Q4274" s="22"/>
      <c r="R4274" s="22"/>
      <c r="S4274" s="22"/>
      <c r="T4274" s="22"/>
      <c r="U4274" s="22"/>
      <c r="V4274" s="22"/>
      <c r="W4274" s="22"/>
      <c r="X4274" s="22"/>
    </row>
    <row r="4275" spans="1:24" x14ac:dyDescent="0.25">
      <c r="A4275" s="22"/>
      <c r="B4275" s="22"/>
      <c r="C4275" s="22"/>
      <c r="D4275" s="22"/>
      <c r="E4275" s="22"/>
      <c r="F4275" s="22"/>
      <c r="G4275" s="22"/>
      <c r="H4275" s="22"/>
      <c r="I4275" s="22"/>
      <c r="J4275" s="22"/>
      <c r="K4275" s="22"/>
      <c r="L4275" s="22"/>
      <c r="M4275" s="22"/>
      <c r="N4275" s="22"/>
      <c r="O4275" s="22"/>
      <c r="P4275" s="22"/>
      <c r="Q4275" s="22"/>
      <c r="R4275" s="22"/>
      <c r="S4275" s="22"/>
      <c r="T4275" s="22"/>
      <c r="U4275" s="22"/>
      <c r="V4275" s="22"/>
      <c r="W4275" s="22"/>
      <c r="X4275" s="22"/>
    </row>
    <row r="4276" spans="1:24" x14ac:dyDescent="0.25">
      <c r="A4276" s="22"/>
      <c r="B4276" s="22"/>
      <c r="C4276" s="22"/>
      <c r="D4276" s="22"/>
      <c r="E4276" s="22"/>
      <c r="F4276" s="22"/>
      <c r="G4276" s="22"/>
      <c r="H4276" s="22"/>
      <c r="I4276" s="22"/>
      <c r="J4276" s="22"/>
      <c r="K4276" s="22"/>
      <c r="L4276" s="22"/>
      <c r="M4276" s="22"/>
      <c r="N4276" s="22"/>
      <c r="O4276" s="22"/>
      <c r="P4276" s="22"/>
      <c r="Q4276" s="22"/>
      <c r="R4276" s="22"/>
      <c r="S4276" s="22"/>
      <c r="T4276" s="22"/>
      <c r="U4276" s="22"/>
      <c r="V4276" s="22"/>
      <c r="W4276" s="22"/>
      <c r="X4276" s="22"/>
    </row>
    <row r="4277" spans="1:24" x14ac:dyDescent="0.25">
      <c r="A4277" s="22"/>
      <c r="B4277" s="22"/>
      <c r="C4277" s="22"/>
      <c r="D4277" s="22"/>
      <c r="E4277" s="22"/>
      <c r="F4277" s="22"/>
      <c r="G4277" s="22"/>
      <c r="H4277" s="22"/>
      <c r="I4277" s="22"/>
      <c r="J4277" s="22"/>
      <c r="K4277" s="22"/>
      <c r="L4277" s="22"/>
      <c r="M4277" s="22"/>
      <c r="N4277" s="22"/>
      <c r="O4277" s="22"/>
      <c r="P4277" s="22"/>
      <c r="Q4277" s="22"/>
      <c r="R4277" s="22"/>
      <c r="S4277" s="22"/>
      <c r="T4277" s="22"/>
      <c r="U4277" s="22"/>
      <c r="V4277" s="22"/>
      <c r="W4277" s="22"/>
      <c r="X4277" s="22"/>
    </row>
    <row r="4278" spans="1:24" x14ac:dyDescent="0.25">
      <c r="A4278" s="22"/>
      <c r="B4278" s="22"/>
      <c r="C4278" s="22"/>
      <c r="D4278" s="22"/>
      <c r="E4278" s="22"/>
      <c r="F4278" s="22"/>
      <c r="G4278" s="22"/>
      <c r="H4278" s="22"/>
      <c r="I4278" s="22"/>
      <c r="J4278" s="22"/>
      <c r="K4278" s="22"/>
      <c r="L4278" s="22"/>
      <c r="M4278" s="22"/>
      <c r="N4278" s="22"/>
      <c r="O4278" s="22"/>
      <c r="P4278" s="22"/>
      <c r="Q4278" s="22"/>
      <c r="R4278" s="22"/>
      <c r="S4278" s="22"/>
      <c r="T4278" s="22"/>
      <c r="U4278" s="22"/>
      <c r="V4278" s="22"/>
      <c r="W4278" s="22"/>
      <c r="X4278" s="22"/>
    </row>
    <row r="4279" spans="1:24" x14ac:dyDescent="0.25">
      <c r="A4279" s="22"/>
      <c r="B4279" s="22"/>
      <c r="C4279" s="22"/>
      <c r="D4279" s="22"/>
      <c r="E4279" s="22"/>
      <c r="F4279" s="22"/>
      <c r="G4279" s="22"/>
      <c r="H4279" s="22"/>
      <c r="I4279" s="22"/>
      <c r="J4279" s="22"/>
      <c r="K4279" s="22"/>
      <c r="L4279" s="22"/>
      <c r="M4279" s="22"/>
      <c r="N4279" s="22"/>
      <c r="O4279" s="22"/>
      <c r="P4279" s="22"/>
      <c r="Q4279" s="22"/>
      <c r="R4279" s="22"/>
      <c r="S4279" s="22"/>
      <c r="T4279" s="22"/>
      <c r="U4279" s="22"/>
      <c r="V4279" s="22"/>
      <c r="W4279" s="22"/>
      <c r="X4279" s="22"/>
    </row>
    <row r="4280" spans="1:24" x14ac:dyDescent="0.25">
      <c r="A4280" s="22"/>
      <c r="B4280" s="22"/>
      <c r="C4280" s="22"/>
      <c r="D4280" s="22"/>
      <c r="E4280" s="22"/>
      <c r="F4280" s="22"/>
      <c r="G4280" s="22"/>
      <c r="H4280" s="22"/>
      <c r="I4280" s="22"/>
      <c r="J4280" s="22"/>
      <c r="K4280" s="22"/>
      <c r="L4280" s="22"/>
      <c r="M4280" s="22"/>
      <c r="N4280" s="22"/>
      <c r="O4280" s="22"/>
      <c r="P4280" s="22"/>
      <c r="Q4280" s="22"/>
      <c r="R4280" s="22"/>
      <c r="S4280" s="22"/>
      <c r="T4280" s="22"/>
      <c r="U4280" s="22"/>
      <c r="V4280" s="22"/>
      <c r="W4280" s="22"/>
      <c r="X4280" s="22"/>
    </row>
    <row r="4281" spans="1:24" x14ac:dyDescent="0.25">
      <c r="A4281" s="22"/>
      <c r="B4281" s="22"/>
      <c r="C4281" s="22"/>
      <c r="D4281" s="22"/>
      <c r="E4281" s="22"/>
      <c r="F4281" s="22"/>
      <c r="G4281" s="22"/>
      <c r="H4281" s="22"/>
      <c r="I4281" s="22"/>
      <c r="J4281" s="22"/>
      <c r="K4281" s="22"/>
      <c r="L4281" s="22"/>
      <c r="M4281" s="22"/>
      <c r="N4281" s="22"/>
      <c r="O4281" s="22"/>
      <c r="P4281" s="22"/>
      <c r="Q4281" s="22"/>
      <c r="R4281" s="22"/>
      <c r="S4281" s="22"/>
      <c r="T4281" s="22"/>
      <c r="U4281" s="22"/>
      <c r="V4281" s="22"/>
      <c r="W4281" s="22"/>
      <c r="X4281" s="22"/>
    </row>
    <row r="4282" spans="1:24" x14ac:dyDescent="0.25">
      <c r="A4282" s="22"/>
      <c r="B4282" s="22"/>
      <c r="C4282" s="22"/>
      <c r="D4282" s="22"/>
      <c r="E4282" s="22"/>
      <c r="F4282" s="22"/>
      <c r="G4282" s="22"/>
      <c r="H4282" s="22"/>
      <c r="I4282" s="22"/>
      <c r="J4282" s="22"/>
      <c r="K4282" s="22"/>
      <c r="L4282" s="22"/>
      <c r="M4282" s="22"/>
      <c r="N4282" s="22"/>
      <c r="O4282" s="22"/>
      <c r="P4282" s="22"/>
      <c r="Q4282" s="22"/>
      <c r="R4282" s="22"/>
      <c r="S4282" s="22"/>
      <c r="T4282" s="22"/>
      <c r="U4282" s="22"/>
      <c r="V4282" s="22"/>
      <c r="W4282" s="22"/>
      <c r="X4282" s="22"/>
    </row>
    <row r="4283" spans="1:24" x14ac:dyDescent="0.25">
      <c r="A4283" s="22"/>
      <c r="B4283" s="22"/>
      <c r="C4283" s="22"/>
      <c r="D4283" s="22"/>
      <c r="E4283" s="22"/>
      <c r="F4283" s="22"/>
      <c r="G4283" s="22"/>
      <c r="H4283" s="22"/>
      <c r="I4283" s="22"/>
      <c r="J4283" s="22"/>
      <c r="K4283" s="22"/>
      <c r="L4283" s="22"/>
      <c r="M4283" s="22"/>
      <c r="N4283" s="22"/>
      <c r="O4283" s="22"/>
      <c r="P4283" s="22"/>
      <c r="Q4283" s="22"/>
      <c r="R4283" s="22"/>
      <c r="S4283" s="22"/>
      <c r="T4283" s="22"/>
      <c r="U4283" s="22"/>
      <c r="V4283" s="22"/>
      <c r="W4283" s="22"/>
      <c r="X4283" s="22"/>
    </row>
    <row r="4284" spans="1:24" x14ac:dyDescent="0.25">
      <c r="A4284" s="22"/>
      <c r="B4284" s="22"/>
      <c r="C4284" s="22"/>
      <c r="D4284" s="22"/>
      <c r="E4284" s="22"/>
      <c r="F4284" s="22"/>
      <c r="G4284" s="22"/>
      <c r="H4284" s="22"/>
      <c r="I4284" s="22"/>
      <c r="J4284" s="22"/>
      <c r="K4284" s="22"/>
      <c r="L4284" s="22"/>
      <c r="M4284" s="22"/>
      <c r="N4284" s="22"/>
      <c r="O4284" s="22"/>
      <c r="P4284" s="22"/>
      <c r="Q4284" s="22"/>
      <c r="R4284" s="22"/>
      <c r="S4284" s="22"/>
      <c r="T4284" s="22"/>
      <c r="U4284" s="22"/>
      <c r="V4284" s="22"/>
      <c r="W4284" s="22"/>
      <c r="X4284" s="22"/>
    </row>
    <row r="4285" spans="1:24" x14ac:dyDescent="0.25">
      <c r="A4285" s="22"/>
      <c r="B4285" s="22"/>
      <c r="C4285" s="22"/>
      <c r="D4285" s="22"/>
      <c r="E4285" s="22"/>
      <c r="F4285" s="22"/>
      <c r="G4285" s="22"/>
      <c r="H4285" s="22"/>
      <c r="I4285" s="22"/>
      <c r="J4285" s="22"/>
      <c r="K4285" s="22"/>
      <c r="L4285" s="22"/>
      <c r="M4285" s="22"/>
      <c r="N4285" s="22"/>
      <c r="O4285" s="22"/>
      <c r="P4285" s="22"/>
      <c r="Q4285" s="22"/>
      <c r="R4285" s="22"/>
      <c r="S4285" s="22"/>
      <c r="T4285" s="22"/>
      <c r="U4285" s="22"/>
      <c r="V4285" s="22"/>
      <c r="W4285" s="22"/>
      <c r="X4285" s="22"/>
    </row>
    <row r="4286" spans="1:24" x14ac:dyDescent="0.25">
      <c r="A4286" s="22"/>
      <c r="B4286" s="22"/>
      <c r="C4286" s="22"/>
      <c r="D4286" s="22"/>
      <c r="E4286" s="22"/>
      <c r="F4286" s="22"/>
      <c r="G4286" s="22"/>
      <c r="H4286" s="22"/>
      <c r="I4286" s="22"/>
      <c r="J4286" s="22"/>
      <c r="K4286" s="22"/>
      <c r="L4286" s="22"/>
      <c r="M4286" s="22"/>
      <c r="N4286" s="22"/>
      <c r="O4286" s="22"/>
      <c r="P4286" s="22"/>
      <c r="Q4286" s="22"/>
      <c r="R4286" s="22"/>
      <c r="S4286" s="22"/>
      <c r="T4286" s="22"/>
      <c r="U4286" s="22"/>
      <c r="V4286" s="22"/>
      <c r="W4286" s="22"/>
      <c r="X4286" s="22"/>
    </row>
    <row r="4287" spans="1:24" x14ac:dyDescent="0.25">
      <c r="A4287" s="22"/>
      <c r="B4287" s="22"/>
      <c r="C4287" s="22"/>
      <c r="D4287" s="22"/>
      <c r="E4287" s="22"/>
      <c r="F4287" s="22"/>
      <c r="G4287" s="22"/>
      <c r="H4287" s="22"/>
      <c r="I4287" s="22"/>
      <c r="J4287" s="22"/>
      <c r="K4287" s="22"/>
      <c r="L4287" s="22"/>
      <c r="M4287" s="22"/>
      <c r="N4287" s="22"/>
      <c r="O4287" s="22"/>
      <c r="P4287" s="22"/>
      <c r="Q4287" s="22"/>
      <c r="R4287" s="22"/>
      <c r="S4287" s="22"/>
      <c r="T4287" s="22"/>
      <c r="U4287" s="22"/>
      <c r="V4287" s="22"/>
      <c r="W4287" s="22"/>
      <c r="X4287" s="22"/>
    </row>
    <row r="4288" spans="1:24" x14ac:dyDescent="0.25">
      <c r="A4288" s="22"/>
      <c r="B4288" s="22"/>
      <c r="C4288" s="22"/>
      <c r="D4288" s="22"/>
      <c r="E4288" s="22"/>
      <c r="F4288" s="22"/>
      <c r="G4288" s="22"/>
      <c r="H4288" s="22"/>
      <c r="I4288" s="22"/>
      <c r="J4288" s="22"/>
      <c r="K4288" s="22"/>
      <c r="L4288" s="22"/>
      <c r="M4288" s="22"/>
      <c r="N4288" s="22"/>
      <c r="O4288" s="22"/>
      <c r="P4288" s="22"/>
      <c r="Q4288" s="22"/>
      <c r="R4288" s="22"/>
      <c r="S4288" s="22"/>
      <c r="T4288" s="22"/>
      <c r="U4288" s="22"/>
      <c r="V4288" s="22"/>
      <c r="W4288" s="22"/>
      <c r="X4288" s="22"/>
    </row>
    <row r="4289" spans="1:24" x14ac:dyDescent="0.25">
      <c r="A4289" s="22"/>
      <c r="B4289" s="22"/>
      <c r="C4289" s="22"/>
      <c r="D4289" s="22"/>
      <c r="E4289" s="22"/>
      <c r="F4289" s="22"/>
      <c r="G4289" s="22"/>
      <c r="H4289" s="22"/>
      <c r="I4289" s="22"/>
      <c r="J4289" s="22"/>
      <c r="K4289" s="22"/>
      <c r="L4289" s="22"/>
      <c r="M4289" s="22"/>
      <c r="N4289" s="22"/>
      <c r="O4289" s="22"/>
      <c r="P4289" s="22"/>
      <c r="Q4289" s="22"/>
      <c r="R4289" s="22"/>
      <c r="S4289" s="22"/>
      <c r="T4289" s="22"/>
      <c r="U4289" s="22"/>
      <c r="V4289" s="22"/>
      <c r="W4289" s="22"/>
      <c r="X4289" s="22"/>
    </row>
    <row r="4290" spans="1:24" x14ac:dyDescent="0.25">
      <c r="A4290" s="22"/>
      <c r="B4290" s="22"/>
      <c r="C4290" s="22"/>
      <c r="D4290" s="22"/>
      <c r="E4290" s="22"/>
      <c r="F4290" s="22"/>
      <c r="G4290" s="22"/>
      <c r="H4290" s="22"/>
      <c r="I4290" s="22"/>
      <c r="J4290" s="22"/>
      <c r="K4290" s="22"/>
      <c r="L4290" s="22"/>
      <c r="M4290" s="22"/>
      <c r="N4290" s="22"/>
      <c r="O4290" s="22"/>
      <c r="P4290" s="22"/>
      <c r="Q4290" s="22"/>
      <c r="R4290" s="22"/>
      <c r="S4290" s="22"/>
      <c r="T4290" s="22"/>
      <c r="U4290" s="22"/>
      <c r="V4290" s="22"/>
      <c r="W4290" s="22"/>
      <c r="X4290" s="22"/>
    </row>
    <row r="4291" spans="1:24" x14ac:dyDescent="0.25">
      <c r="A4291" s="22"/>
      <c r="B4291" s="22"/>
      <c r="C4291" s="22"/>
      <c r="D4291" s="22"/>
      <c r="E4291" s="22"/>
      <c r="F4291" s="22"/>
      <c r="G4291" s="22"/>
      <c r="H4291" s="22"/>
      <c r="I4291" s="22"/>
      <c r="J4291" s="22"/>
      <c r="K4291" s="22"/>
      <c r="L4291" s="22"/>
      <c r="M4291" s="22"/>
      <c r="N4291" s="22"/>
      <c r="O4291" s="22"/>
      <c r="P4291" s="22"/>
      <c r="Q4291" s="22"/>
      <c r="R4291" s="22"/>
      <c r="S4291" s="22"/>
      <c r="T4291" s="22"/>
      <c r="U4291" s="22"/>
      <c r="V4291" s="22"/>
      <c r="W4291" s="22"/>
      <c r="X4291" s="22"/>
    </row>
    <row r="4292" spans="1:24" x14ac:dyDescent="0.25">
      <c r="A4292" s="22"/>
      <c r="B4292" s="22"/>
      <c r="C4292" s="22"/>
      <c r="D4292" s="22"/>
      <c r="E4292" s="22"/>
      <c r="F4292" s="22"/>
      <c r="G4292" s="22"/>
      <c r="H4292" s="22"/>
      <c r="I4292" s="22"/>
      <c r="J4292" s="22"/>
      <c r="K4292" s="22"/>
      <c r="L4292" s="22"/>
      <c r="M4292" s="22"/>
      <c r="N4292" s="22"/>
      <c r="O4292" s="22"/>
      <c r="P4292" s="22"/>
      <c r="Q4292" s="22"/>
      <c r="R4292" s="22"/>
      <c r="S4292" s="22"/>
      <c r="T4292" s="22"/>
      <c r="U4292" s="22"/>
      <c r="V4292" s="22"/>
      <c r="W4292" s="22"/>
      <c r="X4292" s="22"/>
    </row>
    <row r="4293" spans="1:24" x14ac:dyDescent="0.25">
      <c r="A4293" s="22"/>
      <c r="B4293" s="22"/>
      <c r="C4293" s="22"/>
      <c r="D4293" s="22"/>
      <c r="E4293" s="22"/>
      <c r="F4293" s="22"/>
      <c r="G4293" s="22"/>
      <c r="H4293" s="22"/>
      <c r="I4293" s="22"/>
      <c r="J4293" s="22"/>
      <c r="K4293" s="22"/>
      <c r="L4293" s="22"/>
      <c r="M4293" s="22"/>
      <c r="N4293" s="22"/>
      <c r="O4293" s="22"/>
      <c r="P4293" s="22"/>
      <c r="Q4293" s="22"/>
      <c r="R4293" s="22"/>
      <c r="S4293" s="22"/>
      <c r="T4293" s="22"/>
      <c r="U4293" s="22"/>
      <c r="V4293" s="22"/>
      <c r="W4293" s="22"/>
      <c r="X4293" s="22"/>
    </row>
    <row r="4294" spans="1:24" x14ac:dyDescent="0.25">
      <c r="A4294" s="22"/>
      <c r="B4294" s="22"/>
      <c r="C4294" s="22"/>
      <c r="D4294" s="22"/>
      <c r="E4294" s="22"/>
      <c r="F4294" s="22"/>
      <c r="G4294" s="22"/>
      <c r="H4294" s="22"/>
      <c r="I4294" s="22"/>
      <c r="J4294" s="22"/>
      <c r="K4294" s="22"/>
      <c r="L4294" s="22"/>
      <c r="M4294" s="22"/>
      <c r="N4294" s="22"/>
      <c r="O4294" s="22"/>
      <c r="P4294" s="22"/>
      <c r="Q4294" s="22"/>
      <c r="R4294" s="22"/>
      <c r="S4294" s="22"/>
      <c r="T4294" s="22"/>
      <c r="U4294" s="22"/>
      <c r="V4294" s="22"/>
      <c r="W4294" s="22"/>
      <c r="X4294" s="22"/>
    </row>
    <row r="4295" spans="1:24" x14ac:dyDescent="0.25">
      <c r="A4295" s="22"/>
      <c r="B4295" s="22"/>
      <c r="C4295" s="22"/>
      <c r="D4295" s="22"/>
      <c r="E4295" s="22"/>
      <c r="F4295" s="22"/>
      <c r="G4295" s="22"/>
      <c r="H4295" s="22"/>
      <c r="I4295" s="22"/>
      <c r="J4295" s="22"/>
      <c r="K4295" s="22"/>
      <c r="L4295" s="22"/>
      <c r="M4295" s="22"/>
      <c r="N4295" s="22"/>
      <c r="O4295" s="22"/>
      <c r="P4295" s="22"/>
      <c r="Q4295" s="22"/>
      <c r="R4295" s="22"/>
      <c r="S4295" s="22"/>
      <c r="T4295" s="22"/>
      <c r="U4295" s="22"/>
      <c r="V4295" s="22"/>
      <c r="W4295" s="22"/>
      <c r="X4295" s="22"/>
    </row>
    <row r="4296" spans="1:24" x14ac:dyDescent="0.25">
      <c r="A4296" s="22"/>
      <c r="B4296" s="22"/>
      <c r="C4296" s="22"/>
      <c r="D4296" s="22"/>
      <c r="E4296" s="22"/>
      <c r="F4296" s="22"/>
      <c r="G4296" s="22"/>
      <c r="H4296" s="22"/>
      <c r="I4296" s="22"/>
      <c r="J4296" s="22"/>
      <c r="K4296" s="22"/>
      <c r="L4296" s="22"/>
      <c r="M4296" s="22"/>
      <c r="N4296" s="22"/>
      <c r="O4296" s="22"/>
      <c r="P4296" s="22"/>
      <c r="Q4296" s="22"/>
      <c r="R4296" s="22"/>
      <c r="S4296" s="22"/>
      <c r="T4296" s="22"/>
      <c r="U4296" s="22"/>
      <c r="V4296" s="22"/>
      <c r="W4296" s="22"/>
      <c r="X4296" s="22"/>
    </row>
    <row r="4297" spans="1:24" x14ac:dyDescent="0.25">
      <c r="A4297" s="22"/>
      <c r="B4297" s="22"/>
      <c r="C4297" s="22"/>
      <c r="D4297" s="22"/>
      <c r="E4297" s="22"/>
      <c r="F4297" s="22"/>
      <c r="G4297" s="22"/>
      <c r="H4297" s="22"/>
      <c r="I4297" s="22"/>
      <c r="J4297" s="22"/>
      <c r="K4297" s="22"/>
      <c r="L4297" s="22"/>
      <c r="M4297" s="22"/>
      <c r="N4297" s="22"/>
      <c r="O4297" s="22"/>
      <c r="P4297" s="22"/>
      <c r="Q4297" s="22"/>
      <c r="R4297" s="22"/>
      <c r="S4297" s="22"/>
      <c r="T4297" s="22"/>
      <c r="U4297" s="22"/>
      <c r="V4297" s="22"/>
      <c r="W4297" s="22"/>
      <c r="X4297" s="22"/>
    </row>
    <row r="4298" spans="1:24" x14ac:dyDescent="0.25">
      <c r="A4298" s="22"/>
      <c r="B4298" s="22"/>
      <c r="C4298" s="22"/>
      <c r="D4298" s="22"/>
      <c r="E4298" s="22"/>
      <c r="F4298" s="22"/>
      <c r="G4298" s="22"/>
      <c r="H4298" s="22"/>
      <c r="I4298" s="22"/>
      <c r="J4298" s="22"/>
      <c r="K4298" s="22"/>
      <c r="L4298" s="22"/>
      <c r="M4298" s="22"/>
      <c r="N4298" s="22"/>
      <c r="O4298" s="22"/>
      <c r="P4298" s="22"/>
      <c r="Q4298" s="22"/>
      <c r="R4298" s="22"/>
      <c r="S4298" s="22"/>
      <c r="T4298" s="22"/>
      <c r="U4298" s="22"/>
      <c r="V4298" s="22"/>
      <c r="W4298" s="22"/>
      <c r="X4298" s="22"/>
    </row>
    <row r="4299" spans="1:24" x14ac:dyDescent="0.25">
      <c r="A4299" s="22"/>
      <c r="B4299" s="22"/>
      <c r="C4299" s="22"/>
      <c r="D4299" s="22"/>
      <c r="E4299" s="22"/>
      <c r="F4299" s="22"/>
      <c r="G4299" s="22"/>
      <c r="H4299" s="22"/>
      <c r="I4299" s="22"/>
      <c r="J4299" s="22"/>
      <c r="K4299" s="22"/>
      <c r="L4299" s="22"/>
      <c r="M4299" s="22"/>
      <c r="N4299" s="22"/>
      <c r="O4299" s="22"/>
      <c r="P4299" s="22"/>
      <c r="Q4299" s="22"/>
      <c r="R4299" s="22"/>
      <c r="S4299" s="22"/>
      <c r="T4299" s="22"/>
      <c r="U4299" s="22"/>
      <c r="V4299" s="22"/>
      <c r="W4299" s="22"/>
      <c r="X4299" s="22"/>
    </row>
    <row r="4300" spans="1:24" x14ac:dyDescent="0.25">
      <c r="A4300" s="22"/>
      <c r="B4300" s="22"/>
      <c r="C4300" s="22"/>
      <c r="D4300" s="22"/>
      <c r="E4300" s="22"/>
      <c r="F4300" s="22"/>
      <c r="G4300" s="22"/>
      <c r="H4300" s="22"/>
      <c r="I4300" s="22"/>
      <c r="J4300" s="22"/>
      <c r="K4300" s="22"/>
      <c r="L4300" s="22"/>
      <c r="M4300" s="22"/>
      <c r="N4300" s="22"/>
      <c r="O4300" s="22"/>
      <c r="P4300" s="22"/>
      <c r="Q4300" s="22"/>
      <c r="R4300" s="22"/>
      <c r="S4300" s="22"/>
      <c r="T4300" s="22"/>
      <c r="U4300" s="22"/>
      <c r="V4300" s="22"/>
      <c r="W4300" s="22"/>
      <c r="X4300" s="22"/>
    </row>
    <row r="4301" spans="1:24" x14ac:dyDescent="0.25">
      <c r="A4301" s="22"/>
      <c r="B4301" s="22"/>
      <c r="C4301" s="22"/>
      <c r="D4301" s="22"/>
      <c r="E4301" s="22"/>
      <c r="F4301" s="22"/>
      <c r="G4301" s="22"/>
      <c r="H4301" s="22"/>
      <c r="I4301" s="22"/>
      <c r="J4301" s="22"/>
      <c r="K4301" s="22"/>
      <c r="L4301" s="22"/>
      <c r="M4301" s="22"/>
      <c r="N4301" s="22"/>
      <c r="O4301" s="22"/>
      <c r="P4301" s="22"/>
      <c r="Q4301" s="22"/>
      <c r="R4301" s="22"/>
      <c r="S4301" s="22"/>
      <c r="T4301" s="22"/>
      <c r="U4301" s="22"/>
      <c r="V4301" s="22"/>
      <c r="W4301" s="22"/>
      <c r="X4301" s="22"/>
    </row>
    <row r="4302" spans="1:24" x14ac:dyDescent="0.25">
      <c r="A4302" s="22"/>
      <c r="B4302" s="22"/>
      <c r="C4302" s="22"/>
      <c r="D4302" s="22"/>
      <c r="E4302" s="22"/>
      <c r="F4302" s="22"/>
      <c r="G4302" s="22"/>
      <c r="H4302" s="22"/>
      <c r="I4302" s="22"/>
      <c r="J4302" s="22"/>
      <c r="K4302" s="22"/>
      <c r="L4302" s="22"/>
      <c r="M4302" s="22"/>
      <c r="N4302" s="22"/>
      <c r="O4302" s="22"/>
      <c r="P4302" s="22"/>
      <c r="Q4302" s="22"/>
      <c r="R4302" s="22"/>
      <c r="S4302" s="22"/>
      <c r="T4302" s="22"/>
      <c r="U4302" s="22"/>
      <c r="V4302" s="22"/>
      <c r="W4302" s="22"/>
      <c r="X4302" s="22"/>
    </row>
    <row r="4303" spans="1:24" x14ac:dyDescent="0.25">
      <c r="A4303" s="22"/>
      <c r="B4303" s="22"/>
      <c r="C4303" s="22"/>
      <c r="D4303" s="22"/>
      <c r="E4303" s="22"/>
      <c r="F4303" s="22"/>
      <c r="G4303" s="22"/>
      <c r="H4303" s="22"/>
      <c r="I4303" s="22"/>
      <c r="J4303" s="22"/>
      <c r="K4303" s="22"/>
      <c r="L4303" s="22"/>
      <c r="M4303" s="22"/>
      <c r="N4303" s="22"/>
      <c r="O4303" s="22"/>
      <c r="P4303" s="22"/>
      <c r="Q4303" s="22"/>
      <c r="R4303" s="22"/>
      <c r="S4303" s="22"/>
      <c r="T4303" s="22"/>
      <c r="U4303" s="22"/>
      <c r="V4303" s="22"/>
      <c r="W4303" s="22"/>
      <c r="X4303" s="22"/>
    </row>
    <row r="4304" spans="1:24" x14ac:dyDescent="0.25">
      <c r="A4304" s="22"/>
      <c r="B4304" s="22"/>
      <c r="C4304" s="22"/>
      <c r="D4304" s="22"/>
      <c r="E4304" s="22"/>
      <c r="F4304" s="22"/>
      <c r="G4304" s="22"/>
      <c r="H4304" s="22"/>
      <c r="I4304" s="22"/>
      <c r="J4304" s="22"/>
      <c r="K4304" s="22"/>
      <c r="L4304" s="22"/>
      <c r="M4304" s="22"/>
      <c r="N4304" s="22"/>
      <c r="O4304" s="22"/>
      <c r="P4304" s="22"/>
      <c r="Q4304" s="22"/>
      <c r="R4304" s="22"/>
      <c r="S4304" s="22"/>
      <c r="T4304" s="22"/>
      <c r="U4304" s="22"/>
      <c r="V4304" s="22"/>
      <c r="W4304" s="22"/>
      <c r="X4304" s="22"/>
    </row>
    <row r="4305" spans="1:24" x14ac:dyDescent="0.25">
      <c r="A4305" s="22"/>
      <c r="B4305" s="22"/>
      <c r="C4305" s="22"/>
      <c r="D4305" s="22"/>
      <c r="E4305" s="22"/>
      <c r="F4305" s="22"/>
      <c r="G4305" s="22"/>
      <c r="H4305" s="22"/>
      <c r="I4305" s="22"/>
      <c r="J4305" s="22"/>
      <c r="K4305" s="22"/>
      <c r="L4305" s="22"/>
      <c r="M4305" s="22"/>
      <c r="N4305" s="22"/>
      <c r="O4305" s="22"/>
      <c r="P4305" s="22"/>
      <c r="Q4305" s="22"/>
      <c r="R4305" s="22"/>
      <c r="S4305" s="22"/>
      <c r="T4305" s="22"/>
      <c r="U4305" s="22"/>
      <c r="V4305" s="22"/>
      <c r="W4305" s="22"/>
      <c r="X4305" s="22"/>
    </row>
    <row r="4306" spans="1:24" x14ac:dyDescent="0.25">
      <c r="A4306" s="22"/>
      <c r="B4306" s="22"/>
      <c r="C4306" s="22"/>
      <c r="D4306" s="22"/>
      <c r="E4306" s="22"/>
      <c r="F4306" s="22"/>
      <c r="G4306" s="22"/>
      <c r="H4306" s="22"/>
      <c r="I4306" s="22"/>
      <c r="J4306" s="22"/>
      <c r="K4306" s="22"/>
      <c r="L4306" s="22"/>
      <c r="M4306" s="22"/>
      <c r="N4306" s="22"/>
      <c r="O4306" s="22"/>
      <c r="P4306" s="22"/>
      <c r="Q4306" s="22"/>
      <c r="R4306" s="22"/>
      <c r="S4306" s="22"/>
      <c r="T4306" s="22"/>
      <c r="U4306" s="22"/>
      <c r="V4306" s="22"/>
      <c r="W4306" s="22"/>
      <c r="X4306" s="22"/>
    </row>
    <row r="4307" spans="1:24" x14ac:dyDescent="0.25">
      <c r="A4307" s="22"/>
      <c r="B4307" s="22"/>
      <c r="C4307" s="22"/>
      <c r="D4307" s="22"/>
      <c r="E4307" s="22"/>
      <c r="F4307" s="22"/>
      <c r="G4307" s="22"/>
      <c r="H4307" s="22"/>
      <c r="I4307" s="22"/>
      <c r="J4307" s="22"/>
      <c r="K4307" s="22"/>
      <c r="L4307" s="22"/>
      <c r="M4307" s="22"/>
      <c r="N4307" s="22"/>
      <c r="O4307" s="22"/>
      <c r="P4307" s="22"/>
      <c r="Q4307" s="22"/>
      <c r="R4307" s="22"/>
      <c r="S4307" s="22"/>
      <c r="T4307" s="22"/>
      <c r="U4307" s="22"/>
      <c r="V4307" s="22"/>
      <c r="W4307" s="22"/>
      <c r="X4307" s="22"/>
    </row>
    <row r="4308" spans="1:24" x14ac:dyDescent="0.25">
      <c r="A4308" s="22"/>
      <c r="B4308" s="22"/>
      <c r="C4308" s="22"/>
      <c r="D4308" s="22"/>
      <c r="E4308" s="22"/>
      <c r="F4308" s="22"/>
      <c r="G4308" s="22"/>
      <c r="H4308" s="22"/>
      <c r="I4308" s="22"/>
      <c r="J4308" s="22"/>
      <c r="K4308" s="22"/>
      <c r="L4308" s="22"/>
      <c r="M4308" s="22"/>
      <c r="N4308" s="22"/>
      <c r="O4308" s="22"/>
      <c r="P4308" s="22"/>
      <c r="Q4308" s="22"/>
      <c r="R4308" s="22"/>
      <c r="S4308" s="22"/>
      <c r="T4308" s="22"/>
      <c r="U4308" s="22"/>
      <c r="V4308" s="22"/>
      <c r="W4308" s="22"/>
      <c r="X4308" s="22"/>
    </row>
    <row r="4309" spans="1:24" x14ac:dyDescent="0.25">
      <c r="A4309" s="22"/>
      <c r="B4309" s="22"/>
      <c r="C4309" s="22"/>
      <c r="D4309" s="22"/>
      <c r="E4309" s="22"/>
      <c r="F4309" s="22"/>
      <c r="G4309" s="22"/>
      <c r="H4309" s="22"/>
      <c r="I4309" s="22"/>
      <c r="J4309" s="22"/>
      <c r="K4309" s="22"/>
      <c r="L4309" s="22"/>
      <c r="M4309" s="22"/>
      <c r="N4309" s="22"/>
      <c r="O4309" s="22"/>
      <c r="P4309" s="22"/>
      <c r="Q4309" s="22"/>
      <c r="R4309" s="22"/>
      <c r="S4309" s="22"/>
      <c r="T4309" s="22"/>
      <c r="U4309" s="22"/>
      <c r="V4309" s="22"/>
      <c r="W4309" s="22"/>
      <c r="X4309" s="22"/>
    </row>
    <row r="4310" spans="1:24" x14ac:dyDescent="0.25">
      <c r="A4310" s="22"/>
      <c r="B4310" s="22"/>
      <c r="C4310" s="22"/>
      <c r="D4310" s="22"/>
      <c r="E4310" s="22"/>
      <c r="F4310" s="22"/>
      <c r="G4310" s="22"/>
      <c r="H4310" s="22"/>
      <c r="I4310" s="22"/>
      <c r="J4310" s="22"/>
      <c r="K4310" s="22"/>
      <c r="L4310" s="22"/>
      <c r="M4310" s="22"/>
      <c r="N4310" s="22"/>
      <c r="O4310" s="22"/>
      <c r="P4310" s="22"/>
      <c r="Q4310" s="22"/>
      <c r="R4310" s="22"/>
      <c r="S4310" s="22"/>
      <c r="T4310" s="22"/>
      <c r="U4310" s="22"/>
      <c r="V4310" s="22"/>
      <c r="W4310" s="22"/>
      <c r="X4310" s="22"/>
    </row>
    <row r="4311" spans="1:24" x14ac:dyDescent="0.25">
      <c r="A4311" s="22"/>
      <c r="B4311" s="22"/>
      <c r="C4311" s="22"/>
      <c r="D4311" s="22"/>
      <c r="E4311" s="22"/>
      <c r="F4311" s="22"/>
      <c r="G4311" s="22"/>
      <c r="H4311" s="22"/>
      <c r="I4311" s="22"/>
      <c r="J4311" s="22"/>
      <c r="K4311" s="22"/>
      <c r="L4311" s="22"/>
      <c r="M4311" s="22"/>
      <c r="N4311" s="22"/>
      <c r="O4311" s="22"/>
      <c r="P4311" s="22"/>
      <c r="Q4311" s="22"/>
      <c r="R4311" s="22"/>
      <c r="S4311" s="22"/>
      <c r="T4311" s="22"/>
      <c r="U4311" s="22"/>
      <c r="V4311" s="22"/>
      <c r="W4311" s="22"/>
      <c r="X4311" s="22"/>
    </row>
    <row r="4312" spans="1:24" x14ac:dyDescent="0.25">
      <c r="A4312" s="22"/>
      <c r="B4312" s="22"/>
      <c r="C4312" s="22"/>
      <c r="D4312" s="22"/>
      <c r="E4312" s="22"/>
      <c r="F4312" s="22"/>
      <c r="G4312" s="22"/>
      <c r="H4312" s="22"/>
      <c r="I4312" s="22"/>
      <c r="J4312" s="22"/>
      <c r="K4312" s="22"/>
      <c r="L4312" s="22"/>
      <c r="M4312" s="22"/>
      <c r="N4312" s="22"/>
      <c r="O4312" s="22"/>
      <c r="P4312" s="22"/>
      <c r="Q4312" s="22"/>
      <c r="R4312" s="22"/>
      <c r="S4312" s="22"/>
      <c r="T4312" s="22"/>
      <c r="U4312" s="22"/>
      <c r="V4312" s="22"/>
      <c r="W4312" s="22"/>
      <c r="X4312" s="22"/>
    </row>
    <row r="4313" spans="1:24" x14ac:dyDescent="0.25">
      <c r="A4313" s="22"/>
      <c r="B4313" s="22"/>
      <c r="C4313" s="22"/>
      <c r="D4313" s="22"/>
      <c r="E4313" s="22"/>
      <c r="F4313" s="22"/>
      <c r="G4313" s="22"/>
      <c r="H4313" s="22"/>
      <c r="I4313" s="22"/>
      <c r="J4313" s="22"/>
      <c r="K4313" s="22"/>
      <c r="L4313" s="22"/>
      <c r="M4313" s="22"/>
      <c r="N4313" s="22"/>
      <c r="O4313" s="22"/>
      <c r="P4313" s="22"/>
      <c r="Q4313" s="22"/>
      <c r="R4313" s="22"/>
      <c r="S4313" s="22"/>
      <c r="T4313" s="22"/>
      <c r="U4313" s="22"/>
      <c r="V4313" s="22"/>
      <c r="W4313" s="22"/>
      <c r="X4313" s="22"/>
    </row>
    <row r="4314" spans="1:24" x14ac:dyDescent="0.25">
      <c r="A4314" s="22"/>
      <c r="B4314" s="22"/>
      <c r="C4314" s="22"/>
      <c r="D4314" s="22"/>
      <c r="E4314" s="22"/>
      <c r="F4314" s="22"/>
      <c r="G4314" s="22"/>
      <c r="H4314" s="22"/>
      <c r="I4314" s="22"/>
      <c r="J4314" s="22"/>
      <c r="K4314" s="22"/>
      <c r="L4314" s="22"/>
      <c r="M4314" s="22"/>
      <c r="N4314" s="22"/>
      <c r="O4314" s="22"/>
      <c r="P4314" s="22"/>
      <c r="Q4314" s="22"/>
      <c r="R4314" s="22"/>
      <c r="S4314" s="22"/>
      <c r="T4314" s="22"/>
      <c r="U4314" s="22"/>
      <c r="V4314" s="22"/>
      <c r="W4314" s="22"/>
      <c r="X4314" s="22"/>
    </row>
    <row r="4315" spans="1:24" x14ac:dyDescent="0.25">
      <c r="A4315" s="22"/>
      <c r="B4315" s="22"/>
      <c r="C4315" s="22"/>
      <c r="D4315" s="22"/>
      <c r="E4315" s="22"/>
      <c r="F4315" s="22"/>
      <c r="G4315" s="22"/>
      <c r="H4315" s="22"/>
      <c r="I4315" s="22"/>
      <c r="J4315" s="22"/>
      <c r="K4315" s="22"/>
      <c r="L4315" s="22"/>
      <c r="M4315" s="22"/>
      <c r="N4315" s="22"/>
      <c r="O4315" s="22"/>
      <c r="P4315" s="22"/>
      <c r="Q4315" s="22"/>
      <c r="R4315" s="22"/>
      <c r="S4315" s="22"/>
      <c r="T4315" s="22"/>
      <c r="U4315" s="22"/>
      <c r="V4315" s="22"/>
      <c r="W4315" s="22"/>
      <c r="X4315" s="22"/>
    </row>
    <row r="4316" spans="1:24" x14ac:dyDescent="0.25">
      <c r="A4316" s="22"/>
      <c r="B4316" s="22"/>
      <c r="C4316" s="22"/>
      <c r="D4316" s="22"/>
      <c r="E4316" s="22"/>
      <c r="F4316" s="22"/>
      <c r="G4316" s="22"/>
      <c r="H4316" s="22"/>
      <c r="I4316" s="22"/>
      <c r="J4316" s="22"/>
      <c r="K4316" s="22"/>
      <c r="L4316" s="22"/>
      <c r="M4316" s="22"/>
      <c r="N4316" s="22"/>
      <c r="O4316" s="22"/>
      <c r="P4316" s="22"/>
      <c r="Q4316" s="22"/>
      <c r="R4316" s="22"/>
      <c r="S4316" s="22"/>
      <c r="T4316" s="22"/>
      <c r="U4316" s="22"/>
      <c r="V4316" s="22"/>
      <c r="W4316" s="22"/>
      <c r="X4316" s="22"/>
    </row>
    <row r="4317" spans="1:24" x14ac:dyDescent="0.25">
      <c r="A4317" s="22"/>
      <c r="B4317" s="22"/>
      <c r="C4317" s="22"/>
      <c r="D4317" s="22"/>
      <c r="E4317" s="22"/>
      <c r="F4317" s="22"/>
      <c r="G4317" s="22"/>
      <c r="H4317" s="22"/>
      <c r="I4317" s="22"/>
      <c r="J4317" s="22"/>
      <c r="K4317" s="22"/>
      <c r="L4317" s="22"/>
      <c r="M4317" s="22"/>
      <c r="N4317" s="22"/>
      <c r="O4317" s="22"/>
      <c r="P4317" s="22"/>
      <c r="Q4317" s="22"/>
      <c r="R4317" s="22"/>
      <c r="S4317" s="22"/>
      <c r="T4317" s="22"/>
      <c r="U4317" s="22"/>
      <c r="V4317" s="22"/>
      <c r="W4317" s="22"/>
      <c r="X4317" s="22"/>
    </row>
    <row r="4318" spans="1:24" x14ac:dyDescent="0.25">
      <c r="A4318" s="22"/>
      <c r="B4318" s="22"/>
      <c r="C4318" s="22"/>
      <c r="D4318" s="22"/>
      <c r="E4318" s="22"/>
      <c r="F4318" s="22"/>
      <c r="G4318" s="22"/>
      <c r="H4318" s="22"/>
      <c r="I4318" s="22"/>
      <c r="J4318" s="22"/>
      <c r="K4318" s="22"/>
      <c r="L4318" s="22"/>
      <c r="M4318" s="22"/>
      <c r="N4318" s="22"/>
      <c r="O4318" s="22"/>
      <c r="P4318" s="22"/>
      <c r="Q4318" s="22"/>
      <c r="R4318" s="22"/>
      <c r="S4318" s="22"/>
      <c r="T4318" s="22"/>
      <c r="U4318" s="22"/>
      <c r="V4318" s="22"/>
      <c r="W4318" s="22"/>
      <c r="X4318" s="22"/>
    </row>
    <row r="4319" spans="1:24" x14ac:dyDescent="0.25">
      <c r="A4319" s="22"/>
      <c r="B4319" s="22"/>
      <c r="C4319" s="22"/>
      <c r="D4319" s="22"/>
      <c r="E4319" s="22"/>
      <c r="F4319" s="22"/>
      <c r="G4319" s="22"/>
      <c r="H4319" s="22"/>
      <c r="I4319" s="22"/>
      <c r="J4319" s="22"/>
      <c r="K4319" s="22"/>
      <c r="L4319" s="22"/>
      <c r="M4319" s="22"/>
      <c r="N4319" s="22"/>
      <c r="O4319" s="22"/>
      <c r="P4319" s="22"/>
      <c r="Q4319" s="22"/>
      <c r="R4319" s="22"/>
      <c r="S4319" s="22"/>
      <c r="T4319" s="22"/>
      <c r="U4319" s="22"/>
      <c r="V4319" s="22"/>
      <c r="W4319" s="22"/>
      <c r="X4319" s="22"/>
    </row>
    <row r="4320" spans="1:24" x14ac:dyDescent="0.25">
      <c r="A4320" s="22"/>
      <c r="B4320" s="22"/>
      <c r="C4320" s="22"/>
      <c r="D4320" s="22"/>
      <c r="E4320" s="22"/>
      <c r="F4320" s="22"/>
      <c r="G4320" s="22"/>
      <c r="H4320" s="22"/>
      <c r="I4320" s="22"/>
      <c r="J4320" s="22"/>
      <c r="K4320" s="22"/>
      <c r="L4320" s="22"/>
      <c r="M4320" s="22"/>
      <c r="N4320" s="22"/>
      <c r="O4320" s="22"/>
      <c r="P4320" s="22"/>
      <c r="Q4320" s="22"/>
      <c r="R4320" s="22"/>
      <c r="S4320" s="22"/>
      <c r="T4320" s="22"/>
      <c r="U4320" s="22"/>
      <c r="V4320" s="22"/>
      <c r="W4320" s="22"/>
      <c r="X4320" s="22"/>
    </row>
    <row r="4321" spans="1:24" x14ac:dyDescent="0.25">
      <c r="A4321" s="22"/>
      <c r="B4321" s="22"/>
      <c r="C4321" s="22"/>
      <c r="D4321" s="22"/>
      <c r="E4321" s="22"/>
      <c r="F4321" s="22"/>
      <c r="G4321" s="22"/>
      <c r="H4321" s="22"/>
      <c r="I4321" s="22"/>
      <c r="J4321" s="22"/>
      <c r="K4321" s="22"/>
      <c r="L4321" s="22"/>
      <c r="M4321" s="22"/>
      <c r="N4321" s="22"/>
      <c r="O4321" s="22"/>
      <c r="P4321" s="22"/>
      <c r="Q4321" s="22"/>
      <c r="R4321" s="22"/>
      <c r="S4321" s="22"/>
      <c r="T4321" s="22"/>
      <c r="U4321" s="22"/>
      <c r="V4321" s="22"/>
      <c r="W4321" s="22"/>
      <c r="X4321" s="22"/>
    </row>
    <row r="4322" spans="1:24" x14ac:dyDescent="0.25">
      <c r="A4322" s="22"/>
      <c r="B4322" s="22"/>
      <c r="C4322" s="22"/>
      <c r="D4322" s="22"/>
      <c r="E4322" s="22"/>
      <c r="F4322" s="22"/>
      <c r="G4322" s="22"/>
      <c r="H4322" s="22"/>
      <c r="I4322" s="22"/>
      <c r="J4322" s="22"/>
      <c r="K4322" s="22"/>
      <c r="L4322" s="22"/>
      <c r="M4322" s="22"/>
      <c r="N4322" s="22"/>
      <c r="O4322" s="22"/>
      <c r="P4322" s="22"/>
      <c r="Q4322" s="22"/>
      <c r="R4322" s="22"/>
      <c r="S4322" s="22"/>
      <c r="T4322" s="22"/>
      <c r="U4322" s="22"/>
      <c r="V4322" s="22"/>
      <c r="W4322" s="22"/>
      <c r="X4322" s="22"/>
    </row>
    <row r="4323" spans="1:24" x14ac:dyDescent="0.25">
      <c r="A4323" s="22"/>
      <c r="B4323" s="22"/>
      <c r="C4323" s="22"/>
      <c r="D4323" s="22"/>
      <c r="E4323" s="22"/>
      <c r="F4323" s="22"/>
      <c r="G4323" s="22"/>
      <c r="H4323" s="22"/>
      <c r="I4323" s="22"/>
      <c r="J4323" s="22"/>
      <c r="K4323" s="22"/>
      <c r="L4323" s="22"/>
      <c r="M4323" s="22"/>
      <c r="N4323" s="22"/>
      <c r="O4323" s="22"/>
      <c r="P4323" s="22"/>
      <c r="Q4323" s="22"/>
      <c r="R4323" s="22"/>
      <c r="S4323" s="22"/>
      <c r="T4323" s="22"/>
      <c r="U4323" s="22"/>
      <c r="V4323" s="22"/>
      <c r="W4323" s="22"/>
      <c r="X4323" s="22"/>
    </row>
    <row r="4324" spans="1:24" x14ac:dyDescent="0.25">
      <c r="A4324" s="22"/>
      <c r="B4324" s="22"/>
      <c r="C4324" s="22"/>
      <c r="D4324" s="22"/>
      <c r="E4324" s="22"/>
      <c r="F4324" s="22"/>
      <c r="G4324" s="22"/>
      <c r="H4324" s="22"/>
      <c r="I4324" s="22"/>
      <c r="J4324" s="22"/>
      <c r="K4324" s="22"/>
      <c r="L4324" s="22"/>
      <c r="M4324" s="22"/>
      <c r="N4324" s="22"/>
      <c r="O4324" s="22"/>
      <c r="P4324" s="22"/>
      <c r="Q4324" s="22"/>
      <c r="R4324" s="22"/>
      <c r="S4324" s="22"/>
      <c r="T4324" s="22"/>
      <c r="U4324" s="22"/>
      <c r="V4324" s="22"/>
      <c r="W4324" s="22"/>
      <c r="X4324" s="22"/>
    </row>
    <row r="4325" spans="1:24" x14ac:dyDescent="0.25">
      <c r="A4325" s="22"/>
      <c r="B4325" s="22"/>
      <c r="C4325" s="22"/>
      <c r="D4325" s="22"/>
      <c r="E4325" s="22"/>
      <c r="F4325" s="22"/>
      <c r="G4325" s="22"/>
      <c r="H4325" s="22"/>
      <c r="I4325" s="22"/>
      <c r="J4325" s="22"/>
      <c r="K4325" s="22"/>
      <c r="L4325" s="22"/>
      <c r="M4325" s="22"/>
      <c r="N4325" s="22"/>
      <c r="O4325" s="22"/>
      <c r="P4325" s="22"/>
      <c r="Q4325" s="22"/>
      <c r="R4325" s="22"/>
      <c r="S4325" s="22"/>
      <c r="T4325" s="22"/>
      <c r="U4325" s="22"/>
      <c r="V4325" s="22"/>
      <c r="W4325" s="22"/>
      <c r="X4325" s="22"/>
    </row>
    <row r="4326" spans="1:24" x14ac:dyDescent="0.25">
      <c r="A4326" s="22"/>
      <c r="B4326" s="22"/>
      <c r="C4326" s="22"/>
      <c r="D4326" s="22"/>
      <c r="E4326" s="22"/>
      <c r="F4326" s="22"/>
      <c r="G4326" s="22"/>
      <c r="H4326" s="22"/>
      <c r="I4326" s="22"/>
      <c r="J4326" s="22"/>
      <c r="K4326" s="22"/>
      <c r="L4326" s="22"/>
      <c r="M4326" s="22"/>
      <c r="N4326" s="22"/>
      <c r="O4326" s="22"/>
      <c r="P4326" s="22"/>
      <c r="Q4326" s="22"/>
      <c r="R4326" s="22"/>
      <c r="S4326" s="22"/>
      <c r="T4326" s="22"/>
      <c r="U4326" s="22"/>
      <c r="V4326" s="22"/>
      <c r="W4326" s="22"/>
      <c r="X4326" s="22"/>
    </row>
    <row r="4327" spans="1:24" x14ac:dyDescent="0.25">
      <c r="A4327" s="22"/>
      <c r="B4327" s="22"/>
      <c r="C4327" s="22"/>
      <c r="D4327" s="22"/>
      <c r="E4327" s="22"/>
      <c r="F4327" s="22"/>
      <c r="G4327" s="22"/>
      <c r="H4327" s="22"/>
      <c r="I4327" s="22"/>
      <c r="J4327" s="22"/>
      <c r="K4327" s="22"/>
      <c r="L4327" s="22"/>
      <c r="M4327" s="22"/>
      <c r="N4327" s="22"/>
      <c r="O4327" s="22"/>
      <c r="P4327" s="22"/>
      <c r="Q4327" s="22"/>
      <c r="R4327" s="22"/>
      <c r="S4327" s="22"/>
      <c r="T4327" s="22"/>
      <c r="U4327" s="22"/>
      <c r="V4327" s="22"/>
      <c r="W4327" s="22"/>
      <c r="X4327" s="22"/>
    </row>
    <row r="4328" spans="1:24" x14ac:dyDescent="0.25">
      <c r="A4328" s="22"/>
      <c r="B4328" s="22"/>
      <c r="C4328" s="22"/>
      <c r="D4328" s="22"/>
      <c r="E4328" s="22"/>
      <c r="F4328" s="22"/>
      <c r="G4328" s="22"/>
      <c r="H4328" s="22"/>
      <c r="I4328" s="22"/>
      <c r="J4328" s="22"/>
      <c r="K4328" s="22"/>
      <c r="L4328" s="22"/>
      <c r="M4328" s="22"/>
      <c r="N4328" s="22"/>
      <c r="O4328" s="22"/>
      <c r="P4328" s="22"/>
      <c r="Q4328" s="22"/>
      <c r="R4328" s="22"/>
      <c r="S4328" s="22"/>
      <c r="T4328" s="22"/>
      <c r="U4328" s="22"/>
      <c r="V4328" s="22"/>
      <c r="W4328" s="22"/>
      <c r="X4328" s="22"/>
    </row>
    <row r="4329" spans="1:24" x14ac:dyDescent="0.25">
      <c r="A4329" s="22"/>
      <c r="B4329" s="22"/>
      <c r="C4329" s="22"/>
      <c r="D4329" s="22"/>
      <c r="E4329" s="22"/>
      <c r="F4329" s="22"/>
      <c r="G4329" s="22"/>
      <c r="H4329" s="22"/>
      <c r="I4329" s="22"/>
      <c r="J4329" s="22"/>
      <c r="K4329" s="22"/>
      <c r="L4329" s="22"/>
      <c r="M4329" s="22"/>
      <c r="N4329" s="22"/>
      <c r="O4329" s="22"/>
      <c r="P4329" s="22"/>
      <c r="Q4329" s="22"/>
      <c r="R4329" s="22"/>
      <c r="S4329" s="22"/>
      <c r="T4329" s="22"/>
      <c r="U4329" s="22"/>
      <c r="V4329" s="22"/>
      <c r="W4329" s="22"/>
      <c r="X4329" s="22"/>
    </row>
    <row r="4330" spans="1:24" x14ac:dyDescent="0.25">
      <c r="A4330" s="22"/>
      <c r="B4330" s="22"/>
      <c r="C4330" s="22"/>
      <c r="D4330" s="22"/>
      <c r="E4330" s="22"/>
      <c r="F4330" s="22"/>
      <c r="G4330" s="22"/>
      <c r="H4330" s="22"/>
      <c r="I4330" s="22"/>
      <c r="J4330" s="22"/>
      <c r="K4330" s="22"/>
      <c r="L4330" s="22"/>
      <c r="M4330" s="22"/>
      <c r="N4330" s="22"/>
      <c r="O4330" s="22"/>
      <c r="P4330" s="22"/>
      <c r="Q4330" s="22"/>
      <c r="R4330" s="22"/>
      <c r="S4330" s="22"/>
      <c r="T4330" s="22"/>
      <c r="U4330" s="22"/>
      <c r="V4330" s="22"/>
      <c r="W4330" s="22"/>
      <c r="X4330" s="22"/>
    </row>
    <row r="4331" spans="1:24" x14ac:dyDescent="0.25">
      <c r="A4331" s="22"/>
      <c r="B4331" s="22"/>
      <c r="C4331" s="22"/>
      <c r="D4331" s="22"/>
      <c r="E4331" s="22"/>
      <c r="F4331" s="22"/>
      <c r="G4331" s="22"/>
      <c r="H4331" s="22"/>
      <c r="I4331" s="22"/>
      <c r="J4331" s="22"/>
      <c r="K4331" s="22"/>
      <c r="L4331" s="22"/>
      <c r="M4331" s="22"/>
      <c r="N4331" s="22"/>
      <c r="O4331" s="22"/>
      <c r="P4331" s="22"/>
      <c r="Q4331" s="22"/>
      <c r="R4331" s="22"/>
      <c r="S4331" s="22"/>
      <c r="T4331" s="22"/>
      <c r="U4331" s="22"/>
      <c r="V4331" s="22"/>
      <c r="W4331" s="22"/>
      <c r="X4331" s="22"/>
    </row>
    <row r="4332" spans="1:24" x14ac:dyDescent="0.25">
      <c r="A4332" s="22"/>
      <c r="B4332" s="22"/>
      <c r="C4332" s="22"/>
      <c r="D4332" s="22"/>
      <c r="E4332" s="22"/>
      <c r="F4332" s="22"/>
      <c r="G4332" s="22"/>
      <c r="H4332" s="22"/>
      <c r="I4332" s="22"/>
      <c r="J4332" s="22"/>
      <c r="K4332" s="22"/>
      <c r="L4332" s="22"/>
      <c r="M4332" s="22"/>
      <c r="N4332" s="22"/>
      <c r="O4332" s="22"/>
      <c r="P4332" s="22"/>
      <c r="Q4332" s="22"/>
      <c r="R4332" s="22"/>
      <c r="S4332" s="22"/>
      <c r="T4332" s="22"/>
      <c r="U4332" s="22"/>
      <c r="V4332" s="22"/>
      <c r="W4332" s="22"/>
      <c r="X4332" s="22"/>
    </row>
    <row r="4333" spans="1:24" x14ac:dyDescent="0.25">
      <c r="A4333" s="22"/>
      <c r="B4333" s="22"/>
      <c r="C4333" s="22"/>
      <c r="D4333" s="22"/>
      <c r="E4333" s="22"/>
      <c r="F4333" s="22"/>
      <c r="G4333" s="22"/>
      <c r="H4333" s="22"/>
      <c r="I4333" s="22"/>
      <c r="J4333" s="22"/>
      <c r="K4333" s="22"/>
      <c r="L4333" s="22"/>
      <c r="M4333" s="22"/>
      <c r="N4333" s="22"/>
      <c r="O4333" s="22"/>
      <c r="P4333" s="22"/>
      <c r="Q4333" s="22"/>
      <c r="R4333" s="22"/>
      <c r="S4333" s="22"/>
      <c r="T4333" s="22"/>
      <c r="U4333" s="22"/>
      <c r="V4333" s="22"/>
      <c r="W4333" s="22"/>
      <c r="X4333" s="22"/>
    </row>
    <row r="4334" spans="1:24" x14ac:dyDescent="0.25">
      <c r="A4334" s="22"/>
      <c r="B4334" s="22"/>
      <c r="C4334" s="22"/>
      <c r="D4334" s="22"/>
      <c r="E4334" s="22"/>
      <c r="F4334" s="22"/>
      <c r="G4334" s="22"/>
      <c r="H4334" s="22"/>
      <c r="I4334" s="22"/>
      <c r="J4334" s="22"/>
      <c r="K4334" s="22"/>
      <c r="L4334" s="22"/>
      <c r="M4334" s="22"/>
      <c r="N4334" s="22"/>
      <c r="O4334" s="22"/>
      <c r="P4334" s="22"/>
      <c r="Q4334" s="22"/>
      <c r="R4334" s="22"/>
      <c r="S4334" s="22"/>
      <c r="T4334" s="22"/>
      <c r="U4334" s="22"/>
      <c r="V4334" s="22"/>
      <c r="W4334" s="22"/>
      <c r="X4334" s="22"/>
    </row>
    <row r="4335" spans="1:24" x14ac:dyDescent="0.25">
      <c r="A4335" s="22"/>
      <c r="B4335" s="22"/>
      <c r="C4335" s="22"/>
      <c r="D4335" s="22"/>
      <c r="E4335" s="22"/>
      <c r="F4335" s="22"/>
      <c r="G4335" s="22"/>
      <c r="H4335" s="22"/>
      <c r="I4335" s="22"/>
      <c r="J4335" s="22"/>
      <c r="K4335" s="22"/>
      <c r="L4335" s="22"/>
      <c r="M4335" s="22"/>
      <c r="N4335" s="22"/>
      <c r="O4335" s="22"/>
      <c r="P4335" s="22"/>
      <c r="Q4335" s="22"/>
      <c r="R4335" s="22"/>
      <c r="S4335" s="22"/>
      <c r="T4335" s="22"/>
      <c r="U4335" s="22"/>
      <c r="V4335" s="22"/>
      <c r="W4335" s="22"/>
      <c r="X4335" s="22"/>
    </row>
    <row r="4336" spans="1:24" x14ac:dyDescent="0.25">
      <c r="A4336" s="22"/>
      <c r="B4336" s="22"/>
      <c r="C4336" s="22"/>
      <c r="D4336" s="22"/>
      <c r="E4336" s="22"/>
      <c r="F4336" s="22"/>
      <c r="G4336" s="22"/>
      <c r="H4336" s="22"/>
      <c r="I4336" s="22"/>
      <c r="J4336" s="22"/>
      <c r="K4336" s="22"/>
      <c r="L4336" s="22"/>
      <c r="M4336" s="22"/>
      <c r="N4336" s="22"/>
      <c r="O4336" s="22"/>
      <c r="P4336" s="22"/>
      <c r="Q4336" s="22"/>
      <c r="R4336" s="22"/>
      <c r="S4336" s="22"/>
      <c r="T4336" s="22"/>
      <c r="U4336" s="22"/>
      <c r="V4336" s="22"/>
      <c r="W4336" s="22"/>
      <c r="X4336" s="22"/>
    </row>
    <row r="4337" spans="1:24" x14ac:dyDescent="0.25">
      <c r="A4337" s="22"/>
      <c r="B4337" s="22"/>
      <c r="C4337" s="22"/>
      <c r="D4337" s="22"/>
      <c r="E4337" s="22"/>
      <c r="F4337" s="22"/>
      <c r="G4337" s="22"/>
      <c r="H4337" s="22"/>
      <c r="I4337" s="22"/>
      <c r="J4337" s="22"/>
      <c r="K4337" s="22"/>
      <c r="L4337" s="22"/>
      <c r="M4337" s="22"/>
      <c r="N4337" s="22"/>
      <c r="O4337" s="22"/>
      <c r="P4337" s="22"/>
      <c r="Q4337" s="22"/>
      <c r="R4337" s="22"/>
      <c r="S4337" s="22"/>
      <c r="T4337" s="22"/>
      <c r="U4337" s="22"/>
      <c r="V4337" s="22"/>
      <c r="W4337" s="22"/>
      <c r="X4337" s="22"/>
    </row>
    <row r="4338" spans="1:24" x14ac:dyDescent="0.25">
      <c r="A4338" s="22"/>
      <c r="B4338" s="22"/>
      <c r="C4338" s="22"/>
      <c r="D4338" s="22"/>
      <c r="E4338" s="22"/>
      <c r="F4338" s="22"/>
      <c r="G4338" s="22"/>
      <c r="H4338" s="22"/>
      <c r="I4338" s="22"/>
      <c r="J4338" s="22"/>
      <c r="K4338" s="22"/>
      <c r="L4338" s="22"/>
      <c r="M4338" s="22"/>
      <c r="N4338" s="22"/>
      <c r="O4338" s="22"/>
      <c r="P4338" s="22"/>
      <c r="Q4338" s="22"/>
      <c r="R4338" s="22"/>
      <c r="S4338" s="22"/>
      <c r="T4338" s="22"/>
      <c r="U4338" s="22"/>
      <c r="V4338" s="22"/>
      <c r="W4338" s="22"/>
      <c r="X4338" s="22"/>
    </row>
    <row r="4339" spans="1:24" x14ac:dyDescent="0.25">
      <c r="A4339" s="22"/>
      <c r="B4339" s="22"/>
      <c r="C4339" s="22"/>
      <c r="D4339" s="22"/>
      <c r="E4339" s="22"/>
      <c r="F4339" s="22"/>
      <c r="G4339" s="22"/>
      <c r="H4339" s="22"/>
      <c r="I4339" s="22"/>
      <c r="J4339" s="22"/>
      <c r="K4339" s="22"/>
      <c r="L4339" s="22"/>
      <c r="M4339" s="22"/>
      <c r="N4339" s="22"/>
      <c r="O4339" s="22"/>
      <c r="P4339" s="22"/>
      <c r="Q4339" s="22"/>
      <c r="R4339" s="22"/>
      <c r="S4339" s="22"/>
      <c r="T4339" s="22"/>
      <c r="U4339" s="22"/>
      <c r="V4339" s="22"/>
      <c r="W4339" s="22"/>
      <c r="X4339" s="22"/>
    </row>
    <row r="4340" spans="1:24" x14ac:dyDescent="0.25">
      <c r="A4340" s="22"/>
      <c r="B4340" s="22"/>
      <c r="C4340" s="22"/>
      <c r="D4340" s="22"/>
      <c r="E4340" s="22"/>
      <c r="F4340" s="22"/>
      <c r="G4340" s="22"/>
      <c r="H4340" s="22"/>
      <c r="I4340" s="22"/>
      <c r="J4340" s="22"/>
      <c r="K4340" s="22"/>
      <c r="L4340" s="22"/>
      <c r="M4340" s="22"/>
      <c r="N4340" s="22"/>
      <c r="O4340" s="22"/>
      <c r="P4340" s="22"/>
      <c r="Q4340" s="22"/>
      <c r="R4340" s="22"/>
      <c r="S4340" s="22"/>
      <c r="T4340" s="22"/>
      <c r="U4340" s="22"/>
      <c r="V4340" s="22"/>
      <c r="W4340" s="22"/>
      <c r="X4340" s="22"/>
    </row>
    <row r="4341" spans="1:24" x14ac:dyDescent="0.25">
      <c r="A4341" s="22"/>
      <c r="B4341" s="22"/>
      <c r="C4341" s="22"/>
      <c r="D4341" s="22"/>
      <c r="E4341" s="22"/>
      <c r="F4341" s="22"/>
      <c r="G4341" s="22"/>
      <c r="H4341" s="22"/>
      <c r="I4341" s="22"/>
      <c r="J4341" s="22"/>
      <c r="K4341" s="22"/>
      <c r="L4341" s="22"/>
      <c r="M4341" s="22"/>
      <c r="N4341" s="22"/>
      <c r="O4341" s="22"/>
      <c r="P4341" s="22"/>
      <c r="Q4341" s="22"/>
      <c r="R4341" s="22"/>
      <c r="S4341" s="22"/>
      <c r="T4341" s="22"/>
      <c r="U4341" s="22"/>
      <c r="V4341" s="22"/>
      <c r="W4341" s="22"/>
      <c r="X4341" s="22"/>
    </row>
    <row r="4342" spans="1:24" x14ac:dyDescent="0.25">
      <c r="A4342" s="22"/>
      <c r="B4342" s="22"/>
      <c r="C4342" s="22"/>
      <c r="D4342" s="22"/>
      <c r="E4342" s="22"/>
      <c r="F4342" s="22"/>
      <c r="G4342" s="22"/>
      <c r="H4342" s="22"/>
      <c r="I4342" s="22"/>
      <c r="J4342" s="22"/>
      <c r="K4342" s="22"/>
      <c r="L4342" s="22"/>
      <c r="M4342" s="22"/>
      <c r="N4342" s="22"/>
      <c r="O4342" s="22"/>
      <c r="P4342" s="22"/>
      <c r="Q4342" s="22"/>
      <c r="R4342" s="22"/>
      <c r="S4342" s="22"/>
      <c r="T4342" s="22"/>
      <c r="U4342" s="22"/>
      <c r="V4342" s="22"/>
      <c r="W4342" s="22"/>
      <c r="X4342" s="22"/>
    </row>
    <row r="4343" spans="1:24" x14ac:dyDescent="0.25">
      <c r="A4343" s="22"/>
      <c r="B4343" s="22"/>
      <c r="C4343" s="22"/>
      <c r="D4343" s="22"/>
      <c r="E4343" s="22"/>
      <c r="F4343" s="22"/>
      <c r="G4343" s="22"/>
      <c r="H4343" s="22"/>
      <c r="I4343" s="22"/>
      <c r="J4343" s="22"/>
      <c r="K4343" s="22"/>
      <c r="L4343" s="22"/>
      <c r="M4343" s="22"/>
      <c r="N4343" s="22"/>
      <c r="O4343" s="22"/>
      <c r="P4343" s="22"/>
      <c r="Q4343" s="22"/>
      <c r="R4343" s="22"/>
      <c r="S4343" s="22"/>
      <c r="T4343" s="22"/>
      <c r="U4343" s="22"/>
      <c r="V4343" s="22"/>
      <c r="W4343" s="22"/>
      <c r="X4343" s="22"/>
    </row>
    <row r="4344" spans="1:24" x14ac:dyDescent="0.25">
      <c r="A4344" s="22"/>
      <c r="B4344" s="22"/>
      <c r="C4344" s="22"/>
      <c r="D4344" s="22"/>
      <c r="E4344" s="22"/>
      <c r="F4344" s="22"/>
      <c r="G4344" s="22"/>
      <c r="H4344" s="22"/>
      <c r="I4344" s="22"/>
      <c r="J4344" s="22"/>
      <c r="K4344" s="22"/>
      <c r="L4344" s="22"/>
      <c r="M4344" s="22"/>
      <c r="N4344" s="22"/>
      <c r="O4344" s="22"/>
      <c r="P4344" s="22"/>
      <c r="Q4344" s="22"/>
      <c r="R4344" s="22"/>
      <c r="S4344" s="22"/>
      <c r="T4344" s="22"/>
      <c r="U4344" s="22"/>
      <c r="V4344" s="22"/>
      <c r="W4344" s="22"/>
      <c r="X4344" s="22"/>
    </row>
    <row r="4345" spans="1:24" x14ac:dyDescent="0.25">
      <c r="A4345" s="22"/>
      <c r="B4345" s="22"/>
      <c r="C4345" s="22"/>
      <c r="D4345" s="22"/>
      <c r="E4345" s="22"/>
      <c r="F4345" s="22"/>
      <c r="G4345" s="22"/>
      <c r="H4345" s="22"/>
      <c r="I4345" s="22"/>
      <c r="J4345" s="22"/>
      <c r="K4345" s="22"/>
      <c r="L4345" s="22"/>
      <c r="M4345" s="22"/>
      <c r="N4345" s="22"/>
      <c r="O4345" s="22"/>
      <c r="P4345" s="22"/>
      <c r="Q4345" s="22"/>
      <c r="R4345" s="22"/>
      <c r="S4345" s="22"/>
      <c r="T4345" s="22"/>
      <c r="U4345" s="22"/>
      <c r="V4345" s="22"/>
      <c r="W4345" s="22"/>
      <c r="X4345" s="22"/>
    </row>
    <row r="4346" spans="1:24" x14ac:dyDescent="0.25">
      <c r="A4346" s="22"/>
      <c r="B4346" s="22"/>
      <c r="C4346" s="22"/>
      <c r="D4346" s="22"/>
      <c r="E4346" s="22"/>
      <c r="F4346" s="22"/>
      <c r="G4346" s="22"/>
      <c r="H4346" s="22"/>
      <c r="I4346" s="22"/>
      <c r="J4346" s="22"/>
      <c r="K4346" s="22"/>
      <c r="L4346" s="22"/>
      <c r="M4346" s="22"/>
      <c r="N4346" s="22"/>
      <c r="O4346" s="22"/>
      <c r="P4346" s="22"/>
      <c r="Q4346" s="22"/>
      <c r="R4346" s="22"/>
      <c r="S4346" s="22"/>
      <c r="T4346" s="22"/>
      <c r="U4346" s="22"/>
      <c r="V4346" s="22"/>
      <c r="W4346" s="22"/>
      <c r="X4346" s="22"/>
    </row>
    <row r="4347" spans="1:24" x14ac:dyDescent="0.25">
      <c r="A4347" s="22"/>
      <c r="B4347" s="22"/>
      <c r="C4347" s="22"/>
      <c r="D4347" s="22"/>
      <c r="E4347" s="22"/>
      <c r="F4347" s="22"/>
      <c r="G4347" s="22"/>
      <c r="H4347" s="22"/>
      <c r="I4347" s="22"/>
      <c r="J4347" s="22"/>
      <c r="K4347" s="22"/>
      <c r="L4347" s="22"/>
      <c r="M4347" s="22"/>
      <c r="N4347" s="22"/>
      <c r="O4347" s="22"/>
      <c r="P4347" s="22"/>
      <c r="Q4347" s="22"/>
      <c r="R4347" s="22"/>
      <c r="S4347" s="22"/>
      <c r="T4347" s="22"/>
      <c r="U4347" s="22"/>
      <c r="V4347" s="22"/>
      <c r="W4347" s="22"/>
      <c r="X4347" s="22"/>
    </row>
    <row r="4348" spans="1:24" x14ac:dyDescent="0.25">
      <c r="A4348" s="22"/>
      <c r="B4348" s="22"/>
      <c r="C4348" s="22"/>
      <c r="D4348" s="22"/>
      <c r="E4348" s="22"/>
      <c r="F4348" s="22"/>
      <c r="G4348" s="22"/>
      <c r="H4348" s="22"/>
      <c r="I4348" s="22"/>
      <c r="J4348" s="22"/>
      <c r="K4348" s="22"/>
      <c r="L4348" s="22"/>
      <c r="M4348" s="22"/>
      <c r="N4348" s="22"/>
      <c r="O4348" s="22"/>
      <c r="P4348" s="22"/>
      <c r="Q4348" s="22"/>
      <c r="R4348" s="22"/>
      <c r="S4348" s="22"/>
      <c r="T4348" s="22"/>
      <c r="U4348" s="22"/>
      <c r="V4348" s="22"/>
      <c r="W4348" s="22"/>
      <c r="X4348" s="22"/>
    </row>
    <row r="4349" spans="1:24" x14ac:dyDescent="0.25">
      <c r="A4349" s="22"/>
      <c r="B4349" s="22"/>
      <c r="C4349" s="22"/>
      <c r="D4349" s="22"/>
      <c r="E4349" s="22"/>
      <c r="F4349" s="22"/>
      <c r="G4349" s="22"/>
      <c r="H4349" s="22"/>
      <c r="I4349" s="22"/>
      <c r="J4349" s="22"/>
      <c r="K4349" s="22"/>
      <c r="L4349" s="22"/>
      <c r="M4349" s="22"/>
      <c r="N4349" s="22"/>
      <c r="O4349" s="22"/>
      <c r="P4349" s="22"/>
      <c r="Q4349" s="22"/>
      <c r="R4349" s="22"/>
      <c r="S4349" s="22"/>
      <c r="T4349" s="22"/>
      <c r="U4349" s="22"/>
      <c r="V4349" s="22"/>
      <c r="W4349" s="22"/>
      <c r="X4349" s="22"/>
    </row>
    <row r="4350" spans="1:24" x14ac:dyDescent="0.25">
      <c r="A4350" s="22"/>
      <c r="B4350" s="22"/>
      <c r="C4350" s="22"/>
      <c r="D4350" s="22"/>
      <c r="E4350" s="22"/>
      <c r="F4350" s="22"/>
      <c r="G4350" s="22"/>
      <c r="H4350" s="22"/>
      <c r="I4350" s="22"/>
      <c r="J4350" s="22"/>
      <c r="K4350" s="22"/>
      <c r="L4350" s="22"/>
      <c r="M4350" s="22"/>
      <c r="N4350" s="22"/>
      <c r="O4350" s="22"/>
      <c r="P4350" s="22"/>
      <c r="Q4350" s="22"/>
      <c r="R4350" s="22"/>
      <c r="S4350" s="22"/>
      <c r="T4350" s="22"/>
      <c r="U4350" s="22"/>
      <c r="V4350" s="22"/>
      <c r="W4350" s="22"/>
      <c r="X4350" s="22"/>
    </row>
    <row r="4351" spans="1:24" x14ac:dyDescent="0.25">
      <c r="A4351" s="22"/>
      <c r="B4351" s="22"/>
      <c r="C4351" s="22"/>
      <c r="D4351" s="22"/>
      <c r="E4351" s="22"/>
      <c r="F4351" s="22"/>
      <c r="G4351" s="22"/>
      <c r="H4351" s="22"/>
      <c r="I4351" s="22"/>
      <c r="J4351" s="22"/>
      <c r="K4351" s="22"/>
      <c r="L4351" s="22"/>
      <c r="M4351" s="22"/>
      <c r="N4351" s="22"/>
      <c r="O4351" s="22"/>
      <c r="P4351" s="22"/>
      <c r="Q4351" s="22"/>
      <c r="R4351" s="22"/>
      <c r="S4351" s="22"/>
      <c r="T4351" s="22"/>
      <c r="U4351" s="22"/>
      <c r="V4351" s="22"/>
      <c r="W4351" s="22"/>
      <c r="X4351" s="22"/>
    </row>
    <row r="4352" spans="1:24" x14ac:dyDescent="0.25">
      <c r="A4352" s="22"/>
      <c r="B4352" s="22"/>
      <c r="C4352" s="22"/>
      <c r="D4352" s="22"/>
      <c r="E4352" s="22"/>
      <c r="F4352" s="22"/>
      <c r="G4352" s="22"/>
      <c r="H4352" s="22"/>
      <c r="I4352" s="22"/>
      <c r="J4352" s="22"/>
      <c r="K4352" s="22"/>
      <c r="L4352" s="22"/>
      <c r="M4352" s="22"/>
      <c r="N4352" s="22"/>
      <c r="O4352" s="22"/>
      <c r="P4352" s="22"/>
      <c r="Q4352" s="22"/>
      <c r="R4352" s="22"/>
      <c r="S4352" s="22"/>
      <c r="T4352" s="22"/>
      <c r="U4352" s="22"/>
      <c r="V4352" s="22"/>
      <c r="W4352" s="22"/>
      <c r="X4352" s="22"/>
    </row>
    <row r="4353" spans="1:24" x14ac:dyDescent="0.25">
      <c r="A4353" s="22"/>
      <c r="B4353" s="22"/>
      <c r="C4353" s="22"/>
      <c r="D4353" s="22"/>
      <c r="E4353" s="22"/>
      <c r="F4353" s="22"/>
      <c r="G4353" s="22"/>
      <c r="H4353" s="22"/>
      <c r="I4353" s="22"/>
      <c r="J4353" s="22"/>
      <c r="K4353" s="22"/>
      <c r="L4353" s="22"/>
      <c r="M4353" s="22"/>
      <c r="N4353" s="22"/>
      <c r="O4353" s="22"/>
      <c r="P4353" s="22"/>
      <c r="Q4353" s="22"/>
      <c r="R4353" s="22"/>
      <c r="S4353" s="22"/>
      <c r="T4353" s="22"/>
      <c r="U4353" s="22"/>
      <c r="V4353" s="22"/>
      <c r="W4353" s="22"/>
      <c r="X4353" s="22"/>
    </row>
    <row r="4354" spans="1:24" x14ac:dyDescent="0.25">
      <c r="A4354" s="22"/>
      <c r="B4354" s="22"/>
      <c r="C4354" s="22"/>
      <c r="D4354" s="22"/>
      <c r="E4354" s="22"/>
      <c r="F4354" s="22"/>
      <c r="G4354" s="22"/>
      <c r="H4354" s="22"/>
      <c r="I4354" s="22"/>
      <c r="J4354" s="22"/>
      <c r="K4354" s="22"/>
      <c r="L4354" s="22"/>
      <c r="M4354" s="22"/>
      <c r="N4354" s="22"/>
      <c r="O4354" s="22"/>
      <c r="P4354" s="22"/>
      <c r="Q4354" s="22"/>
      <c r="R4354" s="22"/>
      <c r="S4354" s="22"/>
      <c r="T4354" s="22"/>
      <c r="U4354" s="22"/>
      <c r="V4354" s="22"/>
      <c r="W4354" s="22"/>
      <c r="X4354" s="22"/>
    </row>
    <row r="4355" spans="1:24" x14ac:dyDescent="0.25">
      <c r="A4355" s="22"/>
      <c r="B4355" s="22"/>
      <c r="C4355" s="22"/>
      <c r="D4355" s="22"/>
      <c r="E4355" s="22"/>
      <c r="F4355" s="22"/>
      <c r="G4355" s="22"/>
      <c r="H4355" s="22"/>
      <c r="I4355" s="22"/>
      <c r="J4355" s="22"/>
      <c r="K4355" s="22"/>
      <c r="L4355" s="22"/>
      <c r="M4355" s="22"/>
      <c r="N4355" s="22"/>
      <c r="O4355" s="22"/>
      <c r="P4355" s="22"/>
      <c r="Q4355" s="22"/>
      <c r="R4355" s="22"/>
      <c r="S4355" s="22"/>
      <c r="T4355" s="22"/>
      <c r="U4355" s="22"/>
      <c r="V4355" s="22"/>
      <c r="W4355" s="22"/>
      <c r="X4355" s="22"/>
    </row>
    <row r="4356" spans="1:24" x14ac:dyDescent="0.25">
      <c r="A4356" s="22"/>
      <c r="B4356" s="22"/>
      <c r="C4356" s="22"/>
      <c r="D4356" s="22"/>
      <c r="E4356" s="22"/>
      <c r="F4356" s="22"/>
      <c r="G4356" s="22"/>
      <c r="H4356" s="22"/>
      <c r="I4356" s="22"/>
      <c r="J4356" s="22"/>
      <c r="K4356" s="22"/>
      <c r="L4356" s="22"/>
      <c r="M4356" s="22"/>
      <c r="N4356" s="22"/>
      <c r="O4356" s="22"/>
      <c r="P4356" s="22"/>
      <c r="Q4356" s="22"/>
      <c r="R4356" s="22"/>
      <c r="S4356" s="22"/>
      <c r="T4356" s="22"/>
      <c r="U4356" s="22"/>
      <c r="V4356" s="22"/>
      <c r="W4356" s="22"/>
      <c r="X4356" s="22"/>
    </row>
    <row r="4357" spans="1:24" x14ac:dyDescent="0.25">
      <c r="A4357" s="22"/>
      <c r="B4357" s="22"/>
      <c r="C4357" s="22"/>
      <c r="D4357" s="22"/>
      <c r="E4357" s="22"/>
      <c r="F4357" s="22"/>
      <c r="G4357" s="22"/>
      <c r="H4357" s="22"/>
      <c r="I4357" s="22"/>
      <c r="J4357" s="22"/>
      <c r="K4357" s="22"/>
      <c r="L4357" s="22"/>
      <c r="M4357" s="22"/>
      <c r="N4357" s="22"/>
      <c r="O4357" s="22"/>
      <c r="P4357" s="22"/>
      <c r="Q4357" s="22"/>
      <c r="R4357" s="22"/>
      <c r="S4357" s="22"/>
      <c r="T4357" s="22"/>
      <c r="U4357" s="22"/>
      <c r="V4357" s="22"/>
      <c r="W4357" s="22"/>
      <c r="X4357" s="22"/>
    </row>
    <row r="4358" spans="1:24" x14ac:dyDescent="0.25">
      <c r="A4358" s="22"/>
      <c r="B4358" s="22"/>
      <c r="C4358" s="22"/>
      <c r="D4358" s="22"/>
      <c r="E4358" s="22"/>
      <c r="F4358" s="22"/>
      <c r="G4358" s="22"/>
      <c r="H4358" s="22"/>
      <c r="I4358" s="22"/>
      <c r="J4358" s="22"/>
      <c r="K4358" s="22"/>
      <c r="L4358" s="22"/>
      <c r="M4358" s="22"/>
      <c r="N4358" s="22"/>
      <c r="O4358" s="22"/>
      <c r="P4358" s="22"/>
      <c r="Q4358" s="22"/>
      <c r="R4358" s="22"/>
      <c r="S4358" s="22"/>
      <c r="T4358" s="22"/>
      <c r="U4358" s="22"/>
      <c r="V4358" s="22"/>
      <c r="W4358" s="22"/>
      <c r="X4358" s="22"/>
    </row>
    <row r="4359" spans="1:24" x14ac:dyDescent="0.25">
      <c r="A4359" s="22"/>
      <c r="B4359" s="22"/>
      <c r="C4359" s="22"/>
      <c r="D4359" s="22"/>
      <c r="E4359" s="22"/>
      <c r="F4359" s="22"/>
      <c r="G4359" s="22"/>
      <c r="H4359" s="22"/>
      <c r="I4359" s="22"/>
      <c r="J4359" s="22"/>
      <c r="K4359" s="22"/>
      <c r="L4359" s="22"/>
      <c r="M4359" s="22"/>
      <c r="N4359" s="22"/>
      <c r="O4359" s="22"/>
      <c r="P4359" s="22"/>
      <c r="Q4359" s="22"/>
      <c r="R4359" s="22"/>
      <c r="S4359" s="22"/>
      <c r="T4359" s="22"/>
      <c r="U4359" s="22"/>
      <c r="V4359" s="22"/>
      <c r="W4359" s="22"/>
      <c r="X4359" s="22"/>
    </row>
    <row r="4360" spans="1:24" x14ac:dyDescent="0.25">
      <c r="A4360" s="22"/>
      <c r="B4360" s="22"/>
      <c r="C4360" s="22"/>
      <c r="D4360" s="22"/>
      <c r="E4360" s="22"/>
      <c r="F4360" s="22"/>
      <c r="G4360" s="22"/>
      <c r="H4360" s="22"/>
      <c r="I4360" s="22"/>
      <c r="J4360" s="22"/>
      <c r="K4360" s="22"/>
      <c r="L4360" s="22"/>
      <c r="M4360" s="22"/>
      <c r="N4360" s="22"/>
      <c r="O4360" s="22"/>
      <c r="P4360" s="22"/>
      <c r="Q4360" s="22"/>
      <c r="R4360" s="22"/>
      <c r="S4360" s="22"/>
      <c r="T4360" s="22"/>
      <c r="U4360" s="22"/>
      <c r="V4360" s="22"/>
      <c r="W4360" s="22"/>
      <c r="X4360" s="22"/>
    </row>
    <row r="4361" spans="1:24" x14ac:dyDescent="0.25">
      <c r="A4361" s="22"/>
      <c r="B4361" s="22"/>
      <c r="C4361" s="22"/>
      <c r="D4361" s="22"/>
      <c r="E4361" s="22"/>
      <c r="F4361" s="22"/>
      <c r="G4361" s="22"/>
      <c r="H4361" s="22"/>
      <c r="I4361" s="22"/>
      <c r="J4361" s="22"/>
      <c r="K4361" s="22"/>
      <c r="L4361" s="22"/>
      <c r="M4361" s="22"/>
      <c r="N4361" s="22"/>
      <c r="O4361" s="22"/>
      <c r="P4361" s="22"/>
      <c r="Q4361" s="22"/>
      <c r="R4361" s="22"/>
      <c r="S4361" s="22"/>
      <c r="T4361" s="22"/>
      <c r="U4361" s="22"/>
      <c r="V4361" s="22"/>
      <c r="W4361" s="22"/>
      <c r="X4361" s="22"/>
    </row>
    <row r="4362" spans="1:24" x14ac:dyDescent="0.25">
      <c r="A4362" s="22"/>
      <c r="B4362" s="22"/>
      <c r="C4362" s="22"/>
      <c r="D4362" s="22"/>
      <c r="E4362" s="22"/>
      <c r="F4362" s="22"/>
      <c r="G4362" s="22"/>
      <c r="H4362" s="22"/>
      <c r="I4362" s="22"/>
      <c r="J4362" s="22"/>
      <c r="K4362" s="22"/>
      <c r="L4362" s="22"/>
      <c r="M4362" s="22"/>
      <c r="N4362" s="22"/>
      <c r="O4362" s="22"/>
      <c r="P4362" s="22"/>
      <c r="Q4362" s="22"/>
      <c r="R4362" s="22"/>
      <c r="S4362" s="22"/>
      <c r="T4362" s="22"/>
      <c r="U4362" s="22"/>
      <c r="V4362" s="22"/>
      <c r="W4362" s="22"/>
      <c r="X4362" s="22"/>
    </row>
    <row r="4363" spans="1:24" x14ac:dyDescent="0.25">
      <c r="A4363" s="22"/>
      <c r="B4363" s="22"/>
      <c r="C4363" s="22"/>
      <c r="D4363" s="22"/>
      <c r="E4363" s="22"/>
      <c r="F4363" s="22"/>
      <c r="G4363" s="22"/>
      <c r="H4363" s="22"/>
      <c r="I4363" s="22"/>
      <c r="J4363" s="22"/>
      <c r="K4363" s="22"/>
      <c r="L4363" s="22"/>
      <c r="M4363" s="22"/>
      <c r="N4363" s="22"/>
      <c r="O4363" s="22"/>
      <c r="P4363" s="22"/>
      <c r="Q4363" s="22"/>
      <c r="R4363" s="22"/>
      <c r="S4363" s="22"/>
      <c r="T4363" s="22"/>
      <c r="U4363" s="22"/>
      <c r="V4363" s="22"/>
      <c r="W4363" s="22"/>
      <c r="X4363" s="22"/>
    </row>
    <row r="4364" spans="1:24" x14ac:dyDescent="0.25">
      <c r="A4364" s="22"/>
      <c r="B4364" s="22"/>
      <c r="C4364" s="22"/>
      <c r="D4364" s="22"/>
      <c r="E4364" s="22"/>
      <c r="F4364" s="22"/>
      <c r="G4364" s="22"/>
      <c r="H4364" s="22"/>
      <c r="I4364" s="22"/>
      <c r="J4364" s="22"/>
      <c r="K4364" s="22"/>
      <c r="L4364" s="22"/>
      <c r="M4364" s="22"/>
      <c r="N4364" s="22"/>
      <c r="O4364" s="22"/>
      <c r="P4364" s="22"/>
      <c r="Q4364" s="22"/>
      <c r="R4364" s="22"/>
      <c r="S4364" s="22"/>
      <c r="T4364" s="22"/>
      <c r="U4364" s="22"/>
      <c r="V4364" s="22"/>
      <c r="W4364" s="22"/>
      <c r="X4364" s="22"/>
    </row>
    <row r="4365" spans="1:24" x14ac:dyDescent="0.25">
      <c r="A4365" s="22"/>
      <c r="B4365" s="22"/>
      <c r="C4365" s="22"/>
      <c r="D4365" s="22"/>
      <c r="E4365" s="22"/>
      <c r="F4365" s="22"/>
      <c r="G4365" s="22"/>
      <c r="H4365" s="22"/>
      <c r="I4365" s="22"/>
      <c r="J4365" s="22"/>
      <c r="K4365" s="22"/>
      <c r="L4365" s="22"/>
      <c r="M4365" s="22"/>
      <c r="N4365" s="22"/>
      <c r="O4365" s="22"/>
      <c r="P4365" s="22"/>
      <c r="Q4365" s="22"/>
      <c r="R4365" s="22"/>
      <c r="S4365" s="22"/>
      <c r="T4365" s="22"/>
      <c r="U4365" s="22"/>
      <c r="V4365" s="22"/>
      <c r="W4365" s="22"/>
      <c r="X4365" s="22"/>
    </row>
    <row r="4366" spans="1:24" x14ac:dyDescent="0.25">
      <c r="A4366" s="22"/>
      <c r="B4366" s="22"/>
      <c r="C4366" s="22"/>
      <c r="D4366" s="22"/>
      <c r="E4366" s="22"/>
      <c r="F4366" s="22"/>
      <c r="G4366" s="22"/>
      <c r="H4366" s="22"/>
      <c r="I4366" s="22"/>
      <c r="J4366" s="22"/>
      <c r="K4366" s="22"/>
      <c r="L4366" s="22"/>
      <c r="M4366" s="22"/>
      <c r="N4366" s="22"/>
      <c r="O4366" s="22"/>
      <c r="P4366" s="22"/>
      <c r="Q4366" s="22"/>
      <c r="R4366" s="22"/>
      <c r="S4366" s="22"/>
      <c r="T4366" s="22"/>
      <c r="U4366" s="22"/>
      <c r="V4366" s="22"/>
      <c r="W4366" s="22"/>
      <c r="X4366" s="22"/>
    </row>
    <row r="4367" spans="1:24" x14ac:dyDescent="0.25">
      <c r="A4367" s="22"/>
      <c r="B4367" s="22"/>
      <c r="C4367" s="22"/>
      <c r="D4367" s="22"/>
      <c r="E4367" s="22"/>
      <c r="F4367" s="22"/>
      <c r="G4367" s="22"/>
      <c r="H4367" s="22"/>
      <c r="I4367" s="22"/>
      <c r="J4367" s="22"/>
      <c r="K4367" s="22"/>
      <c r="L4367" s="22"/>
      <c r="M4367" s="22"/>
      <c r="N4367" s="22"/>
      <c r="O4367" s="22"/>
      <c r="P4367" s="22"/>
      <c r="Q4367" s="22"/>
      <c r="R4367" s="22"/>
      <c r="S4367" s="22"/>
      <c r="T4367" s="22"/>
      <c r="U4367" s="22"/>
      <c r="V4367" s="22"/>
      <c r="W4367" s="22"/>
      <c r="X4367" s="22"/>
    </row>
    <row r="4368" spans="1:24" x14ac:dyDescent="0.25">
      <c r="A4368" s="22"/>
      <c r="B4368" s="22"/>
      <c r="C4368" s="22"/>
      <c r="D4368" s="22"/>
      <c r="E4368" s="22"/>
      <c r="F4368" s="22"/>
      <c r="G4368" s="22"/>
      <c r="H4368" s="22"/>
      <c r="I4368" s="22"/>
      <c r="J4368" s="22"/>
      <c r="K4368" s="22"/>
      <c r="L4368" s="22"/>
      <c r="M4368" s="22"/>
      <c r="N4368" s="22"/>
      <c r="O4368" s="22"/>
      <c r="P4368" s="22"/>
      <c r="Q4368" s="22"/>
      <c r="R4368" s="22"/>
      <c r="S4368" s="22"/>
      <c r="T4368" s="22"/>
      <c r="U4368" s="22"/>
      <c r="V4368" s="22"/>
      <c r="W4368" s="22"/>
      <c r="X4368" s="22"/>
    </row>
    <row r="4369" spans="1:24" x14ac:dyDescent="0.25">
      <c r="A4369" s="22"/>
      <c r="B4369" s="22"/>
      <c r="C4369" s="22"/>
      <c r="D4369" s="22"/>
      <c r="E4369" s="22"/>
      <c r="F4369" s="22"/>
      <c r="G4369" s="22"/>
      <c r="H4369" s="22"/>
      <c r="I4369" s="22"/>
      <c r="J4369" s="22"/>
      <c r="K4369" s="22"/>
      <c r="L4369" s="22"/>
      <c r="M4369" s="22"/>
      <c r="N4369" s="22"/>
      <c r="O4369" s="22"/>
      <c r="P4369" s="22"/>
      <c r="Q4369" s="22"/>
      <c r="R4369" s="22"/>
      <c r="S4369" s="22"/>
      <c r="T4369" s="22"/>
      <c r="U4369" s="22"/>
      <c r="V4369" s="22"/>
      <c r="W4369" s="22"/>
      <c r="X4369" s="22"/>
    </row>
    <row r="4370" spans="1:24" x14ac:dyDescent="0.25">
      <c r="A4370" s="22"/>
      <c r="B4370" s="22"/>
      <c r="C4370" s="22"/>
      <c r="D4370" s="22"/>
      <c r="E4370" s="22"/>
      <c r="F4370" s="22"/>
      <c r="G4370" s="22"/>
      <c r="H4370" s="22"/>
      <c r="I4370" s="22"/>
      <c r="J4370" s="22"/>
      <c r="K4370" s="22"/>
      <c r="L4370" s="22"/>
      <c r="M4370" s="22"/>
      <c r="N4370" s="22"/>
      <c r="O4370" s="22"/>
      <c r="P4370" s="22"/>
      <c r="Q4370" s="22"/>
      <c r="R4370" s="22"/>
      <c r="S4370" s="22"/>
      <c r="T4370" s="22"/>
      <c r="U4370" s="22"/>
      <c r="V4370" s="22"/>
      <c r="W4370" s="22"/>
      <c r="X4370" s="22"/>
    </row>
    <row r="4371" spans="1:24" x14ac:dyDescent="0.25">
      <c r="A4371" s="22"/>
      <c r="B4371" s="22"/>
      <c r="C4371" s="22"/>
      <c r="D4371" s="22"/>
      <c r="E4371" s="22"/>
      <c r="F4371" s="22"/>
      <c r="G4371" s="22"/>
      <c r="H4371" s="22"/>
      <c r="I4371" s="22"/>
      <c r="J4371" s="22"/>
      <c r="K4371" s="22"/>
      <c r="L4371" s="22"/>
      <c r="M4371" s="22"/>
      <c r="N4371" s="22"/>
      <c r="O4371" s="22"/>
      <c r="P4371" s="22"/>
      <c r="Q4371" s="22"/>
      <c r="R4371" s="22"/>
      <c r="S4371" s="22"/>
      <c r="T4371" s="22"/>
      <c r="U4371" s="22"/>
      <c r="V4371" s="22"/>
      <c r="W4371" s="22"/>
      <c r="X4371" s="22"/>
    </row>
    <row r="4372" spans="1:24" x14ac:dyDescent="0.25">
      <c r="A4372" s="22"/>
      <c r="B4372" s="22"/>
      <c r="C4372" s="22"/>
      <c r="D4372" s="22"/>
      <c r="E4372" s="22"/>
      <c r="F4372" s="22"/>
      <c r="G4372" s="22"/>
      <c r="H4372" s="22"/>
      <c r="I4372" s="22"/>
      <c r="J4372" s="22"/>
      <c r="K4372" s="22"/>
      <c r="L4372" s="22"/>
      <c r="M4372" s="22"/>
      <c r="N4372" s="22"/>
      <c r="O4372" s="22"/>
      <c r="P4372" s="22"/>
      <c r="Q4372" s="22"/>
      <c r="R4372" s="22"/>
      <c r="S4372" s="22"/>
      <c r="T4372" s="22"/>
      <c r="U4372" s="22"/>
      <c r="V4372" s="22"/>
      <c r="W4372" s="22"/>
      <c r="X4372" s="22"/>
    </row>
    <row r="4373" spans="1:24" x14ac:dyDescent="0.25">
      <c r="A4373" s="22"/>
      <c r="B4373" s="22"/>
      <c r="C4373" s="22"/>
      <c r="D4373" s="22"/>
      <c r="E4373" s="22"/>
      <c r="F4373" s="22"/>
      <c r="G4373" s="22"/>
      <c r="H4373" s="22"/>
      <c r="I4373" s="22"/>
      <c r="J4373" s="22"/>
      <c r="K4373" s="22"/>
      <c r="L4373" s="22"/>
      <c r="M4373" s="22"/>
      <c r="N4373" s="22"/>
      <c r="O4373" s="22"/>
      <c r="P4373" s="22"/>
      <c r="Q4373" s="22"/>
      <c r="R4373" s="22"/>
      <c r="S4373" s="22"/>
      <c r="T4373" s="22"/>
      <c r="U4373" s="22"/>
      <c r="V4373" s="22"/>
      <c r="W4373" s="22"/>
      <c r="X4373" s="22"/>
    </row>
    <row r="4374" spans="1:24" x14ac:dyDescent="0.25">
      <c r="A4374" s="22"/>
      <c r="B4374" s="22"/>
      <c r="C4374" s="22"/>
      <c r="D4374" s="22"/>
      <c r="E4374" s="22"/>
      <c r="F4374" s="22"/>
      <c r="G4374" s="22"/>
      <c r="H4374" s="22"/>
      <c r="I4374" s="22"/>
      <c r="J4374" s="22"/>
      <c r="K4374" s="22"/>
      <c r="L4374" s="22"/>
      <c r="M4374" s="22"/>
      <c r="N4374" s="22"/>
      <c r="O4374" s="22"/>
      <c r="P4374" s="22"/>
      <c r="Q4374" s="22"/>
      <c r="R4374" s="22"/>
      <c r="S4374" s="22"/>
      <c r="T4374" s="22"/>
      <c r="U4374" s="22"/>
      <c r="V4374" s="22"/>
      <c r="W4374" s="22"/>
      <c r="X4374" s="22"/>
    </row>
    <row r="4375" spans="1:24" x14ac:dyDescent="0.25">
      <c r="A4375" s="22"/>
      <c r="B4375" s="22"/>
      <c r="C4375" s="22"/>
      <c r="D4375" s="22"/>
      <c r="E4375" s="22"/>
      <c r="F4375" s="22"/>
      <c r="G4375" s="22"/>
      <c r="H4375" s="22"/>
      <c r="I4375" s="22"/>
      <c r="J4375" s="22"/>
      <c r="K4375" s="22"/>
      <c r="L4375" s="22"/>
      <c r="M4375" s="22"/>
      <c r="N4375" s="22"/>
      <c r="O4375" s="22"/>
      <c r="P4375" s="22"/>
      <c r="Q4375" s="22"/>
      <c r="R4375" s="22"/>
      <c r="S4375" s="22"/>
      <c r="T4375" s="22"/>
      <c r="U4375" s="22"/>
      <c r="V4375" s="22"/>
      <c r="W4375" s="22"/>
      <c r="X4375" s="22"/>
    </row>
    <row r="4376" spans="1:24" x14ac:dyDescent="0.25">
      <c r="A4376" s="22"/>
      <c r="B4376" s="22"/>
      <c r="C4376" s="22"/>
      <c r="D4376" s="22"/>
      <c r="E4376" s="22"/>
      <c r="F4376" s="22"/>
      <c r="G4376" s="22"/>
      <c r="H4376" s="22"/>
      <c r="I4376" s="22"/>
      <c r="J4376" s="22"/>
      <c r="K4376" s="22"/>
      <c r="L4376" s="22"/>
      <c r="M4376" s="22"/>
      <c r="N4376" s="22"/>
      <c r="O4376" s="22"/>
      <c r="P4376" s="22"/>
      <c r="Q4376" s="22"/>
      <c r="R4376" s="22"/>
      <c r="S4376" s="22"/>
      <c r="T4376" s="22"/>
      <c r="U4376" s="22"/>
      <c r="V4376" s="22"/>
      <c r="W4376" s="22"/>
      <c r="X4376" s="22"/>
    </row>
    <row r="4377" spans="1:24" x14ac:dyDescent="0.25">
      <c r="A4377" s="22"/>
      <c r="B4377" s="22"/>
      <c r="C4377" s="22"/>
      <c r="D4377" s="22"/>
      <c r="E4377" s="22"/>
      <c r="F4377" s="22"/>
      <c r="G4377" s="22"/>
      <c r="H4377" s="22"/>
      <c r="I4377" s="22"/>
      <c r="J4377" s="22"/>
      <c r="K4377" s="22"/>
      <c r="L4377" s="22"/>
      <c r="M4377" s="22"/>
      <c r="N4377" s="22"/>
      <c r="O4377" s="22"/>
      <c r="P4377" s="22"/>
      <c r="Q4377" s="22"/>
      <c r="R4377" s="22"/>
      <c r="S4377" s="22"/>
      <c r="T4377" s="22"/>
      <c r="U4377" s="22"/>
      <c r="V4377" s="22"/>
      <c r="W4377" s="22"/>
      <c r="X4377" s="22"/>
    </row>
    <row r="4378" spans="1:24" x14ac:dyDescent="0.25">
      <c r="A4378" s="22"/>
      <c r="B4378" s="22"/>
      <c r="C4378" s="22"/>
      <c r="D4378" s="22"/>
      <c r="E4378" s="22"/>
      <c r="F4378" s="22"/>
      <c r="G4378" s="22"/>
      <c r="H4378" s="22"/>
      <c r="I4378" s="22"/>
      <c r="J4378" s="22"/>
      <c r="K4378" s="22"/>
      <c r="L4378" s="22"/>
      <c r="M4378" s="22"/>
      <c r="N4378" s="22"/>
      <c r="O4378" s="22"/>
      <c r="P4378" s="22"/>
      <c r="Q4378" s="22"/>
      <c r="R4378" s="22"/>
      <c r="S4378" s="22"/>
      <c r="T4378" s="22"/>
      <c r="U4378" s="22"/>
      <c r="V4378" s="22"/>
      <c r="W4378" s="22"/>
      <c r="X4378" s="22"/>
    </row>
    <row r="4379" spans="1:24" x14ac:dyDescent="0.25">
      <c r="A4379" s="22"/>
      <c r="B4379" s="22"/>
      <c r="C4379" s="22"/>
      <c r="D4379" s="22"/>
      <c r="E4379" s="22"/>
      <c r="F4379" s="22"/>
      <c r="G4379" s="22"/>
      <c r="H4379" s="22"/>
      <c r="I4379" s="22"/>
      <c r="J4379" s="22"/>
      <c r="K4379" s="22"/>
      <c r="L4379" s="22"/>
      <c r="M4379" s="22"/>
      <c r="N4379" s="22"/>
      <c r="O4379" s="22"/>
      <c r="P4379" s="22"/>
      <c r="Q4379" s="22"/>
      <c r="R4379" s="22"/>
      <c r="S4379" s="22"/>
      <c r="T4379" s="22"/>
      <c r="U4379" s="22"/>
      <c r="V4379" s="22"/>
      <c r="W4379" s="22"/>
      <c r="X4379" s="22"/>
    </row>
    <row r="4380" spans="1:24" x14ac:dyDescent="0.25">
      <c r="A4380" s="22"/>
      <c r="B4380" s="22"/>
      <c r="C4380" s="22"/>
      <c r="D4380" s="22"/>
      <c r="E4380" s="22"/>
      <c r="F4380" s="22"/>
      <c r="G4380" s="22"/>
      <c r="H4380" s="22"/>
      <c r="I4380" s="22"/>
      <c r="J4380" s="22"/>
      <c r="K4380" s="22"/>
      <c r="L4380" s="22"/>
      <c r="M4380" s="22"/>
      <c r="N4380" s="22"/>
      <c r="O4380" s="22"/>
      <c r="P4380" s="22"/>
      <c r="Q4380" s="22"/>
      <c r="R4380" s="22"/>
      <c r="S4380" s="22"/>
      <c r="T4380" s="22"/>
      <c r="U4380" s="22"/>
      <c r="V4380" s="22"/>
      <c r="W4380" s="22"/>
      <c r="X4380" s="22"/>
    </row>
    <row r="4381" spans="1:24" x14ac:dyDescent="0.25">
      <c r="A4381" s="22"/>
      <c r="B4381" s="22"/>
      <c r="C4381" s="22"/>
      <c r="D4381" s="22"/>
      <c r="E4381" s="22"/>
      <c r="F4381" s="22"/>
      <c r="G4381" s="22"/>
      <c r="H4381" s="22"/>
      <c r="I4381" s="22"/>
      <c r="J4381" s="22"/>
      <c r="K4381" s="22"/>
      <c r="L4381" s="22"/>
      <c r="M4381" s="22"/>
      <c r="N4381" s="22"/>
      <c r="O4381" s="22"/>
      <c r="P4381" s="22"/>
      <c r="Q4381" s="22"/>
      <c r="R4381" s="22"/>
      <c r="S4381" s="22"/>
      <c r="T4381" s="22"/>
      <c r="U4381" s="22"/>
      <c r="V4381" s="22"/>
      <c r="W4381" s="22"/>
      <c r="X4381" s="22"/>
    </row>
    <row r="4382" spans="1:24" x14ac:dyDescent="0.25">
      <c r="A4382" s="22"/>
      <c r="B4382" s="22"/>
      <c r="C4382" s="22"/>
      <c r="D4382" s="22"/>
      <c r="E4382" s="22"/>
      <c r="F4382" s="22"/>
      <c r="G4382" s="22"/>
      <c r="H4382" s="22"/>
      <c r="I4382" s="22"/>
      <c r="J4382" s="22"/>
      <c r="K4382" s="22"/>
      <c r="L4382" s="22"/>
      <c r="M4382" s="22"/>
      <c r="N4382" s="22"/>
      <c r="O4382" s="22"/>
      <c r="P4382" s="22"/>
      <c r="Q4382" s="22"/>
      <c r="R4382" s="22"/>
      <c r="S4382" s="22"/>
      <c r="T4382" s="22"/>
      <c r="U4382" s="22"/>
      <c r="V4382" s="22"/>
      <c r="W4382" s="22"/>
      <c r="X4382" s="22"/>
    </row>
    <row r="4383" spans="1:24" x14ac:dyDescent="0.25">
      <c r="A4383" s="22"/>
      <c r="B4383" s="22"/>
      <c r="C4383" s="22"/>
      <c r="D4383" s="22"/>
      <c r="E4383" s="22"/>
      <c r="F4383" s="22"/>
      <c r="G4383" s="22"/>
      <c r="H4383" s="22"/>
      <c r="I4383" s="22"/>
      <c r="J4383" s="22"/>
      <c r="K4383" s="22"/>
      <c r="L4383" s="22"/>
      <c r="M4383" s="22"/>
      <c r="N4383" s="22"/>
      <c r="O4383" s="22"/>
      <c r="P4383" s="22"/>
      <c r="Q4383" s="22"/>
      <c r="R4383" s="22"/>
      <c r="S4383" s="22"/>
      <c r="T4383" s="22"/>
      <c r="U4383" s="22"/>
      <c r="V4383" s="22"/>
      <c r="W4383" s="22"/>
      <c r="X4383" s="22"/>
    </row>
    <row r="4384" spans="1:24" x14ac:dyDescent="0.25">
      <c r="A4384" s="22"/>
      <c r="B4384" s="22"/>
      <c r="C4384" s="22"/>
      <c r="D4384" s="22"/>
      <c r="E4384" s="22"/>
      <c r="F4384" s="22"/>
      <c r="G4384" s="22"/>
      <c r="H4384" s="22"/>
      <c r="I4384" s="22"/>
      <c r="J4384" s="22"/>
      <c r="K4384" s="22"/>
      <c r="L4384" s="22"/>
      <c r="M4384" s="22"/>
      <c r="N4384" s="22"/>
      <c r="O4384" s="22"/>
      <c r="P4384" s="22"/>
      <c r="Q4384" s="22"/>
      <c r="R4384" s="22"/>
      <c r="S4384" s="22"/>
      <c r="T4384" s="22"/>
      <c r="U4384" s="22"/>
      <c r="V4384" s="22"/>
      <c r="W4384" s="22"/>
      <c r="X4384" s="22"/>
    </row>
    <row r="4385" spans="1:24" x14ac:dyDescent="0.25">
      <c r="A4385" s="22"/>
      <c r="B4385" s="22"/>
      <c r="C4385" s="22"/>
      <c r="D4385" s="22"/>
      <c r="E4385" s="22"/>
      <c r="F4385" s="22"/>
      <c r="G4385" s="22"/>
      <c r="H4385" s="22"/>
      <c r="I4385" s="22"/>
      <c r="J4385" s="22"/>
      <c r="K4385" s="22"/>
      <c r="L4385" s="22"/>
      <c r="M4385" s="22"/>
      <c r="N4385" s="22"/>
      <c r="O4385" s="22"/>
      <c r="P4385" s="22"/>
      <c r="Q4385" s="22"/>
      <c r="R4385" s="22"/>
      <c r="S4385" s="22"/>
      <c r="T4385" s="22"/>
      <c r="U4385" s="22"/>
      <c r="V4385" s="22"/>
      <c r="W4385" s="22"/>
      <c r="X4385" s="22"/>
    </row>
    <row r="4386" spans="1:24" x14ac:dyDescent="0.25">
      <c r="A4386" s="22"/>
      <c r="B4386" s="22"/>
      <c r="C4386" s="22"/>
      <c r="D4386" s="22"/>
      <c r="E4386" s="22"/>
      <c r="F4386" s="22"/>
      <c r="G4386" s="22"/>
      <c r="H4386" s="22"/>
      <c r="I4386" s="22"/>
      <c r="J4386" s="22"/>
      <c r="K4386" s="22"/>
      <c r="L4386" s="22"/>
      <c r="M4386" s="22"/>
      <c r="N4386" s="22"/>
      <c r="O4386" s="22"/>
      <c r="P4386" s="22"/>
      <c r="Q4386" s="22"/>
      <c r="R4386" s="22"/>
      <c r="S4386" s="22"/>
      <c r="T4386" s="22"/>
      <c r="U4386" s="22"/>
      <c r="V4386" s="22"/>
      <c r="W4386" s="22"/>
      <c r="X4386" s="22"/>
    </row>
    <row r="4387" spans="1:24" x14ac:dyDescent="0.25">
      <c r="A4387" s="22"/>
      <c r="B4387" s="22"/>
      <c r="C4387" s="22"/>
      <c r="D4387" s="22"/>
      <c r="E4387" s="22"/>
      <c r="F4387" s="22"/>
      <c r="G4387" s="22"/>
      <c r="H4387" s="22"/>
      <c r="I4387" s="22"/>
      <c r="J4387" s="22"/>
      <c r="K4387" s="22"/>
      <c r="L4387" s="22"/>
      <c r="M4387" s="22"/>
      <c r="N4387" s="22"/>
      <c r="O4387" s="22"/>
      <c r="P4387" s="22"/>
      <c r="Q4387" s="22"/>
      <c r="R4387" s="22"/>
      <c r="S4387" s="22"/>
      <c r="T4387" s="22"/>
      <c r="U4387" s="22"/>
      <c r="V4387" s="22"/>
      <c r="W4387" s="22"/>
      <c r="X4387" s="22"/>
    </row>
    <row r="4388" spans="1:24" x14ac:dyDescent="0.25">
      <c r="A4388" s="22"/>
      <c r="B4388" s="22"/>
      <c r="C4388" s="22"/>
      <c r="D4388" s="22"/>
      <c r="E4388" s="22"/>
      <c r="F4388" s="22"/>
      <c r="G4388" s="22"/>
      <c r="H4388" s="22"/>
      <c r="I4388" s="22"/>
      <c r="J4388" s="22"/>
      <c r="K4388" s="22"/>
      <c r="L4388" s="22"/>
      <c r="M4388" s="22"/>
      <c r="N4388" s="22"/>
      <c r="O4388" s="22"/>
      <c r="P4388" s="22"/>
      <c r="Q4388" s="22"/>
      <c r="R4388" s="22"/>
      <c r="S4388" s="22"/>
      <c r="T4388" s="22"/>
      <c r="U4388" s="22"/>
      <c r="V4388" s="22"/>
      <c r="W4388" s="22"/>
      <c r="X4388" s="22"/>
    </row>
    <row r="4389" spans="1:24" x14ac:dyDescent="0.25">
      <c r="A4389" s="22"/>
      <c r="B4389" s="22"/>
      <c r="C4389" s="22"/>
      <c r="D4389" s="22"/>
      <c r="E4389" s="22"/>
      <c r="F4389" s="22"/>
      <c r="G4389" s="22"/>
      <c r="H4389" s="22"/>
      <c r="I4389" s="22"/>
      <c r="J4389" s="22"/>
      <c r="K4389" s="22"/>
      <c r="L4389" s="22"/>
      <c r="M4389" s="22"/>
      <c r="N4389" s="22"/>
      <c r="O4389" s="22"/>
      <c r="P4389" s="22"/>
      <c r="Q4389" s="22"/>
      <c r="R4389" s="22"/>
      <c r="S4389" s="22"/>
      <c r="T4389" s="22"/>
      <c r="U4389" s="22"/>
      <c r="V4389" s="22"/>
      <c r="W4389" s="22"/>
      <c r="X4389" s="22"/>
    </row>
    <row r="4390" spans="1:24" x14ac:dyDescent="0.25">
      <c r="A4390" s="22"/>
      <c r="B4390" s="22"/>
      <c r="C4390" s="22"/>
      <c r="D4390" s="22"/>
      <c r="E4390" s="22"/>
      <c r="F4390" s="22"/>
      <c r="G4390" s="22"/>
      <c r="H4390" s="22"/>
      <c r="I4390" s="22"/>
      <c r="J4390" s="22"/>
      <c r="K4390" s="22"/>
      <c r="L4390" s="22"/>
      <c r="M4390" s="22"/>
      <c r="N4390" s="22"/>
      <c r="O4390" s="22"/>
      <c r="P4390" s="22"/>
      <c r="Q4390" s="22"/>
      <c r="R4390" s="22"/>
      <c r="S4390" s="22"/>
      <c r="T4390" s="22"/>
      <c r="U4390" s="22"/>
      <c r="V4390" s="22"/>
      <c r="W4390" s="22"/>
      <c r="X4390" s="22"/>
    </row>
    <row r="4391" spans="1:24" x14ac:dyDescent="0.25">
      <c r="A4391" s="22"/>
      <c r="B4391" s="22"/>
      <c r="C4391" s="22"/>
      <c r="D4391" s="22"/>
      <c r="E4391" s="22"/>
      <c r="F4391" s="22"/>
      <c r="G4391" s="22"/>
      <c r="H4391" s="22"/>
      <c r="I4391" s="22"/>
      <c r="J4391" s="22"/>
      <c r="K4391" s="22"/>
      <c r="L4391" s="22"/>
      <c r="M4391" s="22"/>
      <c r="N4391" s="22"/>
      <c r="O4391" s="22"/>
      <c r="P4391" s="22"/>
      <c r="Q4391" s="22"/>
      <c r="R4391" s="22"/>
      <c r="S4391" s="22"/>
      <c r="T4391" s="22"/>
      <c r="U4391" s="22"/>
      <c r="V4391" s="22"/>
      <c r="W4391" s="22"/>
      <c r="X4391" s="22"/>
    </row>
    <row r="4392" spans="1:24" x14ac:dyDescent="0.25">
      <c r="A4392" s="22"/>
      <c r="B4392" s="22"/>
      <c r="C4392" s="22"/>
      <c r="D4392" s="22"/>
      <c r="E4392" s="22"/>
      <c r="F4392" s="22"/>
      <c r="G4392" s="22"/>
      <c r="H4392" s="22"/>
      <c r="I4392" s="22"/>
      <c r="J4392" s="22"/>
      <c r="K4392" s="22"/>
      <c r="L4392" s="22"/>
      <c r="M4392" s="22"/>
      <c r="N4392" s="22"/>
      <c r="O4392" s="22"/>
      <c r="P4392" s="22"/>
      <c r="Q4392" s="22"/>
      <c r="R4392" s="22"/>
      <c r="S4392" s="22"/>
      <c r="T4392" s="22"/>
      <c r="U4392" s="22"/>
      <c r="V4392" s="22"/>
      <c r="W4392" s="22"/>
      <c r="X4392" s="22"/>
    </row>
    <row r="4393" spans="1:24" x14ac:dyDescent="0.25">
      <c r="A4393" s="22"/>
      <c r="B4393" s="22"/>
      <c r="C4393" s="22"/>
      <c r="D4393" s="22"/>
      <c r="E4393" s="22"/>
      <c r="F4393" s="22"/>
      <c r="G4393" s="22"/>
      <c r="H4393" s="22"/>
      <c r="I4393" s="22"/>
      <c r="J4393" s="22"/>
      <c r="K4393" s="22"/>
      <c r="L4393" s="22"/>
      <c r="M4393" s="22"/>
      <c r="N4393" s="22"/>
      <c r="O4393" s="22"/>
      <c r="P4393" s="22"/>
      <c r="Q4393" s="22"/>
      <c r="R4393" s="22"/>
      <c r="S4393" s="22"/>
      <c r="T4393" s="22"/>
      <c r="U4393" s="22"/>
      <c r="V4393" s="22"/>
      <c r="W4393" s="22"/>
      <c r="X4393" s="22"/>
    </row>
    <row r="4394" spans="1:24" x14ac:dyDescent="0.25">
      <c r="A4394" s="22"/>
      <c r="B4394" s="22"/>
      <c r="C4394" s="22"/>
      <c r="D4394" s="22"/>
      <c r="E4394" s="22"/>
      <c r="F4394" s="22"/>
      <c r="G4394" s="22"/>
      <c r="H4394" s="22"/>
      <c r="I4394" s="22"/>
      <c r="J4394" s="22"/>
      <c r="K4394" s="22"/>
      <c r="L4394" s="22"/>
      <c r="M4394" s="22"/>
      <c r="N4394" s="22"/>
      <c r="O4394" s="22"/>
      <c r="P4394" s="22"/>
      <c r="Q4394" s="22"/>
      <c r="R4394" s="22"/>
      <c r="S4394" s="22"/>
      <c r="T4394" s="22"/>
      <c r="U4394" s="22"/>
      <c r="V4394" s="22"/>
      <c r="W4394" s="22"/>
      <c r="X4394" s="22"/>
    </row>
    <row r="4395" spans="1:24" x14ac:dyDescent="0.25">
      <c r="A4395" s="22"/>
      <c r="B4395" s="22"/>
      <c r="C4395" s="22"/>
      <c r="D4395" s="22"/>
      <c r="E4395" s="22"/>
      <c r="F4395" s="22"/>
      <c r="G4395" s="22"/>
      <c r="H4395" s="22"/>
      <c r="I4395" s="22"/>
      <c r="J4395" s="22"/>
      <c r="K4395" s="22"/>
      <c r="L4395" s="22"/>
      <c r="M4395" s="22"/>
      <c r="N4395" s="22"/>
      <c r="O4395" s="22"/>
      <c r="P4395" s="22"/>
      <c r="Q4395" s="22"/>
      <c r="R4395" s="22"/>
      <c r="S4395" s="22"/>
      <c r="T4395" s="22"/>
      <c r="U4395" s="22"/>
      <c r="V4395" s="22"/>
      <c r="W4395" s="22"/>
      <c r="X4395" s="22"/>
    </row>
    <row r="4396" spans="1:24" x14ac:dyDescent="0.25">
      <c r="A4396" s="22"/>
      <c r="B4396" s="22"/>
      <c r="C4396" s="22"/>
      <c r="D4396" s="22"/>
      <c r="E4396" s="22"/>
      <c r="F4396" s="22"/>
      <c r="G4396" s="22"/>
      <c r="H4396" s="22"/>
      <c r="I4396" s="22"/>
      <c r="J4396" s="22"/>
      <c r="K4396" s="22"/>
      <c r="L4396" s="22"/>
      <c r="M4396" s="22"/>
      <c r="N4396" s="22"/>
      <c r="O4396" s="22"/>
      <c r="P4396" s="22"/>
      <c r="Q4396" s="22"/>
      <c r="R4396" s="22"/>
      <c r="S4396" s="22"/>
      <c r="T4396" s="22"/>
      <c r="U4396" s="22"/>
      <c r="V4396" s="22"/>
      <c r="W4396" s="22"/>
      <c r="X4396" s="22"/>
    </row>
    <row r="4397" spans="1:24" x14ac:dyDescent="0.25">
      <c r="A4397" s="22"/>
      <c r="B4397" s="22"/>
      <c r="C4397" s="22"/>
      <c r="D4397" s="22"/>
      <c r="E4397" s="22"/>
      <c r="F4397" s="22"/>
      <c r="G4397" s="22"/>
      <c r="H4397" s="22"/>
      <c r="I4397" s="22"/>
      <c r="J4397" s="22"/>
      <c r="K4397" s="22"/>
      <c r="L4397" s="22"/>
      <c r="M4397" s="22"/>
      <c r="N4397" s="22"/>
      <c r="O4397" s="22"/>
      <c r="P4397" s="22"/>
      <c r="Q4397" s="22"/>
      <c r="R4397" s="22"/>
      <c r="S4397" s="22"/>
      <c r="T4397" s="22"/>
      <c r="U4397" s="22"/>
      <c r="V4397" s="22"/>
      <c r="W4397" s="22"/>
      <c r="X4397" s="22"/>
    </row>
    <row r="4398" spans="1:24" x14ac:dyDescent="0.25">
      <c r="A4398" s="22"/>
      <c r="B4398" s="22"/>
      <c r="C4398" s="22"/>
      <c r="D4398" s="22"/>
      <c r="E4398" s="22"/>
      <c r="F4398" s="22"/>
      <c r="G4398" s="22"/>
      <c r="H4398" s="22"/>
      <c r="I4398" s="22"/>
      <c r="J4398" s="22"/>
      <c r="K4398" s="22"/>
      <c r="L4398" s="22"/>
      <c r="M4398" s="22"/>
      <c r="N4398" s="22"/>
      <c r="O4398" s="22"/>
      <c r="P4398" s="22"/>
      <c r="Q4398" s="22"/>
      <c r="R4398" s="22"/>
      <c r="S4398" s="22"/>
      <c r="T4398" s="22"/>
      <c r="U4398" s="22"/>
      <c r="V4398" s="22"/>
      <c r="W4398" s="22"/>
      <c r="X4398" s="22"/>
    </row>
    <row r="4399" spans="1:24" x14ac:dyDescent="0.25">
      <c r="A4399" s="22"/>
      <c r="B4399" s="22"/>
      <c r="C4399" s="22"/>
      <c r="D4399" s="22"/>
      <c r="E4399" s="22"/>
      <c r="F4399" s="22"/>
      <c r="G4399" s="22"/>
      <c r="H4399" s="22"/>
      <c r="I4399" s="22"/>
      <c r="J4399" s="22"/>
      <c r="K4399" s="22"/>
      <c r="L4399" s="22"/>
      <c r="M4399" s="22"/>
      <c r="N4399" s="22"/>
      <c r="O4399" s="22"/>
      <c r="P4399" s="22"/>
      <c r="Q4399" s="22"/>
      <c r="R4399" s="22"/>
      <c r="S4399" s="22"/>
      <c r="T4399" s="22"/>
      <c r="U4399" s="22"/>
      <c r="V4399" s="22"/>
      <c r="W4399" s="22"/>
      <c r="X4399" s="22"/>
    </row>
    <row r="4400" spans="1:24" x14ac:dyDescent="0.25">
      <c r="A4400" s="22"/>
      <c r="B4400" s="22"/>
      <c r="C4400" s="22"/>
      <c r="D4400" s="22"/>
      <c r="E4400" s="22"/>
      <c r="F4400" s="22"/>
      <c r="G4400" s="22"/>
      <c r="H4400" s="22"/>
      <c r="I4400" s="22"/>
      <c r="J4400" s="22"/>
      <c r="K4400" s="22"/>
      <c r="L4400" s="22"/>
      <c r="M4400" s="22"/>
      <c r="N4400" s="22"/>
      <c r="O4400" s="22"/>
      <c r="P4400" s="22"/>
      <c r="Q4400" s="22"/>
      <c r="R4400" s="22"/>
      <c r="S4400" s="22"/>
      <c r="T4400" s="22"/>
      <c r="U4400" s="22"/>
      <c r="V4400" s="22"/>
      <c r="W4400" s="22"/>
      <c r="X4400" s="22"/>
    </row>
    <row r="4401" spans="1:24" x14ac:dyDescent="0.25">
      <c r="A4401" s="22"/>
      <c r="B4401" s="22"/>
      <c r="C4401" s="22"/>
      <c r="D4401" s="22"/>
      <c r="E4401" s="22"/>
      <c r="F4401" s="22"/>
      <c r="G4401" s="22"/>
      <c r="H4401" s="22"/>
      <c r="I4401" s="22"/>
      <c r="J4401" s="22"/>
      <c r="K4401" s="22"/>
      <c r="L4401" s="22"/>
      <c r="M4401" s="22"/>
      <c r="N4401" s="22"/>
      <c r="O4401" s="22"/>
      <c r="P4401" s="22"/>
      <c r="Q4401" s="22"/>
      <c r="R4401" s="22"/>
      <c r="S4401" s="22"/>
      <c r="T4401" s="22"/>
      <c r="U4401" s="22"/>
      <c r="V4401" s="22"/>
      <c r="W4401" s="22"/>
      <c r="X4401" s="22"/>
    </row>
    <row r="4402" spans="1:24" x14ac:dyDescent="0.25">
      <c r="A4402" s="22"/>
      <c r="B4402" s="22"/>
      <c r="C4402" s="22"/>
      <c r="D4402" s="22"/>
      <c r="E4402" s="22"/>
      <c r="F4402" s="22"/>
      <c r="G4402" s="22"/>
      <c r="H4402" s="22"/>
      <c r="I4402" s="22"/>
      <c r="J4402" s="22"/>
      <c r="K4402" s="22"/>
      <c r="L4402" s="22"/>
      <c r="M4402" s="22"/>
      <c r="N4402" s="22"/>
      <c r="O4402" s="22"/>
      <c r="P4402" s="22"/>
      <c r="Q4402" s="22"/>
      <c r="R4402" s="22"/>
      <c r="S4402" s="22"/>
      <c r="T4402" s="22"/>
      <c r="U4402" s="22"/>
      <c r="V4402" s="22"/>
      <c r="W4402" s="22"/>
      <c r="X4402" s="22"/>
    </row>
    <row r="4403" spans="1:24" x14ac:dyDescent="0.25">
      <c r="A4403" s="22"/>
      <c r="B4403" s="22"/>
      <c r="C4403" s="22"/>
      <c r="D4403" s="22"/>
      <c r="E4403" s="22"/>
      <c r="F4403" s="22"/>
      <c r="G4403" s="22"/>
      <c r="H4403" s="22"/>
      <c r="I4403" s="22"/>
      <c r="J4403" s="22"/>
      <c r="K4403" s="22"/>
      <c r="L4403" s="22"/>
      <c r="M4403" s="22"/>
      <c r="N4403" s="22"/>
      <c r="O4403" s="22"/>
      <c r="P4403" s="22"/>
      <c r="Q4403" s="22"/>
      <c r="R4403" s="22"/>
      <c r="S4403" s="22"/>
      <c r="T4403" s="22"/>
      <c r="U4403" s="22"/>
      <c r="V4403" s="22"/>
      <c r="W4403" s="22"/>
      <c r="X4403" s="22"/>
    </row>
    <row r="4404" spans="1:24" x14ac:dyDescent="0.25">
      <c r="A4404" s="22"/>
      <c r="B4404" s="22"/>
      <c r="C4404" s="22"/>
      <c r="D4404" s="22"/>
      <c r="E4404" s="22"/>
      <c r="F4404" s="22"/>
      <c r="G4404" s="22"/>
      <c r="H4404" s="22"/>
      <c r="I4404" s="22"/>
      <c r="J4404" s="22"/>
      <c r="K4404" s="22"/>
      <c r="L4404" s="22"/>
      <c r="M4404" s="22"/>
      <c r="N4404" s="22"/>
      <c r="O4404" s="22"/>
      <c r="P4404" s="22"/>
      <c r="Q4404" s="22"/>
      <c r="R4404" s="22"/>
      <c r="S4404" s="22"/>
      <c r="T4404" s="22"/>
      <c r="U4404" s="22"/>
      <c r="V4404" s="22"/>
      <c r="W4404" s="22"/>
      <c r="X4404" s="22"/>
    </row>
    <row r="4405" spans="1:24" x14ac:dyDescent="0.25">
      <c r="A4405" s="22"/>
      <c r="B4405" s="22"/>
      <c r="C4405" s="22"/>
      <c r="D4405" s="22"/>
      <c r="E4405" s="22"/>
      <c r="F4405" s="22"/>
      <c r="G4405" s="22"/>
      <c r="H4405" s="22"/>
      <c r="I4405" s="22"/>
      <c r="J4405" s="22"/>
      <c r="K4405" s="22"/>
      <c r="L4405" s="22"/>
      <c r="M4405" s="22"/>
      <c r="N4405" s="22"/>
      <c r="O4405" s="22"/>
      <c r="P4405" s="22"/>
      <c r="Q4405" s="22"/>
      <c r="R4405" s="22"/>
      <c r="S4405" s="22"/>
      <c r="T4405" s="22"/>
      <c r="U4405" s="22"/>
      <c r="V4405" s="22"/>
      <c r="W4405" s="22"/>
      <c r="X4405" s="22"/>
    </row>
    <row r="4406" spans="1:24" x14ac:dyDescent="0.25">
      <c r="A4406" s="22"/>
      <c r="B4406" s="22"/>
      <c r="C4406" s="22"/>
      <c r="D4406" s="22"/>
      <c r="E4406" s="22"/>
      <c r="F4406" s="22"/>
      <c r="G4406" s="22"/>
      <c r="H4406" s="22"/>
      <c r="I4406" s="22"/>
      <c r="J4406" s="22"/>
      <c r="K4406" s="22"/>
      <c r="L4406" s="22"/>
      <c r="M4406" s="22"/>
      <c r="N4406" s="22"/>
      <c r="O4406" s="22"/>
      <c r="P4406" s="22"/>
      <c r="Q4406" s="22"/>
      <c r="R4406" s="22"/>
      <c r="S4406" s="22"/>
      <c r="T4406" s="22"/>
      <c r="U4406" s="22"/>
      <c r="V4406" s="22"/>
      <c r="W4406" s="22"/>
      <c r="X4406" s="22"/>
    </row>
    <row r="4407" spans="1:24" x14ac:dyDescent="0.25">
      <c r="A4407" s="22"/>
      <c r="B4407" s="22"/>
      <c r="C4407" s="22"/>
      <c r="D4407" s="22"/>
      <c r="E4407" s="22"/>
      <c r="F4407" s="22"/>
      <c r="G4407" s="22"/>
      <c r="H4407" s="22"/>
      <c r="I4407" s="22"/>
      <c r="J4407" s="22"/>
      <c r="K4407" s="22"/>
      <c r="L4407" s="22"/>
      <c r="M4407" s="22"/>
      <c r="N4407" s="22"/>
      <c r="O4407" s="22"/>
      <c r="P4407" s="22"/>
      <c r="Q4407" s="22"/>
      <c r="R4407" s="22"/>
      <c r="S4407" s="22"/>
      <c r="T4407" s="22"/>
      <c r="U4407" s="22"/>
      <c r="V4407" s="22"/>
      <c r="W4407" s="22"/>
      <c r="X4407" s="22"/>
    </row>
    <row r="4408" spans="1:24" x14ac:dyDescent="0.25">
      <c r="A4408" s="22"/>
      <c r="B4408" s="22"/>
      <c r="C4408" s="22"/>
      <c r="D4408" s="22"/>
      <c r="E4408" s="22"/>
      <c r="F4408" s="22"/>
      <c r="G4408" s="22"/>
      <c r="H4408" s="22"/>
      <c r="I4408" s="22"/>
      <c r="J4408" s="22"/>
      <c r="K4408" s="22"/>
      <c r="L4408" s="22"/>
      <c r="M4408" s="22"/>
      <c r="N4408" s="22"/>
      <c r="O4408" s="22"/>
      <c r="P4408" s="22"/>
      <c r="Q4408" s="22"/>
      <c r="R4408" s="22"/>
      <c r="S4408" s="22"/>
      <c r="T4408" s="22"/>
      <c r="U4408" s="22"/>
      <c r="V4408" s="22"/>
      <c r="W4408" s="22"/>
      <c r="X4408" s="22"/>
    </row>
    <row r="4409" spans="1:24" x14ac:dyDescent="0.25">
      <c r="A4409" s="22"/>
      <c r="B4409" s="22"/>
      <c r="C4409" s="22"/>
      <c r="D4409" s="22"/>
      <c r="E4409" s="22"/>
      <c r="F4409" s="22"/>
      <c r="G4409" s="22"/>
      <c r="H4409" s="22"/>
      <c r="I4409" s="22"/>
      <c r="J4409" s="22"/>
      <c r="K4409" s="22"/>
      <c r="L4409" s="22"/>
      <c r="M4409" s="22"/>
      <c r="N4409" s="22"/>
      <c r="O4409" s="22"/>
      <c r="P4409" s="22"/>
      <c r="Q4409" s="22"/>
      <c r="R4409" s="22"/>
      <c r="S4409" s="22"/>
      <c r="T4409" s="22"/>
      <c r="U4409" s="22"/>
      <c r="V4409" s="22"/>
      <c r="W4409" s="22"/>
      <c r="X4409" s="22"/>
    </row>
    <row r="4410" spans="1:24" x14ac:dyDescent="0.25">
      <c r="A4410" s="22"/>
      <c r="B4410" s="22"/>
      <c r="C4410" s="22"/>
      <c r="D4410" s="22"/>
      <c r="E4410" s="22"/>
      <c r="F4410" s="22"/>
      <c r="G4410" s="22"/>
      <c r="H4410" s="22"/>
      <c r="I4410" s="22"/>
      <c r="J4410" s="22"/>
      <c r="K4410" s="22"/>
      <c r="L4410" s="22"/>
      <c r="M4410" s="22"/>
      <c r="N4410" s="22"/>
      <c r="O4410" s="22"/>
      <c r="P4410" s="22"/>
      <c r="Q4410" s="22"/>
      <c r="R4410" s="22"/>
      <c r="S4410" s="22"/>
      <c r="T4410" s="22"/>
      <c r="U4410" s="22"/>
      <c r="V4410" s="22"/>
      <c r="W4410" s="22"/>
      <c r="X4410" s="22"/>
    </row>
    <row r="4411" spans="1:24" x14ac:dyDescent="0.25">
      <c r="A4411" s="22"/>
      <c r="B4411" s="22"/>
      <c r="C4411" s="22"/>
      <c r="D4411" s="22"/>
      <c r="E4411" s="22"/>
      <c r="F4411" s="22"/>
      <c r="G4411" s="22"/>
      <c r="H4411" s="22"/>
      <c r="I4411" s="22"/>
      <c r="J4411" s="22"/>
      <c r="K4411" s="22"/>
      <c r="L4411" s="22"/>
      <c r="M4411" s="22"/>
      <c r="N4411" s="22"/>
      <c r="O4411" s="22"/>
      <c r="P4411" s="22"/>
      <c r="Q4411" s="22"/>
      <c r="R4411" s="22"/>
      <c r="S4411" s="22"/>
      <c r="T4411" s="22"/>
      <c r="U4411" s="22"/>
      <c r="V4411" s="22"/>
      <c r="W4411" s="22"/>
      <c r="X4411" s="22"/>
    </row>
    <row r="4412" spans="1:24" x14ac:dyDescent="0.25">
      <c r="A4412" s="22"/>
      <c r="B4412" s="22"/>
      <c r="C4412" s="22"/>
      <c r="D4412" s="22"/>
      <c r="E4412" s="22"/>
      <c r="F4412" s="22"/>
      <c r="G4412" s="22"/>
      <c r="H4412" s="22"/>
      <c r="I4412" s="22"/>
      <c r="J4412" s="22"/>
      <c r="K4412" s="22"/>
      <c r="L4412" s="22"/>
      <c r="M4412" s="22"/>
      <c r="N4412" s="22"/>
      <c r="O4412" s="22"/>
      <c r="P4412" s="22"/>
      <c r="Q4412" s="22"/>
      <c r="R4412" s="22"/>
      <c r="S4412" s="22"/>
      <c r="T4412" s="22"/>
      <c r="U4412" s="22"/>
      <c r="V4412" s="22"/>
      <c r="W4412" s="22"/>
      <c r="X4412" s="22"/>
    </row>
    <row r="4413" spans="1:24" x14ac:dyDescent="0.25">
      <c r="A4413" s="22"/>
      <c r="B4413" s="22"/>
      <c r="C4413" s="22"/>
      <c r="D4413" s="22"/>
      <c r="E4413" s="22"/>
      <c r="F4413" s="22"/>
      <c r="G4413" s="22"/>
      <c r="H4413" s="22"/>
      <c r="I4413" s="22"/>
      <c r="J4413" s="22"/>
      <c r="K4413" s="22"/>
      <c r="L4413" s="22"/>
      <c r="M4413" s="22"/>
      <c r="N4413" s="22"/>
      <c r="O4413" s="22"/>
      <c r="P4413" s="22"/>
      <c r="Q4413" s="22"/>
      <c r="R4413" s="22"/>
      <c r="S4413" s="22"/>
      <c r="T4413" s="22"/>
      <c r="U4413" s="22"/>
      <c r="V4413" s="22"/>
      <c r="W4413" s="22"/>
      <c r="X4413" s="22"/>
    </row>
    <row r="4414" spans="1:24" x14ac:dyDescent="0.25">
      <c r="A4414" s="22"/>
      <c r="B4414" s="22"/>
      <c r="C4414" s="22"/>
      <c r="D4414" s="22"/>
      <c r="E4414" s="22"/>
      <c r="F4414" s="22"/>
      <c r="G4414" s="22"/>
      <c r="H4414" s="22"/>
      <c r="I4414" s="22"/>
      <c r="J4414" s="22"/>
      <c r="K4414" s="22"/>
      <c r="L4414" s="22"/>
      <c r="M4414" s="22"/>
      <c r="N4414" s="22"/>
      <c r="O4414" s="22"/>
      <c r="P4414" s="22"/>
      <c r="Q4414" s="22"/>
      <c r="R4414" s="22"/>
      <c r="S4414" s="22"/>
      <c r="T4414" s="22"/>
      <c r="U4414" s="22"/>
      <c r="V4414" s="22"/>
      <c r="W4414" s="22"/>
      <c r="X4414" s="22"/>
    </row>
    <row r="4415" spans="1:24" x14ac:dyDescent="0.25">
      <c r="A4415" s="22"/>
      <c r="B4415" s="22"/>
      <c r="C4415" s="22"/>
      <c r="D4415" s="22"/>
      <c r="E4415" s="22"/>
      <c r="F4415" s="22"/>
      <c r="G4415" s="22"/>
      <c r="H4415" s="22"/>
      <c r="I4415" s="22"/>
      <c r="J4415" s="22"/>
      <c r="K4415" s="22"/>
      <c r="L4415" s="22"/>
      <c r="M4415" s="22"/>
      <c r="N4415" s="22"/>
      <c r="O4415" s="22"/>
      <c r="P4415" s="22"/>
      <c r="Q4415" s="22"/>
      <c r="R4415" s="22"/>
      <c r="S4415" s="22"/>
      <c r="T4415" s="22"/>
      <c r="U4415" s="22"/>
      <c r="V4415" s="22"/>
      <c r="W4415" s="22"/>
      <c r="X4415" s="22"/>
    </row>
    <row r="4416" spans="1:24" x14ac:dyDescent="0.25">
      <c r="A4416" s="22"/>
      <c r="B4416" s="22"/>
      <c r="C4416" s="22"/>
      <c r="D4416" s="22"/>
      <c r="E4416" s="22"/>
      <c r="F4416" s="22"/>
      <c r="G4416" s="22"/>
      <c r="H4416" s="22"/>
      <c r="I4416" s="22"/>
      <c r="J4416" s="22"/>
      <c r="K4416" s="22"/>
      <c r="L4416" s="22"/>
      <c r="M4416" s="22"/>
      <c r="N4416" s="22"/>
      <c r="O4416" s="22"/>
      <c r="P4416" s="22"/>
      <c r="Q4416" s="22"/>
      <c r="R4416" s="22"/>
      <c r="S4416" s="22"/>
      <c r="T4416" s="22"/>
      <c r="U4416" s="22"/>
      <c r="V4416" s="22"/>
      <c r="W4416" s="22"/>
      <c r="X4416" s="22"/>
    </row>
    <row r="4417" spans="1:24" x14ac:dyDescent="0.25">
      <c r="A4417" s="22"/>
      <c r="B4417" s="22"/>
      <c r="C4417" s="22"/>
      <c r="D4417" s="22"/>
      <c r="E4417" s="22"/>
      <c r="F4417" s="22"/>
      <c r="G4417" s="22"/>
      <c r="H4417" s="22"/>
      <c r="I4417" s="22"/>
      <c r="J4417" s="22"/>
      <c r="K4417" s="22"/>
      <c r="L4417" s="22"/>
      <c r="M4417" s="22"/>
      <c r="N4417" s="22"/>
      <c r="O4417" s="22"/>
      <c r="P4417" s="22"/>
      <c r="Q4417" s="22"/>
      <c r="R4417" s="22"/>
      <c r="S4417" s="22"/>
      <c r="T4417" s="22"/>
      <c r="U4417" s="22"/>
      <c r="V4417" s="22"/>
      <c r="W4417" s="22"/>
      <c r="X4417" s="22"/>
    </row>
    <row r="4418" spans="1:24" x14ac:dyDescent="0.25">
      <c r="A4418" s="22"/>
      <c r="B4418" s="22"/>
      <c r="C4418" s="22"/>
      <c r="D4418" s="22"/>
      <c r="E4418" s="22"/>
      <c r="F4418" s="22"/>
      <c r="G4418" s="22"/>
      <c r="H4418" s="22"/>
      <c r="I4418" s="22"/>
      <c r="J4418" s="22"/>
      <c r="K4418" s="22"/>
      <c r="L4418" s="22"/>
      <c r="M4418" s="22"/>
      <c r="N4418" s="22"/>
      <c r="O4418" s="22"/>
      <c r="P4418" s="22"/>
      <c r="Q4418" s="22"/>
      <c r="R4418" s="22"/>
      <c r="S4418" s="22"/>
      <c r="T4418" s="22"/>
      <c r="U4418" s="22"/>
      <c r="V4418" s="22"/>
      <c r="W4418" s="22"/>
      <c r="X4418" s="22"/>
    </row>
    <row r="4419" spans="1:24" x14ac:dyDescent="0.25">
      <c r="A4419" s="22"/>
      <c r="B4419" s="22"/>
      <c r="C4419" s="22"/>
      <c r="D4419" s="22"/>
      <c r="E4419" s="22"/>
      <c r="F4419" s="22"/>
      <c r="G4419" s="22"/>
      <c r="H4419" s="22"/>
      <c r="I4419" s="22"/>
      <c r="J4419" s="22"/>
      <c r="K4419" s="22"/>
      <c r="L4419" s="22"/>
      <c r="M4419" s="22"/>
      <c r="N4419" s="22"/>
      <c r="O4419" s="22"/>
      <c r="P4419" s="22"/>
      <c r="Q4419" s="22"/>
      <c r="R4419" s="22"/>
      <c r="S4419" s="22"/>
      <c r="T4419" s="22"/>
      <c r="U4419" s="22"/>
      <c r="V4419" s="22"/>
      <c r="W4419" s="22"/>
      <c r="X4419" s="22"/>
    </row>
    <row r="4420" spans="1:24" x14ac:dyDescent="0.25">
      <c r="A4420" s="22"/>
      <c r="B4420" s="22"/>
      <c r="C4420" s="22"/>
      <c r="D4420" s="22"/>
      <c r="E4420" s="22"/>
      <c r="F4420" s="22"/>
      <c r="G4420" s="22"/>
      <c r="H4420" s="22"/>
      <c r="I4420" s="22"/>
      <c r="J4420" s="22"/>
      <c r="K4420" s="22"/>
      <c r="L4420" s="22"/>
      <c r="M4420" s="22"/>
      <c r="N4420" s="22"/>
      <c r="O4420" s="22"/>
      <c r="P4420" s="22"/>
      <c r="Q4420" s="22"/>
      <c r="R4420" s="22"/>
      <c r="S4420" s="22"/>
      <c r="T4420" s="22"/>
      <c r="U4420" s="22"/>
      <c r="V4420" s="22"/>
      <c r="W4420" s="22"/>
      <c r="X4420" s="22"/>
    </row>
    <row r="4421" spans="1:24" x14ac:dyDescent="0.25">
      <c r="A4421" s="22"/>
      <c r="B4421" s="22"/>
      <c r="C4421" s="22"/>
      <c r="D4421" s="22"/>
      <c r="E4421" s="22"/>
      <c r="F4421" s="22"/>
      <c r="G4421" s="22"/>
      <c r="H4421" s="22"/>
      <c r="I4421" s="22"/>
      <c r="J4421" s="22"/>
      <c r="K4421" s="22"/>
      <c r="L4421" s="22"/>
      <c r="M4421" s="22"/>
      <c r="N4421" s="22"/>
      <c r="O4421" s="22"/>
      <c r="P4421" s="22"/>
      <c r="Q4421" s="22"/>
      <c r="R4421" s="22"/>
      <c r="S4421" s="22"/>
      <c r="T4421" s="22"/>
      <c r="U4421" s="22"/>
      <c r="V4421" s="22"/>
      <c r="W4421" s="22"/>
      <c r="X4421" s="22"/>
    </row>
    <row r="4422" spans="1:24" x14ac:dyDescent="0.25">
      <c r="A4422" s="22"/>
      <c r="B4422" s="22"/>
      <c r="C4422" s="22"/>
      <c r="D4422" s="22"/>
      <c r="E4422" s="22"/>
      <c r="F4422" s="22"/>
      <c r="G4422" s="22"/>
      <c r="H4422" s="22"/>
      <c r="I4422" s="22"/>
      <c r="J4422" s="22"/>
      <c r="K4422" s="22"/>
      <c r="L4422" s="22"/>
      <c r="M4422" s="22"/>
      <c r="N4422" s="22"/>
      <c r="O4422" s="22"/>
      <c r="P4422" s="22"/>
      <c r="Q4422" s="22"/>
      <c r="R4422" s="22"/>
      <c r="S4422" s="22"/>
      <c r="T4422" s="22"/>
      <c r="U4422" s="22"/>
      <c r="V4422" s="22"/>
      <c r="W4422" s="22"/>
      <c r="X4422" s="22"/>
    </row>
    <row r="4423" spans="1:24" x14ac:dyDescent="0.25">
      <c r="A4423" s="22"/>
      <c r="B4423" s="22"/>
      <c r="C4423" s="22"/>
      <c r="D4423" s="22"/>
      <c r="E4423" s="22"/>
      <c r="F4423" s="22"/>
      <c r="G4423" s="22"/>
      <c r="H4423" s="22"/>
      <c r="I4423" s="22"/>
      <c r="J4423" s="22"/>
      <c r="K4423" s="22"/>
      <c r="L4423" s="22"/>
      <c r="M4423" s="22"/>
      <c r="N4423" s="22"/>
      <c r="O4423" s="22"/>
      <c r="P4423" s="22"/>
      <c r="Q4423" s="22"/>
      <c r="R4423" s="22"/>
      <c r="S4423" s="22"/>
      <c r="T4423" s="22"/>
      <c r="U4423" s="22"/>
      <c r="V4423" s="22"/>
      <c r="W4423" s="22"/>
      <c r="X4423" s="22"/>
    </row>
    <row r="4424" spans="1:24" x14ac:dyDescent="0.25">
      <c r="A4424" s="22"/>
      <c r="B4424" s="22"/>
      <c r="C4424" s="22"/>
      <c r="D4424" s="22"/>
      <c r="E4424" s="22"/>
      <c r="F4424" s="22"/>
      <c r="G4424" s="22"/>
      <c r="H4424" s="22"/>
      <c r="I4424" s="22"/>
      <c r="J4424" s="22"/>
      <c r="K4424" s="22"/>
      <c r="L4424" s="22"/>
      <c r="M4424" s="22"/>
      <c r="N4424" s="22"/>
      <c r="O4424" s="22"/>
      <c r="P4424" s="22"/>
      <c r="Q4424" s="22"/>
      <c r="R4424" s="22"/>
      <c r="S4424" s="22"/>
      <c r="T4424" s="22"/>
      <c r="U4424" s="22"/>
      <c r="V4424" s="22"/>
      <c r="W4424" s="22"/>
      <c r="X4424" s="22"/>
    </row>
    <row r="4425" spans="1:24" x14ac:dyDescent="0.25">
      <c r="A4425" s="22"/>
      <c r="B4425" s="22"/>
      <c r="C4425" s="22"/>
      <c r="D4425" s="22"/>
      <c r="E4425" s="22"/>
      <c r="F4425" s="22"/>
      <c r="G4425" s="22"/>
      <c r="H4425" s="22"/>
      <c r="I4425" s="22"/>
      <c r="J4425" s="22"/>
      <c r="K4425" s="22"/>
      <c r="L4425" s="22"/>
      <c r="M4425" s="22"/>
      <c r="N4425" s="22"/>
      <c r="O4425" s="22"/>
      <c r="P4425" s="22"/>
      <c r="Q4425" s="22"/>
      <c r="R4425" s="22"/>
      <c r="S4425" s="22"/>
      <c r="T4425" s="22"/>
      <c r="U4425" s="22"/>
      <c r="V4425" s="22"/>
      <c r="W4425" s="22"/>
      <c r="X4425" s="22"/>
    </row>
    <row r="4426" spans="1:24" x14ac:dyDescent="0.25">
      <c r="A4426" s="22"/>
      <c r="B4426" s="22"/>
      <c r="C4426" s="22"/>
      <c r="D4426" s="22"/>
      <c r="E4426" s="22"/>
      <c r="F4426" s="22"/>
      <c r="G4426" s="22"/>
      <c r="H4426" s="22"/>
      <c r="I4426" s="22"/>
      <c r="J4426" s="22"/>
      <c r="K4426" s="22"/>
      <c r="L4426" s="22"/>
      <c r="M4426" s="22"/>
      <c r="N4426" s="22"/>
      <c r="O4426" s="22"/>
      <c r="P4426" s="22"/>
      <c r="Q4426" s="22"/>
      <c r="R4426" s="22"/>
      <c r="S4426" s="22"/>
      <c r="T4426" s="22"/>
      <c r="U4426" s="22"/>
      <c r="V4426" s="22"/>
      <c r="W4426" s="22"/>
      <c r="X4426" s="22"/>
    </row>
    <row r="4427" spans="1:24" x14ac:dyDescent="0.25">
      <c r="A4427" s="22"/>
      <c r="B4427" s="22"/>
      <c r="C4427" s="22"/>
      <c r="D4427" s="22"/>
      <c r="E4427" s="22"/>
      <c r="F4427" s="22"/>
      <c r="G4427" s="22"/>
      <c r="H4427" s="22"/>
      <c r="I4427" s="22"/>
      <c r="J4427" s="22"/>
      <c r="K4427" s="22"/>
      <c r="L4427" s="22"/>
      <c r="M4427" s="22"/>
      <c r="N4427" s="22"/>
      <c r="O4427" s="22"/>
      <c r="P4427" s="22"/>
      <c r="Q4427" s="22"/>
      <c r="R4427" s="22"/>
      <c r="S4427" s="22"/>
      <c r="T4427" s="22"/>
      <c r="U4427" s="22"/>
      <c r="V4427" s="22"/>
      <c r="W4427" s="22"/>
      <c r="X4427" s="22"/>
    </row>
    <row r="4428" spans="1:24" x14ac:dyDescent="0.25">
      <c r="A4428" s="22"/>
      <c r="B4428" s="22"/>
      <c r="C4428" s="22"/>
      <c r="D4428" s="22"/>
      <c r="E4428" s="22"/>
      <c r="F4428" s="22"/>
      <c r="G4428" s="22"/>
      <c r="H4428" s="22"/>
      <c r="I4428" s="22"/>
      <c r="J4428" s="22"/>
      <c r="K4428" s="22"/>
      <c r="L4428" s="22"/>
      <c r="M4428" s="22"/>
      <c r="N4428" s="22"/>
      <c r="O4428" s="22"/>
      <c r="P4428" s="22"/>
      <c r="Q4428" s="22"/>
      <c r="R4428" s="22"/>
      <c r="S4428" s="22"/>
      <c r="T4428" s="22"/>
      <c r="U4428" s="22"/>
      <c r="V4428" s="22"/>
      <c r="W4428" s="22"/>
      <c r="X4428" s="22"/>
    </row>
    <row r="4429" spans="1:24" x14ac:dyDescent="0.25">
      <c r="A4429" s="22"/>
      <c r="B4429" s="22"/>
      <c r="C4429" s="22"/>
      <c r="D4429" s="22"/>
      <c r="E4429" s="22"/>
      <c r="F4429" s="22"/>
      <c r="G4429" s="22"/>
      <c r="H4429" s="22"/>
      <c r="I4429" s="22"/>
      <c r="J4429" s="22"/>
      <c r="K4429" s="22"/>
      <c r="L4429" s="22"/>
      <c r="M4429" s="22"/>
      <c r="N4429" s="22"/>
      <c r="O4429" s="22"/>
      <c r="P4429" s="22"/>
      <c r="Q4429" s="22"/>
      <c r="R4429" s="22"/>
      <c r="S4429" s="22"/>
      <c r="T4429" s="22"/>
      <c r="U4429" s="22"/>
      <c r="V4429" s="22"/>
      <c r="W4429" s="22"/>
      <c r="X4429" s="22"/>
    </row>
    <row r="4430" spans="1:24" x14ac:dyDescent="0.25">
      <c r="A4430" s="22"/>
      <c r="B4430" s="22"/>
      <c r="C4430" s="22"/>
      <c r="D4430" s="22"/>
      <c r="E4430" s="22"/>
      <c r="F4430" s="22"/>
      <c r="G4430" s="22"/>
      <c r="H4430" s="22"/>
      <c r="I4430" s="22"/>
      <c r="J4430" s="22"/>
      <c r="K4430" s="22"/>
      <c r="L4430" s="22"/>
      <c r="M4430" s="22"/>
      <c r="N4430" s="22"/>
      <c r="O4430" s="22"/>
      <c r="P4430" s="22"/>
      <c r="Q4430" s="22"/>
      <c r="R4430" s="22"/>
      <c r="S4430" s="22"/>
      <c r="T4430" s="22"/>
      <c r="U4430" s="22"/>
      <c r="V4430" s="22"/>
      <c r="W4430" s="22"/>
      <c r="X4430" s="22"/>
    </row>
    <row r="4431" spans="1:24" x14ac:dyDescent="0.25">
      <c r="A4431" s="22"/>
      <c r="B4431" s="22"/>
      <c r="C4431" s="22"/>
      <c r="D4431" s="22"/>
      <c r="E4431" s="22"/>
      <c r="F4431" s="22"/>
      <c r="G4431" s="22"/>
      <c r="H4431" s="22"/>
      <c r="I4431" s="22"/>
      <c r="J4431" s="22"/>
      <c r="K4431" s="22"/>
      <c r="L4431" s="22"/>
      <c r="M4431" s="22"/>
      <c r="N4431" s="22"/>
      <c r="O4431" s="22"/>
      <c r="P4431" s="22"/>
      <c r="Q4431" s="22"/>
      <c r="R4431" s="22"/>
      <c r="S4431" s="22"/>
      <c r="T4431" s="22"/>
      <c r="U4431" s="22"/>
      <c r="V4431" s="22"/>
      <c r="W4431" s="22"/>
      <c r="X4431" s="22"/>
    </row>
    <row r="4432" spans="1:24" x14ac:dyDescent="0.25">
      <c r="A4432" s="22"/>
      <c r="B4432" s="22"/>
      <c r="C4432" s="22"/>
      <c r="D4432" s="22"/>
      <c r="E4432" s="22"/>
      <c r="F4432" s="22"/>
      <c r="G4432" s="22"/>
      <c r="H4432" s="22"/>
      <c r="I4432" s="22"/>
      <c r="J4432" s="22"/>
      <c r="K4432" s="22"/>
      <c r="L4432" s="22"/>
      <c r="M4432" s="22"/>
      <c r="N4432" s="22"/>
      <c r="O4432" s="22"/>
      <c r="P4432" s="22"/>
      <c r="Q4432" s="22"/>
      <c r="R4432" s="22"/>
      <c r="S4432" s="22"/>
      <c r="T4432" s="22"/>
      <c r="U4432" s="22"/>
      <c r="V4432" s="22"/>
      <c r="W4432" s="22"/>
      <c r="X4432" s="22"/>
    </row>
    <row r="4433" spans="1:24" x14ac:dyDescent="0.25">
      <c r="A4433" s="22"/>
      <c r="B4433" s="22"/>
      <c r="C4433" s="22"/>
      <c r="D4433" s="22"/>
      <c r="E4433" s="22"/>
      <c r="F4433" s="22"/>
      <c r="G4433" s="22"/>
      <c r="H4433" s="22"/>
      <c r="I4433" s="22"/>
      <c r="J4433" s="22"/>
      <c r="K4433" s="22"/>
      <c r="L4433" s="22"/>
      <c r="M4433" s="22"/>
      <c r="N4433" s="22"/>
      <c r="O4433" s="22"/>
      <c r="P4433" s="22"/>
      <c r="Q4433" s="22"/>
      <c r="R4433" s="22"/>
      <c r="S4433" s="22"/>
      <c r="T4433" s="22"/>
      <c r="U4433" s="22"/>
      <c r="V4433" s="22"/>
      <c r="W4433" s="22"/>
      <c r="X4433" s="22"/>
    </row>
    <row r="4434" spans="1:24" x14ac:dyDescent="0.25">
      <c r="A4434" s="22"/>
      <c r="B4434" s="22"/>
      <c r="C4434" s="22"/>
      <c r="D4434" s="22"/>
      <c r="E4434" s="22"/>
      <c r="F4434" s="22"/>
      <c r="G4434" s="22"/>
      <c r="H4434" s="22"/>
      <c r="I4434" s="22"/>
      <c r="J4434" s="22"/>
      <c r="K4434" s="22"/>
      <c r="L4434" s="22"/>
      <c r="M4434" s="22"/>
      <c r="N4434" s="22"/>
      <c r="O4434" s="22"/>
      <c r="P4434" s="22"/>
      <c r="Q4434" s="22"/>
      <c r="R4434" s="22"/>
      <c r="S4434" s="22"/>
      <c r="T4434" s="22"/>
      <c r="U4434" s="22"/>
      <c r="V4434" s="22"/>
      <c r="W4434" s="22"/>
      <c r="X4434" s="22"/>
    </row>
    <row r="4435" spans="1:24" x14ac:dyDescent="0.25">
      <c r="A4435" s="22"/>
      <c r="B4435" s="22"/>
      <c r="C4435" s="22"/>
      <c r="D4435" s="22"/>
      <c r="E4435" s="22"/>
      <c r="F4435" s="22"/>
      <c r="G4435" s="22"/>
      <c r="H4435" s="22"/>
      <c r="I4435" s="22"/>
      <c r="J4435" s="22"/>
      <c r="K4435" s="22"/>
      <c r="L4435" s="22"/>
      <c r="M4435" s="22"/>
      <c r="N4435" s="22"/>
      <c r="O4435" s="22"/>
      <c r="P4435" s="22"/>
      <c r="Q4435" s="22"/>
      <c r="R4435" s="22"/>
      <c r="S4435" s="22"/>
      <c r="T4435" s="22"/>
      <c r="U4435" s="22"/>
      <c r="V4435" s="22"/>
      <c r="W4435" s="22"/>
      <c r="X4435" s="22"/>
    </row>
    <row r="4436" spans="1:24" x14ac:dyDescent="0.25">
      <c r="A4436" s="22"/>
      <c r="B4436" s="22"/>
      <c r="C4436" s="22"/>
      <c r="D4436" s="22"/>
      <c r="E4436" s="22"/>
      <c r="F4436" s="22"/>
      <c r="G4436" s="22"/>
      <c r="H4436" s="22"/>
      <c r="I4436" s="22"/>
      <c r="J4436" s="22"/>
      <c r="K4436" s="22"/>
      <c r="L4436" s="22"/>
      <c r="M4436" s="22"/>
      <c r="N4436" s="22"/>
      <c r="O4436" s="22"/>
      <c r="P4436" s="22"/>
      <c r="Q4436" s="22"/>
      <c r="R4436" s="22"/>
      <c r="S4436" s="22"/>
      <c r="T4436" s="22"/>
      <c r="U4436" s="22"/>
      <c r="V4436" s="22"/>
      <c r="W4436" s="22"/>
      <c r="X4436" s="22"/>
    </row>
    <row r="4437" spans="1:24" x14ac:dyDescent="0.25">
      <c r="A4437" s="22"/>
      <c r="B4437" s="22"/>
      <c r="C4437" s="22"/>
      <c r="D4437" s="22"/>
      <c r="E4437" s="22"/>
      <c r="F4437" s="22"/>
      <c r="G4437" s="22"/>
      <c r="H4437" s="22"/>
      <c r="I4437" s="22"/>
      <c r="J4437" s="22"/>
      <c r="K4437" s="22"/>
      <c r="L4437" s="22"/>
      <c r="M4437" s="22"/>
      <c r="N4437" s="22"/>
      <c r="O4437" s="22"/>
      <c r="P4437" s="22"/>
      <c r="Q4437" s="22"/>
      <c r="R4437" s="22"/>
      <c r="S4437" s="22"/>
      <c r="T4437" s="22"/>
      <c r="U4437" s="22"/>
      <c r="V4437" s="22"/>
      <c r="W4437" s="22"/>
      <c r="X4437" s="22"/>
    </row>
    <row r="4438" spans="1:24" x14ac:dyDescent="0.25">
      <c r="A4438" s="22"/>
      <c r="B4438" s="22"/>
      <c r="C4438" s="22"/>
      <c r="D4438" s="22"/>
      <c r="E4438" s="22"/>
      <c r="F4438" s="22"/>
      <c r="G4438" s="22"/>
      <c r="H4438" s="22"/>
      <c r="I4438" s="22"/>
      <c r="J4438" s="22"/>
      <c r="K4438" s="22"/>
      <c r="L4438" s="22"/>
      <c r="M4438" s="22"/>
      <c r="N4438" s="22"/>
      <c r="O4438" s="22"/>
      <c r="P4438" s="22"/>
      <c r="Q4438" s="22"/>
      <c r="R4438" s="22"/>
      <c r="S4438" s="22"/>
      <c r="T4438" s="22"/>
      <c r="U4438" s="22"/>
      <c r="V4438" s="22"/>
      <c r="W4438" s="22"/>
      <c r="X4438" s="22"/>
    </row>
    <row r="4439" spans="1:24" x14ac:dyDescent="0.25">
      <c r="A4439" s="22"/>
      <c r="B4439" s="22"/>
      <c r="C4439" s="22"/>
      <c r="D4439" s="22"/>
      <c r="E4439" s="22"/>
      <c r="F4439" s="22"/>
      <c r="G4439" s="22"/>
      <c r="H4439" s="22"/>
      <c r="I4439" s="22"/>
      <c r="J4439" s="22"/>
      <c r="K4439" s="22"/>
      <c r="L4439" s="22"/>
      <c r="M4439" s="22"/>
      <c r="N4439" s="22"/>
      <c r="O4439" s="22"/>
      <c r="P4439" s="22"/>
      <c r="Q4439" s="22"/>
      <c r="R4439" s="22"/>
      <c r="S4439" s="22"/>
      <c r="T4439" s="22"/>
      <c r="U4439" s="22"/>
      <c r="V4439" s="22"/>
      <c r="W4439" s="22"/>
      <c r="X4439" s="22"/>
    </row>
    <row r="4440" spans="1:24" x14ac:dyDescent="0.25">
      <c r="A4440" s="22"/>
      <c r="B4440" s="22"/>
      <c r="C4440" s="22"/>
      <c r="D4440" s="22"/>
      <c r="E4440" s="22"/>
      <c r="F4440" s="22"/>
      <c r="G4440" s="22"/>
      <c r="H4440" s="22"/>
      <c r="I4440" s="22"/>
      <c r="J4440" s="22"/>
      <c r="K4440" s="22"/>
      <c r="L4440" s="22"/>
      <c r="M4440" s="22"/>
      <c r="N4440" s="22"/>
      <c r="O4440" s="22"/>
      <c r="P4440" s="22"/>
      <c r="Q4440" s="22"/>
      <c r="R4440" s="22"/>
      <c r="S4440" s="22"/>
      <c r="T4440" s="22"/>
      <c r="U4440" s="22"/>
      <c r="V4440" s="22"/>
      <c r="W4440" s="22"/>
      <c r="X4440" s="22"/>
    </row>
    <row r="4441" spans="1:24" x14ac:dyDescent="0.25">
      <c r="A4441" s="22"/>
      <c r="B4441" s="22"/>
      <c r="C4441" s="22"/>
      <c r="D4441" s="22"/>
      <c r="E4441" s="22"/>
      <c r="F4441" s="22"/>
      <c r="G4441" s="22"/>
      <c r="H4441" s="22"/>
      <c r="I4441" s="22"/>
      <c r="J4441" s="22"/>
      <c r="K4441" s="22"/>
      <c r="L4441" s="22"/>
      <c r="M4441" s="22"/>
      <c r="N4441" s="22"/>
      <c r="O4441" s="22"/>
      <c r="P4441" s="22"/>
      <c r="Q4441" s="22"/>
      <c r="R4441" s="22"/>
      <c r="S4441" s="22"/>
      <c r="T4441" s="22"/>
      <c r="U4441" s="22"/>
      <c r="V4441" s="22"/>
      <c r="W4441" s="22"/>
      <c r="X4441" s="22"/>
    </row>
    <row r="4442" spans="1:24" x14ac:dyDescent="0.25">
      <c r="A4442" s="22"/>
      <c r="B4442" s="22"/>
      <c r="C4442" s="22"/>
      <c r="D4442" s="22"/>
      <c r="E4442" s="22"/>
      <c r="F4442" s="22"/>
      <c r="G4442" s="22"/>
      <c r="H4442" s="22"/>
      <c r="I4442" s="22"/>
      <c r="J4442" s="22"/>
      <c r="K4442" s="22"/>
      <c r="L4442" s="22"/>
      <c r="M4442" s="22"/>
      <c r="N4442" s="22"/>
      <c r="O4442" s="22"/>
      <c r="P4442" s="22"/>
      <c r="Q4442" s="22"/>
      <c r="R4442" s="22"/>
      <c r="S4442" s="22"/>
      <c r="T4442" s="22"/>
      <c r="U4442" s="22"/>
      <c r="V4442" s="22"/>
      <c r="W4442" s="22"/>
      <c r="X4442" s="22"/>
    </row>
    <row r="4443" spans="1:24" x14ac:dyDescent="0.25">
      <c r="A4443" s="22"/>
      <c r="B4443" s="22"/>
      <c r="C4443" s="22"/>
      <c r="D4443" s="22"/>
      <c r="E4443" s="22"/>
      <c r="F4443" s="22"/>
      <c r="G4443" s="22"/>
      <c r="H4443" s="22"/>
      <c r="I4443" s="22"/>
      <c r="J4443" s="22"/>
      <c r="K4443" s="22"/>
      <c r="L4443" s="22"/>
      <c r="M4443" s="22"/>
      <c r="N4443" s="22"/>
      <c r="O4443" s="22"/>
      <c r="P4443" s="22"/>
      <c r="Q4443" s="22"/>
      <c r="R4443" s="22"/>
      <c r="S4443" s="22"/>
      <c r="T4443" s="22"/>
      <c r="U4443" s="22"/>
      <c r="V4443" s="22"/>
      <c r="W4443" s="22"/>
      <c r="X4443" s="22"/>
    </row>
    <row r="4444" spans="1:24" x14ac:dyDescent="0.25">
      <c r="A4444" s="22"/>
      <c r="B4444" s="22"/>
      <c r="C4444" s="22"/>
      <c r="D4444" s="22"/>
      <c r="E4444" s="22"/>
      <c r="F4444" s="22"/>
      <c r="G4444" s="22"/>
      <c r="H4444" s="22"/>
      <c r="I4444" s="22"/>
      <c r="J4444" s="22"/>
      <c r="K4444" s="22"/>
      <c r="L4444" s="22"/>
      <c r="M4444" s="22"/>
      <c r="N4444" s="22"/>
      <c r="O4444" s="22"/>
      <c r="P4444" s="22"/>
      <c r="Q4444" s="22"/>
      <c r="R4444" s="22"/>
      <c r="S4444" s="22"/>
      <c r="T4444" s="22"/>
      <c r="U4444" s="22"/>
      <c r="V4444" s="22"/>
      <c r="W4444" s="22"/>
      <c r="X4444" s="22"/>
    </row>
    <row r="4445" spans="1:24" x14ac:dyDescent="0.25">
      <c r="A4445" s="22"/>
      <c r="B4445" s="22"/>
      <c r="C4445" s="22"/>
      <c r="D4445" s="22"/>
      <c r="E4445" s="22"/>
      <c r="F4445" s="22"/>
      <c r="G4445" s="22"/>
      <c r="H4445" s="22"/>
      <c r="I4445" s="22"/>
      <c r="J4445" s="22"/>
      <c r="K4445" s="22"/>
      <c r="L4445" s="22"/>
      <c r="M4445" s="22"/>
      <c r="N4445" s="22"/>
      <c r="O4445" s="22"/>
      <c r="P4445" s="22"/>
      <c r="Q4445" s="22"/>
      <c r="R4445" s="22"/>
      <c r="S4445" s="22"/>
      <c r="T4445" s="22"/>
      <c r="U4445" s="22"/>
      <c r="V4445" s="22"/>
      <c r="W4445" s="22"/>
      <c r="X4445" s="22"/>
    </row>
    <row r="4446" spans="1:24" x14ac:dyDescent="0.25">
      <c r="A4446" s="22"/>
      <c r="B4446" s="22"/>
      <c r="C4446" s="22"/>
      <c r="D4446" s="22"/>
      <c r="E4446" s="22"/>
      <c r="F4446" s="22"/>
      <c r="G4446" s="22"/>
      <c r="H4446" s="22"/>
      <c r="I4446" s="22"/>
      <c r="J4446" s="22"/>
      <c r="K4446" s="22"/>
      <c r="L4446" s="22"/>
      <c r="M4446" s="22"/>
      <c r="N4446" s="22"/>
      <c r="O4446" s="22"/>
      <c r="P4446" s="22"/>
      <c r="Q4446" s="22"/>
      <c r="R4446" s="22"/>
      <c r="S4446" s="22"/>
      <c r="T4446" s="22"/>
      <c r="U4446" s="22"/>
      <c r="V4446" s="22"/>
      <c r="W4446" s="22"/>
      <c r="X4446" s="22"/>
    </row>
    <row r="4447" spans="1:24" x14ac:dyDescent="0.25">
      <c r="A4447" s="22"/>
      <c r="B4447" s="22"/>
      <c r="C4447" s="22"/>
      <c r="D4447" s="22"/>
      <c r="E4447" s="22"/>
      <c r="F4447" s="22"/>
      <c r="G4447" s="22"/>
      <c r="H4447" s="22"/>
      <c r="I4447" s="22"/>
      <c r="J4447" s="22"/>
      <c r="K4447" s="22"/>
      <c r="L4447" s="22"/>
      <c r="M4447" s="22"/>
      <c r="N4447" s="22"/>
      <c r="O4447" s="22"/>
      <c r="P4447" s="22"/>
      <c r="Q4447" s="22"/>
      <c r="R4447" s="22"/>
      <c r="S4447" s="22"/>
      <c r="T4447" s="22"/>
      <c r="U4447" s="22"/>
      <c r="V4447" s="22"/>
      <c r="W4447" s="22"/>
      <c r="X4447" s="22"/>
    </row>
    <row r="4448" spans="1:24" x14ac:dyDescent="0.25">
      <c r="A4448" s="22"/>
      <c r="B4448" s="22"/>
      <c r="C4448" s="22"/>
      <c r="D4448" s="22"/>
      <c r="E4448" s="22"/>
      <c r="F4448" s="22"/>
      <c r="G4448" s="22"/>
      <c r="H4448" s="22"/>
      <c r="I4448" s="22"/>
      <c r="J4448" s="22"/>
      <c r="K4448" s="22"/>
      <c r="L4448" s="22"/>
      <c r="M4448" s="22"/>
      <c r="N4448" s="22"/>
      <c r="O4448" s="22"/>
      <c r="P4448" s="22"/>
      <c r="Q4448" s="22"/>
      <c r="R4448" s="22"/>
      <c r="S4448" s="22"/>
      <c r="T4448" s="22"/>
      <c r="U4448" s="22"/>
      <c r="V4448" s="22"/>
      <c r="W4448" s="22"/>
      <c r="X4448" s="22"/>
    </row>
    <row r="4449" spans="1:24" x14ac:dyDescent="0.25">
      <c r="A4449" s="22"/>
      <c r="B4449" s="22"/>
      <c r="C4449" s="22"/>
      <c r="D4449" s="22"/>
      <c r="E4449" s="22"/>
      <c r="F4449" s="22"/>
      <c r="G4449" s="22"/>
      <c r="H4449" s="22"/>
      <c r="I4449" s="22"/>
      <c r="J4449" s="22"/>
      <c r="K4449" s="22"/>
      <c r="L4449" s="22"/>
      <c r="M4449" s="22"/>
      <c r="N4449" s="22"/>
      <c r="O4449" s="22"/>
      <c r="P4449" s="22"/>
      <c r="Q4449" s="22"/>
      <c r="R4449" s="22"/>
      <c r="S4449" s="22"/>
      <c r="T4449" s="22"/>
      <c r="U4449" s="22"/>
      <c r="V4449" s="22"/>
      <c r="W4449" s="22"/>
      <c r="X4449" s="22"/>
    </row>
    <row r="4450" spans="1:24" x14ac:dyDescent="0.25">
      <c r="A4450" s="22"/>
      <c r="B4450" s="22"/>
      <c r="C4450" s="22"/>
      <c r="D4450" s="22"/>
      <c r="E4450" s="22"/>
      <c r="F4450" s="22"/>
      <c r="G4450" s="22"/>
      <c r="H4450" s="22"/>
      <c r="I4450" s="22"/>
      <c r="J4450" s="22"/>
      <c r="K4450" s="22"/>
      <c r="L4450" s="22"/>
      <c r="M4450" s="22"/>
      <c r="N4450" s="22"/>
      <c r="O4450" s="22"/>
      <c r="P4450" s="22"/>
      <c r="Q4450" s="22"/>
      <c r="R4450" s="22"/>
      <c r="S4450" s="22"/>
      <c r="T4450" s="22"/>
      <c r="U4450" s="22"/>
      <c r="V4450" s="22"/>
      <c r="W4450" s="22"/>
      <c r="X4450" s="22"/>
    </row>
    <row r="4451" spans="1:24" x14ac:dyDescent="0.25">
      <c r="A4451" s="22"/>
      <c r="B4451" s="22"/>
      <c r="C4451" s="22"/>
      <c r="D4451" s="22"/>
      <c r="E4451" s="22"/>
      <c r="F4451" s="22"/>
      <c r="G4451" s="22"/>
      <c r="H4451" s="22"/>
      <c r="I4451" s="22"/>
      <c r="J4451" s="22"/>
      <c r="K4451" s="22"/>
      <c r="L4451" s="22"/>
      <c r="M4451" s="22"/>
      <c r="N4451" s="22"/>
      <c r="O4451" s="22"/>
      <c r="P4451" s="22"/>
      <c r="Q4451" s="22"/>
      <c r="R4451" s="22"/>
      <c r="S4451" s="22"/>
      <c r="T4451" s="22"/>
      <c r="U4451" s="22"/>
      <c r="V4451" s="22"/>
      <c r="W4451" s="22"/>
      <c r="X4451" s="22"/>
    </row>
    <row r="4452" spans="1:24" x14ac:dyDescent="0.25">
      <c r="A4452" s="22"/>
      <c r="B4452" s="22"/>
      <c r="C4452" s="22"/>
      <c r="D4452" s="22"/>
      <c r="E4452" s="22"/>
      <c r="F4452" s="22"/>
      <c r="G4452" s="22"/>
      <c r="H4452" s="22"/>
      <c r="I4452" s="22"/>
      <c r="J4452" s="22"/>
      <c r="K4452" s="22"/>
      <c r="L4452" s="22"/>
      <c r="M4452" s="22"/>
      <c r="N4452" s="22"/>
      <c r="O4452" s="22"/>
      <c r="P4452" s="22"/>
      <c r="Q4452" s="22"/>
      <c r="R4452" s="22"/>
      <c r="S4452" s="22"/>
      <c r="T4452" s="22"/>
      <c r="U4452" s="22"/>
      <c r="V4452" s="22"/>
      <c r="W4452" s="22"/>
      <c r="X4452" s="22"/>
    </row>
    <row r="4453" spans="1:24" x14ac:dyDescent="0.25">
      <c r="A4453" s="22"/>
      <c r="B4453" s="22"/>
      <c r="C4453" s="22"/>
      <c r="D4453" s="22"/>
      <c r="E4453" s="22"/>
      <c r="F4453" s="22"/>
      <c r="G4453" s="22"/>
      <c r="H4453" s="22"/>
      <c r="I4453" s="22"/>
      <c r="J4453" s="22"/>
      <c r="K4453" s="22"/>
      <c r="L4453" s="22"/>
      <c r="M4453" s="22"/>
      <c r="N4453" s="22"/>
      <c r="O4453" s="22"/>
      <c r="P4453" s="22"/>
      <c r="Q4453" s="22"/>
      <c r="R4453" s="22"/>
      <c r="S4453" s="22"/>
      <c r="T4453" s="22"/>
      <c r="U4453" s="22"/>
      <c r="V4453" s="22"/>
      <c r="W4453" s="22"/>
      <c r="X4453" s="22"/>
    </row>
    <row r="4454" spans="1:24" x14ac:dyDescent="0.25">
      <c r="A4454" s="22"/>
      <c r="B4454" s="22"/>
      <c r="C4454" s="22"/>
      <c r="D4454" s="22"/>
      <c r="E4454" s="22"/>
      <c r="F4454" s="22"/>
      <c r="G4454" s="22"/>
      <c r="H4454" s="22"/>
      <c r="I4454" s="22"/>
      <c r="J4454" s="22"/>
      <c r="K4454" s="22"/>
      <c r="L4454" s="22"/>
      <c r="M4454" s="22"/>
      <c r="N4454" s="22"/>
      <c r="O4454" s="22"/>
      <c r="P4454" s="22"/>
      <c r="Q4454" s="22"/>
      <c r="R4454" s="22"/>
      <c r="S4454" s="22"/>
      <c r="T4454" s="22"/>
      <c r="U4454" s="22"/>
      <c r="V4454" s="22"/>
      <c r="W4454" s="22"/>
      <c r="X4454" s="22"/>
    </row>
    <row r="4455" spans="1:24" x14ac:dyDescent="0.25">
      <c r="A4455" s="22"/>
      <c r="B4455" s="22"/>
      <c r="C4455" s="22"/>
      <c r="D4455" s="22"/>
      <c r="E4455" s="22"/>
      <c r="F4455" s="22"/>
      <c r="G4455" s="22"/>
      <c r="H4455" s="22"/>
      <c r="I4455" s="22"/>
      <c r="J4455" s="22"/>
      <c r="K4455" s="22"/>
      <c r="L4455" s="22"/>
      <c r="M4455" s="22"/>
      <c r="N4455" s="22"/>
      <c r="O4455" s="22"/>
      <c r="P4455" s="22"/>
      <c r="Q4455" s="22"/>
      <c r="R4455" s="22"/>
      <c r="S4455" s="22"/>
      <c r="T4455" s="22"/>
      <c r="U4455" s="22"/>
      <c r="V4455" s="22"/>
      <c r="W4455" s="22"/>
      <c r="X4455" s="22"/>
    </row>
    <row r="4456" spans="1:24" x14ac:dyDescent="0.25">
      <c r="A4456" s="22"/>
      <c r="B4456" s="22"/>
      <c r="C4456" s="22"/>
      <c r="D4456" s="22"/>
      <c r="E4456" s="22"/>
      <c r="F4456" s="22"/>
      <c r="G4456" s="22"/>
      <c r="H4456" s="22"/>
      <c r="I4456" s="22"/>
      <c r="J4456" s="22"/>
      <c r="K4456" s="22"/>
      <c r="L4456" s="22"/>
      <c r="M4456" s="22"/>
      <c r="N4456" s="22"/>
      <c r="O4456" s="22"/>
      <c r="P4456" s="22"/>
      <c r="Q4456" s="22"/>
      <c r="R4456" s="22"/>
      <c r="S4456" s="22"/>
      <c r="T4456" s="22"/>
      <c r="U4456" s="22"/>
      <c r="V4456" s="22"/>
      <c r="W4456" s="22"/>
      <c r="X4456" s="22"/>
    </row>
    <row r="4457" spans="1:24" x14ac:dyDescent="0.25">
      <c r="A4457" s="22"/>
      <c r="B4457" s="22"/>
      <c r="C4457" s="22"/>
      <c r="D4457" s="22"/>
      <c r="E4457" s="22"/>
      <c r="F4457" s="22"/>
      <c r="G4457" s="22"/>
      <c r="H4457" s="22"/>
      <c r="I4457" s="22"/>
      <c r="J4457" s="22"/>
      <c r="K4457" s="22"/>
      <c r="L4457" s="22"/>
      <c r="M4457" s="22"/>
      <c r="N4457" s="22"/>
      <c r="O4457" s="22"/>
      <c r="P4457" s="22"/>
      <c r="Q4457" s="22"/>
      <c r="R4457" s="22"/>
      <c r="S4457" s="22"/>
      <c r="T4457" s="22"/>
      <c r="U4457" s="22"/>
      <c r="V4457" s="22"/>
      <c r="W4457" s="22"/>
      <c r="X4457" s="22"/>
    </row>
    <row r="4458" spans="1:24" x14ac:dyDescent="0.25">
      <c r="A4458" s="22"/>
      <c r="B4458" s="22"/>
      <c r="C4458" s="22"/>
      <c r="D4458" s="22"/>
      <c r="E4458" s="22"/>
      <c r="F4458" s="22"/>
      <c r="G4458" s="22"/>
      <c r="H4458" s="22"/>
      <c r="I4458" s="22"/>
      <c r="J4458" s="22"/>
      <c r="K4458" s="22"/>
      <c r="L4458" s="22"/>
      <c r="M4458" s="22"/>
      <c r="N4458" s="22"/>
      <c r="O4458" s="22"/>
      <c r="P4458" s="22"/>
      <c r="Q4458" s="22"/>
      <c r="R4458" s="22"/>
      <c r="S4458" s="22"/>
      <c r="T4458" s="22"/>
      <c r="U4458" s="22"/>
      <c r="V4458" s="22"/>
      <c r="W4458" s="22"/>
      <c r="X4458" s="22"/>
    </row>
    <row r="4459" spans="1:24" x14ac:dyDescent="0.25">
      <c r="A4459" s="22"/>
      <c r="B4459" s="22"/>
      <c r="C4459" s="22"/>
      <c r="D4459" s="22"/>
      <c r="E4459" s="22"/>
      <c r="F4459" s="22"/>
      <c r="G4459" s="22"/>
      <c r="H4459" s="22"/>
      <c r="I4459" s="22"/>
      <c r="J4459" s="22"/>
      <c r="K4459" s="22"/>
      <c r="L4459" s="22"/>
      <c r="M4459" s="22"/>
      <c r="N4459" s="22"/>
      <c r="O4459" s="22"/>
      <c r="P4459" s="22"/>
      <c r="Q4459" s="22"/>
      <c r="R4459" s="22"/>
      <c r="S4459" s="22"/>
      <c r="T4459" s="22"/>
      <c r="U4459" s="22"/>
      <c r="V4459" s="22"/>
      <c r="W4459" s="22"/>
      <c r="X4459" s="22"/>
    </row>
    <row r="4460" spans="1:24" x14ac:dyDescent="0.25">
      <c r="A4460" s="22"/>
      <c r="B4460" s="22"/>
      <c r="C4460" s="22"/>
      <c r="D4460" s="22"/>
      <c r="E4460" s="22"/>
      <c r="F4460" s="22"/>
      <c r="G4460" s="22"/>
      <c r="H4460" s="22"/>
      <c r="I4460" s="22"/>
      <c r="J4460" s="22"/>
      <c r="K4460" s="22"/>
      <c r="L4460" s="22"/>
      <c r="M4460" s="22"/>
      <c r="N4460" s="22"/>
      <c r="O4460" s="22"/>
      <c r="P4460" s="22"/>
      <c r="Q4460" s="22"/>
      <c r="R4460" s="22"/>
      <c r="S4460" s="22"/>
      <c r="T4460" s="22"/>
      <c r="U4460" s="22"/>
      <c r="V4460" s="22"/>
      <c r="W4460" s="22"/>
      <c r="X4460" s="22"/>
    </row>
    <row r="4461" spans="1:24" x14ac:dyDescent="0.25">
      <c r="A4461" s="22"/>
      <c r="B4461" s="22"/>
      <c r="C4461" s="22"/>
      <c r="D4461" s="22"/>
      <c r="E4461" s="22"/>
      <c r="F4461" s="22"/>
      <c r="G4461" s="22"/>
      <c r="H4461" s="22"/>
      <c r="I4461" s="22"/>
      <c r="J4461" s="22"/>
      <c r="K4461" s="22"/>
      <c r="L4461" s="22"/>
      <c r="M4461" s="22"/>
      <c r="N4461" s="22"/>
      <c r="O4461" s="22"/>
      <c r="P4461" s="22"/>
      <c r="Q4461" s="22"/>
      <c r="R4461" s="22"/>
      <c r="S4461" s="22"/>
      <c r="T4461" s="22"/>
      <c r="U4461" s="22"/>
      <c r="V4461" s="22"/>
      <c r="W4461" s="22"/>
      <c r="X4461" s="22"/>
    </row>
    <row r="4462" spans="1:24" x14ac:dyDescent="0.25">
      <c r="A4462" s="22"/>
      <c r="B4462" s="22"/>
      <c r="C4462" s="22"/>
      <c r="D4462" s="22"/>
      <c r="E4462" s="22"/>
      <c r="F4462" s="22"/>
      <c r="G4462" s="22"/>
      <c r="H4462" s="22"/>
      <c r="I4462" s="22"/>
      <c r="J4462" s="22"/>
      <c r="K4462" s="22"/>
      <c r="L4462" s="22"/>
      <c r="M4462" s="22"/>
      <c r="N4462" s="22"/>
      <c r="O4462" s="22"/>
      <c r="P4462" s="22"/>
      <c r="Q4462" s="22"/>
      <c r="R4462" s="22"/>
      <c r="S4462" s="22"/>
      <c r="T4462" s="22"/>
      <c r="U4462" s="22"/>
      <c r="V4462" s="22"/>
      <c r="W4462" s="22"/>
      <c r="X4462" s="22"/>
    </row>
    <row r="4463" spans="1:24" x14ac:dyDescent="0.25">
      <c r="A4463" s="22"/>
      <c r="B4463" s="22"/>
      <c r="C4463" s="22"/>
      <c r="D4463" s="22"/>
      <c r="E4463" s="22"/>
      <c r="F4463" s="22"/>
      <c r="G4463" s="22"/>
      <c r="H4463" s="22"/>
      <c r="I4463" s="22"/>
      <c r="J4463" s="22"/>
      <c r="K4463" s="22"/>
      <c r="L4463" s="22"/>
      <c r="M4463" s="22"/>
      <c r="N4463" s="22"/>
      <c r="O4463" s="22"/>
      <c r="P4463" s="22"/>
      <c r="Q4463" s="22"/>
      <c r="R4463" s="22"/>
      <c r="S4463" s="22"/>
      <c r="T4463" s="22"/>
      <c r="U4463" s="22"/>
      <c r="V4463" s="22"/>
      <c r="W4463" s="22"/>
      <c r="X4463" s="22"/>
    </row>
    <row r="4464" spans="1:24" x14ac:dyDescent="0.25">
      <c r="A4464" s="22"/>
      <c r="B4464" s="22"/>
      <c r="C4464" s="22"/>
      <c r="D4464" s="22"/>
      <c r="E4464" s="22"/>
      <c r="F4464" s="22"/>
      <c r="G4464" s="22"/>
      <c r="H4464" s="22"/>
      <c r="I4464" s="22"/>
      <c r="J4464" s="22"/>
      <c r="K4464" s="22"/>
      <c r="L4464" s="22"/>
      <c r="M4464" s="22"/>
      <c r="N4464" s="22"/>
      <c r="O4464" s="22"/>
      <c r="P4464" s="22"/>
      <c r="Q4464" s="22"/>
      <c r="R4464" s="22"/>
      <c r="S4464" s="22"/>
      <c r="T4464" s="22"/>
      <c r="U4464" s="22"/>
      <c r="V4464" s="22"/>
      <c r="W4464" s="22"/>
      <c r="X4464" s="22"/>
    </row>
    <row r="4465" spans="1:24" x14ac:dyDescent="0.25">
      <c r="A4465" s="22"/>
      <c r="B4465" s="22"/>
      <c r="C4465" s="22"/>
      <c r="D4465" s="22"/>
      <c r="E4465" s="22"/>
      <c r="F4465" s="22"/>
      <c r="G4465" s="22"/>
      <c r="H4465" s="22"/>
      <c r="I4465" s="22"/>
      <c r="J4465" s="22"/>
      <c r="K4465" s="22"/>
      <c r="L4465" s="22"/>
      <c r="M4465" s="22"/>
      <c r="N4465" s="22"/>
      <c r="O4465" s="22"/>
      <c r="P4465" s="22"/>
      <c r="Q4465" s="22"/>
      <c r="R4465" s="22"/>
      <c r="S4465" s="22"/>
      <c r="T4465" s="22"/>
      <c r="U4465" s="22"/>
      <c r="V4465" s="22"/>
      <c r="W4465" s="22"/>
      <c r="X4465" s="22"/>
    </row>
    <row r="4466" spans="1:24" x14ac:dyDescent="0.25">
      <c r="A4466" s="22"/>
      <c r="B4466" s="22"/>
      <c r="C4466" s="22"/>
      <c r="D4466" s="22"/>
      <c r="E4466" s="22"/>
      <c r="F4466" s="22"/>
      <c r="G4466" s="22"/>
      <c r="H4466" s="22"/>
      <c r="I4466" s="22"/>
      <c r="J4466" s="22"/>
      <c r="K4466" s="22"/>
      <c r="L4466" s="22"/>
      <c r="M4466" s="22"/>
      <c r="N4466" s="22"/>
      <c r="O4466" s="22"/>
      <c r="P4466" s="22"/>
      <c r="Q4466" s="22"/>
      <c r="R4466" s="22"/>
      <c r="S4466" s="22"/>
      <c r="T4466" s="22"/>
      <c r="U4466" s="22"/>
      <c r="V4466" s="22"/>
      <c r="W4466" s="22"/>
      <c r="X4466" s="22"/>
    </row>
    <row r="4467" spans="1:24" x14ac:dyDescent="0.25">
      <c r="A4467" s="22"/>
      <c r="B4467" s="22"/>
      <c r="C4467" s="22"/>
      <c r="D4467" s="22"/>
      <c r="E4467" s="22"/>
      <c r="F4467" s="22"/>
      <c r="G4467" s="22"/>
      <c r="H4467" s="22"/>
      <c r="I4467" s="22"/>
      <c r="J4467" s="22"/>
      <c r="K4467" s="22"/>
      <c r="L4467" s="22"/>
      <c r="M4467" s="22"/>
      <c r="N4467" s="22"/>
      <c r="O4467" s="22"/>
      <c r="P4467" s="22"/>
      <c r="Q4467" s="22"/>
      <c r="R4467" s="22"/>
      <c r="S4467" s="22"/>
      <c r="T4467" s="22"/>
      <c r="U4467" s="22"/>
      <c r="V4467" s="22"/>
      <c r="W4467" s="22"/>
      <c r="X4467" s="22"/>
    </row>
    <row r="4468" spans="1:24" x14ac:dyDescent="0.25">
      <c r="A4468" s="22"/>
      <c r="B4468" s="22"/>
      <c r="C4468" s="22"/>
      <c r="D4468" s="22"/>
      <c r="E4468" s="22"/>
      <c r="F4468" s="22"/>
      <c r="G4468" s="22"/>
      <c r="H4468" s="22"/>
      <c r="I4468" s="22"/>
      <c r="J4468" s="22"/>
      <c r="K4468" s="22"/>
      <c r="L4468" s="22"/>
      <c r="M4468" s="22"/>
      <c r="N4468" s="22"/>
      <c r="O4468" s="22"/>
      <c r="P4468" s="22"/>
      <c r="Q4468" s="22"/>
      <c r="R4468" s="22"/>
      <c r="S4468" s="22"/>
      <c r="T4468" s="22"/>
      <c r="U4468" s="22"/>
      <c r="V4468" s="22"/>
      <c r="W4468" s="22"/>
      <c r="X4468" s="22"/>
    </row>
    <row r="4469" spans="1:24" x14ac:dyDescent="0.25">
      <c r="A4469" s="22"/>
      <c r="B4469" s="22"/>
      <c r="C4469" s="22"/>
      <c r="D4469" s="22"/>
      <c r="E4469" s="22"/>
      <c r="F4469" s="22"/>
      <c r="G4469" s="22"/>
      <c r="H4469" s="22"/>
      <c r="I4469" s="22"/>
      <c r="J4469" s="22"/>
      <c r="K4469" s="22"/>
      <c r="L4469" s="22"/>
      <c r="M4469" s="22"/>
      <c r="N4469" s="22"/>
      <c r="O4469" s="22"/>
      <c r="P4469" s="22"/>
      <c r="Q4469" s="22"/>
      <c r="R4469" s="22"/>
      <c r="S4469" s="22"/>
      <c r="T4469" s="22"/>
      <c r="U4469" s="22"/>
      <c r="V4469" s="22"/>
      <c r="W4469" s="22"/>
      <c r="X4469" s="22"/>
    </row>
    <row r="4470" spans="1:24" x14ac:dyDescent="0.25">
      <c r="A4470" s="22"/>
      <c r="B4470" s="22"/>
      <c r="C4470" s="22"/>
      <c r="D4470" s="22"/>
      <c r="E4470" s="22"/>
      <c r="F4470" s="22"/>
      <c r="G4470" s="22"/>
      <c r="H4470" s="22"/>
      <c r="I4470" s="22"/>
      <c r="J4470" s="22"/>
      <c r="K4470" s="22"/>
      <c r="L4470" s="22"/>
      <c r="M4470" s="22"/>
      <c r="N4470" s="22"/>
      <c r="O4470" s="22"/>
      <c r="P4470" s="22"/>
      <c r="Q4470" s="22"/>
      <c r="R4470" s="22"/>
      <c r="S4470" s="22"/>
      <c r="T4470" s="22"/>
      <c r="U4470" s="22"/>
      <c r="V4470" s="22"/>
      <c r="W4470" s="22"/>
      <c r="X4470" s="22"/>
    </row>
    <row r="4471" spans="1:24" x14ac:dyDescent="0.25">
      <c r="A4471" s="22"/>
      <c r="B4471" s="22"/>
      <c r="C4471" s="22"/>
      <c r="D4471" s="22"/>
      <c r="E4471" s="22"/>
      <c r="F4471" s="22"/>
      <c r="G4471" s="22"/>
      <c r="H4471" s="22"/>
      <c r="I4471" s="22"/>
      <c r="J4471" s="22"/>
      <c r="K4471" s="22"/>
      <c r="L4471" s="22"/>
      <c r="M4471" s="22"/>
      <c r="N4471" s="22"/>
      <c r="O4471" s="22"/>
      <c r="P4471" s="22"/>
      <c r="Q4471" s="22"/>
      <c r="R4471" s="22"/>
      <c r="S4471" s="22"/>
      <c r="T4471" s="22"/>
      <c r="U4471" s="22"/>
      <c r="V4471" s="22"/>
      <c r="W4471" s="22"/>
      <c r="X4471" s="22"/>
    </row>
    <row r="4472" spans="1:24" x14ac:dyDescent="0.25">
      <c r="A4472" s="22"/>
      <c r="B4472" s="22"/>
      <c r="C4472" s="22"/>
      <c r="D4472" s="22"/>
      <c r="E4472" s="22"/>
      <c r="F4472" s="22"/>
      <c r="G4472" s="22"/>
      <c r="H4472" s="22"/>
      <c r="I4472" s="22"/>
      <c r="J4472" s="22"/>
      <c r="K4472" s="22"/>
      <c r="L4472" s="22"/>
      <c r="M4472" s="22"/>
      <c r="N4472" s="22"/>
      <c r="O4472" s="22"/>
      <c r="P4472" s="22"/>
      <c r="Q4472" s="22"/>
      <c r="R4472" s="22"/>
      <c r="S4472" s="22"/>
      <c r="T4472" s="22"/>
      <c r="U4472" s="22"/>
      <c r="V4472" s="22"/>
      <c r="W4472" s="22"/>
      <c r="X4472" s="22"/>
    </row>
    <row r="4473" spans="1:24" x14ac:dyDescent="0.25">
      <c r="A4473" s="22"/>
      <c r="B4473" s="22"/>
      <c r="C4473" s="22"/>
      <c r="D4473" s="22"/>
      <c r="E4473" s="22"/>
      <c r="F4473" s="22"/>
      <c r="G4473" s="22"/>
      <c r="H4473" s="22"/>
      <c r="I4473" s="22"/>
      <c r="J4473" s="22"/>
      <c r="K4473" s="22"/>
      <c r="L4473" s="22"/>
      <c r="M4473" s="22"/>
      <c r="N4473" s="22"/>
      <c r="O4473" s="22"/>
      <c r="P4473" s="22"/>
      <c r="Q4473" s="22"/>
      <c r="R4473" s="22"/>
      <c r="S4473" s="22"/>
      <c r="T4473" s="22"/>
      <c r="U4473" s="22"/>
      <c r="V4473" s="22"/>
      <c r="W4473" s="22"/>
      <c r="X4473" s="22"/>
    </row>
    <row r="4474" spans="1:24" x14ac:dyDescent="0.25">
      <c r="A4474" s="22"/>
      <c r="B4474" s="22"/>
      <c r="C4474" s="22"/>
      <c r="D4474" s="22"/>
      <c r="E4474" s="22"/>
      <c r="F4474" s="22"/>
      <c r="G4474" s="22"/>
      <c r="H4474" s="22"/>
      <c r="I4474" s="22"/>
      <c r="J4474" s="22"/>
      <c r="K4474" s="22"/>
      <c r="L4474" s="22"/>
      <c r="M4474" s="22"/>
      <c r="N4474" s="22"/>
      <c r="O4474" s="22"/>
      <c r="P4474" s="22"/>
      <c r="Q4474" s="22"/>
      <c r="R4474" s="22"/>
      <c r="S4474" s="22"/>
      <c r="T4474" s="22"/>
      <c r="U4474" s="22"/>
      <c r="V4474" s="22"/>
      <c r="W4474" s="22"/>
      <c r="X4474" s="22"/>
    </row>
    <row r="4475" spans="1:24" x14ac:dyDescent="0.25">
      <c r="A4475" s="22"/>
      <c r="B4475" s="22"/>
      <c r="C4475" s="22"/>
      <c r="D4475" s="22"/>
      <c r="E4475" s="22"/>
      <c r="F4475" s="22"/>
      <c r="G4475" s="22"/>
      <c r="H4475" s="22"/>
      <c r="I4475" s="22"/>
      <c r="J4475" s="22"/>
      <c r="K4475" s="22"/>
      <c r="L4475" s="22"/>
      <c r="M4475" s="22"/>
      <c r="N4475" s="22"/>
      <c r="O4475" s="22"/>
      <c r="P4475" s="22"/>
      <c r="Q4475" s="22"/>
      <c r="R4475" s="22"/>
      <c r="S4475" s="22"/>
      <c r="T4475" s="22"/>
      <c r="U4475" s="22"/>
      <c r="V4475" s="22"/>
      <c r="W4475" s="22"/>
      <c r="X4475" s="22"/>
    </row>
    <row r="4476" spans="1:24" x14ac:dyDescent="0.25">
      <c r="A4476" s="22"/>
      <c r="B4476" s="22"/>
      <c r="C4476" s="22"/>
      <c r="D4476" s="22"/>
      <c r="E4476" s="22"/>
      <c r="F4476" s="22"/>
      <c r="G4476" s="22"/>
      <c r="H4476" s="22"/>
      <c r="I4476" s="22"/>
      <c r="J4476" s="22"/>
      <c r="K4476" s="22"/>
      <c r="L4476" s="22"/>
      <c r="M4476" s="22"/>
      <c r="N4476" s="22"/>
      <c r="O4476" s="22"/>
      <c r="P4476" s="22"/>
      <c r="Q4476" s="22"/>
      <c r="R4476" s="22"/>
      <c r="S4476" s="22"/>
      <c r="T4476" s="22"/>
      <c r="U4476" s="22"/>
      <c r="V4476" s="22"/>
      <c r="W4476" s="22"/>
      <c r="X4476" s="22"/>
    </row>
    <row r="4477" spans="1:24" x14ac:dyDescent="0.25">
      <c r="A4477" s="22"/>
      <c r="B4477" s="22"/>
      <c r="C4477" s="22"/>
      <c r="D4477" s="22"/>
      <c r="E4477" s="22"/>
      <c r="F4477" s="22"/>
      <c r="G4477" s="22"/>
      <c r="H4477" s="22"/>
      <c r="I4477" s="22"/>
      <c r="J4477" s="22"/>
      <c r="K4477" s="22"/>
      <c r="L4477" s="22"/>
      <c r="M4477" s="22"/>
      <c r="N4477" s="22"/>
      <c r="O4477" s="22"/>
      <c r="P4477" s="22"/>
      <c r="Q4477" s="22"/>
      <c r="R4477" s="22"/>
      <c r="S4477" s="22"/>
      <c r="T4477" s="22"/>
      <c r="U4477" s="22"/>
      <c r="V4477" s="22"/>
      <c r="W4477" s="22"/>
      <c r="X4477" s="22"/>
    </row>
    <row r="4478" spans="1:24" x14ac:dyDescent="0.25">
      <c r="A4478" s="22"/>
      <c r="B4478" s="22"/>
      <c r="C4478" s="22"/>
      <c r="D4478" s="22"/>
      <c r="E4478" s="22"/>
      <c r="F4478" s="22"/>
      <c r="G4478" s="22"/>
      <c r="H4478" s="22"/>
      <c r="I4478" s="22"/>
      <c r="J4478" s="22"/>
      <c r="K4478" s="22"/>
      <c r="L4478" s="22"/>
      <c r="M4478" s="22"/>
      <c r="N4478" s="22"/>
      <c r="O4478" s="22"/>
      <c r="P4478" s="22"/>
      <c r="Q4478" s="22"/>
      <c r="R4478" s="22"/>
      <c r="S4478" s="22"/>
      <c r="T4478" s="22"/>
      <c r="U4478" s="22"/>
      <c r="V4478" s="22"/>
      <c r="W4478" s="22"/>
      <c r="X4478" s="22"/>
    </row>
    <row r="4479" spans="1:24" x14ac:dyDescent="0.25">
      <c r="A4479" s="22"/>
      <c r="B4479" s="22"/>
      <c r="C4479" s="22"/>
      <c r="D4479" s="22"/>
      <c r="E4479" s="22"/>
      <c r="F4479" s="22"/>
      <c r="G4479" s="22"/>
      <c r="H4479" s="22"/>
      <c r="I4479" s="22"/>
      <c r="J4479" s="22"/>
      <c r="K4479" s="22"/>
      <c r="L4479" s="22"/>
      <c r="M4479" s="22"/>
      <c r="N4479" s="22"/>
      <c r="O4479" s="22"/>
      <c r="P4479" s="22"/>
      <c r="Q4479" s="22"/>
      <c r="R4479" s="22"/>
      <c r="S4479" s="22"/>
      <c r="T4479" s="22"/>
      <c r="U4479" s="22"/>
      <c r="V4479" s="22"/>
      <c r="W4479" s="22"/>
      <c r="X4479" s="22"/>
    </row>
    <row r="4480" spans="1:24" x14ac:dyDescent="0.25">
      <c r="A4480" s="22"/>
      <c r="B4480" s="22"/>
      <c r="C4480" s="22"/>
      <c r="D4480" s="22"/>
      <c r="E4480" s="22"/>
      <c r="F4480" s="22"/>
      <c r="G4480" s="22"/>
      <c r="H4480" s="22"/>
      <c r="I4480" s="22"/>
      <c r="J4480" s="22"/>
      <c r="K4480" s="22"/>
      <c r="L4480" s="22"/>
      <c r="M4480" s="22"/>
      <c r="N4480" s="22"/>
      <c r="O4480" s="22"/>
      <c r="P4480" s="22"/>
      <c r="Q4480" s="22"/>
      <c r="R4480" s="22"/>
      <c r="S4480" s="22"/>
      <c r="T4480" s="22"/>
      <c r="U4480" s="22"/>
      <c r="V4480" s="22"/>
      <c r="W4480" s="22"/>
      <c r="X4480" s="22"/>
    </row>
    <row r="4481" spans="1:24" x14ac:dyDescent="0.25">
      <c r="A4481" s="22"/>
      <c r="B4481" s="22"/>
      <c r="C4481" s="22"/>
      <c r="D4481" s="22"/>
      <c r="E4481" s="22"/>
      <c r="F4481" s="22"/>
      <c r="G4481" s="22"/>
      <c r="H4481" s="22"/>
      <c r="I4481" s="22"/>
      <c r="J4481" s="22"/>
      <c r="K4481" s="22"/>
      <c r="L4481" s="22"/>
      <c r="M4481" s="22"/>
      <c r="N4481" s="22"/>
      <c r="O4481" s="22"/>
      <c r="P4481" s="22"/>
      <c r="Q4481" s="22"/>
      <c r="R4481" s="22"/>
      <c r="S4481" s="22"/>
      <c r="T4481" s="22"/>
      <c r="U4481" s="22"/>
      <c r="V4481" s="22"/>
      <c r="W4481" s="22"/>
      <c r="X4481" s="22"/>
    </row>
    <row r="4482" spans="1:24" x14ac:dyDescent="0.25">
      <c r="A4482" s="22"/>
      <c r="B4482" s="22"/>
      <c r="C4482" s="22"/>
      <c r="D4482" s="22"/>
      <c r="E4482" s="22"/>
      <c r="F4482" s="22"/>
      <c r="G4482" s="22"/>
      <c r="H4482" s="22"/>
      <c r="I4482" s="22"/>
      <c r="J4482" s="22"/>
      <c r="K4482" s="22"/>
      <c r="L4482" s="22"/>
      <c r="M4482" s="22"/>
      <c r="N4482" s="22"/>
      <c r="O4482" s="22"/>
      <c r="P4482" s="22"/>
      <c r="Q4482" s="22"/>
      <c r="R4482" s="22"/>
      <c r="S4482" s="22"/>
      <c r="T4482" s="22"/>
      <c r="U4482" s="22"/>
      <c r="V4482" s="22"/>
      <c r="W4482" s="22"/>
      <c r="X4482" s="22"/>
    </row>
    <row r="4483" spans="1:24" x14ac:dyDescent="0.25">
      <c r="A4483" s="22"/>
      <c r="B4483" s="22"/>
      <c r="C4483" s="22"/>
      <c r="D4483" s="22"/>
      <c r="E4483" s="22"/>
      <c r="F4483" s="22"/>
      <c r="G4483" s="22"/>
      <c r="H4483" s="22"/>
      <c r="I4483" s="22"/>
      <c r="J4483" s="22"/>
      <c r="K4483" s="22"/>
      <c r="L4483" s="22"/>
      <c r="M4483" s="22"/>
      <c r="N4483" s="22"/>
      <c r="O4483" s="22"/>
      <c r="P4483" s="22"/>
      <c r="Q4483" s="22"/>
      <c r="R4483" s="22"/>
      <c r="S4483" s="22"/>
      <c r="T4483" s="22"/>
      <c r="U4483" s="22"/>
      <c r="V4483" s="22"/>
      <c r="W4483" s="22"/>
      <c r="X4483" s="22"/>
    </row>
    <row r="4484" spans="1:24" x14ac:dyDescent="0.25">
      <c r="A4484" s="22"/>
      <c r="B4484" s="22"/>
      <c r="C4484" s="22"/>
      <c r="D4484" s="22"/>
      <c r="E4484" s="22"/>
      <c r="F4484" s="22"/>
      <c r="G4484" s="22"/>
      <c r="H4484" s="22"/>
      <c r="I4484" s="22"/>
      <c r="J4484" s="22"/>
      <c r="K4484" s="22"/>
      <c r="L4484" s="22"/>
      <c r="M4484" s="22"/>
      <c r="N4484" s="22"/>
      <c r="O4484" s="22"/>
      <c r="P4484" s="22"/>
      <c r="Q4484" s="22"/>
      <c r="R4484" s="22"/>
      <c r="S4484" s="22"/>
      <c r="T4484" s="22"/>
      <c r="U4484" s="22"/>
      <c r="V4484" s="22"/>
      <c r="W4484" s="22"/>
      <c r="X4484" s="22"/>
    </row>
    <row r="4485" spans="1:24" x14ac:dyDescent="0.25">
      <c r="A4485" s="22"/>
      <c r="B4485" s="22"/>
      <c r="C4485" s="22"/>
      <c r="D4485" s="22"/>
      <c r="E4485" s="22"/>
      <c r="F4485" s="22"/>
      <c r="G4485" s="22"/>
      <c r="H4485" s="22"/>
      <c r="I4485" s="22"/>
      <c r="J4485" s="22"/>
      <c r="K4485" s="22"/>
      <c r="L4485" s="22"/>
      <c r="M4485" s="22"/>
      <c r="N4485" s="22"/>
      <c r="O4485" s="22"/>
      <c r="P4485" s="22"/>
      <c r="Q4485" s="22"/>
      <c r="R4485" s="22"/>
      <c r="S4485" s="22"/>
      <c r="T4485" s="22"/>
      <c r="U4485" s="22"/>
      <c r="V4485" s="22"/>
      <c r="W4485" s="22"/>
      <c r="X4485" s="22"/>
    </row>
    <row r="4486" spans="1:24" x14ac:dyDescent="0.25">
      <c r="A4486" s="22"/>
      <c r="B4486" s="22"/>
      <c r="C4486" s="22"/>
      <c r="D4486" s="22"/>
      <c r="E4486" s="22"/>
      <c r="F4486" s="22"/>
      <c r="G4486" s="22"/>
      <c r="H4486" s="22"/>
      <c r="I4486" s="22"/>
      <c r="J4486" s="22"/>
      <c r="K4486" s="22"/>
      <c r="L4486" s="22"/>
      <c r="M4486" s="22"/>
      <c r="N4486" s="22"/>
      <c r="O4486" s="22"/>
      <c r="P4486" s="22"/>
      <c r="Q4486" s="22"/>
      <c r="R4486" s="22"/>
      <c r="S4486" s="22"/>
      <c r="T4486" s="22"/>
      <c r="U4486" s="22"/>
      <c r="V4486" s="22"/>
      <c r="W4486" s="22"/>
      <c r="X4486" s="22"/>
    </row>
    <row r="4487" spans="1:24" x14ac:dyDescent="0.25">
      <c r="A4487" s="22"/>
      <c r="B4487" s="22"/>
      <c r="C4487" s="22"/>
      <c r="D4487" s="22"/>
      <c r="E4487" s="22"/>
      <c r="F4487" s="22"/>
      <c r="G4487" s="22"/>
      <c r="H4487" s="22"/>
      <c r="I4487" s="22"/>
      <c r="J4487" s="22"/>
      <c r="K4487" s="22"/>
      <c r="L4487" s="22"/>
      <c r="M4487" s="22"/>
      <c r="N4487" s="22"/>
      <c r="O4487" s="22"/>
      <c r="P4487" s="22"/>
      <c r="Q4487" s="22"/>
      <c r="R4487" s="22"/>
      <c r="S4487" s="22"/>
      <c r="T4487" s="22"/>
      <c r="U4487" s="22"/>
      <c r="V4487" s="22"/>
      <c r="W4487" s="22"/>
      <c r="X4487" s="22"/>
    </row>
    <row r="4488" spans="1:24" x14ac:dyDescent="0.25">
      <c r="A4488" s="22"/>
      <c r="B4488" s="22"/>
      <c r="C4488" s="22"/>
      <c r="D4488" s="22"/>
      <c r="E4488" s="22"/>
      <c r="F4488" s="22"/>
      <c r="G4488" s="22"/>
      <c r="H4488" s="22"/>
      <c r="I4488" s="22"/>
      <c r="J4488" s="22"/>
      <c r="K4488" s="22"/>
      <c r="L4488" s="22"/>
      <c r="M4488" s="22"/>
      <c r="N4488" s="22"/>
      <c r="O4488" s="22"/>
      <c r="P4488" s="22"/>
      <c r="Q4488" s="22"/>
      <c r="R4488" s="22"/>
      <c r="S4488" s="22"/>
      <c r="T4488" s="22"/>
      <c r="U4488" s="22"/>
      <c r="V4488" s="22"/>
      <c r="W4488" s="22"/>
      <c r="X4488" s="22"/>
    </row>
    <row r="4489" spans="1:24" x14ac:dyDescent="0.25">
      <c r="A4489" s="22"/>
      <c r="B4489" s="22"/>
      <c r="C4489" s="22"/>
      <c r="D4489" s="22"/>
      <c r="E4489" s="22"/>
      <c r="F4489" s="22"/>
      <c r="G4489" s="22"/>
      <c r="H4489" s="22"/>
      <c r="I4489" s="22"/>
      <c r="J4489" s="22"/>
      <c r="K4489" s="22"/>
      <c r="L4489" s="22"/>
      <c r="M4489" s="22"/>
      <c r="N4489" s="22"/>
      <c r="O4489" s="22"/>
      <c r="P4489" s="22"/>
      <c r="Q4489" s="22"/>
      <c r="R4489" s="22"/>
      <c r="S4489" s="22"/>
      <c r="T4489" s="22"/>
      <c r="U4489" s="22"/>
      <c r="V4489" s="22"/>
      <c r="W4489" s="22"/>
      <c r="X4489" s="22"/>
    </row>
    <row r="4490" spans="1:24" x14ac:dyDescent="0.25">
      <c r="A4490" s="22"/>
      <c r="B4490" s="22"/>
      <c r="C4490" s="22"/>
      <c r="D4490" s="22"/>
      <c r="E4490" s="22"/>
      <c r="F4490" s="22"/>
      <c r="G4490" s="22"/>
      <c r="H4490" s="22"/>
      <c r="I4490" s="22"/>
      <c r="J4490" s="22"/>
      <c r="K4490" s="22"/>
      <c r="L4490" s="22"/>
      <c r="M4490" s="22"/>
      <c r="N4490" s="22"/>
      <c r="O4490" s="22"/>
      <c r="P4490" s="22"/>
      <c r="Q4490" s="22"/>
      <c r="R4490" s="22"/>
      <c r="S4490" s="22"/>
      <c r="T4490" s="22"/>
      <c r="U4490" s="22"/>
      <c r="V4490" s="22"/>
      <c r="W4490" s="22"/>
      <c r="X4490" s="22"/>
    </row>
    <row r="4491" spans="1:24" x14ac:dyDescent="0.25">
      <c r="A4491" s="22"/>
      <c r="B4491" s="22"/>
      <c r="C4491" s="22"/>
      <c r="D4491" s="22"/>
      <c r="E4491" s="22"/>
      <c r="F4491" s="22"/>
      <c r="G4491" s="22"/>
      <c r="H4491" s="22"/>
      <c r="I4491" s="22"/>
      <c r="J4491" s="22"/>
      <c r="K4491" s="22"/>
      <c r="L4491" s="22"/>
      <c r="M4491" s="22"/>
      <c r="N4491" s="22"/>
      <c r="O4491" s="22"/>
      <c r="P4491" s="22"/>
      <c r="Q4491" s="22"/>
      <c r="R4491" s="22"/>
      <c r="S4491" s="22"/>
      <c r="T4491" s="22"/>
      <c r="U4491" s="22"/>
      <c r="V4491" s="22"/>
      <c r="W4491" s="22"/>
      <c r="X4491" s="22"/>
    </row>
    <row r="4492" spans="1:24" x14ac:dyDescent="0.25">
      <c r="A4492" s="22"/>
      <c r="B4492" s="22"/>
      <c r="C4492" s="22"/>
      <c r="D4492" s="22"/>
      <c r="E4492" s="22"/>
      <c r="F4492" s="22"/>
      <c r="G4492" s="22"/>
      <c r="H4492" s="22"/>
      <c r="I4492" s="22"/>
      <c r="J4492" s="22"/>
      <c r="K4492" s="22"/>
      <c r="L4492" s="22"/>
      <c r="M4492" s="22"/>
      <c r="N4492" s="22"/>
      <c r="O4492" s="22"/>
      <c r="P4492" s="22"/>
      <c r="Q4492" s="22"/>
      <c r="R4492" s="22"/>
      <c r="S4492" s="22"/>
      <c r="T4492" s="22"/>
      <c r="U4492" s="22"/>
      <c r="V4492" s="22"/>
      <c r="W4492" s="22"/>
      <c r="X4492" s="22"/>
    </row>
    <row r="4493" spans="1:24" x14ac:dyDescent="0.25">
      <c r="A4493" s="22"/>
      <c r="B4493" s="22"/>
      <c r="C4493" s="22"/>
      <c r="D4493" s="22"/>
      <c r="E4493" s="22"/>
      <c r="F4493" s="22"/>
      <c r="G4493" s="22"/>
      <c r="H4493" s="22"/>
      <c r="I4493" s="22"/>
      <c r="J4493" s="22"/>
      <c r="K4493" s="22"/>
      <c r="L4493" s="22"/>
      <c r="M4493" s="22"/>
      <c r="N4493" s="22"/>
      <c r="O4493" s="22"/>
      <c r="P4493" s="22"/>
      <c r="Q4493" s="22"/>
      <c r="R4493" s="22"/>
      <c r="S4493" s="22"/>
      <c r="T4493" s="22"/>
      <c r="U4493" s="22"/>
      <c r="V4493" s="22"/>
      <c r="W4493" s="22"/>
      <c r="X4493" s="22"/>
    </row>
    <row r="4494" spans="1:24" x14ac:dyDescent="0.25">
      <c r="A4494" s="22"/>
      <c r="B4494" s="22"/>
      <c r="C4494" s="22"/>
      <c r="D4494" s="22"/>
      <c r="E4494" s="22"/>
      <c r="F4494" s="22"/>
      <c r="G4494" s="22"/>
      <c r="H4494" s="22"/>
      <c r="I4494" s="22"/>
      <c r="J4494" s="22"/>
      <c r="K4494" s="22"/>
      <c r="L4494" s="22"/>
      <c r="M4494" s="22"/>
      <c r="N4494" s="22"/>
      <c r="O4494" s="22"/>
      <c r="P4494" s="22"/>
      <c r="Q4494" s="22"/>
      <c r="R4494" s="22"/>
      <c r="S4494" s="22"/>
      <c r="T4494" s="22"/>
      <c r="U4494" s="22"/>
      <c r="V4494" s="22"/>
      <c r="W4494" s="22"/>
      <c r="X4494" s="22"/>
    </row>
    <row r="4495" spans="1:24" x14ac:dyDescent="0.25">
      <c r="A4495" s="22"/>
      <c r="B4495" s="22"/>
      <c r="C4495" s="22"/>
      <c r="D4495" s="22"/>
      <c r="E4495" s="22"/>
      <c r="F4495" s="22"/>
      <c r="G4495" s="22"/>
      <c r="H4495" s="22"/>
      <c r="I4495" s="22"/>
      <c r="J4495" s="22"/>
      <c r="K4495" s="22"/>
      <c r="L4495" s="22"/>
      <c r="M4495" s="22"/>
      <c r="N4495" s="22"/>
      <c r="O4495" s="22"/>
      <c r="P4495" s="22"/>
      <c r="Q4495" s="22"/>
      <c r="R4495" s="22"/>
      <c r="S4495" s="22"/>
      <c r="T4495" s="22"/>
      <c r="U4495" s="22"/>
      <c r="V4495" s="22"/>
      <c r="W4495" s="22"/>
      <c r="X4495" s="22"/>
    </row>
    <row r="4496" spans="1:24" x14ac:dyDescent="0.25">
      <c r="A4496" s="22"/>
      <c r="B4496" s="22"/>
      <c r="C4496" s="22"/>
      <c r="D4496" s="22"/>
      <c r="E4496" s="22"/>
      <c r="F4496" s="22"/>
      <c r="G4496" s="22"/>
      <c r="H4496" s="22"/>
      <c r="I4496" s="22"/>
      <c r="J4496" s="22"/>
      <c r="K4496" s="22"/>
      <c r="L4496" s="22"/>
      <c r="M4496" s="22"/>
      <c r="N4496" s="22"/>
      <c r="O4496" s="22"/>
      <c r="P4496" s="22"/>
      <c r="Q4496" s="22"/>
      <c r="R4496" s="22"/>
      <c r="S4496" s="22"/>
      <c r="T4496" s="22"/>
      <c r="U4496" s="22"/>
      <c r="V4496" s="22"/>
      <c r="W4496" s="22"/>
      <c r="X4496" s="22"/>
    </row>
    <row r="4497" spans="1:24" x14ac:dyDescent="0.25">
      <c r="A4497" s="22"/>
      <c r="B4497" s="22"/>
      <c r="C4497" s="22"/>
      <c r="D4497" s="22"/>
      <c r="E4497" s="22"/>
      <c r="F4497" s="22"/>
      <c r="G4497" s="22"/>
      <c r="H4497" s="22"/>
      <c r="I4497" s="22"/>
      <c r="J4497" s="22"/>
      <c r="K4497" s="22"/>
      <c r="L4497" s="22"/>
      <c r="M4497" s="22"/>
      <c r="N4497" s="22"/>
      <c r="O4497" s="22"/>
      <c r="P4497" s="22"/>
      <c r="Q4497" s="22"/>
      <c r="R4497" s="22"/>
      <c r="S4497" s="22"/>
      <c r="T4497" s="22"/>
      <c r="U4497" s="22"/>
      <c r="V4497" s="22"/>
      <c r="W4497" s="22"/>
      <c r="X4497" s="22"/>
    </row>
    <row r="4498" spans="1:24" x14ac:dyDescent="0.25">
      <c r="A4498" s="22"/>
      <c r="B4498" s="22"/>
      <c r="C4498" s="22"/>
      <c r="D4498" s="22"/>
      <c r="E4498" s="22"/>
      <c r="F4498" s="22"/>
      <c r="G4498" s="22"/>
      <c r="H4498" s="22"/>
      <c r="I4498" s="22"/>
      <c r="J4498" s="22"/>
      <c r="K4498" s="22"/>
      <c r="L4498" s="22"/>
      <c r="M4498" s="22"/>
      <c r="N4498" s="22"/>
      <c r="O4498" s="22"/>
      <c r="P4498" s="22"/>
      <c r="Q4498" s="22"/>
      <c r="R4498" s="22"/>
      <c r="S4498" s="22"/>
      <c r="T4498" s="22"/>
      <c r="U4498" s="22"/>
      <c r="V4498" s="22"/>
      <c r="W4498" s="22"/>
      <c r="X4498" s="22"/>
    </row>
    <row r="4499" spans="1:24" x14ac:dyDescent="0.25">
      <c r="A4499" s="22"/>
      <c r="B4499" s="22"/>
      <c r="C4499" s="22"/>
      <c r="D4499" s="22"/>
      <c r="E4499" s="22"/>
      <c r="F4499" s="22"/>
      <c r="G4499" s="22"/>
      <c r="H4499" s="22"/>
      <c r="I4499" s="22"/>
      <c r="J4499" s="22"/>
      <c r="K4499" s="22"/>
      <c r="L4499" s="22"/>
      <c r="M4499" s="22"/>
      <c r="N4499" s="22"/>
      <c r="O4499" s="22"/>
      <c r="P4499" s="22"/>
      <c r="Q4499" s="22"/>
      <c r="R4499" s="22"/>
      <c r="S4499" s="22"/>
      <c r="T4499" s="22"/>
      <c r="U4499" s="22"/>
      <c r="V4499" s="22"/>
      <c r="W4499" s="22"/>
      <c r="X4499" s="22"/>
    </row>
    <row r="4500" spans="1:24" x14ac:dyDescent="0.25">
      <c r="A4500" s="22"/>
      <c r="B4500" s="22"/>
      <c r="C4500" s="22"/>
      <c r="D4500" s="22"/>
      <c r="E4500" s="22"/>
      <c r="F4500" s="22"/>
      <c r="G4500" s="22"/>
      <c r="H4500" s="22"/>
      <c r="I4500" s="22"/>
      <c r="J4500" s="22"/>
      <c r="K4500" s="22"/>
      <c r="L4500" s="22"/>
      <c r="M4500" s="22"/>
      <c r="N4500" s="22"/>
      <c r="O4500" s="22"/>
      <c r="P4500" s="22"/>
      <c r="Q4500" s="22"/>
      <c r="R4500" s="22"/>
      <c r="S4500" s="22"/>
      <c r="T4500" s="22"/>
      <c r="U4500" s="22"/>
      <c r="V4500" s="22"/>
      <c r="W4500" s="22"/>
      <c r="X4500" s="22"/>
    </row>
    <row r="4501" spans="1:24" x14ac:dyDescent="0.25">
      <c r="A4501" s="22" t="s">
        <v>3824</v>
      </c>
      <c r="B4501" s="22">
        <v>0</v>
      </c>
      <c r="C4501" s="22" t="s">
        <v>3824</v>
      </c>
      <c r="D4501" s="22">
        <v>0</v>
      </c>
      <c r="E4501" s="22" t="s">
        <v>3824</v>
      </c>
      <c r="F4501" s="22">
        <v>0</v>
      </c>
      <c r="G4501" s="22" t="s">
        <v>3824</v>
      </c>
      <c r="H4501" s="22">
        <v>0</v>
      </c>
      <c r="I4501" s="22" t="s">
        <v>3824</v>
      </c>
      <c r="J4501" s="22">
        <v>0</v>
      </c>
      <c r="K4501" s="22" t="s">
        <v>2124</v>
      </c>
      <c r="L4501" s="22">
        <v>0</v>
      </c>
      <c r="M4501" s="22"/>
      <c r="N4501" s="22"/>
      <c r="O4501" s="22"/>
      <c r="P4501" s="22"/>
      <c r="Q4501" s="22"/>
      <c r="R4501" s="22"/>
      <c r="S4501" s="22"/>
      <c r="T4501" s="22"/>
      <c r="U4501" s="22"/>
      <c r="V4501" s="22"/>
      <c r="W4501" s="22"/>
      <c r="X4501" s="22"/>
    </row>
    <row r="4502" spans="1:24" x14ac:dyDescent="0.25">
      <c r="A4502" s="22" t="s">
        <v>3825</v>
      </c>
      <c r="B4502" s="22">
        <v>0</v>
      </c>
      <c r="C4502" s="22" t="s">
        <v>3825</v>
      </c>
      <c r="D4502" s="22">
        <v>0</v>
      </c>
      <c r="E4502" s="22" t="s">
        <v>3825</v>
      </c>
      <c r="F4502" s="22">
        <v>0</v>
      </c>
      <c r="G4502" s="22" t="s">
        <v>3825</v>
      </c>
      <c r="H4502" s="22">
        <v>0</v>
      </c>
      <c r="I4502" s="22" t="s">
        <v>3825</v>
      </c>
      <c r="J4502" s="22">
        <v>0</v>
      </c>
      <c r="K4502" s="22" t="s">
        <v>2125</v>
      </c>
      <c r="L4502" s="22">
        <v>0</v>
      </c>
      <c r="M4502" s="22"/>
      <c r="N4502" s="22"/>
      <c r="O4502" s="22"/>
      <c r="P4502" s="22"/>
      <c r="Q4502" s="22"/>
      <c r="R4502" s="22"/>
      <c r="S4502" s="22"/>
      <c r="T4502" s="22"/>
      <c r="U4502" s="22"/>
      <c r="V4502" s="22"/>
      <c r="W4502" s="22"/>
      <c r="X4502" s="22"/>
    </row>
    <row r="4503" spans="1:24" x14ac:dyDescent="0.25">
      <c r="A4503" s="22" t="s">
        <v>1875</v>
      </c>
      <c r="B4503" s="22">
        <v>1018</v>
      </c>
      <c r="C4503" s="22" t="s">
        <v>1875</v>
      </c>
      <c r="D4503" s="22">
        <v>3</v>
      </c>
      <c r="E4503" s="22" t="s">
        <v>1875</v>
      </c>
      <c r="F4503" s="22">
        <v>3</v>
      </c>
      <c r="G4503" s="22" t="s">
        <v>1875</v>
      </c>
      <c r="H4503" s="22">
        <v>3</v>
      </c>
      <c r="I4503" s="22" t="s">
        <v>1875</v>
      </c>
      <c r="J4503" s="22">
        <v>3</v>
      </c>
      <c r="K4503" s="22" t="s">
        <v>1878</v>
      </c>
      <c r="L4503" s="22">
        <v>186</v>
      </c>
      <c r="M4503" s="22"/>
      <c r="N4503" s="22"/>
      <c r="O4503" s="22"/>
      <c r="P4503" s="22"/>
      <c r="Q4503" s="22"/>
      <c r="R4503" s="22"/>
      <c r="S4503" s="22"/>
      <c r="T4503" s="22"/>
      <c r="U4503" s="22"/>
      <c r="V4503" s="22"/>
      <c r="W4503" s="22"/>
      <c r="X4503" s="22"/>
    </row>
    <row r="4504" spans="1:24" x14ac:dyDescent="0.25">
      <c r="A4504" s="22" t="s">
        <v>3826</v>
      </c>
      <c r="B4504" s="22">
        <v>156</v>
      </c>
      <c r="C4504" s="22" t="s">
        <v>3826</v>
      </c>
      <c r="D4504" s="22">
        <v>0</v>
      </c>
      <c r="E4504" s="22" t="s">
        <v>3826</v>
      </c>
      <c r="F4504" s="22">
        <v>0</v>
      </c>
      <c r="G4504" s="22" t="s">
        <v>3826</v>
      </c>
      <c r="H4504" s="22">
        <v>0</v>
      </c>
      <c r="I4504" s="22" t="s">
        <v>3826</v>
      </c>
      <c r="J4504" s="22">
        <v>0</v>
      </c>
      <c r="K4504" s="22" t="s">
        <v>2126</v>
      </c>
      <c r="L4504" s="22">
        <v>0</v>
      </c>
      <c r="M4504" s="22"/>
      <c r="N4504" s="22"/>
      <c r="O4504" s="22"/>
      <c r="P4504" s="22"/>
      <c r="Q4504" s="22"/>
      <c r="R4504" s="22"/>
      <c r="S4504" s="22"/>
      <c r="T4504" s="22"/>
      <c r="U4504" s="22"/>
      <c r="V4504" s="22"/>
      <c r="W4504" s="22"/>
      <c r="X4504" s="22"/>
    </row>
    <row r="4505" spans="1:24" x14ac:dyDescent="0.25">
      <c r="A4505" s="22" t="s">
        <v>3827</v>
      </c>
      <c r="B4505" s="22">
        <v>0</v>
      </c>
      <c r="C4505" s="22" t="s">
        <v>3827</v>
      </c>
      <c r="D4505" s="22">
        <v>0</v>
      </c>
      <c r="E4505" s="22" t="s">
        <v>3827</v>
      </c>
      <c r="F4505" s="22">
        <v>0</v>
      </c>
      <c r="G4505" s="22" t="s">
        <v>3827</v>
      </c>
      <c r="H4505" s="22">
        <v>0</v>
      </c>
      <c r="I4505" s="22" t="s">
        <v>3827</v>
      </c>
      <c r="J4505" s="22">
        <v>0</v>
      </c>
      <c r="K4505" s="22" t="s">
        <v>2127</v>
      </c>
      <c r="L4505" s="22">
        <v>0</v>
      </c>
      <c r="M4505" s="22"/>
      <c r="N4505" s="22"/>
      <c r="O4505" s="22"/>
      <c r="P4505" s="22"/>
      <c r="Q4505" s="22"/>
      <c r="R4505" s="22"/>
      <c r="S4505" s="22"/>
      <c r="T4505" s="22"/>
      <c r="U4505" s="22"/>
      <c r="V4505" s="22"/>
      <c r="W4505" s="22"/>
      <c r="X4505" s="22"/>
    </row>
    <row r="4506" spans="1:24" x14ac:dyDescent="0.25">
      <c r="A4506" s="22" t="s">
        <v>3828</v>
      </c>
      <c r="B4506" s="22">
        <v>3</v>
      </c>
      <c r="C4506" s="22" t="s">
        <v>3828</v>
      </c>
      <c r="D4506" s="22">
        <v>0</v>
      </c>
      <c r="E4506" s="22" t="s">
        <v>3828</v>
      </c>
      <c r="F4506" s="22">
        <v>0</v>
      </c>
      <c r="G4506" s="22" t="s">
        <v>3828</v>
      </c>
      <c r="H4506" s="22">
        <v>0</v>
      </c>
      <c r="I4506" s="22" t="s">
        <v>3828</v>
      </c>
      <c r="J4506" s="22">
        <v>0</v>
      </c>
      <c r="K4506" s="22" t="s">
        <v>2128</v>
      </c>
      <c r="L4506" s="22">
        <v>0</v>
      </c>
      <c r="M4506" s="22"/>
      <c r="N4506" s="22"/>
      <c r="O4506" s="22"/>
      <c r="P4506" s="22"/>
      <c r="Q4506" s="22"/>
      <c r="R4506" s="22"/>
      <c r="S4506" s="22"/>
      <c r="T4506" s="22"/>
      <c r="U4506" s="22"/>
      <c r="V4506" s="22"/>
      <c r="W4506" s="22"/>
      <c r="X4506" s="22"/>
    </row>
    <row r="4507" spans="1:24" x14ac:dyDescent="0.25">
      <c r="A4507" s="22" t="s">
        <v>3829</v>
      </c>
      <c r="B4507" s="22">
        <v>1</v>
      </c>
      <c r="C4507" s="22" t="s">
        <v>3829</v>
      </c>
      <c r="D4507" s="22">
        <v>0</v>
      </c>
      <c r="E4507" s="22" t="s">
        <v>3829</v>
      </c>
      <c r="F4507" s="22">
        <v>0</v>
      </c>
      <c r="G4507" s="22" t="s">
        <v>3829</v>
      </c>
      <c r="H4507" s="22">
        <v>0</v>
      </c>
      <c r="I4507" s="22" t="s">
        <v>3829</v>
      </c>
      <c r="J4507" s="22">
        <v>0</v>
      </c>
      <c r="K4507" s="22" t="s">
        <v>2129</v>
      </c>
      <c r="L4507" s="22">
        <v>0</v>
      </c>
      <c r="M4507" s="22"/>
      <c r="N4507" s="22"/>
      <c r="O4507" s="22"/>
      <c r="P4507" s="22"/>
      <c r="Q4507" s="22"/>
      <c r="R4507" s="22"/>
      <c r="S4507" s="22"/>
      <c r="T4507" s="22"/>
      <c r="U4507" s="22"/>
      <c r="V4507" s="22"/>
      <c r="W4507" s="22"/>
      <c r="X4507" s="22"/>
    </row>
    <row r="4508" spans="1:24" x14ac:dyDescent="0.25">
      <c r="A4508" s="22" t="s">
        <v>3830</v>
      </c>
      <c r="B4508" s="22">
        <v>0</v>
      </c>
      <c r="C4508" s="22" t="s">
        <v>3830</v>
      </c>
      <c r="D4508" s="22">
        <v>0</v>
      </c>
      <c r="E4508" s="22" t="s">
        <v>3830</v>
      </c>
      <c r="F4508" s="22">
        <v>0</v>
      </c>
      <c r="G4508" s="22" t="s">
        <v>3830</v>
      </c>
      <c r="H4508" s="22">
        <v>0</v>
      </c>
      <c r="I4508" s="22" t="s">
        <v>3830</v>
      </c>
      <c r="J4508" s="22">
        <v>0</v>
      </c>
      <c r="K4508" s="22" t="s">
        <v>2130</v>
      </c>
      <c r="L4508" s="22">
        <v>0</v>
      </c>
      <c r="M4508" s="22"/>
      <c r="N4508" s="22"/>
      <c r="O4508" s="22"/>
      <c r="P4508" s="22"/>
      <c r="Q4508" s="22"/>
      <c r="R4508" s="22"/>
      <c r="S4508" s="22"/>
      <c r="T4508" s="22"/>
      <c r="U4508" s="22"/>
      <c r="V4508" s="22"/>
      <c r="W4508" s="22"/>
      <c r="X4508" s="22"/>
    </row>
    <row r="4509" spans="1:24" x14ac:dyDescent="0.25">
      <c r="A4509" s="22" t="s">
        <v>3831</v>
      </c>
      <c r="B4509" s="22">
        <v>0</v>
      </c>
      <c r="C4509" s="22" t="s">
        <v>3831</v>
      </c>
      <c r="D4509" s="22">
        <v>0</v>
      </c>
      <c r="E4509" s="22" t="s">
        <v>3831</v>
      </c>
      <c r="F4509" s="22">
        <v>0</v>
      </c>
      <c r="G4509" s="22" t="s">
        <v>3831</v>
      </c>
      <c r="H4509" s="22">
        <v>0</v>
      </c>
      <c r="I4509" s="22" t="s">
        <v>3831</v>
      </c>
      <c r="J4509" s="22">
        <v>0</v>
      </c>
      <c r="K4509" s="22" t="s">
        <v>2131</v>
      </c>
      <c r="L4509" s="22">
        <v>0</v>
      </c>
      <c r="M4509" s="22"/>
      <c r="N4509" s="22"/>
      <c r="O4509" s="22"/>
      <c r="P4509" s="22"/>
      <c r="Q4509" s="22"/>
      <c r="R4509" s="22"/>
      <c r="S4509" s="22"/>
      <c r="T4509" s="22"/>
      <c r="U4509" s="22"/>
      <c r="V4509" s="22"/>
      <c r="W4509" s="22"/>
      <c r="X4509" s="22"/>
    </row>
    <row r="4510" spans="1:24" x14ac:dyDescent="0.25">
      <c r="A4510" s="22" t="s">
        <v>3832</v>
      </c>
      <c r="B4510" s="22">
        <v>0</v>
      </c>
      <c r="C4510" s="22" t="s">
        <v>3832</v>
      </c>
      <c r="D4510" s="22">
        <v>0</v>
      </c>
      <c r="E4510" s="22" t="s">
        <v>3832</v>
      </c>
      <c r="F4510" s="22">
        <v>0</v>
      </c>
      <c r="G4510" s="22" t="s">
        <v>3832</v>
      </c>
      <c r="H4510" s="22">
        <v>0</v>
      </c>
      <c r="I4510" s="22" t="s">
        <v>3832</v>
      </c>
      <c r="J4510" s="22">
        <v>0</v>
      </c>
      <c r="K4510" s="22" t="s">
        <v>2132</v>
      </c>
      <c r="L4510" s="22">
        <v>0</v>
      </c>
      <c r="M4510" s="22"/>
      <c r="N4510" s="22"/>
      <c r="O4510" s="22"/>
      <c r="P4510" s="22"/>
      <c r="Q4510" s="22"/>
      <c r="R4510" s="22"/>
      <c r="S4510" s="22"/>
      <c r="T4510" s="22"/>
      <c r="U4510" s="22"/>
      <c r="V4510" s="22"/>
      <c r="W4510" s="22"/>
      <c r="X4510" s="22"/>
    </row>
    <row r="4511" spans="1:24" x14ac:dyDescent="0.25">
      <c r="A4511" s="22" t="s">
        <v>1876</v>
      </c>
      <c r="B4511" s="22">
        <v>0</v>
      </c>
      <c r="C4511" s="22" t="s">
        <v>1876</v>
      </c>
      <c r="D4511" s="22">
        <v>0</v>
      </c>
      <c r="E4511" s="22" t="s">
        <v>1876</v>
      </c>
      <c r="F4511" s="22">
        <v>0</v>
      </c>
      <c r="G4511" s="22" t="s">
        <v>1876</v>
      </c>
      <c r="H4511" s="22">
        <v>0</v>
      </c>
      <c r="I4511" s="22" t="s">
        <v>1876</v>
      </c>
      <c r="J4511" s="22">
        <v>0</v>
      </c>
      <c r="K4511" s="22" t="s">
        <v>1880</v>
      </c>
      <c r="L4511" s="22">
        <v>87</v>
      </c>
      <c r="M4511" s="22"/>
      <c r="N4511" s="22"/>
      <c r="O4511" s="22"/>
      <c r="P4511" s="22"/>
      <c r="Q4511" s="22"/>
      <c r="R4511" s="22"/>
      <c r="S4511" s="22"/>
      <c r="T4511" s="22"/>
      <c r="U4511" s="22"/>
      <c r="V4511" s="22"/>
      <c r="W4511" s="22"/>
      <c r="X4511" s="22"/>
    </row>
    <row r="4512" spans="1:24" x14ac:dyDescent="0.25">
      <c r="A4512" s="22" t="s">
        <v>3833</v>
      </c>
      <c r="B4512" s="22">
        <v>0</v>
      </c>
      <c r="C4512" s="22" t="s">
        <v>3833</v>
      </c>
      <c r="D4512" s="22">
        <v>0</v>
      </c>
      <c r="E4512" s="22" t="s">
        <v>3833</v>
      </c>
      <c r="F4512" s="22">
        <v>0</v>
      </c>
      <c r="G4512" s="22" t="s">
        <v>3833</v>
      </c>
      <c r="H4512" s="22">
        <v>0</v>
      </c>
      <c r="I4512" s="22" t="s">
        <v>3833</v>
      </c>
      <c r="J4512" s="22">
        <v>0</v>
      </c>
      <c r="K4512" s="22" t="s">
        <v>2133</v>
      </c>
      <c r="L4512" s="22">
        <v>0</v>
      </c>
      <c r="M4512" s="22"/>
      <c r="N4512" s="22"/>
      <c r="O4512" s="22"/>
      <c r="P4512" s="22"/>
      <c r="Q4512" s="22"/>
      <c r="R4512" s="22"/>
      <c r="S4512" s="22"/>
      <c r="T4512" s="22"/>
      <c r="U4512" s="22"/>
      <c r="V4512" s="22"/>
      <c r="W4512" s="22"/>
      <c r="X4512" s="22"/>
    </row>
    <row r="4513" spans="1:24" x14ac:dyDescent="0.25">
      <c r="A4513" s="22" t="s">
        <v>3834</v>
      </c>
      <c r="B4513" s="22">
        <v>0</v>
      </c>
      <c r="C4513" s="22" t="s">
        <v>3834</v>
      </c>
      <c r="D4513" s="22">
        <v>0</v>
      </c>
      <c r="E4513" s="22" t="s">
        <v>3834</v>
      </c>
      <c r="F4513" s="22">
        <v>0</v>
      </c>
      <c r="G4513" s="22" t="s">
        <v>3834</v>
      </c>
      <c r="H4513" s="22">
        <v>0</v>
      </c>
      <c r="I4513" s="22" t="s">
        <v>3834</v>
      </c>
      <c r="J4513" s="22">
        <v>0</v>
      </c>
      <c r="K4513" s="22" t="s">
        <v>2134</v>
      </c>
      <c r="L4513" s="22">
        <v>0</v>
      </c>
      <c r="M4513" s="22"/>
      <c r="N4513" s="22"/>
      <c r="O4513" s="22"/>
      <c r="P4513" s="22"/>
      <c r="Q4513" s="22"/>
      <c r="R4513" s="22"/>
      <c r="S4513" s="22"/>
      <c r="T4513" s="22"/>
      <c r="U4513" s="22"/>
      <c r="V4513" s="22"/>
      <c r="W4513" s="22"/>
      <c r="X4513" s="22"/>
    </row>
    <row r="4514" spans="1:24" x14ac:dyDescent="0.25">
      <c r="A4514" s="22" t="s">
        <v>3835</v>
      </c>
      <c r="B4514" s="22">
        <v>0</v>
      </c>
      <c r="C4514" s="22" t="s">
        <v>3835</v>
      </c>
      <c r="D4514" s="22">
        <v>0</v>
      </c>
      <c r="E4514" s="22" t="s">
        <v>3835</v>
      </c>
      <c r="F4514" s="22">
        <v>0</v>
      </c>
      <c r="G4514" s="22" t="s">
        <v>3835</v>
      </c>
      <c r="H4514" s="22">
        <v>0</v>
      </c>
      <c r="I4514" s="22" t="s">
        <v>3835</v>
      </c>
      <c r="J4514" s="22">
        <v>0</v>
      </c>
      <c r="K4514" s="22" t="s">
        <v>2135</v>
      </c>
      <c r="L4514" s="22">
        <v>0</v>
      </c>
      <c r="M4514" s="22"/>
      <c r="N4514" s="22"/>
      <c r="O4514" s="22"/>
      <c r="P4514" s="22"/>
      <c r="Q4514" s="22"/>
      <c r="R4514" s="22"/>
      <c r="S4514" s="22"/>
      <c r="T4514" s="22"/>
      <c r="U4514" s="22"/>
      <c r="V4514" s="22"/>
      <c r="W4514" s="22"/>
      <c r="X4514" s="22"/>
    </row>
    <row r="4515" spans="1:24" x14ac:dyDescent="0.25">
      <c r="A4515" s="22" t="s">
        <v>3836</v>
      </c>
      <c r="B4515" s="22">
        <v>0</v>
      </c>
      <c r="C4515" s="22" t="s">
        <v>3836</v>
      </c>
      <c r="D4515" s="22">
        <v>0</v>
      </c>
      <c r="E4515" s="22" t="s">
        <v>3836</v>
      </c>
      <c r="F4515" s="22">
        <v>0</v>
      </c>
      <c r="G4515" s="22" t="s">
        <v>3836</v>
      </c>
      <c r="H4515" s="22">
        <v>0</v>
      </c>
      <c r="I4515" s="22" t="s">
        <v>3836</v>
      </c>
      <c r="J4515" s="22">
        <v>0</v>
      </c>
      <c r="K4515" s="22" t="s">
        <v>2136</v>
      </c>
      <c r="L4515" s="22">
        <v>0</v>
      </c>
      <c r="M4515" s="22"/>
      <c r="N4515" s="22"/>
      <c r="O4515" s="22"/>
      <c r="P4515" s="22"/>
      <c r="Q4515" s="22"/>
      <c r="R4515" s="22"/>
      <c r="S4515" s="22"/>
      <c r="T4515" s="22"/>
      <c r="U4515" s="22"/>
      <c r="V4515" s="22"/>
      <c r="W4515" s="22"/>
      <c r="X4515" s="22"/>
    </row>
    <row r="4516" spans="1:24" x14ac:dyDescent="0.25">
      <c r="A4516" s="22" t="s">
        <v>3837</v>
      </c>
      <c r="B4516" s="22">
        <v>0</v>
      </c>
      <c r="C4516" s="22" t="s">
        <v>3837</v>
      </c>
      <c r="D4516" s="22">
        <v>0</v>
      </c>
      <c r="E4516" s="22" t="s">
        <v>3837</v>
      </c>
      <c r="F4516" s="22">
        <v>0</v>
      </c>
      <c r="G4516" s="22" t="s">
        <v>3837</v>
      </c>
      <c r="H4516" s="22">
        <v>0</v>
      </c>
      <c r="I4516" s="22" t="s">
        <v>3837</v>
      </c>
      <c r="J4516" s="22">
        <v>0</v>
      </c>
      <c r="K4516" s="22" t="s">
        <v>2137</v>
      </c>
      <c r="L4516" s="22">
        <v>0</v>
      </c>
      <c r="M4516" s="22"/>
      <c r="N4516" s="22"/>
      <c r="O4516" s="22"/>
      <c r="P4516" s="22"/>
      <c r="Q4516" s="22"/>
      <c r="R4516" s="22"/>
      <c r="S4516" s="22"/>
      <c r="T4516" s="22"/>
      <c r="U4516" s="22"/>
      <c r="V4516" s="22"/>
      <c r="W4516" s="22"/>
      <c r="X4516" s="22"/>
    </row>
    <row r="4517" spans="1:24" x14ac:dyDescent="0.25">
      <c r="A4517" s="22" t="s">
        <v>3838</v>
      </c>
      <c r="B4517" s="22">
        <v>0</v>
      </c>
      <c r="C4517" s="22" t="s">
        <v>3838</v>
      </c>
      <c r="D4517" s="22">
        <v>0</v>
      </c>
      <c r="E4517" s="22" t="s">
        <v>3838</v>
      </c>
      <c r="F4517" s="22">
        <v>0</v>
      </c>
      <c r="G4517" s="22" t="s">
        <v>3838</v>
      </c>
      <c r="H4517" s="22">
        <v>0</v>
      </c>
      <c r="I4517" s="22" t="s">
        <v>3838</v>
      </c>
      <c r="J4517" s="22">
        <v>0</v>
      </c>
      <c r="K4517" s="22" t="s">
        <v>2138</v>
      </c>
      <c r="L4517" s="22">
        <v>0</v>
      </c>
      <c r="M4517" s="22"/>
      <c r="N4517" s="22"/>
      <c r="O4517" s="22"/>
      <c r="P4517" s="22"/>
      <c r="Q4517" s="22"/>
      <c r="R4517" s="22"/>
      <c r="S4517" s="22"/>
      <c r="T4517" s="22"/>
      <c r="U4517" s="22"/>
      <c r="V4517" s="22"/>
      <c r="W4517" s="22"/>
      <c r="X4517" s="22"/>
    </row>
    <row r="4518" spans="1:24" x14ac:dyDescent="0.25">
      <c r="A4518" s="22" t="s">
        <v>3839</v>
      </c>
      <c r="B4518" s="22">
        <v>0</v>
      </c>
      <c r="C4518" s="22" t="s">
        <v>3839</v>
      </c>
      <c r="D4518" s="22">
        <v>0</v>
      </c>
      <c r="E4518" s="22" t="s">
        <v>3839</v>
      </c>
      <c r="F4518" s="22">
        <v>0</v>
      </c>
      <c r="G4518" s="22" t="s">
        <v>3839</v>
      </c>
      <c r="H4518" s="22">
        <v>0</v>
      </c>
      <c r="I4518" s="22" t="s">
        <v>3839</v>
      </c>
      <c r="J4518" s="22">
        <v>0</v>
      </c>
      <c r="K4518" s="22" t="s">
        <v>2139</v>
      </c>
      <c r="L4518" s="22">
        <v>0</v>
      </c>
      <c r="M4518" s="22"/>
      <c r="N4518" s="22"/>
      <c r="O4518" s="22"/>
      <c r="P4518" s="22"/>
      <c r="Q4518" s="22"/>
      <c r="R4518" s="22"/>
      <c r="S4518" s="22"/>
      <c r="T4518" s="22"/>
      <c r="U4518" s="22"/>
      <c r="V4518" s="22"/>
      <c r="W4518" s="22"/>
      <c r="X4518" s="22"/>
    </row>
    <row r="4519" spans="1:24" x14ac:dyDescent="0.25">
      <c r="A4519" s="22" t="s">
        <v>1877</v>
      </c>
      <c r="B4519" s="22">
        <v>0</v>
      </c>
      <c r="C4519" s="22" t="s">
        <v>1877</v>
      </c>
      <c r="D4519" s="22">
        <v>0</v>
      </c>
      <c r="E4519" s="22" t="s">
        <v>1877</v>
      </c>
      <c r="F4519" s="22">
        <v>0</v>
      </c>
      <c r="G4519" s="22" t="s">
        <v>1877</v>
      </c>
      <c r="H4519" s="22">
        <v>0</v>
      </c>
      <c r="I4519" s="22" t="s">
        <v>1877</v>
      </c>
      <c r="J4519" s="22">
        <v>0</v>
      </c>
      <c r="K4519" s="22" t="s">
        <v>1881</v>
      </c>
      <c r="L4519" s="22">
        <v>1183</v>
      </c>
      <c r="M4519" s="22"/>
      <c r="N4519" s="22"/>
      <c r="O4519" s="22"/>
      <c r="P4519" s="22"/>
      <c r="Q4519" s="22"/>
      <c r="R4519" s="22"/>
      <c r="S4519" s="22"/>
      <c r="T4519" s="22"/>
      <c r="U4519" s="22"/>
      <c r="V4519" s="22"/>
      <c r="W4519" s="22"/>
      <c r="X4519" s="22"/>
    </row>
    <row r="4520" spans="1:24" x14ac:dyDescent="0.25">
      <c r="A4520" s="22" t="s">
        <v>3840</v>
      </c>
      <c r="B4520" s="22">
        <v>0</v>
      </c>
      <c r="C4520" s="22" t="s">
        <v>3840</v>
      </c>
      <c r="D4520" s="22">
        <v>0</v>
      </c>
      <c r="E4520" s="22" t="s">
        <v>3840</v>
      </c>
      <c r="F4520" s="22">
        <v>0</v>
      </c>
      <c r="G4520" s="22" t="s">
        <v>3840</v>
      </c>
      <c r="H4520" s="22">
        <v>0</v>
      </c>
      <c r="I4520" s="22" t="s">
        <v>3840</v>
      </c>
      <c r="J4520" s="22">
        <v>0</v>
      </c>
      <c r="K4520" s="22" t="s">
        <v>2140</v>
      </c>
      <c r="L4520" s="22">
        <v>374</v>
      </c>
      <c r="M4520" s="22"/>
      <c r="N4520" s="22"/>
      <c r="O4520" s="22"/>
      <c r="P4520" s="22"/>
      <c r="Q4520" s="22"/>
      <c r="R4520" s="22"/>
      <c r="S4520" s="22"/>
      <c r="T4520" s="22"/>
      <c r="U4520" s="22"/>
      <c r="V4520" s="22"/>
      <c r="W4520" s="22"/>
      <c r="X4520" s="22"/>
    </row>
    <row r="4521" spans="1:24" x14ac:dyDescent="0.25">
      <c r="A4521" s="22" t="s">
        <v>3841</v>
      </c>
      <c r="B4521" s="22">
        <v>0</v>
      </c>
      <c r="C4521" s="22" t="s">
        <v>3841</v>
      </c>
      <c r="D4521" s="22">
        <v>0</v>
      </c>
      <c r="E4521" s="22" t="s">
        <v>3841</v>
      </c>
      <c r="F4521" s="22">
        <v>0</v>
      </c>
      <c r="G4521" s="22" t="s">
        <v>3841</v>
      </c>
      <c r="H4521" s="22">
        <v>0</v>
      </c>
      <c r="I4521" s="22" t="s">
        <v>3841</v>
      </c>
      <c r="J4521" s="22">
        <v>0</v>
      </c>
      <c r="K4521" s="22" t="s">
        <v>2141</v>
      </c>
      <c r="L4521" s="22">
        <v>0</v>
      </c>
      <c r="M4521" s="22"/>
      <c r="N4521" s="22"/>
      <c r="O4521" s="22"/>
      <c r="P4521" s="22"/>
      <c r="Q4521" s="22"/>
      <c r="R4521" s="22"/>
      <c r="S4521" s="22"/>
      <c r="T4521" s="22"/>
      <c r="U4521" s="22"/>
      <c r="V4521" s="22"/>
      <c r="W4521" s="22"/>
      <c r="X4521" s="22"/>
    </row>
    <row r="4522" spans="1:24" x14ac:dyDescent="0.25">
      <c r="A4522" s="22" t="s">
        <v>3842</v>
      </c>
      <c r="B4522" s="22">
        <v>0</v>
      </c>
      <c r="C4522" s="22" t="s">
        <v>3842</v>
      </c>
      <c r="D4522" s="22">
        <v>0</v>
      </c>
      <c r="E4522" s="22" t="s">
        <v>3842</v>
      </c>
      <c r="F4522" s="22">
        <v>0</v>
      </c>
      <c r="G4522" s="22" t="s">
        <v>3842</v>
      </c>
      <c r="H4522" s="22">
        <v>0</v>
      </c>
      <c r="I4522" s="22" t="s">
        <v>3842</v>
      </c>
      <c r="J4522" s="22">
        <v>0</v>
      </c>
      <c r="K4522" s="22" t="s">
        <v>2142</v>
      </c>
      <c r="L4522" s="22">
        <v>12</v>
      </c>
      <c r="M4522" s="22"/>
      <c r="N4522" s="22"/>
      <c r="O4522" s="22"/>
      <c r="P4522" s="22"/>
      <c r="Q4522" s="22"/>
      <c r="R4522" s="22"/>
      <c r="S4522" s="22"/>
      <c r="T4522" s="22"/>
      <c r="U4522" s="22"/>
      <c r="V4522" s="22"/>
      <c r="W4522" s="22"/>
      <c r="X4522" s="22"/>
    </row>
    <row r="4523" spans="1:24" x14ac:dyDescent="0.25">
      <c r="A4523" s="22" t="s">
        <v>3843</v>
      </c>
      <c r="B4523" s="22">
        <v>0</v>
      </c>
      <c r="C4523" s="22" t="s">
        <v>3843</v>
      </c>
      <c r="D4523" s="22">
        <v>0</v>
      </c>
      <c r="E4523" s="22" t="s">
        <v>3843</v>
      </c>
      <c r="F4523" s="22">
        <v>0</v>
      </c>
      <c r="G4523" s="22" t="s">
        <v>3843</v>
      </c>
      <c r="H4523" s="22">
        <v>0</v>
      </c>
      <c r="I4523" s="22" t="s">
        <v>3843</v>
      </c>
      <c r="J4523" s="22">
        <v>0</v>
      </c>
      <c r="K4523" s="22" t="s">
        <v>2143</v>
      </c>
      <c r="L4523" s="22">
        <v>0</v>
      </c>
      <c r="M4523" s="22"/>
      <c r="N4523" s="22"/>
      <c r="O4523" s="22"/>
      <c r="P4523" s="22"/>
      <c r="Q4523" s="22"/>
      <c r="R4523" s="22"/>
      <c r="S4523" s="22"/>
      <c r="T4523" s="22"/>
      <c r="U4523" s="22"/>
      <c r="V4523" s="22"/>
      <c r="W4523" s="22"/>
      <c r="X4523" s="22"/>
    </row>
    <row r="4524" spans="1:24" x14ac:dyDescent="0.25">
      <c r="A4524" s="22" t="s">
        <v>3844</v>
      </c>
      <c r="B4524" s="22">
        <v>0</v>
      </c>
      <c r="C4524" s="22" t="s">
        <v>3844</v>
      </c>
      <c r="D4524" s="22">
        <v>0</v>
      </c>
      <c r="E4524" s="22" t="s">
        <v>3844</v>
      </c>
      <c r="F4524" s="22">
        <v>0</v>
      </c>
      <c r="G4524" s="22" t="s">
        <v>3844</v>
      </c>
      <c r="H4524" s="22">
        <v>0</v>
      </c>
      <c r="I4524" s="22" t="s">
        <v>3844</v>
      </c>
      <c r="J4524" s="22">
        <v>0</v>
      </c>
      <c r="K4524" s="22" t="s">
        <v>2144</v>
      </c>
      <c r="L4524" s="22">
        <v>0</v>
      </c>
      <c r="M4524" s="22"/>
      <c r="N4524" s="22"/>
      <c r="O4524" s="22"/>
      <c r="P4524" s="22"/>
      <c r="Q4524" s="22"/>
      <c r="R4524" s="22"/>
      <c r="S4524" s="22"/>
      <c r="T4524" s="22"/>
      <c r="U4524" s="22"/>
      <c r="V4524" s="22"/>
      <c r="W4524" s="22"/>
      <c r="X4524" s="22"/>
    </row>
    <row r="4525" spans="1:24" x14ac:dyDescent="0.25">
      <c r="A4525" s="22" t="s">
        <v>2124</v>
      </c>
      <c r="B4525" s="22">
        <v>0</v>
      </c>
      <c r="C4525" s="22" t="s">
        <v>2124</v>
      </c>
      <c r="D4525" s="22">
        <v>0</v>
      </c>
      <c r="E4525" s="22" t="s">
        <v>2124</v>
      </c>
      <c r="F4525" s="22">
        <v>0</v>
      </c>
      <c r="G4525" s="22" t="s">
        <v>2124</v>
      </c>
      <c r="H4525" s="22">
        <v>0</v>
      </c>
      <c r="I4525" s="22" t="s">
        <v>2124</v>
      </c>
      <c r="J4525" s="22">
        <v>0</v>
      </c>
      <c r="K4525" s="22" t="s">
        <v>2145</v>
      </c>
      <c r="L4525" s="22">
        <v>0</v>
      </c>
      <c r="M4525" s="22"/>
      <c r="N4525" s="22"/>
      <c r="O4525" s="22"/>
      <c r="P4525" s="22"/>
      <c r="Q4525" s="22"/>
      <c r="R4525" s="22"/>
      <c r="S4525" s="22"/>
      <c r="T4525" s="22"/>
      <c r="U4525" s="22"/>
      <c r="V4525" s="22"/>
      <c r="W4525" s="22"/>
      <c r="X4525" s="22"/>
    </row>
    <row r="4526" spans="1:24" x14ac:dyDescent="0.25">
      <c r="A4526" s="22" t="s">
        <v>2125</v>
      </c>
      <c r="B4526" s="22">
        <v>0</v>
      </c>
      <c r="C4526" s="22" t="s">
        <v>2125</v>
      </c>
      <c r="D4526" s="22">
        <v>0</v>
      </c>
      <c r="E4526" s="22" t="s">
        <v>2125</v>
      </c>
      <c r="F4526" s="22">
        <v>0</v>
      </c>
      <c r="G4526" s="22" t="s">
        <v>2125</v>
      </c>
      <c r="H4526" s="22">
        <v>0</v>
      </c>
      <c r="I4526" s="22" t="s">
        <v>2125</v>
      </c>
      <c r="J4526" s="22">
        <v>0</v>
      </c>
      <c r="K4526" s="22" t="s">
        <v>2146</v>
      </c>
      <c r="L4526" s="22">
        <v>0</v>
      </c>
      <c r="M4526" s="22"/>
      <c r="N4526" s="22"/>
      <c r="O4526" s="22"/>
      <c r="P4526" s="22"/>
      <c r="Q4526" s="22"/>
      <c r="R4526" s="22"/>
      <c r="S4526" s="22"/>
      <c r="T4526" s="22"/>
      <c r="U4526" s="22"/>
      <c r="V4526" s="22"/>
      <c r="W4526" s="22"/>
      <c r="X4526" s="22"/>
    </row>
    <row r="4527" spans="1:24" x14ac:dyDescent="0.25">
      <c r="A4527" s="22" t="s">
        <v>1878</v>
      </c>
      <c r="B4527" s="22">
        <v>160</v>
      </c>
      <c r="C4527" s="22" t="s">
        <v>1878</v>
      </c>
      <c r="D4527" s="22">
        <v>186</v>
      </c>
      <c r="E4527" s="22" t="s">
        <v>1878</v>
      </c>
      <c r="F4527" s="22">
        <v>186</v>
      </c>
      <c r="G4527" s="22" t="s">
        <v>1878</v>
      </c>
      <c r="H4527" s="22">
        <v>186</v>
      </c>
      <c r="I4527" s="22" t="s">
        <v>1878</v>
      </c>
      <c r="J4527" s="22">
        <v>186</v>
      </c>
      <c r="K4527" s="22" t="s">
        <v>1882</v>
      </c>
      <c r="L4527" s="22">
        <v>159</v>
      </c>
      <c r="M4527" s="22"/>
      <c r="N4527" s="22"/>
      <c r="O4527" s="22"/>
      <c r="P4527" s="22"/>
      <c r="Q4527" s="22"/>
      <c r="R4527" s="22"/>
      <c r="S4527" s="22"/>
      <c r="T4527" s="22"/>
      <c r="U4527" s="22"/>
      <c r="V4527" s="22"/>
      <c r="W4527" s="22"/>
      <c r="X4527" s="22"/>
    </row>
    <row r="4528" spans="1:24" x14ac:dyDescent="0.25">
      <c r="A4528" s="22" t="s">
        <v>2126</v>
      </c>
      <c r="B4528" s="22">
        <v>0</v>
      </c>
      <c r="C4528" s="22" t="s">
        <v>2126</v>
      </c>
      <c r="D4528" s="22">
        <v>0</v>
      </c>
      <c r="E4528" s="22" t="s">
        <v>2126</v>
      </c>
      <c r="F4528" s="22">
        <v>0</v>
      </c>
      <c r="G4528" s="22" t="s">
        <v>2126</v>
      </c>
      <c r="H4528" s="22">
        <v>0</v>
      </c>
      <c r="I4528" s="22" t="s">
        <v>2126</v>
      </c>
      <c r="J4528" s="22">
        <v>0</v>
      </c>
      <c r="K4528" s="22" t="s">
        <v>2147</v>
      </c>
      <c r="L4528" s="22">
        <v>0</v>
      </c>
      <c r="M4528" s="22"/>
      <c r="N4528" s="22"/>
      <c r="O4528" s="22"/>
      <c r="P4528" s="22"/>
      <c r="Q4528" s="22"/>
      <c r="R4528" s="22"/>
      <c r="S4528" s="22"/>
      <c r="T4528" s="22"/>
      <c r="U4528" s="22"/>
      <c r="V4528" s="22"/>
      <c r="W4528" s="22"/>
      <c r="X4528" s="22"/>
    </row>
    <row r="4529" spans="1:24" x14ac:dyDescent="0.25">
      <c r="A4529" s="22" t="s">
        <v>2127</v>
      </c>
      <c r="B4529" s="22">
        <v>0</v>
      </c>
      <c r="C4529" s="22" t="s">
        <v>2127</v>
      </c>
      <c r="D4529" s="22">
        <v>0</v>
      </c>
      <c r="E4529" s="22" t="s">
        <v>2127</v>
      </c>
      <c r="F4529" s="22">
        <v>0</v>
      </c>
      <c r="G4529" s="22" t="s">
        <v>2127</v>
      </c>
      <c r="H4529" s="22">
        <v>0</v>
      </c>
      <c r="I4529" s="22" t="s">
        <v>2127</v>
      </c>
      <c r="J4529" s="22">
        <v>0</v>
      </c>
      <c r="K4529" s="22" t="s">
        <v>2148</v>
      </c>
      <c r="L4529" s="22">
        <v>0</v>
      </c>
      <c r="M4529" s="22"/>
      <c r="N4529" s="22"/>
      <c r="O4529" s="22"/>
      <c r="P4529" s="22"/>
      <c r="Q4529" s="22"/>
      <c r="R4529" s="22"/>
      <c r="S4529" s="22"/>
      <c r="T4529" s="22"/>
      <c r="U4529" s="22"/>
      <c r="V4529" s="22"/>
      <c r="W4529" s="22"/>
      <c r="X4529" s="22"/>
    </row>
    <row r="4530" spans="1:24" x14ac:dyDescent="0.25">
      <c r="A4530" s="22" t="s">
        <v>2128</v>
      </c>
      <c r="B4530" s="22">
        <v>0</v>
      </c>
      <c r="C4530" s="22" t="s">
        <v>2128</v>
      </c>
      <c r="D4530" s="22">
        <v>0</v>
      </c>
      <c r="E4530" s="22" t="s">
        <v>2128</v>
      </c>
      <c r="F4530" s="22">
        <v>0</v>
      </c>
      <c r="G4530" s="22" t="s">
        <v>2128</v>
      </c>
      <c r="H4530" s="22">
        <v>0</v>
      </c>
      <c r="I4530" s="22" t="s">
        <v>2128</v>
      </c>
      <c r="J4530" s="22">
        <v>0</v>
      </c>
      <c r="K4530" s="22" t="s">
        <v>2149</v>
      </c>
      <c r="L4530" s="22">
        <v>0</v>
      </c>
      <c r="M4530" s="22"/>
      <c r="N4530" s="22"/>
      <c r="O4530" s="22"/>
      <c r="P4530" s="22"/>
      <c r="Q4530" s="22"/>
      <c r="R4530" s="22"/>
      <c r="S4530" s="22"/>
      <c r="T4530" s="22"/>
      <c r="U4530" s="22"/>
      <c r="V4530" s="22"/>
      <c r="W4530" s="22"/>
      <c r="X4530" s="22"/>
    </row>
    <row r="4531" spans="1:24" x14ac:dyDescent="0.25">
      <c r="A4531" s="22" t="s">
        <v>2129</v>
      </c>
      <c r="B4531" s="22">
        <v>1</v>
      </c>
      <c r="C4531" s="22" t="s">
        <v>2129</v>
      </c>
      <c r="D4531" s="22">
        <v>0</v>
      </c>
      <c r="E4531" s="22" t="s">
        <v>2129</v>
      </c>
      <c r="F4531" s="22">
        <v>0</v>
      </c>
      <c r="G4531" s="22" t="s">
        <v>2129</v>
      </c>
      <c r="H4531" s="22">
        <v>0</v>
      </c>
      <c r="I4531" s="22" t="s">
        <v>2129</v>
      </c>
      <c r="J4531" s="22">
        <v>0</v>
      </c>
      <c r="K4531" s="22" t="s">
        <v>2150</v>
      </c>
      <c r="L4531" s="22">
        <v>0</v>
      </c>
      <c r="M4531" s="22"/>
      <c r="N4531" s="22"/>
      <c r="O4531" s="22"/>
      <c r="P4531" s="22"/>
      <c r="Q4531" s="22"/>
      <c r="R4531" s="22"/>
      <c r="S4531" s="22"/>
      <c r="T4531" s="22"/>
      <c r="U4531" s="22"/>
      <c r="V4531" s="22"/>
      <c r="W4531" s="22"/>
      <c r="X4531" s="22"/>
    </row>
    <row r="4532" spans="1:24" x14ac:dyDescent="0.25">
      <c r="A4532" s="22" t="s">
        <v>2130</v>
      </c>
      <c r="B4532" s="22">
        <v>0</v>
      </c>
      <c r="C4532" s="22" t="s">
        <v>2130</v>
      </c>
      <c r="D4532" s="22">
        <v>0</v>
      </c>
      <c r="E4532" s="22" t="s">
        <v>2130</v>
      </c>
      <c r="F4532" s="22">
        <v>0</v>
      </c>
      <c r="G4532" s="22" t="s">
        <v>2130</v>
      </c>
      <c r="H4532" s="22">
        <v>0</v>
      </c>
      <c r="I4532" s="22" t="s">
        <v>2130</v>
      </c>
      <c r="J4532" s="22">
        <v>0</v>
      </c>
      <c r="K4532" s="22" t="s">
        <v>2151</v>
      </c>
      <c r="L4532" s="22">
        <v>0</v>
      </c>
      <c r="M4532" s="22"/>
      <c r="N4532" s="22"/>
      <c r="O4532" s="22"/>
      <c r="P4532" s="22"/>
      <c r="Q4532" s="22"/>
      <c r="R4532" s="22"/>
      <c r="S4532" s="22"/>
      <c r="T4532" s="22"/>
      <c r="U4532" s="22"/>
      <c r="V4532" s="22"/>
      <c r="W4532" s="22"/>
      <c r="X4532" s="22"/>
    </row>
    <row r="4533" spans="1:24" x14ac:dyDescent="0.25">
      <c r="A4533" s="22" t="s">
        <v>2131</v>
      </c>
      <c r="B4533" s="22">
        <v>0</v>
      </c>
      <c r="C4533" s="22" t="s">
        <v>2131</v>
      </c>
      <c r="D4533" s="22">
        <v>0</v>
      </c>
      <c r="E4533" s="22" t="s">
        <v>2131</v>
      </c>
      <c r="F4533" s="22">
        <v>0</v>
      </c>
      <c r="G4533" s="22" t="s">
        <v>2131</v>
      </c>
      <c r="H4533" s="22">
        <v>0</v>
      </c>
      <c r="I4533" s="22" t="s">
        <v>2131</v>
      </c>
      <c r="J4533" s="22">
        <v>0</v>
      </c>
      <c r="K4533" s="22" t="s">
        <v>2152</v>
      </c>
      <c r="L4533" s="22">
        <v>0</v>
      </c>
      <c r="M4533" s="22"/>
      <c r="N4533" s="22"/>
      <c r="O4533" s="22"/>
      <c r="P4533" s="22"/>
      <c r="Q4533" s="22"/>
      <c r="R4533" s="22"/>
      <c r="S4533" s="22"/>
      <c r="T4533" s="22"/>
      <c r="U4533" s="22"/>
      <c r="V4533" s="22"/>
      <c r="W4533" s="22"/>
      <c r="X4533" s="22"/>
    </row>
    <row r="4534" spans="1:24" x14ac:dyDescent="0.25">
      <c r="A4534" s="22" t="s">
        <v>2132</v>
      </c>
      <c r="B4534" s="22">
        <v>0</v>
      </c>
      <c r="C4534" s="22" t="s">
        <v>2132</v>
      </c>
      <c r="D4534" s="22">
        <v>0</v>
      </c>
      <c r="E4534" s="22" t="s">
        <v>2132</v>
      </c>
      <c r="F4534" s="22">
        <v>0</v>
      </c>
      <c r="G4534" s="22" t="s">
        <v>2132</v>
      </c>
      <c r="H4534" s="22">
        <v>0</v>
      </c>
      <c r="I4534" s="22" t="s">
        <v>2132</v>
      </c>
      <c r="J4534" s="22">
        <v>0</v>
      </c>
      <c r="K4534" s="22" t="s">
        <v>2153</v>
      </c>
      <c r="L4534" s="22">
        <v>0</v>
      </c>
      <c r="M4534" s="22"/>
      <c r="N4534" s="22"/>
      <c r="O4534" s="22"/>
      <c r="P4534" s="22"/>
      <c r="Q4534" s="22"/>
      <c r="R4534" s="22"/>
      <c r="S4534" s="22"/>
      <c r="T4534" s="22"/>
      <c r="U4534" s="22"/>
      <c r="V4534" s="22"/>
      <c r="W4534" s="22"/>
      <c r="X4534" s="22"/>
    </row>
    <row r="4535" spans="1:24" x14ac:dyDescent="0.25">
      <c r="A4535" s="22" t="s">
        <v>1880</v>
      </c>
      <c r="B4535" s="22">
        <v>0</v>
      </c>
      <c r="C4535" s="22" t="s">
        <v>1880</v>
      </c>
      <c r="D4535" s="22">
        <v>87</v>
      </c>
      <c r="E4535" s="22" t="s">
        <v>1880</v>
      </c>
      <c r="F4535" s="22">
        <v>87</v>
      </c>
      <c r="G4535" s="22" t="s">
        <v>1880</v>
      </c>
      <c r="H4535" s="22">
        <v>87</v>
      </c>
      <c r="I4535" s="22" t="s">
        <v>1880</v>
      </c>
      <c r="J4535" s="22">
        <v>87</v>
      </c>
      <c r="K4535" s="22" t="s">
        <v>1884</v>
      </c>
      <c r="L4535" s="22">
        <v>0</v>
      </c>
      <c r="M4535" s="22"/>
      <c r="N4535" s="22"/>
      <c r="O4535" s="22"/>
      <c r="P4535" s="22"/>
      <c r="Q4535" s="22"/>
      <c r="R4535" s="22"/>
      <c r="S4535" s="22"/>
      <c r="T4535" s="22"/>
      <c r="U4535" s="22"/>
      <c r="V4535" s="22"/>
      <c r="W4535" s="22"/>
      <c r="X4535" s="22"/>
    </row>
    <row r="4536" spans="1:24" x14ac:dyDescent="0.25">
      <c r="A4536" s="22" t="s">
        <v>2133</v>
      </c>
      <c r="B4536" s="22">
        <v>0</v>
      </c>
      <c r="C4536" s="22" t="s">
        <v>2133</v>
      </c>
      <c r="D4536" s="22">
        <v>0</v>
      </c>
      <c r="E4536" s="22" t="s">
        <v>2133</v>
      </c>
      <c r="F4536" s="22">
        <v>0</v>
      </c>
      <c r="G4536" s="22" t="s">
        <v>2133</v>
      </c>
      <c r="H4536" s="22">
        <v>0</v>
      </c>
      <c r="I4536" s="22" t="s">
        <v>2133</v>
      </c>
      <c r="J4536" s="22">
        <v>0</v>
      </c>
      <c r="K4536" s="22" t="s">
        <v>2154</v>
      </c>
      <c r="L4536" s="22">
        <v>0</v>
      </c>
      <c r="M4536" s="22"/>
      <c r="N4536" s="22"/>
      <c r="O4536" s="22"/>
      <c r="P4536" s="22"/>
      <c r="Q4536" s="22"/>
      <c r="R4536" s="22"/>
      <c r="S4536" s="22"/>
      <c r="T4536" s="22"/>
      <c r="U4536" s="22"/>
      <c r="V4536" s="22"/>
      <c r="W4536" s="22"/>
      <c r="X4536" s="22"/>
    </row>
    <row r="4537" spans="1:24" x14ac:dyDescent="0.25">
      <c r="A4537" s="22" t="s">
        <v>2134</v>
      </c>
      <c r="B4537" s="22">
        <v>0</v>
      </c>
      <c r="C4537" s="22" t="s">
        <v>2134</v>
      </c>
      <c r="D4537" s="22">
        <v>0</v>
      </c>
      <c r="E4537" s="22" t="s">
        <v>2134</v>
      </c>
      <c r="F4537" s="22">
        <v>0</v>
      </c>
      <c r="G4537" s="22" t="s">
        <v>2134</v>
      </c>
      <c r="H4537" s="22">
        <v>0</v>
      </c>
      <c r="I4537" s="22" t="s">
        <v>2134</v>
      </c>
      <c r="J4537" s="22">
        <v>0</v>
      </c>
      <c r="K4537" s="22" t="s">
        <v>2155</v>
      </c>
      <c r="L4537" s="22">
        <v>0</v>
      </c>
      <c r="M4537" s="22"/>
      <c r="N4537" s="22"/>
      <c r="O4537" s="22"/>
      <c r="P4537" s="22"/>
      <c r="Q4537" s="22"/>
      <c r="R4537" s="22"/>
      <c r="S4537" s="22"/>
      <c r="T4537" s="22"/>
      <c r="U4537" s="22"/>
      <c r="V4537" s="22"/>
      <c r="W4537" s="22"/>
      <c r="X4537" s="22"/>
    </row>
    <row r="4538" spans="1:24" x14ac:dyDescent="0.25">
      <c r="A4538" s="22" t="s">
        <v>2135</v>
      </c>
      <c r="B4538" s="22">
        <v>0</v>
      </c>
      <c r="C4538" s="22" t="s">
        <v>2135</v>
      </c>
      <c r="D4538" s="22">
        <v>0</v>
      </c>
      <c r="E4538" s="22" t="s">
        <v>2135</v>
      </c>
      <c r="F4538" s="22">
        <v>0</v>
      </c>
      <c r="G4538" s="22" t="s">
        <v>2135</v>
      </c>
      <c r="H4538" s="22">
        <v>0</v>
      </c>
      <c r="I4538" s="22" t="s">
        <v>2135</v>
      </c>
      <c r="J4538" s="22">
        <v>0</v>
      </c>
      <c r="K4538" s="22" t="s">
        <v>2156</v>
      </c>
      <c r="L4538" s="22">
        <v>0</v>
      </c>
      <c r="M4538" s="22"/>
      <c r="N4538" s="22"/>
      <c r="O4538" s="22"/>
      <c r="P4538" s="22"/>
      <c r="Q4538" s="22"/>
      <c r="R4538" s="22"/>
      <c r="S4538" s="22"/>
      <c r="T4538" s="22"/>
      <c r="U4538" s="22"/>
      <c r="V4538" s="22"/>
      <c r="W4538" s="22"/>
      <c r="X4538" s="22"/>
    </row>
    <row r="4539" spans="1:24" x14ac:dyDescent="0.25">
      <c r="A4539" s="22" t="s">
        <v>2136</v>
      </c>
      <c r="B4539" s="22">
        <v>0</v>
      </c>
      <c r="C4539" s="22" t="s">
        <v>2136</v>
      </c>
      <c r="D4539" s="22">
        <v>0</v>
      </c>
      <c r="E4539" s="22" t="s">
        <v>2136</v>
      </c>
      <c r="F4539" s="22">
        <v>0</v>
      </c>
      <c r="G4539" s="22" t="s">
        <v>2136</v>
      </c>
      <c r="H4539" s="22">
        <v>0</v>
      </c>
      <c r="I4539" s="22" t="s">
        <v>2136</v>
      </c>
      <c r="J4539" s="22">
        <v>0</v>
      </c>
      <c r="K4539" s="22" t="s">
        <v>2157</v>
      </c>
      <c r="L4539" s="22">
        <v>0</v>
      </c>
      <c r="M4539" s="22"/>
      <c r="N4539" s="22"/>
      <c r="O4539" s="22"/>
      <c r="P4539" s="22"/>
      <c r="Q4539" s="22"/>
      <c r="R4539" s="22"/>
      <c r="S4539" s="22"/>
      <c r="T4539" s="22"/>
      <c r="U4539" s="22"/>
      <c r="V4539" s="22"/>
      <c r="W4539" s="22"/>
      <c r="X4539" s="22"/>
    </row>
    <row r="4540" spans="1:24" x14ac:dyDescent="0.25">
      <c r="A4540" s="22" t="s">
        <v>2137</v>
      </c>
      <c r="B4540" s="22">
        <v>0</v>
      </c>
      <c r="C4540" s="22" t="s">
        <v>2137</v>
      </c>
      <c r="D4540" s="22">
        <v>0</v>
      </c>
      <c r="E4540" s="22" t="s">
        <v>2137</v>
      </c>
      <c r="F4540" s="22">
        <v>0</v>
      </c>
      <c r="G4540" s="22" t="s">
        <v>2137</v>
      </c>
      <c r="H4540" s="22">
        <v>0</v>
      </c>
      <c r="I4540" s="22" t="s">
        <v>2137</v>
      </c>
      <c r="J4540" s="22">
        <v>0</v>
      </c>
      <c r="K4540" s="22" t="s">
        <v>2158</v>
      </c>
      <c r="L4540" s="22">
        <v>0</v>
      </c>
      <c r="M4540" s="22"/>
      <c r="N4540" s="22"/>
      <c r="O4540" s="22"/>
      <c r="P4540" s="22"/>
      <c r="Q4540" s="22"/>
      <c r="R4540" s="22"/>
      <c r="S4540" s="22"/>
      <c r="T4540" s="22"/>
      <c r="U4540" s="22"/>
      <c r="V4540" s="22"/>
      <c r="W4540" s="22"/>
      <c r="X4540" s="22"/>
    </row>
    <row r="4541" spans="1:24" x14ac:dyDescent="0.25">
      <c r="A4541" s="22" t="s">
        <v>2138</v>
      </c>
      <c r="B4541" s="22">
        <v>0</v>
      </c>
      <c r="C4541" s="22" t="s">
        <v>2138</v>
      </c>
      <c r="D4541" s="22">
        <v>0</v>
      </c>
      <c r="E4541" s="22" t="s">
        <v>2138</v>
      </c>
      <c r="F4541" s="22">
        <v>0</v>
      </c>
      <c r="G4541" s="22" t="s">
        <v>2138</v>
      </c>
      <c r="H4541" s="22">
        <v>0</v>
      </c>
      <c r="I4541" s="22" t="s">
        <v>2138</v>
      </c>
      <c r="J4541" s="22">
        <v>0</v>
      </c>
      <c r="K4541" s="22" t="s">
        <v>2159</v>
      </c>
      <c r="L4541" s="22">
        <v>0</v>
      </c>
      <c r="M4541" s="22"/>
      <c r="N4541" s="22"/>
      <c r="O4541" s="22"/>
      <c r="P4541" s="22"/>
      <c r="Q4541" s="22"/>
      <c r="R4541" s="22"/>
      <c r="S4541" s="22"/>
      <c r="T4541" s="22"/>
      <c r="U4541" s="22"/>
      <c r="V4541" s="22"/>
      <c r="W4541" s="22"/>
      <c r="X4541" s="22"/>
    </row>
    <row r="4542" spans="1:24" x14ac:dyDescent="0.25">
      <c r="A4542" s="22" t="s">
        <v>2139</v>
      </c>
      <c r="B4542" s="22">
        <v>0</v>
      </c>
      <c r="C4542" s="22" t="s">
        <v>2139</v>
      </c>
      <c r="D4542" s="22">
        <v>0</v>
      </c>
      <c r="E4542" s="22" t="s">
        <v>2139</v>
      </c>
      <c r="F4542" s="22">
        <v>0</v>
      </c>
      <c r="G4542" s="22" t="s">
        <v>2139</v>
      </c>
      <c r="H4542" s="22">
        <v>0</v>
      </c>
      <c r="I4542" s="22" t="s">
        <v>2139</v>
      </c>
      <c r="J4542" s="22">
        <v>0</v>
      </c>
      <c r="K4542" s="22" t="s">
        <v>2160</v>
      </c>
      <c r="L4542" s="22">
        <v>0</v>
      </c>
      <c r="M4542" s="22"/>
      <c r="N4542" s="22"/>
      <c r="O4542" s="22"/>
      <c r="P4542" s="22"/>
      <c r="Q4542" s="22"/>
      <c r="R4542" s="22"/>
      <c r="S4542" s="22"/>
      <c r="T4542" s="22"/>
      <c r="U4542" s="22"/>
      <c r="V4542" s="22"/>
      <c r="W4542" s="22"/>
      <c r="X4542" s="22"/>
    </row>
    <row r="4543" spans="1:24" x14ac:dyDescent="0.25">
      <c r="A4543" s="22" t="s">
        <v>1881</v>
      </c>
      <c r="B4543" s="22">
        <v>259</v>
      </c>
      <c r="C4543" s="22" t="s">
        <v>1881</v>
      </c>
      <c r="D4543" s="22">
        <v>1183</v>
      </c>
      <c r="E4543" s="22" t="s">
        <v>1881</v>
      </c>
      <c r="F4543" s="22">
        <v>1183</v>
      </c>
      <c r="G4543" s="22" t="s">
        <v>1881</v>
      </c>
      <c r="H4543" s="22">
        <v>1183</v>
      </c>
      <c r="I4543" s="22" t="s">
        <v>1881</v>
      </c>
      <c r="J4543" s="22">
        <v>1183</v>
      </c>
      <c r="K4543" s="22" t="s">
        <v>1885</v>
      </c>
      <c r="L4543" s="22">
        <v>170</v>
      </c>
      <c r="M4543" s="22"/>
      <c r="N4543" s="22"/>
      <c r="O4543" s="22"/>
      <c r="P4543" s="22"/>
      <c r="Q4543" s="22"/>
      <c r="R4543" s="22"/>
      <c r="S4543" s="22"/>
      <c r="T4543" s="22"/>
      <c r="U4543" s="22"/>
      <c r="V4543" s="22"/>
      <c r="W4543" s="22"/>
      <c r="X4543" s="22"/>
    </row>
    <row r="4544" spans="1:24" x14ac:dyDescent="0.25">
      <c r="A4544" s="22" t="s">
        <v>2140</v>
      </c>
      <c r="B4544" s="22">
        <v>0</v>
      </c>
      <c r="C4544" s="22" t="s">
        <v>2140</v>
      </c>
      <c r="D4544" s="22">
        <v>374</v>
      </c>
      <c r="E4544" s="22" t="s">
        <v>2140</v>
      </c>
      <c r="F4544" s="22">
        <v>374</v>
      </c>
      <c r="G4544" s="22" t="s">
        <v>2140</v>
      </c>
      <c r="H4544" s="22">
        <v>374</v>
      </c>
      <c r="I4544" s="22" t="s">
        <v>2140</v>
      </c>
      <c r="J4544" s="22">
        <v>374</v>
      </c>
      <c r="K4544" s="22" t="s">
        <v>2161</v>
      </c>
      <c r="L4544" s="22">
        <v>0</v>
      </c>
      <c r="M4544" s="22"/>
      <c r="N4544" s="22"/>
      <c r="O4544" s="22"/>
      <c r="P4544" s="22"/>
      <c r="Q4544" s="22"/>
      <c r="R4544" s="22"/>
      <c r="S4544" s="22"/>
      <c r="T4544" s="22"/>
      <c r="U4544" s="22"/>
      <c r="V4544" s="22"/>
      <c r="W4544" s="22"/>
      <c r="X4544" s="22"/>
    </row>
    <row r="4545" spans="1:24" x14ac:dyDescent="0.25">
      <c r="A4545" s="22" t="s">
        <v>2141</v>
      </c>
      <c r="B4545" s="22">
        <v>0</v>
      </c>
      <c r="C4545" s="22" t="s">
        <v>2141</v>
      </c>
      <c r="D4545" s="22">
        <v>0</v>
      </c>
      <c r="E4545" s="22" t="s">
        <v>2141</v>
      </c>
      <c r="F4545" s="22">
        <v>0</v>
      </c>
      <c r="G4545" s="22" t="s">
        <v>2141</v>
      </c>
      <c r="H4545" s="22">
        <v>0</v>
      </c>
      <c r="I4545" s="22" t="s">
        <v>2141</v>
      </c>
      <c r="J4545" s="22">
        <v>0</v>
      </c>
      <c r="K4545" s="22" t="s">
        <v>2162</v>
      </c>
      <c r="L4545" s="22">
        <v>0</v>
      </c>
      <c r="M4545" s="22"/>
      <c r="N4545" s="22"/>
      <c r="O4545" s="22"/>
      <c r="P4545" s="22"/>
      <c r="Q4545" s="22"/>
      <c r="R4545" s="22"/>
      <c r="S4545" s="22"/>
      <c r="T4545" s="22"/>
      <c r="U4545" s="22"/>
      <c r="V4545" s="22"/>
      <c r="W4545" s="22"/>
      <c r="X4545" s="22"/>
    </row>
    <row r="4546" spans="1:24" x14ac:dyDescent="0.25">
      <c r="A4546" s="22" t="s">
        <v>2142</v>
      </c>
      <c r="B4546" s="22">
        <v>0</v>
      </c>
      <c r="C4546" s="22" t="s">
        <v>2142</v>
      </c>
      <c r="D4546" s="22">
        <v>12</v>
      </c>
      <c r="E4546" s="22" t="s">
        <v>2142</v>
      </c>
      <c r="F4546" s="22">
        <v>12</v>
      </c>
      <c r="G4546" s="22" t="s">
        <v>2142</v>
      </c>
      <c r="H4546" s="22">
        <v>12</v>
      </c>
      <c r="I4546" s="22" t="s">
        <v>2142</v>
      </c>
      <c r="J4546" s="22">
        <v>12</v>
      </c>
      <c r="K4546" s="22" t="s">
        <v>2163</v>
      </c>
      <c r="L4546" s="22">
        <v>0</v>
      </c>
      <c r="M4546" s="22"/>
      <c r="N4546" s="22"/>
      <c r="O4546" s="22"/>
      <c r="P4546" s="22"/>
      <c r="Q4546" s="22"/>
      <c r="R4546" s="22"/>
      <c r="S4546" s="22"/>
      <c r="T4546" s="22"/>
      <c r="U4546" s="22"/>
      <c r="V4546" s="22"/>
      <c r="W4546" s="22"/>
      <c r="X4546" s="22"/>
    </row>
    <row r="4547" spans="1:24" x14ac:dyDescent="0.25">
      <c r="A4547" s="22" t="s">
        <v>2143</v>
      </c>
      <c r="B4547" s="22">
        <v>0</v>
      </c>
      <c r="C4547" s="22" t="s">
        <v>2143</v>
      </c>
      <c r="D4547" s="22">
        <v>0</v>
      </c>
      <c r="E4547" s="22" t="s">
        <v>2143</v>
      </c>
      <c r="F4547" s="22">
        <v>0</v>
      </c>
      <c r="G4547" s="22" t="s">
        <v>2143</v>
      </c>
      <c r="H4547" s="22">
        <v>0</v>
      </c>
      <c r="I4547" s="22" t="s">
        <v>2143</v>
      </c>
      <c r="J4547" s="22">
        <v>0</v>
      </c>
      <c r="K4547" s="22" t="s">
        <v>2164</v>
      </c>
      <c r="L4547" s="22">
        <v>0</v>
      </c>
      <c r="M4547" s="22"/>
      <c r="N4547" s="22"/>
      <c r="O4547" s="22"/>
      <c r="P4547" s="22"/>
      <c r="Q4547" s="22"/>
      <c r="R4547" s="22"/>
      <c r="S4547" s="22"/>
      <c r="T4547" s="22"/>
      <c r="U4547" s="22"/>
      <c r="V4547" s="22"/>
      <c r="W4547" s="22"/>
      <c r="X4547" s="22"/>
    </row>
    <row r="4548" spans="1:24" x14ac:dyDescent="0.25">
      <c r="A4548" s="22" t="s">
        <v>2144</v>
      </c>
      <c r="B4548" s="22">
        <v>0</v>
      </c>
      <c r="C4548" s="22" t="s">
        <v>2144</v>
      </c>
      <c r="D4548" s="22">
        <v>0</v>
      </c>
      <c r="E4548" s="22" t="s">
        <v>2144</v>
      </c>
      <c r="F4548" s="22">
        <v>0</v>
      </c>
      <c r="G4548" s="22" t="s">
        <v>2144</v>
      </c>
      <c r="H4548" s="22">
        <v>0</v>
      </c>
      <c r="I4548" s="22" t="s">
        <v>2144</v>
      </c>
      <c r="J4548" s="22">
        <v>0</v>
      </c>
      <c r="K4548" s="22" t="s">
        <v>2165</v>
      </c>
      <c r="L4548" s="22">
        <v>0</v>
      </c>
      <c r="M4548" s="22"/>
      <c r="N4548" s="22"/>
      <c r="O4548" s="22"/>
      <c r="P4548" s="22"/>
      <c r="Q4548" s="22"/>
      <c r="R4548" s="22"/>
      <c r="S4548" s="22"/>
      <c r="T4548" s="22"/>
      <c r="U4548" s="22"/>
      <c r="V4548" s="22"/>
      <c r="W4548" s="22"/>
      <c r="X4548" s="22"/>
    </row>
    <row r="4549" spans="1:24" x14ac:dyDescent="0.25">
      <c r="A4549" s="22" t="s">
        <v>2145</v>
      </c>
      <c r="B4549" s="22">
        <v>0</v>
      </c>
      <c r="C4549" s="22" t="s">
        <v>2145</v>
      </c>
      <c r="D4549" s="22">
        <v>0</v>
      </c>
      <c r="E4549" s="22" t="s">
        <v>2145</v>
      </c>
      <c r="F4549" s="22">
        <v>0</v>
      </c>
      <c r="G4549" s="22" t="s">
        <v>2145</v>
      </c>
      <c r="H4549" s="22">
        <v>0</v>
      </c>
      <c r="I4549" s="22" t="s">
        <v>2145</v>
      </c>
      <c r="J4549" s="22">
        <v>0</v>
      </c>
      <c r="K4549" s="22" t="s">
        <v>2166</v>
      </c>
      <c r="L4549" s="22">
        <v>0</v>
      </c>
      <c r="M4549" s="22"/>
      <c r="N4549" s="22"/>
      <c r="O4549" s="22"/>
      <c r="P4549" s="22"/>
      <c r="Q4549" s="22"/>
      <c r="R4549" s="22"/>
      <c r="S4549" s="22"/>
      <c r="T4549" s="22"/>
      <c r="U4549" s="22"/>
      <c r="V4549" s="22"/>
      <c r="W4549" s="22"/>
      <c r="X4549" s="22"/>
    </row>
    <row r="4550" spans="1:24" x14ac:dyDescent="0.25">
      <c r="A4550" s="22" t="s">
        <v>2146</v>
      </c>
      <c r="B4550" s="22">
        <v>0</v>
      </c>
      <c r="C4550" s="22" t="s">
        <v>2146</v>
      </c>
      <c r="D4550" s="22">
        <v>0</v>
      </c>
      <c r="E4550" s="22" t="s">
        <v>2146</v>
      </c>
      <c r="F4550" s="22">
        <v>0</v>
      </c>
      <c r="G4550" s="22" t="s">
        <v>2146</v>
      </c>
      <c r="H4550" s="22">
        <v>0</v>
      </c>
      <c r="I4550" s="22" t="s">
        <v>2146</v>
      </c>
      <c r="J4550" s="22">
        <v>0</v>
      </c>
      <c r="K4550" s="22" t="s">
        <v>2167</v>
      </c>
      <c r="L4550" s="22">
        <v>0</v>
      </c>
      <c r="M4550" s="22"/>
      <c r="N4550" s="22"/>
      <c r="O4550" s="22"/>
      <c r="P4550" s="22"/>
      <c r="Q4550" s="22"/>
      <c r="R4550" s="22"/>
      <c r="S4550" s="22"/>
      <c r="T4550" s="22"/>
      <c r="U4550" s="22"/>
      <c r="V4550" s="22"/>
      <c r="W4550" s="22"/>
      <c r="X4550" s="22"/>
    </row>
    <row r="4551" spans="1:24" x14ac:dyDescent="0.25">
      <c r="A4551" s="22" t="s">
        <v>1882</v>
      </c>
      <c r="B4551" s="22">
        <v>61</v>
      </c>
      <c r="C4551" s="22" t="s">
        <v>1882</v>
      </c>
      <c r="D4551" s="22">
        <v>159</v>
      </c>
      <c r="E4551" s="22" t="s">
        <v>1882</v>
      </c>
      <c r="F4551" s="22">
        <v>159</v>
      </c>
      <c r="G4551" s="22" t="s">
        <v>1882</v>
      </c>
      <c r="H4551" s="22">
        <v>159</v>
      </c>
      <c r="I4551" s="22" t="s">
        <v>1882</v>
      </c>
      <c r="J4551" s="22">
        <v>159</v>
      </c>
      <c r="K4551" s="22" t="s">
        <v>1886</v>
      </c>
      <c r="L4551" s="22">
        <v>127</v>
      </c>
      <c r="M4551" s="22"/>
      <c r="N4551" s="22"/>
      <c r="O4551" s="22"/>
      <c r="P4551" s="22"/>
      <c r="Q4551" s="22"/>
      <c r="R4551" s="22"/>
      <c r="S4551" s="22"/>
      <c r="T4551" s="22"/>
      <c r="U4551" s="22"/>
      <c r="V4551" s="22"/>
      <c r="W4551" s="22"/>
      <c r="X4551" s="22"/>
    </row>
    <row r="4552" spans="1:24" x14ac:dyDescent="0.25">
      <c r="A4552" s="22" t="s">
        <v>2147</v>
      </c>
      <c r="B4552" s="22">
        <v>0</v>
      </c>
      <c r="C4552" s="22" t="s">
        <v>2147</v>
      </c>
      <c r="D4552" s="22">
        <v>0</v>
      </c>
      <c r="E4552" s="22" t="s">
        <v>2147</v>
      </c>
      <c r="F4552" s="22">
        <v>0</v>
      </c>
      <c r="G4552" s="22" t="s">
        <v>2147</v>
      </c>
      <c r="H4552" s="22">
        <v>0</v>
      </c>
      <c r="I4552" s="22" t="s">
        <v>2147</v>
      </c>
      <c r="J4552" s="22">
        <v>0</v>
      </c>
      <c r="K4552" s="22" t="s">
        <v>2168</v>
      </c>
      <c r="L4552" s="22">
        <v>0</v>
      </c>
      <c r="M4552" s="22"/>
      <c r="N4552" s="22"/>
      <c r="O4552" s="22"/>
      <c r="P4552" s="22"/>
      <c r="Q4552" s="22"/>
      <c r="R4552" s="22"/>
      <c r="S4552" s="22"/>
      <c r="T4552" s="22"/>
      <c r="U4552" s="22"/>
      <c r="V4552" s="22"/>
      <c r="W4552" s="22"/>
      <c r="X4552" s="22"/>
    </row>
    <row r="4553" spans="1:24" x14ac:dyDescent="0.25">
      <c r="A4553" s="22" t="s">
        <v>2148</v>
      </c>
      <c r="B4553" s="22">
        <v>0</v>
      </c>
      <c r="C4553" s="22" t="s">
        <v>2148</v>
      </c>
      <c r="D4553" s="22">
        <v>0</v>
      </c>
      <c r="E4553" s="22" t="s">
        <v>2148</v>
      </c>
      <c r="F4553" s="22">
        <v>0</v>
      </c>
      <c r="G4553" s="22" t="s">
        <v>2148</v>
      </c>
      <c r="H4553" s="22">
        <v>0</v>
      </c>
      <c r="I4553" s="22" t="s">
        <v>2148</v>
      </c>
      <c r="J4553" s="22">
        <v>0</v>
      </c>
      <c r="K4553" s="22" t="s">
        <v>2169</v>
      </c>
      <c r="L4553" s="22">
        <v>0</v>
      </c>
      <c r="M4553" s="22"/>
      <c r="N4553" s="22"/>
      <c r="O4553" s="22"/>
      <c r="P4553" s="22"/>
      <c r="Q4553" s="22"/>
      <c r="R4553" s="22"/>
      <c r="S4553" s="22"/>
      <c r="T4553" s="22"/>
      <c r="U4553" s="22"/>
      <c r="V4553" s="22"/>
      <c r="W4553" s="22"/>
      <c r="X4553" s="22"/>
    </row>
    <row r="4554" spans="1:24" x14ac:dyDescent="0.25">
      <c r="A4554" s="22" t="s">
        <v>2149</v>
      </c>
      <c r="B4554" s="22">
        <v>0</v>
      </c>
      <c r="C4554" s="22" t="s">
        <v>2149</v>
      </c>
      <c r="D4554" s="22">
        <v>0</v>
      </c>
      <c r="E4554" s="22" t="s">
        <v>2149</v>
      </c>
      <c r="F4554" s="22">
        <v>0</v>
      </c>
      <c r="G4554" s="22" t="s">
        <v>2149</v>
      </c>
      <c r="H4554" s="22">
        <v>0</v>
      </c>
      <c r="I4554" s="22" t="s">
        <v>2149</v>
      </c>
      <c r="J4554" s="22">
        <v>0</v>
      </c>
      <c r="K4554" s="22" t="s">
        <v>2170</v>
      </c>
      <c r="L4554" s="22">
        <v>0</v>
      </c>
      <c r="M4554" s="22"/>
      <c r="N4554" s="22"/>
      <c r="O4554" s="22"/>
      <c r="P4554" s="22"/>
      <c r="Q4554" s="22"/>
      <c r="R4554" s="22"/>
      <c r="S4554" s="22"/>
      <c r="T4554" s="22"/>
      <c r="U4554" s="22"/>
      <c r="V4554" s="22"/>
      <c r="W4554" s="22"/>
      <c r="X4554" s="22"/>
    </row>
    <row r="4555" spans="1:24" x14ac:dyDescent="0.25">
      <c r="A4555" s="22" t="s">
        <v>2150</v>
      </c>
      <c r="B4555" s="22">
        <v>0</v>
      </c>
      <c r="C4555" s="22" t="s">
        <v>2150</v>
      </c>
      <c r="D4555" s="22">
        <v>0</v>
      </c>
      <c r="E4555" s="22" t="s">
        <v>2150</v>
      </c>
      <c r="F4555" s="22">
        <v>0</v>
      </c>
      <c r="G4555" s="22" t="s">
        <v>2150</v>
      </c>
      <c r="H4555" s="22">
        <v>0</v>
      </c>
      <c r="I4555" s="22" t="s">
        <v>2150</v>
      </c>
      <c r="J4555" s="22">
        <v>0</v>
      </c>
      <c r="K4555" s="22" t="s">
        <v>2171</v>
      </c>
      <c r="L4555" s="22">
        <v>0</v>
      </c>
      <c r="M4555" s="22"/>
      <c r="N4555" s="22"/>
      <c r="O4555" s="22"/>
      <c r="P4555" s="22"/>
      <c r="Q4555" s="22"/>
      <c r="R4555" s="22"/>
      <c r="S4555" s="22"/>
      <c r="T4555" s="22"/>
      <c r="U4555" s="22"/>
      <c r="V4555" s="22"/>
      <c r="W4555" s="22"/>
      <c r="X4555" s="22"/>
    </row>
    <row r="4556" spans="1:24" x14ac:dyDescent="0.25">
      <c r="A4556" s="22" t="s">
        <v>2151</v>
      </c>
      <c r="B4556" s="22">
        <v>0</v>
      </c>
      <c r="C4556" s="22" t="s">
        <v>2151</v>
      </c>
      <c r="D4556" s="22">
        <v>0</v>
      </c>
      <c r="E4556" s="22" t="s">
        <v>2151</v>
      </c>
      <c r="F4556" s="22">
        <v>0</v>
      </c>
      <c r="G4556" s="22" t="s">
        <v>2151</v>
      </c>
      <c r="H4556" s="22">
        <v>0</v>
      </c>
      <c r="I4556" s="22" t="s">
        <v>2151</v>
      </c>
      <c r="J4556" s="22">
        <v>0</v>
      </c>
      <c r="K4556" s="22" t="s">
        <v>2172</v>
      </c>
      <c r="L4556" s="22">
        <v>0</v>
      </c>
      <c r="M4556" s="22"/>
      <c r="N4556" s="22"/>
      <c r="O4556" s="22"/>
      <c r="P4556" s="22"/>
      <c r="Q4556" s="22"/>
      <c r="R4556" s="22"/>
      <c r="S4556" s="22"/>
      <c r="T4556" s="22"/>
      <c r="U4556" s="22"/>
      <c r="V4556" s="22"/>
      <c r="W4556" s="22"/>
      <c r="X4556" s="22"/>
    </row>
    <row r="4557" spans="1:24" x14ac:dyDescent="0.25">
      <c r="A4557" s="22" t="s">
        <v>2152</v>
      </c>
      <c r="B4557" s="22">
        <v>0</v>
      </c>
      <c r="C4557" s="22" t="s">
        <v>2152</v>
      </c>
      <c r="D4557" s="22">
        <v>0</v>
      </c>
      <c r="E4557" s="22" t="s">
        <v>2152</v>
      </c>
      <c r="F4557" s="22">
        <v>0</v>
      </c>
      <c r="G4557" s="22" t="s">
        <v>2152</v>
      </c>
      <c r="H4557" s="22">
        <v>0</v>
      </c>
      <c r="I4557" s="22" t="s">
        <v>2152</v>
      </c>
      <c r="J4557" s="22">
        <v>0</v>
      </c>
      <c r="K4557" s="22" t="s">
        <v>2173</v>
      </c>
      <c r="L4557" s="22">
        <v>0</v>
      </c>
      <c r="M4557" s="22"/>
      <c r="N4557" s="22"/>
      <c r="O4557" s="22"/>
      <c r="P4557" s="22"/>
      <c r="Q4557" s="22"/>
      <c r="R4557" s="22"/>
      <c r="S4557" s="22"/>
      <c r="T4557" s="22"/>
      <c r="U4557" s="22"/>
      <c r="V4557" s="22"/>
      <c r="W4557" s="22"/>
      <c r="X4557" s="22"/>
    </row>
    <row r="4558" spans="1:24" x14ac:dyDescent="0.25">
      <c r="A4558" s="22" t="s">
        <v>2153</v>
      </c>
      <c r="B4558" s="22">
        <v>0</v>
      </c>
      <c r="C4558" s="22" t="s">
        <v>2153</v>
      </c>
      <c r="D4558" s="22">
        <v>0</v>
      </c>
      <c r="E4558" s="22" t="s">
        <v>2153</v>
      </c>
      <c r="F4558" s="22">
        <v>0</v>
      </c>
      <c r="G4558" s="22" t="s">
        <v>2153</v>
      </c>
      <c r="H4558" s="22">
        <v>0</v>
      </c>
      <c r="I4558" s="22" t="s">
        <v>2153</v>
      </c>
      <c r="J4558" s="22">
        <v>0</v>
      </c>
      <c r="K4558" s="22" t="s">
        <v>2174</v>
      </c>
      <c r="L4558" s="22">
        <v>0</v>
      </c>
      <c r="M4558" s="22"/>
      <c r="N4558" s="22"/>
      <c r="O4558" s="22"/>
      <c r="P4558" s="22"/>
      <c r="Q4558" s="22"/>
      <c r="R4558" s="22"/>
      <c r="S4558" s="22"/>
      <c r="T4558" s="22"/>
      <c r="U4558" s="22"/>
      <c r="V4558" s="22"/>
      <c r="W4558" s="22"/>
      <c r="X4558" s="22"/>
    </row>
    <row r="4559" spans="1:24" x14ac:dyDescent="0.25">
      <c r="A4559" s="22" t="s">
        <v>1884</v>
      </c>
      <c r="B4559" s="22">
        <v>0</v>
      </c>
      <c r="C4559" s="22" t="s">
        <v>1884</v>
      </c>
      <c r="D4559" s="22">
        <v>0</v>
      </c>
      <c r="E4559" s="22" t="s">
        <v>1884</v>
      </c>
      <c r="F4559" s="22">
        <v>0</v>
      </c>
      <c r="G4559" s="22" t="s">
        <v>1884</v>
      </c>
      <c r="H4559" s="22">
        <v>0</v>
      </c>
      <c r="I4559" s="22" t="s">
        <v>1884</v>
      </c>
      <c r="J4559" s="22">
        <v>0</v>
      </c>
      <c r="K4559" s="22" t="s">
        <v>1888</v>
      </c>
      <c r="L4559" s="22">
        <v>745</v>
      </c>
      <c r="M4559" s="22"/>
      <c r="N4559" s="22"/>
      <c r="O4559" s="22"/>
      <c r="P4559" s="22"/>
      <c r="Q4559" s="22"/>
      <c r="R4559" s="22"/>
      <c r="S4559" s="22"/>
      <c r="T4559" s="22"/>
      <c r="U4559" s="22"/>
      <c r="V4559" s="22"/>
      <c r="W4559" s="22"/>
      <c r="X4559" s="22"/>
    </row>
    <row r="4560" spans="1:24" x14ac:dyDescent="0.25">
      <c r="A4560" s="22" t="s">
        <v>2154</v>
      </c>
      <c r="B4560" s="22">
        <v>0</v>
      </c>
      <c r="C4560" s="22" t="s">
        <v>2154</v>
      </c>
      <c r="D4560" s="22">
        <v>0</v>
      </c>
      <c r="E4560" s="22" t="s">
        <v>2154</v>
      </c>
      <c r="F4560" s="22">
        <v>0</v>
      </c>
      <c r="G4560" s="22" t="s">
        <v>2154</v>
      </c>
      <c r="H4560" s="22">
        <v>0</v>
      </c>
      <c r="I4560" s="22" t="s">
        <v>2154</v>
      </c>
      <c r="J4560" s="22">
        <v>0</v>
      </c>
      <c r="K4560" s="22" t="s">
        <v>2175</v>
      </c>
      <c r="L4560" s="22">
        <v>1</v>
      </c>
      <c r="M4560" s="22"/>
      <c r="N4560" s="22"/>
      <c r="O4560" s="22"/>
      <c r="P4560" s="22"/>
      <c r="Q4560" s="22"/>
      <c r="R4560" s="22"/>
      <c r="S4560" s="22"/>
      <c r="T4560" s="22"/>
      <c r="U4560" s="22"/>
      <c r="V4560" s="22"/>
      <c r="W4560" s="22"/>
      <c r="X4560" s="22"/>
    </row>
    <row r="4561" spans="1:24" x14ac:dyDescent="0.25">
      <c r="A4561" s="22" t="s">
        <v>2155</v>
      </c>
      <c r="B4561" s="22">
        <v>0</v>
      </c>
      <c r="C4561" s="22" t="s">
        <v>2155</v>
      </c>
      <c r="D4561" s="22">
        <v>0</v>
      </c>
      <c r="E4561" s="22" t="s">
        <v>2155</v>
      </c>
      <c r="F4561" s="22">
        <v>0</v>
      </c>
      <c r="G4561" s="22" t="s">
        <v>2155</v>
      </c>
      <c r="H4561" s="22">
        <v>0</v>
      </c>
      <c r="I4561" s="22" t="s">
        <v>2155</v>
      </c>
      <c r="J4561" s="22">
        <v>0</v>
      </c>
      <c r="K4561" s="22" t="s">
        <v>2176</v>
      </c>
      <c r="L4561" s="22">
        <v>0</v>
      </c>
      <c r="M4561" s="22"/>
      <c r="N4561" s="22"/>
      <c r="O4561" s="22"/>
      <c r="P4561" s="22"/>
      <c r="Q4561" s="22"/>
      <c r="R4561" s="22"/>
      <c r="S4561" s="22"/>
      <c r="T4561" s="22"/>
      <c r="U4561" s="22"/>
      <c r="V4561" s="22"/>
      <c r="W4561" s="22"/>
      <c r="X4561" s="22"/>
    </row>
    <row r="4562" spans="1:24" x14ac:dyDescent="0.25">
      <c r="A4562" s="22" t="s">
        <v>2156</v>
      </c>
      <c r="B4562" s="22">
        <v>0</v>
      </c>
      <c r="C4562" s="22" t="s">
        <v>2156</v>
      </c>
      <c r="D4562" s="22">
        <v>0</v>
      </c>
      <c r="E4562" s="22" t="s">
        <v>2156</v>
      </c>
      <c r="F4562" s="22">
        <v>0</v>
      </c>
      <c r="G4562" s="22" t="s">
        <v>2156</v>
      </c>
      <c r="H4562" s="22">
        <v>0</v>
      </c>
      <c r="I4562" s="22" t="s">
        <v>2156</v>
      </c>
      <c r="J4562" s="22">
        <v>0</v>
      </c>
      <c r="K4562" s="22" t="s">
        <v>2177</v>
      </c>
      <c r="L4562" s="22">
        <v>4</v>
      </c>
      <c r="M4562" s="22"/>
      <c r="N4562" s="22"/>
      <c r="O4562" s="22"/>
      <c r="P4562" s="22"/>
      <c r="Q4562" s="22"/>
      <c r="R4562" s="22"/>
      <c r="S4562" s="22"/>
      <c r="T4562" s="22"/>
      <c r="U4562" s="22"/>
      <c r="V4562" s="22"/>
      <c r="W4562" s="22"/>
      <c r="X4562" s="22"/>
    </row>
    <row r="4563" spans="1:24" x14ac:dyDescent="0.25">
      <c r="A4563" s="22" t="s">
        <v>2157</v>
      </c>
      <c r="B4563" s="22">
        <v>0</v>
      </c>
      <c r="C4563" s="22" t="s">
        <v>2157</v>
      </c>
      <c r="D4563" s="22">
        <v>0</v>
      </c>
      <c r="E4563" s="22" t="s">
        <v>2157</v>
      </c>
      <c r="F4563" s="22">
        <v>0</v>
      </c>
      <c r="G4563" s="22" t="s">
        <v>2157</v>
      </c>
      <c r="H4563" s="22">
        <v>0</v>
      </c>
      <c r="I4563" s="22" t="s">
        <v>2157</v>
      </c>
      <c r="J4563" s="22">
        <v>0</v>
      </c>
      <c r="K4563" s="22" t="s">
        <v>2178</v>
      </c>
      <c r="L4563" s="22">
        <v>1</v>
      </c>
      <c r="M4563" s="22"/>
      <c r="N4563" s="22"/>
      <c r="O4563" s="22"/>
      <c r="P4563" s="22"/>
      <c r="Q4563" s="22"/>
      <c r="R4563" s="22"/>
      <c r="S4563" s="22"/>
      <c r="T4563" s="22"/>
      <c r="U4563" s="22"/>
      <c r="V4563" s="22"/>
      <c r="W4563" s="22"/>
      <c r="X4563" s="22"/>
    </row>
    <row r="4564" spans="1:24" x14ac:dyDescent="0.25">
      <c r="A4564" s="22" t="s">
        <v>2158</v>
      </c>
      <c r="B4564" s="22">
        <v>0</v>
      </c>
      <c r="C4564" s="22" t="s">
        <v>2158</v>
      </c>
      <c r="D4564" s="22">
        <v>0</v>
      </c>
      <c r="E4564" s="22" t="s">
        <v>2158</v>
      </c>
      <c r="F4564" s="22">
        <v>0</v>
      </c>
      <c r="G4564" s="22" t="s">
        <v>2158</v>
      </c>
      <c r="H4564" s="22">
        <v>0</v>
      </c>
      <c r="I4564" s="22" t="s">
        <v>2158</v>
      </c>
      <c r="J4564" s="22">
        <v>0</v>
      </c>
      <c r="K4564" s="22" t="s">
        <v>2179</v>
      </c>
      <c r="L4564" s="22">
        <v>0</v>
      </c>
      <c r="M4564" s="22"/>
      <c r="N4564" s="22"/>
      <c r="O4564" s="22"/>
      <c r="P4564" s="22"/>
      <c r="Q4564" s="22"/>
      <c r="R4564" s="22"/>
      <c r="S4564" s="22"/>
      <c r="T4564" s="22"/>
      <c r="U4564" s="22"/>
      <c r="V4564" s="22"/>
      <c r="W4564" s="22"/>
      <c r="X4564" s="22"/>
    </row>
    <row r="4565" spans="1:24" x14ac:dyDescent="0.25">
      <c r="A4565" s="22" t="s">
        <v>2159</v>
      </c>
      <c r="B4565" s="22">
        <v>0</v>
      </c>
      <c r="C4565" s="22" t="s">
        <v>2159</v>
      </c>
      <c r="D4565" s="22">
        <v>0</v>
      </c>
      <c r="E4565" s="22" t="s">
        <v>2159</v>
      </c>
      <c r="F4565" s="22">
        <v>0</v>
      </c>
      <c r="G4565" s="22" t="s">
        <v>2159</v>
      </c>
      <c r="H4565" s="22">
        <v>0</v>
      </c>
      <c r="I4565" s="22" t="s">
        <v>2159</v>
      </c>
      <c r="J4565" s="22">
        <v>0</v>
      </c>
      <c r="K4565" s="22" t="s">
        <v>2180</v>
      </c>
      <c r="L4565" s="22">
        <v>0</v>
      </c>
      <c r="M4565" s="22"/>
      <c r="N4565" s="22"/>
      <c r="O4565" s="22"/>
      <c r="P4565" s="22"/>
      <c r="Q4565" s="22"/>
      <c r="R4565" s="22"/>
      <c r="S4565" s="22"/>
      <c r="T4565" s="22"/>
      <c r="U4565" s="22"/>
      <c r="V4565" s="22"/>
      <c r="W4565" s="22"/>
      <c r="X4565" s="22"/>
    </row>
    <row r="4566" spans="1:24" x14ac:dyDescent="0.25">
      <c r="A4566" s="22" t="s">
        <v>2160</v>
      </c>
      <c r="B4566" s="22">
        <v>0</v>
      </c>
      <c r="C4566" s="22" t="s">
        <v>2160</v>
      </c>
      <c r="D4566" s="22">
        <v>0</v>
      </c>
      <c r="E4566" s="22" t="s">
        <v>2160</v>
      </c>
      <c r="F4566" s="22">
        <v>0</v>
      </c>
      <c r="G4566" s="22" t="s">
        <v>2160</v>
      </c>
      <c r="H4566" s="22">
        <v>0</v>
      </c>
      <c r="I4566" s="22" t="s">
        <v>2160</v>
      </c>
      <c r="J4566" s="22">
        <v>0</v>
      </c>
      <c r="K4566" s="22" t="s">
        <v>2181</v>
      </c>
      <c r="L4566" s="22">
        <v>0</v>
      </c>
      <c r="M4566" s="22"/>
      <c r="N4566" s="22"/>
      <c r="O4566" s="22"/>
      <c r="P4566" s="22"/>
      <c r="Q4566" s="22"/>
      <c r="R4566" s="22"/>
      <c r="S4566" s="22"/>
      <c r="T4566" s="22"/>
      <c r="U4566" s="22"/>
      <c r="V4566" s="22"/>
      <c r="W4566" s="22"/>
      <c r="X4566" s="22"/>
    </row>
    <row r="4567" spans="1:24" x14ac:dyDescent="0.25">
      <c r="A4567" s="22" t="s">
        <v>1885</v>
      </c>
      <c r="B4567" s="22">
        <v>59</v>
      </c>
      <c r="C4567" s="22" t="s">
        <v>1885</v>
      </c>
      <c r="D4567" s="22">
        <v>170</v>
      </c>
      <c r="E4567" s="22" t="s">
        <v>1885</v>
      </c>
      <c r="F4567" s="22">
        <v>170</v>
      </c>
      <c r="G4567" s="22" t="s">
        <v>1885</v>
      </c>
      <c r="H4567" s="22">
        <v>170</v>
      </c>
      <c r="I4567" s="22" t="s">
        <v>1885</v>
      </c>
      <c r="J4567" s="22">
        <v>170</v>
      </c>
      <c r="K4567" s="22" t="s">
        <v>1890</v>
      </c>
      <c r="L4567" s="22">
        <v>0</v>
      </c>
      <c r="M4567" s="22"/>
      <c r="N4567" s="22"/>
      <c r="O4567" s="22"/>
      <c r="P4567" s="22"/>
      <c r="Q4567" s="22"/>
      <c r="R4567" s="22"/>
      <c r="S4567" s="22"/>
      <c r="T4567" s="22"/>
      <c r="U4567" s="22"/>
      <c r="V4567" s="22"/>
      <c r="W4567" s="22"/>
      <c r="X4567" s="22"/>
    </row>
    <row r="4568" spans="1:24" x14ac:dyDescent="0.25">
      <c r="A4568" s="22" t="s">
        <v>2161</v>
      </c>
      <c r="B4568" s="22">
        <v>0</v>
      </c>
      <c r="C4568" s="22" t="s">
        <v>2161</v>
      </c>
      <c r="D4568" s="22">
        <v>0</v>
      </c>
      <c r="E4568" s="22" t="s">
        <v>2161</v>
      </c>
      <c r="F4568" s="22">
        <v>0</v>
      </c>
      <c r="G4568" s="22" t="s">
        <v>2161</v>
      </c>
      <c r="H4568" s="22">
        <v>0</v>
      </c>
      <c r="I4568" s="22" t="s">
        <v>2161</v>
      </c>
      <c r="J4568" s="22">
        <v>0</v>
      </c>
      <c r="K4568" s="22" t="s">
        <v>2182</v>
      </c>
      <c r="L4568" s="22">
        <v>0</v>
      </c>
      <c r="M4568" s="22"/>
      <c r="N4568" s="22"/>
      <c r="O4568" s="22"/>
      <c r="P4568" s="22"/>
      <c r="Q4568" s="22"/>
      <c r="R4568" s="22"/>
      <c r="S4568" s="22"/>
      <c r="T4568" s="22"/>
      <c r="U4568" s="22"/>
      <c r="V4568" s="22"/>
      <c r="W4568" s="22"/>
      <c r="X4568" s="22"/>
    </row>
    <row r="4569" spans="1:24" x14ac:dyDescent="0.25">
      <c r="A4569" s="22" t="s">
        <v>2162</v>
      </c>
      <c r="B4569" s="22">
        <v>0</v>
      </c>
      <c r="C4569" s="22" t="s">
        <v>2162</v>
      </c>
      <c r="D4569" s="22">
        <v>0</v>
      </c>
      <c r="E4569" s="22" t="s">
        <v>2162</v>
      </c>
      <c r="F4569" s="22">
        <v>0</v>
      </c>
      <c r="G4569" s="22" t="s">
        <v>2162</v>
      </c>
      <c r="H4569" s="22">
        <v>0</v>
      </c>
      <c r="I4569" s="22" t="s">
        <v>2162</v>
      </c>
      <c r="J4569" s="22">
        <v>0</v>
      </c>
      <c r="K4569" s="22" t="s">
        <v>2183</v>
      </c>
      <c r="L4569" s="22">
        <v>0</v>
      </c>
      <c r="M4569" s="22"/>
      <c r="N4569" s="22"/>
      <c r="O4569" s="22"/>
      <c r="P4569" s="22"/>
      <c r="Q4569" s="22"/>
      <c r="R4569" s="22"/>
      <c r="S4569" s="22"/>
      <c r="T4569" s="22"/>
      <c r="U4569" s="22"/>
      <c r="V4569" s="22"/>
      <c r="W4569" s="22"/>
      <c r="X4569" s="22"/>
    </row>
    <row r="4570" spans="1:24" x14ac:dyDescent="0.25">
      <c r="A4570" s="22" t="s">
        <v>2163</v>
      </c>
      <c r="B4570" s="22">
        <v>0</v>
      </c>
      <c r="C4570" s="22" t="s">
        <v>2163</v>
      </c>
      <c r="D4570" s="22">
        <v>0</v>
      </c>
      <c r="E4570" s="22" t="s">
        <v>2163</v>
      </c>
      <c r="F4570" s="22">
        <v>0</v>
      </c>
      <c r="G4570" s="22" t="s">
        <v>2163</v>
      </c>
      <c r="H4570" s="22">
        <v>0</v>
      </c>
      <c r="I4570" s="22" t="s">
        <v>2163</v>
      </c>
      <c r="J4570" s="22">
        <v>0</v>
      </c>
      <c r="K4570" s="22" t="s">
        <v>2184</v>
      </c>
      <c r="L4570" s="22">
        <v>0</v>
      </c>
      <c r="M4570" s="22"/>
      <c r="N4570" s="22"/>
      <c r="O4570" s="22"/>
      <c r="P4570" s="22"/>
      <c r="Q4570" s="22"/>
      <c r="R4570" s="22"/>
      <c r="S4570" s="22"/>
      <c r="T4570" s="22"/>
      <c r="U4570" s="22"/>
      <c r="V4570" s="22"/>
      <c r="W4570" s="22"/>
      <c r="X4570" s="22"/>
    </row>
    <row r="4571" spans="1:24" x14ac:dyDescent="0.25">
      <c r="A4571" s="22" t="s">
        <v>2164</v>
      </c>
      <c r="B4571" s="22">
        <v>0</v>
      </c>
      <c r="C4571" s="22" t="s">
        <v>2164</v>
      </c>
      <c r="D4571" s="22">
        <v>0</v>
      </c>
      <c r="E4571" s="22" t="s">
        <v>2164</v>
      </c>
      <c r="F4571" s="22">
        <v>0</v>
      </c>
      <c r="G4571" s="22" t="s">
        <v>2164</v>
      </c>
      <c r="H4571" s="22">
        <v>0</v>
      </c>
      <c r="I4571" s="22" t="s">
        <v>2164</v>
      </c>
      <c r="J4571" s="22">
        <v>0</v>
      </c>
      <c r="K4571" s="22" t="s">
        <v>2185</v>
      </c>
      <c r="L4571" s="22">
        <v>0</v>
      </c>
      <c r="M4571" s="22"/>
      <c r="N4571" s="22"/>
      <c r="O4571" s="22"/>
      <c r="P4571" s="22"/>
      <c r="Q4571" s="22"/>
      <c r="R4571" s="22"/>
      <c r="S4571" s="22"/>
      <c r="T4571" s="22"/>
      <c r="U4571" s="22"/>
      <c r="V4571" s="22"/>
      <c r="W4571" s="22"/>
      <c r="X4571" s="22"/>
    </row>
    <row r="4572" spans="1:24" x14ac:dyDescent="0.25">
      <c r="A4572" s="22" t="s">
        <v>2165</v>
      </c>
      <c r="B4572" s="22">
        <v>0</v>
      </c>
      <c r="C4572" s="22" t="s">
        <v>2165</v>
      </c>
      <c r="D4572" s="22">
        <v>0</v>
      </c>
      <c r="E4572" s="22" t="s">
        <v>2165</v>
      </c>
      <c r="F4572" s="22">
        <v>0</v>
      </c>
      <c r="G4572" s="22" t="s">
        <v>2165</v>
      </c>
      <c r="H4572" s="22">
        <v>0</v>
      </c>
      <c r="I4572" s="22" t="s">
        <v>2165</v>
      </c>
      <c r="J4572" s="22">
        <v>0</v>
      </c>
      <c r="K4572" s="22" t="s">
        <v>2186</v>
      </c>
      <c r="L4572" s="22">
        <v>0</v>
      </c>
      <c r="M4572" s="22"/>
      <c r="N4572" s="22"/>
      <c r="O4572" s="22"/>
      <c r="P4572" s="22"/>
      <c r="Q4572" s="22"/>
      <c r="R4572" s="22"/>
      <c r="S4572" s="22"/>
      <c r="T4572" s="22"/>
      <c r="U4572" s="22"/>
      <c r="V4572" s="22"/>
      <c r="W4572" s="22"/>
      <c r="X4572" s="22"/>
    </row>
    <row r="4573" spans="1:24" x14ac:dyDescent="0.25">
      <c r="A4573" s="22" t="s">
        <v>2166</v>
      </c>
      <c r="B4573" s="22">
        <v>0</v>
      </c>
      <c r="C4573" s="22" t="s">
        <v>2166</v>
      </c>
      <c r="D4573" s="22">
        <v>0</v>
      </c>
      <c r="E4573" s="22" t="s">
        <v>2166</v>
      </c>
      <c r="F4573" s="22">
        <v>0</v>
      </c>
      <c r="G4573" s="22" t="s">
        <v>2166</v>
      </c>
      <c r="H4573" s="22">
        <v>0</v>
      </c>
      <c r="I4573" s="22" t="s">
        <v>2166</v>
      </c>
      <c r="J4573" s="22">
        <v>0</v>
      </c>
      <c r="K4573" s="22" t="s">
        <v>2187</v>
      </c>
      <c r="L4573" s="22">
        <v>0</v>
      </c>
      <c r="M4573" s="22"/>
      <c r="N4573" s="22"/>
      <c r="O4573" s="22"/>
      <c r="P4573" s="22"/>
      <c r="Q4573" s="22"/>
      <c r="R4573" s="22"/>
      <c r="S4573" s="22"/>
      <c r="T4573" s="22"/>
      <c r="U4573" s="22"/>
      <c r="V4573" s="22"/>
      <c r="W4573" s="22"/>
      <c r="X4573" s="22"/>
    </row>
    <row r="4574" spans="1:24" x14ac:dyDescent="0.25">
      <c r="A4574" s="22" t="s">
        <v>2167</v>
      </c>
      <c r="B4574" s="22">
        <v>0</v>
      </c>
      <c r="C4574" s="22" t="s">
        <v>2167</v>
      </c>
      <c r="D4574" s="22">
        <v>0</v>
      </c>
      <c r="E4574" s="22" t="s">
        <v>2167</v>
      </c>
      <c r="F4574" s="22">
        <v>0</v>
      </c>
      <c r="G4574" s="22" t="s">
        <v>2167</v>
      </c>
      <c r="H4574" s="22">
        <v>0</v>
      </c>
      <c r="I4574" s="22" t="s">
        <v>2167</v>
      </c>
      <c r="J4574" s="22">
        <v>0</v>
      </c>
      <c r="K4574" s="22" t="s">
        <v>2188</v>
      </c>
      <c r="L4574" s="22">
        <v>0</v>
      </c>
      <c r="M4574" s="22"/>
      <c r="N4574" s="22"/>
      <c r="O4574" s="22"/>
      <c r="P4574" s="22"/>
      <c r="Q4574" s="22"/>
      <c r="R4574" s="22"/>
      <c r="S4574" s="22"/>
      <c r="T4574" s="22"/>
      <c r="U4574" s="22"/>
      <c r="V4574" s="22"/>
      <c r="W4574" s="22"/>
      <c r="X4574" s="22"/>
    </row>
    <row r="4575" spans="1:24" x14ac:dyDescent="0.25">
      <c r="A4575" s="22" t="s">
        <v>1886</v>
      </c>
      <c r="B4575" s="22">
        <v>139</v>
      </c>
      <c r="C4575" s="22" t="s">
        <v>1886</v>
      </c>
      <c r="D4575" s="22">
        <v>127</v>
      </c>
      <c r="E4575" s="22" t="s">
        <v>1886</v>
      </c>
      <c r="F4575" s="22">
        <v>127</v>
      </c>
      <c r="G4575" s="22" t="s">
        <v>1886</v>
      </c>
      <c r="H4575" s="22">
        <v>127</v>
      </c>
      <c r="I4575" s="22" t="s">
        <v>1886</v>
      </c>
      <c r="J4575" s="22">
        <v>127</v>
      </c>
      <c r="K4575" s="22" t="s">
        <v>1891</v>
      </c>
      <c r="L4575" s="22">
        <v>0</v>
      </c>
      <c r="M4575" s="22"/>
      <c r="N4575" s="22"/>
      <c r="O4575" s="22"/>
      <c r="P4575" s="22"/>
      <c r="Q4575" s="22"/>
      <c r="R4575" s="22"/>
      <c r="S4575" s="22"/>
      <c r="T4575" s="22"/>
      <c r="U4575" s="22"/>
      <c r="V4575" s="22"/>
      <c r="W4575" s="22"/>
      <c r="X4575" s="22"/>
    </row>
    <row r="4576" spans="1:24" x14ac:dyDescent="0.25">
      <c r="A4576" s="22" t="s">
        <v>2168</v>
      </c>
      <c r="B4576" s="22">
        <v>0</v>
      </c>
      <c r="C4576" s="22" t="s">
        <v>2168</v>
      </c>
      <c r="D4576" s="22">
        <v>0</v>
      </c>
      <c r="E4576" s="22" t="s">
        <v>2168</v>
      </c>
      <c r="F4576" s="22">
        <v>0</v>
      </c>
      <c r="G4576" s="22" t="s">
        <v>2168</v>
      </c>
      <c r="H4576" s="22">
        <v>0</v>
      </c>
      <c r="I4576" s="22" t="s">
        <v>2168</v>
      </c>
      <c r="J4576" s="22">
        <v>0</v>
      </c>
      <c r="K4576" s="22" t="s">
        <v>2189</v>
      </c>
      <c r="L4576" s="22">
        <v>0</v>
      </c>
      <c r="M4576" s="22"/>
      <c r="N4576" s="22"/>
      <c r="O4576" s="22"/>
      <c r="P4576" s="22"/>
      <c r="Q4576" s="22"/>
      <c r="R4576" s="22"/>
      <c r="S4576" s="22"/>
      <c r="T4576" s="22"/>
      <c r="U4576" s="22"/>
      <c r="V4576" s="22"/>
      <c r="W4576" s="22"/>
      <c r="X4576" s="22"/>
    </row>
    <row r="4577" spans="1:24" x14ac:dyDescent="0.25">
      <c r="A4577" s="22" t="s">
        <v>2169</v>
      </c>
      <c r="B4577" s="22">
        <v>0</v>
      </c>
      <c r="C4577" s="22" t="s">
        <v>2169</v>
      </c>
      <c r="D4577" s="22">
        <v>0</v>
      </c>
      <c r="E4577" s="22" t="s">
        <v>2169</v>
      </c>
      <c r="F4577" s="22">
        <v>0</v>
      </c>
      <c r="G4577" s="22" t="s">
        <v>2169</v>
      </c>
      <c r="H4577" s="22">
        <v>0</v>
      </c>
      <c r="I4577" s="22" t="s">
        <v>2169</v>
      </c>
      <c r="J4577" s="22">
        <v>0</v>
      </c>
      <c r="K4577" s="22" t="s">
        <v>2190</v>
      </c>
      <c r="L4577" s="22">
        <v>0</v>
      </c>
      <c r="M4577" s="22"/>
      <c r="N4577" s="22"/>
      <c r="O4577" s="22"/>
      <c r="P4577" s="22"/>
      <c r="Q4577" s="22"/>
      <c r="R4577" s="22"/>
      <c r="S4577" s="22"/>
      <c r="T4577" s="22"/>
      <c r="U4577" s="22"/>
      <c r="V4577" s="22"/>
      <c r="W4577" s="22"/>
      <c r="X4577" s="22"/>
    </row>
    <row r="4578" spans="1:24" x14ac:dyDescent="0.25">
      <c r="A4578" s="22" t="s">
        <v>2170</v>
      </c>
      <c r="B4578" s="22">
        <v>0</v>
      </c>
      <c r="C4578" s="22" t="s">
        <v>2170</v>
      </c>
      <c r="D4578" s="22">
        <v>0</v>
      </c>
      <c r="E4578" s="22" t="s">
        <v>2170</v>
      </c>
      <c r="F4578" s="22">
        <v>0</v>
      </c>
      <c r="G4578" s="22" t="s">
        <v>2170</v>
      </c>
      <c r="H4578" s="22">
        <v>0</v>
      </c>
      <c r="I4578" s="22" t="s">
        <v>2170</v>
      </c>
      <c r="J4578" s="22">
        <v>0</v>
      </c>
      <c r="K4578" s="22" t="s">
        <v>2191</v>
      </c>
      <c r="L4578" s="22">
        <v>0</v>
      </c>
      <c r="M4578" s="22"/>
      <c r="N4578" s="22"/>
      <c r="O4578" s="22"/>
      <c r="P4578" s="22"/>
      <c r="Q4578" s="22"/>
      <c r="R4578" s="22"/>
      <c r="S4578" s="22"/>
      <c r="T4578" s="22"/>
      <c r="U4578" s="22"/>
      <c r="V4578" s="22"/>
      <c r="W4578" s="22"/>
      <c r="X4578" s="22"/>
    </row>
    <row r="4579" spans="1:24" x14ac:dyDescent="0.25">
      <c r="A4579" s="22" t="s">
        <v>2171</v>
      </c>
      <c r="B4579" s="22">
        <v>0</v>
      </c>
      <c r="C4579" s="22" t="s">
        <v>2171</v>
      </c>
      <c r="D4579" s="22">
        <v>0</v>
      </c>
      <c r="E4579" s="22" t="s">
        <v>2171</v>
      </c>
      <c r="F4579" s="22">
        <v>0</v>
      </c>
      <c r="G4579" s="22" t="s">
        <v>2171</v>
      </c>
      <c r="H4579" s="22">
        <v>0</v>
      </c>
      <c r="I4579" s="22" t="s">
        <v>2171</v>
      </c>
      <c r="J4579" s="22">
        <v>0</v>
      </c>
      <c r="K4579" s="22" t="s">
        <v>2192</v>
      </c>
      <c r="L4579" s="22">
        <v>0</v>
      </c>
      <c r="M4579" s="22"/>
      <c r="N4579" s="22"/>
      <c r="O4579" s="22"/>
      <c r="P4579" s="22"/>
      <c r="Q4579" s="22"/>
      <c r="R4579" s="22"/>
      <c r="S4579" s="22"/>
      <c r="T4579" s="22"/>
      <c r="U4579" s="22"/>
      <c r="V4579" s="22"/>
      <c r="W4579" s="22"/>
      <c r="X4579" s="22"/>
    </row>
    <row r="4580" spans="1:24" x14ac:dyDescent="0.25">
      <c r="A4580" s="22" t="s">
        <v>2172</v>
      </c>
      <c r="B4580" s="22">
        <v>0</v>
      </c>
      <c r="C4580" s="22" t="s">
        <v>2172</v>
      </c>
      <c r="D4580" s="22">
        <v>0</v>
      </c>
      <c r="E4580" s="22" t="s">
        <v>2172</v>
      </c>
      <c r="F4580" s="22">
        <v>0</v>
      </c>
      <c r="G4580" s="22" t="s">
        <v>2172</v>
      </c>
      <c r="H4580" s="22">
        <v>0</v>
      </c>
      <c r="I4580" s="22" t="s">
        <v>2172</v>
      </c>
      <c r="J4580" s="22">
        <v>0</v>
      </c>
      <c r="K4580" s="22" t="s">
        <v>2193</v>
      </c>
      <c r="L4580" s="22">
        <v>0</v>
      </c>
      <c r="M4580" s="22"/>
      <c r="N4580" s="22"/>
      <c r="O4580" s="22"/>
      <c r="P4580" s="22"/>
      <c r="Q4580" s="22"/>
      <c r="R4580" s="22"/>
      <c r="S4580" s="22"/>
      <c r="T4580" s="22"/>
      <c r="U4580" s="22"/>
      <c r="V4580" s="22"/>
      <c r="W4580" s="22"/>
      <c r="X4580" s="22"/>
    </row>
    <row r="4581" spans="1:24" x14ac:dyDescent="0.25">
      <c r="A4581" s="22" t="s">
        <v>2173</v>
      </c>
      <c r="B4581" s="22">
        <v>0</v>
      </c>
      <c r="C4581" s="22" t="s">
        <v>2173</v>
      </c>
      <c r="D4581" s="22">
        <v>0</v>
      </c>
      <c r="E4581" s="22" t="s">
        <v>2173</v>
      </c>
      <c r="F4581" s="22">
        <v>0</v>
      </c>
      <c r="G4581" s="22" t="s">
        <v>2173</v>
      </c>
      <c r="H4581" s="22">
        <v>0</v>
      </c>
      <c r="I4581" s="22" t="s">
        <v>2173</v>
      </c>
      <c r="J4581" s="22">
        <v>0</v>
      </c>
      <c r="K4581" s="22" t="s">
        <v>2194</v>
      </c>
      <c r="L4581" s="22">
        <v>0</v>
      </c>
      <c r="M4581" s="22"/>
      <c r="N4581" s="22"/>
      <c r="O4581" s="22"/>
      <c r="P4581" s="22"/>
      <c r="Q4581" s="22"/>
      <c r="R4581" s="22"/>
      <c r="S4581" s="22"/>
      <c r="T4581" s="22"/>
      <c r="U4581" s="22"/>
      <c r="V4581" s="22"/>
      <c r="W4581" s="22"/>
      <c r="X4581" s="22"/>
    </row>
    <row r="4582" spans="1:24" x14ac:dyDescent="0.25">
      <c r="A4582" s="22" t="s">
        <v>2174</v>
      </c>
      <c r="B4582" s="22">
        <v>0</v>
      </c>
      <c r="C4582" s="22" t="s">
        <v>2174</v>
      </c>
      <c r="D4582" s="22">
        <v>0</v>
      </c>
      <c r="E4582" s="22" t="s">
        <v>2174</v>
      </c>
      <c r="F4582" s="22">
        <v>0</v>
      </c>
      <c r="G4582" s="22" t="s">
        <v>2174</v>
      </c>
      <c r="H4582" s="22">
        <v>0</v>
      </c>
      <c r="I4582" s="22" t="s">
        <v>2174</v>
      </c>
      <c r="J4582" s="22">
        <v>0</v>
      </c>
      <c r="K4582" s="22" t="s">
        <v>2195</v>
      </c>
      <c r="L4582" s="22">
        <v>0</v>
      </c>
      <c r="M4582" s="22"/>
      <c r="N4582" s="22"/>
      <c r="O4582" s="22"/>
      <c r="P4582" s="22"/>
      <c r="Q4582" s="22"/>
      <c r="R4582" s="22"/>
      <c r="S4582" s="22"/>
      <c r="T4582" s="22"/>
      <c r="U4582" s="22"/>
      <c r="V4582" s="22"/>
      <c r="W4582" s="22"/>
      <c r="X4582" s="22"/>
    </row>
    <row r="4583" spans="1:24" x14ac:dyDescent="0.25">
      <c r="A4583" s="22" t="s">
        <v>1888</v>
      </c>
      <c r="B4583" s="22">
        <v>795</v>
      </c>
      <c r="C4583" s="22" t="s">
        <v>1888</v>
      </c>
      <c r="D4583" s="22">
        <v>745</v>
      </c>
      <c r="E4583" s="22" t="s">
        <v>1888</v>
      </c>
      <c r="F4583" s="22">
        <v>745</v>
      </c>
      <c r="G4583" s="22" t="s">
        <v>1888</v>
      </c>
      <c r="H4583" s="22">
        <v>745</v>
      </c>
      <c r="I4583" s="22" t="s">
        <v>1888</v>
      </c>
      <c r="J4583" s="22">
        <v>745</v>
      </c>
      <c r="K4583" s="22" t="s">
        <v>1892</v>
      </c>
      <c r="L4583" s="22">
        <v>665</v>
      </c>
      <c r="M4583" s="22"/>
      <c r="N4583" s="22"/>
      <c r="O4583" s="22"/>
      <c r="P4583" s="22"/>
      <c r="Q4583" s="22"/>
      <c r="R4583" s="22"/>
      <c r="S4583" s="22"/>
      <c r="T4583" s="22"/>
      <c r="U4583" s="22"/>
      <c r="V4583" s="22"/>
      <c r="W4583" s="22"/>
      <c r="X4583" s="22"/>
    </row>
    <row r="4584" spans="1:24" x14ac:dyDescent="0.25">
      <c r="A4584" s="22" t="s">
        <v>2175</v>
      </c>
      <c r="B4584" s="22">
        <v>18</v>
      </c>
      <c r="C4584" s="22" t="s">
        <v>2175</v>
      </c>
      <c r="D4584" s="22">
        <v>1</v>
      </c>
      <c r="E4584" s="22" t="s">
        <v>2175</v>
      </c>
      <c r="F4584" s="22">
        <v>1</v>
      </c>
      <c r="G4584" s="22" t="s">
        <v>2175</v>
      </c>
      <c r="H4584" s="22">
        <v>1</v>
      </c>
      <c r="I4584" s="22" t="s">
        <v>2175</v>
      </c>
      <c r="J4584" s="22">
        <v>1</v>
      </c>
      <c r="K4584" s="22" t="s">
        <v>2196</v>
      </c>
      <c r="L4584" s="22">
        <v>0</v>
      </c>
      <c r="M4584" s="22"/>
      <c r="N4584" s="22"/>
      <c r="O4584" s="22"/>
      <c r="P4584" s="22"/>
      <c r="Q4584" s="22"/>
      <c r="R4584" s="22"/>
      <c r="S4584" s="22"/>
      <c r="T4584" s="22"/>
      <c r="U4584" s="22"/>
      <c r="V4584" s="22"/>
      <c r="W4584" s="22"/>
      <c r="X4584" s="22"/>
    </row>
    <row r="4585" spans="1:24" x14ac:dyDescent="0.25">
      <c r="A4585" s="22" t="s">
        <v>2176</v>
      </c>
      <c r="B4585" s="22">
        <v>0</v>
      </c>
      <c r="C4585" s="22" t="s">
        <v>2176</v>
      </c>
      <c r="D4585" s="22">
        <v>0</v>
      </c>
      <c r="E4585" s="22" t="s">
        <v>2176</v>
      </c>
      <c r="F4585" s="22">
        <v>0</v>
      </c>
      <c r="G4585" s="22" t="s">
        <v>2176</v>
      </c>
      <c r="H4585" s="22">
        <v>0</v>
      </c>
      <c r="I4585" s="22" t="s">
        <v>2176</v>
      </c>
      <c r="J4585" s="22">
        <v>0</v>
      </c>
      <c r="K4585" s="22" t="s">
        <v>2197</v>
      </c>
      <c r="L4585" s="22">
        <v>0</v>
      </c>
      <c r="M4585" s="22"/>
      <c r="N4585" s="22"/>
      <c r="O4585" s="22"/>
      <c r="P4585" s="22"/>
      <c r="Q4585" s="22"/>
      <c r="R4585" s="22"/>
      <c r="S4585" s="22"/>
      <c r="T4585" s="22"/>
      <c r="U4585" s="22"/>
      <c r="V4585" s="22"/>
      <c r="W4585" s="22"/>
      <c r="X4585" s="22"/>
    </row>
    <row r="4586" spans="1:24" x14ac:dyDescent="0.25">
      <c r="A4586" s="22" t="s">
        <v>2177</v>
      </c>
      <c r="B4586" s="22">
        <v>1</v>
      </c>
      <c r="C4586" s="22" t="s">
        <v>2177</v>
      </c>
      <c r="D4586" s="22">
        <v>4</v>
      </c>
      <c r="E4586" s="22" t="s">
        <v>2177</v>
      </c>
      <c r="F4586" s="22">
        <v>4</v>
      </c>
      <c r="G4586" s="22" t="s">
        <v>2177</v>
      </c>
      <c r="H4586" s="22">
        <v>4</v>
      </c>
      <c r="I4586" s="22" t="s">
        <v>2177</v>
      </c>
      <c r="J4586" s="22">
        <v>4</v>
      </c>
      <c r="K4586" s="22" t="s">
        <v>2198</v>
      </c>
      <c r="L4586" s="22">
        <v>0</v>
      </c>
      <c r="M4586" s="22"/>
      <c r="N4586" s="22"/>
      <c r="O4586" s="22"/>
      <c r="P4586" s="22"/>
      <c r="Q4586" s="22"/>
      <c r="R4586" s="22"/>
      <c r="S4586" s="22"/>
      <c r="T4586" s="22"/>
      <c r="U4586" s="22"/>
      <c r="V4586" s="22"/>
      <c r="W4586" s="22"/>
      <c r="X4586" s="22"/>
    </row>
    <row r="4587" spans="1:24" x14ac:dyDescent="0.25">
      <c r="A4587" s="22" t="s">
        <v>2178</v>
      </c>
      <c r="B4587" s="22">
        <v>3</v>
      </c>
      <c r="C4587" s="22" t="s">
        <v>2178</v>
      </c>
      <c r="D4587" s="22">
        <v>1</v>
      </c>
      <c r="E4587" s="22" t="s">
        <v>2178</v>
      </c>
      <c r="F4587" s="22">
        <v>1</v>
      </c>
      <c r="G4587" s="22" t="s">
        <v>2178</v>
      </c>
      <c r="H4587" s="22">
        <v>1</v>
      </c>
      <c r="I4587" s="22" t="s">
        <v>2178</v>
      </c>
      <c r="J4587" s="22">
        <v>1</v>
      </c>
      <c r="K4587" s="22" t="s">
        <v>2199</v>
      </c>
      <c r="L4587" s="22">
        <v>1</v>
      </c>
      <c r="M4587" s="22"/>
      <c r="N4587" s="22"/>
      <c r="O4587" s="22"/>
      <c r="P4587" s="22"/>
      <c r="Q4587" s="22"/>
      <c r="R4587" s="22"/>
      <c r="S4587" s="22"/>
      <c r="T4587" s="22"/>
      <c r="U4587" s="22"/>
      <c r="V4587" s="22"/>
      <c r="W4587" s="22"/>
      <c r="X4587" s="22"/>
    </row>
    <row r="4588" spans="1:24" x14ac:dyDescent="0.25">
      <c r="A4588" s="22" t="s">
        <v>2179</v>
      </c>
      <c r="B4588" s="22">
        <v>0</v>
      </c>
      <c r="C4588" s="22" t="s">
        <v>2179</v>
      </c>
      <c r="D4588" s="22">
        <v>0</v>
      </c>
      <c r="E4588" s="22" t="s">
        <v>2179</v>
      </c>
      <c r="F4588" s="22">
        <v>0</v>
      </c>
      <c r="G4588" s="22" t="s">
        <v>2179</v>
      </c>
      <c r="H4588" s="22">
        <v>0</v>
      </c>
      <c r="I4588" s="22" t="s">
        <v>2179</v>
      </c>
      <c r="J4588" s="22">
        <v>0</v>
      </c>
      <c r="K4588" s="22" t="s">
        <v>2200</v>
      </c>
      <c r="L4588" s="22">
        <v>0</v>
      </c>
      <c r="M4588" s="22"/>
      <c r="N4588" s="22"/>
      <c r="O4588" s="22"/>
      <c r="P4588" s="22"/>
      <c r="Q4588" s="22"/>
      <c r="R4588" s="22"/>
      <c r="S4588" s="22"/>
      <c r="T4588" s="22"/>
      <c r="U4588" s="22"/>
      <c r="V4588" s="22"/>
      <c r="W4588" s="22"/>
      <c r="X4588" s="22"/>
    </row>
    <row r="4589" spans="1:24" x14ac:dyDescent="0.25">
      <c r="A4589" s="22" t="s">
        <v>2180</v>
      </c>
      <c r="B4589" s="22">
        <v>0</v>
      </c>
      <c r="C4589" s="22" t="s">
        <v>2180</v>
      </c>
      <c r="D4589" s="22">
        <v>0</v>
      </c>
      <c r="E4589" s="22" t="s">
        <v>2180</v>
      </c>
      <c r="F4589" s="22">
        <v>0</v>
      </c>
      <c r="G4589" s="22" t="s">
        <v>2180</v>
      </c>
      <c r="H4589" s="22">
        <v>0</v>
      </c>
      <c r="I4589" s="22" t="s">
        <v>2180</v>
      </c>
      <c r="J4589" s="22">
        <v>0</v>
      </c>
      <c r="K4589" s="22" t="s">
        <v>2201</v>
      </c>
      <c r="L4589" s="22">
        <v>0</v>
      </c>
      <c r="M4589" s="22"/>
      <c r="N4589" s="22"/>
      <c r="O4589" s="22"/>
      <c r="P4589" s="22"/>
      <c r="Q4589" s="22"/>
      <c r="R4589" s="22"/>
      <c r="S4589" s="22"/>
      <c r="T4589" s="22"/>
      <c r="U4589" s="22"/>
      <c r="V4589" s="22"/>
      <c r="W4589" s="22"/>
      <c r="X4589" s="22"/>
    </row>
    <row r="4590" spans="1:24" x14ac:dyDescent="0.25">
      <c r="A4590" s="22" t="s">
        <v>2181</v>
      </c>
      <c r="B4590" s="22">
        <v>0</v>
      </c>
      <c r="C4590" s="22" t="s">
        <v>2181</v>
      </c>
      <c r="D4590" s="22">
        <v>0</v>
      </c>
      <c r="E4590" s="22" t="s">
        <v>2181</v>
      </c>
      <c r="F4590" s="22">
        <v>0</v>
      </c>
      <c r="G4590" s="22" t="s">
        <v>2181</v>
      </c>
      <c r="H4590" s="22">
        <v>0</v>
      </c>
      <c r="I4590" s="22" t="s">
        <v>2181</v>
      </c>
      <c r="J4590" s="22">
        <v>0</v>
      </c>
      <c r="K4590" s="22" t="s">
        <v>2202</v>
      </c>
      <c r="L4590" s="22">
        <v>0</v>
      </c>
      <c r="M4590" s="22"/>
      <c r="N4590" s="22"/>
      <c r="O4590" s="22"/>
      <c r="P4590" s="22"/>
      <c r="Q4590" s="22"/>
      <c r="R4590" s="22"/>
      <c r="S4590" s="22"/>
      <c r="T4590" s="22"/>
      <c r="U4590" s="22"/>
      <c r="V4590" s="22"/>
      <c r="W4590" s="22"/>
      <c r="X4590" s="22"/>
    </row>
    <row r="4591" spans="1:24" x14ac:dyDescent="0.25">
      <c r="A4591" s="22" t="s">
        <v>1890</v>
      </c>
      <c r="B4591" s="22">
        <v>0</v>
      </c>
      <c r="C4591" s="22" t="s">
        <v>1890</v>
      </c>
      <c r="D4591" s="22">
        <v>0</v>
      </c>
      <c r="E4591" s="22" t="s">
        <v>1890</v>
      </c>
      <c r="F4591" s="22">
        <v>0</v>
      </c>
      <c r="G4591" s="22" t="s">
        <v>1890</v>
      </c>
      <c r="H4591" s="22">
        <v>0</v>
      </c>
      <c r="I4591" s="22" t="s">
        <v>1890</v>
      </c>
      <c r="J4591" s="22">
        <v>0</v>
      </c>
      <c r="K4591" s="22" t="s">
        <v>1893</v>
      </c>
      <c r="L4591" s="22">
        <v>0</v>
      </c>
      <c r="M4591" s="22"/>
      <c r="N4591" s="22"/>
      <c r="O4591" s="22"/>
      <c r="P4591" s="22"/>
      <c r="Q4591" s="22"/>
      <c r="R4591" s="22"/>
      <c r="S4591" s="22"/>
      <c r="T4591" s="22"/>
      <c r="U4591" s="22"/>
      <c r="V4591" s="22"/>
      <c r="W4591" s="22"/>
      <c r="X4591" s="22"/>
    </row>
    <row r="4592" spans="1:24" x14ac:dyDescent="0.25">
      <c r="A4592" s="22" t="s">
        <v>2182</v>
      </c>
      <c r="B4592" s="22">
        <v>0</v>
      </c>
      <c r="C4592" s="22" t="s">
        <v>2182</v>
      </c>
      <c r="D4592" s="22">
        <v>0</v>
      </c>
      <c r="E4592" s="22" t="s">
        <v>2182</v>
      </c>
      <c r="F4592" s="22">
        <v>0</v>
      </c>
      <c r="G4592" s="22" t="s">
        <v>2182</v>
      </c>
      <c r="H4592" s="22">
        <v>0</v>
      </c>
      <c r="I4592" s="22" t="s">
        <v>2182</v>
      </c>
      <c r="J4592" s="22">
        <v>0</v>
      </c>
      <c r="K4592" s="22" t="s">
        <v>2203</v>
      </c>
      <c r="L4592" s="22">
        <v>0</v>
      </c>
      <c r="M4592" s="22"/>
      <c r="N4592" s="22"/>
      <c r="O4592" s="22"/>
      <c r="P4592" s="22"/>
      <c r="Q4592" s="22"/>
      <c r="R4592" s="22"/>
      <c r="S4592" s="22"/>
      <c r="T4592" s="22"/>
      <c r="U4592" s="22"/>
      <c r="V4592" s="22"/>
      <c r="W4592" s="22"/>
      <c r="X4592" s="22"/>
    </row>
    <row r="4593" spans="1:24" x14ac:dyDescent="0.25">
      <c r="A4593" s="22" t="s">
        <v>2183</v>
      </c>
      <c r="B4593" s="22">
        <v>0</v>
      </c>
      <c r="C4593" s="22" t="s">
        <v>2183</v>
      </c>
      <c r="D4593" s="22">
        <v>0</v>
      </c>
      <c r="E4593" s="22" t="s">
        <v>2183</v>
      </c>
      <c r="F4593" s="22">
        <v>0</v>
      </c>
      <c r="G4593" s="22" t="s">
        <v>2183</v>
      </c>
      <c r="H4593" s="22">
        <v>0</v>
      </c>
      <c r="I4593" s="22" t="s">
        <v>2183</v>
      </c>
      <c r="J4593" s="22">
        <v>0</v>
      </c>
      <c r="K4593" s="22" t="s">
        <v>2204</v>
      </c>
      <c r="L4593" s="22">
        <v>0</v>
      </c>
      <c r="M4593" s="22"/>
      <c r="N4593" s="22"/>
      <c r="O4593" s="22"/>
      <c r="P4593" s="22"/>
      <c r="Q4593" s="22"/>
      <c r="R4593" s="22"/>
      <c r="S4593" s="22"/>
      <c r="T4593" s="22"/>
      <c r="U4593" s="22"/>
      <c r="V4593" s="22"/>
      <c r="W4593" s="22"/>
      <c r="X4593" s="22"/>
    </row>
    <row r="4594" spans="1:24" x14ac:dyDescent="0.25">
      <c r="A4594" s="22" t="s">
        <v>2184</v>
      </c>
      <c r="B4594" s="22">
        <v>0</v>
      </c>
      <c r="C4594" s="22" t="s">
        <v>2184</v>
      </c>
      <c r="D4594" s="22">
        <v>0</v>
      </c>
      <c r="E4594" s="22" t="s">
        <v>2184</v>
      </c>
      <c r="F4594" s="22">
        <v>0</v>
      </c>
      <c r="G4594" s="22" t="s">
        <v>2184</v>
      </c>
      <c r="H4594" s="22">
        <v>0</v>
      </c>
      <c r="I4594" s="22" t="s">
        <v>2184</v>
      </c>
      <c r="J4594" s="22">
        <v>0</v>
      </c>
      <c r="K4594" s="22" t="s">
        <v>2205</v>
      </c>
      <c r="L4594" s="22">
        <v>0</v>
      </c>
      <c r="M4594" s="22"/>
      <c r="N4594" s="22"/>
      <c r="O4594" s="22"/>
      <c r="P4594" s="22"/>
      <c r="Q4594" s="22"/>
      <c r="R4594" s="22"/>
      <c r="S4594" s="22"/>
      <c r="T4594" s="22"/>
      <c r="U4594" s="22"/>
      <c r="V4594" s="22"/>
      <c r="W4594" s="22"/>
      <c r="X4594" s="22"/>
    </row>
    <row r="4595" spans="1:24" x14ac:dyDescent="0.25">
      <c r="A4595" s="22" t="s">
        <v>2185</v>
      </c>
      <c r="B4595" s="22">
        <v>0</v>
      </c>
      <c r="C4595" s="22" t="s">
        <v>2185</v>
      </c>
      <c r="D4595" s="22">
        <v>0</v>
      </c>
      <c r="E4595" s="22" t="s">
        <v>2185</v>
      </c>
      <c r="F4595" s="22">
        <v>0</v>
      </c>
      <c r="G4595" s="22" t="s">
        <v>2185</v>
      </c>
      <c r="H4595" s="22">
        <v>0</v>
      </c>
      <c r="I4595" s="22" t="s">
        <v>2185</v>
      </c>
      <c r="J4595" s="22">
        <v>0</v>
      </c>
      <c r="K4595" s="22" t="s">
        <v>2206</v>
      </c>
      <c r="L4595" s="22">
        <v>0</v>
      </c>
      <c r="M4595" s="22"/>
      <c r="N4595" s="22"/>
      <c r="O4595" s="22"/>
      <c r="P4595" s="22"/>
      <c r="Q4595" s="22"/>
      <c r="R4595" s="22"/>
      <c r="S4595" s="22"/>
      <c r="T4595" s="22"/>
      <c r="U4595" s="22"/>
      <c r="V4595" s="22"/>
      <c r="W4595" s="22"/>
      <c r="X4595" s="22"/>
    </row>
    <row r="4596" spans="1:24" x14ac:dyDescent="0.25">
      <c r="A4596" s="22" t="s">
        <v>2186</v>
      </c>
      <c r="B4596" s="22">
        <v>0</v>
      </c>
      <c r="C4596" s="22" t="s">
        <v>2186</v>
      </c>
      <c r="D4596" s="22">
        <v>0</v>
      </c>
      <c r="E4596" s="22" t="s">
        <v>2186</v>
      </c>
      <c r="F4596" s="22">
        <v>0</v>
      </c>
      <c r="G4596" s="22" t="s">
        <v>2186</v>
      </c>
      <c r="H4596" s="22">
        <v>0</v>
      </c>
      <c r="I4596" s="22" t="s">
        <v>2186</v>
      </c>
      <c r="J4596" s="22">
        <v>0</v>
      </c>
      <c r="K4596" s="22" t="s">
        <v>2207</v>
      </c>
      <c r="L4596" s="22">
        <v>0</v>
      </c>
      <c r="M4596" s="22"/>
      <c r="N4596" s="22"/>
      <c r="O4596" s="22"/>
      <c r="P4596" s="22"/>
      <c r="Q4596" s="22"/>
      <c r="R4596" s="22"/>
      <c r="S4596" s="22"/>
      <c r="T4596" s="22"/>
      <c r="U4596" s="22"/>
      <c r="V4596" s="22"/>
      <c r="W4596" s="22"/>
      <c r="X4596" s="22"/>
    </row>
    <row r="4597" spans="1:24" x14ac:dyDescent="0.25">
      <c r="A4597" s="22" t="s">
        <v>2187</v>
      </c>
      <c r="B4597" s="22">
        <v>0</v>
      </c>
      <c r="C4597" s="22" t="s">
        <v>2187</v>
      </c>
      <c r="D4597" s="22">
        <v>0</v>
      </c>
      <c r="E4597" s="22" t="s">
        <v>2187</v>
      </c>
      <c r="F4597" s="22">
        <v>0</v>
      </c>
      <c r="G4597" s="22" t="s">
        <v>2187</v>
      </c>
      <c r="H4597" s="22">
        <v>0</v>
      </c>
      <c r="I4597" s="22" t="s">
        <v>2187</v>
      </c>
      <c r="J4597" s="22">
        <v>0</v>
      </c>
      <c r="K4597" s="22" t="s">
        <v>2208</v>
      </c>
      <c r="L4597" s="22">
        <v>0</v>
      </c>
      <c r="M4597" s="22"/>
      <c r="N4597" s="22"/>
      <c r="O4597" s="22"/>
      <c r="P4597" s="22"/>
      <c r="Q4597" s="22"/>
      <c r="R4597" s="22"/>
      <c r="S4597" s="22"/>
      <c r="T4597" s="22"/>
      <c r="U4597" s="22"/>
      <c r="V4597" s="22"/>
      <c r="W4597" s="22"/>
      <c r="X4597" s="22"/>
    </row>
    <row r="4598" spans="1:24" x14ac:dyDescent="0.25">
      <c r="A4598" s="22" t="s">
        <v>2188</v>
      </c>
      <c r="B4598" s="22">
        <v>0</v>
      </c>
      <c r="C4598" s="22" t="s">
        <v>2188</v>
      </c>
      <c r="D4598" s="22">
        <v>0</v>
      </c>
      <c r="E4598" s="22" t="s">
        <v>2188</v>
      </c>
      <c r="F4598" s="22">
        <v>0</v>
      </c>
      <c r="G4598" s="22" t="s">
        <v>2188</v>
      </c>
      <c r="H4598" s="22">
        <v>0</v>
      </c>
      <c r="I4598" s="22" t="s">
        <v>2188</v>
      </c>
      <c r="J4598" s="22">
        <v>0</v>
      </c>
      <c r="K4598" s="22" t="s">
        <v>2209</v>
      </c>
      <c r="L4598" s="22">
        <v>0</v>
      </c>
      <c r="M4598" s="22"/>
      <c r="N4598" s="22"/>
      <c r="O4598" s="22"/>
      <c r="P4598" s="22"/>
      <c r="Q4598" s="22"/>
      <c r="R4598" s="22"/>
      <c r="S4598" s="22"/>
      <c r="T4598" s="22"/>
      <c r="U4598" s="22"/>
      <c r="V4598" s="22"/>
      <c r="W4598" s="22"/>
      <c r="X4598" s="22"/>
    </row>
    <row r="4599" spans="1:24" x14ac:dyDescent="0.25">
      <c r="A4599" s="22" t="s">
        <v>1891</v>
      </c>
      <c r="B4599" s="22">
        <v>0</v>
      </c>
      <c r="C4599" s="22" t="s">
        <v>1891</v>
      </c>
      <c r="D4599" s="22">
        <v>0</v>
      </c>
      <c r="E4599" s="22" t="s">
        <v>1891</v>
      </c>
      <c r="F4599" s="22">
        <v>0</v>
      </c>
      <c r="G4599" s="22" t="s">
        <v>1891</v>
      </c>
      <c r="H4599" s="22">
        <v>0</v>
      </c>
      <c r="I4599" s="22" t="s">
        <v>1891</v>
      </c>
      <c r="J4599" s="22">
        <v>0</v>
      </c>
      <c r="K4599" s="22" t="s">
        <v>1894</v>
      </c>
      <c r="L4599" s="22">
        <v>1327</v>
      </c>
      <c r="M4599" s="22"/>
      <c r="N4599" s="22"/>
      <c r="O4599" s="22"/>
      <c r="P4599" s="22"/>
      <c r="Q4599" s="22"/>
      <c r="R4599" s="22"/>
      <c r="S4599" s="22"/>
      <c r="T4599" s="22"/>
      <c r="U4599" s="22"/>
      <c r="V4599" s="22"/>
      <c r="W4599" s="22"/>
      <c r="X4599" s="22"/>
    </row>
    <row r="4600" spans="1:24" x14ac:dyDescent="0.25">
      <c r="A4600" s="22" t="s">
        <v>2189</v>
      </c>
      <c r="B4600" s="22">
        <v>0</v>
      </c>
      <c r="C4600" s="22" t="s">
        <v>2189</v>
      </c>
      <c r="D4600" s="22">
        <v>0</v>
      </c>
      <c r="E4600" s="22" t="s">
        <v>2189</v>
      </c>
      <c r="F4600" s="22">
        <v>0</v>
      </c>
      <c r="G4600" s="22" t="s">
        <v>2189</v>
      </c>
      <c r="H4600" s="22">
        <v>0</v>
      </c>
      <c r="I4600" s="22" t="s">
        <v>2189</v>
      </c>
      <c r="J4600" s="22">
        <v>0</v>
      </c>
      <c r="K4600" s="22" t="s">
        <v>2210</v>
      </c>
      <c r="L4600" s="22">
        <v>8</v>
      </c>
      <c r="M4600" s="22"/>
      <c r="N4600" s="22"/>
      <c r="O4600" s="22"/>
      <c r="P4600" s="22"/>
      <c r="Q4600" s="22"/>
      <c r="R4600" s="22"/>
      <c r="S4600" s="22"/>
      <c r="T4600" s="22"/>
      <c r="U4600" s="22"/>
      <c r="V4600" s="22"/>
      <c r="W4600" s="22"/>
      <c r="X4600" s="22"/>
    </row>
    <row r="4601" spans="1:24" x14ac:dyDescent="0.25">
      <c r="A4601" s="22" t="s">
        <v>2190</v>
      </c>
      <c r="B4601" s="22">
        <v>0</v>
      </c>
      <c r="C4601" s="22" t="s">
        <v>2190</v>
      </c>
      <c r="D4601" s="22">
        <v>0</v>
      </c>
      <c r="E4601" s="22" t="s">
        <v>2190</v>
      </c>
      <c r="F4601" s="22">
        <v>0</v>
      </c>
      <c r="G4601" s="22" t="s">
        <v>2190</v>
      </c>
      <c r="H4601" s="22">
        <v>0</v>
      </c>
      <c r="I4601" s="22" t="s">
        <v>2190</v>
      </c>
      <c r="J4601" s="22">
        <v>0</v>
      </c>
      <c r="K4601" s="22" t="s">
        <v>2211</v>
      </c>
      <c r="L4601" s="22">
        <v>0</v>
      </c>
      <c r="M4601" s="22"/>
      <c r="N4601" s="22"/>
      <c r="O4601" s="22"/>
      <c r="P4601" s="22"/>
      <c r="Q4601" s="22"/>
      <c r="R4601" s="22"/>
      <c r="S4601" s="22"/>
      <c r="T4601" s="22"/>
      <c r="U4601" s="22"/>
      <c r="V4601" s="22"/>
      <c r="W4601" s="22"/>
      <c r="X4601" s="22"/>
    </row>
    <row r="4602" spans="1:24" x14ac:dyDescent="0.25">
      <c r="A4602" s="22" t="s">
        <v>2191</v>
      </c>
      <c r="B4602" s="22">
        <v>0</v>
      </c>
      <c r="C4602" s="22" t="s">
        <v>2191</v>
      </c>
      <c r="D4602" s="22">
        <v>0</v>
      </c>
      <c r="E4602" s="22" t="s">
        <v>2191</v>
      </c>
      <c r="F4602" s="22">
        <v>0</v>
      </c>
      <c r="G4602" s="22" t="s">
        <v>2191</v>
      </c>
      <c r="H4602" s="22">
        <v>0</v>
      </c>
      <c r="I4602" s="22" t="s">
        <v>2191</v>
      </c>
      <c r="J4602" s="22">
        <v>0</v>
      </c>
      <c r="K4602" s="22" t="s">
        <v>2212</v>
      </c>
      <c r="L4602" s="22">
        <v>11</v>
      </c>
      <c r="M4602" s="22"/>
      <c r="N4602" s="22"/>
      <c r="O4602" s="22"/>
      <c r="P4602" s="22"/>
      <c r="Q4602" s="22"/>
      <c r="R4602" s="22"/>
      <c r="S4602" s="22"/>
      <c r="T4602" s="22"/>
      <c r="U4602" s="22"/>
      <c r="V4602" s="22"/>
      <c r="W4602" s="22"/>
      <c r="X4602" s="22"/>
    </row>
    <row r="4603" spans="1:24" x14ac:dyDescent="0.25">
      <c r="A4603" s="22" t="s">
        <v>2192</v>
      </c>
      <c r="B4603" s="22">
        <v>0</v>
      </c>
      <c r="C4603" s="22" t="s">
        <v>2192</v>
      </c>
      <c r="D4603" s="22">
        <v>0</v>
      </c>
      <c r="E4603" s="22" t="s">
        <v>2192</v>
      </c>
      <c r="F4603" s="22">
        <v>0</v>
      </c>
      <c r="G4603" s="22" t="s">
        <v>2192</v>
      </c>
      <c r="H4603" s="22">
        <v>0</v>
      </c>
      <c r="I4603" s="22" t="s">
        <v>2192</v>
      </c>
      <c r="J4603" s="22">
        <v>0</v>
      </c>
      <c r="K4603" s="22" t="s">
        <v>2213</v>
      </c>
      <c r="L4603" s="22">
        <v>6</v>
      </c>
      <c r="M4603" s="22"/>
      <c r="N4603" s="22"/>
      <c r="O4603" s="22"/>
      <c r="P4603" s="22"/>
      <c r="Q4603" s="22"/>
      <c r="R4603" s="22"/>
      <c r="S4603" s="22"/>
      <c r="T4603" s="22"/>
      <c r="U4603" s="22"/>
      <c r="V4603" s="22"/>
      <c r="W4603" s="22"/>
      <c r="X4603" s="22"/>
    </row>
    <row r="4604" spans="1:24" x14ac:dyDescent="0.25">
      <c r="A4604" s="22" t="s">
        <v>2193</v>
      </c>
      <c r="B4604" s="22">
        <v>0</v>
      </c>
      <c r="C4604" s="22" t="s">
        <v>2193</v>
      </c>
      <c r="D4604" s="22">
        <v>0</v>
      </c>
      <c r="E4604" s="22" t="s">
        <v>2193</v>
      </c>
      <c r="F4604" s="22">
        <v>0</v>
      </c>
      <c r="G4604" s="22" t="s">
        <v>2193</v>
      </c>
      <c r="H4604" s="22">
        <v>0</v>
      </c>
      <c r="I4604" s="22" t="s">
        <v>2193</v>
      </c>
      <c r="J4604" s="22">
        <v>0</v>
      </c>
      <c r="K4604" s="22" t="s">
        <v>2214</v>
      </c>
      <c r="L4604" s="22">
        <v>0</v>
      </c>
      <c r="M4604" s="22"/>
      <c r="N4604" s="22"/>
      <c r="O4604" s="22"/>
      <c r="P4604" s="22"/>
      <c r="Q4604" s="22"/>
      <c r="R4604" s="22"/>
      <c r="S4604" s="22"/>
      <c r="T4604" s="22"/>
      <c r="U4604" s="22"/>
      <c r="V4604" s="22"/>
      <c r="W4604" s="22"/>
      <c r="X4604" s="22"/>
    </row>
    <row r="4605" spans="1:24" x14ac:dyDescent="0.25">
      <c r="A4605" s="22" t="s">
        <v>2194</v>
      </c>
      <c r="B4605" s="22">
        <v>0</v>
      </c>
      <c r="C4605" s="22" t="s">
        <v>2194</v>
      </c>
      <c r="D4605" s="22">
        <v>0</v>
      </c>
      <c r="E4605" s="22" t="s">
        <v>2194</v>
      </c>
      <c r="F4605" s="22">
        <v>0</v>
      </c>
      <c r="G4605" s="22" t="s">
        <v>2194</v>
      </c>
      <c r="H4605" s="22">
        <v>0</v>
      </c>
      <c r="I4605" s="22" t="s">
        <v>2194</v>
      </c>
      <c r="J4605" s="22">
        <v>0</v>
      </c>
      <c r="K4605" s="22" t="s">
        <v>2215</v>
      </c>
      <c r="L4605" s="22">
        <v>0</v>
      </c>
      <c r="M4605" s="22"/>
      <c r="N4605" s="22"/>
      <c r="O4605" s="22"/>
      <c r="P4605" s="22"/>
      <c r="Q4605" s="22"/>
      <c r="R4605" s="22"/>
      <c r="S4605" s="22"/>
      <c r="T4605" s="22"/>
      <c r="U4605" s="22"/>
      <c r="V4605" s="22"/>
      <c r="W4605" s="22"/>
      <c r="X4605" s="22"/>
    </row>
    <row r="4606" spans="1:24" x14ac:dyDescent="0.25">
      <c r="A4606" s="22" t="s">
        <v>2195</v>
      </c>
      <c r="B4606" s="22">
        <v>0</v>
      </c>
      <c r="C4606" s="22" t="s">
        <v>2195</v>
      </c>
      <c r="D4606" s="22">
        <v>0</v>
      </c>
      <c r="E4606" s="22" t="s">
        <v>2195</v>
      </c>
      <c r="F4606" s="22">
        <v>0</v>
      </c>
      <c r="G4606" s="22" t="s">
        <v>2195</v>
      </c>
      <c r="H4606" s="22">
        <v>0</v>
      </c>
      <c r="I4606" s="22" t="s">
        <v>2195</v>
      </c>
      <c r="J4606" s="22">
        <v>0</v>
      </c>
      <c r="K4606" s="22" t="s">
        <v>2216</v>
      </c>
      <c r="L4606" s="22">
        <v>0</v>
      </c>
      <c r="M4606" s="22"/>
      <c r="N4606" s="22"/>
      <c r="O4606" s="22"/>
      <c r="P4606" s="22"/>
      <c r="Q4606" s="22"/>
      <c r="R4606" s="22"/>
      <c r="S4606" s="22"/>
      <c r="T4606" s="22"/>
      <c r="U4606" s="22"/>
      <c r="V4606" s="22"/>
      <c r="W4606" s="22"/>
      <c r="X4606" s="22"/>
    </row>
    <row r="4607" spans="1:24" x14ac:dyDescent="0.25">
      <c r="A4607" s="22" t="s">
        <v>1892</v>
      </c>
      <c r="B4607" s="22">
        <v>302</v>
      </c>
      <c r="C4607" s="22" t="s">
        <v>1892</v>
      </c>
      <c r="D4607" s="22">
        <v>665</v>
      </c>
      <c r="E4607" s="22" t="s">
        <v>1892</v>
      </c>
      <c r="F4607" s="22">
        <v>665</v>
      </c>
      <c r="G4607" s="22" t="s">
        <v>1892</v>
      </c>
      <c r="H4607" s="22">
        <v>665</v>
      </c>
      <c r="I4607" s="22" t="s">
        <v>1892</v>
      </c>
      <c r="J4607" s="22">
        <v>665</v>
      </c>
      <c r="K4607" s="22" t="s">
        <v>1895</v>
      </c>
      <c r="L4607" s="22">
        <v>0</v>
      </c>
      <c r="M4607" s="22"/>
      <c r="N4607" s="22"/>
      <c r="O4607" s="22"/>
      <c r="P4607" s="22"/>
      <c r="Q4607" s="22"/>
      <c r="R4607" s="22"/>
      <c r="S4607" s="22"/>
      <c r="T4607" s="22"/>
      <c r="U4607" s="22"/>
      <c r="V4607" s="22"/>
      <c r="W4607" s="22"/>
      <c r="X4607" s="22"/>
    </row>
    <row r="4608" spans="1:24" x14ac:dyDescent="0.25">
      <c r="A4608" s="22" t="s">
        <v>2196</v>
      </c>
      <c r="B4608" s="22">
        <v>0</v>
      </c>
      <c r="C4608" s="22" t="s">
        <v>2196</v>
      </c>
      <c r="D4608" s="22">
        <v>0</v>
      </c>
      <c r="E4608" s="22" t="s">
        <v>2196</v>
      </c>
      <c r="F4608" s="22">
        <v>0</v>
      </c>
      <c r="G4608" s="22" t="s">
        <v>2196</v>
      </c>
      <c r="H4608" s="22">
        <v>0</v>
      </c>
      <c r="I4608" s="22" t="s">
        <v>2196</v>
      </c>
      <c r="J4608" s="22">
        <v>0</v>
      </c>
      <c r="K4608" s="22" t="s">
        <v>2217</v>
      </c>
      <c r="L4608" s="22">
        <v>0</v>
      </c>
      <c r="M4608" s="22"/>
      <c r="N4608" s="22"/>
      <c r="O4608" s="22"/>
      <c r="P4608" s="22"/>
      <c r="Q4608" s="22"/>
      <c r="R4608" s="22"/>
      <c r="S4608" s="22"/>
      <c r="T4608" s="22"/>
      <c r="U4608" s="22"/>
      <c r="V4608" s="22"/>
      <c r="W4608" s="22"/>
      <c r="X4608" s="22"/>
    </row>
    <row r="4609" spans="1:24" x14ac:dyDescent="0.25">
      <c r="A4609" s="22" t="s">
        <v>2197</v>
      </c>
      <c r="B4609" s="22">
        <v>0</v>
      </c>
      <c r="C4609" s="22" t="s">
        <v>2197</v>
      </c>
      <c r="D4609" s="22">
        <v>0</v>
      </c>
      <c r="E4609" s="22" t="s">
        <v>2197</v>
      </c>
      <c r="F4609" s="22">
        <v>0</v>
      </c>
      <c r="G4609" s="22" t="s">
        <v>2197</v>
      </c>
      <c r="H4609" s="22">
        <v>0</v>
      </c>
      <c r="I4609" s="22" t="s">
        <v>2197</v>
      </c>
      <c r="J4609" s="22">
        <v>0</v>
      </c>
      <c r="K4609" s="22" t="s">
        <v>2218</v>
      </c>
      <c r="L4609" s="22">
        <v>0</v>
      </c>
      <c r="M4609" s="22"/>
      <c r="N4609" s="22"/>
      <c r="O4609" s="22"/>
      <c r="P4609" s="22"/>
      <c r="Q4609" s="22"/>
      <c r="R4609" s="22"/>
      <c r="S4609" s="22"/>
      <c r="T4609" s="22"/>
      <c r="U4609" s="22"/>
      <c r="V4609" s="22"/>
      <c r="W4609" s="22"/>
      <c r="X4609" s="22"/>
    </row>
    <row r="4610" spans="1:24" x14ac:dyDescent="0.25">
      <c r="A4610" s="22" t="s">
        <v>2198</v>
      </c>
      <c r="B4610" s="22">
        <v>0</v>
      </c>
      <c r="C4610" s="22" t="s">
        <v>2198</v>
      </c>
      <c r="D4610" s="22">
        <v>0</v>
      </c>
      <c r="E4610" s="22" t="s">
        <v>2198</v>
      </c>
      <c r="F4610" s="22">
        <v>0</v>
      </c>
      <c r="G4610" s="22" t="s">
        <v>2198</v>
      </c>
      <c r="H4610" s="22">
        <v>0</v>
      </c>
      <c r="I4610" s="22" t="s">
        <v>2198</v>
      </c>
      <c r="J4610" s="22">
        <v>0</v>
      </c>
      <c r="K4610" s="22" t="s">
        <v>2219</v>
      </c>
      <c r="L4610" s="22">
        <v>0</v>
      </c>
      <c r="M4610" s="22"/>
      <c r="N4610" s="22"/>
      <c r="O4610" s="22"/>
      <c r="P4610" s="22"/>
      <c r="Q4610" s="22"/>
      <c r="R4610" s="22"/>
      <c r="S4610" s="22"/>
      <c r="T4610" s="22"/>
      <c r="U4610" s="22"/>
      <c r="V4610" s="22"/>
      <c r="W4610" s="22"/>
      <c r="X4610" s="22"/>
    </row>
    <row r="4611" spans="1:24" x14ac:dyDescent="0.25">
      <c r="A4611" s="22" t="s">
        <v>2199</v>
      </c>
      <c r="B4611" s="22">
        <v>1</v>
      </c>
      <c r="C4611" s="22" t="s">
        <v>2199</v>
      </c>
      <c r="D4611" s="22">
        <v>1</v>
      </c>
      <c r="E4611" s="22" t="s">
        <v>2199</v>
      </c>
      <c r="F4611" s="22">
        <v>1</v>
      </c>
      <c r="G4611" s="22" t="s">
        <v>2199</v>
      </c>
      <c r="H4611" s="22">
        <v>1</v>
      </c>
      <c r="I4611" s="22" t="s">
        <v>2199</v>
      </c>
      <c r="J4611" s="22">
        <v>1</v>
      </c>
      <c r="K4611" s="22" t="s">
        <v>2220</v>
      </c>
      <c r="L4611" s="22">
        <v>0</v>
      </c>
      <c r="M4611" s="22"/>
      <c r="N4611" s="22"/>
      <c r="O4611" s="22"/>
      <c r="P4611" s="22"/>
      <c r="Q4611" s="22"/>
      <c r="R4611" s="22"/>
      <c r="S4611" s="22"/>
      <c r="T4611" s="22"/>
      <c r="U4611" s="22"/>
      <c r="V4611" s="22"/>
      <c r="W4611" s="22"/>
      <c r="X4611" s="22"/>
    </row>
    <row r="4612" spans="1:24" x14ac:dyDescent="0.25">
      <c r="A4612" s="22" t="s">
        <v>2200</v>
      </c>
      <c r="B4612" s="22">
        <v>0</v>
      </c>
      <c r="C4612" s="22" t="s">
        <v>2200</v>
      </c>
      <c r="D4612" s="22">
        <v>0</v>
      </c>
      <c r="E4612" s="22" t="s">
        <v>2200</v>
      </c>
      <c r="F4612" s="22">
        <v>0</v>
      </c>
      <c r="G4612" s="22" t="s">
        <v>2200</v>
      </c>
      <c r="H4612" s="22">
        <v>0</v>
      </c>
      <c r="I4612" s="22" t="s">
        <v>2200</v>
      </c>
      <c r="J4612" s="22">
        <v>0</v>
      </c>
      <c r="K4612" s="22" t="s">
        <v>2221</v>
      </c>
      <c r="L4612" s="22">
        <v>0</v>
      </c>
      <c r="M4612" s="22"/>
      <c r="N4612" s="22"/>
      <c r="O4612" s="22"/>
      <c r="P4612" s="22"/>
      <c r="Q4612" s="22"/>
      <c r="R4612" s="22"/>
      <c r="S4612" s="22"/>
      <c r="T4612" s="22"/>
      <c r="U4612" s="22"/>
      <c r="V4612" s="22"/>
      <c r="W4612" s="22"/>
      <c r="X4612" s="22"/>
    </row>
    <row r="4613" spans="1:24" x14ac:dyDescent="0.25">
      <c r="A4613" s="22" t="s">
        <v>2201</v>
      </c>
      <c r="B4613" s="22">
        <v>0</v>
      </c>
      <c r="C4613" s="22" t="s">
        <v>2201</v>
      </c>
      <c r="D4613" s="22">
        <v>0</v>
      </c>
      <c r="E4613" s="22" t="s">
        <v>2201</v>
      </c>
      <c r="F4613" s="22">
        <v>0</v>
      </c>
      <c r="G4613" s="22" t="s">
        <v>2201</v>
      </c>
      <c r="H4613" s="22">
        <v>0</v>
      </c>
      <c r="I4613" s="22" t="s">
        <v>2201</v>
      </c>
      <c r="J4613" s="22">
        <v>0</v>
      </c>
      <c r="K4613" s="22" t="s">
        <v>2222</v>
      </c>
      <c r="L4613" s="22">
        <v>0</v>
      </c>
      <c r="M4613" s="22"/>
      <c r="N4613" s="22"/>
      <c r="O4613" s="22"/>
      <c r="P4613" s="22"/>
      <c r="Q4613" s="22"/>
      <c r="R4613" s="22"/>
      <c r="S4613" s="22"/>
      <c r="T4613" s="22"/>
      <c r="U4613" s="22"/>
      <c r="V4613" s="22"/>
      <c r="W4613" s="22"/>
      <c r="X4613" s="22"/>
    </row>
    <row r="4614" spans="1:24" x14ac:dyDescent="0.25">
      <c r="A4614" s="22" t="s">
        <v>2202</v>
      </c>
      <c r="B4614" s="22">
        <v>0</v>
      </c>
      <c r="C4614" s="22" t="s">
        <v>2202</v>
      </c>
      <c r="D4614" s="22">
        <v>0</v>
      </c>
      <c r="E4614" s="22" t="s">
        <v>2202</v>
      </c>
      <c r="F4614" s="22">
        <v>0</v>
      </c>
      <c r="G4614" s="22" t="s">
        <v>2202</v>
      </c>
      <c r="H4614" s="22">
        <v>0</v>
      </c>
      <c r="I4614" s="22" t="s">
        <v>2202</v>
      </c>
      <c r="J4614" s="22">
        <v>0</v>
      </c>
      <c r="K4614" s="22" t="s">
        <v>2223</v>
      </c>
      <c r="L4614" s="22">
        <v>0</v>
      </c>
      <c r="M4614" s="22"/>
      <c r="N4614" s="22"/>
      <c r="O4614" s="22"/>
      <c r="P4614" s="22"/>
      <c r="Q4614" s="22"/>
      <c r="R4614" s="22"/>
      <c r="S4614" s="22"/>
      <c r="T4614" s="22"/>
      <c r="U4614" s="22"/>
      <c r="V4614" s="22"/>
      <c r="W4614" s="22"/>
      <c r="X4614" s="22"/>
    </row>
    <row r="4615" spans="1:24" x14ac:dyDescent="0.25">
      <c r="A4615" s="22" t="s">
        <v>1893</v>
      </c>
      <c r="B4615" s="22">
        <v>0</v>
      </c>
      <c r="C4615" s="22" t="s">
        <v>1893</v>
      </c>
      <c r="D4615" s="22">
        <v>0</v>
      </c>
      <c r="E4615" s="22" t="s">
        <v>1893</v>
      </c>
      <c r="F4615" s="22">
        <v>0</v>
      </c>
      <c r="G4615" s="22" t="s">
        <v>1893</v>
      </c>
      <c r="H4615" s="22">
        <v>0</v>
      </c>
      <c r="I4615" s="22" t="s">
        <v>1893</v>
      </c>
      <c r="J4615" s="22">
        <v>0</v>
      </c>
      <c r="K4615" s="22" t="s">
        <v>1896</v>
      </c>
      <c r="L4615" s="22">
        <v>251</v>
      </c>
      <c r="M4615" s="22"/>
      <c r="N4615" s="22"/>
      <c r="O4615" s="22"/>
      <c r="P4615" s="22"/>
      <c r="Q4615" s="22"/>
      <c r="R4615" s="22"/>
      <c r="S4615" s="22"/>
      <c r="T4615" s="22"/>
      <c r="U4615" s="22"/>
      <c r="V4615" s="22"/>
      <c r="W4615" s="22"/>
      <c r="X4615" s="22"/>
    </row>
    <row r="4616" spans="1:24" x14ac:dyDescent="0.25">
      <c r="A4616" s="22" t="s">
        <v>2203</v>
      </c>
      <c r="B4616" s="22">
        <v>0</v>
      </c>
      <c r="C4616" s="22" t="s">
        <v>2203</v>
      </c>
      <c r="D4616" s="22">
        <v>0</v>
      </c>
      <c r="E4616" s="22" t="s">
        <v>2203</v>
      </c>
      <c r="F4616" s="22">
        <v>0</v>
      </c>
      <c r="G4616" s="22" t="s">
        <v>2203</v>
      </c>
      <c r="H4616" s="22">
        <v>0</v>
      </c>
      <c r="I4616" s="22" t="s">
        <v>2203</v>
      </c>
      <c r="J4616" s="22">
        <v>0</v>
      </c>
      <c r="K4616" s="22" t="s">
        <v>2224</v>
      </c>
      <c r="L4616" s="22">
        <v>0</v>
      </c>
      <c r="M4616" s="22"/>
      <c r="N4616" s="22"/>
      <c r="O4616" s="22"/>
      <c r="P4616" s="22"/>
      <c r="Q4616" s="22"/>
      <c r="R4616" s="22"/>
      <c r="S4616" s="22"/>
      <c r="T4616" s="22"/>
      <c r="U4616" s="22"/>
      <c r="V4616" s="22"/>
      <c r="W4616" s="22"/>
      <c r="X4616" s="22"/>
    </row>
    <row r="4617" spans="1:24" x14ac:dyDescent="0.25">
      <c r="A4617" s="22" t="s">
        <v>2204</v>
      </c>
      <c r="B4617" s="22">
        <v>0</v>
      </c>
      <c r="C4617" s="22" t="s">
        <v>2204</v>
      </c>
      <c r="D4617" s="22">
        <v>0</v>
      </c>
      <c r="E4617" s="22" t="s">
        <v>2204</v>
      </c>
      <c r="F4617" s="22">
        <v>0</v>
      </c>
      <c r="G4617" s="22" t="s">
        <v>2204</v>
      </c>
      <c r="H4617" s="22">
        <v>0</v>
      </c>
      <c r="I4617" s="22" t="s">
        <v>2204</v>
      </c>
      <c r="J4617" s="22">
        <v>0</v>
      </c>
      <c r="K4617" s="22" t="s">
        <v>2225</v>
      </c>
      <c r="L4617" s="22">
        <v>0</v>
      </c>
      <c r="M4617" s="22"/>
      <c r="N4617" s="22"/>
      <c r="O4617" s="22"/>
      <c r="P4617" s="22"/>
      <c r="Q4617" s="22"/>
      <c r="R4617" s="22"/>
      <c r="S4617" s="22"/>
      <c r="T4617" s="22"/>
      <c r="U4617" s="22"/>
      <c r="V4617" s="22"/>
      <c r="W4617" s="22"/>
      <c r="X4617" s="22"/>
    </row>
    <row r="4618" spans="1:24" x14ac:dyDescent="0.25">
      <c r="A4618" s="22" t="s">
        <v>2205</v>
      </c>
      <c r="B4618" s="22">
        <v>0</v>
      </c>
      <c r="C4618" s="22" t="s">
        <v>2205</v>
      </c>
      <c r="D4618" s="22">
        <v>0</v>
      </c>
      <c r="E4618" s="22" t="s">
        <v>2205</v>
      </c>
      <c r="F4618" s="22">
        <v>0</v>
      </c>
      <c r="G4618" s="22" t="s">
        <v>2205</v>
      </c>
      <c r="H4618" s="22">
        <v>0</v>
      </c>
      <c r="I4618" s="22" t="s">
        <v>2205</v>
      </c>
      <c r="J4618" s="22">
        <v>0</v>
      </c>
      <c r="K4618" s="22" t="s">
        <v>2226</v>
      </c>
      <c r="L4618" s="22">
        <v>1</v>
      </c>
      <c r="M4618" s="22"/>
      <c r="N4618" s="22"/>
      <c r="O4618" s="22"/>
      <c r="P4618" s="22"/>
      <c r="Q4618" s="22"/>
      <c r="R4618" s="22"/>
      <c r="S4618" s="22"/>
      <c r="T4618" s="22"/>
      <c r="U4618" s="22"/>
      <c r="V4618" s="22"/>
      <c r="W4618" s="22"/>
      <c r="X4618" s="22"/>
    </row>
    <row r="4619" spans="1:24" x14ac:dyDescent="0.25">
      <c r="A4619" s="22" t="s">
        <v>2206</v>
      </c>
      <c r="B4619" s="22">
        <v>0</v>
      </c>
      <c r="C4619" s="22" t="s">
        <v>2206</v>
      </c>
      <c r="D4619" s="22">
        <v>0</v>
      </c>
      <c r="E4619" s="22" t="s">
        <v>2206</v>
      </c>
      <c r="F4619" s="22">
        <v>0</v>
      </c>
      <c r="G4619" s="22" t="s">
        <v>2206</v>
      </c>
      <c r="H4619" s="22">
        <v>0</v>
      </c>
      <c r="I4619" s="22" t="s">
        <v>2206</v>
      </c>
      <c r="J4619" s="22">
        <v>0</v>
      </c>
      <c r="K4619" s="22" t="s">
        <v>2227</v>
      </c>
      <c r="L4619" s="22">
        <v>0</v>
      </c>
      <c r="M4619" s="22"/>
      <c r="N4619" s="22"/>
      <c r="O4619" s="22"/>
      <c r="P4619" s="22"/>
      <c r="Q4619" s="22"/>
      <c r="R4619" s="22"/>
      <c r="S4619" s="22"/>
      <c r="T4619" s="22"/>
      <c r="U4619" s="22"/>
      <c r="V4619" s="22"/>
      <c r="W4619" s="22"/>
      <c r="X4619" s="22"/>
    </row>
    <row r="4620" spans="1:24" x14ac:dyDescent="0.25">
      <c r="A4620" s="22" t="s">
        <v>2207</v>
      </c>
      <c r="B4620" s="22">
        <v>0</v>
      </c>
      <c r="C4620" s="22" t="s">
        <v>2207</v>
      </c>
      <c r="D4620" s="22">
        <v>0</v>
      </c>
      <c r="E4620" s="22" t="s">
        <v>2207</v>
      </c>
      <c r="F4620" s="22">
        <v>0</v>
      </c>
      <c r="G4620" s="22" t="s">
        <v>2207</v>
      </c>
      <c r="H4620" s="22">
        <v>0</v>
      </c>
      <c r="I4620" s="22" t="s">
        <v>2207</v>
      </c>
      <c r="J4620" s="22">
        <v>0</v>
      </c>
      <c r="K4620" s="22" t="s">
        <v>2228</v>
      </c>
      <c r="L4620" s="22">
        <v>0</v>
      </c>
      <c r="M4620" s="22"/>
      <c r="N4620" s="22"/>
      <c r="O4620" s="22"/>
      <c r="P4620" s="22"/>
      <c r="Q4620" s="22"/>
      <c r="R4620" s="22"/>
      <c r="S4620" s="22"/>
      <c r="T4620" s="22"/>
      <c r="U4620" s="22"/>
      <c r="V4620" s="22"/>
      <c r="W4620" s="22"/>
      <c r="X4620" s="22"/>
    </row>
    <row r="4621" spans="1:24" x14ac:dyDescent="0.25">
      <c r="A4621" s="22" t="s">
        <v>2208</v>
      </c>
      <c r="B4621" s="22">
        <v>0</v>
      </c>
      <c r="C4621" s="22" t="s">
        <v>2208</v>
      </c>
      <c r="D4621" s="22">
        <v>0</v>
      </c>
      <c r="E4621" s="22" t="s">
        <v>2208</v>
      </c>
      <c r="F4621" s="22">
        <v>0</v>
      </c>
      <c r="G4621" s="22" t="s">
        <v>2208</v>
      </c>
      <c r="H4621" s="22">
        <v>0</v>
      </c>
      <c r="I4621" s="22" t="s">
        <v>2208</v>
      </c>
      <c r="J4621" s="22">
        <v>0</v>
      </c>
      <c r="K4621" s="22" t="s">
        <v>2229</v>
      </c>
      <c r="L4621" s="22">
        <v>0</v>
      </c>
      <c r="M4621" s="22"/>
      <c r="N4621" s="22"/>
      <c r="O4621" s="22"/>
      <c r="P4621" s="22"/>
      <c r="Q4621" s="22"/>
      <c r="R4621" s="22"/>
      <c r="S4621" s="22"/>
      <c r="T4621" s="22"/>
      <c r="U4621" s="22"/>
      <c r="V4621" s="22"/>
      <c r="W4621" s="22"/>
      <c r="X4621" s="22"/>
    </row>
    <row r="4622" spans="1:24" x14ac:dyDescent="0.25">
      <c r="A4622" s="22" t="s">
        <v>2209</v>
      </c>
      <c r="B4622" s="22">
        <v>0</v>
      </c>
      <c r="C4622" s="22" t="s">
        <v>2209</v>
      </c>
      <c r="D4622" s="22">
        <v>0</v>
      </c>
      <c r="E4622" s="22" t="s">
        <v>2209</v>
      </c>
      <c r="F4622" s="22">
        <v>0</v>
      </c>
      <c r="G4622" s="22" t="s">
        <v>2209</v>
      </c>
      <c r="H4622" s="22">
        <v>0</v>
      </c>
      <c r="I4622" s="22" t="s">
        <v>2209</v>
      </c>
      <c r="J4622" s="22">
        <v>0</v>
      </c>
      <c r="K4622" s="22" t="s">
        <v>2230</v>
      </c>
      <c r="L4622" s="22">
        <v>0</v>
      </c>
      <c r="M4622" s="22"/>
      <c r="N4622" s="22"/>
      <c r="O4622" s="22"/>
      <c r="P4622" s="22"/>
      <c r="Q4622" s="22"/>
      <c r="R4622" s="22"/>
      <c r="S4622" s="22"/>
      <c r="T4622" s="22"/>
      <c r="U4622" s="22"/>
      <c r="V4622" s="22"/>
      <c r="W4622" s="22"/>
      <c r="X4622" s="22"/>
    </row>
    <row r="4623" spans="1:24" x14ac:dyDescent="0.25">
      <c r="A4623" s="22" t="s">
        <v>1894</v>
      </c>
      <c r="B4623" s="22">
        <v>1385</v>
      </c>
      <c r="C4623" s="22" t="s">
        <v>1894</v>
      </c>
      <c r="D4623" s="22">
        <v>1327</v>
      </c>
      <c r="E4623" s="22" t="s">
        <v>1894</v>
      </c>
      <c r="F4623" s="22">
        <v>1327</v>
      </c>
      <c r="G4623" s="22" t="s">
        <v>1894</v>
      </c>
      <c r="H4623" s="22">
        <v>1327</v>
      </c>
      <c r="I4623" s="22" t="s">
        <v>1894</v>
      </c>
      <c r="J4623" s="22">
        <v>1327</v>
      </c>
      <c r="K4623" s="22" t="s">
        <v>1897</v>
      </c>
      <c r="L4623" s="22">
        <v>0</v>
      </c>
      <c r="M4623" s="22"/>
      <c r="N4623" s="22"/>
      <c r="O4623" s="22"/>
      <c r="P4623" s="22"/>
      <c r="Q4623" s="22"/>
      <c r="R4623" s="22"/>
      <c r="S4623" s="22"/>
      <c r="T4623" s="22"/>
      <c r="U4623" s="22"/>
      <c r="V4623" s="22"/>
      <c r="W4623" s="22"/>
      <c r="X4623" s="22"/>
    </row>
    <row r="4624" spans="1:24" x14ac:dyDescent="0.25">
      <c r="A4624" s="22" t="s">
        <v>2210</v>
      </c>
      <c r="B4624" s="22">
        <v>12</v>
      </c>
      <c r="C4624" s="22" t="s">
        <v>2210</v>
      </c>
      <c r="D4624" s="22">
        <v>8</v>
      </c>
      <c r="E4624" s="22" t="s">
        <v>2210</v>
      </c>
      <c r="F4624" s="22">
        <v>8</v>
      </c>
      <c r="G4624" s="22" t="s">
        <v>2210</v>
      </c>
      <c r="H4624" s="22">
        <v>8</v>
      </c>
      <c r="I4624" s="22" t="s">
        <v>2210</v>
      </c>
      <c r="J4624" s="22">
        <v>8</v>
      </c>
      <c r="K4624" s="22" t="s">
        <v>2231</v>
      </c>
      <c r="L4624" s="22">
        <v>0</v>
      </c>
      <c r="M4624" s="22"/>
      <c r="N4624" s="22"/>
      <c r="O4624" s="22"/>
      <c r="P4624" s="22"/>
      <c r="Q4624" s="22"/>
      <c r="R4624" s="22"/>
      <c r="S4624" s="22"/>
      <c r="T4624" s="22"/>
      <c r="U4624" s="22"/>
      <c r="V4624" s="22"/>
      <c r="W4624" s="22"/>
      <c r="X4624" s="22"/>
    </row>
    <row r="4625" spans="1:24" x14ac:dyDescent="0.25">
      <c r="A4625" s="22" t="s">
        <v>2211</v>
      </c>
      <c r="B4625" s="22">
        <v>0</v>
      </c>
      <c r="C4625" s="22" t="s">
        <v>2211</v>
      </c>
      <c r="D4625" s="22">
        <v>0</v>
      </c>
      <c r="E4625" s="22" t="s">
        <v>2211</v>
      </c>
      <c r="F4625" s="22">
        <v>0</v>
      </c>
      <c r="G4625" s="22" t="s">
        <v>2211</v>
      </c>
      <c r="H4625" s="22">
        <v>0</v>
      </c>
      <c r="I4625" s="22" t="s">
        <v>2211</v>
      </c>
      <c r="J4625" s="22">
        <v>0</v>
      </c>
      <c r="K4625" s="22" t="s">
        <v>2232</v>
      </c>
      <c r="L4625" s="22">
        <v>0</v>
      </c>
      <c r="M4625" s="22"/>
      <c r="N4625" s="22"/>
      <c r="O4625" s="22"/>
      <c r="P4625" s="22"/>
      <c r="Q4625" s="22"/>
      <c r="R4625" s="22"/>
      <c r="S4625" s="22"/>
      <c r="T4625" s="22"/>
      <c r="U4625" s="22"/>
      <c r="V4625" s="22"/>
      <c r="W4625" s="22"/>
      <c r="X4625" s="22"/>
    </row>
    <row r="4626" spans="1:24" x14ac:dyDescent="0.25">
      <c r="A4626" s="22" t="s">
        <v>2212</v>
      </c>
      <c r="B4626" s="22">
        <v>14</v>
      </c>
      <c r="C4626" s="22" t="s">
        <v>2212</v>
      </c>
      <c r="D4626" s="22">
        <v>11</v>
      </c>
      <c r="E4626" s="22" t="s">
        <v>2212</v>
      </c>
      <c r="F4626" s="22">
        <v>11</v>
      </c>
      <c r="G4626" s="22" t="s">
        <v>2212</v>
      </c>
      <c r="H4626" s="22">
        <v>11</v>
      </c>
      <c r="I4626" s="22" t="s">
        <v>2212</v>
      </c>
      <c r="J4626" s="22">
        <v>11</v>
      </c>
      <c r="K4626" s="22" t="s">
        <v>2233</v>
      </c>
      <c r="L4626" s="22">
        <v>0</v>
      </c>
      <c r="M4626" s="22"/>
      <c r="N4626" s="22"/>
      <c r="O4626" s="22"/>
      <c r="P4626" s="22"/>
      <c r="Q4626" s="22"/>
      <c r="R4626" s="22"/>
      <c r="S4626" s="22"/>
      <c r="T4626" s="22"/>
      <c r="U4626" s="22"/>
      <c r="V4626" s="22"/>
      <c r="W4626" s="22"/>
      <c r="X4626" s="22"/>
    </row>
    <row r="4627" spans="1:24" x14ac:dyDescent="0.25">
      <c r="A4627" s="22" t="s">
        <v>2213</v>
      </c>
      <c r="B4627" s="22">
        <v>5</v>
      </c>
      <c r="C4627" s="22" t="s">
        <v>2213</v>
      </c>
      <c r="D4627" s="22">
        <v>6</v>
      </c>
      <c r="E4627" s="22" t="s">
        <v>2213</v>
      </c>
      <c r="F4627" s="22">
        <v>6</v>
      </c>
      <c r="G4627" s="22" t="s">
        <v>2213</v>
      </c>
      <c r="H4627" s="22">
        <v>6</v>
      </c>
      <c r="I4627" s="22" t="s">
        <v>2213</v>
      </c>
      <c r="J4627" s="22">
        <v>6</v>
      </c>
      <c r="K4627" s="22" t="s">
        <v>2234</v>
      </c>
      <c r="L4627" s="22">
        <v>0</v>
      </c>
      <c r="M4627" s="22"/>
      <c r="N4627" s="22"/>
      <c r="O4627" s="22"/>
      <c r="P4627" s="22"/>
      <c r="Q4627" s="22"/>
      <c r="R4627" s="22"/>
      <c r="S4627" s="22"/>
      <c r="T4627" s="22"/>
      <c r="U4627" s="22"/>
      <c r="V4627" s="22"/>
      <c r="W4627" s="22"/>
      <c r="X4627" s="22"/>
    </row>
    <row r="4628" spans="1:24" x14ac:dyDescent="0.25">
      <c r="A4628" s="22" t="s">
        <v>2214</v>
      </c>
      <c r="B4628" s="22">
        <v>0</v>
      </c>
      <c r="C4628" s="22" t="s">
        <v>2214</v>
      </c>
      <c r="D4628" s="22">
        <v>0</v>
      </c>
      <c r="E4628" s="22" t="s">
        <v>2214</v>
      </c>
      <c r="F4628" s="22">
        <v>0</v>
      </c>
      <c r="G4628" s="22" t="s">
        <v>2214</v>
      </c>
      <c r="H4628" s="22">
        <v>0</v>
      </c>
      <c r="I4628" s="22" t="s">
        <v>2214</v>
      </c>
      <c r="J4628" s="22">
        <v>0</v>
      </c>
      <c r="K4628" s="22" t="s">
        <v>2235</v>
      </c>
      <c r="L4628" s="22">
        <v>0</v>
      </c>
      <c r="M4628" s="22"/>
      <c r="N4628" s="22"/>
      <c r="O4628" s="22"/>
      <c r="P4628" s="22"/>
      <c r="Q4628" s="22"/>
      <c r="R4628" s="22"/>
      <c r="S4628" s="22"/>
      <c r="T4628" s="22"/>
      <c r="U4628" s="22"/>
      <c r="V4628" s="22"/>
      <c r="W4628" s="22"/>
      <c r="X4628" s="22"/>
    </row>
    <row r="4629" spans="1:24" x14ac:dyDescent="0.25">
      <c r="A4629" s="22" t="s">
        <v>2215</v>
      </c>
      <c r="B4629" s="22">
        <v>0</v>
      </c>
      <c r="C4629" s="22" t="s">
        <v>2215</v>
      </c>
      <c r="D4629" s="22">
        <v>0</v>
      </c>
      <c r="E4629" s="22" t="s">
        <v>2215</v>
      </c>
      <c r="F4629" s="22">
        <v>0</v>
      </c>
      <c r="G4629" s="22" t="s">
        <v>2215</v>
      </c>
      <c r="H4629" s="22">
        <v>0</v>
      </c>
      <c r="I4629" s="22" t="s">
        <v>2215</v>
      </c>
      <c r="J4629" s="22">
        <v>0</v>
      </c>
      <c r="K4629" s="22" t="s">
        <v>2236</v>
      </c>
      <c r="L4629" s="22">
        <v>0</v>
      </c>
      <c r="M4629" s="22"/>
      <c r="N4629" s="22"/>
      <c r="O4629" s="22"/>
      <c r="P4629" s="22"/>
      <c r="Q4629" s="22"/>
      <c r="R4629" s="22"/>
      <c r="S4629" s="22"/>
      <c r="T4629" s="22"/>
      <c r="U4629" s="22"/>
      <c r="V4629" s="22"/>
      <c r="W4629" s="22"/>
      <c r="X4629" s="22"/>
    </row>
    <row r="4630" spans="1:24" x14ac:dyDescent="0.25">
      <c r="A4630" s="22" t="s">
        <v>2216</v>
      </c>
      <c r="B4630" s="22">
        <v>0</v>
      </c>
      <c r="C4630" s="22" t="s">
        <v>2216</v>
      </c>
      <c r="D4630" s="22">
        <v>0</v>
      </c>
      <c r="E4630" s="22" t="s">
        <v>2216</v>
      </c>
      <c r="F4630" s="22">
        <v>0</v>
      </c>
      <c r="G4630" s="22" t="s">
        <v>2216</v>
      </c>
      <c r="H4630" s="22">
        <v>0</v>
      </c>
      <c r="I4630" s="22" t="s">
        <v>2216</v>
      </c>
      <c r="J4630" s="22">
        <v>0</v>
      </c>
      <c r="K4630" s="22" t="s">
        <v>2237</v>
      </c>
      <c r="L4630" s="22">
        <v>0</v>
      </c>
      <c r="M4630" s="22"/>
      <c r="N4630" s="22"/>
      <c r="O4630" s="22"/>
      <c r="P4630" s="22"/>
      <c r="Q4630" s="22"/>
      <c r="R4630" s="22"/>
      <c r="S4630" s="22"/>
      <c r="T4630" s="22"/>
      <c r="U4630" s="22"/>
      <c r="V4630" s="22"/>
      <c r="W4630" s="22"/>
      <c r="X4630" s="22"/>
    </row>
    <row r="4631" spans="1:24" x14ac:dyDescent="0.25">
      <c r="A4631" s="22" t="s">
        <v>1895</v>
      </c>
      <c r="B4631" s="22">
        <v>0</v>
      </c>
      <c r="C4631" s="22" t="s">
        <v>1895</v>
      </c>
      <c r="D4631" s="22">
        <v>0</v>
      </c>
      <c r="E4631" s="22" t="s">
        <v>1895</v>
      </c>
      <c r="F4631" s="22">
        <v>0</v>
      </c>
      <c r="G4631" s="22" t="s">
        <v>1895</v>
      </c>
      <c r="H4631" s="22">
        <v>0</v>
      </c>
      <c r="I4631" s="22" t="s">
        <v>1895</v>
      </c>
      <c r="J4631" s="22">
        <v>0</v>
      </c>
      <c r="K4631" s="22" t="s">
        <v>1898</v>
      </c>
      <c r="L4631" s="22">
        <v>558</v>
      </c>
      <c r="M4631" s="22"/>
      <c r="N4631" s="22"/>
      <c r="O4631" s="22"/>
      <c r="P4631" s="22"/>
      <c r="Q4631" s="22"/>
      <c r="R4631" s="22"/>
      <c r="S4631" s="22"/>
      <c r="T4631" s="22"/>
      <c r="U4631" s="22"/>
      <c r="V4631" s="22"/>
      <c r="W4631" s="22"/>
      <c r="X4631" s="22"/>
    </row>
    <row r="4632" spans="1:24" x14ac:dyDescent="0.25">
      <c r="A4632" s="22" t="s">
        <v>2217</v>
      </c>
      <c r="B4632" s="22">
        <v>0</v>
      </c>
      <c r="C4632" s="22" t="s">
        <v>2217</v>
      </c>
      <c r="D4632" s="22">
        <v>0</v>
      </c>
      <c r="E4632" s="22" t="s">
        <v>2217</v>
      </c>
      <c r="F4632" s="22">
        <v>0</v>
      </c>
      <c r="G4632" s="22" t="s">
        <v>2217</v>
      </c>
      <c r="H4632" s="22">
        <v>0</v>
      </c>
      <c r="I4632" s="22" t="s">
        <v>2217</v>
      </c>
      <c r="J4632" s="22">
        <v>0</v>
      </c>
      <c r="K4632" s="22" t="s">
        <v>2238</v>
      </c>
      <c r="L4632" s="22">
        <v>11</v>
      </c>
      <c r="M4632" s="22"/>
      <c r="N4632" s="22"/>
      <c r="O4632" s="22"/>
      <c r="P4632" s="22"/>
      <c r="Q4632" s="22"/>
      <c r="R4632" s="22"/>
      <c r="S4632" s="22"/>
      <c r="T4632" s="22"/>
      <c r="U4632" s="22"/>
      <c r="V4632" s="22"/>
      <c r="W4632" s="22"/>
      <c r="X4632" s="22"/>
    </row>
    <row r="4633" spans="1:24" x14ac:dyDescent="0.25">
      <c r="A4633" s="22" t="s">
        <v>2218</v>
      </c>
      <c r="B4633" s="22">
        <v>0</v>
      </c>
      <c r="C4633" s="22" t="s">
        <v>2218</v>
      </c>
      <c r="D4633" s="22">
        <v>0</v>
      </c>
      <c r="E4633" s="22" t="s">
        <v>2218</v>
      </c>
      <c r="F4633" s="22">
        <v>0</v>
      </c>
      <c r="G4633" s="22" t="s">
        <v>2218</v>
      </c>
      <c r="H4633" s="22">
        <v>0</v>
      </c>
      <c r="I4633" s="22" t="s">
        <v>2218</v>
      </c>
      <c r="J4633" s="22">
        <v>0</v>
      </c>
      <c r="K4633" s="22" t="s">
        <v>2239</v>
      </c>
      <c r="L4633" s="22">
        <v>0</v>
      </c>
      <c r="M4633" s="22"/>
      <c r="N4633" s="22"/>
      <c r="O4633" s="22"/>
      <c r="P4633" s="22"/>
      <c r="Q4633" s="22"/>
      <c r="R4633" s="22"/>
      <c r="S4633" s="22"/>
      <c r="T4633" s="22"/>
      <c r="U4633" s="22"/>
      <c r="V4633" s="22"/>
      <c r="W4633" s="22"/>
      <c r="X4633" s="22"/>
    </row>
    <row r="4634" spans="1:24" x14ac:dyDescent="0.25">
      <c r="A4634" s="22" t="s">
        <v>2219</v>
      </c>
      <c r="B4634" s="22">
        <v>0</v>
      </c>
      <c r="C4634" s="22" t="s">
        <v>2219</v>
      </c>
      <c r="D4634" s="22">
        <v>0</v>
      </c>
      <c r="E4634" s="22" t="s">
        <v>2219</v>
      </c>
      <c r="F4634" s="22">
        <v>0</v>
      </c>
      <c r="G4634" s="22" t="s">
        <v>2219</v>
      </c>
      <c r="H4634" s="22">
        <v>0</v>
      </c>
      <c r="I4634" s="22" t="s">
        <v>2219</v>
      </c>
      <c r="J4634" s="22">
        <v>0</v>
      </c>
      <c r="K4634" s="22" t="s">
        <v>2240</v>
      </c>
      <c r="L4634" s="22">
        <v>2</v>
      </c>
      <c r="M4634" s="22"/>
      <c r="N4634" s="22"/>
      <c r="O4634" s="22"/>
      <c r="P4634" s="22"/>
      <c r="Q4634" s="22"/>
      <c r="R4634" s="22"/>
      <c r="S4634" s="22"/>
      <c r="T4634" s="22"/>
      <c r="U4634" s="22"/>
      <c r="V4634" s="22"/>
      <c r="W4634" s="22"/>
      <c r="X4634" s="22"/>
    </row>
    <row r="4635" spans="1:24" x14ac:dyDescent="0.25">
      <c r="A4635" s="22" t="s">
        <v>2220</v>
      </c>
      <c r="B4635" s="22">
        <v>0</v>
      </c>
      <c r="C4635" s="22" t="s">
        <v>2220</v>
      </c>
      <c r="D4635" s="22">
        <v>0</v>
      </c>
      <c r="E4635" s="22" t="s">
        <v>2220</v>
      </c>
      <c r="F4635" s="22">
        <v>0</v>
      </c>
      <c r="G4635" s="22" t="s">
        <v>2220</v>
      </c>
      <c r="H4635" s="22">
        <v>0</v>
      </c>
      <c r="I4635" s="22" t="s">
        <v>2220</v>
      </c>
      <c r="J4635" s="22">
        <v>0</v>
      </c>
      <c r="K4635" s="22" t="s">
        <v>2241</v>
      </c>
      <c r="L4635" s="22">
        <v>0</v>
      </c>
      <c r="M4635" s="22"/>
      <c r="N4635" s="22"/>
      <c r="O4635" s="22"/>
      <c r="P4635" s="22"/>
      <c r="Q4635" s="22"/>
      <c r="R4635" s="22"/>
      <c r="S4635" s="22"/>
      <c r="T4635" s="22"/>
      <c r="U4635" s="22"/>
      <c r="V4635" s="22"/>
      <c r="W4635" s="22"/>
      <c r="X4635" s="22"/>
    </row>
    <row r="4636" spans="1:24" x14ac:dyDescent="0.25">
      <c r="A4636" s="22" t="s">
        <v>2221</v>
      </c>
      <c r="B4636" s="22">
        <v>0</v>
      </c>
      <c r="C4636" s="22" t="s">
        <v>2221</v>
      </c>
      <c r="D4636" s="22">
        <v>0</v>
      </c>
      <c r="E4636" s="22" t="s">
        <v>2221</v>
      </c>
      <c r="F4636" s="22">
        <v>0</v>
      </c>
      <c r="G4636" s="22" t="s">
        <v>2221</v>
      </c>
      <c r="H4636" s="22">
        <v>0</v>
      </c>
      <c r="I4636" s="22" t="s">
        <v>2221</v>
      </c>
      <c r="J4636" s="22">
        <v>0</v>
      </c>
      <c r="K4636" s="22" t="s">
        <v>2242</v>
      </c>
      <c r="L4636" s="22">
        <v>0</v>
      </c>
      <c r="M4636" s="22"/>
      <c r="N4636" s="22"/>
      <c r="O4636" s="22"/>
      <c r="P4636" s="22"/>
      <c r="Q4636" s="22"/>
      <c r="R4636" s="22"/>
      <c r="S4636" s="22"/>
      <c r="T4636" s="22"/>
      <c r="U4636" s="22"/>
      <c r="V4636" s="22"/>
      <c r="W4636" s="22"/>
      <c r="X4636" s="22"/>
    </row>
    <row r="4637" spans="1:24" x14ac:dyDescent="0.25">
      <c r="A4637" s="22" t="s">
        <v>2222</v>
      </c>
      <c r="B4637" s="22">
        <v>0</v>
      </c>
      <c r="C4637" s="22" t="s">
        <v>2222</v>
      </c>
      <c r="D4637" s="22">
        <v>0</v>
      </c>
      <c r="E4637" s="22" t="s">
        <v>2222</v>
      </c>
      <c r="F4637" s="22">
        <v>0</v>
      </c>
      <c r="G4637" s="22" t="s">
        <v>2222</v>
      </c>
      <c r="H4637" s="22">
        <v>0</v>
      </c>
      <c r="I4637" s="22" t="s">
        <v>2222</v>
      </c>
      <c r="J4637" s="22">
        <v>0</v>
      </c>
      <c r="K4637" s="22" t="s">
        <v>2243</v>
      </c>
      <c r="L4637" s="22">
        <v>0</v>
      </c>
      <c r="M4637" s="22"/>
      <c r="N4637" s="22"/>
      <c r="O4637" s="22"/>
      <c r="P4637" s="22"/>
      <c r="Q4637" s="22"/>
      <c r="R4637" s="22"/>
      <c r="S4637" s="22"/>
      <c r="T4637" s="22"/>
      <c r="U4637" s="22"/>
      <c r="V4637" s="22"/>
      <c r="W4637" s="22"/>
      <c r="X4637" s="22"/>
    </row>
    <row r="4638" spans="1:24" x14ac:dyDescent="0.25">
      <c r="A4638" s="22" t="s">
        <v>2223</v>
      </c>
      <c r="B4638" s="22">
        <v>0</v>
      </c>
      <c r="C4638" s="22" t="s">
        <v>2223</v>
      </c>
      <c r="D4638" s="22">
        <v>0</v>
      </c>
      <c r="E4638" s="22" t="s">
        <v>2223</v>
      </c>
      <c r="F4638" s="22">
        <v>0</v>
      </c>
      <c r="G4638" s="22" t="s">
        <v>2223</v>
      </c>
      <c r="H4638" s="22">
        <v>0</v>
      </c>
      <c r="I4638" s="22" t="s">
        <v>2223</v>
      </c>
      <c r="J4638" s="22">
        <v>0</v>
      </c>
      <c r="K4638" s="22" t="s">
        <v>2244</v>
      </c>
      <c r="L4638" s="22">
        <v>0</v>
      </c>
      <c r="M4638" s="22"/>
      <c r="N4638" s="22"/>
      <c r="O4638" s="22"/>
      <c r="P4638" s="22"/>
      <c r="Q4638" s="22"/>
      <c r="R4638" s="22"/>
      <c r="S4638" s="22"/>
      <c r="T4638" s="22"/>
      <c r="U4638" s="22"/>
      <c r="V4638" s="22"/>
      <c r="W4638" s="22"/>
      <c r="X4638" s="22"/>
    </row>
    <row r="4639" spans="1:24" x14ac:dyDescent="0.25">
      <c r="A4639" s="22" t="s">
        <v>1896</v>
      </c>
      <c r="B4639" s="22">
        <v>168</v>
      </c>
      <c r="C4639" s="22" t="s">
        <v>1896</v>
      </c>
      <c r="D4639" s="22">
        <v>251</v>
      </c>
      <c r="E4639" s="22" t="s">
        <v>1896</v>
      </c>
      <c r="F4639" s="22">
        <v>251</v>
      </c>
      <c r="G4639" s="22" t="s">
        <v>1896</v>
      </c>
      <c r="H4639" s="22">
        <v>251</v>
      </c>
      <c r="I4639" s="22" t="s">
        <v>1896</v>
      </c>
      <c r="J4639" s="22">
        <v>251</v>
      </c>
      <c r="K4639" s="22" t="s">
        <v>1899</v>
      </c>
      <c r="L4639" s="22">
        <v>74</v>
      </c>
      <c r="M4639" s="22"/>
      <c r="N4639" s="22"/>
      <c r="O4639" s="22"/>
      <c r="P4639" s="22"/>
      <c r="Q4639" s="22"/>
      <c r="R4639" s="22"/>
      <c r="S4639" s="22"/>
      <c r="T4639" s="22"/>
      <c r="U4639" s="22"/>
      <c r="V4639" s="22"/>
      <c r="W4639" s="22"/>
      <c r="X4639" s="22"/>
    </row>
    <row r="4640" spans="1:24" x14ac:dyDescent="0.25">
      <c r="A4640" s="22" t="s">
        <v>2224</v>
      </c>
      <c r="B4640" s="22">
        <v>0</v>
      </c>
      <c r="C4640" s="22" t="s">
        <v>2224</v>
      </c>
      <c r="D4640" s="22">
        <v>0</v>
      </c>
      <c r="E4640" s="22" t="s">
        <v>2224</v>
      </c>
      <c r="F4640" s="22">
        <v>0</v>
      </c>
      <c r="G4640" s="22" t="s">
        <v>2224</v>
      </c>
      <c r="H4640" s="22">
        <v>0</v>
      </c>
      <c r="I4640" s="22" t="s">
        <v>2224</v>
      </c>
      <c r="J4640" s="22">
        <v>0</v>
      </c>
      <c r="K4640" s="22" t="s">
        <v>2245</v>
      </c>
      <c r="L4640" s="22">
        <v>0</v>
      </c>
      <c r="M4640" s="22"/>
      <c r="N4640" s="22"/>
      <c r="O4640" s="22"/>
      <c r="P4640" s="22"/>
      <c r="Q4640" s="22"/>
      <c r="R4640" s="22"/>
      <c r="S4640" s="22"/>
      <c r="T4640" s="22"/>
      <c r="U4640" s="22"/>
      <c r="V4640" s="22"/>
      <c r="W4640" s="22"/>
      <c r="X4640" s="22"/>
    </row>
    <row r="4641" spans="1:24" x14ac:dyDescent="0.25">
      <c r="A4641" s="22" t="s">
        <v>2225</v>
      </c>
      <c r="B4641" s="22">
        <v>0</v>
      </c>
      <c r="C4641" s="22" t="s">
        <v>2225</v>
      </c>
      <c r="D4641" s="22">
        <v>0</v>
      </c>
      <c r="E4641" s="22" t="s">
        <v>2225</v>
      </c>
      <c r="F4641" s="22">
        <v>0</v>
      </c>
      <c r="G4641" s="22" t="s">
        <v>2225</v>
      </c>
      <c r="H4641" s="22">
        <v>0</v>
      </c>
      <c r="I4641" s="22" t="s">
        <v>2225</v>
      </c>
      <c r="J4641" s="22">
        <v>0</v>
      </c>
      <c r="K4641" s="22" t="s">
        <v>2246</v>
      </c>
      <c r="L4641" s="22">
        <v>0</v>
      </c>
      <c r="M4641" s="22"/>
      <c r="N4641" s="22"/>
      <c r="O4641" s="22"/>
      <c r="P4641" s="22"/>
      <c r="Q4641" s="22"/>
      <c r="R4641" s="22"/>
      <c r="S4641" s="22"/>
      <c r="T4641" s="22"/>
      <c r="U4641" s="22"/>
      <c r="V4641" s="22"/>
      <c r="W4641" s="22"/>
      <c r="X4641" s="22"/>
    </row>
    <row r="4642" spans="1:24" x14ac:dyDescent="0.25">
      <c r="A4642" s="22" t="s">
        <v>2226</v>
      </c>
      <c r="B4642" s="22">
        <v>0</v>
      </c>
      <c r="C4642" s="22" t="s">
        <v>2226</v>
      </c>
      <c r="D4642" s="22">
        <v>1</v>
      </c>
      <c r="E4642" s="22" t="s">
        <v>2226</v>
      </c>
      <c r="F4642" s="22">
        <v>1</v>
      </c>
      <c r="G4642" s="22" t="s">
        <v>2226</v>
      </c>
      <c r="H4642" s="22">
        <v>1</v>
      </c>
      <c r="I4642" s="22" t="s">
        <v>2226</v>
      </c>
      <c r="J4642" s="22">
        <v>1</v>
      </c>
      <c r="K4642" s="22" t="s">
        <v>2247</v>
      </c>
      <c r="L4642" s="22">
        <v>0</v>
      </c>
      <c r="M4642" s="22"/>
      <c r="N4642" s="22"/>
      <c r="O4642" s="22"/>
      <c r="P4642" s="22"/>
      <c r="Q4642" s="22"/>
      <c r="R4642" s="22"/>
      <c r="S4642" s="22"/>
      <c r="T4642" s="22"/>
      <c r="U4642" s="22"/>
      <c r="V4642" s="22"/>
      <c r="W4642" s="22"/>
      <c r="X4642" s="22"/>
    </row>
    <row r="4643" spans="1:24" x14ac:dyDescent="0.25">
      <c r="A4643" s="22" t="s">
        <v>2227</v>
      </c>
      <c r="B4643" s="22">
        <v>0</v>
      </c>
      <c r="C4643" s="22" t="s">
        <v>2227</v>
      </c>
      <c r="D4643" s="22">
        <v>0</v>
      </c>
      <c r="E4643" s="22" t="s">
        <v>2227</v>
      </c>
      <c r="F4643" s="22">
        <v>0</v>
      </c>
      <c r="G4643" s="22" t="s">
        <v>2227</v>
      </c>
      <c r="H4643" s="22">
        <v>0</v>
      </c>
      <c r="I4643" s="22" t="s">
        <v>2227</v>
      </c>
      <c r="J4643" s="22">
        <v>0</v>
      </c>
      <c r="K4643" s="22" t="s">
        <v>2248</v>
      </c>
      <c r="L4643" s="22">
        <v>0</v>
      </c>
      <c r="M4643" s="22"/>
      <c r="N4643" s="22"/>
      <c r="O4643" s="22"/>
      <c r="P4643" s="22"/>
      <c r="Q4643" s="22"/>
      <c r="R4643" s="22"/>
      <c r="S4643" s="22"/>
      <c r="T4643" s="22"/>
      <c r="U4643" s="22"/>
      <c r="V4643" s="22"/>
      <c r="W4643" s="22"/>
      <c r="X4643" s="22"/>
    </row>
    <row r="4644" spans="1:24" x14ac:dyDescent="0.25">
      <c r="A4644" s="22" t="s">
        <v>2228</v>
      </c>
      <c r="B4644" s="22">
        <v>0</v>
      </c>
      <c r="C4644" s="22" t="s">
        <v>2228</v>
      </c>
      <c r="D4644" s="22">
        <v>0</v>
      </c>
      <c r="E4644" s="22" t="s">
        <v>2228</v>
      </c>
      <c r="F4644" s="22">
        <v>0</v>
      </c>
      <c r="G4644" s="22" t="s">
        <v>2228</v>
      </c>
      <c r="H4644" s="22">
        <v>0</v>
      </c>
      <c r="I4644" s="22" t="s">
        <v>2228</v>
      </c>
      <c r="J4644" s="22">
        <v>0</v>
      </c>
      <c r="K4644" s="22" t="s">
        <v>2249</v>
      </c>
      <c r="L4644" s="22">
        <v>0</v>
      </c>
      <c r="M4644" s="22"/>
      <c r="N4644" s="22"/>
      <c r="O4644" s="22"/>
      <c r="P4644" s="22"/>
      <c r="Q4644" s="22"/>
      <c r="R4644" s="22"/>
      <c r="S4644" s="22"/>
      <c r="T4644" s="22"/>
      <c r="U4644" s="22"/>
      <c r="V4644" s="22"/>
      <c r="W4644" s="22"/>
      <c r="X4644" s="22"/>
    </row>
    <row r="4645" spans="1:24" x14ac:dyDescent="0.25">
      <c r="A4645" s="22" t="s">
        <v>2229</v>
      </c>
      <c r="B4645" s="22">
        <v>0</v>
      </c>
      <c r="C4645" s="22" t="s">
        <v>2229</v>
      </c>
      <c r="D4645" s="22">
        <v>0</v>
      </c>
      <c r="E4645" s="22" t="s">
        <v>2229</v>
      </c>
      <c r="F4645" s="22">
        <v>0</v>
      </c>
      <c r="G4645" s="22" t="s">
        <v>2229</v>
      </c>
      <c r="H4645" s="22">
        <v>0</v>
      </c>
      <c r="I4645" s="22" t="s">
        <v>2229</v>
      </c>
      <c r="J4645" s="22">
        <v>0</v>
      </c>
      <c r="K4645" s="22" t="s">
        <v>2250</v>
      </c>
      <c r="L4645" s="22">
        <v>0</v>
      </c>
      <c r="M4645" s="22"/>
      <c r="N4645" s="22"/>
      <c r="O4645" s="22"/>
      <c r="P4645" s="22"/>
      <c r="Q4645" s="22"/>
      <c r="R4645" s="22"/>
      <c r="S4645" s="22"/>
      <c r="T4645" s="22"/>
      <c r="U4645" s="22"/>
      <c r="V4645" s="22"/>
      <c r="W4645" s="22"/>
      <c r="X4645" s="22"/>
    </row>
    <row r="4646" spans="1:24" x14ac:dyDescent="0.25">
      <c r="A4646" s="22" t="s">
        <v>2230</v>
      </c>
      <c r="B4646" s="22">
        <v>0</v>
      </c>
      <c r="C4646" s="22" t="s">
        <v>2230</v>
      </c>
      <c r="D4646" s="22">
        <v>0</v>
      </c>
      <c r="E4646" s="22" t="s">
        <v>2230</v>
      </c>
      <c r="F4646" s="22">
        <v>0</v>
      </c>
      <c r="G4646" s="22" t="s">
        <v>2230</v>
      </c>
      <c r="H4646" s="22">
        <v>0</v>
      </c>
      <c r="I4646" s="22" t="s">
        <v>2230</v>
      </c>
      <c r="J4646" s="22">
        <v>0</v>
      </c>
      <c r="K4646" s="22" t="s">
        <v>2251</v>
      </c>
      <c r="L4646" s="22">
        <v>0</v>
      </c>
      <c r="M4646" s="22"/>
      <c r="N4646" s="22"/>
      <c r="O4646" s="22"/>
      <c r="P4646" s="22"/>
      <c r="Q4646" s="22"/>
      <c r="R4646" s="22"/>
      <c r="S4646" s="22"/>
      <c r="T4646" s="22"/>
      <c r="U4646" s="22"/>
      <c r="V4646" s="22"/>
      <c r="W4646" s="22"/>
      <c r="X4646" s="22"/>
    </row>
    <row r="4647" spans="1:24" x14ac:dyDescent="0.25">
      <c r="A4647" s="22" t="s">
        <v>1897</v>
      </c>
      <c r="B4647" s="22">
        <v>0</v>
      </c>
      <c r="C4647" s="22" t="s">
        <v>1897</v>
      </c>
      <c r="D4647" s="22">
        <v>0</v>
      </c>
      <c r="E4647" s="22" t="s">
        <v>1897</v>
      </c>
      <c r="F4647" s="22">
        <v>0</v>
      </c>
      <c r="G4647" s="22" t="s">
        <v>1897</v>
      </c>
      <c r="H4647" s="22">
        <v>0</v>
      </c>
      <c r="I4647" s="22" t="s">
        <v>1897</v>
      </c>
      <c r="J4647" s="22">
        <v>0</v>
      </c>
      <c r="K4647" s="22" t="s">
        <v>1900</v>
      </c>
      <c r="L4647" s="22">
        <v>0</v>
      </c>
      <c r="M4647" s="22"/>
      <c r="N4647" s="22"/>
      <c r="O4647" s="22"/>
      <c r="P4647" s="22"/>
      <c r="Q4647" s="22"/>
      <c r="R4647" s="22"/>
      <c r="S4647" s="22"/>
      <c r="T4647" s="22"/>
      <c r="U4647" s="22"/>
      <c r="V4647" s="22"/>
      <c r="W4647" s="22"/>
      <c r="X4647" s="22"/>
    </row>
    <row r="4648" spans="1:24" x14ac:dyDescent="0.25">
      <c r="A4648" s="22" t="s">
        <v>2231</v>
      </c>
      <c r="B4648" s="22">
        <v>0</v>
      </c>
      <c r="C4648" s="22" t="s">
        <v>2231</v>
      </c>
      <c r="D4648" s="22">
        <v>0</v>
      </c>
      <c r="E4648" s="22" t="s">
        <v>2231</v>
      </c>
      <c r="F4648" s="22">
        <v>0</v>
      </c>
      <c r="G4648" s="22" t="s">
        <v>2231</v>
      </c>
      <c r="H4648" s="22">
        <v>0</v>
      </c>
      <c r="I4648" s="22" t="s">
        <v>2231</v>
      </c>
      <c r="J4648" s="22">
        <v>0</v>
      </c>
      <c r="K4648" s="22" t="s">
        <v>2252</v>
      </c>
      <c r="L4648" s="22">
        <v>0</v>
      </c>
      <c r="M4648" s="22"/>
      <c r="N4648" s="22"/>
      <c r="O4648" s="22"/>
      <c r="P4648" s="22"/>
      <c r="Q4648" s="22"/>
      <c r="R4648" s="22"/>
      <c r="S4648" s="22"/>
      <c r="T4648" s="22"/>
      <c r="U4648" s="22"/>
      <c r="V4648" s="22"/>
      <c r="W4648" s="22"/>
      <c r="X4648" s="22"/>
    </row>
    <row r="4649" spans="1:24" x14ac:dyDescent="0.25">
      <c r="A4649" s="22" t="s">
        <v>2232</v>
      </c>
      <c r="B4649" s="22">
        <v>0</v>
      </c>
      <c r="C4649" s="22" t="s">
        <v>2232</v>
      </c>
      <c r="D4649" s="22">
        <v>0</v>
      </c>
      <c r="E4649" s="22" t="s">
        <v>2232</v>
      </c>
      <c r="F4649" s="22">
        <v>0</v>
      </c>
      <c r="G4649" s="22" t="s">
        <v>2232</v>
      </c>
      <c r="H4649" s="22">
        <v>0</v>
      </c>
      <c r="I4649" s="22" t="s">
        <v>2232</v>
      </c>
      <c r="J4649" s="22">
        <v>0</v>
      </c>
      <c r="K4649" s="22" t="s">
        <v>2253</v>
      </c>
      <c r="L4649" s="22">
        <v>0</v>
      </c>
      <c r="M4649" s="22"/>
      <c r="N4649" s="22"/>
      <c r="O4649" s="22"/>
      <c r="P4649" s="22"/>
      <c r="Q4649" s="22"/>
      <c r="R4649" s="22"/>
      <c r="S4649" s="22"/>
      <c r="T4649" s="22"/>
      <c r="U4649" s="22"/>
      <c r="V4649" s="22"/>
      <c r="W4649" s="22"/>
      <c r="X4649" s="22"/>
    </row>
    <row r="4650" spans="1:24" x14ac:dyDescent="0.25">
      <c r="A4650" s="22" t="s">
        <v>2233</v>
      </c>
      <c r="B4650" s="22">
        <v>0</v>
      </c>
      <c r="C4650" s="22" t="s">
        <v>2233</v>
      </c>
      <c r="D4650" s="22">
        <v>0</v>
      </c>
      <c r="E4650" s="22" t="s">
        <v>2233</v>
      </c>
      <c r="F4650" s="22">
        <v>0</v>
      </c>
      <c r="G4650" s="22" t="s">
        <v>2233</v>
      </c>
      <c r="H4650" s="22">
        <v>0</v>
      </c>
      <c r="I4650" s="22" t="s">
        <v>2233</v>
      </c>
      <c r="J4650" s="22">
        <v>0</v>
      </c>
      <c r="K4650" s="22" t="s">
        <v>2254</v>
      </c>
      <c r="L4650" s="22">
        <v>0</v>
      </c>
      <c r="M4650" s="22"/>
      <c r="N4650" s="22"/>
      <c r="O4650" s="22"/>
      <c r="P4650" s="22"/>
      <c r="Q4650" s="22"/>
      <c r="R4650" s="22"/>
      <c r="S4650" s="22"/>
      <c r="T4650" s="22"/>
      <c r="U4650" s="22"/>
      <c r="V4650" s="22"/>
      <c r="W4650" s="22"/>
      <c r="X4650" s="22"/>
    </row>
    <row r="4651" spans="1:24" x14ac:dyDescent="0.25">
      <c r="A4651" s="22" t="s">
        <v>2234</v>
      </c>
      <c r="B4651" s="22">
        <v>0</v>
      </c>
      <c r="C4651" s="22" t="s">
        <v>2234</v>
      </c>
      <c r="D4651" s="22">
        <v>0</v>
      </c>
      <c r="E4651" s="22" t="s">
        <v>2234</v>
      </c>
      <c r="F4651" s="22">
        <v>0</v>
      </c>
      <c r="G4651" s="22" t="s">
        <v>2234</v>
      </c>
      <c r="H4651" s="22">
        <v>0</v>
      </c>
      <c r="I4651" s="22" t="s">
        <v>2234</v>
      </c>
      <c r="J4651" s="22">
        <v>0</v>
      </c>
      <c r="K4651" s="22" t="s">
        <v>2255</v>
      </c>
      <c r="L4651" s="22">
        <v>0</v>
      </c>
      <c r="M4651" s="22"/>
      <c r="N4651" s="22"/>
      <c r="O4651" s="22"/>
      <c r="P4651" s="22"/>
      <c r="Q4651" s="22"/>
      <c r="R4651" s="22"/>
      <c r="S4651" s="22"/>
      <c r="T4651" s="22"/>
      <c r="U4651" s="22"/>
      <c r="V4651" s="22"/>
      <c r="W4651" s="22"/>
      <c r="X4651" s="22"/>
    </row>
    <row r="4652" spans="1:24" x14ac:dyDescent="0.25">
      <c r="A4652" s="22" t="s">
        <v>2235</v>
      </c>
      <c r="B4652" s="22">
        <v>0</v>
      </c>
      <c r="C4652" s="22" t="s">
        <v>2235</v>
      </c>
      <c r="D4652" s="22">
        <v>0</v>
      </c>
      <c r="E4652" s="22" t="s">
        <v>2235</v>
      </c>
      <c r="F4652" s="22">
        <v>0</v>
      </c>
      <c r="G4652" s="22" t="s">
        <v>2235</v>
      </c>
      <c r="H4652" s="22">
        <v>0</v>
      </c>
      <c r="I4652" s="22" t="s">
        <v>2235</v>
      </c>
      <c r="J4652" s="22">
        <v>0</v>
      </c>
      <c r="K4652" s="22" t="s">
        <v>2256</v>
      </c>
      <c r="L4652" s="22">
        <v>0</v>
      </c>
      <c r="M4652" s="22"/>
      <c r="N4652" s="22"/>
      <c r="O4652" s="22"/>
      <c r="P4652" s="22"/>
      <c r="Q4652" s="22"/>
      <c r="R4652" s="22"/>
      <c r="S4652" s="22"/>
      <c r="T4652" s="22"/>
      <c r="U4652" s="22"/>
      <c r="V4652" s="22"/>
      <c r="W4652" s="22"/>
      <c r="X4652" s="22"/>
    </row>
    <row r="4653" spans="1:24" x14ac:dyDescent="0.25">
      <c r="A4653" s="22" t="s">
        <v>2236</v>
      </c>
      <c r="B4653" s="22">
        <v>0</v>
      </c>
      <c r="C4653" s="22" t="s">
        <v>2236</v>
      </c>
      <c r="D4653" s="22">
        <v>0</v>
      </c>
      <c r="E4653" s="22" t="s">
        <v>2236</v>
      </c>
      <c r="F4653" s="22">
        <v>0</v>
      </c>
      <c r="G4653" s="22" t="s">
        <v>2236</v>
      </c>
      <c r="H4653" s="22">
        <v>0</v>
      </c>
      <c r="I4653" s="22" t="s">
        <v>2236</v>
      </c>
      <c r="J4653" s="22">
        <v>0</v>
      </c>
      <c r="K4653" s="22" t="s">
        <v>2257</v>
      </c>
      <c r="L4653" s="22">
        <v>0</v>
      </c>
      <c r="M4653" s="22"/>
      <c r="N4653" s="22"/>
      <c r="O4653" s="22"/>
      <c r="P4653" s="22"/>
      <c r="Q4653" s="22"/>
      <c r="R4653" s="22"/>
      <c r="S4653" s="22"/>
      <c r="T4653" s="22"/>
      <c r="U4653" s="22"/>
      <c r="V4653" s="22"/>
      <c r="W4653" s="22"/>
      <c r="X4653" s="22"/>
    </row>
    <row r="4654" spans="1:24" x14ac:dyDescent="0.25">
      <c r="A4654" s="22" t="s">
        <v>2237</v>
      </c>
      <c r="B4654" s="22">
        <v>0</v>
      </c>
      <c r="C4654" s="22" t="s">
        <v>2237</v>
      </c>
      <c r="D4654" s="22">
        <v>0</v>
      </c>
      <c r="E4654" s="22" t="s">
        <v>2237</v>
      </c>
      <c r="F4654" s="22">
        <v>0</v>
      </c>
      <c r="G4654" s="22" t="s">
        <v>2237</v>
      </c>
      <c r="H4654" s="22">
        <v>0</v>
      </c>
      <c r="I4654" s="22" t="s">
        <v>2237</v>
      </c>
      <c r="J4654" s="22">
        <v>0</v>
      </c>
      <c r="K4654" s="22" t="s">
        <v>2258</v>
      </c>
      <c r="L4654" s="22">
        <v>0</v>
      </c>
      <c r="M4654" s="22"/>
      <c r="N4654" s="22"/>
      <c r="O4654" s="22"/>
      <c r="P4654" s="22"/>
      <c r="Q4654" s="22"/>
      <c r="R4654" s="22"/>
      <c r="S4654" s="22"/>
      <c r="T4654" s="22"/>
      <c r="U4654" s="22"/>
      <c r="V4654" s="22"/>
      <c r="W4654" s="22"/>
      <c r="X4654" s="22"/>
    </row>
    <row r="4655" spans="1:24" x14ac:dyDescent="0.25">
      <c r="A4655" s="22" t="s">
        <v>1898</v>
      </c>
      <c r="B4655" s="22">
        <v>541</v>
      </c>
      <c r="C4655" s="22" t="s">
        <v>1898</v>
      </c>
      <c r="D4655" s="22">
        <v>558</v>
      </c>
      <c r="E4655" s="22" t="s">
        <v>1898</v>
      </c>
      <c r="F4655" s="22">
        <v>558</v>
      </c>
      <c r="G4655" s="22" t="s">
        <v>1898</v>
      </c>
      <c r="H4655" s="22">
        <v>558</v>
      </c>
      <c r="I4655" s="22" t="s">
        <v>1898</v>
      </c>
      <c r="J4655" s="22">
        <v>558</v>
      </c>
      <c r="K4655" s="22" t="s">
        <v>1901</v>
      </c>
      <c r="L4655" s="22">
        <v>0</v>
      </c>
      <c r="M4655" s="22"/>
      <c r="N4655" s="22"/>
      <c r="O4655" s="22"/>
      <c r="P4655" s="22"/>
      <c r="Q4655" s="22"/>
      <c r="R4655" s="22"/>
      <c r="S4655" s="22"/>
      <c r="T4655" s="22"/>
      <c r="U4655" s="22"/>
      <c r="V4655" s="22"/>
      <c r="W4655" s="22"/>
      <c r="X4655" s="22"/>
    </row>
    <row r="4656" spans="1:24" x14ac:dyDescent="0.25">
      <c r="A4656" s="22" t="s">
        <v>2238</v>
      </c>
      <c r="B4656" s="22">
        <v>0</v>
      </c>
      <c r="C4656" s="22" t="s">
        <v>2238</v>
      </c>
      <c r="D4656" s="22">
        <v>11</v>
      </c>
      <c r="E4656" s="22" t="s">
        <v>2238</v>
      </c>
      <c r="F4656" s="22">
        <v>11</v>
      </c>
      <c r="G4656" s="22" t="s">
        <v>2238</v>
      </c>
      <c r="H4656" s="22">
        <v>11</v>
      </c>
      <c r="I4656" s="22" t="s">
        <v>2238</v>
      </c>
      <c r="J4656" s="22">
        <v>11</v>
      </c>
      <c r="K4656" s="22" t="s">
        <v>2259</v>
      </c>
      <c r="L4656" s="22">
        <v>0</v>
      </c>
      <c r="M4656" s="22"/>
      <c r="N4656" s="22"/>
      <c r="O4656" s="22"/>
      <c r="P4656" s="22"/>
      <c r="Q4656" s="22"/>
      <c r="R4656" s="22"/>
      <c r="S4656" s="22"/>
      <c r="T4656" s="22"/>
      <c r="U4656" s="22"/>
      <c r="V4656" s="22"/>
      <c r="W4656" s="22"/>
      <c r="X4656" s="22"/>
    </row>
    <row r="4657" spans="1:24" x14ac:dyDescent="0.25">
      <c r="A4657" s="22" t="s">
        <v>2239</v>
      </c>
      <c r="B4657" s="22">
        <v>0</v>
      </c>
      <c r="C4657" s="22" t="s">
        <v>2239</v>
      </c>
      <c r="D4657" s="22">
        <v>0</v>
      </c>
      <c r="E4657" s="22" t="s">
        <v>2239</v>
      </c>
      <c r="F4657" s="22">
        <v>0</v>
      </c>
      <c r="G4657" s="22" t="s">
        <v>2239</v>
      </c>
      <c r="H4657" s="22">
        <v>0</v>
      </c>
      <c r="I4657" s="22" t="s">
        <v>2239</v>
      </c>
      <c r="J4657" s="22">
        <v>0</v>
      </c>
      <c r="K4657" s="22" t="s">
        <v>2260</v>
      </c>
      <c r="L4657" s="22">
        <v>0</v>
      </c>
      <c r="M4657" s="22"/>
      <c r="N4657" s="22"/>
      <c r="O4657" s="22"/>
      <c r="P4657" s="22"/>
      <c r="Q4657" s="22"/>
      <c r="R4657" s="22"/>
      <c r="S4657" s="22"/>
      <c r="T4657" s="22"/>
      <c r="U4657" s="22"/>
      <c r="V4657" s="22"/>
      <c r="W4657" s="22"/>
      <c r="X4657" s="22"/>
    </row>
    <row r="4658" spans="1:24" x14ac:dyDescent="0.25">
      <c r="A4658" s="22" t="s">
        <v>2240</v>
      </c>
      <c r="B4658" s="22">
        <v>1</v>
      </c>
      <c r="C4658" s="22" t="s">
        <v>2240</v>
      </c>
      <c r="D4658" s="22">
        <v>2</v>
      </c>
      <c r="E4658" s="22" t="s">
        <v>2240</v>
      </c>
      <c r="F4658" s="22">
        <v>2</v>
      </c>
      <c r="G4658" s="22" t="s">
        <v>2240</v>
      </c>
      <c r="H4658" s="22">
        <v>2</v>
      </c>
      <c r="I4658" s="22" t="s">
        <v>2240</v>
      </c>
      <c r="J4658" s="22">
        <v>2</v>
      </c>
      <c r="K4658" s="22" t="s">
        <v>2261</v>
      </c>
      <c r="L4658" s="22">
        <v>0</v>
      </c>
      <c r="M4658" s="22"/>
      <c r="N4658" s="22"/>
      <c r="O4658" s="22"/>
      <c r="P4658" s="22"/>
      <c r="Q4658" s="22"/>
      <c r="R4658" s="22"/>
      <c r="S4658" s="22"/>
      <c r="T4658" s="22"/>
      <c r="U4658" s="22"/>
      <c r="V4658" s="22"/>
      <c r="W4658" s="22"/>
      <c r="X4658" s="22"/>
    </row>
    <row r="4659" spans="1:24" x14ac:dyDescent="0.25">
      <c r="A4659" s="22" t="s">
        <v>2241</v>
      </c>
      <c r="B4659" s="22">
        <v>1</v>
      </c>
      <c r="C4659" s="22" t="s">
        <v>2241</v>
      </c>
      <c r="D4659" s="22">
        <v>0</v>
      </c>
      <c r="E4659" s="22" t="s">
        <v>2241</v>
      </c>
      <c r="F4659" s="22">
        <v>0</v>
      </c>
      <c r="G4659" s="22" t="s">
        <v>2241</v>
      </c>
      <c r="H4659" s="22">
        <v>0</v>
      </c>
      <c r="I4659" s="22" t="s">
        <v>2241</v>
      </c>
      <c r="J4659" s="22">
        <v>0</v>
      </c>
      <c r="K4659" s="22" t="s">
        <v>2262</v>
      </c>
      <c r="L4659" s="22">
        <v>0</v>
      </c>
      <c r="M4659" s="22"/>
      <c r="N4659" s="22"/>
      <c r="O4659" s="22"/>
      <c r="P4659" s="22"/>
      <c r="Q4659" s="22"/>
      <c r="R4659" s="22"/>
      <c r="S4659" s="22"/>
      <c r="T4659" s="22"/>
      <c r="U4659" s="22"/>
      <c r="V4659" s="22"/>
      <c r="W4659" s="22"/>
      <c r="X4659" s="22"/>
    </row>
    <row r="4660" spans="1:24" x14ac:dyDescent="0.25">
      <c r="A4660" s="22" t="s">
        <v>2242</v>
      </c>
      <c r="B4660" s="22">
        <v>0</v>
      </c>
      <c r="C4660" s="22" t="s">
        <v>2242</v>
      </c>
      <c r="D4660" s="22">
        <v>0</v>
      </c>
      <c r="E4660" s="22" t="s">
        <v>2242</v>
      </c>
      <c r="F4660" s="22">
        <v>0</v>
      </c>
      <c r="G4660" s="22" t="s">
        <v>2242</v>
      </c>
      <c r="H4660" s="22">
        <v>0</v>
      </c>
      <c r="I4660" s="22" t="s">
        <v>2242</v>
      </c>
      <c r="J4660" s="22">
        <v>0</v>
      </c>
      <c r="K4660" s="22" t="s">
        <v>2263</v>
      </c>
      <c r="L4660" s="22">
        <v>0</v>
      </c>
      <c r="M4660" s="22"/>
      <c r="N4660" s="22"/>
      <c r="O4660" s="22"/>
      <c r="P4660" s="22"/>
      <c r="Q4660" s="22"/>
      <c r="R4660" s="22"/>
      <c r="S4660" s="22"/>
      <c r="T4660" s="22"/>
      <c r="U4660" s="22"/>
      <c r="V4660" s="22"/>
      <c r="W4660" s="22"/>
      <c r="X4660" s="22"/>
    </row>
    <row r="4661" spans="1:24" x14ac:dyDescent="0.25">
      <c r="A4661" s="22" t="s">
        <v>2243</v>
      </c>
      <c r="B4661" s="22">
        <v>0</v>
      </c>
      <c r="C4661" s="22" t="s">
        <v>2243</v>
      </c>
      <c r="D4661" s="22">
        <v>0</v>
      </c>
      <c r="E4661" s="22" t="s">
        <v>2243</v>
      </c>
      <c r="F4661" s="22">
        <v>0</v>
      </c>
      <c r="G4661" s="22" t="s">
        <v>2243</v>
      </c>
      <c r="H4661" s="22">
        <v>0</v>
      </c>
      <c r="I4661" s="22" t="s">
        <v>2243</v>
      </c>
      <c r="J4661" s="22">
        <v>0</v>
      </c>
      <c r="K4661" s="22" t="s">
        <v>2264</v>
      </c>
      <c r="L4661" s="22">
        <v>0</v>
      </c>
      <c r="M4661" s="22"/>
      <c r="N4661" s="22"/>
      <c r="O4661" s="22"/>
      <c r="P4661" s="22"/>
      <c r="Q4661" s="22"/>
      <c r="R4661" s="22"/>
      <c r="S4661" s="22"/>
      <c r="T4661" s="22"/>
      <c r="U4661" s="22"/>
      <c r="V4661" s="22"/>
      <c r="W4661" s="22"/>
      <c r="X4661" s="22"/>
    </row>
    <row r="4662" spans="1:24" x14ac:dyDescent="0.25">
      <c r="A4662" s="22" t="s">
        <v>2244</v>
      </c>
      <c r="B4662" s="22">
        <v>0</v>
      </c>
      <c r="C4662" s="22" t="s">
        <v>2244</v>
      </c>
      <c r="D4662" s="22">
        <v>0</v>
      </c>
      <c r="E4662" s="22" t="s">
        <v>2244</v>
      </c>
      <c r="F4662" s="22">
        <v>0</v>
      </c>
      <c r="G4662" s="22" t="s">
        <v>2244</v>
      </c>
      <c r="H4662" s="22">
        <v>0</v>
      </c>
      <c r="I4662" s="22" t="s">
        <v>2244</v>
      </c>
      <c r="J4662" s="22">
        <v>0</v>
      </c>
      <c r="K4662" s="22" t="s">
        <v>2265</v>
      </c>
      <c r="L4662" s="22">
        <v>0</v>
      </c>
      <c r="M4662" s="22"/>
      <c r="N4662" s="22"/>
      <c r="O4662" s="22"/>
      <c r="P4662" s="22"/>
      <c r="Q4662" s="22"/>
      <c r="R4662" s="22"/>
      <c r="S4662" s="22"/>
      <c r="T4662" s="22"/>
      <c r="U4662" s="22"/>
      <c r="V4662" s="22"/>
      <c r="W4662" s="22"/>
      <c r="X4662" s="22"/>
    </row>
    <row r="4663" spans="1:24" x14ac:dyDescent="0.25">
      <c r="A4663" s="22" t="s">
        <v>1899</v>
      </c>
      <c r="B4663" s="22">
        <v>10</v>
      </c>
      <c r="C4663" s="22" t="s">
        <v>1899</v>
      </c>
      <c r="D4663" s="22">
        <v>74</v>
      </c>
      <c r="E4663" s="22" t="s">
        <v>1899</v>
      </c>
      <c r="F4663" s="22">
        <v>74</v>
      </c>
      <c r="G4663" s="22" t="s">
        <v>1899</v>
      </c>
      <c r="H4663" s="22">
        <v>74</v>
      </c>
      <c r="I4663" s="22" t="s">
        <v>1899</v>
      </c>
      <c r="J4663" s="22">
        <v>74</v>
      </c>
      <c r="K4663" s="22" t="s">
        <v>1902</v>
      </c>
      <c r="L4663" s="22">
        <v>0</v>
      </c>
      <c r="M4663" s="22"/>
      <c r="N4663" s="22"/>
      <c r="O4663" s="22"/>
      <c r="P4663" s="22"/>
      <c r="Q4663" s="22"/>
      <c r="R4663" s="22"/>
      <c r="S4663" s="22"/>
      <c r="T4663" s="22"/>
      <c r="U4663" s="22"/>
      <c r="V4663" s="22"/>
      <c r="W4663" s="22"/>
      <c r="X4663" s="22"/>
    </row>
    <row r="4664" spans="1:24" x14ac:dyDescent="0.25">
      <c r="A4664" s="22" t="s">
        <v>2245</v>
      </c>
      <c r="B4664" s="22">
        <v>0</v>
      </c>
      <c r="C4664" s="22" t="s">
        <v>2245</v>
      </c>
      <c r="D4664" s="22">
        <v>0</v>
      </c>
      <c r="E4664" s="22" t="s">
        <v>2245</v>
      </c>
      <c r="F4664" s="22">
        <v>0</v>
      </c>
      <c r="G4664" s="22" t="s">
        <v>2245</v>
      </c>
      <c r="H4664" s="22">
        <v>0</v>
      </c>
      <c r="I4664" s="22" t="s">
        <v>2245</v>
      </c>
      <c r="J4664" s="22">
        <v>0</v>
      </c>
      <c r="K4664" s="22" t="s">
        <v>2266</v>
      </c>
      <c r="L4664" s="22">
        <v>0</v>
      </c>
      <c r="M4664" s="22"/>
      <c r="N4664" s="22"/>
      <c r="O4664" s="22"/>
      <c r="P4664" s="22"/>
      <c r="Q4664" s="22"/>
      <c r="R4664" s="22"/>
      <c r="S4664" s="22"/>
      <c r="T4664" s="22"/>
      <c r="U4664" s="22"/>
      <c r="V4664" s="22"/>
      <c r="W4664" s="22"/>
      <c r="X4664" s="22"/>
    </row>
    <row r="4665" spans="1:24" x14ac:dyDescent="0.25">
      <c r="A4665" s="22" t="s">
        <v>2246</v>
      </c>
      <c r="B4665" s="22">
        <v>0</v>
      </c>
      <c r="C4665" s="22" t="s">
        <v>2246</v>
      </c>
      <c r="D4665" s="22">
        <v>0</v>
      </c>
      <c r="E4665" s="22" t="s">
        <v>2246</v>
      </c>
      <c r="F4665" s="22">
        <v>0</v>
      </c>
      <c r="G4665" s="22" t="s">
        <v>2246</v>
      </c>
      <c r="H4665" s="22">
        <v>0</v>
      </c>
      <c r="I4665" s="22" t="s">
        <v>2246</v>
      </c>
      <c r="J4665" s="22">
        <v>0</v>
      </c>
      <c r="K4665" s="22" t="s">
        <v>2267</v>
      </c>
      <c r="L4665" s="22">
        <v>0</v>
      </c>
      <c r="M4665" s="22"/>
      <c r="N4665" s="22"/>
      <c r="O4665" s="22"/>
      <c r="P4665" s="22"/>
      <c r="Q4665" s="22"/>
      <c r="R4665" s="22"/>
      <c r="S4665" s="22"/>
      <c r="T4665" s="22"/>
      <c r="U4665" s="22"/>
      <c r="V4665" s="22"/>
      <c r="W4665" s="22"/>
      <c r="X4665" s="22"/>
    </row>
    <row r="4666" spans="1:24" x14ac:dyDescent="0.25">
      <c r="A4666" s="22" t="s">
        <v>2247</v>
      </c>
      <c r="B4666" s="22">
        <v>0</v>
      </c>
      <c r="C4666" s="22" t="s">
        <v>2247</v>
      </c>
      <c r="D4666" s="22">
        <v>0</v>
      </c>
      <c r="E4666" s="22" t="s">
        <v>2247</v>
      </c>
      <c r="F4666" s="22">
        <v>0</v>
      </c>
      <c r="G4666" s="22" t="s">
        <v>2247</v>
      </c>
      <c r="H4666" s="22">
        <v>0</v>
      </c>
      <c r="I4666" s="22" t="s">
        <v>2247</v>
      </c>
      <c r="J4666" s="22">
        <v>0</v>
      </c>
      <c r="K4666" s="22" t="s">
        <v>2268</v>
      </c>
      <c r="L4666" s="22">
        <v>0</v>
      </c>
      <c r="M4666" s="22"/>
      <c r="N4666" s="22"/>
      <c r="O4666" s="22"/>
      <c r="P4666" s="22"/>
      <c r="Q4666" s="22"/>
      <c r="R4666" s="22"/>
      <c r="S4666" s="22"/>
      <c r="T4666" s="22"/>
      <c r="U4666" s="22"/>
      <c r="V4666" s="22"/>
      <c r="W4666" s="22"/>
      <c r="X4666" s="22"/>
    </row>
    <row r="4667" spans="1:24" x14ac:dyDescent="0.25">
      <c r="A4667" s="22" t="s">
        <v>2248</v>
      </c>
      <c r="B4667" s="22">
        <v>0</v>
      </c>
      <c r="C4667" s="22" t="s">
        <v>2248</v>
      </c>
      <c r="D4667" s="22">
        <v>0</v>
      </c>
      <c r="E4667" s="22" t="s">
        <v>2248</v>
      </c>
      <c r="F4667" s="22">
        <v>0</v>
      </c>
      <c r="G4667" s="22" t="s">
        <v>2248</v>
      </c>
      <c r="H4667" s="22">
        <v>0</v>
      </c>
      <c r="I4667" s="22" t="s">
        <v>2248</v>
      </c>
      <c r="J4667" s="22">
        <v>0</v>
      </c>
      <c r="K4667" s="22" t="s">
        <v>2269</v>
      </c>
      <c r="L4667" s="22">
        <v>0</v>
      </c>
      <c r="M4667" s="22"/>
      <c r="N4667" s="22"/>
      <c r="O4667" s="22"/>
      <c r="P4667" s="22"/>
      <c r="Q4667" s="22"/>
      <c r="R4667" s="22"/>
      <c r="S4667" s="22"/>
      <c r="T4667" s="22"/>
      <c r="U4667" s="22"/>
      <c r="V4667" s="22"/>
      <c r="W4667" s="22"/>
      <c r="X4667" s="22"/>
    </row>
    <row r="4668" spans="1:24" x14ac:dyDescent="0.25">
      <c r="A4668" s="22" t="s">
        <v>2249</v>
      </c>
      <c r="B4668" s="22">
        <v>0</v>
      </c>
      <c r="C4668" s="22" t="s">
        <v>2249</v>
      </c>
      <c r="D4668" s="22">
        <v>0</v>
      </c>
      <c r="E4668" s="22" t="s">
        <v>2249</v>
      </c>
      <c r="F4668" s="22">
        <v>0</v>
      </c>
      <c r="G4668" s="22" t="s">
        <v>2249</v>
      </c>
      <c r="H4668" s="22">
        <v>0</v>
      </c>
      <c r="I4668" s="22" t="s">
        <v>2249</v>
      </c>
      <c r="J4668" s="22">
        <v>0</v>
      </c>
      <c r="K4668" s="22" t="s">
        <v>2270</v>
      </c>
      <c r="L4668" s="22">
        <v>0</v>
      </c>
      <c r="M4668" s="22"/>
      <c r="N4668" s="22"/>
      <c r="O4668" s="22"/>
      <c r="P4668" s="22"/>
      <c r="Q4668" s="22"/>
      <c r="R4668" s="22"/>
      <c r="S4668" s="22"/>
      <c r="T4668" s="22"/>
      <c r="U4668" s="22"/>
      <c r="V4668" s="22"/>
      <c r="W4668" s="22"/>
      <c r="X4668" s="22"/>
    </row>
    <row r="4669" spans="1:24" x14ac:dyDescent="0.25">
      <c r="A4669" s="22" t="s">
        <v>2250</v>
      </c>
      <c r="B4669" s="22">
        <v>0</v>
      </c>
      <c r="C4669" s="22" t="s">
        <v>2250</v>
      </c>
      <c r="D4669" s="22">
        <v>0</v>
      </c>
      <c r="E4669" s="22" t="s">
        <v>2250</v>
      </c>
      <c r="F4669" s="22">
        <v>0</v>
      </c>
      <c r="G4669" s="22" t="s">
        <v>2250</v>
      </c>
      <c r="H4669" s="22">
        <v>0</v>
      </c>
      <c r="I4669" s="22" t="s">
        <v>2250</v>
      </c>
      <c r="J4669" s="22">
        <v>0</v>
      </c>
      <c r="K4669" s="22" t="s">
        <v>2271</v>
      </c>
      <c r="L4669" s="22">
        <v>0</v>
      </c>
      <c r="M4669" s="22"/>
      <c r="N4669" s="22"/>
      <c r="O4669" s="22"/>
      <c r="P4669" s="22"/>
      <c r="Q4669" s="22"/>
      <c r="R4669" s="22"/>
      <c r="S4669" s="22"/>
      <c r="T4669" s="22"/>
      <c r="U4669" s="22"/>
      <c r="V4669" s="22"/>
      <c r="W4669" s="22"/>
      <c r="X4669" s="22"/>
    </row>
    <row r="4670" spans="1:24" x14ac:dyDescent="0.25">
      <c r="A4670" s="22" t="s">
        <v>2251</v>
      </c>
      <c r="B4670" s="22">
        <v>0</v>
      </c>
      <c r="C4670" s="22" t="s">
        <v>2251</v>
      </c>
      <c r="D4670" s="22">
        <v>0</v>
      </c>
      <c r="E4670" s="22" t="s">
        <v>2251</v>
      </c>
      <c r="F4670" s="22">
        <v>0</v>
      </c>
      <c r="G4670" s="22" t="s">
        <v>2251</v>
      </c>
      <c r="H4670" s="22">
        <v>0</v>
      </c>
      <c r="I4670" s="22" t="s">
        <v>2251</v>
      </c>
      <c r="J4670" s="22">
        <v>0</v>
      </c>
      <c r="K4670" s="22" t="s">
        <v>2272</v>
      </c>
      <c r="L4670" s="22">
        <v>0</v>
      </c>
      <c r="M4670" s="22"/>
      <c r="N4670" s="22"/>
      <c r="O4670" s="22"/>
      <c r="P4670" s="22"/>
      <c r="Q4670" s="22"/>
      <c r="R4670" s="22"/>
      <c r="S4670" s="22"/>
      <c r="T4670" s="22"/>
      <c r="U4670" s="22"/>
      <c r="V4670" s="22"/>
      <c r="W4670" s="22"/>
      <c r="X4670" s="22"/>
    </row>
    <row r="4671" spans="1:24" x14ac:dyDescent="0.25">
      <c r="A4671" s="22" t="s">
        <v>1900</v>
      </c>
      <c r="B4671" s="22">
        <v>0</v>
      </c>
      <c r="C4671" s="22" t="s">
        <v>1900</v>
      </c>
      <c r="D4671" s="22">
        <v>0</v>
      </c>
      <c r="E4671" s="22" t="s">
        <v>1900</v>
      </c>
      <c r="F4671" s="22">
        <v>0</v>
      </c>
      <c r="G4671" s="22" t="s">
        <v>1900</v>
      </c>
      <c r="H4671" s="22">
        <v>0</v>
      </c>
      <c r="I4671" s="22" t="s">
        <v>1900</v>
      </c>
      <c r="J4671" s="22">
        <v>0</v>
      </c>
      <c r="K4671" s="22" t="s">
        <v>1903</v>
      </c>
      <c r="L4671" s="22">
        <v>0</v>
      </c>
      <c r="M4671" s="22"/>
      <c r="N4671" s="22"/>
      <c r="O4671" s="22"/>
      <c r="P4671" s="22"/>
      <c r="Q4671" s="22"/>
      <c r="R4671" s="22"/>
      <c r="S4671" s="22"/>
      <c r="T4671" s="22"/>
      <c r="U4671" s="22"/>
      <c r="V4671" s="22"/>
      <c r="W4671" s="22"/>
      <c r="X4671" s="22"/>
    </row>
    <row r="4672" spans="1:24" x14ac:dyDescent="0.25">
      <c r="A4672" s="22" t="s">
        <v>2252</v>
      </c>
      <c r="B4672" s="22">
        <v>0</v>
      </c>
      <c r="C4672" s="22" t="s">
        <v>2252</v>
      </c>
      <c r="D4672" s="22">
        <v>0</v>
      </c>
      <c r="E4672" s="22" t="s">
        <v>2252</v>
      </c>
      <c r="F4672" s="22">
        <v>0</v>
      </c>
      <c r="G4672" s="22" t="s">
        <v>2252</v>
      </c>
      <c r="H4672" s="22">
        <v>0</v>
      </c>
      <c r="I4672" s="22" t="s">
        <v>2252</v>
      </c>
      <c r="J4672" s="22">
        <v>0</v>
      </c>
      <c r="K4672" s="22" t="s">
        <v>2273</v>
      </c>
      <c r="L4672" s="22">
        <v>0</v>
      </c>
      <c r="M4672" s="22"/>
      <c r="N4672" s="22"/>
      <c r="O4672" s="22"/>
      <c r="P4672" s="22"/>
      <c r="Q4672" s="22"/>
      <c r="R4672" s="22"/>
      <c r="S4672" s="22"/>
      <c r="T4672" s="22"/>
      <c r="U4672" s="22"/>
      <c r="V4672" s="22"/>
      <c r="W4672" s="22"/>
      <c r="X4672" s="22"/>
    </row>
    <row r="4673" spans="1:24" x14ac:dyDescent="0.25">
      <c r="A4673" s="22" t="s">
        <v>2253</v>
      </c>
      <c r="B4673" s="22">
        <v>0</v>
      </c>
      <c r="C4673" s="22" t="s">
        <v>2253</v>
      </c>
      <c r="D4673" s="22">
        <v>0</v>
      </c>
      <c r="E4673" s="22" t="s">
        <v>2253</v>
      </c>
      <c r="F4673" s="22">
        <v>0</v>
      </c>
      <c r="G4673" s="22" t="s">
        <v>2253</v>
      </c>
      <c r="H4673" s="22">
        <v>0</v>
      </c>
      <c r="I4673" s="22" t="s">
        <v>2253</v>
      </c>
      <c r="J4673" s="22">
        <v>0</v>
      </c>
      <c r="K4673" s="22" t="s">
        <v>2274</v>
      </c>
      <c r="L4673" s="22">
        <v>0</v>
      </c>
      <c r="M4673" s="22"/>
      <c r="N4673" s="22"/>
      <c r="O4673" s="22"/>
      <c r="P4673" s="22"/>
      <c r="Q4673" s="22"/>
      <c r="R4673" s="22"/>
      <c r="S4673" s="22"/>
      <c r="T4673" s="22"/>
      <c r="U4673" s="22"/>
      <c r="V4673" s="22"/>
      <c r="W4673" s="22"/>
      <c r="X4673" s="22"/>
    </row>
    <row r="4674" spans="1:24" x14ac:dyDescent="0.25">
      <c r="A4674" s="22" t="s">
        <v>2254</v>
      </c>
      <c r="B4674" s="22">
        <v>0</v>
      </c>
      <c r="C4674" s="22" t="s">
        <v>2254</v>
      </c>
      <c r="D4674" s="22">
        <v>0</v>
      </c>
      <c r="E4674" s="22" t="s">
        <v>2254</v>
      </c>
      <c r="F4674" s="22">
        <v>0</v>
      </c>
      <c r="G4674" s="22" t="s">
        <v>2254</v>
      </c>
      <c r="H4674" s="22">
        <v>0</v>
      </c>
      <c r="I4674" s="22" t="s">
        <v>2254</v>
      </c>
      <c r="J4674" s="22">
        <v>0</v>
      </c>
      <c r="K4674" s="22" t="s">
        <v>2275</v>
      </c>
      <c r="L4674" s="22">
        <v>0</v>
      </c>
      <c r="M4674" s="22"/>
      <c r="N4674" s="22"/>
      <c r="O4674" s="22"/>
      <c r="P4674" s="22"/>
      <c r="Q4674" s="22"/>
      <c r="R4674" s="22"/>
      <c r="S4674" s="22"/>
      <c r="T4674" s="22"/>
      <c r="U4674" s="22"/>
      <c r="V4674" s="22"/>
      <c r="W4674" s="22"/>
      <c r="X4674" s="22"/>
    </row>
    <row r="4675" spans="1:24" x14ac:dyDescent="0.25">
      <c r="A4675" s="22" t="s">
        <v>2255</v>
      </c>
      <c r="B4675" s="22">
        <v>0</v>
      </c>
      <c r="C4675" s="22" t="s">
        <v>2255</v>
      </c>
      <c r="D4675" s="22">
        <v>0</v>
      </c>
      <c r="E4675" s="22" t="s">
        <v>2255</v>
      </c>
      <c r="F4675" s="22">
        <v>0</v>
      </c>
      <c r="G4675" s="22" t="s">
        <v>2255</v>
      </c>
      <c r="H4675" s="22">
        <v>0</v>
      </c>
      <c r="I4675" s="22" t="s">
        <v>2255</v>
      </c>
      <c r="J4675" s="22">
        <v>0</v>
      </c>
      <c r="K4675" s="22" t="s">
        <v>2276</v>
      </c>
      <c r="L4675" s="22">
        <v>0</v>
      </c>
      <c r="M4675" s="22"/>
      <c r="N4675" s="22"/>
      <c r="O4675" s="22"/>
      <c r="P4675" s="22"/>
      <c r="Q4675" s="22"/>
      <c r="R4675" s="22"/>
      <c r="S4675" s="22"/>
      <c r="T4675" s="22"/>
      <c r="U4675" s="22"/>
      <c r="V4675" s="22"/>
      <c r="W4675" s="22"/>
      <c r="X4675" s="22"/>
    </row>
    <row r="4676" spans="1:24" x14ac:dyDescent="0.25">
      <c r="A4676" s="22" t="s">
        <v>2256</v>
      </c>
      <c r="B4676" s="22">
        <v>0</v>
      </c>
      <c r="C4676" s="22" t="s">
        <v>2256</v>
      </c>
      <c r="D4676" s="22">
        <v>0</v>
      </c>
      <c r="E4676" s="22" t="s">
        <v>2256</v>
      </c>
      <c r="F4676" s="22">
        <v>0</v>
      </c>
      <c r="G4676" s="22" t="s">
        <v>2256</v>
      </c>
      <c r="H4676" s="22">
        <v>0</v>
      </c>
      <c r="I4676" s="22" t="s">
        <v>2256</v>
      </c>
      <c r="J4676" s="22">
        <v>0</v>
      </c>
      <c r="K4676" s="22" t="s">
        <v>2277</v>
      </c>
      <c r="L4676" s="22">
        <v>0</v>
      </c>
      <c r="M4676" s="22"/>
      <c r="N4676" s="22"/>
      <c r="O4676" s="22"/>
      <c r="P4676" s="22"/>
      <c r="Q4676" s="22"/>
      <c r="R4676" s="22"/>
      <c r="S4676" s="22"/>
      <c r="T4676" s="22"/>
      <c r="U4676" s="22"/>
      <c r="V4676" s="22"/>
      <c r="W4676" s="22"/>
      <c r="X4676" s="22"/>
    </row>
    <row r="4677" spans="1:24" x14ac:dyDescent="0.25">
      <c r="A4677" s="22" t="s">
        <v>2257</v>
      </c>
      <c r="B4677" s="22">
        <v>0</v>
      </c>
      <c r="C4677" s="22" t="s">
        <v>2257</v>
      </c>
      <c r="D4677" s="22">
        <v>0</v>
      </c>
      <c r="E4677" s="22" t="s">
        <v>2257</v>
      </c>
      <c r="F4677" s="22">
        <v>0</v>
      </c>
      <c r="G4677" s="22" t="s">
        <v>2257</v>
      </c>
      <c r="H4677" s="22">
        <v>0</v>
      </c>
      <c r="I4677" s="22" t="s">
        <v>2257</v>
      </c>
      <c r="J4677" s="22">
        <v>0</v>
      </c>
      <c r="K4677" s="22" t="s">
        <v>2278</v>
      </c>
      <c r="L4677" s="22">
        <v>0</v>
      </c>
      <c r="M4677" s="22"/>
      <c r="N4677" s="22"/>
      <c r="O4677" s="22"/>
      <c r="P4677" s="22"/>
      <c r="Q4677" s="22"/>
      <c r="R4677" s="22"/>
      <c r="S4677" s="22"/>
      <c r="T4677" s="22"/>
      <c r="U4677" s="22"/>
      <c r="V4677" s="22"/>
      <c r="W4677" s="22"/>
      <c r="X4677" s="22"/>
    </row>
    <row r="4678" spans="1:24" x14ac:dyDescent="0.25">
      <c r="A4678" s="22" t="s">
        <v>2258</v>
      </c>
      <c r="B4678" s="22">
        <v>0</v>
      </c>
      <c r="C4678" s="22" t="s">
        <v>2258</v>
      </c>
      <c r="D4678" s="22">
        <v>0</v>
      </c>
      <c r="E4678" s="22" t="s">
        <v>2258</v>
      </c>
      <c r="F4678" s="22">
        <v>0</v>
      </c>
      <c r="G4678" s="22" t="s">
        <v>2258</v>
      </c>
      <c r="H4678" s="22">
        <v>0</v>
      </c>
      <c r="I4678" s="22" t="s">
        <v>2258</v>
      </c>
      <c r="J4678" s="22">
        <v>0</v>
      </c>
      <c r="K4678" s="22" t="s">
        <v>2279</v>
      </c>
      <c r="L4678" s="22">
        <v>0</v>
      </c>
      <c r="M4678" s="22"/>
      <c r="N4678" s="22"/>
      <c r="O4678" s="22"/>
      <c r="P4678" s="22"/>
      <c r="Q4678" s="22"/>
      <c r="R4678" s="22"/>
      <c r="S4678" s="22"/>
      <c r="T4678" s="22"/>
      <c r="U4678" s="22"/>
      <c r="V4678" s="22"/>
      <c r="W4678" s="22"/>
      <c r="X4678" s="22"/>
    </row>
    <row r="4679" spans="1:24" x14ac:dyDescent="0.25">
      <c r="A4679" s="22" t="s">
        <v>1901</v>
      </c>
      <c r="B4679" s="22">
        <v>0</v>
      </c>
      <c r="C4679" s="22" t="s">
        <v>1901</v>
      </c>
      <c r="D4679" s="22">
        <v>0</v>
      </c>
      <c r="E4679" s="22" t="s">
        <v>1901</v>
      </c>
      <c r="F4679" s="22">
        <v>0</v>
      </c>
      <c r="G4679" s="22" t="s">
        <v>1901</v>
      </c>
      <c r="H4679" s="22">
        <v>0</v>
      </c>
      <c r="I4679" s="22" t="s">
        <v>1901</v>
      </c>
      <c r="J4679" s="22">
        <v>0</v>
      </c>
      <c r="K4679" s="22" t="s">
        <v>1904</v>
      </c>
      <c r="L4679" s="22">
        <v>200</v>
      </c>
      <c r="M4679" s="22"/>
      <c r="N4679" s="22"/>
      <c r="O4679" s="22"/>
      <c r="P4679" s="22"/>
      <c r="Q4679" s="22"/>
      <c r="R4679" s="22"/>
      <c r="S4679" s="22"/>
      <c r="T4679" s="22"/>
      <c r="U4679" s="22"/>
      <c r="V4679" s="22"/>
      <c r="W4679" s="22"/>
      <c r="X4679" s="22"/>
    </row>
    <row r="4680" spans="1:24" x14ac:dyDescent="0.25">
      <c r="A4680" s="22" t="s">
        <v>2259</v>
      </c>
      <c r="B4680" s="22">
        <v>0</v>
      </c>
      <c r="C4680" s="22" t="s">
        <v>2259</v>
      </c>
      <c r="D4680" s="22">
        <v>0</v>
      </c>
      <c r="E4680" s="22" t="s">
        <v>2259</v>
      </c>
      <c r="F4680" s="22">
        <v>0</v>
      </c>
      <c r="G4680" s="22" t="s">
        <v>2259</v>
      </c>
      <c r="H4680" s="22">
        <v>0</v>
      </c>
      <c r="I4680" s="22" t="s">
        <v>2259</v>
      </c>
      <c r="J4680" s="22">
        <v>0</v>
      </c>
      <c r="K4680" s="22" t="s">
        <v>2280</v>
      </c>
      <c r="L4680" s="22">
        <v>2</v>
      </c>
      <c r="M4680" s="22"/>
      <c r="N4680" s="22"/>
      <c r="O4680" s="22"/>
      <c r="P4680" s="22"/>
      <c r="Q4680" s="22"/>
      <c r="R4680" s="22"/>
      <c r="S4680" s="22"/>
      <c r="T4680" s="22"/>
      <c r="U4680" s="22"/>
      <c r="V4680" s="22"/>
      <c r="W4680" s="22"/>
      <c r="X4680" s="22"/>
    </row>
    <row r="4681" spans="1:24" x14ac:dyDescent="0.25">
      <c r="A4681" s="22" t="s">
        <v>2260</v>
      </c>
      <c r="B4681" s="22">
        <v>0</v>
      </c>
      <c r="C4681" s="22" t="s">
        <v>2260</v>
      </c>
      <c r="D4681" s="22">
        <v>0</v>
      </c>
      <c r="E4681" s="22" t="s">
        <v>2260</v>
      </c>
      <c r="F4681" s="22">
        <v>0</v>
      </c>
      <c r="G4681" s="22" t="s">
        <v>2260</v>
      </c>
      <c r="H4681" s="22">
        <v>0</v>
      </c>
      <c r="I4681" s="22" t="s">
        <v>2260</v>
      </c>
      <c r="J4681" s="22">
        <v>0</v>
      </c>
      <c r="K4681" s="22" t="s">
        <v>2281</v>
      </c>
      <c r="L4681" s="22">
        <v>0</v>
      </c>
      <c r="M4681" s="22"/>
      <c r="N4681" s="22"/>
      <c r="O4681" s="22"/>
      <c r="P4681" s="22"/>
      <c r="Q4681" s="22"/>
      <c r="R4681" s="22"/>
      <c r="S4681" s="22"/>
      <c r="T4681" s="22"/>
      <c r="U4681" s="22"/>
      <c r="V4681" s="22"/>
      <c r="W4681" s="22"/>
      <c r="X4681" s="22"/>
    </row>
    <row r="4682" spans="1:24" x14ac:dyDescent="0.25">
      <c r="A4682" s="22" t="s">
        <v>2261</v>
      </c>
      <c r="B4682" s="22">
        <v>0</v>
      </c>
      <c r="C4682" s="22" t="s">
        <v>2261</v>
      </c>
      <c r="D4682" s="22">
        <v>0</v>
      </c>
      <c r="E4682" s="22" t="s">
        <v>2261</v>
      </c>
      <c r="F4682" s="22">
        <v>0</v>
      </c>
      <c r="G4682" s="22" t="s">
        <v>2261</v>
      </c>
      <c r="H4682" s="22">
        <v>0</v>
      </c>
      <c r="I4682" s="22" t="s">
        <v>2261</v>
      </c>
      <c r="J4682" s="22">
        <v>0</v>
      </c>
      <c r="K4682" s="22" t="s">
        <v>2282</v>
      </c>
      <c r="L4682" s="22">
        <v>0</v>
      </c>
      <c r="M4682" s="22"/>
      <c r="N4682" s="22"/>
      <c r="O4682" s="22"/>
      <c r="P4682" s="22"/>
      <c r="Q4682" s="22"/>
      <c r="R4682" s="22"/>
      <c r="S4682" s="22"/>
      <c r="T4682" s="22"/>
      <c r="U4682" s="22"/>
      <c r="V4682" s="22"/>
      <c r="W4682" s="22"/>
      <c r="X4682" s="22"/>
    </row>
    <row r="4683" spans="1:24" x14ac:dyDescent="0.25">
      <c r="A4683" s="22" t="s">
        <v>2262</v>
      </c>
      <c r="B4683" s="22">
        <v>0</v>
      </c>
      <c r="C4683" s="22" t="s">
        <v>2262</v>
      </c>
      <c r="D4683" s="22">
        <v>0</v>
      </c>
      <c r="E4683" s="22" t="s">
        <v>2262</v>
      </c>
      <c r="F4683" s="22">
        <v>0</v>
      </c>
      <c r="G4683" s="22" t="s">
        <v>2262</v>
      </c>
      <c r="H4683" s="22">
        <v>0</v>
      </c>
      <c r="I4683" s="22" t="s">
        <v>2262</v>
      </c>
      <c r="J4683" s="22">
        <v>0</v>
      </c>
      <c r="K4683" s="22" t="s">
        <v>2283</v>
      </c>
      <c r="L4683" s="22">
        <v>1</v>
      </c>
      <c r="M4683" s="22"/>
      <c r="N4683" s="22"/>
      <c r="O4683" s="22"/>
      <c r="P4683" s="22"/>
      <c r="Q4683" s="22"/>
      <c r="R4683" s="22"/>
      <c r="S4683" s="22"/>
      <c r="T4683" s="22"/>
      <c r="U4683" s="22"/>
      <c r="V4683" s="22"/>
      <c r="W4683" s="22"/>
      <c r="X4683" s="22"/>
    </row>
    <row r="4684" spans="1:24" x14ac:dyDescent="0.25">
      <c r="A4684" s="22" t="s">
        <v>2263</v>
      </c>
      <c r="B4684" s="22">
        <v>0</v>
      </c>
      <c r="C4684" s="22" t="s">
        <v>2263</v>
      </c>
      <c r="D4684" s="22">
        <v>0</v>
      </c>
      <c r="E4684" s="22" t="s">
        <v>2263</v>
      </c>
      <c r="F4684" s="22">
        <v>0</v>
      </c>
      <c r="G4684" s="22" t="s">
        <v>2263</v>
      </c>
      <c r="H4684" s="22">
        <v>0</v>
      </c>
      <c r="I4684" s="22" t="s">
        <v>2263</v>
      </c>
      <c r="J4684" s="22">
        <v>0</v>
      </c>
      <c r="K4684" s="22" t="s">
        <v>2284</v>
      </c>
      <c r="L4684" s="22">
        <v>0</v>
      </c>
      <c r="M4684" s="22"/>
      <c r="N4684" s="22"/>
      <c r="O4684" s="22"/>
      <c r="P4684" s="22"/>
      <c r="Q4684" s="22"/>
      <c r="R4684" s="22"/>
      <c r="S4684" s="22"/>
      <c r="T4684" s="22"/>
      <c r="U4684" s="22"/>
      <c r="V4684" s="22"/>
      <c r="W4684" s="22"/>
      <c r="X4684" s="22"/>
    </row>
    <row r="4685" spans="1:24" x14ac:dyDescent="0.25">
      <c r="A4685" s="22" t="s">
        <v>2264</v>
      </c>
      <c r="B4685" s="22">
        <v>0</v>
      </c>
      <c r="C4685" s="22" t="s">
        <v>2264</v>
      </c>
      <c r="D4685" s="22">
        <v>0</v>
      </c>
      <c r="E4685" s="22" t="s">
        <v>2264</v>
      </c>
      <c r="F4685" s="22">
        <v>0</v>
      </c>
      <c r="G4685" s="22" t="s">
        <v>2264</v>
      </c>
      <c r="H4685" s="22">
        <v>0</v>
      </c>
      <c r="I4685" s="22" t="s">
        <v>2264</v>
      </c>
      <c r="J4685" s="22">
        <v>0</v>
      </c>
      <c r="K4685" s="22" t="s">
        <v>2285</v>
      </c>
      <c r="L4685" s="22">
        <v>0</v>
      </c>
      <c r="M4685" s="22"/>
      <c r="N4685" s="22"/>
      <c r="O4685" s="22"/>
      <c r="P4685" s="22"/>
      <c r="Q4685" s="22"/>
      <c r="R4685" s="22"/>
      <c r="S4685" s="22"/>
      <c r="T4685" s="22"/>
      <c r="U4685" s="22"/>
      <c r="V4685" s="22"/>
      <c r="W4685" s="22"/>
      <c r="X4685" s="22"/>
    </row>
    <row r="4686" spans="1:24" x14ac:dyDescent="0.25">
      <c r="A4686" s="22" t="s">
        <v>2265</v>
      </c>
      <c r="B4686" s="22">
        <v>0</v>
      </c>
      <c r="C4686" s="22" t="s">
        <v>2265</v>
      </c>
      <c r="D4686" s="22">
        <v>0</v>
      </c>
      <c r="E4686" s="22" t="s">
        <v>2265</v>
      </c>
      <c r="F4686" s="22">
        <v>0</v>
      </c>
      <c r="G4686" s="22" t="s">
        <v>2265</v>
      </c>
      <c r="H4686" s="22">
        <v>0</v>
      </c>
      <c r="I4686" s="22" t="s">
        <v>2265</v>
      </c>
      <c r="J4686" s="22">
        <v>0</v>
      </c>
      <c r="K4686" s="22" t="s">
        <v>2286</v>
      </c>
      <c r="L4686" s="22">
        <v>0</v>
      </c>
      <c r="M4686" s="22"/>
      <c r="N4686" s="22"/>
      <c r="O4686" s="22"/>
      <c r="P4686" s="22"/>
      <c r="Q4686" s="22"/>
      <c r="R4686" s="22"/>
      <c r="S4686" s="22"/>
      <c r="T4686" s="22"/>
      <c r="U4686" s="22"/>
      <c r="V4686" s="22"/>
      <c r="W4686" s="22"/>
      <c r="X4686" s="22"/>
    </row>
    <row r="4687" spans="1:24" x14ac:dyDescent="0.25">
      <c r="A4687" s="22" t="s">
        <v>1902</v>
      </c>
      <c r="B4687" s="22">
        <v>0</v>
      </c>
      <c r="C4687" s="22" t="s">
        <v>1902</v>
      </c>
      <c r="D4687" s="22">
        <v>0</v>
      </c>
      <c r="E4687" s="22" t="s">
        <v>1902</v>
      </c>
      <c r="F4687" s="22">
        <v>0</v>
      </c>
      <c r="G4687" s="22" t="s">
        <v>1902</v>
      </c>
      <c r="H4687" s="22">
        <v>0</v>
      </c>
      <c r="I4687" s="22" t="s">
        <v>1902</v>
      </c>
      <c r="J4687" s="22">
        <v>0</v>
      </c>
      <c r="K4687" s="22" t="s">
        <v>1905</v>
      </c>
      <c r="L4687" s="22">
        <v>205</v>
      </c>
      <c r="M4687" s="22"/>
      <c r="N4687" s="22"/>
      <c r="O4687" s="22"/>
      <c r="P4687" s="22"/>
      <c r="Q4687" s="22"/>
      <c r="R4687" s="22"/>
      <c r="S4687" s="22"/>
      <c r="T4687" s="22"/>
      <c r="U4687" s="22"/>
      <c r="V4687" s="22"/>
      <c r="W4687" s="22"/>
      <c r="X4687" s="22"/>
    </row>
    <row r="4688" spans="1:24" x14ac:dyDescent="0.25">
      <c r="A4688" s="22" t="s">
        <v>2266</v>
      </c>
      <c r="B4688" s="22">
        <v>0</v>
      </c>
      <c r="C4688" s="22" t="s">
        <v>2266</v>
      </c>
      <c r="D4688" s="22">
        <v>0</v>
      </c>
      <c r="E4688" s="22" t="s">
        <v>2266</v>
      </c>
      <c r="F4688" s="22">
        <v>0</v>
      </c>
      <c r="G4688" s="22" t="s">
        <v>2266</v>
      </c>
      <c r="H4688" s="22">
        <v>0</v>
      </c>
      <c r="I4688" s="22" t="s">
        <v>2266</v>
      </c>
      <c r="J4688" s="22">
        <v>0</v>
      </c>
      <c r="K4688" s="22" t="s">
        <v>2430</v>
      </c>
      <c r="L4688" s="22">
        <v>0</v>
      </c>
      <c r="M4688" s="22"/>
      <c r="N4688" s="22"/>
      <c r="O4688" s="22"/>
      <c r="P4688" s="22"/>
      <c r="Q4688" s="22"/>
      <c r="R4688" s="22"/>
      <c r="S4688" s="22"/>
      <c r="T4688" s="22"/>
      <c r="U4688" s="22"/>
      <c r="V4688" s="22"/>
      <c r="W4688" s="22"/>
      <c r="X4688" s="22"/>
    </row>
    <row r="4689" spans="1:24" x14ac:dyDescent="0.25">
      <c r="A4689" s="22" t="s">
        <v>2267</v>
      </c>
      <c r="B4689" s="22">
        <v>0</v>
      </c>
      <c r="C4689" s="22" t="s">
        <v>2267</v>
      </c>
      <c r="D4689" s="22">
        <v>0</v>
      </c>
      <c r="E4689" s="22" t="s">
        <v>2267</v>
      </c>
      <c r="F4689" s="22">
        <v>0</v>
      </c>
      <c r="G4689" s="22" t="s">
        <v>2267</v>
      </c>
      <c r="H4689" s="22">
        <v>0</v>
      </c>
      <c r="I4689" s="22" t="s">
        <v>2267</v>
      </c>
      <c r="J4689" s="22">
        <v>0</v>
      </c>
      <c r="K4689" s="22" t="s">
        <v>2431</v>
      </c>
      <c r="L4689" s="22">
        <v>0</v>
      </c>
      <c r="M4689" s="22"/>
      <c r="N4689" s="22"/>
      <c r="O4689" s="22"/>
      <c r="P4689" s="22"/>
      <c r="Q4689" s="22"/>
      <c r="R4689" s="22"/>
      <c r="S4689" s="22"/>
      <c r="T4689" s="22"/>
      <c r="U4689" s="22"/>
      <c r="V4689" s="22"/>
      <c r="W4689" s="22"/>
      <c r="X4689" s="22"/>
    </row>
    <row r="4690" spans="1:24" x14ac:dyDescent="0.25">
      <c r="A4690" s="22" t="s">
        <v>2268</v>
      </c>
      <c r="B4690" s="22">
        <v>0</v>
      </c>
      <c r="C4690" s="22" t="s">
        <v>2268</v>
      </c>
      <c r="D4690" s="22">
        <v>0</v>
      </c>
      <c r="E4690" s="22" t="s">
        <v>2268</v>
      </c>
      <c r="F4690" s="22">
        <v>0</v>
      </c>
      <c r="G4690" s="22" t="s">
        <v>2268</v>
      </c>
      <c r="H4690" s="22">
        <v>0</v>
      </c>
      <c r="I4690" s="22" t="s">
        <v>2268</v>
      </c>
      <c r="J4690" s="22">
        <v>0</v>
      </c>
      <c r="K4690" s="22" t="s">
        <v>2432</v>
      </c>
      <c r="L4690" s="22">
        <v>0</v>
      </c>
      <c r="M4690" s="22"/>
      <c r="N4690" s="22"/>
      <c r="O4690" s="22"/>
      <c r="P4690" s="22"/>
      <c r="Q4690" s="22"/>
      <c r="R4690" s="22"/>
      <c r="S4690" s="22"/>
      <c r="T4690" s="22"/>
      <c r="U4690" s="22"/>
      <c r="V4690" s="22"/>
      <c r="W4690" s="22"/>
      <c r="X4690" s="22"/>
    </row>
    <row r="4691" spans="1:24" x14ac:dyDescent="0.25">
      <c r="A4691" s="22" t="s">
        <v>2269</v>
      </c>
      <c r="B4691" s="22">
        <v>0</v>
      </c>
      <c r="C4691" s="22" t="s">
        <v>2269</v>
      </c>
      <c r="D4691" s="22">
        <v>0</v>
      </c>
      <c r="E4691" s="22" t="s">
        <v>2269</v>
      </c>
      <c r="F4691" s="22">
        <v>0</v>
      </c>
      <c r="G4691" s="22" t="s">
        <v>2269</v>
      </c>
      <c r="H4691" s="22">
        <v>0</v>
      </c>
      <c r="I4691" s="22" t="s">
        <v>2269</v>
      </c>
      <c r="J4691" s="22">
        <v>0</v>
      </c>
      <c r="K4691" s="22" t="s">
        <v>2433</v>
      </c>
      <c r="L4691" s="22">
        <v>1</v>
      </c>
      <c r="M4691" s="22"/>
      <c r="N4691" s="22"/>
      <c r="O4691" s="22"/>
      <c r="P4691" s="22"/>
      <c r="Q4691" s="22"/>
      <c r="R4691" s="22"/>
      <c r="S4691" s="22"/>
      <c r="T4691" s="22"/>
      <c r="U4691" s="22"/>
      <c r="V4691" s="22"/>
      <c r="W4691" s="22"/>
      <c r="X4691" s="22"/>
    </row>
    <row r="4692" spans="1:24" x14ac:dyDescent="0.25">
      <c r="A4692" s="22" t="s">
        <v>2270</v>
      </c>
      <c r="B4692" s="22">
        <v>0</v>
      </c>
      <c r="C4692" s="22" t="s">
        <v>2270</v>
      </c>
      <c r="D4692" s="22">
        <v>0</v>
      </c>
      <c r="E4692" s="22" t="s">
        <v>2270</v>
      </c>
      <c r="F4692" s="22">
        <v>0</v>
      </c>
      <c r="G4692" s="22" t="s">
        <v>2270</v>
      </c>
      <c r="H4692" s="22">
        <v>0</v>
      </c>
      <c r="I4692" s="22" t="s">
        <v>2270</v>
      </c>
      <c r="J4692" s="22">
        <v>0</v>
      </c>
      <c r="K4692" s="22" t="s">
        <v>2434</v>
      </c>
      <c r="L4692" s="22">
        <v>0</v>
      </c>
      <c r="M4692" s="22"/>
      <c r="N4692" s="22"/>
      <c r="O4692" s="22"/>
      <c r="P4692" s="22"/>
      <c r="Q4692" s="22"/>
      <c r="R4692" s="22"/>
      <c r="S4692" s="22"/>
      <c r="T4692" s="22"/>
      <c r="U4692" s="22"/>
      <c r="V4692" s="22"/>
      <c r="W4692" s="22"/>
      <c r="X4692" s="22"/>
    </row>
    <row r="4693" spans="1:24" x14ac:dyDescent="0.25">
      <c r="A4693" s="22" t="s">
        <v>2271</v>
      </c>
      <c r="B4693" s="22">
        <v>0</v>
      </c>
      <c r="C4693" s="22" t="s">
        <v>2271</v>
      </c>
      <c r="D4693" s="22">
        <v>0</v>
      </c>
      <c r="E4693" s="22" t="s">
        <v>2271</v>
      </c>
      <c r="F4693" s="22">
        <v>0</v>
      </c>
      <c r="G4693" s="22" t="s">
        <v>2271</v>
      </c>
      <c r="H4693" s="22">
        <v>0</v>
      </c>
      <c r="I4693" s="22" t="s">
        <v>2271</v>
      </c>
      <c r="J4693" s="22">
        <v>0</v>
      </c>
      <c r="K4693" s="22" t="s">
        <v>2435</v>
      </c>
      <c r="L4693" s="22">
        <v>0</v>
      </c>
      <c r="M4693" s="22"/>
      <c r="N4693" s="22"/>
      <c r="O4693" s="22"/>
      <c r="P4693" s="22"/>
      <c r="Q4693" s="22"/>
      <c r="R4693" s="22"/>
      <c r="S4693" s="22"/>
      <c r="T4693" s="22"/>
      <c r="U4693" s="22"/>
      <c r="V4693" s="22"/>
      <c r="W4693" s="22"/>
      <c r="X4693" s="22"/>
    </row>
    <row r="4694" spans="1:24" x14ac:dyDescent="0.25">
      <c r="A4694" s="22" t="s">
        <v>2272</v>
      </c>
      <c r="B4694" s="22">
        <v>0</v>
      </c>
      <c r="C4694" s="22" t="s">
        <v>2272</v>
      </c>
      <c r="D4694" s="22">
        <v>0</v>
      </c>
      <c r="E4694" s="22" t="s">
        <v>2272</v>
      </c>
      <c r="F4694" s="22">
        <v>0</v>
      </c>
      <c r="G4694" s="22" t="s">
        <v>2272</v>
      </c>
      <c r="H4694" s="22">
        <v>0</v>
      </c>
      <c r="I4694" s="22" t="s">
        <v>2272</v>
      </c>
      <c r="J4694" s="22">
        <v>0</v>
      </c>
      <c r="K4694" s="22" t="s">
        <v>2436</v>
      </c>
      <c r="L4694" s="22">
        <v>0</v>
      </c>
      <c r="M4694" s="22"/>
      <c r="N4694" s="22"/>
      <c r="O4694" s="22"/>
      <c r="P4694" s="22"/>
      <c r="Q4694" s="22"/>
      <c r="R4694" s="22"/>
      <c r="S4694" s="22"/>
      <c r="T4694" s="22"/>
      <c r="U4694" s="22"/>
      <c r="V4694" s="22"/>
      <c r="W4694" s="22"/>
      <c r="X4694" s="22"/>
    </row>
    <row r="4695" spans="1:24" x14ac:dyDescent="0.25">
      <c r="A4695" s="22" t="s">
        <v>1903</v>
      </c>
      <c r="B4695" s="22">
        <v>0</v>
      </c>
      <c r="C4695" s="22" t="s">
        <v>1903</v>
      </c>
      <c r="D4695" s="22">
        <v>0</v>
      </c>
      <c r="E4695" s="22" t="s">
        <v>1903</v>
      </c>
      <c r="F4695" s="22">
        <v>0</v>
      </c>
      <c r="G4695" s="22" t="s">
        <v>1903</v>
      </c>
      <c r="H4695" s="22">
        <v>0</v>
      </c>
      <c r="I4695" s="22" t="s">
        <v>1903</v>
      </c>
      <c r="J4695" s="22">
        <v>0</v>
      </c>
      <c r="K4695" s="22" t="s">
        <v>1906</v>
      </c>
      <c r="L4695" s="22">
        <v>80</v>
      </c>
      <c r="M4695" s="22"/>
      <c r="N4695" s="22"/>
      <c r="O4695" s="22"/>
      <c r="P4695" s="22"/>
      <c r="Q4695" s="22"/>
      <c r="R4695" s="22"/>
      <c r="S4695" s="22"/>
      <c r="T4695" s="22"/>
      <c r="U4695" s="22"/>
      <c r="V4695" s="22"/>
      <c r="W4695" s="22"/>
      <c r="X4695" s="22"/>
    </row>
    <row r="4696" spans="1:24" x14ac:dyDescent="0.25">
      <c r="A4696" s="22" t="s">
        <v>2273</v>
      </c>
      <c r="B4696" s="22">
        <v>0</v>
      </c>
      <c r="C4696" s="22" t="s">
        <v>2273</v>
      </c>
      <c r="D4696" s="22">
        <v>0</v>
      </c>
      <c r="E4696" s="22" t="s">
        <v>2273</v>
      </c>
      <c r="F4696" s="22">
        <v>0</v>
      </c>
      <c r="G4696" s="22" t="s">
        <v>2273</v>
      </c>
      <c r="H4696" s="22">
        <v>0</v>
      </c>
      <c r="I4696" s="22" t="s">
        <v>2273</v>
      </c>
      <c r="J4696" s="22">
        <v>0</v>
      </c>
      <c r="K4696" s="22" t="s">
        <v>2287</v>
      </c>
      <c r="L4696" s="22">
        <v>0</v>
      </c>
      <c r="M4696" s="22"/>
      <c r="N4696" s="22"/>
      <c r="O4696" s="22"/>
      <c r="P4696" s="22"/>
      <c r="Q4696" s="22"/>
      <c r="R4696" s="22"/>
      <c r="S4696" s="22"/>
      <c r="T4696" s="22"/>
      <c r="U4696" s="22"/>
      <c r="V4696" s="22"/>
      <c r="W4696" s="22"/>
      <c r="X4696" s="22"/>
    </row>
    <row r="4697" spans="1:24" x14ac:dyDescent="0.25">
      <c r="A4697" s="22" t="s">
        <v>2274</v>
      </c>
      <c r="B4697" s="22">
        <v>0</v>
      </c>
      <c r="C4697" s="22" t="s">
        <v>2274</v>
      </c>
      <c r="D4697" s="22">
        <v>0</v>
      </c>
      <c r="E4697" s="22" t="s">
        <v>2274</v>
      </c>
      <c r="F4697" s="22">
        <v>0</v>
      </c>
      <c r="G4697" s="22" t="s">
        <v>2274</v>
      </c>
      <c r="H4697" s="22">
        <v>0</v>
      </c>
      <c r="I4697" s="22" t="s">
        <v>2274</v>
      </c>
      <c r="J4697" s="22">
        <v>0</v>
      </c>
      <c r="K4697" s="22" t="s">
        <v>2288</v>
      </c>
      <c r="L4697" s="22">
        <v>0</v>
      </c>
      <c r="M4697" s="22"/>
      <c r="N4697" s="22"/>
      <c r="O4697" s="22"/>
      <c r="P4697" s="22"/>
      <c r="Q4697" s="22"/>
      <c r="R4697" s="22"/>
      <c r="S4697" s="22"/>
      <c r="T4697" s="22"/>
      <c r="U4697" s="22"/>
      <c r="V4697" s="22"/>
      <c r="W4697" s="22"/>
      <c r="X4697" s="22"/>
    </row>
    <row r="4698" spans="1:24" x14ac:dyDescent="0.25">
      <c r="A4698" s="22" t="s">
        <v>2275</v>
      </c>
      <c r="B4698" s="22">
        <v>0</v>
      </c>
      <c r="C4698" s="22" t="s">
        <v>2275</v>
      </c>
      <c r="D4698" s="22">
        <v>0</v>
      </c>
      <c r="E4698" s="22" t="s">
        <v>2275</v>
      </c>
      <c r="F4698" s="22">
        <v>0</v>
      </c>
      <c r="G4698" s="22" t="s">
        <v>2275</v>
      </c>
      <c r="H4698" s="22">
        <v>0</v>
      </c>
      <c r="I4698" s="22" t="s">
        <v>2275</v>
      </c>
      <c r="J4698" s="22">
        <v>0</v>
      </c>
      <c r="K4698" s="22" t="s">
        <v>2289</v>
      </c>
      <c r="L4698" s="22">
        <v>0</v>
      </c>
      <c r="M4698" s="22"/>
      <c r="N4698" s="22"/>
      <c r="O4698" s="22"/>
      <c r="P4698" s="22"/>
      <c r="Q4698" s="22"/>
      <c r="R4698" s="22"/>
      <c r="S4698" s="22"/>
      <c r="T4698" s="22"/>
      <c r="U4698" s="22"/>
      <c r="V4698" s="22"/>
      <c r="W4698" s="22"/>
      <c r="X4698" s="22"/>
    </row>
    <row r="4699" spans="1:24" x14ac:dyDescent="0.25">
      <c r="A4699" s="22" t="s">
        <v>2276</v>
      </c>
      <c r="B4699" s="22">
        <v>0</v>
      </c>
      <c r="C4699" s="22" t="s">
        <v>2276</v>
      </c>
      <c r="D4699" s="22">
        <v>0</v>
      </c>
      <c r="E4699" s="22" t="s">
        <v>2276</v>
      </c>
      <c r="F4699" s="22">
        <v>0</v>
      </c>
      <c r="G4699" s="22" t="s">
        <v>2276</v>
      </c>
      <c r="H4699" s="22">
        <v>0</v>
      </c>
      <c r="I4699" s="22" t="s">
        <v>2276</v>
      </c>
      <c r="J4699" s="22">
        <v>0</v>
      </c>
      <c r="K4699" s="22" t="s">
        <v>2290</v>
      </c>
      <c r="L4699" s="22">
        <v>0</v>
      </c>
      <c r="M4699" s="22"/>
      <c r="N4699" s="22"/>
      <c r="O4699" s="22"/>
      <c r="P4699" s="22"/>
      <c r="Q4699" s="22"/>
      <c r="R4699" s="22"/>
      <c r="S4699" s="22"/>
      <c r="T4699" s="22"/>
      <c r="U4699" s="22"/>
      <c r="V4699" s="22"/>
      <c r="W4699" s="22"/>
      <c r="X4699" s="22"/>
    </row>
    <row r="4700" spans="1:24" x14ac:dyDescent="0.25">
      <c r="A4700" s="22" t="s">
        <v>2277</v>
      </c>
      <c r="B4700" s="22">
        <v>0</v>
      </c>
      <c r="C4700" s="22" t="s">
        <v>2277</v>
      </c>
      <c r="D4700" s="22">
        <v>0</v>
      </c>
      <c r="E4700" s="22" t="s">
        <v>2277</v>
      </c>
      <c r="F4700" s="22">
        <v>0</v>
      </c>
      <c r="G4700" s="22" t="s">
        <v>2277</v>
      </c>
      <c r="H4700" s="22">
        <v>0</v>
      </c>
      <c r="I4700" s="22" t="s">
        <v>2277</v>
      </c>
      <c r="J4700" s="22">
        <v>0</v>
      </c>
      <c r="K4700" s="22" t="s">
        <v>2291</v>
      </c>
      <c r="L4700" s="22">
        <v>0</v>
      </c>
      <c r="M4700" s="22"/>
      <c r="N4700" s="22"/>
      <c r="O4700" s="22"/>
      <c r="P4700" s="22"/>
      <c r="Q4700" s="22"/>
      <c r="R4700" s="22"/>
      <c r="S4700" s="22"/>
      <c r="T4700" s="22"/>
      <c r="U4700" s="22"/>
      <c r="V4700" s="22"/>
      <c r="W4700" s="22"/>
      <c r="X4700" s="22"/>
    </row>
    <row r="4701" spans="1:24" x14ac:dyDescent="0.25">
      <c r="A4701" s="22" t="s">
        <v>2278</v>
      </c>
      <c r="B4701" s="22">
        <v>0</v>
      </c>
      <c r="C4701" s="22" t="s">
        <v>2278</v>
      </c>
      <c r="D4701" s="22">
        <v>0</v>
      </c>
      <c r="E4701" s="22" t="s">
        <v>2278</v>
      </c>
      <c r="F4701" s="22">
        <v>0</v>
      </c>
      <c r="G4701" s="22" t="s">
        <v>2278</v>
      </c>
      <c r="H4701" s="22">
        <v>0</v>
      </c>
      <c r="I4701" s="22" t="s">
        <v>2278</v>
      </c>
      <c r="J4701" s="22">
        <v>0</v>
      </c>
      <c r="K4701" s="22" t="s">
        <v>2292</v>
      </c>
      <c r="L4701" s="22">
        <v>0</v>
      </c>
      <c r="M4701" s="22"/>
      <c r="N4701" s="22"/>
      <c r="O4701" s="22"/>
      <c r="P4701" s="22"/>
      <c r="Q4701" s="22"/>
      <c r="R4701" s="22"/>
      <c r="S4701" s="22"/>
      <c r="T4701" s="22"/>
      <c r="U4701" s="22"/>
      <c r="V4701" s="22"/>
      <c r="W4701" s="22"/>
      <c r="X4701" s="22"/>
    </row>
    <row r="4702" spans="1:24" x14ac:dyDescent="0.25">
      <c r="A4702" s="22" t="s">
        <v>2279</v>
      </c>
      <c r="B4702" s="22">
        <v>0</v>
      </c>
      <c r="C4702" s="22" t="s">
        <v>2279</v>
      </c>
      <c r="D4702" s="22">
        <v>0</v>
      </c>
      <c r="E4702" s="22" t="s">
        <v>2279</v>
      </c>
      <c r="F4702" s="22">
        <v>0</v>
      </c>
      <c r="G4702" s="22" t="s">
        <v>2279</v>
      </c>
      <c r="H4702" s="22">
        <v>0</v>
      </c>
      <c r="I4702" s="22" t="s">
        <v>2279</v>
      </c>
      <c r="J4702" s="22">
        <v>0</v>
      </c>
      <c r="K4702" s="22" t="s">
        <v>2293</v>
      </c>
      <c r="L4702" s="22">
        <v>0</v>
      </c>
      <c r="M4702" s="22"/>
      <c r="N4702" s="22"/>
      <c r="O4702" s="22"/>
      <c r="P4702" s="22"/>
      <c r="Q4702" s="22"/>
      <c r="R4702" s="22"/>
      <c r="S4702" s="22"/>
      <c r="T4702" s="22"/>
      <c r="U4702" s="22"/>
      <c r="V4702" s="22"/>
      <c r="W4702" s="22"/>
      <c r="X4702" s="22"/>
    </row>
    <row r="4703" spans="1:24" x14ac:dyDescent="0.25">
      <c r="A4703" s="22" t="s">
        <v>1904</v>
      </c>
      <c r="B4703" s="22">
        <v>330</v>
      </c>
      <c r="C4703" s="22" t="s">
        <v>1904</v>
      </c>
      <c r="D4703" s="22">
        <v>200</v>
      </c>
      <c r="E4703" s="22" t="s">
        <v>1904</v>
      </c>
      <c r="F4703" s="22">
        <v>200</v>
      </c>
      <c r="G4703" s="22" t="s">
        <v>1904</v>
      </c>
      <c r="H4703" s="22">
        <v>200</v>
      </c>
      <c r="I4703" s="22" t="s">
        <v>1904</v>
      </c>
      <c r="J4703" s="22">
        <v>200</v>
      </c>
      <c r="K4703" s="22" t="s">
        <v>1907</v>
      </c>
      <c r="L4703" s="22">
        <v>0</v>
      </c>
      <c r="M4703" s="22"/>
      <c r="N4703" s="22"/>
      <c r="O4703" s="22"/>
      <c r="P4703" s="22"/>
      <c r="Q4703" s="22"/>
      <c r="R4703" s="22"/>
      <c r="S4703" s="22"/>
      <c r="T4703" s="22"/>
      <c r="U4703" s="22"/>
      <c r="V4703" s="22"/>
      <c r="W4703" s="22"/>
      <c r="X4703" s="22"/>
    </row>
    <row r="4704" spans="1:24" x14ac:dyDescent="0.25">
      <c r="A4704" s="22" t="s">
        <v>2280</v>
      </c>
      <c r="B4704" s="22">
        <v>1</v>
      </c>
      <c r="C4704" s="22" t="s">
        <v>2280</v>
      </c>
      <c r="D4704" s="22">
        <v>2</v>
      </c>
      <c r="E4704" s="22" t="s">
        <v>2280</v>
      </c>
      <c r="F4704" s="22">
        <v>2</v>
      </c>
      <c r="G4704" s="22" t="s">
        <v>2280</v>
      </c>
      <c r="H4704" s="22">
        <v>2</v>
      </c>
      <c r="I4704" s="22" t="s">
        <v>2280</v>
      </c>
      <c r="J4704" s="22">
        <v>2</v>
      </c>
      <c r="K4704" s="22" t="s">
        <v>2294</v>
      </c>
      <c r="L4704" s="22">
        <v>0</v>
      </c>
      <c r="M4704" s="22"/>
      <c r="N4704" s="22"/>
      <c r="O4704" s="22"/>
      <c r="P4704" s="22"/>
      <c r="Q4704" s="22"/>
      <c r="R4704" s="22"/>
      <c r="S4704" s="22"/>
      <c r="T4704" s="22"/>
      <c r="U4704" s="22"/>
      <c r="V4704" s="22"/>
      <c r="W4704" s="22"/>
      <c r="X4704" s="22"/>
    </row>
    <row r="4705" spans="1:24" x14ac:dyDescent="0.25">
      <c r="A4705" s="22" t="s">
        <v>2281</v>
      </c>
      <c r="B4705" s="22">
        <v>0</v>
      </c>
      <c r="C4705" s="22" t="s">
        <v>2281</v>
      </c>
      <c r="D4705" s="22">
        <v>0</v>
      </c>
      <c r="E4705" s="22" t="s">
        <v>2281</v>
      </c>
      <c r="F4705" s="22">
        <v>0</v>
      </c>
      <c r="G4705" s="22" t="s">
        <v>2281</v>
      </c>
      <c r="H4705" s="22">
        <v>0</v>
      </c>
      <c r="I4705" s="22" t="s">
        <v>2281</v>
      </c>
      <c r="J4705" s="22">
        <v>0</v>
      </c>
      <c r="K4705" s="22" t="s">
        <v>2295</v>
      </c>
      <c r="L4705" s="22">
        <v>0</v>
      </c>
      <c r="M4705" s="22"/>
      <c r="N4705" s="22"/>
      <c r="O4705" s="22"/>
      <c r="P4705" s="22"/>
      <c r="Q4705" s="22"/>
      <c r="R4705" s="22"/>
      <c r="S4705" s="22"/>
      <c r="T4705" s="22"/>
      <c r="U4705" s="22"/>
      <c r="V4705" s="22"/>
      <c r="W4705" s="22"/>
      <c r="X4705" s="22"/>
    </row>
    <row r="4706" spans="1:24" x14ac:dyDescent="0.25">
      <c r="A4706" s="22" t="s">
        <v>2282</v>
      </c>
      <c r="B4706" s="22">
        <v>0</v>
      </c>
      <c r="C4706" s="22" t="s">
        <v>2282</v>
      </c>
      <c r="D4706" s="22">
        <v>0</v>
      </c>
      <c r="E4706" s="22" t="s">
        <v>2282</v>
      </c>
      <c r="F4706" s="22">
        <v>0</v>
      </c>
      <c r="G4706" s="22" t="s">
        <v>2282</v>
      </c>
      <c r="H4706" s="22">
        <v>0</v>
      </c>
      <c r="I4706" s="22" t="s">
        <v>2282</v>
      </c>
      <c r="J4706" s="22">
        <v>0</v>
      </c>
      <c r="K4706" s="22" t="s">
        <v>2296</v>
      </c>
      <c r="L4706" s="22">
        <v>0</v>
      </c>
      <c r="M4706" s="22"/>
      <c r="N4706" s="22"/>
      <c r="O4706" s="22"/>
      <c r="P4706" s="22"/>
      <c r="Q4706" s="22"/>
      <c r="R4706" s="22"/>
      <c r="S4706" s="22"/>
      <c r="T4706" s="22"/>
      <c r="U4706" s="22"/>
      <c r="V4706" s="22"/>
      <c r="W4706" s="22"/>
      <c r="X4706" s="22"/>
    </row>
    <row r="4707" spans="1:24" x14ac:dyDescent="0.25">
      <c r="A4707" s="22" t="s">
        <v>2283</v>
      </c>
      <c r="B4707" s="22">
        <v>0</v>
      </c>
      <c r="C4707" s="22" t="s">
        <v>2283</v>
      </c>
      <c r="D4707" s="22">
        <v>1</v>
      </c>
      <c r="E4707" s="22" t="s">
        <v>2283</v>
      </c>
      <c r="F4707" s="22">
        <v>1</v>
      </c>
      <c r="G4707" s="22" t="s">
        <v>2283</v>
      </c>
      <c r="H4707" s="22">
        <v>1</v>
      </c>
      <c r="I4707" s="22" t="s">
        <v>2283</v>
      </c>
      <c r="J4707" s="22">
        <v>1</v>
      </c>
      <c r="K4707" s="22" t="s">
        <v>2297</v>
      </c>
      <c r="L4707" s="22">
        <v>0</v>
      </c>
      <c r="M4707" s="22"/>
      <c r="N4707" s="22"/>
      <c r="O4707" s="22"/>
      <c r="P4707" s="22"/>
      <c r="Q4707" s="22"/>
      <c r="R4707" s="22"/>
      <c r="S4707" s="22"/>
      <c r="T4707" s="22"/>
      <c r="U4707" s="22"/>
      <c r="V4707" s="22"/>
      <c r="W4707" s="22"/>
      <c r="X4707" s="22"/>
    </row>
    <row r="4708" spans="1:24" x14ac:dyDescent="0.25">
      <c r="A4708" s="22" t="s">
        <v>2284</v>
      </c>
      <c r="B4708" s="22">
        <v>0</v>
      </c>
      <c r="C4708" s="22" t="s">
        <v>2284</v>
      </c>
      <c r="D4708" s="22">
        <v>0</v>
      </c>
      <c r="E4708" s="22" t="s">
        <v>2284</v>
      </c>
      <c r="F4708" s="22">
        <v>0</v>
      </c>
      <c r="G4708" s="22" t="s">
        <v>2284</v>
      </c>
      <c r="H4708" s="22">
        <v>0</v>
      </c>
      <c r="I4708" s="22" t="s">
        <v>2284</v>
      </c>
      <c r="J4708" s="22">
        <v>0</v>
      </c>
      <c r="K4708" s="22" t="s">
        <v>2298</v>
      </c>
      <c r="L4708" s="22">
        <v>0</v>
      </c>
      <c r="M4708" s="22"/>
      <c r="N4708" s="22"/>
      <c r="O4708" s="22"/>
      <c r="P4708" s="22"/>
      <c r="Q4708" s="22"/>
      <c r="R4708" s="22"/>
      <c r="S4708" s="22"/>
      <c r="T4708" s="22"/>
      <c r="U4708" s="22"/>
      <c r="V4708" s="22"/>
      <c r="W4708" s="22"/>
      <c r="X4708" s="22"/>
    </row>
    <row r="4709" spans="1:24" x14ac:dyDescent="0.25">
      <c r="A4709" s="22" t="s">
        <v>2285</v>
      </c>
      <c r="B4709" s="22">
        <v>0</v>
      </c>
      <c r="C4709" s="22" t="s">
        <v>2285</v>
      </c>
      <c r="D4709" s="22">
        <v>0</v>
      </c>
      <c r="E4709" s="22" t="s">
        <v>2285</v>
      </c>
      <c r="F4709" s="22">
        <v>0</v>
      </c>
      <c r="G4709" s="22" t="s">
        <v>2285</v>
      </c>
      <c r="H4709" s="22">
        <v>0</v>
      </c>
      <c r="I4709" s="22" t="s">
        <v>2285</v>
      </c>
      <c r="J4709" s="22">
        <v>0</v>
      </c>
      <c r="K4709" s="22" t="s">
        <v>2299</v>
      </c>
      <c r="L4709" s="22">
        <v>0</v>
      </c>
      <c r="M4709" s="22"/>
      <c r="N4709" s="22"/>
      <c r="O4709" s="22"/>
      <c r="P4709" s="22"/>
      <c r="Q4709" s="22"/>
      <c r="R4709" s="22"/>
      <c r="S4709" s="22"/>
      <c r="T4709" s="22"/>
      <c r="U4709" s="22"/>
      <c r="V4709" s="22"/>
      <c r="W4709" s="22"/>
      <c r="X4709" s="22"/>
    </row>
    <row r="4710" spans="1:24" x14ac:dyDescent="0.25">
      <c r="A4710" s="22" t="s">
        <v>2286</v>
      </c>
      <c r="B4710" s="22">
        <v>0</v>
      </c>
      <c r="C4710" s="22" t="s">
        <v>2286</v>
      </c>
      <c r="D4710" s="22">
        <v>0</v>
      </c>
      <c r="E4710" s="22" t="s">
        <v>2286</v>
      </c>
      <c r="F4710" s="22">
        <v>0</v>
      </c>
      <c r="G4710" s="22" t="s">
        <v>2286</v>
      </c>
      <c r="H4710" s="22">
        <v>0</v>
      </c>
      <c r="I4710" s="22" t="s">
        <v>2286</v>
      </c>
      <c r="J4710" s="22">
        <v>0</v>
      </c>
      <c r="K4710" s="22" t="s">
        <v>2300</v>
      </c>
      <c r="L4710" s="22">
        <v>0</v>
      </c>
      <c r="M4710" s="22"/>
      <c r="N4710" s="22"/>
      <c r="O4710" s="22"/>
      <c r="P4710" s="22"/>
      <c r="Q4710" s="22"/>
      <c r="R4710" s="22"/>
      <c r="S4710" s="22"/>
      <c r="T4710" s="22"/>
      <c r="U4710" s="22"/>
      <c r="V4710" s="22"/>
      <c r="W4710" s="22"/>
      <c r="X4710" s="22"/>
    </row>
    <row r="4711" spans="1:24" x14ac:dyDescent="0.25">
      <c r="A4711" s="22" t="s">
        <v>1905</v>
      </c>
      <c r="B4711" s="22">
        <v>174</v>
      </c>
      <c r="C4711" s="22" t="s">
        <v>1905</v>
      </c>
      <c r="D4711" s="22">
        <v>205</v>
      </c>
      <c r="E4711" s="22" t="s">
        <v>1905</v>
      </c>
      <c r="F4711" s="22">
        <v>205</v>
      </c>
      <c r="G4711" s="22" t="s">
        <v>1905</v>
      </c>
      <c r="H4711" s="22">
        <v>205</v>
      </c>
      <c r="I4711" s="22" t="s">
        <v>1905</v>
      </c>
      <c r="J4711" s="22">
        <v>205</v>
      </c>
      <c r="K4711" s="22" t="s">
        <v>1908</v>
      </c>
      <c r="L4711" s="22">
        <v>295</v>
      </c>
      <c r="M4711" s="22"/>
      <c r="N4711" s="22"/>
      <c r="O4711" s="22"/>
      <c r="P4711" s="22"/>
      <c r="Q4711" s="22"/>
      <c r="R4711" s="22"/>
      <c r="S4711" s="22"/>
      <c r="T4711" s="22"/>
      <c r="U4711" s="22"/>
      <c r="V4711" s="22"/>
      <c r="W4711" s="22"/>
      <c r="X4711" s="22"/>
    </row>
    <row r="4712" spans="1:24" x14ac:dyDescent="0.25">
      <c r="A4712" s="22" t="s">
        <v>2430</v>
      </c>
      <c r="B4712" s="22">
        <v>1</v>
      </c>
      <c r="C4712" s="22" t="s">
        <v>2430</v>
      </c>
      <c r="D4712" s="22">
        <v>0</v>
      </c>
      <c r="E4712" s="22" t="s">
        <v>2430</v>
      </c>
      <c r="F4712" s="22">
        <v>0</v>
      </c>
      <c r="G4712" s="22" t="s">
        <v>2430</v>
      </c>
      <c r="H4712" s="22">
        <v>0</v>
      </c>
      <c r="I4712" s="22" t="s">
        <v>2430</v>
      </c>
      <c r="J4712" s="22">
        <v>0</v>
      </c>
      <c r="K4712" s="22" t="s">
        <v>2301</v>
      </c>
      <c r="L4712" s="22">
        <v>0</v>
      </c>
      <c r="M4712" s="22"/>
      <c r="N4712" s="22"/>
      <c r="O4712" s="22"/>
      <c r="P4712" s="22"/>
      <c r="Q4712" s="22"/>
      <c r="R4712" s="22"/>
      <c r="S4712" s="22"/>
      <c r="T4712" s="22"/>
      <c r="U4712" s="22"/>
      <c r="V4712" s="22"/>
      <c r="W4712" s="22"/>
      <c r="X4712" s="22"/>
    </row>
    <row r="4713" spans="1:24" x14ac:dyDescent="0.25">
      <c r="A4713" s="22" t="s">
        <v>2431</v>
      </c>
      <c r="B4713" s="22">
        <v>0</v>
      </c>
      <c r="C4713" s="22" t="s">
        <v>2431</v>
      </c>
      <c r="D4713" s="22">
        <v>0</v>
      </c>
      <c r="E4713" s="22" t="s">
        <v>2431</v>
      </c>
      <c r="F4713" s="22">
        <v>0</v>
      </c>
      <c r="G4713" s="22" t="s">
        <v>2431</v>
      </c>
      <c r="H4713" s="22">
        <v>0</v>
      </c>
      <c r="I4713" s="22" t="s">
        <v>2431</v>
      </c>
      <c r="J4713" s="22">
        <v>0</v>
      </c>
      <c r="K4713" s="22" t="s">
        <v>2302</v>
      </c>
      <c r="L4713" s="22">
        <v>0</v>
      </c>
      <c r="M4713" s="22"/>
      <c r="N4713" s="22"/>
      <c r="O4713" s="22"/>
      <c r="P4713" s="22"/>
      <c r="Q4713" s="22"/>
      <c r="R4713" s="22"/>
      <c r="S4713" s="22"/>
      <c r="T4713" s="22"/>
      <c r="U4713" s="22"/>
      <c r="V4713" s="22"/>
      <c r="W4713" s="22"/>
      <c r="X4713" s="22"/>
    </row>
    <row r="4714" spans="1:24" x14ac:dyDescent="0.25">
      <c r="A4714" s="22" t="s">
        <v>2432</v>
      </c>
      <c r="B4714" s="22">
        <v>0</v>
      </c>
      <c r="C4714" s="22" t="s">
        <v>2432</v>
      </c>
      <c r="D4714" s="22">
        <v>0</v>
      </c>
      <c r="E4714" s="22" t="s">
        <v>2432</v>
      </c>
      <c r="F4714" s="22">
        <v>0</v>
      </c>
      <c r="G4714" s="22" t="s">
        <v>2432</v>
      </c>
      <c r="H4714" s="22">
        <v>0</v>
      </c>
      <c r="I4714" s="22" t="s">
        <v>2432</v>
      </c>
      <c r="J4714" s="22">
        <v>0</v>
      </c>
      <c r="K4714" s="22" t="s">
        <v>2303</v>
      </c>
      <c r="L4714" s="22">
        <v>0</v>
      </c>
      <c r="M4714" s="22"/>
      <c r="N4714" s="22"/>
      <c r="O4714" s="22"/>
      <c r="P4714" s="22"/>
      <c r="Q4714" s="22"/>
      <c r="R4714" s="22"/>
      <c r="S4714" s="22"/>
      <c r="T4714" s="22"/>
      <c r="U4714" s="22"/>
      <c r="V4714" s="22"/>
      <c r="W4714" s="22"/>
      <c r="X4714" s="22"/>
    </row>
    <row r="4715" spans="1:24" x14ac:dyDescent="0.25">
      <c r="A4715" s="22" t="s">
        <v>2433</v>
      </c>
      <c r="B4715" s="22">
        <v>0</v>
      </c>
      <c r="C4715" s="22" t="s">
        <v>2433</v>
      </c>
      <c r="D4715" s="22">
        <v>1</v>
      </c>
      <c r="E4715" s="22" t="s">
        <v>2433</v>
      </c>
      <c r="F4715" s="22">
        <v>1</v>
      </c>
      <c r="G4715" s="22" t="s">
        <v>2433</v>
      </c>
      <c r="H4715" s="22">
        <v>1</v>
      </c>
      <c r="I4715" s="22" t="s">
        <v>2433</v>
      </c>
      <c r="J4715" s="22">
        <v>1</v>
      </c>
      <c r="K4715" s="22" t="s">
        <v>2304</v>
      </c>
      <c r="L4715" s="22">
        <v>0</v>
      </c>
      <c r="M4715" s="22"/>
      <c r="N4715" s="22"/>
      <c r="O4715" s="22"/>
      <c r="P4715" s="22"/>
      <c r="Q4715" s="22"/>
      <c r="R4715" s="22"/>
      <c r="S4715" s="22"/>
      <c r="T4715" s="22"/>
      <c r="U4715" s="22"/>
      <c r="V4715" s="22"/>
      <c r="W4715" s="22"/>
      <c r="X4715" s="22"/>
    </row>
    <row r="4716" spans="1:24" x14ac:dyDescent="0.25">
      <c r="A4716" s="22" t="s">
        <v>2434</v>
      </c>
      <c r="B4716" s="22">
        <v>0</v>
      </c>
      <c r="C4716" s="22" t="s">
        <v>2434</v>
      </c>
      <c r="D4716" s="22">
        <v>0</v>
      </c>
      <c r="E4716" s="22" t="s">
        <v>2434</v>
      </c>
      <c r="F4716" s="22">
        <v>0</v>
      </c>
      <c r="G4716" s="22" t="s">
        <v>2434</v>
      </c>
      <c r="H4716" s="22">
        <v>0</v>
      </c>
      <c r="I4716" s="22" t="s">
        <v>2434</v>
      </c>
      <c r="J4716" s="22">
        <v>0</v>
      </c>
      <c r="K4716" s="22" t="s">
        <v>2305</v>
      </c>
      <c r="L4716" s="22">
        <v>0</v>
      </c>
      <c r="M4716" s="22"/>
      <c r="N4716" s="22"/>
      <c r="O4716" s="22"/>
      <c r="P4716" s="22"/>
      <c r="Q4716" s="22"/>
      <c r="R4716" s="22"/>
      <c r="S4716" s="22"/>
      <c r="T4716" s="22"/>
      <c r="U4716" s="22"/>
      <c r="V4716" s="22"/>
      <c r="W4716" s="22"/>
      <c r="X4716" s="22"/>
    </row>
    <row r="4717" spans="1:24" x14ac:dyDescent="0.25">
      <c r="A4717" s="22" t="s">
        <v>2435</v>
      </c>
      <c r="B4717" s="22">
        <v>0</v>
      </c>
      <c r="C4717" s="22" t="s">
        <v>2435</v>
      </c>
      <c r="D4717" s="22">
        <v>0</v>
      </c>
      <c r="E4717" s="22" t="s">
        <v>2435</v>
      </c>
      <c r="F4717" s="22">
        <v>0</v>
      </c>
      <c r="G4717" s="22" t="s">
        <v>2435</v>
      </c>
      <c r="H4717" s="22">
        <v>0</v>
      </c>
      <c r="I4717" s="22" t="s">
        <v>2435</v>
      </c>
      <c r="J4717" s="22">
        <v>0</v>
      </c>
      <c r="K4717" s="22" t="s">
        <v>2306</v>
      </c>
      <c r="L4717" s="22">
        <v>0</v>
      </c>
      <c r="M4717" s="22"/>
      <c r="N4717" s="22"/>
      <c r="O4717" s="22"/>
      <c r="P4717" s="22"/>
      <c r="Q4717" s="22"/>
      <c r="R4717" s="22"/>
      <c r="S4717" s="22"/>
      <c r="T4717" s="22"/>
      <c r="U4717" s="22"/>
      <c r="V4717" s="22"/>
      <c r="W4717" s="22"/>
      <c r="X4717" s="22"/>
    </row>
    <row r="4718" spans="1:24" x14ac:dyDescent="0.25">
      <c r="A4718" s="22" t="s">
        <v>2436</v>
      </c>
      <c r="B4718" s="22">
        <v>0</v>
      </c>
      <c r="C4718" s="22" t="s">
        <v>2436</v>
      </c>
      <c r="D4718" s="22">
        <v>0</v>
      </c>
      <c r="E4718" s="22" t="s">
        <v>2436</v>
      </c>
      <c r="F4718" s="22">
        <v>0</v>
      </c>
      <c r="G4718" s="22" t="s">
        <v>2436</v>
      </c>
      <c r="H4718" s="22">
        <v>0</v>
      </c>
      <c r="I4718" s="22" t="s">
        <v>2436</v>
      </c>
      <c r="J4718" s="22">
        <v>0</v>
      </c>
      <c r="K4718" s="22" t="s">
        <v>2307</v>
      </c>
      <c r="L4718" s="22">
        <v>0</v>
      </c>
      <c r="M4718" s="22"/>
      <c r="N4718" s="22"/>
      <c r="O4718" s="22"/>
      <c r="P4718" s="22"/>
      <c r="Q4718" s="22"/>
      <c r="R4718" s="22"/>
      <c r="S4718" s="22"/>
      <c r="T4718" s="22"/>
      <c r="U4718" s="22"/>
      <c r="V4718" s="22"/>
      <c r="W4718" s="22"/>
      <c r="X4718" s="22"/>
    </row>
    <row r="4719" spans="1:24" x14ac:dyDescent="0.25">
      <c r="A4719" s="22" t="s">
        <v>1906</v>
      </c>
      <c r="B4719" s="22">
        <v>62</v>
      </c>
      <c r="C4719" s="22" t="s">
        <v>1906</v>
      </c>
      <c r="D4719" s="22">
        <v>80</v>
      </c>
      <c r="E4719" s="22" t="s">
        <v>1906</v>
      </c>
      <c r="F4719" s="22">
        <v>80</v>
      </c>
      <c r="G4719" s="22" t="s">
        <v>1906</v>
      </c>
      <c r="H4719" s="22">
        <v>80</v>
      </c>
      <c r="I4719" s="22" t="s">
        <v>1906</v>
      </c>
      <c r="J4719" s="22">
        <v>80</v>
      </c>
      <c r="K4719" s="22" t="s">
        <v>1909</v>
      </c>
      <c r="L4719" s="22">
        <v>1165</v>
      </c>
      <c r="M4719" s="22"/>
      <c r="N4719" s="22"/>
      <c r="O4719" s="22"/>
      <c r="P4719" s="22"/>
      <c r="Q4719" s="22"/>
      <c r="R4719" s="22"/>
      <c r="S4719" s="22"/>
      <c r="T4719" s="22"/>
      <c r="U4719" s="22"/>
      <c r="V4719" s="22"/>
      <c r="W4719" s="22"/>
      <c r="X4719" s="22"/>
    </row>
    <row r="4720" spans="1:24" x14ac:dyDescent="0.25">
      <c r="A4720" s="22" t="s">
        <v>2287</v>
      </c>
      <c r="B4720" s="22">
        <v>0</v>
      </c>
      <c r="C4720" s="22" t="s">
        <v>2287</v>
      </c>
      <c r="D4720" s="22">
        <v>0</v>
      </c>
      <c r="E4720" s="22" t="s">
        <v>2287</v>
      </c>
      <c r="F4720" s="22">
        <v>0</v>
      </c>
      <c r="G4720" s="22" t="s">
        <v>2287</v>
      </c>
      <c r="H4720" s="22">
        <v>0</v>
      </c>
      <c r="I4720" s="22" t="s">
        <v>2287</v>
      </c>
      <c r="J4720" s="22">
        <v>0</v>
      </c>
      <c r="K4720" s="22" t="s">
        <v>2308</v>
      </c>
      <c r="L4720" s="22">
        <v>59</v>
      </c>
      <c r="M4720" s="22"/>
      <c r="N4720" s="22"/>
      <c r="O4720" s="22"/>
      <c r="P4720" s="22"/>
      <c r="Q4720" s="22"/>
      <c r="R4720" s="22"/>
      <c r="S4720" s="22"/>
      <c r="T4720" s="22"/>
      <c r="U4720" s="22"/>
      <c r="V4720" s="22"/>
      <c r="W4720" s="22"/>
      <c r="X4720" s="22"/>
    </row>
    <row r="4721" spans="1:24" x14ac:dyDescent="0.25">
      <c r="A4721" s="22" t="s">
        <v>2288</v>
      </c>
      <c r="B4721" s="22">
        <v>0</v>
      </c>
      <c r="C4721" s="22" t="s">
        <v>2288</v>
      </c>
      <c r="D4721" s="22">
        <v>0</v>
      </c>
      <c r="E4721" s="22" t="s">
        <v>2288</v>
      </c>
      <c r="F4721" s="22">
        <v>0</v>
      </c>
      <c r="G4721" s="22" t="s">
        <v>2288</v>
      </c>
      <c r="H4721" s="22">
        <v>0</v>
      </c>
      <c r="I4721" s="22" t="s">
        <v>2288</v>
      </c>
      <c r="J4721" s="22">
        <v>0</v>
      </c>
      <c r="K4721" s="22" t="s">
        <v>2309</v>
      </c>
      <c r="L4721" s="22">
        <v>0</v>
      </c>
      <c r="M4721" s="22"/>
      <c r="N4721" s="22"/>
      <c r="O4721" s="22"/>
      <c r="P4721" s="22"/>
      <c r="Q4721" s="22"/>
      <c r="R4721" s="22"/>
      <c r="S4721" s="22"/>
      <c r="T4721" s="22"/>
      <c r="U4721" s="22"/>
      <c r="V4721" s="22"/>
      <c r="W4721" s="22"/>
      <c r="X4721" s="22"/>
    </row>
    <row r="4722" spans="1:24" x14ac:dyDescent="0.25">
      <c r="A4722" s="22" t="s">
        <v>2289</v>
      </c>
      <c r="B4722" s="22">
        <v>0</v>
      </c>
      <c r="C4722" s="22" t="s">
        <v>2289</v>
      </c>
      <c r="D4722" s="22">
        <v>0</v>
      </c>
      <c r="E4722" s="22" t="s">
        <v>2289</v>
      </c>
      <c r="F4722" s="22">
        <v>0</v>
      </c>
      <c r="G4722" s="22" t="s">
        <v>2289</v>
      </c>
      <c r="H4722" s="22">
        <v>0</v>
      </c>
      <c r="I4722" s="22" t="s">
        <v>2289</v>
      </c>
      <c r="J4722" s="22">
        <v>0</v>
      </c>
      <c r="K4722" s="22" t="s">
        <v>2310</v>
      </c>
      <c r="L4722" s="22">
        <v>7</v>
      </c>
      <c r="M4722" s="22"/>
      <c r="N4722" s="22"/>
      <c r="O4722" s="22"/>
      <c r="P4722" s="22"/>
      <c r="Q4722" s="22"/>
      <c r="R4722" s="22"/>
      <c r="S4722" s="22"/>
      <c r="T4722" s="22"/>
      <c r="U4722" s="22"/>
      <c r="V4722" s="22"/>
      <c r="W4722" s="22"/>
      <c r="X4722" s="22"/>
    </row>
    <row r="4723" spans="1:24" x14ac:dyDescent="0.25">
      <c r="A4723" s="22" t="s">
        <v>2290</v>
      </c>
      <c r="B4723" s="22">
        <v>0</v>
      </c>
      <c r="C4723" s="22" t="s">
        <v>2290</v>
      </c>
      <c r="D4723" s="22">
        <v>0</v>
      </c>
      <c r="E4723" s="22" t="s">
        <v>2290</v>
      </c>
      <c r="F4723" s="22">
        <v>0</v>
      </c>
      <c r="G4723" s="22" t="s">
        <v>2290</v>
      </c>
      <c r="H4723" s="22">
        <v>0</v>
      </c>
      <c r="I4723" s="22" t="s">
        <v>2290</v>
      </c>
      <c r="J4723" s="22">
        <v>0</v>
      </c>
      <c r="K4723" s="22" t="s">
        <v>2311</v>
      </c>
      <c r="L4723" s="22">
        <v>0</v>
      </c>
      <c r="M4723" s="22"/>
      <c r="N4723" s="22"/>
      <c r="O4723" s="22"/>
      <c r="P4723" s="22"/>
      <c r="Q4723" s="22"/>
      <c r="R4723" s="22"/>
      <c r="S4723" s="22"/>
      <c r="T4723" s="22"/>
      <c r="U4723" s="22"/>
      <c r="V4723" s="22"/>
      <c r="W4723" s="22"/>
      <c r="X4723" s="22"/>
    </row>
    <row r="4724" spans="1:24" x14ac:dyDescent="0.25">
      <c r="A4724" s="22" t="s">
        <v>2291</v>
      </c>
      <c r="B4724" s="22">
        <v>0</v>
      </c>
      <c r="C4724" s="22" t="s">
        <v>2291</v>
      </c>
      <c r="D4724" s="22">
        <v>0</v>
      </c>
      <c r="E4724" s="22" t="s">
        <v>2291</v>
      </c>
      <c r="F4724" s="22">
        <v>0</v>
      </c>
      <c r="G4724" s="22" t="s">
        <v>2291</v>
      </c>
      <c r="H4724" s="22">
        <v>0</v>
      </c>
      <c r="I4724" s="22" t="s">
        <v>2291</v>
      </c>
      <c r="J4724" s="22">
        <v>0</v>
      </c>
      <c r="K4724" s="22" t="s">
        <v>2312</v>
      </c>
      <c r="L4724" s="22">
        <v>0</v>
      </c>
      <c r="M4724" s="22"/>
      <c r="N4724" s="22"/>
      <c r="O4724" s="22"/>
      <c r="P4724" s="22"/>
      <c r="Q4724" s="22"/>
      <c r="R4724" s="22"/>
      <c r="S4724" s="22"/>
      <c r="T4724" s="22"/>
      <c r="U4724" s="22"/>
      <c r="V4724" s="22"/>
      <c r="W4724" s="22"/>
      <c r="X4724" s="22"/>
    </row>
    <row r="4725" spans="1:24" x14ac:dyDescent="0.25">
      <c r="A4725" s="22" t="s">
        <v>2292</v>
      </c>
      <c r="B4725" s="22">
        <v>0</v>
      </c>
      <c r="C4725" s="22" t="s">
        <v>2292</v>
      </c>
      <c r="D4725" s="22">
        <v>0</v>
      </c>
      <c r="E4725" s="22" t="s">
        <v>2292</v>
      </c>
      <c r="F4725" s="22">
        <v>0</v>
      </c>
      <c r="G4725" s="22" t="s">
        <v>2292</v>
      </c>
      <c r="H4725" s="22">
        <v>0</v>
      </c>
      <c r="I4725" s="22" t="s">
        <v>2292</v>
      </c>
      <c r="J4725" s="22">
        <v>0</v>
      </c>
      <c r="K4725" s="22" t="s">
        <v>2313</v>
      </c>
      <c r="L4725" s="22">
        <v>0</v>
      </c>
      <c r="M4725" s="22"/>
      <c r="N4725" s="22"/>
      <c r="O4725" s="22"/>
      <c r="P4725" s="22"/>
      <c r="Q4725" s="22"/>
      <c r="R4725" s="22"/>
      <c r="S4725" s="22"/>
      <c r="T4725" s="22"/>
      <c r="U4725" s="22"/>
      <c r="V4725" s="22"/>
      <c r="W4725" s="22"/>
      <c r="X4725" s="22"/>
    </row>
    <row r="4726" spans="1:24" x14ac:dyDescent="0.25">
      <c r="A4726" s="22" t="s">
        <v>2293</v>
      </c>
      <c r="B4726" s="22">
        <v>0</v>
      </c>
      <c r="C4726" s="22" t="s">
        <v>2293</v>
      </c>
      <c r="D4726" s="22">
        <v>0</v>
      </c>
      <c r="E4726" s="22" t="s">
        <v>2293</v>
      </c>
      <c r="F4726" s="22">
        <v>0</v>
      </c>
      <c r="G4726" s="22" t="s">
        <v>2293</v>
      </c>
      <c r="H4726" s="22">
        <v>0</v>
      </c>
      <c r="I4726" s="22" t="s">
        <v>2293</v>
      </c>
      <c r="J4726" s="22">
        <v>0</v>
      </c>
      <c r="K4726" s="22" t="s">
        <v>2314</v>
      </c>
      <c r="L4726" s="22">
        <v>0</v>
      </c>
      <c r="M4726" s="22"/>
      <c r="N4726" s="22"/>
      <c r="O4726" s="22"/>
      <c r="P4726" s="22"/>
      <c r="Q4726" s="22"/>
      <c r="R4726" s="22"/>
      <c r="S4726" s="22"/>
      <c r="T4726" s="22"/>
      <c r="U4726" s="22"/>
      <c r="V4726" s="22"/>
      <c r="W4726" s="22"/>
      <c r="X4726" s="22"/>
    </row>
    <row r="4727" spans="1:24" x14ac:dyDescent="0.25">
      <c r="A4727" s="22" t="s">
        <v>1907</v>
      </c>
      <c r="B4727" s="22">
        <v>64</v>
      </c>
      <c r="C4727" s="22" t="s">
        <v>1907</v>
      </c>
      <c r="D4727" s="22">
        <v>0</v>
      </c>
      <c r="E4727" s="22" t="s">
        <v>1907</v>
      </c>
      <c r="F4727" s="22">
        <v>0</v>
      </c>
      <c r="G4727" s="22" t="s">
        <v>1907</v>
      </c>
      <c r="H4727" s="22">
        <v>0</v>
      </c>
      <c r="I4727" s="22" t="s">
        <v>1907</v>
      </c>
      <c r="J4727" s="22">
        <v>0</v>
      </c>
      <c r="K4727" s="22" t="s">
        <v>1910</v>
      </c>
      <c r="L4727" s="22">
        <v>316</v>
      </c>
      <c r="M4727" s="22"/>
      <c r="N4727" s="22"/>
      <c r="O4727" s="22"/>
      <c r="P4727" s="22"/>
      <c r="Q4727" s="22"/>
      <c r="R4727" s="22"/>
      <c r="S4727" s="22"/>
      <c r="T4727" s="22"/>
      <c r="U4727" s="22"/>
      <c r="V4727" s="22"/>
      <c r="W4727" s="22"/>
      <c r="X4727" s="22"/>
    </row>
    <row r="4728" spans="1:24" x14ac:dyDescent="0.25">
      <c r="A4728" s="22" t="s">
        <v>2294</v>
      </c>
      <c r="B4728" s="22">
        <v>0</v>
      </c>
      <c r="C4728" s="22" t="s">
        <v>2294</v>
      </c>
      <c r="D4728" s="22">
        <v>0</v>
      </c>
      <c r="E4728" s="22" t="s">
        <v>2294</v>
      </c>
      <c r="F4728" s="22">
        <v>0</v>
      </c>
      <c r="G4728" s="22" t="s">
        <v>2294</v>
      </c>
      <c r="H4728" s="22">
        <v>0</v>
      </c>
      <c r="I4728" s="22" t="s">
        <v>2294</v>
      </c>
      <c r="J4728" s="22">
        <v>0</v>
      </c>
      <c r="K4728" s="22" t="s">
        <v>2315</v>
      </c>
      <c r="L4728" s="22">
        <v>0</v>
      </c>
      <c r="M4728" s="22"/>
      <c r="N4728" s="22"/>
      <c r="O4728" s="22"/>
      <c r="P4728" s="22"/>
      <c r="Q4728" s="22"/>
      <c r="R4728" s="22"/>
      <c r="S4728" s="22"/>
      <c r="T4728" s="22"/>
      <c r="U4728" s="22"/>
      <c r="V4728" s="22"/>
      <c r="W4728" s="22"/>
      <c r="X4728" s="22"/>
    </row>
    <row r="4729" spans="1:24" x14ac:dyDescent="0.25">
      <c r="A4729" s="22" t="s">
        <v>2295</v>
      </c>
      <c r="B4729" s="22">
        <v>0</v>
      </c>
      <c r="C4729" s="22" t="s">
        <v>2295</v>
      </c>
      <c r="D4729" s="22">
        <v>0</v>
      </c>
      <c r="E4729" s="22" t="s">
        <v>2295</v>
      </c>
      <c r="F4729" s="22">
        <v>0</v>
      </c>
      <c r="G4729" s="22" t="s">
        <v>2295</v>
      </c>
      <c r="H4729" s="22">
        <v>0</v>
      </c>
      <c r="I4729" s="22" t="s">
        <v>2295</v>
      </c>
      <c r="J4729" s="22">
        <v>0</v>
      </c>
      <c r="K4729" s="22" t="s">
        <v>2316</v>
      </c>
      <c r="L4729" s="22">
        <v>0</v>
      </c>
      <c r="M4729" s="22"/>
      <c r="N4729" s="22"/>
      <c r="O4729" s="22"/>
      <c r="P4729" s="22"/>
      <c r="Q4729" s="22"/>
      <c r="R4729" s="22"/>
      <c r="S4729" s="22"/>
      <c r="T4729" s="22"/>
      <c r="U4729" s="22"/>
      <c r="V4729" s="22"/>
      <c r="W4729" s="22"/>
      <c r="X4729" s="22"/>
    </row>
    <row r="4730" spans="1:24" x14ac:dyDescent="0.25">
      <c r="A4730" s="22" t="s">
        <v>2296</v>
      </c>
      <c r="B4730" s="22">
        <v>0</v>
      </c>
      <c r="C4730" s="22" t="s">
        <v>2296</v>
      </c>
      <c r="D4730" s="22">
        <v>0</v>
      </c>
      <c r="E4730" s="22" t="s">
        <v>2296</v>
      </c>
      <c r="F4730" s="22">
        <v>0</v>
      </c>
      <c r="G4730" s="22" t="s">
        <v>2296</v>
      </c>
      <c r="H4730" s="22">
        <v>0</v>
      </c>
      <c r="I4730" s="22" t="s">
        <v>2296</v>
      </c>
      <c r="J4730" s="22">
        <v>0</v>
      </c>
      <c r="K4730" s="22" t="s">
        <v>2317</v>
      </c>
      <c r="L4730" s="22">
        <v>0</v>
      </c>
      <c r="M4730" s="22"/>
      <c r="N4730" s="22"/>
      <c r="O4730" s="22"/>
      <c r="P4730" s="22"/>
      <c r="Q4730" s="22"/>
      <c r="R4730" s="22"/>
      <c r="S4730" s="22"/>
      <c r="T4730" s="22"/>
      <c r="U4730" s="22"/>
      <c r="V4730" s="22"/>
      <c r="W4730" s="22"/>
      <c r="X4730" s="22"/>
    </row>
    <row r="4731" spans="1:24" x14ac:dyDescent="0.25">
      <c r="A4731" s="22" t="s">
        <v>2297</v>
      </c>
      <c r="B4731" s="22">
        <v>0</v>
      </c>
      <c r="C4731" s="22" t="s">
        <v>2297</v>
      </c>
      <c r="D4731" s="22">
        <v>0</v>
      </c>
      <c r="E4731" s="22" t="s">
        <v>2297</v>
      </c>
      <c r="F4731" s="22">
        <v>0</v>
      </c>
      <c r="G4731" s="22" t="s">
        <v>2297</v>
      </c>
      <c r="H4731" s="22">
        <v>0</v>
      </c>
      <c r="I4731" s="22" t="s">
        <v>2297</v>
      </c>
      <c r="J4731" s="22">
        <v>0</v>
      </c>
      <c r="K4731" s="22" t="s">
        <v>2318</v>
      </c>
      <c r="L4731" s="22">
        <v>0</v>
      </c>
      <c r="M4731" s="22"/>
      <c r="N4731" s="22"/>
      <c r="O4731" s="22"/>
      <c r="P4731" s="22"/>
      <c r="Q4731" s="22"/>
      <c r="R4731" s="22"/>
      <c r="S4731" s="22"/>
      <c r="T4731" s="22"/>
      <c r="U4731" s="22"/>
      <c r="V4731" s="22"/>
      <c r="W4731" s="22"/>
      <c r="X4731" s="22"/>
    </row>
    <row r="4732" spans="1:24" x14ac:dyDescent="0.25">
      <c r="A4732" s="22" t="s">
        <v>2298</v>
      </c>
      <c r="B4732" s="22">
        <v>0</v>
      </c>
      <c r="C4732" s="22" t="s">
        <v>2298</v>
      </c>
      <c r="D4732" s="22">
        <v>0</v>
      </c>
      <c r="E4732" s="22" t="s">
        <v>2298</v>
      </c>
      <c r="F4732" s="22">
        <v>0</v>
      </c>
      <c r="G4732" s="22" t="s">
        <v>2298</v>
      </c>
      <c r="H4732" s="22">
        <v>0</v>
      </c>
      <c r="I4732" s="22" t="s">
        <v>2298</v>
      </c>
      <c r="J4732" s="22">
        <v>0</v>
      </c>
      <c r="K4732" s="22" t="s">
        <v>2319</v>
      </c>
      <c r="L4732" s="22">
        <v>0</v>
      </c>
      <c r="M4732" s="22"/>
      <c r="N4732" s="22"/>
      <c r="O4732" s="22"/>
      <c r="P4732" s="22"/>
      <c r="Q4732" s="22"/>
      <c r="R4732" s="22"/>
      <c r="S4732" s="22"/>
      <c r="T4732" s="22"/>
      <c r="U4732" s="22"/>
      <c r="V4732" s="22"/>
      <c r="W4732" s="22"/>
      <c r="X4732" s="22"/>
    </row>
    <row r="4733" spans="1:24" x14ac:dyDescent="0.25">
      <c r="A4733" s="22" t="s">
        <v>2299</v>
      </c>
      <c r="B4733" s="22">
        <v>0</v>
      </c>
      <c r="C4733" s="22" t="s">
        <v>2299</v>
      </c>
      <c r="D4733" s="22">
        <v>0</v>
      </c>
      <c r="E4733" s="22" t="s">
        <v>2299</v>
      </c>
      <c r="F4733" s="22">
        <v>0</v>
      </c>
      <c r="G4733" s="22" t="s">
        <v>2299</v>
      </c>
      <c r="H4733" s="22">
        <v>0</v>
      </c>
      <c r="I4733" s="22" t="s">
        <v>2299</v>
      </c>
      <c r="J4733" s="22">
        <v>0</v>
      </c>
      <c r="K4733" s="22" t="s">
        <v>2320</v>
      </c>
      <c r="L4733" s="22">
        <v>0</v>
      </c>
      <c r="M4733" s="22"/>
      <c r="N4733" s="22"/>
      <c r="O4733" s="22"/>
      <c r="P4733" s="22"/>
      <c r="Q4733" s="22"/>
      <c r="R4733" s="22"/>
      <c r="S4733" s="22"/>
      <c r="T4733" s="22"/>
      <c r="U4733" s="22"/>
      <c r="V4733" s="22"/>
      <c r="W4733" s="22"/>
      <c r="X4733" s="22"/>
    </row>
    <row r="4734" spans="1:24" x14ac:dyDescent="0.25">
      <c r="A4734" s="22" t="s">
        <v>2300</v>
      </c>
      <c r="B4734" s="22">
        <v>0</v>
      </c>
      <c r="C4734" s="22" t="s">
        <v>2300</v>
      </c>
      <c r="D4734" s="22">
        <v>0</v>
      </c>
      <c r="E4734" s="22" t="s">
        <v>2300</v>
      </c>
      <c r="F4734" s="22">
        <v>0</v>
      </c>
      <c r="G4734" s="22" t="s">
        <v>2300</v>
      </c>
      <c r="H4734" s="22">
        <v>0</v>
      </c>
      <c r="I4734" s="22" t="s">
        <v>2300</v>
      </c>
      <c r="J4734" s="22">
        <v>0</v>
      </c>
      <c r="K4734" s="22" t="s">
        <v>2321</v>
      </c>
      <c r="L4734" s="22">
        <v>0</v>
      </c>
      <c r="M4734" s="22"/>
      <c r="N4734" s="22"/>
      <c r="O4734" s="22"/>
      <c r="P4734" s="22"/>
      <c r="Q4734" s="22"/>
      <c r="R4734" s="22"/>
      <c r="S4734" s="22"/>
      <c r="T4734" s="22"/>
      <c r="U4734" s="22"/>
      <c r="V4734" s="22"/>
      <c r="W4734" s="22"/>
      <c r="X4734" s="22"/>
    </row>
    <row r="4735" spans="1:24" x14ac:dyDescent="0.25">
      <c r="A4735" s="22" t="s">
        <v>1908</v>
      </c>
      <c r="B4735" s="22">
        <v>45</v>
      </c>
      <c r="C4735" s="22" t="s">
        <v>1908</v>
      </c>
      <c r="D4735" s="22">
        <v>295</v>
      </c>
      <c r="E4735" s="22" t="s">
        <v>1908</v>
      </c>
      <c r="F4735" s="22">
        <v>295</v>
      </c>
      <c r="G4735" s="22" t="s">
        <v>1908</v>
      </c>
      <c r="H4735" s="22">
        <v>295</v>
      </c>
      <c r="I4735" s="22" t="s">
        <v>1908</v>
      </c>
      <c r="J4735" s="22">
        <v>295</v>
      </c>
      <c r="K4735" s="22" t="s">
        <v>1911</v>
      </c>
      <c r="L4735" s="22">
        <v>717</v>
      </c>
      <c r="M4735" s="22"/>
      <c r="N4735" s="22"/>
      <c r="O4735" s="22"/>
      <c r="P4735" s="22"/>
      <c r="Q4735" s="22"/>
      <c r="R4735" s="22"/>
      <c r="S4735" s="22"/>
      <c r="T4735" s="22"/>
      <c r="U4735" s="22"/>
      <c r="V4735" s="22"/>
      <c r="W4735" s="22"/>
      <c r="X4735" s="22"/>
    </row>
    <row r="4736" spans="1:24" x14ac:dyDescent="0.25">
      <c r="A4736" s="22" t="s">
        <v>2301</v>
      </c>
      <c r="B4736" s="22">
        <v>0</v>
      </c>
      <c r="C4736" s="22" t="s">
        <v>2301</v>
      </c>
      <c r="D4736" s="22">
        <v>0</v>
      </c>
      <c r="E4736" s="22" t="s">
        <v>2301</v>
      </c>
      <c r="F4736" s="22">
        <v>0</v>
      </c>
      <c r="G4736" s="22" t="s">
        <v>2301</v>
      </c>
      <c r="H4736" s="22">
        <v>0</v>
      </c>
      <c r="I4736" s="22" t="s">
        <v>2301</v>
      </c>
      <c r="J4736" s="22">
        <v>0</v>
      </c>
      <c r="K4736" s="22" t="s">
        <v>2322</v>
      </c>
      <c r="L4736" s="22">
        <v>3</v>
      </c>
      <c r="M4736" s="22"/>
      <c r="N4736" s="22"/>
      <c r="O4736" s="22"/>
      <c r="P4736" s="22"/>
      <c r="Q4736" s="22"/>
      <c r="R4736" s="22"/>
      <c r="S4736" s="22"/>
      <c r="T4736" s="22"/>
      <c r="U4736" s="22"/>
      <c r="V4736" s="22"/>
      <c r="W4736" s="22"/>
      <c r="X4736" s="22"/>
    </row>
    <row r="4737" spans="1:24" x14ac:dyDescent="0.25">
      <c r="A4737" s="22" t="s">
        <v>2302</v>
      </c>
      <c r="B4737" s="22">
        <v>0</v>
      </c>
      <c r="C4737" s="22" t="s">
        <v>2302</v>
      </c>
      <c r="D4737" s="22">
        <v>0</v>
      </c>
      <c r="E4737" s="22" t="s">
        <v>2302</v>
      </c>
      <c r="F4737" s="22">
        <v>0</v>
      </c>
      <c r="G4737" s="22" t="s">
        <v>2302</v>
      </c>
      <c r="H4737" s="22">
        <v>0</v>
      </c>
      <c r="I4737" s="22" t="s">
        <v>2302</v>
      </c>
      <c r="J4737" s="22">
        <v>0</v>
      </c>
      <c r="K4737" s="22" t="s">
        <v>2323</v>
      </c>
      <c r="L4737" s="22">
        <v>0</v>
      </c>
      <c r="M4737" s="22"/>
      <c r="N4737" s="22"/>
      <c r="O4737" s="22"/>
      <c r="P4737" s="22"/>
      <c r="Q4737" s="22"/>
      <c r="R4737" s="22"/>
      <c r="S4737" s="22"/>
      <c r="T4737" s="22"/>
      <c r="U4737" s="22"/>
      <c r="V4737" s="22"/>
      <c r="W4737" s="22"/>
      <c r="X4737" s="22"/>
    </row>
    <row r="4738" spans="1:24" x14ac:dyDescent="0.25">
      <c r="A4738" s="22" t="s">
        <v>2303</v>
      </c>
      <c r="B4738" s="22">
        <v>0</v>
      </c>
      <c r="C4738" s="22" t="s">
        <v>2303</v>
      </c>
      <c r="D4738" s="22">
        <v>0</v>
      </c>
      <c r="E4738" s="22" t="s">
        <v>2303</v>
      </c>
      <c r="F4738" s="22">
        <v>0</v>
      </c>
      <c r="G4738" s="22" t="s">
        <v>2303</v>
      </c>
      <c r="H4738" s="22">
        <v>0</v>
      </c>
      <c r="I4738" s="22" t="s">
        <v>2303</v>
      </c>
      <c r="J4738" s="22">
        <v>0</v>
      </c>
      <c r="K4738" s="22" t="s">
        <v>2324</v>
      </c>
      <c r="L4738" s="22">
        <v>1</v>
      </c>
      <c r="M4738" s="22"/>
      <c r="N4738" s="22"/>
      <c r="O4738" s="22"/>
      <c r="P4738" s="22"/>
      <c r="Q4738" s="22"/>
      <c r="R4738" s="22"/>
      <c r="S4738" s="22"/>
      <c r="T4738" s="22"/>
      <c r="U4738" s="22"/>
      <c r="V4738" s="22"/>
      <c r="W4738" s="22"/>
      <c r="X4738" s="22"/>
    </row>
    <row r="4739" spans="1:24" x14ac:dyDescent="0.25">
      <c r="A4739" s="22" t="s">
        <v>2304</v>
      </c>
      <c r="B4739" s="22">
        <v>0</v>
      </c>
      <c r="C4739" s="22" t="s">
        <v>2304</v>
      </c>
      <c r="D4739" s="22">
        <v>0</v>
      </c>
      <c r="E4739" s="22" t="s">
        <v>2304</v>
      </c>
      <c r="F4739" s="22">
        <v>0</v>
      </c>
      <c r="G4739" s="22" t="s">
        <v>2304</v>
      </c>
      <c r="H4739" s="22">
        <v>0</v>
      </c>
      <c r="I4739" s="22" t="s">
        <v>2304</v>
      </c>
      <c r="J4739" s="22">
        <v>0</v>
      </c>
      <c r="K4739" s="22" t="s">
        <v>2325</v>
      </c>
      <c r="L4739" s="22">
        <v>0</v>
      </c>
      <c r="M4739" s="22"/>
      <c r="N4739" s="22"/>
      <c r="O4739" s="22"/>
      <c r="P4739" s="22"/>
      <c r="Q4739" s="22"/>
      <c r="R4739" s="22"/>
      <c r="S4739" s="22"/>
      <c r="T4739" s="22"/>
      <c r="U4739" s="22"/>
      <c r="V4739" s="22"/>
      <c r="W4739" s="22"/>
      <c r="X4739" s="22"/>
    </row>
    <row r="4740" spans="1:24" x14ac:dyDescent="0.25">
      <c r="A4740" s="22" t="s">
        <v>2305</v>
      </c>
      <c r="B4740" s="22">
        <v>0</v>
      </c>
      <c r="C4740" s="22" t="s">
        <v>2305</v>
      </c>
      <c r="D4740" s="22">
        <v>0</v>
      </c>
      <c r="E4740" s="22" t="s">
        <v>2305</v>
      </c>
      <c r="F4740" s="22">
        <v>0</v>
      </c>
      <c r="G4740" s="22" t="s">
        <v>2305</v>
      </c>
      <c r="H4740" s="22">
        <v>0</v>
      </c>
      <c r="I4740" s="22" t="s">
        <v>2305</v>
      </c>
      <c r="J4740" s="22">
        <v>0</v>
      </c>
      <c r="K4740" s="22" t="s">
        <v>2326</v>
      </c>
      <c r="L4740" s="22">
        <v>0</v>
      </c>
      <c r="M4740" s="22"/>
      <c r="N4740" s="22"/>
      <c r="O4740" s="22"/>
      <c r="P4740" s="22"/>
      <c r="Q4740" s="22"/>
      <c r="R4740" s="22"/>
      <c r="S4740" s="22"/>
      <c r="T4740" s="22"/>
      <c r="U4740" s="22"/>
      <c r="V4740" s="22"/>
      <c r="W4740" s="22"/>
      <c r="X4740" s="22"/>
    </row>
    <row r="4741" spans="1:24" x14ac:dyDescent="0.25">
      <c r="A4741" s="22" t="s">
        <v>2306</v>
      </c>
      <c r="B4741" s="22">
        <v>0</v>
      </c>
      <c r="C4741" s="22" t="s">
        <v>2306</v>
      </c>
      <c r="D4741" s="22">
        <v>0</v>
      </c>
      <c r="E4741" s="22" t="s">
        <v>2306</v>
      </c>
      <c r="F4741" s="22">
        <v>0</v>
      </c>
      <c r="G4741" s="22" t="s">
        <v>2306</v>
      </c>
      <c r="H4741" s="22">
        <v>0</v>
      </c>
      <c r="I4741" s="22" t="s">
        <v>2306</v>
      </c>
      <c r="J4741" s="22">
        <v>0</v>
      </c>
      <c r="K4741" s="22" t="s">
        <v>2327</v>
      </c>
      <c r="L4741" s="22">
        <v>0</v>
      </c>
      <c r="M4741" s="22"/>
      <c r="N4741" s="22"/>
      <c r="O4741" s="22"/>
      <c r="P4741" s="22"/>
      <c r="Q4741" s="22"/>
      <c r="R4741" s="22"/>
      <c r="S4741" s="22"/>
      <c r="T4741" s="22"/>
      <c r="U4741" s="22"/>
      <c r="V4741" s="22"/>
      <c r="W4741" s="22"/>
      <c r="X4741" s="22"/>
    </row>
    <row r="4742" spans="1:24" x14ac:dyDescent="0.25">
      <c r="A4742" s="22" t="s">
        <v>2307</v>
      </c>
      <c r="B4742" s="22">
        <v>0</v>
      </c>
      <c r="C4742" s="22" t="s">
        <v>2307</v>
      </c>
      <c r="D4742" s="22">
        <v>0</v>
      </c>
      <c r="E4742" s="22" t="s">
        <v>2307</v>
      </c>
      <c r="F4742" s="22">
        <v>0</v>
      </c>
      <c r="G4742" s="22" t="s">
        <v>2307</v>
      </c>
      <c r="H4742" s="22">
        <v>0</v>
      </c>
      <c r="I4742" s="22" t="s">
        <v>2307</v>
      </c>
      <c r="J4742" s="22">
        <v>0</v>
      </c>
      <c r="K4742" s="22" t="s">
        <v>2328</v>
      </c>
      <c r="L4742" s="22">
        <v>0</v>
      </c>
      <c r="M4742" s="22"/>
      <c r="N4742" s="22"/>
      <c r="O4742" s="22"/>
      <c r="P4742" s="22"/>
      <c r="Q4742" s="22"/>
      <c r="R4742" s="22"/>
      <c r="S4742" s="22"/>
      <c r="T4742" s="22"/>
      <c r="U4742" s="22"/>
      <c r="V4742" s="22"/>
      <c r="W4742" s="22"/>
      <c r="X4742" s="22"/>
    </row>
    <row r="4743" spans="1:24" x14ac:dyDescent="0.25">
      <c r="A4743" s="22" t="s">
        <v>1909</v>
      </c>
      <c r="B4743" s="22">
        <v>2371</v>
      </c>
      <c r="C4743" s="22" t="s">
        <v>1909</v>
      </c>
      <c r="D4743" s="22">
        <v>1165</v>
      </c>
      <c r="E4743" s="22" t="s">
        <v>1909</v>
      </c>
      <c r="F4743" s="22">
        <v>1165</v>
      </c>
      <c r="G4743" s="22" t="s">
        <v>1909</v>
      </c>
      <c r="H4743" s="22">
        <v>1165</v>
      </c>
      <c r="I4743" s="22" t="s">
        <v>1909</v>
      </c>
      <c r="J4743" s="22">
        <v>1165</v>
      </c>
      <c r="K4743" s="22" t="s">
        <v>1913</v>
      </c>
      <c r="L4743" s="22">
        <v>175</v>
      </c>
      <c r="M4743" s="22"/>
      <c r="N4743" s="22"/>
      <c r="O4743" s="22"/>
      <c r="P4743" s="22"/>
      <c r="Q4743" s="22"/>
      <c r="R4743" s="22"/>
      <c r="S4743" s="22"/>
      <c r="T4743" s="22"/>
      <c r="U4743" s="22"/>
      <c r="V4743" s="22"/>
      <c r="W4743" s="22"/>
      <c r="X4743" s="22"/>
    </row>
    <row r="4744" spans="1:24" x14ac:dyDescent="0.25">
      <c r="A4744" s="22" t="s">
        <v>2308</v>
      </c>
      <c r="B4744" s="22">
        <v>241</v>
      </c>
      <c r="C4744" s="22" t="s">
        <v>2308</v>
      </c>
      <c r="D4744" s="22">
        <v>59</v>
      </c>
      <c r="E4744" s="22" t="s">
        <v>2308</v>
      </c>
      <c r="F4744" s="22">
        <v>59</v>
      </c>
      <c r="G4744" s="22" t="s">
        <v>2308</v>
      </c>
      <c r="H4744" s="22">
        <v>59</v>
      </c>
      <c r="I4744" s="22" t="s">
        <v>2308</v>
      </c>
      <c r="J4744" s="22">
        <v>59</v>
      </c>
      <c r="K4744" s="22" t="s">
        <v>2329</v>
      </c>
      <c r="L4744" s="22">
        <v>2</v>
      </c>
      <c r="M4744" s="22"/>
      <c r="N4744" s="22"/>
      <c r="O4744" s="22"/>
      <c r="P4744" s="22"/>
      <c r="Q4744" s="22"/>
      <c r="R4744" s="22"/>
      <c r="S4744" s="22"/>
      <c r="T4744" s="22"/>
      <c r="U4744" s="22"/>
      <c r="V4744" s="22"/>
      <c r="W4744" s="22"/>
      <c r="X4744" s="22"/>
    </row>
    <row r="4745" spans="1:24" x14ac:dyDescent="0.25">
      <c r="A4745" s="22" t="s">
        <v>2309</v>
      </c>
      <c r="B4745" s="22">
        <v>0</v>
      </c>
      <c r="C4745" s="22" t="s">
        <v>2309</v>
      </c>
      <c r="D4745" s="22">
        <v>0</v>
      </c>
      <c r="E4745" s="22" t="s">
        <v>2309</v>
      </c>
      <c r="F4745" s="22">
        <v>0</v>
      </c>
      <c r="G4745" s="22" t="s">
        <v>2309</v>
      </c>
      <c r="H4745" s="22">
        <v>0</v>
      </c>
      <c r="I4745" s="22" t="s">
        <v>2309</v>
      </c>
      <c r="J4745" s="22">
        <v>0</v>
      </c>
      <c r="K4745" s="22" t="s">
        <v>2330</v>
      </c>
      <c r="L4745" s="22">
        <v>0</v>
      </c>
      <c r="M4745" s="22"/>
      <c r="N4745" s="22"/>
      <c r="O4745" s="22"/>
      <c r="P4745" s="22"/>
      <c r="Q4745" s="22"/>
      <c r="R4745" s="22"/>
      <c r="S4745" s="22"/>
      <c r="T4745" s="22"/>
      <c r="U4745" s="22"/>
      <c r="V4745" s="22"/>
      <c r="W4745" s="22"/>
      <c r="X4745" s="22"/>
    </row>
    <row r="4746" spans="1:24" x14ac:dyDescent="0.25">
      <c r="A4746" s="22" t="s">
        <v>2310</v>
      </c>
      <c r="B4746" s="22">
        <v>72</v>
      </c>
      <c r="C4746" s="22" t="s">
        <v>2310</v>
      </c>
      <c r="D4746" s="22">
        <v>7</v>
      </c>
      <c r="E4746" s="22" t="s">
        <v>2310</v>
      </c>
      <c r="F4746" s="22">
        <v>7</v>
      </c>
      <c r="G4746" s="22" t="s">
        <v>2310</v>
      </c>
      <c r="H4746" s="22">
        <v>7</v>
      </c>
      <c r="I4746" s="22" t="s">
        <v>2310</v>
      </c>
      <c r="J4746" s="22">
        <v>7</v>
      </c>
      <c r="K4746" s="22" t="s">
        <v>2331</v>
      </c>
      <c r="L4746" s="22">
        <v>0</v>
      </c>
      <c r="M4746" s="22"/>
      <c r="N4746" s="22"/>
      <c r="O4746" s="22"/>
      <c r="P4746" s="22"/>
      <c r="Q4746" s="22"/>
      <c r="R4746" s="22"/>
      <c r="S4746" s="22"/>
      <c r="T4746" s="22"/>
      <c r="U4746" s="22"/>
      <c r="V4746" s="22"/>
      <c r="W4746" s="22"/>
      <c r="X4746" s="22"/>
    </row>
    <row r="4747" spans="1:24" x14ac:dyDescent="0.25">
      <c r="A4747" s="22" t="s">
        <v>2311</v>
      </c>
      <c r="B4747" s="22">
        <v>9</v>
      </c>
      <c r="C4747" s="22" t="s">
        <v>2311</v>
      </c>
      <c r="D4747" s="22">
        <v>0</v>
      </c>
      <c r="E4747" s="22" t="s">
        <v>2311</v>
      </c>
      <c r="F4747" s="22">
        <v>0</v>
      </c>
      <c r="G4747" s="22" t="s">
        <v>2311</v>
      </c>
      <c r="H4747" s="22">
        <v>0</v>
      </c>
      <c r="I4747" s="22" t="s">
        <v>2311</v>
      </c>
      <c r="J4747" s="22">
        <v>0</v>
      </c>
      <c r="K4747" s="22" t="s">
        <v>2332</v>
      </c>
      <c r="L4747" s="22">
        <v>2</v>
      </c>
      <c r="M4747" s="22"/>
      <c r="N4747" s="22"/>
      <c r="O4747" s="22"/>
      <c r="P4747" s="22"/>
      <c r="Q4747" s="22"/>
      <c r="R4747" s="22"/>
      <c r="S4747" s="22"/>
      <c r="T4747" s="22"/>
      <c r="U4747" s="22"/>
      <c r="V4747" s="22"/>
      <c r="W4747" s="22"/>
      <c r="X4747" s="22"/>
    </row>
    <row r="4748" spans="1:24" x14ac:dyDescent="0.25">
      <c r="A4748" s="22" t="s">
        <v>2312</v>
      </c>
      <c r="B4748" s="22">
        <v>0</v>
      </c>
      <c r="C4748" s="22" t="s">
        <v>2312</v>
      </c>
      <c r="D4748" s="22">
        <v>0</v>
      </c>
      <c r="E4748" s="22" t="s">
        <v>2312</v>
      </c>
      <c r="F4748" s="22">
        <v>0</v>
      </c>
      <c r="G4748" s="22" t="s">
        <v>2312</v>
      </c>
      <c r="H4748" s="22">
        <v>0</v>
      </c>
      <c r="I4748" s="22" t="s">
        <v>2312</v>
      </c>
      <c r="J4748" s="22">
        <v>0</v>
      </c>
      <c r="K4748" s="22" t="s">
        <v>2333</v>
      </c>
      <c r="L4748" s="22">
        <v>0</v>
      </c>
      <c r="M4748" s="22"/>
      <c r="N4748" s="22"/>
      <c r="O4748" s="22"/>
      <c r="P4748" s="22"/>
      <c r="Q4748" s="22"/>
      <c r="R4748" s="22"/>
      <c r="S4748" s="22"/>
      <c r="T4748" s="22"/>
      <c r="U4748" s="22"/>
      <c r="V4748" s="22"/>
      <c r="W4748" s="22"/>
      <c r="X4748" s="22"/>
    </row>
    <row r="4749" spans="1:24" x14ac:dyDescent="0.25">
      <c r="A4749" s="22" t="s">
        <v>2313</v>
      </c>
      <c r="B4749" s="22">
        <v>0</v>
      </c>
      <c r="C4749" s="22" t="s">
        <v>2313</v>
      </c>
      <c r="D4749" s="22">
        <v>0</v>
      </c>
      <c r="E4749" s="22" t="s">
        <v>2313</v>
      </c>
      <c r="F4749" s="22">
        <v>0</v>
      </c>
      <c r="G4749" s="22" t="s">
        <v>2313</v>
      </c>
      <c r="H4749" s="22">
        <v>0</v>
      </c>
      <c r="I4749" s="22" t="s">
        <v>2313</v>
      </c>
      <c r="J4749" s="22">
        <v>0</v>
      </c>
      <c r="K4749" s="22" t="s">
        <v>2334</v>
      </c>
      <c r="L4749" s="22">
        <v>0</v>
      </c>
      <c r="M4749" s="22"/>
      <c r="N4749" s="22"/>
      <c r="O4749" s="22"/>
      <c r="P4749" s="22"/>
      <c r="Q4749" s="22"/>
      <c r="R4749" s="22"/>
      <c r="S4749" s="22"/>
      <c r="T4749" s="22"/>
      <c r="U4749" s="22"/>
      <c r="V4749" s="22"/>
      <c r="W4749" s="22"/>
      <c r="X4749" s="22"/>
    </row>
    <row r="4750" spans="1:24" x14ac:dyDescent="0.25">
      <c r="A4750" s="22" t="s">
        <v>2314</v>
      </c>
      <c r="B4750" s="22">
        <v>0</v>
      </c>
      <c r="C4750" s="22" t="s">
        <v>2314</v>
      </c>
      <c r="D4750" s="22">
        <v>0</v>
      </c>
      <c r="E4750" s="22" t="s">
        <v>2314</v>
      </c>
      <c r="F4750" s="22">
        <v>0</v>
      </c>
      <c r="G4750" s="22" t="s">
        <v>2314</v>
      </c>
      <c r="H4750" s="22">
        <v>0</v>
      </c>
      <c r="I4750" s="22" t="s">
        <v>2314</v>
      </c>
      <c r="J4750" s="22">
        <v>0</v>
      </c>
      <c r="K4750" s="22" t="s">
        <v>2335</v>
      </c>
      <c r="L4750" s="22">
        <v>0</v>
      </c>
      <c r="M4750" s="22"/>
      <c r="N4750" s="22"/>
      <c r="O4750" s="22"/>
      <c r="P4750" s="22"/>
      <c r="Q4750" s="22"/>
      <c r="R4750" s="22"/>
      <c r="S4750" s="22"/>
      <c r="T4750" s="22"/>
      <c r="U4750" s="22"/>
      <c r="V4750" s="22"/>
      <c r="W4750" s="22"/>
      <c r="X4750" s="22"/>
    </row>
    <row r="4751" spans="1:24" x14ac:dyDescent="0.25">
      <c r="A4751" s="22" t="s">
        <v>1910</v>
      </c>
      <c r="B4751" s="22">
        <v>542</v>
      </c>
      <c r="C4751" s="22" t="s">
        <v>1910</v>
      </c>
      <c r="D4751" s="22">
        <v>316</v>
      </c>
      <c r="E4751" s="22" t="s">
        <v>1910</v>
      </c>
      <c r="F4751" s="22">
        <v>316</v>
      </c>
      <c r="G4751" s="22" t="s">
        <v>1910</v>
      </c>
      <c r="H4751" s="22">
        <v>316</v>
      </c>
      <c r="I4751" s="22" t="s">
        <v>1910</v>
      </c>
      <c r="J4751" s="22">
        <v>316</v>
      </c>
      <c r="K4751" s="22" t="s">
        <v>1914</v>
      </c>
      <c r="L4751" s="22">
        <v>747</v>
      </c>
      <c r="M4751" s="22"/>
      <c r="N4751" s="22"/>
      <c r="O4751" s="22"/>
      <c r="P4751" s="22"/>
      <c r="Q4751" s="22"/>
      <c r="R4751" s="22"/>
      <c r="S4751" s="22"/>
      <c r="T4751" s="22"/>
      <c r="U4751" s="22"/>
      <c r="V4751" s="22"/>
      <c r="W4751" s="22"/>
      <c r="X4751" s="22"/>
    </row>
    <row r="4752" spans="1:24" x14ac:dyDescent="0.25">
      <c r="A4752" s="22" t="s">
        <v>2315</v>
      </c>
      <c r="B4752" s="22">
        <v>0</v>
      </c>
      <c r="C4752" s="22" t="s">
        <v>2315</v>
      </c>
      <c r="D4752" s="22">
        <v>0</v>
      </c>
      <c r="E4752" s="22" t="s">
        <v>2315</v>
      </c>
      <c r="F4752" s="22">
        <v>0</v>
      </c>
      <c r="G4752" s="22" t="s">
        <v>2315</v>
      </c>
      <c r="H4752" s="22">
        <v>0</v>
      </c>
      <c r="I4752" s="22" t="s">
        <v>2315</v>
      </c>
      <c r="J4752" s="22">
        <v>0</v>
      </c>
      <c r="K4752" s="22" t="s">
        <v>2336</v>
      </c>
      <c r="L4752" s="22">
        <v>37</v>
      </c>
      <c r="M4752" s="22"/>
      <c r="N4752" s="22"/>
      <c r="O4752" s="22"/>
      <c r="P4752" s="22"/>
      <c r="Q4752" s="22"/>
      <c r="R4752" s="22"/>
      <c r="S4752" s="22"/>
      <c r="T4752" s="22"/>
      <c r="U4752" s="22"/>
      <c r="V4752" s="22"/>
      <c r="W4752" s="22"/>
      <c r="X4752" s="22"/>
    </row>
    <row r="4753" spans="1:24" x14ac:dyDescent="0.25">
      <c r="A4753" s="22" t="s">
        <v>2316</v>
      </c>
      <c r="B4753" s="22">
        <v>0</v>
      </c>
      <c r="C4753" s="22" t="s">
        <v>2316</v>
      </c>
      <c r="D4753" s="22">
        <v>0</v>
      </c>
      <c r="E4753" s="22" t="s">
        <v>2316</v>
      </c>
      <c r="F4753" s="22">
        <v>0</v>
      </c>
      <c r="G4753" s="22" t="s">
        <v>2316</v>
      </c>
      <c r="H4753" s="22">
        <v>0</v>
      </c>
      <c r="I4753" s="22" t="s">
        <v>2316</v>
      </c>
      <c r="J4753" s="22">
        <v>0</v>
      </c>
      <c r="K4753" s="22" t="s">
        <v>2337</v>
      </c>
      <c r="L4753" s="22">
        <v>0</v>
      </c>
      <c r="M4753" s="22"/>
      <c r="N4753" s="22"/>
      <c r="O4753" s="22"/>
      <c r="P4753" s="22"/>
      <c r="Q4753" s="22"/>
      <c r="R4753" s="22"/>
      <c r="S4753" s="22"/>
      <c r="T4753" s="22"/>
      <c r="U4753" s="22"/>
      <c r="V4753" s="22"/>
      <c r="W4753" s="22"/>
      <c r="X4753" s="22"/>
    </row>
    <row r="4754" spans="1:24" x14ac:dyDescent="0.25">
      <c r="A4754" s="22" t="s">
        <v>2317</v>
      </c>
      <c r="B4754" s="22">
        <v>0</v>
      </c>
      <c r="C4754" s="22" t="s">
        <v>2317</v>
      </c>
      <c r="D4754" s="22">
        <v>0</v>
      </c>
      <c r="E4754" s="22" t="s">
        <v>2317</v>
      </c>
      <c r="F4754" s="22">
        <v>0</v>
      </c>
      <c r="G4754" s="22" t="s">
        <v>2317</v>
      </c>
      <c r="H4754" s="22">
        <v>0</v>
      </c>
      <c r="I4754" s="22" t="s">
        <v>2317</v>
      </c>
      <c r="J4754" s="22">
        <v>0</v>
      </c>
      <c r="K4754" s="22" t="s">
        <v>2338</v>
      </c>
      <c r="L4754" s="22">
        <v>2</v>
      </c>
      <c r="M4754" s="22"/>
      <c r="N4754" s="22"/>
      <c r="O4754" s="22"/>
      <c r="P4754" s="22"/>
      <c r="Q4754" s="22"/>
      <c r="R4754" s="22"/>
      <c r="S4754" s="22"/>
      <c r="T4754" s="22"/>
      <c r="U4754" s="22"/>
      <c r="V4754" s="22"/>
      <c r="W4754" s="22"/>
      <c r="X4754" s="22"/>
    </row>
    <row r="4755" spans="1:24" x14ac:dyDescent="0.25">
      <c r="A4755" s="22" t="s">
        <v>2318</v>
      </c>
      <c r="B4755" s="22">
        <v>2</v>
      </c>
      <c r="C4755" s="22" t="s">
        <v>2318</v>
      </c>
      <c r="D4755" s="22">
        <v>0</v>
      </c>
      <c r="E4755" s="22" t="s">
        <v>2318</v>
      </c>
      <c r="F4755" s="22">
        <v>0</v>
      </c>
      <c r="G4755" s="22" t="s">
        <v>2318</v>
      </c>
      <c r="H4755" s="22">
        <v>0</v>
      </c>
      <c r="I4755" s="22" t="s">
        <v>2318</v>
      </c>
      <c r="J4755" s="22">
        <v>0</v>
      </c>
      <c r="K4755" s="22" t="s">
        <v>2339</v>
      </c>
      <c r="L4755" s="22">
        <v>0</v>
      </c>
      <c r="M4755" s="22"/>
      <c r="N4755" s="22"/>
      <c r="O4755" s="22"/>
      <c r="P4755" s="22"/>
      <c r="Q4755" s="22"/>
      <c r="R4755" s="22"/>
      <c r="S4755" s="22"/>
      <c r="T4755" s="22"/>
      <c r="U4755" s="22"/>
      <c r="V4755" s="22"/>
      <c r="W4755" s="22"/>
      <c r="X4755" s="22"/>
    </row>
    <row r="4756" spans="1:24" x14ac:dyDescent="0.25">
      <c r="A4756" s="22" t="s">
        <v>2319</v>
      </c>
      <c r="B4756" s="22">
        <v>0</v>
      </c>
      <c r="C4756" s="22" t="s">
        <v>2319</v>
      </c>
      <c r="D4756" s="22">
        <v>0</v>
      </c>
      <c r="E4756" s="22" t="s">
        <v>2319</v>
      </c>
      <c r="F4756" s="22">
        <v>0</v>
      </c>
      <c r="G4756" s="22" t="s">
        <v>2319</v>
      </c>
      <c r="H4756" s="22">
        <v>0</v>
      </c>
      <c r="I4756" s="22" t="s">
        <v>2319</v>
      </c>
      <c r="J4756" s="22">
        <v>0</v>
      </c>
      <c r="K4756" s="22" t="s">
        <v>2340</v>
      </c>
      <c r="L4756" s="22">
        <v>0</v>
      </c>
      <c r="M4756" s="22"/>
      <c r="N4756" s="22"/>
      <c r="O4756" s="22"/>
      <c r="P4756" s="22"/>
      <c r="Q4756" s="22"/>
      <c r="R4756" s="22"/>
      <c r="S4756" s="22"/>
      <c r="T4756" s="22"/>
      <c r="U4756" s="22"/>
      <c r="V4756" s="22"/>
      <c r="W4756" s="22"/>
      <c r="X4756" s="22"/>
    </row>
    <row r="4757" spans="1:24" x14ac:dyDescent="0.25">
      <c r="A4757" s="22" t="s">
        <v>2320</v>
      </c>
      <c r="B4757" s="22">
        <v>0</v>
      </c>
      <c r="C4757" s="22" t="s">
        <v>2320</v>
      </c>
      <c r="D4757" s="22">
        <v>0</v>
      </c>
      <c r="E4757" s="22" t="s">
        <v>2320</v>
      </c>
      <c r="F4757" s="22">
        <v>0</v>
      </c>
      <c r="G4757" s="22" t="s">
        <v>2320</v>
      </c>
      <c r="H4757" s="22">
        <v>0</v>
      </c>
      <c r="I4757" s="22" t="s">
        <v>2320</v>
      </c>
      <c r="J4757" s="22">
        <v>0</v>
      </c>
      <c r="K4757" s="22" t="s">
        <v>2341</v>
      </c>
      <c r="L4757" s="22">
        <v>0</v>
      </c>
      <c r="M4757" s="22"/>
      <c r="N4757" s="22"/>
      <c r="O4757" s="22"/>
      <c r="P4757" s="22"/>
      <c r="Q4757" s="22"/>
      <c r="R4757" s="22"/>
      <c r="S4757" s="22"/>
      <c r="T4757" s="22"/>
      <c r="U4757" s="22"/>
      <c r="V4757" s="22"/>
      <c r="W4757" s="22"/>
      <c r="X4757" s="22"/>
    </row>
    <row r="4758" spans="1:24" x14ac:dyDescent="0.25">
      <c r="A4758" s="22" t="s">
        <v>2321</v>
      </c>
      <c r="B4758" s="22">
        <v>0</v>
      </c>
      <c r="C4758" s="22" t="s">
        <v>2321</v>
      </c>
      <c r="D4758" s="22">
        <v>0</v>
      </c>
      <c r="E4758" s="22" t="s">
        <v>2321</v>
      </c>
      <c r="F4758" s="22">
        <v>0</v>
      </c>
      <c r="G4758" s="22" t="s">
        <v>2321</v>
      </c>
      <c r="H4758" s="22">
        <v>0</v>
      </c>
      <c r="I4758" s="22" t="s">
        <v>2321</v>
      </c>
      <c r="J4758" s="22">
        <v>0</v>
      </c>
      <c r="K4758" s="22" t="s">
        <v>2342</v>
      </c>
      <c r="L4758" s="22">
        <v>0</v>
      </c>
      <c r="M4758" s="22"/>
      <c r="N4758" s="22"/>
      <c r="O4758" s="22"/>
      <c r="P4758" s="22"/>
      <c r="Q4758" s="22"/>
      <c r="R4758" s="22"/>
      <c r="S4758" s="22"/>
      <c r="T4758" s="22"/>
      <c r="U4758" s="22"/>
      <c r="V4758" s="22"/>
      <c r="W4758" s="22"/>
      <c r="X4758" s="22"/>
    </row>
    <row r="4759" spans="1:24" x14ac:dyDescent="0.25">
      <c r="A4759" s="22" t="s">
        <v>1911</v>
      </c>
      <c r="B4759" s="22">
        <v>300</v>
      </c>
      <c r="C4759" s="22" t="s">
        <v>1911</v>
      </c>
      <c r="D4759" s="22">
        <v>717</v>
      </c>
      <c r="E4759" s="22" t="s">
        <v>1911</v>
      </c>
      <c r="F4759" s="22">
        <v>717</v>
      </c>
      <c r="G4759" s="22" t="s">
        <v>1911</v>
      </c>
      <c r="H4759" s="22">
        <v>717</v>
      </c>
      <c r="I4759" s="22" t="s">
        <v>1911</v>
      </c>
      <c r="J4759" s="22">
        <v>717</v>
      </c>
      <c r="K4759" s="22" t="s">
        <v>1915</v>
      </c>
      <c r="L4759" s="22">
        <v>0</v>
      </c>
      <c r="M4759" s="22"/>
      <c r="N4759" s="22"/>
      <c r="O4759" s="22"/>
      <c r="P4759" s="22"/>
      <c r="Q4759" s="22"/>
      <c r="R4759" s="22"/>
      <c r="S4759" s="22"/>
      <c r="T4759" s="22"/>
      <c r="U4759" s="22"/>
      <c r="V4759" s="22"/>
      <c r="W4759" s="22"/>
      <c r="X4759" s="22"/>
    </row>
    <row r="4760" spans="1:24" x14ac:dyDescent="0.25">
      <c r="A4760" s="22" t="s">
        <v>2322</v>
      </c>
      <c r="B4760" s="22">
        <v>5</v>
      </c>
      <c r="C4760" s="22" t="s">
        <v>2322</v>
      </c>
      <c r="D4760" s="22">
        <v>3</v>
      </c>
      <c r="E4760" s="22" t="s">
        <v>2322</v>
      </c>
      <c r="F4760" s="22">
        <v>3</v>
      </c>
      <c r="G4760" s="22" t="s">
        <v>2322</v>
      </c>
      <c r="H4760" s="22">
        <v>3</v>
      </c>
      <c r="I4760" s="22" t="s">
        <v>2322</v>
      </c>
      <c r="J4760" s="22">
        <v>3</v>
      </c>
      <c r="K4760" s="22" t="s">
        <v>2343</v>
      </c>
      <c r="L4760" s="22">
        <v>0</v>
      </c>
      <c r="M4760" s="22"/>
      <c r="N4760" s="22"/>
      <c r="O4760" s="22"/>
      <c r="P4760" s="22"/>
      <c r="Q4760" s="22"/>
      <c r="R4760" s="22"/>
      <c r="S4760" s="22"/>
      <c r="T4760" s="22"/>
      <c r="U4760" s="22"/>
      <c r="V4760" s="22"/>
      <c r="W4760" s="22"/>
      <c r="X4760" s="22"/>
    </row>
    <row r="4761" spans="1:24" x14ac:dyDescent="0.25">
      <c r="A4761" s="22" t="s">
        <v>2323</v>
      </c>
      <c r="B4761" s="22">
        <v>0</v>
      </c>
      <c r="C4761" s="22" t="s">
        <v>2323</v>
      </c>
      <c r="D4761" s="22">
        <v>0</v>
      </c>
      <c r="E4761" s="22" t="s">
        <v>2323</v>
      </c>
      <c r="F4761" s="22">
        <v>0</v>
      </c>
      <c r="G4761" s="22" t="s">
        <v>2323</v>
      </c>
      <c r="H4761" s="22">
        <v>0</v>
      </c>
      <c r="I4761" s="22" t="s">
        <v>2323</v>
      </c>
      <c r="J4761" s="22">
        <v>0</v>
      </c>
      <c r="K4761" s="22" t="s">
        <v>2344</v>
      </c>
      <c r="L4761" s="22">
        <v>0</v>
      </c>
      <c r="M4761" s="22"/>
      <c r="N4761" s="22"/>
      <c r="O4761" s="22"/>
      <c r="P4761" s="22"/>
      <c r="Q4761" s="22"/>
      <c r="R4761" s="22"/>
      <c r="S4761" s="22"/>
      <c r="T4761" s="22"/>
      <c r="U4761" s="22"/>
      <c r="V4761" s="22"/>
      <c r="W4761" s="22"/>
      <c r="X4761" s="22"/>
    </row>
    <row r="4762" spans="1:24" x14ac:dyDescent="0.25">
      <c r="A4762" s="22" t="s">
        <v>2324</v>
      </c>
      <c r="B4762" s="22">
        <v>1</v>
      </c>
      <c r="C4762" s="22" t="s">
        <v>2324</v>
      </c>
      <c r="D4762" s="22">
        <v>1</v>
      </c>
      <c r="E4762" s="22" t="s">
        <v>2324</v>
      </c>
      <c r="F4762" s="22">
        <v>1</v>
      </c>
      <c r="G4762" s="22" t="s">
        <v>2324</v>
      </c>
      <c r="H4762" s="22">
        <v>1</v>
      </c>
      <c r="I4762" s="22" t="s">
        <v>2324</v>
      </c>
      <c r="J4762" s="22">
        <v>1</v>
      </c>
      <c r="K4762" s="22" t="s">
        <v>2345</v>
      </c>
      <c r="L4762" s="22">
        <v>0</v>
      </c>
      <c r="M4762" s="22"/>
      <c r="N4762" s="22"/>
      <c r="O4762" s="22"/>
      <c r="P4762" s="22"/>
      <c r="Q4762" s="22"/>
      <c r="R4762" s="22"/>
      <c r="S4762" s="22"/>
      <c r="T4762" s="22"/>
      <c r="U4762" s="22"/>
      <c r="V4762" s="22"/>
      <c r="W4762" s="22"/>
      <c r="X4762" s="22"/>
    </row>
    <row r="4763" spans="1:24" x14ac:dyDescent="0.25">
      <c r="A4763" s="22" t="s">
        <v>2325</v>
      </c>
      <c r="B4763" s="22">
        <v>0</v>
      </c>
      <c r="C4763" s="22" t="s">
        <v>2325</v>
      </c>
      <c r="D4763" s="22">
        <v>0</v>
      </c>
      <c r="E4763" s="22" t="s">
        <v>2325</v>
      </c>
      <c r="F4763" s="22">
        <v>0</v>
      </c>
      <c r="G4763" s="22" t="s">
        <v>2325</v>
      </c>
      <c r="H4763" s="22">
        <v>0</v>
      </c>
      <c r="I4763" s="22" t="s">
        <v>2325</v>
      </c>
      <c r="J4763" s="22">
        <v>0</v>
      </c>
      <c r="K4763" s="22" t="s">
        <v>2346</v>
      </c>
      <c r="L4763" s="22">
        <v>0</v>
      </c>
      <c r="M4763" s="22"/>
      <c r="N4763" s="22"/>
      <c r="O4763" s="22"/>
      <c r="P4763" s="22"/>
      <c r="Q4763" s="22"/>
      <c r="R4763" s="22"/>
      <c r="S4763" s="22"/>
      <c r="T4763" s="22"/>
      <c r="U4763" s="22"/>
      <c r="V4763" s="22"/>
      <c r="W4763" s="22"/>
      <c r="X4763" s="22"/>
    </row>
    <row r="4764" spans="1:24" x14ac:dyDescent="0.25">
      <c r="A4764" s="22" t="s">
        <v>2326</v>
      </c>
      <c r="B4764" s="22">
        <v>0</v>
      </c>
      <c r="C4764" s="22" t="s">
        <v>2326</v>
      </c>
      <c r="D4764" s="22">
        <v>0</v>
      </c>
      <c r="E4764" s="22" t="s">
        <v>2326</v>
      </c>
      <c r="F4764" s="22">
        <v>0</v>
      </c>
      <c r="G4764" s="22" t="s">
        <v>2326</v>
      </c>
      <c r="H4764" s="22">
        <v>0</v>
      </c>
      <c r="I4764" s="22" t="s">
        <v>2326</v>
      </c>
      <c r="J4764" s="22">
        <v>0</v>
      </c>
      <c r="K4764" s="22" t="s">
        <v>2347</v>
      </c>
      <c r="L4764" s="22">
        <v>0</v>
      </c>
      <c r="M4764" s="22"/>
      <c r="N4764" s="22"/>
      <c r="O4764" s="22"/>
      <c r="P4764" s="22"/>
      <c r="Q4764" s="22"/>
      <c r="R4764" s="22"/>
      <c r="S4764" s="22"/>
      <c r="T4764" s="22"/>
      <c r="U4764" s="22"/>
      <c r="V4764" s="22"/>
      <c r="W4764" s="22"/>
      <c r="X4764" s="22"/>
    </row>
    <row r="4765" spans="1:24" x14ac:dyDescent="0.25">
      <c r="A4765" s="22" t="s">
        <v>2327</v>
      </c>
      <c r="B4765" s="22">
        <v>0</v>
      </c>
      <c r="C4765" s="22" t="s">
        <v>2327</v>
      </c>
      <c r="D4765" s="22">
        <v>0</v>
      </c>
      <c r="E4765" s="22" t="s">
        <v>2327</v>
      </c>
      <c r="F4765" s="22">
        <v>0</v>
      </c>
      <c r="G4765" s="22" t="s">
        <v>2327</v>
      </c>
      <c r="H4765" s="22">
        <v>0</v>
      </c>
      <c r="I4765" s="22" t="s">
        <v>2327</v>
      </c>
      <c r="J4765" s="22">
        <v>0</v>
      </c>
      <c r="K4765" s="22" t="s">
        <v>2348</v>
      </c>
      <c r="L4765" s="22">
        <v>0</v>
      </c>
      <c r="M4765" s="22"/>
      <c r="N4765" s="22"/>
      <c r="O4765" s="22"/>
      <c r="P4765" s="22"/>
      <c r="Q4765" s="22"/>
      <c r="R4765" s="22"/>
      <c r="S4765" s="22"/>
      <c r="T4765" s="22"/>
      <c r="U4765" s="22"/>
      <c r="V4765" s="22"/>
      <c r="W4765" s="22"/>
      <c r="X4765" s="22"/>
    </row>
    <row r="4766" spans="1:24" x14ac:dyDescent="0.25">
      <c r="A4766" s="22" t="s">
        <v>2328</v>
      </c>
      <c r="B4766" s="22">
        <v>0</v>
      </c>
      <c r="C4766" s="22" t="s">
        <v>2328</v>
      </c>
      <c r="D4766" s="22">
        <v>0</v>
      </c>
      <c r="E4766" s="22" t="s">
        <v>2328</v>
      </c>
      <c r="F4766" s="22">
        <v>0</v>
      </c>
      <c r="G4766" s="22" t="s">
        <v>2328</v>
      </c>
      <c r="H4766" s="22">
        <v>0</v>
      </c>
      <c r="I4766" s="22" t="s">
        <v>2328</v>
      </c>
      <c r="J4766" s="22">
        <v>0</v>
      </c>
      <c r="K4766" s="22" t="s">
        <v>2349</v>
      </c>
      <c r="L4766" s="22">
        <v>0</v>
      </c>
      <c r="M4766" s="22"/>
      <c r="N4766" s="22"/>
      <c r="O4766" s="22"/>
      <c r="P4766" s="22"/>
      <c r="Q4766" s="22"/>
      <c r="R4766" s="22"/>
      <c r="S4766" s="22"/>
      <c r="T4766" s="22"/>
      <c r="U4766" s="22"/>
      <c r="V4766" s="22"/>
      <c r="W4766" s="22"/>
      <c r="X4766" s="22"/>
    </row>
    <row r="4767" spans="1:24" x14ac:dyDescent="0.25">
      <c r="A4767" s="22" t="s">
        <v>1913</v>
      </c>
      <c r="B4767" s="22">
        <v>617</v>
      </c>
      <c r="C4767" s="22" t="s">
        <v>1913</v>
      </c>
      <c r="D4767" s="22">
        <v>175</v>
      </c>
      <c r="E4767" s="22" t="s">
        <v>1913</v>
      </c>
      <c r="F4767" s="22">
        <v>175</v>
      </c>
      <c r="G4767" s="22" t="s">
        <v>1913</v>
      </c>
      <c r="H4767" s="22">
        <v>175</v>
      </c>
      <c r="I4767" s="22" t="s">
        <v>1913</v>
      </c>
      <c r="J4767" s="22">
        <v>175</v>
      </c>
      <c r="K4767" s="22" t="s">
        <v>1916</v>
      </c>
      <c r="L4767" s="22">
        <v>41</v>
      </c>
      <c r="M4767" s="22"/>
      <c r="N4767" s="22"/>
      <c r="O4767" s="22"/>
      <c r="P4767" s="22"/>
      <c r="Q4767" s="22"/>
      <c r="R4767" s="22"/>
      <c r="S4767" s="22"/>
      <c r="T4767" s="22"/>
      <c r="U4767" s="22"/>
      <c r="V4767" s="22"/>
      <c r="W4767" s="22"/>
      <c r="X4767" s="22"/>
    </row>
    <row r="4768" spans="1:24" x14ac:dyDescent="0.25">
      <c r="A4768" s="22" t="s">
        <v>2329</v>
      </c>
      <c r="B4768" s="22">
        <v>0</v>
      </c>
      <c r="C4768" s="22" t="s">
        <v>2329</v>
      </c>
      <c r="D4768" s="22">
        <v>2</v>
      </c>
      <c r="E4768" s="22" t="s">
        <v>2329</v>
      </c>
      <c r="F4768" s="22">
        <v>2</v>
      </c>
      <c r="G4768" s="22" t="s">
        <v>2329</v>
      </c>
      <c r="H4768" s="22">
        <v>2</v>
      </c>
      <c r="I4768" s="22" t="s">
        <v>2329</v>
      </c>
      <c r="J4768" s="22">
        <v>2</v>
      </c>
      <c r="K4768" s="22" t="s">
        <v>2350</v>
      </c>
      <c r="L4768" s="22">
        <v>0</v>
      </c>
      <c r="M4768" s="22"/>
      <c r="N4768" s="22"/>
      <c r="O4768" s="22"/>
      <c r="P4768" s="22"/>
      <c r="Q4768" s="22"/>
      <c r="R4768" s="22"/>
      <c r="S4768" s="22"/>
      <c r="T4768" s="22"/>
      <c r="U4768" s="22"/>
      <c r="V4768" s="22"/>
      <c r="W4768" s="22"/>
      <c r="X4768" s="22"/>
    </row>
    <row r="4769" spans="1:24" x14ac:dyDescent="0.25">
      <c r="A4769" s="22" t="s">
        <v>2330</v>
      </c>
      <c r="B4769" s="22">
        <v>0</v>
      </c>
      <c r="C4769" s="22" t="s">
        <v>2330</v>
      </c>
      <c r="D4769" s="22">
        <v>0</v>
      </c>
      <c r="E4769" s="22" t="s">
        <v>2330</v>
      </c>
      <c r="F4769" s="22">
        <v>0</v>
      </c>
      <c r="G4769" s="22" t="s">
        <v>2330</v>
      </c>
      <c r="H4769" s="22">
        <v>0</v>
      </c>
      <c r="I4769" s="22" t="s">
        <v>2330</v>
      </c>
      <c r="J4769" s="22">
        <v>0</v>
      </c>
      <c r="K4769" s="22" t="s">
        <v>2351</v>
      </c>
      <c r="L4769" s="22">
        <v>0</v>
      </c>
      <c r="M4769" s="22"/>
      <c r="N4769" s="22"/>
      <c r="O4769" s="22"/>
      <c r="P4769" s="22"/>
      <c r="Q4769" s="22"/>
      <c r="R4769" s="22"/>
      <c r="S4769" s="22"/>
      <c r="T4769" s="22"/>
      <c r="U4769" s="22"/>
      <c r="V4769" s="22"/>
      <c r="W4769" s="22"/>
      <c r="X4769" s="22"/>
    </row>
    <row r="4770" spans="1:24" x14ac:dyDescent="0.25">
      <c r="A4770" s="22" t="s">
        <v>2331</v>
      </c>
      <c r="B4770" s="22">
        <v>0</v>
      </c>
      <c r="C4770" s="22" t="s">
        <v>2331</v>
      </c>
      <c r="D4770" s="22">
        <v>0</v>
      </c>
      <c r="E4770" s="22" t="s">
        <v>2331</v>
      </c>
      <c r="F4770" s="22">
        <v>0</v>
      </c>
      <c r="G4770" s="22" t="s">
        <v>2331</v>
      </c>
      <c r="H4770" s="22">
        <v>0</v>
      </c>
      <c r="I4770" s="22" t="s">
        <v>2331</v>
      </c>
      <c r="J4770" s="22">
        <v>0</v>
      </c>
      <c r="K4770" s="22" t="s">
        <v>2352</v>
      </c>
      <c r="L4770" s="22">
        <v>0</v>
      </c>
      <c r="M4770" s="22"/>
      <c r="N4770" s="22"/>
      <c r="O4770" s="22"/>
      <c r="P4770" s="22"/>
      <c r="Q4770" s="22"/>
      <c r="R4770" s="22"/>
      <c r="S4770" s="22"/>
      <c r="T4770" s="22"/>
      <c r="U4770" s="22"/>
      <c r="V4770" s="22"/>
      <c r="W4770" s="22"/>
      <c r="X4770" s="22"/>
    </row>
    <row r="4771" spans="1:24" x14ac:dyDescent="0.25">
      <c r="A4771" s="22" t="s">
        <v>2332</v>
      </c>
      <c r="B4771" s="22">
        <v>3</v>
      </c>
      <c r="C4771" s="22" t="s">
        <v>2332</v>
      </c>
      <c r="D4771" s="22">
        <v>2</v>
      </c>
      <c r="E4771" s="22" t="s">
        <v>2332</v>
      </c>
      <c r="F4771" s="22">
        <v>2</v>
      </c>
      <c r="G4771" s="22" t="s">
        <v>2332</v>
      </c>
      <c r="H4771" s="22">
        <v>2</v>
      </c>
      <c r="I4771" s="22" t="s">
        <v>2332</v>
      </c>
      <c r="J4771" s="22">
        <v>2</v>
      </c>
      <c r="K4771" s="22" t="s">
        <v>2353</v>
      </c>
      <c r="L4771" s="22">
        <v>0</v>
      </c>
      <c r="M4771" s="22"/>
      <c r="N4771" s="22"/>
      <c r="O4771" s="22"/>
      <c r="P4771" s="22"/>
      <c r="Q4771" s="22"/>
      <c r="R4771" s="22"/>
      <c r="S4771" s="22"/>
      <c r="T4771" s="22"/>
      <c r="U4771" s="22"/>
      <c r="V4771" s="22"/>
      <c r="W4771" s="22"/>
      <c r="X4771" s="22"/>
    </row>
    <row r="4772" spans="1:24" x14ac:dyDescent="0.25">
      <c r="A4772" s="22" t="s">
        <v>2333</v>
      </c>
      <c r="B4772" s="22">
        <v>0</v>
      </c>
      <c r="C4772" s="22" t="s">
        <v>2333</v>
      </c>
      <c r="D4772" s="22">
        <v>0</v>
      </c>
      <c r="E4772" s="22" t="s">
        <v>2333</v>
      </c>
      <c r="F4772" s="22">
        <v>0</v>
      </c>
      <c r="G4772" s="22" t="s">
        <v>2333</v>
      </c>
      <c r="H4772" s="22">
        <v>0</v>
      </c>
      <c r="I4772" s="22" t="s">
        <v>2333</v>
      </c>
      <c r="J4772" s="22">
        <v>0</v>
      </c>
      <c r="K4772" s="22" t="s">
        <v>2354</v>
      </c>
      <c r="L4772" s="22">
        <v>0</v>
      </c>
      <c r="M4772" s="22"/>
      <c r="N4772" s="22"/>
      <c r="O4772" s="22"/>
      <c r="P4772" s="22"/>
      <c r="Q4772" s="22"/>
      <c r="R4772" s="22"/>
      <c r="S4772" s="22"/>
      <c r="T4772" s="22"/>
      <c r="U4772" s="22"/>
      <c r="V4772" s="22"/>
      <c r="W4772" s="22"/>
      <c r="X4772" s="22"/>
    </row>
    <row r="4773" spans="1:24" x14ac:dyDescent="0.25">
      <c r="A4773" s="22" t="s">
        <v>2334</v>
      </c>
      <c r="B4773" s="22">
        <v>0</v>
      </c>
      <c r="C4773" s="22" t="s">
        <v>2334</v>
      </c>
      <c r="D4773" s="22">
        <v>0</v>
      </c>
      <c r="E4773" s="22" t="s">
        <v>2334</v>
      </c>
      <c r="F4773" s="22">
        <v>0</v>
      </c>
      <c r="G4773" s="22" t="s">
        <v>2334</v>
      </c>
      <c r="H4773" s="22">
        <v>0</v>
      </c>
      <c r="I4773" s="22" t="s">
        <v>2334</v>
      </c>
      <c r="J4773" s="22">
        <v>0</v>
      </c>
      <c r="K4773" s="22" t="s">
        <v>2355</v>
      </c>
      <c r="L4773" s="22">
        <v>0</v>
      </c>
      <c r="M4773" s="22"/>
      <c r="N4773" s="22"/>
      <c r="O4773" s="22"/>
      <c r="P4773" s="22"/>
      <c r="Q4773" s="22"/>
      <c r="R4773" s="22"/>
      <c r="S4773" s="22"/>
      <c r="T4773" s="22"/>
      <c r="U4773" s="22"/>
      <c r="V4773" s="22"/>
      <c r="W4773" s="22"/>
      <c r="X4773" s="22"/>
    </row>
    <row r="4774" spans="1:24" x14ac:dyDescent="0.25">
      <c r="A4774" s="22" t="s">
        <v>2335</v>
      </c>
      <c r="B4774" s="22">
        <v>0</v>
      </c>
      <c r="C4774" s="22" t="s">
        <v>2335</v>
      </c>
      <c r="D4774" s="22">
        <v>0</v>
      </c>
      <c r="E4774" s="22" t="s">
        <v>2335</v>
      </c>
      <c r="F4774" s="22">
        <v>0</v>
      </c>
      <c r="G4774" s="22" t="s">
        <v>2335</v>
      </c>
      <c r="H4774" s="22">
        <v>0</v>
      </c>
      <c r="I4774" s="22" t="s">
        <v>2335</v>
      </c>
      <c r="J4774" s="22">
        <v>0</v>
      </c>
      <c r="K4774" s="22" t="s">
        <v>2356</v>
      </c>
      <c r="L4774" s="22">
        <v>0</v>
      </c>
      <c r="M4774" s="22"/>
      <c r="N4774" s="22"/>
      <c r="O4774" s="22"/>
      <c r="P4774" s="22"/>
      <c r="Q4774" s="22"/>
      <c r="R4774" s="22"/>
      <c r="S4774" s="22"/>
      <c r="T4774" s="22"/>
      <c r="U4774" s="22"/>
      <c r="V4774" s="22"/>
      <c r="W4774" s="22"/>
      <c r="X4774" s="22"/>
    </row>
    <row r="4775" spans="1:24" x14ac:dyDescent="0.25">
      <c r="A4775" s="22" t="s">
        <v>1914</v>
      </c>
      <c r="B4775" s="22">
        <v>229</v>
      </c>
      <c r="C4775" s="22" t="s">
        <v>1914</v>
      </c>
      <c r="D4775" s="22">
        <v>747</v>
      </c>
      <c r="E4775" s="22" t="s">
        <v>1914</v>
      </c>
      <c r="F4775" s="22">
        <v>747</v>
      </c>
      <c r="G4775" s="22" t="s">
        <v>1914</v>
      </c>
      <c r="H4775" s="22">
        <v>747</v>
      </c>
      <c r="I4775" s="22" t="s">
        <v>1914</v>
      </c>
      <c r="J4775" s="22">
        <v>747</v>
      </c>
      <c r="K4775" s="22" t="s">
        <v>1917</v>
      </c>
      <c r="L4775" s="22">
        <v>761</v>
      </c>
      <c r="M4775" s="22"/>
      <c r="N4775" s="22"/>
      <c r="O4775" s="22"/>
      <c r="P4775" s="22"/>
      <c r="Q4775" s="22"/>
      <c r="R4775" s="22"/>
      <c r="S4775" s="22"/>
      <c r="T4775" s="22"/>
      <c r="U4775" s="22"/>
      <c r="V4775" s="22"/>
      <c r="W4775" s="22"/>
      <c r="X4775" s="22"/>
    </row>
    <row r="4776" spans="1:24" x14ac:dyDescent="0.25">
      <c r="A4776" s="22" t="s">
        <v>2336</v>
      </c>
      <c r="B4776" s="22">
        <v>15</v>
      </c>
      <c r="C4776" s="22" t="s">
        <v>2336</v>
      </c>
      <c r="D4776" s="22">
        <v>37</v>
      </c>
      <c r="E4776" s="22" t="s">
        <v>2336</v>
      </c>
      <c r="F4776" s="22">
        <v>37</v>
      </c>
      <c r="G4776" s="22" t="s">
        <v>2336</v>
      </c>
      <c r="H4776" s="22">
        <v>37</v>
      </c>
      <c r="I4776" s="22" t="s">
        <v>2336</v>
      </c>
      <c r="J4776" s="22">
        <v>37</v>
      </c>
      <c r="K4776" s="22" t="s">
        <v>2357</v>
      </c>
      <c r="L4776" s="22">
        <v>5</v>
      </c>
      <c r="M4776" s="22"/>
      <c r="N4776" s="22"/>
      <c r="O4776" s="22"/>
      <c r="P4776" s="22"/>
      <c r="Q4776" s="22"/>
      <c r="R4776" s="22"/>
      <c r="S4776" s="22"/>
      <c r="T4776" s="22"/>
      <c r="U4776" s="22"/>
      <c r="V4776" s="22"/>
      <c r="W4776" s="22"/>
      <c r="X4776" s="22"/>
    </row>
    <row r="4777" spans="1:24" x14ac:dyDescent="0.25">
      <c r="A4777" s="22" t="s">
        <v>2337</v>
      </c>
      <c r="B4777" s="22">
        <v>0</v>
      </c>
      <c r="C4777" s="22" t="s">
        <v>2337</v>
      </c>
      <c r="D4777" s="22">
        <v>0</v>
      </c>
      <c r="E4777" s="22" t="s">
        <v>2337</v>
      </c>
      <c r="F4777" s="22">
        <v>0</v>
      </c>
      <c r="G4777" s="22" t="s">
        <v>2337</v>
      </c>
      <c r="H4777" s="22">
        <v>0</v>
      </c>
      <c r="I4777" s="22" t="s">
        <v>2337</v>
      </c>
      <c r="J4777" s="22">
        <v>0</v>
      </c>
      <c r="K4777" s="22" t="s">
        <v>2358</v>
      </c>
      <c r="L4777" s="22">
        <v>0</v>
      </c>
      <c r="M4777" s="22"/>
      <c r="N4777" s="22"/>
      <c r="O4777" s="22"/>
      <c r="P4777" s="22"/>
      <c r="Q4777" s="22"/>
      <c r="R4777" s="22"/>
      <c r="S4777" s="22"/>
      <c r="T4777" s="22"/>
      <c r="U4777" s="22"/>
      <c r="V4777" s="22"/>
      <c r="W4777" s="22"/>
      <c r="X4777" s="22"/>
    </row>
    <row r="4778" spans="1:24" x14ac:dyDescent="0.25">
      <c r="A4778" s="22" t="s">
        <v>2338</v>
      </c>
      <c r="B4778" s="22">
        <v>0</v>
      </c>
      <c r="C4778" s="22" t="s">
        <v>2338</v>
      </c>
      <c r="D4778" s="22">
        <v>2</v>
      </c>
      <c r="E4778" s="22" t="s">
        <v>2338</v>
      </c>
      <c r="F4778" s="22">
        <v>2</v>
      </c>
      <c r="G4778" s="22" t="s">
        <v>2338</v>
      </c>
      <c r="H4778" s="22">
        <v>2</v>
      </c>
      <c r="I4778" s="22" t="s">
        <v>2338</v>
      </c>
      <c r="J4778" s="22">
        <v>2</v>
      </c>
      <c r="K4778" s="22" t="s">
        <v>2359</v>
      </c>
      <c r="L4778" s="22">
        <v>3</v>
      </c>
      <c r="M4778" s="22"/>
      <c r="N4778" s="22"/>
      <c r="O4778" s="22"/>
      <c r="P4778" s="22"/>
      <c r="Q4778" s="22"/>
      <c r="R4778" s="22"/>
      <c r="S4778" s="22"/>
      <c r="T4778" s="22"/>
      <c r="U4778" s="22"/>
      <c r="V4778" s="22"/>
      <c r="W4778" s="22"/>
      <c r="X4778" s="22"/>
    </row>
    <row r="4779" spans="1:24" x14ac:dyDescent="0.25">
      <c r="A4779" s="22" t="s">
        <v>2339</v>
      </c>
      <c r="B4779" s="22">
        <v>0</v>
      </c>
      <c r="C4779" s="22" t="s">
        <v>2339</v>
      </c>
      <c r="D4779" s="22">
        <v>0</v>
      </c>
      <c r="E4779" s="22" t="s">
        <v>2339</v>
      </c>
      <c r="F4779" s="22">
        <v>0</v>
      </c>
      <c r="G4779" s="22" t="s">
        <v>2339</v>
      </c>
      <c r="H4779" s="22">
        <v>0</v>
      </c>
      <c r="I4779" s="22" t="s">
        <v>2339</v>
      </c>
      <c r="J4779" s="22">
        <v>0</v>
      </c>
      <c r="K4779" s="22" t="s">
        <v>2360</v>
      </c>
      <c r="L4779" s="22">
        <v>1</v>
      </c>
      <c r="M4779" s="22"/>
      <c r="N4779" s="22"/>
      <c r="O4779" s="22"/>
      <c r="P4779" s="22"/>
      <c r="Q4779" s="22"/>
      <c r="R4779" s="22"/>
      <c r="S4779" s="22"/>
      <c r="T4779" s="22"/>
      <c r="U4779" s="22"/>
      <c r="V4779" s="22"/>
      <c r="W4779" s="22"/>
      <c r="X4779" s="22"/>
    </row>
    <row r="4780" spans="1:24" x14ac:dyDescent="0.25">
      <c r="A4780" s="22" t="s">
        <v>2340</v>
      </c>
      <c r="B4780" s="22">
        <v>0</v>
      </c>
      <c r="C4780" s="22" t="s">
        <v>2340</v>
      </c>
      <c r="D4780" s="22">
        <v>0</v>
      </c>
      <c r="E4780" s="22" t="s">
        <v>2340</v>
      </c>
      <c r="F4780" s="22">
        <v>0</v>
      </c>
      <c r="G4780" s="22" t="s">
        <v>2340</v>
      </c>
      <c r="H4780" s="22">
        <v>0</v>
      </c>
      <c r="I4780" s="22" t="s">
        <v>2340</v>
      </c>
      <c r="J4780" s="22">
        <v>0</v>
      </c>
      <c r="K4780" s="22" t="s">
        <v>2361</v>
      </c>
      <c r="L4780" s="22">
        <v>0</v>
      </c>
      <c r="M4780" s="22"/>
      <c r="N4780" s="22"/>
      <c r="O4780" s="22"/>
      <c r="P4780" s="22"/>
      <c r="Q4780" s="22"/>
      <c r="R4780" s="22"/>
      <c r="S4780" s="22"/>
      <c r="T4780" s="22"/>
      <c r="U4780" s="22"/>
      <c r="V4780" s="22"/>
      <c r="W4780" s="22"/>
      <c r="X4780" s="22"/>
    </row>
    <row r="4781" spans="1:24" x14ac:dyDescent="0.25">
      <c r="A4781" s="22" t="s">
        <v>2341</v>
      </c>
      <c r="B4781" s="22">
        <v>0</v>
      </c>
      <c r="C4781" s="22" t="s">
        <v>2341</v>
      </c>
      <c r="D4781" s="22">
        <v>0</v>
      </c>
      <c r="E4781" s="22" t="s">
        <v>2341</v>
      </c>
      <c r="F4781" s="22">
        <v>0</v>
      </c>
      <c r="G4781" s="22" t="s">
        <v>2341</v>
      </c>
      <c r="H4781" s="22">
        <v>0</v>
      </c>
      <c r="I4781" s="22" t="s">
        <v>2341</v>
      </c>
      <c r="J4781" s="22">
        <v>0</v>
      </c>
      <c r="K4781" s="22" t="s">
        <v>2362</v>
      </c>
      <c r="L4781" s="22">
        <v>0</v>
      </c>
      <c r="M4781" s="22"/>
      <c r="N4781" s="22"/>
      <c r="O4781" s="22"/>
      <c r="P4781" s="22"/>
      <c r="Q4781" s="22"/>
      <c r="R4781" s="22"/>
      <c r="S4781" s="22"/>
      <c r="T4781" s="22"/>
      <c r="U4781" s="22"/>
      <c r="V4781" s="22"/>
      <c r="W4781" s="22"/>
      <c r="X4781" s="22"/>
    </row>
    <row r="4782" spans="1:24" x14ac:dyDescent="0.25">
      <c r="A4782" s="22" t="s">
        <v>2342</v>
      </c>
      <c r="B4782" s="22">
        <v>0</v>
      </c>
      <c r="C4782" s="22" t="s">
        <v>2342</v>
      </c>
      <c r="D4782" s="22">
        <v>0</v>
      </c>
      <c r="E4782" s="22" t="s">
        <v>2342</v>
      </c>
      <c r="F4782" s="22">
        <v>0</v>
      </c>
      <c r="G4782" s="22" t="s">
        <v>2342</v>
      </c>
      <c r="H4782" s="22">
        <v>0</v>
      </c>
      <c r="I4782" s="22" t="s">
        <v>2342</v>
      </c>
      <c r="J4782" s="22">
        <v>0</v>
      </c>
      <c r="K4782" s="22" t="s">
        <v>2363</v>
      </c>
      <c r="L4782" s="22">
        <v>0</v>
      </c>
      <c r="M4782" s="22"/>
      <c r="N4782" s="22"/>
      <c r="O4782" s="22"/>
      <c r="P4782" s="22"/>
      <c r="Q4782" s="22"/>
      <c r="R4782" s="22"/>
      <c r="S4782" s="22"/>
      <c r="T4782" s="22"/>
      <c r="U4782" s="22"/>
      <c r="V4782" s="22"/>
      <c r="W4782" s="22"/>
      <c r="X4782" s="22"/>
    </row>
    <row r="4783" spans="1:24" x14ac:dyDescent="0.25">
      <c r="A4783" s="22" t="s">
        <v>1915</v>
      </c>
      <c r="B4783" s="22">
        <v>202</v>
      </c>
      <c r="C4783" s="22" t="s">
        <v>1915</v>
      </c>
      <c r="D4783" s="22">
        <v>0</v>
      </c>
      <c r="E4783" s="22" t="s">
        <v>1915</v>
      </c>
      <c r="F4783" s="22">
        <v>0</v>
      </c>
      <c r="G4783" s="22" t="s">
        <v>1915</v>
      </c>
      <c r="H4783" s="22">
        <v>0</v>
      </c>
      <c r="I4783" s="22" t="s">
        <v>1915</v>
      </c>
      <c r="J4783" s="22">
        <v>0</v>
      </c>
      <c r="K4783" s="22" t="s">
        <v>1918</v>
      </c>
      <c r="L4783" s="22">
        <v>349</v>
      </c>
      <c r="M4783" s="22"/>
      <c r="N4783" s="22"/>
      <c r="O4783" s="22"/>
      <c r="P4783" s="22"/>
      <c r="Q4783" s="22"/>
      <c r="R4783" s="22"/>
      <c r="S4783" s="22"/>
      <c r="T4783" s="22"/>
      <c r="U4783" s="22"/>
      <c r="V4783" s="22"/>
      <c r="W4783" s="22"/>
      <c r="X4783" s="22"/>
    </row>
    <row r="4784" spans="1:24" x14ac:dyDescent="0.25">
      <c r="A4784" s="22" t="s">
        <v>2343</v>
      </c>
      <c r="B4784" s="22">
        <v>0</v>
      </c>
      <c r="C4784" s="22" t="s">
        <v>2343</v>
      </c>
      <c r="D4784" s="22">
        <v>0</v>
      </c>
      <c r="E4784" s="22" t="s">
        <v>2343</v>
      </c>
      <c r="F4784" s="22">
        <v>0</v>
      </c>
      <c r="G4784" s="22" t="s">
        <v>2343</v>
      </c>
      <c r="H4784" s="22">
        <v>0</v>
      </c>
      <c r="I4784" s="22" t="s">
        <v>2343</v>
      </c>
      <c r="J4784" s="22">
        <v>0</v>
      </c>
      <c r="K4784" s="22" t="s">
        <v>2364</v>
      </c>
      <c r="L4784" s="22">
        <v>3</v>
      </c>
      <c r="M4784" s="22"/>
      <c r="N4784" s="22"/>
      <c r="O4784" s="22"/>
      <c r="P4784" s="22"/>
      <c r="Q4784" s="22"/>
      <c r="R4784" s="22"/>
      <c r="S4784" s="22"/>
      <c r="T4784" s="22"/>
      <c r="U4784" s="22"/>
      <c r="V4784" s="22"/>
      <c r="W4784" s="22"/>
      <c r="X4784" s="22"/>
    </row>
    <row r="4785" spans="1:24" x14ac:dyDescent="0.25">
      <c r="A4785" s="22" t="s">
        <v>2344</v>
      </c>
      <c r="B4785" s="22">
        <v>0</v>
      </c>
      <c r="C4785" s="22" t="s">
        <v>2344</v>
      </c>
      <c r="D4785" s="22">
        <v>0</v>
      </c>
      <c r="E4785" s="22" t="s">
        <v>2344</v>
      </c>
      <c r="F4785" s="22">
        <v>0</v>
      </c>
      <c r="G4785" s="22" t="s">
        <v>2344</v>
      </c>
      <c r="H4785" s="22">
        <v>0</v>
      </c>
      <c r="I4785" s="22" t="s">
        <v>2344</v>
      </c>
      <c r="J4785" s="22">
        <v>0</v>
      </c>
      <c r="K4785" s="22" t="s">
        <v>2365</v>
      </c>
      <c r="L4785" s="22">
        <v>0</v>
      </c>
      <c r="M4785" s="22"/>
      <c r="N4785" s="22"/>
      <c r="O4785" s="22"/>
      <c r="P4785" s="22"/>
      <c r="Q4785" s="22"/>
      <c r="R4785" s="22"/>
      <c r="S4785" s="22"/>
      <c r="T4785" s="22"/>
      <c r="U4785" s="22"/>
      <c r="V4785" s="22"/>
      <c r="W4785" s="22"/>
      <c r="X4785" s="22"/>
    </row>
    <row r="4786" spans="1:24" x14ac:dyDescent="0.25">
      <c r="A4786" s="22" t="s">
        <v>2345</v>
      </c>
      <c r="B4786" s="22">
        <v>0</v>
      </c>
      <c r="C4786" s="22" t="s">
        <v>2345</v>
      </c>
      <c r="D4786" s="22">
        <v>0</v>
      </c>
      <c r="E4786" s="22" t="s">
        <v>2345</v>
      </c>
      <c r="F4786" s="22">
        <v>0</v>
      </c>
      <c r="G4786" s="22" t="s">
        <v>2345</v>
      </c>
      <c r="H4786" s="22">
        <v>0</v>
      </c>
      <c r="I4786" s="22" t="s">
        <v>2345</v>
      </c>
      <c r="J4786" s="22">
        <v>0</v>
      </c>
      <c r="K4786" s="22" t="s">
        <v>2366</v>
      </c>
      <c r="L4786" s="22">
        <v>0</v>
      </c>
      <c r="M4786" s="22"/>
      <c r="N4786" s="22"/>
      <c r="O4786" s="22"/>
      <c r="P4786" s="22"/>
      <c r="Q4786" s="22"/>
      <c r="R4786" s="22"/>
      <c r="S4786" s="22"/>
      <c r="T4786" s="22"/>
      <c r="U4786" s="22"/>
      <c r="V4786" s="22"/>
      <c r="W4786" s="22"/>
      <c r="X4786" s="22"/>
    </row>
    <row r="4787" spans="1:24" x14ac:dyDescent="0.25">
      <c r="A4787" s="22" t="s">
        <v>2346</v>
      </c>
      <c r="B4787" s="22">
        <v>1</v>
      </c>
      <c r="C4787" s="22" t="s">
        <v>2346</v>
      </c>
      <c r="D4787" s="22">
        <v>0</v>
      </c>
      <c r="E4787" s="22" t="s">
        <v>2346</v>
      </c>
      <c r="F4787" s="22">
        <v>0</v>
      </c>
      <c r="G4787" s="22" t="s">
        <v>2346</v>
      </c>
      <c r="H4787" s="22">
        <v>0</v>
      </c>
      <c r="I4787" s="22" t="s">
        <v>2346</v>
      </c>
      <c r="J4787" s="22">
        <v>0</v>
      </c>
      <c r="K4787" s="22" t="s">
        <v>2367</v>
      </c>
      <c r="L4787" s="22">
        <v>1</v>
      </c>
      <c r="M4787" s="22"/>
      <c r="N4787" s="22"/>
      <c r="O4787" s="22"/>
      <c r="P4787" s="22"/>
      <c r="Q4787" s="22"/>
      <c r="R4787" s="22"/>
      <c r="S4787" s="22"/>
      <c r="T4787" s="22"/>
      <c r="U4787" s="22"/>
      <c r="V4787" s="22"/>
      <c r="W4787" s="22"/>
      <c r="X4787" s="22"/>
    </row>
    <row r="4788" spans="1:24" x14ac:dyDescent="0.25">
      <c r="A4788" s="22" t="s">
        <v>2347</v>
      </c>
      <c r="B4788" s="22">
        <v>0</v>
      </c>
      <c r="C4788" s="22" t="s">
        <v>2347</v>
      </c>
      <c r="D4788" s="22">
        <v>0</v>
      </c>
      <c r="E4788" s="22" t="s">
        <v>2347</v>
      </c>
      <c r="F4788" s="22">
        <v>0</v>
      </c>
      <c r="G4788" s="22" t="s">
        <v>2347</v>
      </c>
      <c r="H4788" s="22">
        <v>0</v>
      </c>
      <c r="I4788" s="22" t="s">
        <v>2347</v>
      </c>
      <c r="J4788" s="22">
        <v>0</v>
      </c>
      <c r="K4788" s="22" t="s">
        <v>2368</v>
      </c>
      <c r="L4788" s="22">
        <v>0</v>
      </c>
      <c r="M4788" s="22"/>
      <c r="N4788" s="22"/>
      <c r="O4788" s="22"/>
      <c r="P4788" s="22"/>
      <c r="Q4788" s="22"/>
      <c r="R4788" s="22"/>
      <c r="S4788" s="22"/>
      <c r="T4788" s="22"/>
      <c r="U4788" s="22"/>
      <c r="V4788" s="22"/>
      <c r="W4788" s="22"/>
      <c r="X4788" s="22"/>
    </row>
    <row r="4789" spans="1:24" x14ac:dyDescent="0.25">
      <c r="A4789" s="22" t="s">
        <v>2348</v>
      </c>
      <c r="B4789" s="22">
        <v>0</v>
      </c>
      <c r="C4789" s="22" t="s">
        <v>2348</v>
      </c>
      <c r="D4789" s="22">
        <v>0</v>
      </c>
      <c r="E4789" s="22" t="s">
        <v>2348</v>
      </c>
      <c r="F4789" s="22">
        <v>0</v>
      </c>
      <c r="G4789" s="22" t="s">
        <v>2348</v>
      </c>
      <c r="H4789" s="22">
        <v>0</v>
      </c>
      <c r="I4789" s="22" t="s">
        <v>2348</v>
      </c>
      <c r="J4789" s="22">
        <v>0</v>
      </c>
      <c r="K4789" s="22" t="s">
        <v>2369</v>
      </c>
      <c r="L4789" s="22">
        <v>0</v>
      </c>
      <c r="M4789" s="22"/>
      <c r="N4789" s="22"/>
      <c r="O4789" s="22"/>
      <c r="P4789" s="22"/>
      <c r="Q4789" s="22"/>
      <c r="R4789" s="22"/>
      <c r="S4789" s="22"/>
      <c r="T4789" s="22"/>
      <c r="U4789" s="22"/>
      <c r="V4789" s="22"/>
      <c r="W4789" s="22"/>
      <c r="X4789" s="22"/>
    </row>
    <row r="4790" spans="1:24" x14ac:dyDescent="0.25">
      <c r="A4790" s="22" t="s">
        <v>2349</v>
      </c>
      <c r="B4790" s="22">
        <v>0</v>
      </c>
      <c r="C4790" s="22" t="s">
        <v>2349</v>
      </c>
      <c r="D4790" s="22">
        <v>0</v>
      </c>
      <c r="E4790" s="22" t="s">
        <v>2349</v>
      </c>
      <c r="F4790" s="22">
        <v>0</v>
      </c>
      <c r="G4790" s="22" t="s">
        <v>2349</v>
      </c>
      <c r="H4790" s="22">
        <v>0</v>
      </c>
      <c r="I4790" s="22" t="s">
        <v>2349</v>
      </c>
      <c r="J4790" s="22">
        <v>0</v>
      </c>
      <c r="K4790" s="22" t="s">
        <v>2370</v>
      </c>
      <c r="L4790" s="22">
        <v>0</v>
      </c>
      <c r="M4790" s="22"/>
      <c r="N4790" s="22"/>
      <c r="O4790" s="22"/>
      <c r="P4790" s="22"/>
      <c r="Q4790" s="22"/>
      <c r="R4790" s="22"/>
      <c r="S4790" s="22"/>
      <c r="T4790" s="22"/>
      <c r="U4790" s="22"/>
      <c r="V4790" s="22"/>
      <c r="W4790" s="22"/>
      <c r="X4790" s="22"/>
    </row>
    <row r="4791" spans="1:24" x14ac:dyDescent="0.25">
      <c r="A4791" s="22" t="s">
        <v>1916</v>
      </c>
      <c r="B4791" s="22">
        <v>0</v>
      </c>
      <c r="C4791" s="22" t="s">
        <v>1916</v>
      </c>
      <c r="D4791" s="22">
        <v>41</v>
      </c>
      <c r="E4791" s="22" t="s">
        <v>1916</v>
      </c>
      <c r="F4791" s="22">
        <v>41</v>
      </c>
      <c r="G4791" s="22" t="s">
        <v>1916</v>
      </c>
      <c r="H4791" s="22">
        <v>41</v>
      </c>
      <c r="I4791" s="22" t="s">
        <v>1916</v>
      </c>
      <c r="J4791" s="22">
        <v>41</v>
      </c>
      <c r="K4791" s="22" t="s">
        <v>1919</v>
      </c>
      <c r="L4791" s="22">
        <v>294</v>
      </c>
      <c r="M4791" s="22"/>
      <c r="N4791" s="22"/>
      <c r="O4791" s="22"/>
      <c r="P4791" s="22"/>
      <c r="Q4791" s="22"/>
      <c r="R4791" s="22"/>
      <c r="S4791" s="22"/>
      <c r="T4791" s="22"/>
      <c r="U4791" s="22"/>
      <c r="V4791" s="22"/>
      <c r="W4791" s="22"/>
      <c r="X4791" s="22"/>
    </row>
    <row r="4792" spans="1:24" x14ac:dyDescent="0.25">
      <c r="A4792" s="22" t="s">
        <v>2350</v>
      </c>
      <c r="B4792" s="22">
        <v>0</v>
      </c>
      <c r="C4792" s="22" t="s">
        <v>2350</v>
      </c>
      <c r="D4792" s="22">
        <v>0</v>
      </c>
      <c r="E4792" s="22" t="s">
        <v>2350</v>
      </c>
      <c r="F4792" s="22">
        <v>0</v>
      </c>
      <c r="G4792" s="22" t="s">
        <v>2350</v>
      </c>
      <c r="H4792" s="22">
        <v>0</v>
      </c>
      <c r="I4792" s="22" t="s">
        <v>2350</v>
      </c>
      <c r="J4792" s="22">
        <v>0</v>
      </c>
      <c r="K4792" s="22" t="s">
        <v>2445</v>
      </c>
      <c r="L4792" s="22">
        <v>0</v>
      </c>
      <c r="M4792" s="22"/>
      <c r="N4792" s="22"/>
      <c r="O4792" s="22"/>
      <c r="P4792" s="22"/>
      <c r="Q4792" s="22"/>
      <c r="R4792" s="22"/>
      <c r="S4792" s="22"/>
      <c r="T4792" s="22"/>
      <c r="U4792" s="22"/>
      <c r="V4792" s="22"/>
      <c r="W4792" s="22"/>
      <c r="X4792" s="22"/>
    </row>
    <row r="4793" spans="1:24" x14ac:dyDescent="0.25">
      <c r="A4793" s="22" t="s">
        <v>2351</v>
      </c>
      <c r="B4793" s="22">
        <v>0</v>
      </c>
      <c r="C4793" s="22" t="s">
        <v>2351</v>
      </c>
      <c r="D4793" s="22">
        <v>0</v>
      </c>
      <c r="E4793" s="22" t="s">
        <v>2351</v>
      </c>
      <c r="F4793" s="22">
        <v>0</v>
      </c>
      <c r="G4793" s="22" t="s">
        <v>2351</v>
      </c>
      <c r="H4793" s="22">
        <v>0</v>
      </c>
      <c r="I4793" s="22" t="s">
        <v>2351</v>
      </c>
      <c r="J4793" s="22">
        <v>0</v>
      </c>
      <c r="K4793" s="22" t="s">
        <v>2446</v>
      </c>
      <c r="L4793" s="22">
        <v>0</v>
      </c>
      <c r="M4793" s="22"/>
      <c r="N4793" s="22"/>
      <c r="O4793" s="22"/>
      <c r="P4793" s="22"/>
      <c r="Q4793" s="22"/>
      <c r="R4793" s="22"/>
      <c r="S4793" s="22"/>
      <c r="T4793" s="22"/>
      <c r="U4793" s="22"/>
      <c r="V4793" s="22"/>
      <c r="W4793" s="22"/>
      <c r="X4793" s="22"/>
    </row>
    <row r="4794" spans="1:24" x14ac:dyDescent="0.25">
      <c r="A4794" s="22" t="s">
        <v>2352</v>
      </c>
      <c r="B4794" s="22">
        <v>0</v>
      </c>
      <c r="C4794" s="22" t="s">
        <v>2352</v>
      </c>
      <c r="D4794" s="22">
        <v>0</v>
      </c>
      <c r="E4794" s="22" t="s">
        <v>2352</v>
      </c>
      <c r="F4794" s="22">
        <v>0</v>
      </c>
      <c r="G4794" s="22" t="s">
        <v>2352</v>
      </c>
      <c r="H4794" s="22">
        <v>0</v>
      </c>
      <c r="I4794" s="22" t="s">
        <v>2352</v>
      </c>
      <c r="J4794" s="22">
        <v>0</v>
      </c>
      <c r="K4794" s="22" t="s">
        <v>2447</v>
      </c>
      <c r="L4794" s="22">
        <v>0</v>
      </c>
      <c r="M4794" s="22"/>
      <c r="N4794" s="22"/>
      <c r="O4794" s="22"/>
      <c r="P4794" s="22"/>
      <c r="Q4794" s="22"/>
      <c r="R4794" s="22"/>
      <c r="S4794" s="22"/>
      <c r="T4794" s="22"/>
      <c r="U4794" s="22"/>
      <c r="V4794" s="22"/>
      <c r="W4794" s="22"/>
      <c r="X4794" s="22"/>
    </row>
    <row r="4795" spans="1:24" x14ac:dyDescent="0.25">
      <c r="A4795" s="22" t="s">
        <v>2353</v>
      </c>
      <c r="B4795" s="22">
        <v>0</v>
      </c>
      <c r="C4795" s="22" t="s">
        <v>2353</v>
      </c>
      <c r="D4795" s="22">
        <v>0</v>
      </c>
      <c r="E4795" s="22" t="s">
        <v>2353</v>
      </c>
      <c r="F4795" s="22">
        <v>0</v>
      </c>
      <c r="G4795" s="22" t="s">
        <v>2353</v>
      </c>
      <c r="H4795" s="22">
        <v>0</v>
      </c>
      <c r="I4795" s="22" t="s">
        <v>2353</v>
      </c>
      <c r="J4795" s="22">
        <v>0</v>
      </c>
      <c r="K4795" s="22" t="s">
        <v>2448</v>
      </c>
      <c r="L4795" s="22">
        <v>0</v>
      </c>
      <c r="M4795" s="22"/>
      <c r="N4795" s="22"/>
      <c r="O4795" s="22"/>
      <c r="P4795" s="22"/>
      <c r="Q4795" s="22"/>
      <c r="R4795" s="22"/>
      <c r="S4795" s="22"/>
      <c r="T4795" s="22"/>
      <c r="U4795" s="22"/>
      <c r="V4795" s="22"/>
      <c r="W4795" s="22"/>
      <c r="X4795" s="22"/>
    </row>
    <row r="4796" spans="1:24" x14ac:dyDescent="0.25">
      <c r="A4796" s="22" t="s">
        <v>2354</v>
      </c>
      <c r="B4796" s="22">
        <v>0</v>
      </c>
      <c r="C4796" s="22" t="s">
        <v>2354</v>
      </c>
      <c r="D4796" s="22">
        <v>0</v>
      </c>
      <c r="E4796" s="22" t="s">
        <v>2354</v>
      </c>
      <c r="F4796" s="22">
        <v>0</v>
      </c>
      <c r="G4796" s="22" t="s">
        <v>2354</v>
      </c>
      <c r="H4796" s="22">
        <v>0</v>
      </c>
      <c r="I4796" s="22" t="s">
        <v>2354</v>
      </c>
      <c r="J4796" s="22">
        <v>0</v>
      </c>
      <c r="K4796" s="22" t="s">
        <v>2449</v>
      </c>
      <c r="L4796" s="22">
        <v>0</v>
      </c>
      <c r="M4796" s="22"/>
      <c r="N4796" s="22"/>
      <c r="O4796" s="22"/>
      <c r="P4796" s="22"/>
      <c r="Q4796" s="22"/>
      <c r="R4796" s="22"/>
      <c r="S4796" s="22"/>
      <c r="T4796" s="22"/>
      <c r="U4796" s="22"/>
      <c r="V4796" s="22"/>
      <c r="W4796" s="22"/>
      <c r="X4796" s="22"/>
    </row>
    <row r="4797" spans="1:24" x14ac:dyDescent="0.25">
      <c r="A4797" s="22" t="s">
        <v>2355</v>
      </c>
      <c r="B4797" s="22">
        <v>0</v>
      </c>
      <c r="C4797" s="22" t="s">
        <v>2355</v>
      </c>
      <c r="D4797" s="22">
        <v>0</v>
      </c>
      <c r="E4797" s="22" t="s">
        <v>2355</v>
      </c>
      <c r="F4797" s="22">
        <v>0</v>
      </c>
      <c r="G4797" s="22" t="s">
        <v>2355</v>
      </c>
      <c r="H4797" s="22">
        <v>0</v>
      </c>
      <c r="I4797" s="22" t="s">
        <v>2355</v>
      </c>
      <c r="J4797" s="22">
        <v>0</v>
      </c>
      <c r="K4797" s="22" t="s">
        <v>2450</v>
      </c>
      <c r="L4797" s="22">
        <v>0</v>
      </c>
      <c r="M4797" s="22"/>
      <c r="N4797" s="22"/>
      <c r="O4797" s="22"/>
      <c r="P4797" s="22"/>
      <c r="Q4797" s="22"/>
      <c r="R4797" s="22"/>
      <c r="S4797" s="22"/>
      <c r="T4797" s="22"/>
      <c r="U4797" s="22"/>
      <c r="V4797" s="22"/>
      <c r="W4797" s="22"/>
      <c r="X4797" s="22"/>
    </row>
    <row r="4798" spans="1:24" x14ac:dyDescent="0.25">
      <c r="A4798" s="22" t="s">
        <v>2356</v>
      </c>
      <c r="B4798" s="22">
        <v>0</v>
      </c>
      <c r="C4798" s="22" t="s">
        <v>2356</v>
      </c>
      <c r="D4798" s="22">
        <v>0</v>
      </c>
      <c r="E4798" s="22" t="s">
        <v>2356</v>
      </c>
      <c r="F4798" s="22">
        <v>0</v>
      </c>
      <c r="G4798" s="22" t="s">
        <v>2356</v>
      </c>
      <c r="H4798" s="22">
        <v>0</v>
      </c>
      <c r="I4798" s="22" t="s">
        <v>2356</v>
      </c>
      <c r="J4798" s="22">
        <v>0</v>
      </c>
      <c r="K4798" s="22" t="s">
        <v>2451</v>
      </c>
      <c r="L4798" s="22">
        <v>0</v>
      </c>
      <c r="M4798" s="22"/>
      <c r="N4798" s="22"/>
      <c r="O4798" s="22"/>
      <c r="P4798" s="22"/>
      <c r="Q4798" s="22"/>
      <c r="R4798" s="22"/>
      <c r="S4798" s="22"/>
      <c r="T4798" s="22"/>
      <c r="U4798" s="22"/>
      <c r="V4798" s="22"/>
      <c r="W4798" s="22"/>
      <c r="X4798" s="22"/>
    </row>
    <row r="4799" spans="1:24" x14ac:dyDescent="0.25">
      <c r="A4799" s="22" t="s">
        <v>1917</v>
      </c>
      <c r="B4799" s="22">
        <v>289</v>
      </c>
      <c r="C4799" s="22" t="s">
        <v>1917</v>
      </c>
      <c r="D4799" s="22">
        <v>761</v>
      </c>
      <c r="E4799" s="22" t="s">
        <v>1917</v>
      </c>
      <c r="F4799" s="22">
        <v>761</v>
      </c>
      <c r="G4799" s="22" t="s">
        <v>1917</v>
      </c>
      <c r="H4799" s="22">
        <v>761</v>
      </c>
      <c r="I4799" s="22" t="s">
        <v>1917</v>
      </c>
      <c r="J4799" s="22">
        <v>761</v>
      </c>
      <c r="K4799" s="22" t="s">
        <v>1920</v>
      </c>
      <c r="L4799" s="22">
        <v>28</v>
      </c>
      <c r="M4799" s="22"/>
      <c r="N4799" s="22"/>
      <c r="O4799" s="22"/>
      <c r="P4799" s="22"/>
      <c r="Q4799" s="22"/>
      <c r="R4799" s="22"/>
      <c r="S4799" s="22"/>
      <c r="T4799" s="22"/>
      <c r="U4799" s="22"/>
      <c r="V4799" s="22"/>
      <c r="W4799" s="22"/>
      <c r="X4799" s="22"/>
    </row>
    <row r="4800" spans="1:24" x14ac:dyDescent="0.25">
      <c r="A4800" s="22" t="s">
        <v>2357</v>
      </c>
      <c r="B4800" s="22">
        <v>0</v>
      </c>
      <c r="C4800" s="22" t="s">
        <v>2357</v>
      </c>
      <c r="D4800" s="22">
        <v>5</v>
      </c>
      <c r="E4800" s="22" t="s">
        <v>2357</v>
      </c>
      <c r="F4800" s="22">
        <v>5</v>
      </c>
      <c r="G4800" s="22" t="s">
        <v>2357</v>
      </c>
      <c r="H4800" s="22">
        <v>5</v>
      </c>
      <c r="I4800" s="22" t="s">
        <v>2357</v>
      </c>
      <c r="J4800" s="22">
        <v>5</v>
      </c>
      <c r="K4800" s="22" t="s">
        <v>2437</v>
      </c>
      <c r="L4800" s="22">
        <v>3</v>
      </c>
      <c r="M4800" s="22"/>
      <c r="N4800" s="22"/>
      <c r="O4800" s="22"/>
      <c r="P4800" s="22"/>
      <c r="Q4800" s="22"/>
      <c r="R4800" s="22"/>
      <c r="S4800" s="22"/>
      <c r="T4800" s="22"/>
      <c r="U4800" s="22"/>
      <c r="V4800" s="22"/>
      <c r="W4800" s="22"/>
      <c r="X4800" s="22"/>
    </row>
    <row r="4801" spans="1:24" x14ac:dyDescent="0.25">
      <c r="A4801" s="22" t="s">
        <v>2358</v>
      </c>
      <c r="B4801" s="22">
        <v>0</v>
      </c>
      <c r="C4801" s="22" t="s">
        <v>2358</v>
      </c>
      <c r="D4801" s="22">
        <v>0</v>
      </c>
      <c r="E4801" s="22" t="s">
        <v>2358</v>
      </c>
      <c r="F4801" s="22">
        <v>0</v>
      </c>
      <c r="G4801" s="22" t="s">
        <v>2358</v>
      </c>
      <c r="H4801" s="22">
        <v>0</v>
      </c>
      <c r="I4801" s="22" t="s">
        <v>2358</v>
      </c>
      <c r="J4801" s="22">
        <v>0</v>
      </c>
      <c r="K4801" s="22" t="s">
        <v>2438</v>
      </c>
      <c r="L4801" s="22">
        <v>0</v>
      </c>
      <c r="M4801" s="22"/>
      <c r="N4801" s="22"/>
      <c r="O4801" s="22"/>
      <c r="P4801" s="22"/>
      <c r="Q4801" s="22"/>
      <c r="R4801" s="22"/>
      <c r="S4801" s="22"/>
      <c r="T4801" s="22"/>
      <c r="U4801" s="22"/>
      <c r="V4801" s="22"/>
      <c r="W4801" s="22"/>
      <c r="X4801" s="22"/>
    </row>
    <row r="4802" spans="1:24" x14ac:dyDescent="0.25">
      <c r="A4802" s="22" t="s">
        <v>2359</v>
      </c>
      <c r="B4802" s="22">
        <v>0</v>
      </c>
      <c r="C4802" s="22" t="s">
        <v>2359</v>
      </c>
      <c r="D4802" s="22">
        <v>3</v>
      </c>
      <c r="E4802" s="22" t="s">
        <v>2359</v>
      </c>
      <c r="F4802" s="22">
        <v>3</v>
      </c>
      <c r="G4802" s="22" t="s">
        <v>2359</v>
      </c>
      <c r="H4802" s="22">
        <v>3</v>
      </c>
      <c r="I4802" s="22" t="s">
        <v>2359</v>
      </c>
      <c r="J4802" s="22">
        <v>3</v>
      </c>
      <c r="K4802" s="22" t="s">
        <v>2439</v>
      </c>
      <c r="L4802" s="22">
        <v>0</v>
      </c>
      <c r="M4802" s="22"/>
      <c r="N4802" s="22"/>
      <c r="O4802" s="22"/>
      <c r="P4802" s="22"/>
      <c r="Q4802" s="22"/>
      <c r="R4802" s="22"/>
      <c r="S4802" s="22"/>
      <c r="T4802" s="22"/>
      <c r="U4802" s="22"/>
      <c r="V4802" s="22"/>
      <c r="W4802" s="22"/>
      <c r="X4802" s="22"/>
    </row>
    <row r="4803" spans="1:24" x14ac:dyDescent="0.25">
      <c r="A4803" s="22" t="s">
        <v>2360</v>
      </c>
      <c r="B4803" s="22">
        <v>1</v>
      </c>
      <c r="C4803" s="22" t="s">
        <v>2360</v>
      </c>
      <c r="D4803" s="22">
        <v>1</v>
      </c>
      <c r="E4803" s="22" t="s">
        <v>2360</v>
      </c>
      <c r="F4803" s="22">
        <v>1</v>
      </c>
      <c r="G4803" s="22" t="s">
        <v>2360</v>
      </c>
      <c r="H4803" s="22">
        <v>1</v>
      </c>
      <c r="I4803" s="22" t="s">
        <v>2360</v>
      </c>
      <c r="J4803" s="22">
        <v>1</v>
      </c>
      <c r="K4803" s="22" t="s">
        <v>2440</v>
      </c>
      <c r="L4803" s="22">
        <v>0</v>
      </c>
      <c r="M4803" s="22"/>
      <c r="N4803" s="22"/>
      <c r="O4803" s="22"/>
      <c r="P4803" s="22"/>
      <c r="Q4803" s="22"/>
      <c r="R4803" s="22"/>
      <c r="S4803" s="22"/>
      <c r="T4803" s="22"/>
      <c r="U4803" s="22"/>
      <c r="V4803" s="22"/>
      <c r="W4803" s="22"/>
      <c r="X4803" s="22"/>
    </row>
    <row r="4804" spans="1:24" x14ac:dyDescent="0.25">
      <c r="A4804" s="22" t="s">
        <v>2361</v>
      </c>
      <c r="B4804" s="22">
        <v>0</v>
      </c>
      <c r="C4804" s="22" t="s">
        <v>2361</v>
      </c>
      <c r="D4804" s="22">
        <v>0</v>
      </c>
      <c r="E4804" s="22" t="s">
        <v>2361</v>
      </c>
      <c r="F4804" s="22">
        <v>0</v>
      </c>
      <c r="G4804" s="22" t="s">
        <v>2361</v>
      </c>
      <c r="H4804" s="22">
        <v>0</v>
      </c>
      <c r="I4804" s="22" t="s">
        <v>2361</v>
      </c>
      <c r="J4804" s="22">
        <v>0</v>
      </c>
      <c r="K4804" s="22" t="s">
        <v>2441</v>
      </c>
      <c r="L4804" s="22">
        <v>0</v>
      </c>
      <c r="M4804" s="22"/>
      <c r="N4804" s="22"/>
      <c r="O4804" s="22"/>
      <c r="P4804" s="22"/>
      <c r="Q4804" s="22"/>
      <c r="R4804" s="22"/>
      <c r="S4804" s="22"/>
      <c r="T4804" s="22"/>
      <c r="U4804" s="22"/>
      <c r="V4804" s="22"/>
      <c r="W4804" s="22"/>
      <c r="X4804" s="22"/>
    </row>
    <row r="4805" spans="1:24" x14ac:dyDescent="0.25">
      <c r="A4805" s="22" t="s">
        <v>2362</v>
      </c>
      <c r="B4805" s="22">
        <v>0</v>
      </c>
      <c r="C4805" s="22" t="s">
        <v>2362</v>
      </c>
      <c r="D4805" s="22">
        <v>0</v>
      </c>
      <c r="E4805" s="22" t="s">
        <v>2362</v>
      </c>
      <c r="F4805" s="22">
        <v>0</v>
      </c>
      <c r="G4805" s="22" t="s">
        <v>2362</v>
      </c>
      <c r="H4805" s="22">
        <v>0</v>
      </c>
      <c r="I4805" s="22" t="s">
        <v>2362</v>
      </c>
      <c r="J4805" s="22">
        <v>0</v>
      </c>
      <c r="K4805" s="22" t="s">
        <v>2442</v>
      </c>
      <c r="L4805" s="22">
        <v>0</v>
      </c>
      <c r="M4805" s="22"/>
      <c r="N4805" s="22"/>
      <c r="O4805" s="22"/>
      <c r="P4805" s="22"/>
      <c r="Q4805" s="22"/>
      <c r="R4805" s="22"/>
      <c r="S4805" s="22"/>
      <c r="T4805" s="22"/>
      <c r="U4805" s="22"/>
      <c r="V4805" s="22"/>
      <c r="W4805" s="22"/>
      <c r="X4805" s="22"/>
    </row>
    <row r="4806" spans="1:24" x14ac:dyDescent="0.25">
      <c r="A4806" s="22" t="s">
        <v>2363</v>
      </c>
      <c r="B4806" s="22">
        <v>0</v>
      </c>
      <c r="C4806" s="22" t="s">
        <v>2363</v>
      </c>
      <c r="D4806" s="22">
        <v>0</v>
      </c>
      <c r="E4806" s="22" t="s">
        <v>2363</v>
      </c>
      <c r="F4806" s="22">
        <v>0</v>
      </c>
      <c r="G4806" s="22" t="s">
        <v>2363</v>
      </c>
      <c r="H4806" s="22">
        <v>0</v>
      </c>
      <c r="I4806" s="22" t="s">
        <v>2363</v>
      </c>
      <c r="J4806" s="22">
        <v>0</v>
      </c>
      <c r="K4806" s="22" t="s">
        <v>2443</v>
      </c>
      <c r="L4806" s="22">
        <v>0</v>
      </c>
      <c r="M4806" s="22"/>
      <c r="N4806" s="22"/>
      <c r="O4806" s="22"/>
      <c r="P4806" s="22"/>
      <c r="Q4806" s="22"/>
      <c r="R4806" s="22"/>
      <c r="S4806" s="22"/>
      <c r="T4806" s="22"/>
      <c r="U4806" s="22"/>
      <c r="V4806" s="22"/>
      <c r="W4806" s="22"/>
      <c r="X4806" s="22"/>
    </row>
    <row r="4807" spans="1:24" x14ac:dyDescent="0.25">
      <c r="A4807" s="22" t="s">
        <v>1918</v>
      </c>
      <c r="B4807" s="22">
        <v>448</v>
      </c>
      <c r="C4807" s="22" t="s">
        <v>1918</v>
      </c>
      <c r="D4807" s="22">
        <v>349</v>
      </c>
      <c r="E4807" s="22" t="s">
        <v>1918</v>
      </c>
      <c r="F4807" s="22">
        <v>349</v>
      </c>
      <c r="G4807" s="22" t="s">
        <v>1918</v>
      </c>
      <c r="H4807" s="22">
        <v>349</v>
      </c>
      <c r="I4807" s="22" t="s">
        <v>1918</v>
      </c>
      <c r="J4807" s="22">
        <v>349</v>
      </c>
      <c r="K4807" s="22" t="s">
        <v>1921</v>
      </c>
      <c r="L4807" s="22">
        <v>0</v>
      </c>
      <c r="M4807" s="22"/>
      <c r="N4807" s="22"/>
      <c r="O4807" s="22"/>
      <c r="P4807" s="22"/>
      <c r="Q4807" s="22"/>
      <c r="R4807" s="22"/>
      <c r="S4807" s="22"/>
      <c r="T4807" s="22"/>
      <c r="U4807" s="22"/>
      <c r="V4807" s="22"/>
      <c r="W4807" s="22"/>
      <c r="X4807" s="22"/>
    </row>
    <row r="4808" spans="1:24" x14ac:dyDescent="0.25">
      <c r="A4808" s="22" t="s">
        <v>2364</v>
      </c>
      <c r="B4808" s="22">
        <v>25</v>
      </c>
      <c r="C4808" s="22" t="s">
        <v>2364</v>
      </c>
      <c r="D4808" s="22">
        <v>3</v>
      </c>
      <c r="E4808" s="22" t="s">
        <v>2364</v>
      </c>
      <c r="F4808" s="22">
        <v>3</v>
      </c>
      <c r="G4808" s="22" t="s">
        <v>2364</v>
      </c>
      <c r="H4808" s="22">
        <v>3</v>
      </c>
      <c r="I4808" s="22" t="s">
        <v>2364</v>
      </c>
      <c r="J4808" s="22">
        <v>3</v>
      </c>
      <c r="K4808" s="22" t="s">
        <v>2371</v>
      </c>
      <c r="L4808" s="22">
        <v>0</v>
      </c>
      <c r="M4808" s="22"/>
      <c r="N4808" s="22"/>
      <c r="O4808" s="22"/>
      <c r="P4808" s="22"/>
      <c r="Q4808" s="22"/>
      <c r="R4808" s="22"/>
      <c r="S4808" s="22"/>
      <c r="T4808" s="22"/>
      <c r="U4808" s="22"/>
      <c r="V4808" s="22"/>
      <c r="W4808" s="22"/>
      <c r="X4808" s="22"/>
    </row>
    <row r="4809" spans="1:24" x14ac:dyDescent="0.25">
      <c r="A4809" s="22" t="s">
        <v>2365</v>
      </c>
      <c r="B4809" s="22">
        <v>0</v>
      </c>
      <c r="C4809" s="22" t="s">
        <v>2365</v>
      </c>
      <c r="D4809" s="22">
        <v>0</v>
      </c>
      <c r="E4809" s="22" t="s">
        <v>2365</v>
      </c>
      <c r="F4809" s="22">
        <v>0</v>
      </c>
      <c r="G4809" s="22" t="s">
        <v>2365</v>
      </c>
      <c r="H4809" s="22">
        <v>0</v>
      </c>
      <c r="I4809" s="22" t="s">
        <v>2365</v>
      </c>
      <c r="J4809" s="22">
        <v>0</v>
      </c>
      <c r="K4809" s="22" t="s">
        <v>2372</v>
      </c>
      <c r="L4809" s="22">
        <v>0</v>
      </c>
      <c r="M4809" s="22"/>
      <c r="N4809" s="22"/>
      <c r="O4809" s="22"/>
      <c r="P4809" s="22"/>
      <c r="Q4809" s="22"/>
      <c r="R4809" s="22"/>
      <c r="S4809" s="22"/>
      <c r="T4809" s="22"/>
      <c r="U4809" s="22"/>
      <c r="V4809" s="22"/>
      <c r="W4809" s="22"/>
      <c r="X4809" s="22"/>
    </row>
    <row r="4810" spans="1:24" x14ac:dyDescent="0.25">
      <c r="A4810" s="22" t="s">
        <v>2366</v>
      </c>
      <c r="B4810" s="22">
        <v>1</v>
      </c>
      <c r="C4810" s="22" t="s">
        <v>2366</v>
      </c>
      <c r="D4810" s="22">
        <v>0</v>
      </c>
      <c r="E4810" s="22" t="s">
        <v>2366</v>
      </c>
      <c r="F4810" s="22">
        <v>0</v>
      </c>
      <c r="G4810" s="22" t="s">
        <v>2366</v>
      </c>
      <c r="H4810" s="22">
        <v>0</v>
      </c>
      <c r="I4810" s="22" t="s">
        <v>2366</v>
      </c>
      <c r="J4810" s="22">
        <v>0</v>
      </c>
      <c r="K4810" s="22" t="s">
        <v>2373</v>
      </c>
      <c r="L4810" s="22">
        <v>0</v>
      </c>
      <c r="M4810" s="22"/>
      <c r="N4810" s="22"/>
      <c r="O4810" s="22"/>
      <c r="P4810" s="22"/>
      <c r="Q4810" s="22"/>
      <c r="R4810" s="22"/>
      <c r="S4810" s="22"/>
      <c r="T4810" s="22"/>
      <c r="U4810" s="22"/>
      <c r="V4810" s="22"/>
      <c r="W4810" s="22"/>
      <c r="X4810" s="22"/>
    </row>
    <row r="4811" spans="1:24" x14ac:dyDescent="0.25">
      <c r="A4811" s="22" t="s">
        <v>2367</v>
      </c>
      <c r="B4811" s="22">
        <v>0</v>
      </c>
      <c r="C4811" s="22" t="s">
        <v>2367</v>
      </c>
      <c r="D4811" s="22">
        <v>1</v>
      </c>
      <c r="E4811" s="22" t="s">
        <v>2367</v>
      </c>
      <c r="F4811" s="22">
        <v>1</v>
      </c>
      <c r="G4811" s="22" t="s">
        <v>2367</v>
      </c>
      <c r="H4811" s="22">
        <v>1</v>
      </c>
      <c r="I4811" s="22" t="s">
        <v>2367</v>
      </c>
      <c r="J4811" s="22">
        <v>1</v>
      </c>
      <c r="K4811" s="22" t="s">
        <v>2374</v>
      </c>
      <c r="L4811" s="22">
        <v>0</v>
      </c>
      <c r="M4811" s="22"/>
      <c r="N4811" s="22"/>
      <c r="O4811" s="22"/>
      <c r="P4811" s="22"/>
      <c r="Q4811" s="22"/>
      <c r="R4811" s="22"/>
      <c r="S4811" s="22"/>
      <c r="T4811" s="22"/>
      <c r="U4811" s="22"/>
      <c r="V4811" s="22"/>
      <c r="W4811" s="22"/>
      <c r="X4811" s="22"/>
    </row>
    <row r="4812" spans="1:24" x14ac:dyDescent="0.25">
      <c r="A4812" s="22" t="s">
        <v>2368</v>
      </c>
      <c r="B4812" s="22">
        <v>0</v>
      </c>
      <c r="C4812" s="22" t="s">
        <v>2368</v>
      </c>
      <c r="D4812" s="22">
        <v>0</v>
      </c>
      <c r="E4812" s="22" t="s">
        <v>2368</v>
      </c>
      <c r="F4812" s="22">
        <v>0</v>
      </c>
      <c r="G4812" s="22" t="s">
        <v>2368</v>
      </c>
      <c r="H4812" s="22">
        <v>0</v>
      </c>
      <c r="I4812" s="22" t="s">
        <v>2368</v>
      </c>
      <c r="J4812" s="22">
        <v>0</v>
      </c>
      <c r="K4812" s="22" t="s">
        <v>2375</v>
      </c>
      <c r="L4812" s="22">
        <v>0</v>
      </c>
      <c r="M4812" s="22"/>
      <c r="N4812" s="22"/>
      <c r="O4812" s="22"/>
      <c r="P4812" s="22"/>
      <c r="Q4812" s="22"/>
      <c r="R4812" s="22"/>
      <c r="S4812" s="22"/>
      <c r="T4812" s="22"/>
      <c r="U4812" s="22"/>
      <c r="V4812" s="22"/>
      <c r="W4812" s="22"/>
      <c r="X4812" s="22"/>
    </row>
    <row r="4813" spans="1:24" x14ac:dyDescent="0.25">
      <c r="A4813" s="22" t="s">
        <v>2369</v>
      </c>
      <c r="B4813" s="22">
        <v>0</v>
      </c>
      <c r="C4813" s="22" t="s">
        <v>2369</v>
      </c>
      <c r="D4813" s="22">
        <v>0</v>
      </c>
      <c r="E4813" s="22" t="s">
        <v>2369</v>
      </c>
      <c r="F4813" s="22">
        <v>0</v>
      </c>
      <c r="G4813" s="22" t="s">
        <v>2369</v>
      </c>
      <c r="H4813" s="22">
        <v>0</v>
      </c>
      <c r="I4813" s="22" t="s">
        <v>2369</v>
      </c>
      <c r="J4813" s="22">
        <v>0</v>
      </c>
      <c r="K4813" s="22" t="s">
        <v>2376</v>
      </c>
      <c r="L4813" s="22">
        <v>0</v>
      </c>
      <c r="M4813" s="22"/>
      <c r="N4813" s="22"/>
      <c r="O4813" s="22"/>
      <c r="P4813" s="22"/>
      <c r="Q4813" s="22"/>
      <c r="R4813" s="22"/>
      <c r="S4813" s="22"/>
      <c r="T4813" s="22"/>
      <c r="U4813" s="22"/>
      <c r="V4813" s="22"/>
      <c r="W4813" s="22"/>
      <c r="X4813" s="22"/>
    </row>
    <row r="4814" spans="1:24" x14ac:dyDescent="0.25">
      <c r="A4814" s="22" t="s">
        <v>2370</v>
      </c>
      <c r="B4814" s="22">
        <v>0</v>
      </c>
      <c r="C4814" s="22" t="s">
        <v>2370</v>
      </c>
      <c r="D4814" s="22">
        <v>0</v>
      </c>
      <c r="E4814" s="22" t="s">
        <v>2370</v>
      </c>
      <c r="F4814" s="22">
        <v>0</v>
      </c>
      <c r="G4814" s="22" t="s">
        <v>2370</v>
      </c>
      <c r="H4814" s="22">
        <v>0</v>
      </c>
      <c r="I4814" s="22" t="s">
        <v>2370</v>
      </c>
      <c r="J4814" s="22">
        <v>0</v>
      </c>
      <c r="K4814" s="22" t="s">
        <v>2377</v>
      </c>
      <c r="L4814" s="22">
        <v>0</v>
      </c>
      <c r="M4814" s="22"/>
      <c r="N4814" s="22"/>
      <c r="O4814" s="22"/>
      <c r="P4814" s="22"/>
      <c r="Q4814" s="22"/>
      <c r="R4814" s="22"/>
      <c r="S4814" s="22"/>
      <c r="T4814" s="22"/>
      <c r="U4814" s="22"/>
      <c r="V4814" s="22"/>
      <c r="W4814" s="22"/>
      <c r="X4814" s="22"/>
    </row>
    <row r="4815" spans="1:24" x14ac:dyDescent="0.25">
      <c r="A4815" s="22" t="s">
        <v>1919</v>
      </c>
      <c r="B4815" s="22">
        <v>24</v>
      </c>
      <c r="C4815" s="22" t="s">
        <v>1919</v>
      </c>
      <c r="D4815" s="22">
        <v>294</v>
      </c>
      <c r="E4815" s="22" t="s">
        <v>1919</v>
      </c>
      <c r="F4815" s="22">
        <v>294</v>
      </c>
      <c r="G4815" s="22" t="s">
        <v>1919</v>
      </c>
      <c r="H4815" s="22">
        <v>294</v>
      </c>
      <c r="I4815" s="22" t="s">
        <v>1919</v>
      </c>
      <c r="J4815" s="22">
        <v>294</v>
      </c>
      <c r="K4815" s="22" t="s">
        <v>1922</v>
      </c>
      <c r="L4815" s="22">
        <v>0</v>
      </c>
      <c r="M4815" s="22"/>
      <c r="N4815" s="22"/>
      <c r="O4815" s="22"/>
      <c r="P4815" s="22"/>
      <c r="Q4815" s="22"/>
      <c r="R4815" s="22"/>
      <c r="S4815" s="22"/>
      <c r="T4815" s="22"/>
      <c r="U4815" s="22"/>
      <c r="V4815" s="22"/>
      <c r="W4815" s="22"/>
      <c r="X4815" s="22"/>
    </row>
    <row r="4816" spans="1:24" x14ac:dyDescent="0.25">
      <c r="A4816" s="22" t="s">
        <v>2445</v>
      </c>
      <c r="B4816" s="22">
        <v>0</v>
      </c>
      <c r="C4816" s="22" t="s">
        <v>2445</v>
      </c>
      <c r="D4816" s="22">
        <v>0</v>
      </c>
      <c r="E4816" s="22" t="s">
        <v>2445</v>
      </c>
      <c r="F4816" s="22">
        <v>0</v>
      </c>
      <c r="G4816" s="22" t="s">
        <v>2445</v>
      </c>
      <c r="H4816" s="22">
        <v>0</v>
      </c>
      <c r="I4816" s="22" t="s">
        <v>2445</v>
      </c>
      <c r="J4816" s="22">
        <v>0</v>
      </c>
      <c r="K4816" s="22" t="s">
        <v>2378</v>
      </c>
      <c r="L4816" s="22">
        <v>0</v>
      </c>
      <c r="M4816" s="22"/>
      <c r="N4816" s="22"/>
      <c r="O4816" s="22"/>
      <c r="P4816" s="22"/>
      <c r="Q4816" s="22"/>
      <c r="R4816" s="22"/>
      <c r="S4816" s="22"/>
      <c r="T4816" s="22"/>
      <c r="U4816" s="22"/>
      <c r="V4816" s="22"/>
      <c r="W4816" s="22"/>
      <c r="X4816" s="22"/>
    </row>
    <row r="4817" spans="1:24" x14ac:dyDescent="0.25">
      <c r="A4817" s="22" t="s">
        <v>2446</v>
      </c>
      <c r="B4817" s="22">
        <v>0</v>
      </c>
      <c r="C4817" s="22" t="s">
        <v>2446</v>
      </c>
      <c r="D4817" s="22">
        <v>0</v>
      </c>
      <c r="E4817" s="22" t="s">
        <v>2446</v>
      </c>
      <c r="F4817" s="22">
        <v>0</v>
      </c>
      <c r="G4817" s="22" t="s">
        <v>2446</v>
      </c>
      <c r="H4817" s="22">
        <v>0</v>
      </c>
      <c r="I4817" s="22" t="s">
        <v>2446</v>
      </c>
      <c r="J4817" s="22">
        <v>0</v>
      </c>
      <c r="K4817" s="22" t="s">
        <v>2379</v>
      </c>
      <c r="L4817" s="22">
        <v>0</v>
      </c>
      <c r="M4817" s="22"/>
      <c r="N4817" s="22"/>
      <c r="O4817" s="22"/>
      <c r="P4817" s="22"/>
      <c r="Q4817" s="22"/>
      <c r="R4817" s="22"/>
      <c r="S4817" s="22"/>
      <c r="T4817" s="22"/>
      <c r="U4817" s="22"/>
      <c r="V4817" s="22"/>
      <c r="W4817" s="22"/>
      <c r="X4817" s="22"/>
    </row>
    <row r="4818" spans="1:24" x14ac:dyDescent="0.25">
      <c r="A4818" s="22" t="s">
        <v>2447</v>
      </c>
      <c r="B4818" s="22">
        <v>0</v>
      </c>
      <c r="C4818" s="22" t="s">
        <v>2447</v>
      </c>
      <c r="D4818" s="22">
        <v>0</v>
      </c>
      <c r="E4818" s="22" t="s">
        <v>2447</v>
      </c>
      <c r="F4818" s="22">
        <v>0</v>
      </c>
      <c r="G4818" s="22" t="s">
        <v>2447</v>
      </c>
      <c r="H4818" s="22">
        <v>0</v>
      </c>
      <c r="I4818" s="22" t="s">
        <v>2447</v>
      </c>
      <c r="J4818" s="22">
        <v>0</v>
      </c>
      <c r="K4818" s="22" t="s">
        <v>2380</v>
      </c>
      <c r="L4818" s="22">
        <v>0</v>
      </c>
      <c r="M4818" s="22"/>
      <c r="N4818" s="22"/>
      <c r="O4818" s="22"/>
      <c r="P4818" s="22"/>
      <c r="Q4818" s="22"/>
      <c r="R4818" s="22"/>
      <c r="S4818" s="22"/>
      <c r="T4818" s="22"/>
      <c r="U4818" s="22"/>
      <c r="V4818" s="22"/>
      <c r="W4818" s="22"/>
      <c r="X4818" s="22"/>
    </row>
    <row r="4819" spans="1:24" x14ac:dyDescent="0.25">
      <c r="A4819" s="22" t="s">
        <v>2448</v>
      </c>
      <c r="B4819" s="22">
        <v>0</v>
      </c>
      <c r="C4819" s="22" t="s">
        <v>2448</v>
      </c>
      <c r="D4819" s="22">
        <v>0</v>
      </c>
      <c r="E4819" s="22" t="s">
        <v>2448</v>
      </c>
      <c r="F4819" s="22">
        <v>0</v>
      </c>
      <c r="G4819" s="22" t="s">
        <v>2448</v>
      </c>
      <c r="H4819" s="22">
        <v>0</v>
      </c>
      <c r="I4819" s="22" t="s">
        <v>2448</v>
      </c>
      <c r="J4819" s="22">
        <v>0</v>
      </c>
      <c r="K4819" s="22" t="s">
        <v>2381</v>
      </c>
      <c r="L4819" s="22">
        <v>0</v>
      </c>
      <c r="M4819" s="22"/>
      <c r="N4819" s="22"/>
      <c r="O4819" s="22"/>
      <c r="P4819" s="22"/>
      <c r="Q4819" s="22"/>
      <c r="R4819" s="22"/>
      <c r="S4819" s="22"/>
      <c r="T4819" s="22"/>
      <c r="U4819" s="22"/>
      <c r="V4819" s="22"/>
      <c r="W4819" s="22"/>
      <c r="X4819" s="22"/>
    </row>
    <row r="4820" spans="1:24" x14ac:dyDescent="0.25">
      <c r="A4820" s="22" t="s">
        <v>2449</v>
      </c>
      <c r="B4820" s="22">
        <v>0</v>
      </c>
      <c r="C4820" s="22" t="s">
        <v>2449</v>
      </c>
      <c r="D4820" s="22">
        <v>0</v>
      </c>
      <c r="E4820" s="22" t="s">
        <v>2449</v>
      </c>
      <c r="F4820" s="22">
        <v>0</v>
      </c>
      <c r="G4820" s="22" t="s">
        <v>2449</v>
      </c>
      <c r="H4820" s="22">
        <v>0</v>
      </c>
      <c r="I4820" s="22" t="s">
        <v>2449</v>
      </c>
      <c r="J4820" s="22">
        <v>0</v>
      </c>
      <c r="K4820" s="22" t="s">
        <v>2382</v>
      </c>
      <c r="L4820" s="22">
        <v>0</v>
      </c>
      <c r="M4820" s="22"/>
      <c r="N4820" s="22"/>
      <c r="O4820" s="22"/>
      <c r="P4820" s="22"/>
      <c r="Q4820" s="22"/>
      <c r="R4820" s="22"/>
      <c r="S4820" s="22"/>
      <c r="T4820" s="22"/>
      <c r="U4820" s="22"/>
      <c r="V4820" s="22"/>
      <c r="W4820" s="22"/>
      <c r="X4820" s="22"/>
    </row>
    <row r="4821" spans="1:24" x14ac:dyDescent="0.25">
      <c r="A4821" s="22" t="s">
        <v>2450</v>
      </c>
      <c r="B4821" s="22">
        <v>0</v>
      </c>
      <c r="C4821" s="22" t="s">
        <v>2450</v>
      </c>
      <c r="D4821" s="22">
        <v>0</v>
      </c>
      <c r="E4821" s="22" t="s">
        <v>2450</v>
      </c>
      <c r="F4821" s="22">
        <v>0</v>
      </c>
      <c r="G4821" s="22" t="s">
        <v>2450</v>
      </c>
      <c r="H4821" s="22">
        <v>0</v>
      </c>
      <c r="I4821" s="22" t="s">
        <v>2450</v>
      </c>
      <c r="J4821" s="22">
        <v>0</v>
      </c>
      <c r="K4821" s="22" t="s">
        <v>2383</v>
      </c>
      <c r="L4821" s="22">
        <v>0</v>
      </c>
      <c r="M4821" s="22"/>
      <c r="N4821" s="22"/>
      <c r="O4821" s="22"/>
      <c r="P4821" s="22"/>
      <c r="Q4821" s="22"/>
      <c r="R4821" s="22"/>
      <c r="S4821" s="22"/>
      <c r="T4821" s="22"/>
      <c r="U4821" s="22"/>
      <c r="V4821" s="22"/>
      <c r="W4821" s="22"/>
      <c r="X4821" s="22"/>
    </row>
    <row r="4822" spans="1:24" x14ac:dyDescent="0.25">
      <c r="A4822" s="22" t="s">
        <v>2451</v>
      </c>
      <c r="B4822" s="22">
        <v>0</v>
      </c>
      <c r="C4822" s="22" t="s">
        <v>2451</v>
      </c>
      <c r="D4822" s="22">
        <v>0</v>
      </c>
      <c r="E4822" s="22" t="s">
        <v>2451</v>
      </c>
      <c r="F4822" s="22">
        <v>0</v>
      </c>
      <c r="G4822" s="22" t="s">
        <v>2451</v>
      </c>
      <c r="H4822" s="22">
        <v>0</v>
      </c>
      <c r="I4822" s="22" t="s">
        <v>2451</v>
      </c>
      <c r="J4822" s="22">
        <v>0</v>
      </c>
      <c r="K4822" s="22" t="s">
        <v>2384</v>
      </c>
      <c r="L4822" s="22">
        <v>0</v>
      </c>
      <c r="M4822" s="22"/>
      <c r="N4822" s="22"/>
      <c r="O4822" s="22"/>
      <c r="P4822" s="22"/>
      <c r="Q4822" s="22"/>
      <c r="R4822" s="22"/>
      <c r="S4822" s="22"/>
      <c r="T4822" s="22"/>
      <c r="U4822" s="22"/>
      <c r="V4822" s="22"/>
      <c r="W4822" s="22"/>
      <c r="X4822" s="22"/>
    </row>
    <row r="4823" spans="1:24" x14ac:dyDescent="0.25">
      <c r="A4823" s="22" t="s">
        <v>1920</v>
      </c>
      <c r="B4823" s="22">
        <v>0</v>
      </c>
      <c r="C4823" s="22" t="s">
        <v>1920</v>
      </c>
      <c r="D4823" s="22">
        <v>28</v>
      </c>
      <c r="E4823" s="22" t="s">
        <v>1920</v>
      </c>
      <c r="F4823" s="22">
        <v>28</v>
      </c>
      <c r="G4823" s="22" t="s">
        <v>1920</v>
      </c>
      <c r="H4823" s="22">
        <v>28</v>
      </c>
      <c r="I4823" s="22" t="s">
        <v>1920</v>
      </c>
      <c r="J4823" s="22">
        <v>28</v>
      </c>
      <c r="K4823" s="22" t="s">
        <v>1923</v>
      </c>
      <c r="L4823" s="22">
        <v>0</v>
      </c>
      <c r="M4823" s="22"/>
      <c r="N4823" s="22"/>
      <c r="O4823" s="22"/>
      <c r="P4823" s="22"/>
      <c r="Q4823" s="22"/>
      <c r="R4823" s="22"/>
      <c r="S4823" s="22"/>
      <c r="T4823" s="22"/>
      <c r="U4823" s="22"/>
      <c r="V4823" s="22"/>
      <c r="W4823" s="22"/>
      <c r="X4823" s="22"/>
    </row>
    <row r="4824" spans="1:24" x14ac:dyDescent="0.25">
      <c r="A4824" s="22" t="s">
        <v>2437</v>
      </c>
      <c r="B4824" s="22">
        <v>0</v>
      </c>
      <c r="C4824" s="22" t="s">
        <v>2437</v>
      </c>
      <c r="D4824" s="22">
        <v>3</v>
      </c>
      <c r="E4824" s="22" t="s">
        <v>2437</v>
      </c>
      <c r="F4824" s="22">
        <v>3</v>
      </c>
      <c r="G4824" s="22" t="s">
        <v>2437</v>
      </c>
      <c r="H4824" s="22">
        <v>3</v>
      </c>
      <c r="I4824" s="22" t="s">
        <v>2437</v>
      </c>
      <c r="J4824" s="22">
        <v>3</v>
      </c>
      <c r="K4824" s="22" t="s">
        <v>2423</v>
      </c>
      <c r="L4824" s="22">
        <v>0</v>
      </c>
      <c r="M4824" s="22"/>
      <c r="N4824" s="22"/>
      <c r="O4824" s="22"/>
      <c r="P4824" s="22"/>
      <c r="Q4824" s="22"/>
      <c r="R4824" s="22"/>
      <c r="S4824" s="22"/>
      <c r="T4824" s="22"/>
      <c r="U4824" s="22"/>
      <c r="V4824" s="22"/>
      <c r="W4824" s="22"/>
      <c r="X4824" s="22"/>
    </row>
    <row r="4825" spans="1:24" x14ac:dyDescent="0.25">
      <c r="A4825" s="22" t="s">
        <v>2438</v>
      </c>
      <c r="B4825" s="22">
        <v>0</v>
      </c>
      <c r="C4825" s="22" t="s">
        <v>2438</v>
      </c>
      <c r="D4825" s="22">
        <v>0</v>
      </c>
      <c r="E4825" s="22" t="s">
        <v>2438</v>
      </c>
      <c r="F4825" s="22">
        <v>0</v>
      </c>
      <c r="G4825" s="22" t="s">
        <v>2438</v>
      </c>
      <c r="H4825" s="22">
        <v>0</v>
      </c>
      <c r="I4825" s="22" t="s">
        <v>2438</v>
      </c>
      <c r="J4825" s="22">
        <v>0</v>
      </c>
      <c r="K4825" s="22" t="s">
        <v>2424</v>
      </c>
      <c r="L4825" s="22">
        <v>0</v>
      </c>
      <c r="M4825" s="22"/>
      <c r="N4825" s="22"/>
      <c r="O4825" s="22"/>
      <c r="P4825" s="22"/>
      <c r="Q4825" s="22"/>
      <c r="R4825" s="22"/>
      <c r="S4825" s="22"/>
      <c r="T4825" s="22"/>
      <c r="U4825" s="22"/>
      <c r="V4825" s="22"/>
      <c r="W4825" s="22"/>
      <c r="X4825" s="22"/>
    </row>
    <row r="4826" spans="1:24" x14ac:dyDescent="0.25">
      <c r="A4826" s="22" t="s">
        <v>2439</v>
      </c>
      <c r="B4826" s="22">
        <v>0</v>
      </c>
      <c r="C4826" s="22" t="s">
        <v>2439</v>
      </c>
      <c r="D4826" s="22">
        <v>0</v>
      </c>
      <c r="E4826" s="22" t="s">
        <v>2439</v>
      </c>
      <c r="F4826" s="22">
        <v>0</v>
      </c>
      <c r="G4826" s="22" t="s">
        <v>2439</v>
      </c>
      <c r="H4826" s="22">
        <v>0</v>
      </c>
      <c r="I4826" s="22" t="s">
        <v>2439</v>
      </c>
      <c r="J4826" s="22">
        <v>0</v>
      </c>
      <c r="K4826" s="22" t="s">
        <v>2425</v>
      </c>
      <c r="L4826" s="22">
        <v>0</v>
      </c>
      <c r="M4826" s="22"/>
      <c r="N4826" s="22"/>
      <c r="O4826" s="22"/>
      <c r="P4826" s="22"/>
      <c r="Q4826" s="22"/>
      <c r="R4826" s="22"/>
      <c r="S4826" s="22"/>
      <c r="T4826" s="22"/>
      <c r="U4826" s="22"/>
      <c r="V4826" s="22"/>
      <c r="W4826" s="22"/>
      <c r="X4826" s="22"/>
    </row>
    <row r="4827" spans="1:24" x14ac:dyDescent="0.25">
      <c r="A4827" s="22" t="s">
        <v>2440</v>
      </c>
      <c r="B4827" s="22">
        <v>0</v>
      </c>
      <c r="C4827" s="22" t="s">
        <v>2440</v>
      </c>
      <c r="D4827" s="22">
        <v>0</v>
      </c>
      <c r="E4827" s="22" t="s">
        <v>2440</v>
      </c>
      <c r="F4827" s="22">
        <v>0</v>
      </c>
      <c r="G4827" s="22" t="s">
        <v>2440</v>
      </c>
      <c r="H4827" s="22">
        <v>0</v>
      </c>
      <c r="I4827" s="22" t="s">
        <v>2440</v>
      </c>
      <c r="J4827" s="22">
        <v>0</v>
      </c>
      <c r="K4827" s="22" t="s">
        <v>2426</v>
      </c>
      <c r="L4827" s="22">
        <v>0</v>
      </c>
      <c r="M4827" s="22"/>
      <c r="N4827" s="22"/>
      <c r="O4827" s="22"/>
      <c r="P4827" s="22"/>
      <c r="Q4827" s="22"/>
      <c r="R4827" s="22"/>
      <c r="S4827" s="22"/>
      <c r="T4827" s="22"/>
      <c r="U4827" s="22"/>
      <c r="V4827" s="22"/>
      <c r="W4827" s="22"/>
      <c r="X4827" s="22"/>
    </row>
    <row r="4828" spans="1:24" x14ac:dyDescent="0.25">
      <c r="A4828" s="22" t="s">
        <v>2441</v>
      </c>
      <c r="B4828" s="22">
        <v>0</v>
      </c>
      <c r="C4828" s="22" t="s">
        <v>2441</v>
      </c>
      <c r="D4828" s="22">
        <v>0</v>
      </c>
      <c r="E4828" s="22" t="s">
        <v>2441</v>
      </c>
      <c r="F4828" s="22">
        <v>0</v>
      </c>
      <c r="G4828" s="22" t="s">
        <v>2441</v>
      </c>
      <c r="H4828" s="22">
        <v>0</v>
      </c>
      <c r="I4828" s="22" t="s">
        <v>2441</v>
      </c>
      <c r="J4828" s="22">
        <v>0</v>
      </c>
      <c r="K4828" s="22" t="s">
        <v>2427</v>
      </c>
      <c r="L4828" s="22">
        <v>0</v>
      </c>
      <c r="M4828" s="22"/>
      <c r="N4828" s="22"/>
      <c r="O4828" s="22"/>
      <c r="P4828" s="22"/>
      <c r="Q4828" s="22"/>
      <c r="R4828" s="22"/>
      <c r="S4828" s="22"/>
      <c r="T4828" s="22"/>
      <c r="U4828" s="22"/>
      <c r="V4828" s="22"/>
      <c r="W4828" s="22"/>
      <c r="X4828" s="22"/>
    </row>
    <row r="4829" spans="1:24" x14ac:dyDescent="0.25">
      <c r="A4829" s="22" t="s">
        <v>2442</v>
      </c>
      <c r="B4829" s="22">
        <v>0</v>
      </c>
      <c r="C4829" s="22" t="s">
        <v>2442</v>
      </c>
      <c r="D4829" s="22">
        <v>0</v>
      </c>
      <c r="E4829" s="22" t="s">
        <v>2442</v>
      </c>
      <c r="F4829" s="22">
        <v>0</v>
      </c>
      <c r="G4829" s="22" t="s">
        <v>2442</v>
      </c>
      <c r="H4829" s="22">
        <v>0</v>
      </c>
      <c r="I4829" s="22" t="s">
        <v>2442</v>
      </c>
      <c r="J4829" s="22">
        <v>0</v>
      </c>
      <c r="K4829" s="22" t="s">
        <v>2428</v>
      </c>
      <c r="L4829" s="22">
        <v>0</v>
      </c>
      <c r="M4829" s="22"/>
      <c r="N4829" s="22"/>
      <c r="O4829" s="22"/>
      <c r="P4829" s="22"/>
      <c r="Q4829" s="22"/>
      <c r="R4829" s="22"/>
      <c r="S4829" s="22"/>
      <c r="T4829" s="22"/>
      <c r="U4829" s="22"/>
      <c r="V4829" s="22"/>
      <c r="W4829" s="22"/>
      <c r="X4829" s="22"/>
    </row>
    <row r="4830" spans="1:24" x14ac:dyDescent="0.25">
      <c r="A4830" s="22" t="s">
        <v>2443</v>
      </c>
      <c r="B4830" s="22">
        <v>0</v>
      </c>
      <c r="C4830" s="22" t="s">
        <v>2443</v>
      </c>
      <c r="D4830" s="22">
        <v>0</v>
      </c>
      <c r="E4830" s="22" t="s">
        <v>2443</v>
      </c>
      <c r="F4830" s="22">
        <v>0</v>
      </c>
      <c r="G4830" s="22" t="s">
        <v>2443</v>
      </c>
      <c r="H4830" s="22">
        <v>0</v>
      </c>
      <c r="I4830" s="22" t="s">
        <v>2443</v>
      </c>
      <c r="J4830" s="22">
        <v>0</v>
      </c>
      <c r="K4830" s="22" t="s">
        <v>2429</v>
      </c>
      <c r="L4830" s="22">
        <v>0</v>
      </c>
      <c r="M4830" s="22"/>
      <c r="N4830" s="22"/>
      <c r="O4830" s="22"/>
      <c r="P4830" s="22"/>
      <c r="Q4830" s="22"/>
      <c r="R4830" s="22"/>
      <c r="S4830" s="22"/>
      <c r="T4830" s="22"/>
      <c r="U4830" s="22"/>
      <c r="V4830" s="22"/>
      <c r="W4830" s="22"/>
      <c r="X4830" s="22"/>
    </row>
    <row r="4831" spans="1:24" x14ac:dyDescent="0.25">
      <c r="A4831" s="22" t="s">
        <v>1921</v>
      </c>
      <c r="B4831" s="22">
        <v>0</v>
      </c>
      <c r="C4831" s="22" t="s">
        <v>1921</v>
      </c>
      <c r="D4831" s="22">
        <v>0</v>
      </c>
      <c r="E4831" s="22" t="s">
        <v>1921</v>
      </c>
      <c r="F4831" s="22">
        <v>0</v>
      </c>
      <c r="G4831" s="22" t="s">
        <v>1921</v>
      </c>
      <c r="H4831" s="22">
        <v>0</v>
      </c>
      <c r="I4831" s="22" t="s">
        <v>1921</v>
      </c>
      <c r="J4831" s="22">
        <v>0</v>
      </c>
      <c r="K4831" s="22" t="s">
        <v>1924</v>
      </c>
      <c r="L4831" s="22">
        <v>0</v>
      </c>
      <c r="M4831" s="22"/>
      <c r="N4831" s="22"/>
      <c r="O4831" s="22"/>
      <c r="P4831" s="22"/>
      <c r="Q4831" s="22"/>
      <c r="R4831" s="22"/>
      <c r="S4831" s="22"/>
      <c r="T4831" s="22"/>
      <c r="U4831" s="22"/>
      <c r="V4831" s="22"/>
      <c r="W4831" s="22"/>
      <c r="X4831" s="22"/>
    </row>
    <row r="4832" spans="1:24" x14ac:dyDescent="0.25">
      <c r="A4832" s="22" t="s">
        <v>2371</v>
      </c>
      <c r="B4832" s="22">
        <v>0</v>
      </c>
      <c r="C4832" s="22" t="s">
        <v>2371</v>
      </c>
      <c r="D4832" s="22">
        <v>0</v>
      </c>
      <c r="E4832" s="22" t="s">
        <v>2371</v>
      </c>
      <c r="F4832" s="22">
        <v>0</v>
      </c>
      <c r="G4832" s="22" t="s">
        <v>2371</v>
      </c>
      <c r="H4832" s="22">
        <v>0</v>
      </c>
      <c r="I4832" s="22" t="s">
        <v>2371</v>
      </c>
      <c r="J4832" s="22">
        <v>0</v>
      </c>
      <c r="K4832" s="22" t="s">
        <v>2385</v>
      </c>
      <c r="L4832" s="22">
        <v>0</v>
      </c>
      <c r="M4832" s="22"/>
      <c r="N4832" s="22"/>
      <c r="O4832" s="22"/>
      <c r="P4832" s="22"/>
      <c r="Q4832" s="22"/>
      <c r="R4832" s="22"/>
      <c r="S4832" s="22"/>
      <c r="T4832" s="22"/>
      <c r="U4832" s="22"/>
      <c r="V4832" s="22"/>
      <c r="W4832" s="22"/>
      <c r="X4832" s="22"/>
    </row>
    <row r="4833" spans="1:24" x14ac:dyDescent="0.25">
      <c r="A4833" s="22" t="s">
        <v>2372</v>
      </c>
      <c r="B4833" s="22">
        <v>0</v>
      </c>
      <c r="C4833" s="22" t="s">
        <v>2372</v>
      </c>
      <c r="D4833" s="22">
        <v>0</v>
      </c>
      <c r="E4833" s="22" t="s">
        <v>2372</v>
      </c>
      <c r="F4833" s="22">
        <v>0</v>
      </c>
      <c r="G4833" s="22" t="s">
        <v>2372</v>
      </c>
      <c r="H4833" s="22">
        <v>0</v>
      </c>
      <c r="I4833" s="22" t="s">
        <v>2372</v>
      </c>
      <c r="J4833" s="22">
        <v>0</v>
      </c>
      <c r="K4833" s="22" t="s">
        <v>2386</v>
      </c>
      <c r="L4833" s="22">
        <v>0</v>
      </c>
      <c r="M4833" s="22"/>
      <c r="N4833" s="22"/>
      <c r="O4833" s="22"/>
      <c r="P4833" s="22"/>
      <c r="Q4833" s="22"/>
      <c r="R4833" s="22"/>
      <c r="S4833" s="22"/>
      <c r="T4833" s="22"/>
      <c r="U4833" s="22"/>
      <c r="V4833" s="22"/>
      <c r="W4833" s="22"/>
      <c r="X4833" s="22"/>
    </row>
    <row r="4834" spans="1:24" x14ac:dyDescent="0.25">
      <c r="A4834" s="22" t="s">
        <v>2373</v>
      </c>
      <c r="B4834" s="22">
        <v>0</v>
      </c>
      <c r="C4834" s="22" t="s">
        <v>2373</v>
      </c>
      <c r="D4834" s="22">
        <v>0</v>
      </c>
      <c r="E4834" s="22" t="s">
        <v>2373</v>
      </c>
      <c r="F4834" s="22">
        <v>0</v>
      </c>
      <c r="G4834" s="22" t="s">
        <v>2373</v>
      </c>
      <c r="H4834" s="22">
        <v>0</v>
      </c>
      <c r="I4834" s="22" t="s">
        <v>2373</v>
      </c>
      <c r="J4834" s="22">
        <v>0</v>
      </c>
      <c r="K4834" s="22" t="s">
        <v>2387</v>
      </c>
      <c r="L4834" s="22">
        <v>0</v>
      </c>
      <c r="M4834" s="22"/>
      <c r="N4834" s="22"/>
      <c r="O4834" s="22"/>
      <c r="P4834" s="22"/>
      <c r="Q4834" s="22"/>
      <c r="R4834" s="22"/>
      <c r="S4834" s="22"/>
      <c r="T4834" s="22"/>
      <c r="U4834" s="22"/>
      <c r="V4834" s="22"/>
      <c r="W4834" s="22"/>
      <c r="X4834" s="22"/>
    </row>
    <row r="4835" spans="1:24" x14ac:dyDescent="0.25">
      <c r="A4835" s="22" t="s">
        <v>2374</v>
      </c>
      <c r="B4835" s="22">
        <v>0</v>
      </c>
      <c r="C4835" s="22" t="s">
        <v>2374</v>
      </c>
      <c r="D4835" s="22">
        <v>0</v>
      </c>
      <c r="E4835" s="22" t="s">
        <v>2374</v>
      </c>
      <c r="F4835" s="22">
        <v>0</v>
      </c>
      <c r="G4835" s="22" t="s">
        <v>2374</v>
      </c>
      <c r="H4835" s="22">
        <v>0</v>
      </c>
      <c r="I4835" s="22" t="s">
        <v>2374</v>
      </c>
      <c r="J4835" s="22">
        <v>0</v>
      </c>
      <c r="K4835" s="22" t="s">
        <v>2388</v>
      </c>
      <c r="L4835" s="22">
        <v>0</v>
      </c>
      <c r="M4835" s="22"/>
      <c r="N4835" s="22"/>
      <c r="O4835" s="22"/>
      <c r="P4835" s="22"/>
      <c r="Q4835" s="22"/>
      <c r="R4835" s="22"/>
      <c r="S4835" s="22"/>
      <c r="T4835" s="22"/>
      <c r="U4835" s="22"/>
      <c r="V4835" s="22"/>
      <c r="W4835" s="22"/>
      <c r="X4835" s="22"/>
    </row>
    <row r="4836" spans="1:24" x14ac:dyDescent="0.25">
      <c r="A4836" s="22" t="s">
        <v>2375</v>
      </c>
      <c r="B4836" s="22">
        <v>0</v>
      </c>
      <c r="C4836" s="22" t="s">
        <v>2375</v>
      </c>
      <c r="D4836" s="22">
        <v>0</v>
      </c>
      <c r="E4836" s="22" t="s">
        <v>2375</v>
      </c>
      <c r="F4836" s="22">
        <v>0</v>
      </c>
      <c r="G4836" s="22" t="s">
        <v>2375</v>
      </c>
      <c r="H4836" s="22">
        <v>0</v>
      </c>
      <c r="I4836" s="22" t="s">
        <v>2375</v>
      </c>
      <c r="J4836" s="22">
        <v>0</v>
      </c>
      <c r="K4836" s="22" t="s">
        <v>2389</v>
      </c>
      <c r="L4836" s="22">
        <v>0</v>
      </c>
      <c r="M4836" s="22"/>
      <c r="N4836" s="22"/>
      <c r="O4836" s="22"/>
      <c r="P4836" s="22"/>
      <c r="Q4836" s="22"/>
      <c r="R4836" s="22"/>
      <c r="S4836" s="22"/>
      <c r="T4836" s="22"/>
      <c r="U4836" s="22"/>
      <c r="V4836" s="22"/>
      <c r="W4836" s="22"/>
      <c r="X4836" s="22"/>
    </row>
    <row r="4837" spans="1:24" x14ac:dyDescent="0.25">
      <c r="A4837" s="22" t="s">
        <v>2376</v>
      </c>
      <c r="B4837" s="22">
        <v>0</v>
      </c>
      <c r="C4837" s="22" t="s">
        <v>2376</v>
      </c>
      <c r="D4837" s="22">
        <v>0</v>
      </c>
      <c r="E4837" s="22" t="s">
        <v>2376</v>
      </c>
      <c r="F4837" s="22">
        <v>0</v>
      </c>
      <c r="G4837" s="22" t="s">
        <v>2376</v>
      </c>
      <c r="H4837" s="22">
        <v>0</v>
      </c>
      <c r="I4837" s="22" t="s">
        <v>2376</v>
      </c>
      <c r="J4837" s="22">
        <v>0</v>
      </c>
      <c r="K4837" s="22" t="s">
        <v>2390</v>
      </c>
      <c r="L4837" s="22">
        <v>0</v>
      </c>
      <c r="M4837" s="22"/>
      <c r="N4837" s="22"/>
      <c r="O4837" s="22"/>
      <c r="P4837" s="22"/>
      <c r="Q4837" s="22"/>
      <c r="R4837" s="22"/>
      <c r="S4837" s="22"/>
      <c r="T4837" s="22"/>
      <c r="U4837" s="22"/>
      <c r="V4837" s="22"/>
      <c r="W4837" s="22"/>
      <c r="X4837" s="22"/>
    </row>
    <row r="4838" spans="1:24" x14ac:dyDescent="0.25">
      <c r="A4838" s="22" t="s">
        <v>2377</v>
      </c>
      <c r="B4838" s="22">
        <v>0</v>
      </c>
      <c r="C4838" s="22" t="s">
        <v>2377</v>
      </c>
      <c r="D4838" s="22">
        <v>0</v>
      </c>
      <c r="E4838" s="22" t="s">
        <v>2377</v>
      </c>
      <c r="F4838" s="22">
        <v>0</v>
      </c>
      <c r="G4838" s="22" t="s">
        <v>2377</v>
      </c>
      <c r="H4838" s="22">
        <v>0</v>
      </c>
      <c r="I4838" s="22" t="s">
        <v>2377</v>
      </c>
      <c r="J4838" s="22">
        <v>0</v>
      </c>
      <c r="K4838" s="22" t="s">
        <v>2391</v>
      </c>
      <c r="L4838" s="22">
        <v>0</v>
      </c>
      <c r="M4838" s="22"/>
      <c r="N4838" s="22"/>
      <c r="O4838" s="22"/>
      <c r="P4838" s="22"/>
      <c r="Q4838" s="22"/>
      <c r="R4838" s="22"/>
      <c r="S4838" s="22"/>
      <c r="T4838" s="22"/>
      <c r="U4838" s="22"/>
      <c r="V4838" s="22"/>
      <c r="W4838" s="22"/>
      <c r="X4838" s="22"/>
    </row>
    <row r="4839" spans="1:24" x14ac:dyDescent="0.25">
      <c r="A4839" s="22" t="s">
        <v>1922</v>
      </c>
      <c r="B4839" s="22">
        <v>0</v>
      </c>
      <c r="C4839" s="22" t="s">
        <v>1922</v>
      </c>
      <c r="D4839" s="22">
        <v>0</v>
      </c>
      <c r="E4839" s="22" t="s">
        <v>1922</v>
      </c>
      <c r="F4839" s="22">
        <v>0</v>
      </c>
      <c r="G4839" s="22" t="s">
        <v>1922</v>
      </c>
      <c r="H4839" s="22">
        <v>0</v>
      </c>
      <c r="I4839" s="22" t="s">
        <v>1922</v>
      </c>
      <c r="J4839" s="22">
        <v>0</v>
      </c>
      <c r="K4839" s="22" t="s">
        <v>1925</v>
      </c>
      <c r="L4839" s="22">
        <v>359</v>
      </c>
      <c r="M4839" s="22"/>
      <c r="N4839" s="22"/>
      <c r="O4839" s="22"/>
      <c r="P4839" s="22"/>
      <c r="Q4839" s="22"/>
      <c r="R4839" s="22"/>
      <c r="S4839" s="22"/>
      <c r="T4839" s="22"/>
      <c r="U4839" s="22"/>
      <c r="V4839" s="22"/>
      <c r="W4839" s="22"/>
      <c r="X4839" s="22"/>
    </row>
    <row r="4840" spans="1:24" x14ac:dyDescent="0.25">
      <c r="A4840" s="22" t="s">
        <v>2378</v>
      </c>
      <c r="B4840" s="22">
        <v>0</v>
      </c>
      <c r="C4840" s="22" t="s">
        <v>2378</v>
      </c>
      <c r="D4840" s="22">
        <v>0</v>
      </c>
      <c r="E4840" s="22" t="s">
        <v>2378</v>
      </c>
      <c r="F4840" s="22">
        <v>0</v>
      </c>
      <c r="G4840" s="22" t="s">
        <v>2378</v>
      </c>
      <c r="H4840" s="22">
        <v>0</v>
      </c>
      <c r="I4840" s="22" t="s">
        <v>2378</v>
      </c>
      <c r="J4840" s="22">
        <v>0</v>
      </c>
      <c r="K4840" s="22" t="s">
        <v>2392</v>
      </c>
      <c r="L4840" s="22">
        <v>0</v>
      </c>
      <c r="M4840" s="22"/>
      <c r="N4840" s="22"/>
      <c r="O4840" s="22"/>
      <c r="P4840" s="22"/>
      <c r="Q4840" s="22"/>
      <c r="R4840" s="22"/>
      <c r="S4840" s="22"/>
      <c r="T4840" s="22"/>
      <c r="U4840" s="22"/>
      <c r="V4840" s="22"/>
      <c r="W4840" s="22"/>
      <c r="X4840" s="22"/>
    </row>
    <row r="4841" spans="1:24" x14ac:dyDescent="0.25">
      <c r="A4841" s="22" t="s">
        <v>2379</v>
      </c>
      <c r="B4841" s="22">
        <v>0</v>
      </c>
      <c r="C4841" s="22" t="s">
        <v>2379</v>
      </c>
      <c r="D4841" s="22">
        <v>0</v>
      </c>
      <c r="E4841" s="22" t="s">
        <v>2379</v>
      </c>
      <c r="F4841" s="22">
        <v>0</v>
      </c>
      <c r="G4841" s="22" t="s">
        <v>2379</v>
      </c>
      <c r="H4841" s="22">
        <v>0</v>
      </c>
      <c r="I4841" s="22" t="s">
        <v>2379</v>
      </c>
      <c r="J4841" s="22">
        <v>0</v>
      </c>
      <c r="K4841" s="22" t="s">
        <v>2393</v>
      </c>
      <c r="L4841" s="22">
        <v>0</v>
      </c>
      <c r="M4841" s="22"/>
      <c r="N4841" s="22"/>
      <c r="O4841" s="22"/>
      <c r="P4841" s="22"/>
      <c r="Q4841" s="22"/>
      <c r="R4841" s="22"/>
      <c r="S4841" s="22"/>
      <c r="T4841" s="22"/>
      <c r="U4841" s="22"/>
      <c r="V4841" s="22"/>
      <c r="W4841" s="22"/>
      <c r="X4841" s="22"/>
    </row>
    <row r="4842" spans="1:24" x14ac:dyDescent="0.25">
      <c r="A4842" s="22" t="s">
        <v>2380</v>
      </c>
      <c r="B4842" s="22">
        <v>0</v>
      </c>
      <c r="C4842" s="22" t="s">
        <v>2380</v>
      </c>
      <c r="D4842" s="22">
        <v>0</v>
      </c>
      <c r="E4842" s="22" t="s">
        <v>2380</v>
      </c>
      <c r="F4842" s="22">
        <v>0</v>
      </c>
      <c r="G4842" s="22" t="s">
        <v>2380</v>
      </c>
      <c r="H4842" s="22">
        <v>0</v>
      </c>
      <c r="I4842" s="22" t="s">
        <v>2380</v>
      </c>
      <c r="J4842" s="22">
        <v>0</v>
      </c>
      <c r="K4842" s="22" t="s">
        <v>2394</v>
      </c>
      <c r="L4842" s="22">
        <v>0</v>
      </c>
      <c r="M4842" s="22"/>
      <c r="N4842" s="22"/>
      <c r="O4842" s="22"/>
      <c r="P4842" s="22"/>
      <c r="Q4842" s="22"/>
      <c r="R4842" s="22"/>
      <c r="S4842" s="22"/>
      <c r="T4842" s="22"/>
      <c r="U4842" s="22"/>
      <c r="V4842" s="22"/>
      <c r="W4842" s="22"/>
      <c r="X4842" s="22"/>
    </row>
    <row r="4843" spans="1:24" x14ac:dyDescent="0.25">
      <c r="A4843" s="22" t="s">
        <v>2381</v>
      </c>
      <c r="B4843" s="22">
        <v>0</v>
      </c>
      <c r="C4843" s="22" t="s">
        <v>2381</v>
      </c>
      <c r="D4843" s="22">
        <v>0</v>
      </c>
      <c r="E4843" s="22" t="s">
        <v>2381</v>
      </c>
      <c r="F4843" s="22">
        <v>0</v>
      </c>
      <c r="G4843" s="22" t="s">
        <v>2381</v>
      </c>
      <c r="H4843" s="22">
        <v>0</v>
      </c>
      <c r="I4843" s="22" t="s">
        <v>2381</v>
      </c>
      <c r="J4843" s="22">
        <v>0</v>
      </c>
      <c r="K4843" s="22" t="s">
        <v>2395</v>
      </c>
      <c r="L4843" s="22">
        <v>0</v>
      </c>
      <c r="M4843" s="22"/>
      <c r="N4843" s="22"/>
      <c r="O4843" s="22"/>
      <c r="P4843" s="22"/>
      <c r="Q4843" s="22"/>
      <c r="R4843" s="22"/>
      <c r="S4843" s="22"/>
      <c r="T4843" s="22"/>
      <c r="U4843" s="22"/>
      <c r="V4843" s="22"/>
      <c r="W4843" s="22"/>
      <c r="X4843" s="22"/>
    </row>
    <row r="4844" spans="1:24" x14ac:dyDescent="0.25">
      <c r="A4844" s="22" t="s">
        <v>2382</v>
      </c>
      <c r="B4844" s="22">
        <v>0</v>
      </c>
      <c r="C4844" s="22" t="s">
        <v>2382</v>
      </c>
      <c r="D4844" s="22">
        <v>0</v>
      </c>
      <c r="E4844" s="22" t="s">
        <v>2382</v>
      </c>
      <c r="F4844" s="22">
        <v>0</v>
      </c>
      <c r="G4844" s="22" t="s">
        <v>2382</v>
      </c>
      <c r="H4844" s="22">
        <v>0</v>
      </c>
      <c r="I4844" s="22" t="s">
        <v>2382</v>
      </c>
      <c r="J4844" s="22">
        <v>0</v>
      </c>
      <c r="K4844" s="22" t="s">
        <v>2396</v>
      </c>
      <c r="L4844" s="22">
        <v>0</v>
      </c>
      <c r="M4844" s="22"/>
      <c r="N4844" s="22"/>
      <c r="O4844" s="22"/>
      <c r="P4844" s="22"/>
      <c r="Q4844" s="22"/>
      <c r="R4844" s="22"/>
      <c r="S4844" s="22"/>
      <c r="T4844" s="22"/>
      <c r="U4844" s="22"/>
      <c r="V4844" s="22"/>
      <c r="W4844" s="22"/>
      <c r="X4844" s="22"/>
    </row>
    <row r="4845" spans="1:24" x14ac:dyDescent="0.25">
      <c r="A4845" s="22" t="s">
        <v>2383</v>
      </c>
      <c r="B4845" s="22">
        <v>0</v>
      </c>
      <c r="C4845" s="22" t="s">
        <v>2383</v>
      </c>
      <c r="D4845" s="22">
        <v>0</v>
      </c>
      <c r="E4845" s="22" t="s">
        <v>2383</v>
      </c>
      <c r="F4845" s="22">
        <v>0</v>
      </c>
      <c r="G4845" s="22" t="s">
        <v>2383</v>
      </c>
      <c r="H4845" s="22">
        <v>0</v>
      </c>
      <c r="I4845" s="22" t="s">
        <v>2383</v>
      </c>
      <c r="J4845" s="22">
        <v>0</v>
      </c>
      <c r="K4845" s="22" t="s">
        <v>2397</v>
      </c>
      <c r="L4845" s="22">
        <v>0</v>
      </c>
      <c r="M4845" s="22"/>
      <c r="N4845" s="22"/>
      <c r="O4845" s="22"/>
      <c r="P4845" s="22"/>
      <c r="Q4845" s="22"/>
      <c r="R4845" s="22"/>
      <c r="S4845" s="22"/>
      <c r="T4845" s="22"/>
      <c r="U4845" s="22"/>
      <c r="V4845" s="22"/>
      <c r="W4845" s="22"/>
      <c r="X4845" s="22"/>
    </row>
    <row r="4846" spans="1:24" x14ac:dyDescent="0.25">
      <c r="A4846" s="22" t="s">
        <v>2384</v>
      </c>
      <c r="B4846" s="22">
        <v>0</v>
      </c>
      <c r="C4846" s="22" t="s">
        <v>2384</v>
      </c>
      <c r="D4846" s="22">
        <v>0</v>
      </c>
      <c r="E4846" s="22" t="s">
        <v>2384</v>
      </c>
      <c r="F4846" s="22">
        <v>0</v>
      </c>
      <c r="G4846" s="22" t="s">
        <v>2384</v>
      </c>
      <c r="H4846" s="22">
        <v>0</v>
      </c>
      <c r="I4846" s="22" t="s">
        <v>2384</v>
      </c>
      <c r="J4846" s="22">
        <v>0</v>
      </c>
      <c r="K4846" s="22" t="s">
        <v>2398</v>
      </c>
      <c r="L4846" s="22">
        <v>0</v>
      </c>
      <c r="M4846" s="22"/>
      <c r="N4846" s="22"/>
      <c r="O4846" s="22"/>
      <c r="P4846" s="22"/>
      <c r="Q4846" s="22"/>
      <c r="R4846" s="22"/>
      <c r="S4846" s="22"/>
      <c r="T4846" s="22"/>
      <c r="U4846" s="22"/>
      <c r="V4846" s="22"/>
      <c r="W4846" s="22"/>
      <c r="X4846" s="22"/>
    </row>
    <row r="4847" spans="1:24" x14ac:dyDescent="0.25">
      <c r="A4847" s="22" t="s">
        <v>1923</v>
      </c>
      <c r="B4847" s="22">
        <v>88</v>
      </c>
      <c r="C4847" s="22" t="s">
        <v>1923</v>
      </c>
      <c r="D4847" s="22">
        <v>0</v>
      </c>
      <c r="E4847" s="22" t="s">
        <v>1923</v>
      </c>
      <c r="F4847" s="22">
        <v>0</v>
      </c>
      <c r="G4847" s="22" t="s">
        <v>1923</v>
      </c>
      <c r="H4847" s="22">
        <v>0</v>
      </c>
      <c r="I4847" s="22" t="s">
        <v>1923</v>
      </c>
      <c r="J4847" s="22">
        <v>0</v>
      </c>
      <c r="K4847" s="22" t="s">
        <v>1926</v>
      </c>
      <c r="L4847" s="22">
        <v>607</v>
      </c>
      <c r="M4847" s="22"/>
      <c r="N4847" s="22"/>
      <c r="O4847" s="22"/>
      <c r="P4847" s="22"/>
      <c r="Q4847" s="22"/>
      <c r="R4847" s="22"/>
      <c r="S4847" s="22"/>
      <c r="T4847" s="22"/>
      <c r="U4847" s="22"/>
      <c r="V4847" s="22"/>
      <c r="W4847" s="22"/>
      <c r="X4847" s="22"/>
    </row>
    <row r="4848" spans="1:24" x14ac:dyDescent="0.25">
      <c r="A4848" s="22" t="s">
        <v>2423</v>
      </c>
      <c r="B4848" s="22">
        <v>0</v>
      </c>
      <c r="C4848" s="22" t="s">
        <v>2423</v>
      </c>
      <c r="D4848" s="22">
        <v>0</v>
      </c>
      <c r="E4848" s="22" t="s">
        <v>2423</v>
      </c>
      <c r="F4848" s="22">
        <v>0</v>
      </c>
      <c r="G4848" s="22" t="s">
        <v>2423</v>
      </c>
      <c r="H4848" s="22">
        <v>0</v>
      </c>
      <c r="I4848" s="22" t="s">
        <v>2423</v>
      </c>
      <c r="J4848" s="22">
        <v>0</v>
      </c>
      <c r="K4848" s="22" t="s">
        <v>2416</v>
      </c>
      <c r="L4848" s="22">
        <v>157</v>
      </c>
      <c r="M4848" s="22"/>
      <c r="N4848" s="22"/>
      <c r="O4848" s="22"/>
      <c r="P4848" s="22"/>
      <c r="Q4848" s="22"/>
      <c r="R4848" s="22"/>
      <c r="S4848" s="22"/>
      <c r="T4848" s="22"/>
      <c r="U4848" s="22"/>
      <c r="V4848" s="22"/>
      <c r="W4848" s="22"/>
      <c r="X4848" s="22"/>
    </row>
    <row r="4849" spans="1:24" x14ac:dyDescent="0.25">
      <c r="A4849" s="22" t="s">
        <v>2424</v>
      </c>
      <c r="B4849" s="22">
        <v>0</v>
      </c>
      <c r="C4849" s="22" t="s">
        <v>2424</v>
      </c>
      <c r="D4849" s="22">
        <v>0</v>
      </c>
      <c r="E4849" s="22" t="s">
        <v>2424</v>
      </c>
      <c r="F4849" s="22">
        <v>0</v>
      </c>
      <c r="G4849" s="22" t="s">
        <v>2424</v>
      </c>
      <c r="H4849" s="22">
        <v>0</v>
      </c>
      <c r="I4849" s="22" t="s">
        <v>2424</v>
      </c>
      <c r="J4849" s="22">
        <v>0</v>
      </c>
      <c r="K4849" s="22" t="s">
        <v>2417</v>
      </c>
      <c r="L4849" s="22">
        <v>0</v>
      </c>
      <c r="M4849" s="22"/>
      <c r="N4849" s="22"/>
      <c r="O4849" s="22"/>
      <c r="P4849" s="22"/>
      <c r="Q4849" s="22"/>
      <c r="R4849" s="22"/>
      <c r="S4849" s="22"/>
      <c r="T4849" s="22"/>
      <c r="U4849" s="22"/>
      <c r="V4849" s="22"/>
      <c r="W4849" s="22"/>
      <c r="X4849" s="22"/>
    </row>
    <row r="4850" spans="1:24" x14ac:dyDescent="0.25">
      <c r="A4850" s="22" t="s">
        <v>2425</v>
      </c>
      <c r="B4850" s="22">
        <v>0</v>
      </c>
      <c r="C4850" s="22" t="s">
        <v>2425</v>
      </c>
      <c r="D4850" s="22">
        <v>0</v>
      </c>
      <c r="E4850" s="22" t="s">
        <v>2425</v>
      </c>
      <c r="F4850" s="22">
        <v>0</v>
      </c>
      <c r="G4850" s="22" t="s">
        <v>2425</v>
      </c>
      <c r="H4850" s="22">
        <v>0</v>
      </c>
      <c r="I4850" s="22" t="s">
        <v>2425</v>
      </c>
      <c r="J4850" s="22">
        <v>0</v>
      </c>
      <c r="K4850" s="22" t="s">
        <v>2418</v>
      </c>
      <c r="L4850" s="22">
        <v>6</v>
      </c>
      <c r="M4850" s="22"/>
      <c r="N4850" s="22"/>
      <c r="O4850" s="22"/>
      <c r="P4850" s="22"/>
      <c r="Q4850" s="22"/>
      <c r="R4850" s="22"/>
      <c r="S4850" s="22"/>
      <c r="T4850" s="22"/>
      <c r="U4850" s="22"/>
      <c r="V4850" s="22"/>
      <c r="W4850" s="22"/>
      <c r="X4850" s="22"/>
    </row>
    <row r="4851" spans="1:24" x14ac:dyDescent="0.25">
      <c r="A4851" s="22" t="s">
        <v>2426</v>
      </c>
      <c r="B4851" s="22">
        <v>0</v>
      </c>
      <c r="C4851" s="22" t="s">
        <v>2426</v>
      </c>
      <c r="D4851" s="22">
        <v>0</v>
      </c>
      <c r="E4851" s="22" t="s">
        <v>2426</v>
      </c>
      <c r="F4851" s="22">
        <v>0</v>
      </c>
      <c r="G4851" s="22" t="s">
        <v>2426</v>
      </c>
      <c r="H4851" s="22">
        <v>0</v>
      </c>
      <c r="I4851" s="22" t="s">
        <v>2426</v>
      </c>
      <c r="J4851" s="22">
        <v>0</v>
      </c>
      <c r="K4851" s="22" t="s">
        <v>2419</v>
      </c>
      <c r="L4851" s="22">
        <v>0</v>
      </c>
      <c r="M4851" s="22"/>
      <c r="N4851" s="22"/>
      <c r="O4851" s="22"/>
      <c r="P4851" s="22"/>
      <c r="Q4851" s="22"/>
      <c r="R4851" s="22"/>
      <c r="S4851" s="22"/>
      <c r="T4851" s="22"/>
      <c r="U4851" s="22"/>
      <c r="V4851" s="22"/>
      <c r="W4851" s="22"/>
      <c r="X4851" s="22"/>
    </row>
    <row r="4852" spans="1:24" x14ac:dyDescent="0.25">
      <c r="A4852" s="22" t="s">
        <v>2427</v>
      </c>
      <c r="B4852" s="22">
        <v>0</v>
      </c>
      <c r="C4852" s="22" t="s">
        <v>2427</v>
      </c>
      <c r="D4852" s="22">
        <v>0</v>
      </c>
      <c r="E4852" s="22" t="s">
        <v>2427</v>
      </c>
      <c r="F4852" s="22">
        <v>0</v>
      </c>
      <c r="G4852" s="22" t="s">
        <v>2427</v>
      </c>
      <c r="H4852" s="22">
        <v>0</v>
      </c>
      <c r="I4852" s="22" t="s">
        <v>2427</v>
      </c>
      <c r="J4852" s="22">
        <v>0</v>
      </c>
      <c r="K4852" s="22" t="s">
        <v>2420</v>
      </c>
      <c r="L4852" s="22">
        <v>0</v>
      </c>
      <c r="M4852" s="22"/>
      <c r="N4852" s="22"/>
      <c r="O4852" s="22"/>
      <c r="P4852" s="22"/>
      <c r="Q4852" s="22"/>
      <c r="R4852" s="22"/>
      <c r="S4852" s="22"/>
      <c r="T4852" s="22"/>
      <c r="U4852" s="22"/>
      <c r="V4852" s="22"/>
      <c r="W4852" s="22"/>
      <c r="X4852" s="22"/>
    </row>
    <row r="4853" spans="1:24" x14ac:dyDescent="0.25">
      <c r="A4853" s="22" t="s">
        <v>2428</v>
      </c>
      <c r="B4853" s="22">
        <v>0</v>
      </c>
      <c r="C4853" s="22" t="s">
        <v>2428</v>
      </c>
      <c r="D4853" s="22">
        <v>0</v>
      </c>
      <c r="E4853" s="22" t="s">
        <v>2428</v>
      </c>
      <c r="F4853" s="22">
        <v>0</v>
      </c>
      <c r="G4853" s="22" t="s">
        <v>2428</v>
      </c>
      <c r="H4853" s="22">
        <v>0</v>
      </c>
      <c r="I4853" s="22" t="s">
        <v>2428</v>
      </c>
      <c r="J4853" s="22">
        <v>0</v>
      </c>
      <c r="K4853" s="22" t="s">
        <v>2421</v>
      </c>
      <c r="L4853" s="22">
        <v>0</v>
      </c>
      <c r="M4853" s="22"/>
      <c r="N4853" s="22"/>
      <c r="O4853" s="22"/>
      <c r="P4853" s="22"/>
      <c r="Q4853" s="22"/>
      <c r="R4853" s="22"/>
      <c r="S4853" s="22"/>
      <c r="T4853" s="22"/>
      <c r="U4853" s="22"/>
      <c r="V4853" s="22"/>
      <c r="W4853" s="22"/>
      <c r="X4853" s="22"/>
    </row>
    <row r="4854" spans="1:24" x14ac:dyDescent="0.25">
      <c r="A4854" s="22" t="s">
        <v>2429</v>
      </c>
      <c r="B4854" s="22">
        <v>0</v>
      </c>
      <c r="C4854" s="22" t="s">
        <v>2429</v>
      </c>
      <c r="D4854" s="22">
        <v>0</v>
      </c>
      <c r="E4854" s="22" t="s">
        <v>2429</v>
      </c>
      <c r="F4854" s="22">
        <v>0</v>
      </c>
      <c r="G4854" s="22" t="s">
        <v>2429</v>
      </c>
      <c r="H4854" s="22">
        <v>0</v>
      </c>
      <c r="I4854" s="22" t="s">
        <v>2429</v>
      </c>
      <c r="J4854" s="22">
        <v>0</v>
      </c>
      <c r="K4854" s="22" t="s">
        <v>2422</v>
      </c>
      <c r="L4854" s="22">
        <v>0</v>
      </c>
      <c r="M4854" s="22"/>
      <c r="N4854" s="22"/>
      <c r="O4854" s="22"/>
      <c r="P4854" s="22"/>
      <c r="Q4854" s="22"/>
      <c r="R4854" s="22"/>
      <c r="S4854" s="22"/>
      <c r="T4854" s="22"/>
      <c r="U4854" s="22"/>
      <c r="V4854" s="22"/>
      <c r="W4854" s="22"/>
      <c r="X4854" s="22"/>
    </row>
    <row r="4855" spans="1:24" x14ac:dyDescent="0.25">
      <c r="A4855" s="22" t="s">
        <v>1924</v>
      </c>
      <c r="B4855" s="22">
        <v>369</v>
      </c>
      <c r="C4855" s="22" t="s">
        <v>1924</v>
      </c>
      <c r="D4855" s="22">
        <v>0</v>
      </c>
      <c r="E4855" s="22" t="s">
        <v>1924</v>
      </c>
      <c r="F4855" s="22">
        <v>0</v>
      </c>
      <c r="G4855" s="22" t="s">
        <v>1924</v>
      </c>
      <c r="H4855" s="22">
        <v>0</v>
      </c>
      <c r="I4855" s="22" t="s">
        <v>1924</v>
      </c>
      <c r="J4855" s="22">
        <v>0</v>
      </c>
      <c r="K4855" s="22" t="s">
        <v>1927</v>
      </c>
      <c r="L4855" s="22">
        <v>0</v>
      </c>
      <c r="M4855" s="22"/>
      <c r="N4855" s="22"/>
      <c r="O4855" s="22"/>
      <c r="P4855" s="22"/>
      <c r="Q4855" s="22"/>
      <c r="R4855" s="22"/>
      <c r="S4855" s="22"/>
      <c r="T4855" s="22"/>
      <c r="U4855" s="22"/>
      <c r="V4855" s="22"/>
      <c r="W4855" s="22"/>
      <c r="X4855" s="22"/>
    </row>
    <row r="4856" spans="1:24" x14ac:dyDescent="0.25">
      <c r="A4856" s="22" t="s">
        <v>2385</v>
      </c>
      <c r="B4856" s="22">
        <v>0</v>
      </c>
      <c r="C4856" s="22" t="s">
        <v>2385</v>
      </c>
      <c r="D4856" s="22">
        <v>0</v>
      </c>
      <c r="E4856" s="22" t="s">
        <v>2385</v>
      </c>
      <c r="F4856" s="22">
        <v>0</v>
      </c>
      <c r="G4856" s="22" t="s">
        <v>2385</v>
      </c>
      <c r="H4856" s="22">
        <v>0</v>
      </c>
      <c r="I4856" s="22" t="s">
        <v>2385</v>
      </c>
      <c r="J4856" s="22">
        <v>0</v>
      </c>
      <c r="K4856" s="22" t="s">
        <v>2399</v>
      </c>
      <c r="L4856" s="22">
        <v>0</v>
      </c>
      <c r="M4856" s="22"/>
      <c r="N4856" s="22"/>
      <c r="O4856" s="22"/>
      <c r="P4856" s="22"/>
      <c r="Q4856" s="22"/>
      <c r="R4856" s="22"/>
      <c r="S4856" s="22"/>
      <c r="T4856" s="22"/>
      <c r="U4856" s="22"/>
      <c r="V4856" s="22"/>
      <c r="W4856" s="22"/>
      <c r="X4856" s="22"/>
    </row>
    <row r="4857" spans="1:24" x14ac:dyDescent="0.25">
      <c r="A4857" s="22" t="s">
        <v>2386</v>
      </c>
      <c r="B4857" s="22">
        <v>0</v>
      </c>
      <c r="C4857" s="22" t="s">
        <v>2386</v>
      </c>
      <c r="D4857" s="22">
        <v>0</v>
      </c>
      <c r="E4857" s="22" t="s">
        <v>2386</v>
      </c>
      <c r="F4857" s="22">
        <v>0</v>
      </c>
      <c r="G4857" s="22" t="s">
        <v>2386</v>
      </c>
      <c r="H4857" s="22">
        <v>0</v>
      </c>
      <c r="I4857" s="22" t="s">
        <v>2386</v>
      </c>
      <c r="J4857" s="22">
        <v>0</v>
      </c>
      <c r="K4857" s="22" t="s">
        <v>2400</v>
      </c>
      <c r="L4857" s="22">
        <v>0</v>
      </c>
      <c r="M4857" s="22"/>
      <c r="N4857" s="22"/>
      <c r="O4857" s="22"/>
      <c r="P4857" s="22"/>
      <c r="Q4857" s="22"/>
      <c r="R4857" s="22"/>
      <c r="S4857" s="22"/>
      <c r="T4857" s="22"/>
      <c r="U4857" s="22"/>
      <c r="V4857" s="22"/>
      <c r="W4857" s="22"/>
      <c r="X4857" s="22"/>
    </row>
    <row r="4858" spans="1:24" x14ac:dyDescent="0.25">
      <c r="A4858" s="22" t="s">
        <v>2387</v>
      </c>
      <c r="B4858" s="22">
        <v>0</v>
      </c>
      <c r="C4858" s="22" t="s">
        <v>2387</v>
      </c>
      <c r="D4858" s="22">
        <v>0</v>
      </c>
      <c r="E4858" s="22" t="s">
        <v>2387</v>
      </c>
      <c r="F4858" s="22">
        <v>0</v>
      </c>
      <c r="G4858" s="22" t="s">
        <v>2387</v>
      </c>
      <c r="H4858" s="22">
        <v>0</v>
      </c>
      <c r="I4858" s="22" t="s">
        <v>2387</v>
      </c>
      <c r="J4858" s="22">
        <v>0</v>
      </c>
      <c r="K4858" s="22" t="s">
        <v>2401</v>
      </c>
      <c r="L4858" s="22">
        <v>0</v>
      </c>
      <c r="M4858" s="22"/>
      <c r="N4858" s="22"/>
      <c r="O4858" s="22"/>
      <c r="P4858" s="22"/>
      <c r="Q4858" s="22"/>
      <c r="R4858" s="22"/>
      <c r="S4858" s="22"/>
      <c r="T4858" s="22"/>
      <c r="U4858" s="22"/>
      <c r="V4858" s="22"/>
      <c r="W4858" s="22"/>
      <c r="X4858" s="22"/>
    </row>
    <row r="4859" spans="1:24" x14ac:dyDescent="0.25">
      <c r="A4859" s="22" t="s">
        <v>2388</v>
      </c>
      <c r="B4859" s="22">
        <v>1</v>
      </c>
      <c r="C4859" s="22" t="s">
        <v>2388</v>
      </c>
      <c r="D4859" s="22">
        <v>0</v>
      </c>
      <c r="E4859" s="22" t="s">
        <v>2388</v>
      </c>
      <c r="F4859" s="22">
        <v>0</v>
      </c>
      <c r="G4859" s="22" t="s">
        <v>2388</v>
      </c>
      <c r="H4859" s="22">
        <v>0</v>
      </c>
      <c r="I4859" s="22" t="s">
        <v>2388</v>
      </c>
      <c r="J4859" s="22">
        <v>0</v>
      </c>
      <c r="K4859" s="22" t="s">
        <v>2402</v>
      </c>
      <c r="L4859" s="22">
        <v>0</v>
      </c>
      <c r="M4859" s="22"/>
      <c r="N4859" s="22"/>
      <c r="O4859" s="22"/>
      <c r="P4859" s="22"/>
      <c r="Q4859" s="22"/>
      <c r="R4859" s="22"/>
      <c r="S4859" s="22"/>
      <c r="T4859" s="22"/>
      <c r="U4859" s="22"/>
      <c r="V4859" s="22"/>
      <c r="W4859" s="22"/>
      <c r="X4859" s="22"/>
    </row>
    <row r="4860" spans="1:24" x14ac:dyDescent="0.25">
      <c r="A4860" s="22" t="s">
        <v>2389</v>
      </c>
      <c r="B4860" s="22">
        <v>0</v>
      </c>
      <c r="C4860" s="22" t="s">
        <v>2389</v>
      </c>
      <c r="D4860" s="22">
        <v>0</v>
      </c>
      <c r="E4860" s="22" t="s">
        <v>2389</v>
      </c>
      <c r="F4860" s="22">
        <v>0</v>
      </c>
      <c r="G4860" s="22" t="s">
        <v>2389</v>
      </c>
      <c r="H4860" s="22">
        <v>0</v>
      </c>
      <c r="I4860" s="22" t="s">
        <v>2389</v>
      </c>
      <c r="J4860" s="22">
        <v>0</v>
      </c>
      <c r="K4860" s="22" t="s">
        <v>2403</v>
      </c>
      <c r="L4860" s="22">
        <v>0</v>
      </c>
      <c r="M4860" s="22"/>
      <c r="N4860" s="22"/>
      <c r="O4860" s="22"/>
      <c r="P4860" s="22"/>
      <c r="Q4860" s="22"/>
      <c r="R4860" s="22"/>
      <c r="S4860" s="22"/>
      <c r="T4860" s="22"/>
      <c r="U4860" s="22"/>
      <c r="V4860" s="22"/>
      <c r="W4860" s="22"/>
      <c r="X4860" s="22"/>
    </row>
    <row r="4861" spans="1:24" x14ac:dyDescent="0.25">
      <c r="A4861" s="22" t="s">
        <v>2390</v>
      </c>
      <c r="B4861" s="22">
        <v>0</v>
      </c>
      <c r="C4861" s="22" t="s">
        <v>2390</v>
      </c>
      <c r="D4861" s="22">
        <v>0</v>
      </c>
      <c r="E4861" s="22" t="s">
        <v>2390</v>
      </c>
      <c r="F4861" s="22">
        <v>0</v>
      </c>
      <c r="G4861" s="22" t="s">
        <v>2390</v>
      </c>
      <c r="H4861" s="22">
        <v>0</v>
      </c>
      <c r="I4861" s="22" t="s">
        <v>2390</v>
      </c>
      <c r="J4861" s="22">
        <v>0</v>
      </c>
      <c r="K4861" s="22" t="s">
        <v>2404</v>
      </c>
      <c r="L4861" s="22">
        <v>0</v>
      </c>
      <c r="M4861" s="22"/>
      <c r="N4861" s="22"/>
      <c r="O4861" s="22"/>
      <c r="P4861" s="22"/>
      <c r="Q4861" s="22"/>
      <c r="R4861" s="22"/>
      <c r="S4861" s="22"/>
      <c r="T4861" s="22"/>
      <c r="U4861" s="22"/>
      <c r="V4861" s="22"/>
      <c r="W4861" s="22"/>
      <c r="X4861" s="22"/>
    </row>
    <row r="4862" spans="1:24" x14ac:dyDescent="0.25">
      <c r="A4862" s="22" t="s">
        <v>2391</v>
      </c>
      <c r="B4862" s="22">
        <v>0</v>
      </c>
      <c r="C4862" s="22" t="s">
        <v>2391</v>
      </c>
      <c r="D4862" s="22">
        <v>0</v>
      </c>
      <c r="E4862" s="22" t="s">
        <v>2391</v>
      </c>
      <c r="F4862" s="22">
        <v>0</v>
      </c>
      <c r="G4862" s="22" t="s">
        <v>2391</v>
      </c>
      <c r="H4862" s="22">
        <v>0</v>
      </c>
      <c r="I4862" s="22" t="s">
        <v>2391</v>
      </c>
      <c r="J4862" s="22">
        <v>0</v>
      </c>
      <c r="K4862" s="22" t="s">
        <v>2405</v>
      </c>
      <c r="L4862" s="22">
        <v>0</v>
      </c>
      <c r="M4862" s="22"/>
      <c r="N4862" s="22"/>
      <c r="O4862" s="22"/>
      <c r="P4862" s="22"/>
      <c r="Q4862" s="22"/>
      <c r="R4862" s="22"/>
      <c r="S4862" s="22"/>
      <c r="T4862" s="22"/>
      <c r="U4862" s="22"/>
      <c r="V4862" s="22"/>
      <c r="W4862" s="22"/>
      <c r="X4862" s="22"/>
    </row>
    <row r="4863" spans="1:24" x14ac:dyDescent="0.25">
      <c r="A4863" s="22" t="s">
        <v>1925</v>
      </c>
      <c r="B4863" s="22">
        <v>0</v>
      </c>
      <c r="C4863" s="22" t="s">
        <v>1925</v>
      </c>
      <c r="D4863" s="22">
        <v>359</v>
      </c>
      <c r="E4863" s="22" t="s">
        <v>1925</v>
      </c>
      <c r="F4863" s="22">
        <v>359</v>
      </c>
      <c r="G4863" s="22" t="s">
        <v>1925</v>
      </c>
      <c r="H4863" s="22">
        <v>359</v>
      </c>
      <c r="I4863" s="22" t="s">
        <v>1925</v>
      </c>
      <c r="J4863" s="22">
        <v>359</v>
      </c>
      <c r="K4863" s="22" t="s">
        <v>2406</v>
      </c>
      <c r="L4863" s="22">
        <v>47</v>
      </c>
      <c r="M4863" s="22"/>
      <c r="N4863" s="22"/>
      <c r="O4863" s="22"/>
      <c r="P4863" s="22"/>
      <c r="Q4863" s="22"/>
      <c r="R4863" s="22"/>
      <c r="S4863" s="22"/>
      <c r="T4863" s="22"/>
      <c r="U4863" s="22"/>
      <c r="V4863" s="22"/>
      <c r="W4863" s="22"/>
      <c r="X4863" s="22"/>
    </row>
    <row r="4864" spans="1:24" x14ac:dyDescent="0.25">
      <c r="A4864" s="22" t="s">
        <v>2392</v>
      </c>
      <c r="B4864" s="22">
        <v>0</v>
      </c>
      <c r="C4864" s="22" t="s">
        <v>2392</v>
      </c>
      <c r="D4864" s="22">
        <v>0</v>
      </c>
      <c r="E4864" s="22" t="s">
        <v>2392</v>
      </c>
      <c r="F4864" s="22">
        <v>0</v>
      </c>
      <c r="G4864" s="22" t="s">
        <v>2392</v>
      </c>
      <c r="H4864" s="22">
        <v>0</v>
      </c>
      <c r="I4864" s="22" t="s">
        <v>2392</v>
      </c>
      <c r="J4864" s="22">
        <v>0</v>
      </c>
      <c r="K4864" s="22" t="s">
        <v>2407</v>
      </c>
      <c r="L4864" s="22">
        <v>310</v>
      </c>
      <c r="M4864" s="22"/>
      <c r="N4864" s="22"/>
      <c r="O4864" s="22"/>
      <c r="P4864" s="22"/>
      <c r="Q4864" s="22"/>
      <c r="R4864" s="22"/>
      <c r="S4864" s="22"/>
      <c r="T4864" s="22"/>
      <c r="U4864" s="22"/>
      <c r="V4864" s="22"/>
      <c r="W4864" s="22"/>
      <c r="X4864" s="22"/>
    </row>
    <row r="4865" spans="1:24" x14ac:dyDescent="0.25">
      <c r="A4865" s="22" t="s">
        <v>2393</v>
      </c>
      <c r="B4865" s="22">
        <v>0</v>
      </c>
      <c r="C4865" s="22" t="s">
        <v>2393</v>
      </c>
      <c r="D4865" s="22">
        <v>0</v>
      </c>
      <c r="E4865" s="22" t="s">
        <v>2393</v>
      </c>
      <c r="F4865" s="22">
        <v>0</v>
      </c>
      <c r="G4865" s="22" t="s">
        <v>2393</v>
      </c>
      <c r="H4865" s="22">
        <v>0</v>
      </c>
      <c r="I4865" s="22" t="s">
        <v>2393</v>
      </c>
      <c r="J4865" s="22">
        <v>0</v>
      </c>
      <c r="K4865" s="22" t="s">
        <v>2408</v>
      </c>
      <c r="L4865" s="22">
        <v>0</v>
      </c>
      <c r="M4865" s="22"/>
      <c r="N4865" s="22"/>
      <c r="O4865" s="22"/>
      <c r="P4865" s="22"/>
      <c r="Q4865" s="22"/>
      <c r="R4865" s="22"/>
      <c r="S4865" s="22"/>
      <c r="T4865" s="22"/>
      <c r="U4865" s="22"/>
      <c r="V4865" s="22"/>
      <c r="W4865" s="22"/>
      <c r="X4865" s="22"/>
    </row>
    <row r="4866" spans="1:24" x14ac:dyDescent="0.25">
      <c r="A4866" s="22" t="s">
        <v>2394</v>
      </c>
      <c r="B4866" s="22">
        <v>0</v>
      </c>
      <c r="C4866" s="22" t="s">
        <v>2394</v>
      </c>
      <c r="D4866" s="22">
        <v>0</v>
      </c>
      <c r="E4866" s="22" t="s">
        <v>2394</v>
      </c>
      <c r="F4866" s="22">
        <v>0</v>
      </c>
      <c r="G4866" s="22" t="s">
        <v>2394</v>
      </c>
      <c r="H4866" s="22">
        <v>0</v>
      </c>
      <c r="I4866" s="22" t="s">
        <v>2394</v>
      </c>
      <c r="J4866" s="22">
        <v>0</v>
      </c>
      <c r="K4866" s="22" t="s">
        <v>2409</v>
      </c>
      <c r="L4866" s="22">
        <v>1</v>
      </c>
      <c r="M4866" s="22"/>
      <c r="N4866" s="22"/>
      <c r="O4866" s="22"/>
      <c r="P4866" s="22"/>
      <c r="Q4866" s="22"/>
      <c r="R4866" s="22"/>
      <c r="S4866" s="22"/>
      <c r="T4866" s="22"/>
      <c r="U4866" s="22"/>
      <c r="V4866" s="22"/>
      <c r="W4866" s="22"/>
      <c r="X4866" s="22"/>
    </row>
    <row r="4867" spans="1:24" x14ac:dyDescent="0.25">
      <c r="A4867" s="22" t="s">
        <v>2395</v>
      </c>
      <c r="B4867" s="22">
        <v>0</v>
      </c>
      <c r="C4867" s="22" t="s">
        <v>2395</v>
      </c>
      <c r="D4867" s="22">
        <v>0</v>
      </c>
      <c r="E4867" s="22" t="s">
        <v>2395</v>
      </c>
      <c r="F4867" s="22">
        <v>0</v>
      </c>
      <c r="G4867" s="22" t="s">
        <v>2395</v>
      </c>
      <c r="H4867" s="22">
        <v>0</v>
      </c>
      <c r="I4867" s="22" t="s">
        <v>2395</v>
      </c>
      <c r="J4867" s="22">
        <v>0</v>
      </c>
      <c r="K4867" s="22" t="s">
        <v>2410</v>
      </c>
      <c r="L4867" s="22">
        <v>6</v>
      </c>
      <c r="M4867" s="22"/>
      <c r="N4867" s="22"/>
      <c r="O4867" s="22"/>
      <c r="P4867" s="22"/>
      <c r="Q4867" s="22"/>
      <c r="R4867" s="22"/>
      <c r="S4867" s="22"/>
      <c r="T4867" s="22"/>
      <c r="U4867" s="22"/>
      <c r="V4867" s="22"/>
      <c r="W4867" s="22"/>
      <c r="X4867" s="22"/>
    </row>
    <row r="4868" spans="1:24" x14ac:dyDescent="0.25">
      <c r="A4868" s="22" t="s">
        <v>2396</v>
      </c>
      <c r="B4868" s="22">
        <v>0</v>
      </c>
      <c r="C4868" s="22" t="s">
        <v>2396</v>
      </c>
      <c r="D4868" s="22">
        <v>0</v>
      </c>
      <c r="E4868" s="22" t="s">
        <v>2396</v>
      </c>
      <c r="F4868" s="22">
        <v>0</v>
      </c>
      <c r="G4868" s="22" t="s">
        <v>2396</v>
      </c>
      <c r="H4868" s="22">
        <v>0</v>
      </c>
      <c r="I4868" s="22" t="s">
        <v>2396</v>
      </c>
      <c r="J4868" s="22">
        <v>0</v>
      </c>
      <c r="K4868" s="22" t="s">
        <v>2411</v>
      </c>
      <c r="L4868" s="22">
        <v>0</v>
      </c>
      <c r="M4868" s="22"/>
      <c r="N4868" s="22"/>
      <c r="O4868" s="22"/>
      <c r="P4868" s="22"/>
      <c r="Q4868" s="22"/>
      <c r="R4868" s="22"/>
      <c r="S4868" s="22"/>
      <c r="T4868" s="22"/>
      <c r="U4868" s="22"/>
      <c r="V4868" s="22"/>
      <c r="W4868" s="22"/>
      <c r="X4868" s="22"/>
    </row>
    <row r="4869" spans="1:24" x14ac:dyDescent="0.25">
      <c r="A4869" s="22" t="s">
        <v>2397</v>
      </c>
      <c r="B4869" s="22">
        <v>0</v>
      </c>
      <c r="C4869" s="22" t="s">
        <v>2397</v>
      </c>
      <c r="D4869" s="22">
        <v>0</v>
      </c>
      <c r="E4869" s="22" t="s">
        <v>2397</v>
      </c>
      <c r="F4869" s="22">
        <v>0</v>
      </c>
      <c r="G4869" s="22" t="s">
        <v>2397</v>
      </c>
      <c r="H4869" s="22">
        <v>0</v>
      </c>
      <c r="I4869" s="22" t="s">
        <v>2397</v>
      </c>
      <c r="J4869" s="22">
        <v>0</v>
      </c>
      <c r="K4869" s="22" t="s">
        <v>2412</v>
      </c>
      <c r="L4869" s="22">
        <v>0</v>
      </c>
      <c r="M4869" s="22"/>
      <c r="N4869" s="22"/>
      <c r="O4869" s="22"/>
      <c r="P4869" s="22"/>
      <c r="Q4869" s="22"/>
      <c r="R4869" s="22"/>
      <c r="S4869" s="22"/>
      <c r="T4869" s="22"/>
      <c r="U4869" s="22"/>
      <c r="V4869" s="22"/>
      <c r="W4869" s="22"/>
      <c r="X4869" s="22"/>
    </row>
    <row r="4870" spans="1:24" x14ac:dyDescent="0.25">
      <c r="A4870" s="22" t="s">
        <v>2398</v>
      </c>
      <c r="B4870" s="22">
        <v>0</v>
      </c>
      <c r="C4870" s="22" t="s">
        <v>2398</v>
      </c>
      <c r="D4870" s="22">
        <v>0</v>
      </c>
      <c r="E4870" s="22" t="s">
        <v>2398</v>
      </c>
      <c r="F4870" s="22">
        <v>0</v>
      </c>
      <c r="G4870" s="22" t="s">
        <v>2398</v>
      </c>
      <c r="H4870" s="22">
        <v>0</v>
      </c>
      <c r="I4870" s="22" t="s">
        <v>2398</v>
      </c>
      <c r="J4870" s="22">
        <v>0</v>
      </c>
      <c r="K4870" s="22" t="s">
        <v>2413</v>
      </c>
      <c r="L4870" s="22">
        <v>0</v>
      </c>
      <c r="M4870" s="22"/>
      <c r="N4870" s="22"/>
      <c r="O4870" s="22"/>
      <c r="P4870" s="22"/>
      <c r="Q4870" s="22"/>
      <c r="R4870" s="22"/>
      <c r="S4870" s="22"/>
      <c r="T4870" s="22"/>
      <c r="U4870" s="22"/>
      <c r="V4870" s="22"/>
      <c r="W4870" s="22"/>
      <c r="X4870" s="22"/>
    </row>
    <row r="4871" spans="1:24" x14ac:dyDescent="0.25">
      <c r="A4871" s="22" t="s">
        <v>1926</v>
      </c>
      <c r="B4871" s="22">
        <v>843</v>
      </c>
      <c r="C4871" s="22" t="s">
        <v>1926</v>
      </c>
      <c r="D4871" s="22">
        <v>607</v>
      </c>
      <c r="E4871" s="22" t="s">
        <v>1926</v>
      </c>
      <c r="F4871" s="22">
        <v>607</v>
      </c>
      <c r="G4871" s="22" t="s">
        <v>1926</v>
      </c>
      <c r="H4871" s="22">
        <v>607</v>
      </c>
      <c r="I4871" s="22" t="s">
        <v>1926</v>
      </c>
      <c r="J4871" s="22">
        <v>607</v>
      </c>
    </row>
    <row r="4872" spans="1:24" x14ac:dyDescent="0.25">
      <c r="A4872" s="22" t="s">
        <v>2416</v>
      </c>
      <c r="B4872" s="22">
        <v>146</v>
      </c>
      <c r="C4872" s="22" t="s">
        <v>2416</v>
      </c>
      <c r="D4872" s="22">
        <v>157</v>
      </c>
      <c r="E4872" s="22" t="s">
        <v>2416</v>
      </c>
      <c r="F4872" s="22">
        <v>157</v>
      </c>
      <c r="G4872" s="22" t="s">
        <v>2416</v>
      </c>
      <c r="H4872" s="22">
        <v>157</v>
      </c>
      <c r="I4872" s="22" t="s">
        <v>2416</v>
      </c>
      <c r="J4872" s="22">
        <v>157</v>
      </c>
    </row>
    <row r="4873" spans="1:24" x14ac:dyDescent="0.25">
      <c r="A4873" s="22" t="s">
        <v>2417</v>
      </c>
      <c r="B4873" s="22">
        <v>0</v>
      </c>
      <c r="C4873" s="22" t="s">
        <v>2417</v>
      </c>
      <c r="D4873" s="22">
        <v>0</v>
      </c>
      <c r="E4873" s="22" t="s">
        <v>2417</v>
      </c>
      <c r="F4873" s="22">
        <v>0</v>
      </c>
      <c r="G4873" s="22" t="s">
        <v>2417</v>
      </c>
      <c r="H4873" s="22">
        <v>0</v>
      </c>
      <c r="I4873" s="22" t="s">
        <v>2417</v>
      </c>
      <c r="J4873" s="22">
        <v>0</v>
      </c>
    </row>
    <row r="4874" spans="1:24" x14ac:dyDescent="0.25">
      <c r="A4874" s="22" t="s">
        <v>2418</v>
      </c>
      <c r="B4874" s="22">
        <v>8</v>
      </c>
      <c r="C4874" s="22" t="s">
        <v>2418</v>
      </c>
      <c r="D4874" s="22">
        <v>6</v>
      </c>
      <c r="E4874" s="22" t="s">
        <v>2418</v>
      </c>
      <c r="F4874" s="22">
        <v>6</v>
      </c>
      <c r="G4874" s="22" t="s">
        <v>2418</v>
      </c>
      <c r="H4874" s="22">
        <v>6</v>
      </c>
      <c r="I4874" s="22" t="s">
        <v>2418</v>
      </c>
      <c r="J4874" s="22">
        <v>6</v>
      </c>
    </row>
    <row r="4875" spans="1:24" x14ac:dyDescent="0.25">
      <c r="A4875" s="22" t="s">
        <v>2419</v>
      </c>
      <c r="B4875" s="22">
        <v>2</v>
      </c>
      <c r="C4875" s="22" t="s">
        <v>2419</v>
      </c>
      <c r="D4875" s="22">
        <v>0</v>
      </c>
      <c r="E4875" s="22" t="s">
        <v>2419</v>
      </c>
      <c r="F4875" s="22">
        <v>0</v>
      </c>
      <c r="G4875" s="22" t="s">
        <v>2419</v>
      </c>
      <c r="H4875" s="22">
        <v>0</v>
      </c>
      <c r="I4875" s="22" t="s">
        <v>2419</v>
      </c>
      <c r="J4875" s="22">
        <v>0</v>
      </c>
    </row>
    <row r="4876" spans="1:24" x14ac:dyDescent="0.25">
      <c r="A4876" s="22" t="s">
        <v>2420</v>
      </c>
      <c r="B4876" s="22">
        <v>0</v>
      </c>
      <c r="C4876" s="22" t="s">
        <v>2420</v>
      </c>
      <c r="D4876" s="22">
        <v>0</v>
      </c>
      <c r="E4876" s="22" t="s">
        <v>2420</v>
      </c>
      <c r="F4876" s="22">
        <v>0</v>
      </c>
      <c r="G4876" s="22" t="s">
        <v>2420</v>
      </c>
      <c r="H4876" s="22">
        <v>0</v>
      </c>
      <c r="I4876" s="22" t="s">
        <v>2420</v>
      </c>
      <c r="J4876" s="22">
        <v>0</v>
      </c>
    </row>
    <row r="4877" spans="1:24" x14ac:dyDescent="0.25">
      <c r="A4877" s="22" t="s">
        <v>2421</v>
      </c>
      <c r="B4877" s="22">
        <v>0</v>
      </c>
      <c r="C4877" s="22" t="s">
        <v>2421</v>
      </c>
      <c r="D4877" s="22">
        <v>0</v>
      </c>
      <c r="E4877" s="22" t="s">
        <v>2421</v>
      </c>
      <c r="F4877" s="22">
        <v>0</v>
      </c>
      <c r="G4877" s="22" t="s">
        <v>2421</v>
      </c>
      <c r="H4877" s="22">
        <v>0</v>
      </c>
      <c r="I4877" s="22" t="s">
        <v>2421</v>
      </c>
      <c r="J4877" s="22">
        <v>0</v>
      </c>
    </row>
    <row r="4878" spans="1:24" x14ac:dyDescent="0.25">
      <c r="A4878" s="22" t="s">
        <v>2422</v>
      </c>
      <c r="B4878" s="22">
        <v>0</v>
      </c>
      <c r="C4878" s="22" t="s">
        <v>2422</v>
      </c>
      <c r="D4878" s="22">
        <v>0</v>
      </c>
      <c r="E4878" s="22" t="s">
        <v>2422</v>
      </c>
      <c r="F4878" s="22">
        <v>0</v>
      </c>
      <c r="G4878" s="22" t="s">
        <v>2422</v>
      </c>
      <c r="H4878" s="22">
        <v>0</v>
      </c>
      <c r="I4878" s="22" t="s">
        <v>2422</v>
      </c>
      <c r="J4878" s="22">
        <v>0</v>
      </c>
    </row>
    <row r="4879" spans="1:24" x14ac:dyDescent="0.25">
      <c r="A4879" s="22" t="s">
        <v>1927</v>
      </c>
      <c r="B4879" s="22">
        <v>30</v>
      </c>
      <c r="C4879" s="22" t="s">
        <v>1927</v>
      </c>
      <c r="D4879" s="22">
        <v>0</v>
      </c>
      <c r="E4879" s="22" t="s">
        <v>1927</v>
      </c>
      <c r="F4879" s="22">
        <v>0</v>
      </c>
      <c r="G4879" s="22" t="s">
        <v>1927</v>
      </c>
      <c r="H4879" s="22">
        <v>0</v>
      </c>
      <c r="I4879" s="22" t="s">
        <v>1927</v>
      </c>
      <c r="J4879" s="22">
        <v>0</v>
      </c>
    </row>
    <row r="4880" spans="1:24" x14ac:dyDescent="0.25">
      <c r="A4880" s="22" t="s">
        <v>2399</v>
      </c>
      <c r="B4880" s="22">
        <v>0</v>
      </c>
      <c r="C4880" s="22" t="s">
        <v>2399</v>
      </c>
      <c r="D4880" s="22">
        <v>0</v>
      </c>
      <c r="E4880" s="22" t="s">
        <v>2399</v>
      </c>
      <c r="F4880" s="22">
        <v>0</v>
      </c>
      <c r="G4880" s="22" t="s">
        <v>2399</v>
      </c>
      <c r="H4880" s="22">
        <v>0</v>
      </c>
      <c r="I4880" s="22" t="s">
        <v>2399</v>
      </c>
      <c r="J4880" s="22">
        <v>0</v>
      </c>
    </row>
    <row r="4881" spans="1:10" x14ac:dyDescent="0.25">
      <c r="A4881" s="22" t="s">
        <v>2400</v>
      </c>
      <c r="B4881" s="22">
        <v>0</v>
      </c>
      <c r="C4881" s="22" t="s">
        <v>2400</v>
      </c>
      <c r="D4881" s="22">
        <v>0</v>
      </c>
      <c r="E4881" s="22" t="s">
        <v>2400</v>
      </c>
      <c r="F4881" s="22">
        <v>0</v>
      </c>
      <c r="G4881" s="22" t="s">
        <v>2400</v>
      </c>
      <c r="H4881" s="22">
        <v>0</v>
      </c>
      <c r="I4881" s="22" t="s">
        <v>2400</v>
      </c>
      <c r="J4881" s="22">
        <v>0</v>
      </c>
    </row>
    <row r="4882" spans="1:10" x14ac:dyDescent="0.25">
      <c r="A4882" s="22" t="s">
        <v>2401</v>
      </c>
      <c r="B4882" s="22">
        <v>0</v>
      </c>
      <c r="C4882" s="22" t="s">
        <v>2401</v>
      </c>
      <c r="D4882" s="22">
        <v>0</v>
      </c>
      <c r="E4882" s="22" t="s">
        <v>2401</v>
      </c>
      <c r="F4882" s="22">
        <v>0</v>
      </c>
      <c r="G4882" s="22" t="s">
        <v>2401</v>
      </c>
      <c r="H4882" s="22">
        <v>0</v>
      </c>
      <c r="I4882" s="22" t="s">
        <v>2401</v>
      </c>
      <c r="J4882" s="22">
        <v>0</v>
      </c>
    </row>
    <row r="4883" spans="1:10" x14ac:dyDescent="0.25">
      <c r="A4883" s="22" t="s">
        <v>2402</v>
      </c>
      <c r="B4883" s="22">
        <v>0</v>
      </c>
      <c r="C4883" s="22" t="s">
        <v>2402</v>
      </c>
      <c r="D4883" s="22">
        <v>0</v>
      </c>
      <c r="E4883" s="22" t="s">
        <v>2402</v>
      </c>
      <c r="F4883" s="22">
        <v>0</v>
      </c>
      <c r="G4883" s="22" t="s">
        <v>2402</v>
      </c>
      <c r="H4883" s="22">
        <v>0</v>
      </c>
      <c r="I4883" s="22" t="s">
        <v>2402</v>
      </c>
      <c r="J4883" s="22">
        <v>0</v>
      </c>
    </row>
    <row r="4884" spans="1:10" x14ac:dyDescent="0.25">
      <c r="A4884" s="22" t="s">
        <v>2403</v>
      </c>
      <c r="B4884" s="22">
        <v>0</v>
      </c>
      <c r="C4884" s="22" t="s">
        <v>2403</v>
      </c>
      <c r="D4884" s="22">
        <v>0</v>
      </c>
      <c r="E4884" s="22" t="s">
        <v>2403</v>
      </c>
      <c r="F4884" s="22">
        <v>0</v>
      </c>
      <c r="G4884" s="22" t="s">
        <v>2403</v>
      </c>
      <c r="H4884" s="22">
        <v>0</v>
      </c>
      <c r="I4884" s="22" t="s">
        <v>2403</v>
      </c>
      <c r="J4884" s="22">
        <v>0</v>
      </c>
    </row>
    <row r="4885" spans="1:10" x14ac:dyDescent="0.25">
      <c r="A4885" s="22" t="s">
        <v>2404</v>
      </c>
      <c r="B4885" s="22">
        <v>0</v>
      </c>
      <c r="C4885" s="22" t="s">
        <v>2404</v>
      </c>
      <c r="D4885" s="22">
        <v>0</v>
      </c>
      <c r="E4885" s="22" t="s">
        <v>2404</v>
      </c>
      <c r="F4885" s="22">
        <v>0</v>
      </c>
      <c r="G4885" s="22" t="s">
        <v>2404</v>
      </c>
      <c r="H4885" s="22">
        <v>0</v>
      </c>
      <c r="I4885" s="22" t="s">
        <v>2404</v>
      </c>
      <c r="J4885" s="22">
        <v>0</v>
      </c>
    </row>
    <row r="4886" spans="1:10" x14ac:dyDescent="0.25">
      <c r="A4886" s="22" t="s">
        <v>2405</v>
      </c>
      <c r="B4886" s="22">
        <v>0</v>
      </c>
      <c r="C4886" s="22" t="s">
        <v>2405</v>
      </c>
      <c r="D4886" s="22">
        <v>0</v>
      </c>
      <c r="E4886" s="22" t="s">
        <v>2405</v>
      </c>
      <c r="F4886" s="22">
        <v>0</v>
      </c>
      <c r="G4886" s="22" t="s">
        <v>2405</v>
      </c>
      <c r="H4886" s="22">
        <v>0</v>
      </c>
      <c r="I4886" s="22" t="s">
        <v>2405</v>
      </c>
      <c r="J4886" s="22">
        <v>0</v>
      </c>
    </row>
    <row r="4887" spans="1:10" x14ac:dyDescent="0.25">
      <c r="A4887" s="22" t="s">
        <v>2406</v>
      </c>
      <c r="B4887" s="22">
        <v>0</v>
      </c>
      <c r="C4887" s="22" t="s">
        <v>2406</v>
      </c>
      <c r="D4887" s="22">
        <v>47</v>
      </c>
      <c r="E4887" s="22" t="s">
        <v>2406</v>
      </c>
      <c r="F4887" s="22">
        <v>47</v>
      </c>
      <c r="G4887" s="22" t="s">
        <v>2406</v>
      </c>
      <c r="H4887" s="22">
        <v>47</v>
      </c>
      <c r="I4887" s="22" t="s">
        <v>2406</v>
      </c>
      <c r="J4887" s="22">
        <v>47</v>
      </c>
    </row>
    <row r="4888" spans="1:10" x14ac:dyDescent="0.25">
      <c r="A4888" s="22" t="s">
        <v>2407</v>
      </c>
      <c r="B4888" s="22">
        <v>354</v>
      </c>
      <c r="C4888" s="22" t="s">
        <v>2407</v>
      </c>
      <c r="D4888" s="22">
        <v>310</v>
      </c>
      <c r="E4888" s="22" t="s">
        <v>2407</v>
      </c>
      <c r="F4888" s="22">
        <v>310</v>
      </c>
      <c r="G4888" s="22" t="s">
        <v>2407</v>
      </c>
      <c r="H4888" s="22">
        <v>310</v>
      </c>
      <c r="I4888" s="22" t="s">
        <v>2407</v>
      </c>
      <c r="J4888" s="22">
        <v>310</v>
      </c>
    </row>
    <row r="4889" spans="1:10" x14ac:dyDescent="0.25">
      <c r="A4889" s="22" t="s">
        <v>2408</v>
      </c>
      <c r="B4889" s="22">
        <v>0</v>
      </c>
      <c r="C4889" s="22" t="s">
        <v>2408</v>
      </c>
      <c r="D4889" s="22">
        <v>0</v>
      </c>
      <c r="E4889" s="22" t="s">
        <v>2408</v>
      </c>
      <c r="F4889" s="22">
        <v>0</v>
      </c>
      <c r="G4889" s="22" t="s">
        <v>2408</v>
      </c>
      <c r="H4889" s="22">
        <v>0</v>
      </c>
      <c r="I4889" s="22" t="s">
        <v>2408</v>
      </c>
      <c r="J4889" s="22">
        <v>0</v>
      </c>
    </row>
    <row r="4890" spans="1:10" x14ac:dyDescent="0.25">
      <c r="A4890" s="22" t="s">
        <v>2409</v>
      </c>
      <c r="B4890" s="22">
        <v>1</v>
      </c>
      <c r="C4890" s="22" t="s">
        <v>2409</v>
      </c>
      <c r="D4890" s="22">
        <v>1</v>
      </c>
      <c r="E4890" s="22" t="s">
        <v>2409</v>
      </c>
      <c r="F4890" s="22">
        <v>1</v>
      </c>
      <c r="G4890" s="22" t="s">
        <v>2409</v>
      </c>
      <c r="H4890" s="22">
        <v>1</v>
      </c>
      <c r="I4890" s="22" t="s">
        <v>2409</v>
      </c>
      <c r="J4890" s="22">
        <v>1</v>
      </c>
    </row>
    <row r="4891" spans="1:10" x14ac:dyDescent="0.25">
      <c r="A4891" s="22" t="s">
        <v>2410</v>
      </c>
      <c r="B4891" s="22">
        <v>16</v>
      </c>
      <c r="C4891" s="22" t="s">
        <v>2410</v>
      </c>
      <c r="D4891" s="22">
        <v>6</v>
      </c>
      <c r="E4891" s="22" t="s">
        <v>2410</v>
      </c>
      <c r="F4891" s="22">
        <v>6</v>
      </c>
      <c r="G4891" s="22" t="s">
        <v>2410</v>
      </c>
      <c r="H4891" s="22">
        <v>6</v>
      </c>
      <c r="I4891" s="22" t="s">
        <v>2410</v>
      </c>
      <c r="J4891" s="22">
        <v>6</v>
      </c>
    </row>
    <row r="4892" spans="1:10" x14ac:dyDescent="0.25">
      <c r="A4892" s="22" t="s">
        <v>2411</v>
      </c>
      <c r="B4892" s="22">
        <v>0</v>
      </c>
      <c r="C4892" s="22" t="s">
        <v>2411</v>
      </c>
      <c r="D4892" s="22">
        <v>0</v>
      </c>
      <c r="E4892" s="22" t="s">
        <v>2411</v>
      </c>
      <c r="F4892" s="22">
        <v>0</v>
      </c>
      <c r="G4892" s="22" t="s">
        <v>2411</v>
      </c>
      <c r="H4892" s="22">
        <v>0</v>
      </c>
      <c r="I4892" s="22" t="s">
        <v>2411</v>
      </c>
      <c r="J4892" s="22">
        <v>0</v>
      </c>
    </row>
    <row r="4893" spans="1:10" x14ac:dyDescent="0.25">
      <c r="A4893" s="22" t="s">
        <v>2412</v>
      </c>
      <c r="B4893" s="22">
        <v>0</v>
      </c>
      <c r="C4893" s="22" t="s">
        <v>2412</v>
      </c>
      <c r="D4893" s="22">
        <v>0</v>
      </c>
      <c r="E4893" s="22" t="s">
        <v>2412</v>
      </c>
      <c r="F4893" s="22">
        <v>0</v>
      </c>
      <c r="G4893" s="22" t="s">
        <v>2412</v>
      </c>
      <c r="H4893" s="22">
        <v>0</v>
      </c>
      <c r="I4893" s="22" t="s">
        <v>2412</v>
      </c>
      <c r="J4893" s="22">
        <v>0</v>
      </c>
    </row>
    <row r="4894" spans="1:10" x14ac:dyDescent="0.25">
      <c r="A4894" s="22" t="s">
        <v>2413</v>
      </c>
      <c r="B4894" s="22">
        <v>0</v>
      </c>
      <c r="C4894" s="22" t="s">
        <v>2413</v>
      </c>
      <c r="D4894" s="22">
        <v>0</v>
      </c>
      <c r="E4894" s="22" t="s">
        <v>2413</v>
      </c>
      <c r="F4894" s="22">
        <v>0</v>
      </c>
      <c r="G4894" s="22" t="s">
        <v>2413</v>
      </c>
      <c r="H4894" s="22">
        <v>0</v>
      </c>
      <c r="I4894" s="22" t="s">
        <v>2413</v>
      </c>
      <c r="J4894" s="22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42"/>
  <sheetViews>
    <sheetView workbookViewId="0">
      <selection sqref="A1:A1048576"/>
    </sheetView>
  </sheetViews>
  <sheetFormatPr defaultRowHeight="15" x14ac:dyDescent="0.25"/>
  <cols>
    <col min="1" max="1" width="73.85546875" customWidth="1"/>
    <col min="2" max="2" width="31.7109375" bestFit="1" customWidth="1"/>
    <col min="5" max="5" width="30.7109375" bestFit="1" customWidth="1"/>
  </cols>
  <sheetData>
    <row r="1" spans="1:18" x14ac:dyDescent="0.25">
      <c r="A1" s="22" t="s">
        <v>82</v>
      </c>
      <c r="B1" s="22" t="s">
        <v>83</v>
      </c>
      <c r="C1" t="s">
        <v>84</v>
      </c>
      <c r="D1" t="s">
        <v>85</v>
      </c>
      <c r="E1" t="s">
        <v>79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80</v>
      </c>
      <c r="R1" t="s">
        <v>97</v>
      </c>
    </row>
    <row r="2" spans="1:18" x14ac:dyDescent="0.25">
      <c r="A2" s="22" t="s">
        <v>74</v>
      </c>
      <c r="B2" s="22" t="s">
        <v>99</v>
      </c>
      <c r="C2" t="s">
        <v>98</v>
      </c>
      <c r="D2">
        <v>0</v>
      </c>
      <c r="E2" t="s">
        <v>100</v>
      </c>
      <c r="F2" t="s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101</v>
      </c>
      <c r="M2">
        <v>15376</v>
      </c>
      <c r="N2">
        <v>0</v>
      </c>
      <c r="O2" t="s">
        <v>102</v>
      </c>
      <c r="P2" t="s">
        <v>103</v>
      </c>
      <c r="Q2">
        <v>15376</v>
      </c>
      <c r="R2">
        <v>0</v>
      </c>
    </row>
    <row r="3" spans="1:18" x14ac:dyDescent="0.25">
      <c r="A3" s="22" t="s">
        <v>74</v>
      </c>
      <c r="B3" s="22" t="s">
        <v>66</v>
      </c>
      <c r="C3" t="s">
        <v>98</v>
      </c>
      <c r="D3">
        <v>0</v>
      </c>
      <c r="E3" t="s">
        <v>100</v>
      </c>
      <c r="F3" t="s">
        <v>100</v>
      </c>
      <c r="G3">
        <v>0</v>
      </c>
      <c r="H3">
        <v>0</v>
      </c>
      <c r="I3">
        <v>0</v>
      </c>
      <c r="J3">
        <v>0</v>
      </c>
      <c r="K3">
        <v>0</v>
      </c>
      <c r="L3" t="s">
        <v>101</v>
      </c>
      <c r="M3">
        <v>40118</v>
      </c>
      <c r="N3">
        <v>0</v>
      </c>
      <c r="O3" t="s">
        <v>102</v>
      </c>
      <c r="P3" t="s">
        <v>103</v>
      </c>
      <c r="Q3">
        <v>40118</v>
      </c>
      <c r="R3">
        <v>0</v>
      </c>
    </row>
    <row r="4" spans="1:18" x14ac:dyDescent="0.25">
      <c r="A4" s="22" t="s">
        <v>74</v>
      </c>
      <c r="B4" s="22" t="s">
        <v>66</v>
      </c>
      <c r="C4" t="s">
        <v>98</v>
      </c>
      <c r="D4">
        <v>107871158</v>
      </c>
      <c r="E4" t="s">
        <v>2460</v>
      </c>
      <c r="F4" t="s">
        <v>5842</v>
      </c>
      <c r="G4">
        <v>0</v>
      </c>
      <c r="H4">
        <v>0</v>
      </c>
      <c r="I4">
        <v>0</v>
      </c>
      <c r="J4">
        <v>0</v>
      </c>
      <c r="K4">
        <v>0</v>
      </c>
      <c r="L4" t="s">
        <v>101</v>
      </c>
      <c r="M4">
        <v>2</v>
      </c>
      <c r="N4">
        <v>0</v>
      </c>
      <c r="O4" t="s">
        <v>102</v>
      </c>
      <c r="P4" t="s">
        <v>103</v>
      </c>
      <c r="Q4">
        <v>2</v>
      </c>
      <c r="R4">
        <v>0</v>
      </c>
    </row>
    <row r="5" spans="1:18" x14ac:dyDescent="0.25">
      <c r="A5" s="22" t="s">
        <v>74</v>
      </c>
      <c r="B5" s="22" t="s">
        <v>66</v>
      </c>
      <c r="C5" t="s">
        <v>98</v>
      </c>
      <c r="D5">
        <v>107976366</v>
      </c>
      <c r="E5" t="s">
        <v>2461</v>
      </c>
      <c r="F5" t="s">
        <v>2462</v>
      </c>
      <c r="G5">
        <v>0</v>
      </c>
      <c r="H5">
        <v>0</v>
      </c>
      <c r="I5">
        <v>0</v>
      </c>
      <c r="J5">
        <v>0</v>
      </c>
      <c r="K5">
        <v>0.25</v>
      </c>
      <c r="L5" t="s">
        <v>101</v>
      </c>
      <c r="M5">
        <v>0</v>
      </c>
      <c r="N5">
        <v>0</v>
      </c>
      <c r="O5" t="s">
        <v>102</v>
      </c>
      <c r="P5" t="s">
        <v>103</v>
      </c>
      <c r="Q5">
        <v>0</v>
      </c>
      <c r="R5">
        <v>0</v>
      </c>
    </row>
    <row r="6" spans="1:18" x14ac:dyDescent="0.25">
      <c r="A6" s="22" t="s">
        <v>74</v>
      </c>
      <c r="B6" s="22" t="s">
        <v>66</v>
      </c>
      <c r="C6" t="s">
        <v>98</v>
      </c>
      <c r="D6">
        <v>108746009</v>
      </c>
      <c r="E6" t="s">
        <v>2465</v>
      </c>
      <c r="F6" t="s">
        <v>2460</v>
      </c>
      <c r="G6">
        <v>0</v>
      </c>
      <c r="H6">
        <v>0</v>
      </c>
      <c r="I6">
        <v>0</v>
      </c>
      <c r="J6">
        <v>0</v>
      </c>
      <c r="K6">
        <v>5.07</v>
      </c>
      <c r="L6" t="s">
        <v>101</v>
      </c>
      <c r="M6">
        <v>0</v>
      </c>
      <c r="N6">
        <v>0</v>
      </c>
      <c r="O6" t="s">
        <v>102</v>
      </c>
      <c r="P6" t="s">
        <v>103</v>
      </c>
      <c r="Q6">
        <v>0</v>
      </c>
      <c r="R6">
        <v>0</v>
      </c>
    </row>
    <row r="7" spans="1:18" x14ac:dyDescent="0.25">
      <c r="A7" s="22" t="s">
        <v>74</v>
      </c>
      <c r="B7" t="s">
        <v>66</v>
      </c>
      <c r="C7" t="s">
        <v>98</v>
      </c>
      <c r="D7">
        <v>108746031</v>
      </c>
      <c r="E7" t="s">
        <v>2475</v>
      </c>
      <c r="F7" t="s">
        <v>2460</v>
      </c>
      <c r="G7">
        <v>0</v>
      </c>
      <c r="H7">
        <v>0</v>
      </c>
      <c r="I7">
        <v>0</v>
      </c>
      <c r="J7">
        <v>0</v>
      </c>
      <c r="K7">
        <v>0</v>
      </c>
      <c r="L7" t="s">
        <v>101</v>
      </c>
      <c r="M7">
        <v>1</v>
      </c>
      <c r="N7">
        <v>0</v>
      </c>
      <c r="O7" t="s">
        <v>102</v>
      </c>
      <c r="P7" t="s">
        <v>103</v>
      </c>
      <c r="Q7">
        <v>1</v>
      </c>
      <c r="R7">
        <v>0</v>
      </c>
    </row>
    <row r="8" spans="1:18" x14ac:dyDescent="0.25">
      <c r="A8" s="22" t="s">
        <v>74</v>
      </c>
      <c r="B8" t="s">
        <v>66</v>
      </c>
      <c r="C8" t="s">
        <v>98</v>
      </c>
      <c r="D8">
        <v>108746276</v>
      </c>
      <c r="E8" t="s">
        <v>2466</v>
      </c>
      <c r="F8" t="s">
        <v>2460</v>
      </c>
      <c r="G8">
        <v>0</v>
      </c>
      <c r="H8">
        <v>0</v>
      </c>
      <c r="I8">
        <v>0</v>
      </c>
      <c r="J8">
        <v>0</v>
      </c>
      <c r="K8">
        <v>1.5</v>
      </c>
      <c r="L8" t="s">
        <v>101</v>
      </c>
      <c r="M8">
        <v>308</v>
      </c>
      <c r="N8">
        <v>205.33</v>
      </c>
      <c r="O8" t="s">
        <v>102</v>
      </c>
      <c r="P8" t="s">
        <v>103</v>
      </c>
      <c r="Q8">
        <v>308</v>
      </c>
      <c r="R8">
        <v>205.33</v>
      </c>
    </row>
    <row r="9" spans="1:18" x14ac:dyDescent="0.25">
      <c r="A9" s="22" t="s">
        <v>74</v>
      </c>
      <c r="B9" t="s">
        <v>66</v>
      </c>
      <c r="C9" t="s">
        <v>98</v>
      </c>
      <c r="D9">
        <v>108760461</v>
      </c>
      <c r="E9" t="s">
        <v>5843</v>
      </c>
      <c r="F9" t="s">
        <v>2463</v>
      </c>
      <c r="G9">
        <v>0</v>
      </c>
      <c r="H9">
        <v>0</v>
      </c>
      <c r="I9">
        <v>0</v>
      </c>
      <c r="J9">
        <v>0</v>
      </c>
      <c r="K9">
        <v>0.28000000000000003</v>
      </c>
      <c r="L9" t="s">
        <v>101</v>
      </c>
      <c r="M9">
        <v>0</v>
      </c>
      <c r="N9">
        <v>0</v>
      </c>
      <c r="O9" t="s">
        <v>102</v>
      </c>
      <c r="P9" t="s">
        <v>103</v>
      </c>
      <c r="Q9">
        <v>0</v>
      </c>
      <c r="R9">
        <v>0</v>
      </c>
    </row>
    <row r="10" spans="1:18" x14ac:dyDescent="0.25">
      <c r="A10" s="22" t="s">
        <v>74</v>
      </c>
      <c r="B10" t="s">
        <v>66</v>
      </c>
      <c r="C10" t="s">
        <v>98</v>
      </c>
      <c r="D10">
        <v>108797267</v>
      </c>
      <c r="E10" t="s">
        <v>5844</v>
      </c>
      <c r="F10" t="s">
        <v>2467</v>
      </c>
      <c r="G10">
        <v>0</v>
      </c>
      <c r="H10">
        <v>0</v>
      </c>
      <c r="I10">
        <v>0</v>
      </c>
      <c r="J10">
        <v>0</v>
      </c>
      <c r="K10">
        <v>4.9800000000000004</v>
      </c>
      <c r="L10" t="s">
        <v>101</v>
      </c>
      <c r="M10">
        <v>0</v>
      </c>
      <c r="N10">
        <v>0</v>
      </c>
      <c r="O10" t="s">
        <v>102</v>
      </c>
      <c r="P10" t="s">
        <v>103</v>
      </c>
      <c r="Q10">
        <v>0</v>
      </c>
      <c r="R10">
        <v>0</v>
      </c>
    </row>
    <row r="11" spans="1:18" x14ac:dyDescent="0.25">
      <c r="A11" s="22" t="s">
        <v>74</v>
      </c>
      <c r="B11" t="s">
        <v>66</v>
      </c>
      <c r="C11" t="s">
        <v>98</v>
      </c>
      <c r="D11">
        <v>108797501</v>
      </c>
      <c r="E11" t="s">
        <v>5845</v>
      </c>
      <c r="F11" t="s">
        <v>2467</v>
      </c>
      <c r="G11">
        <v>0</v>
      </c>
      <c r="H11">
        <v>0</v>
      </c>
      <c r="I11">
        <v>0</v>
      </c>
      <c r="J11">
        <v>0</v>
      </c>
      <c r="K11">
        <v>1.35</v>
      </c>
      <c r="L11" t="s">
        <v>101</v>
      </c>
      <c r="M11">
        <v>0</v>
      </c>
      <c r="N11">
        <v>0</v>
      </c>
      <c r="O11" t="s">
        <v>102</v>
      </c>
      <c r="P11" t="s">
        <v>103</v>
      </c>
      <c r="Q11">
        <v>0</v>
      </c>
      <c r="R11">
        <v>0</v>
      </c>
    </row>
    <row r="12" spans="1:18" x14ac:dyDescent="0.25">
      <c r="A12" s="22" t="s">
        <v>74</v>
      </c>
      <c r="B12" t="s">
        <v>66</v>
      </c>
      <c r="C12" t="s">
        <v>98</v>
      </c>
      <c r="D12">
        <v>108797511</v>
      </c>
      <c r="E12" t="s">
        <v>5846</v>
      </c>
      <c r="F12" t="s">
        <v>2467</v>
      </c>
      <c r="G12">
        <v>0</v>
      </c>
      <c r="H12">
        <v>0</v>
      </c>
      <c r="I12">
        <v>0</v>
      </c>
      <c r="J12">
        <v>0</v>
      </c>
      <c r="K12">
        <v>5.08</v>
      </c>
      <c r="L12" t="s">
        <v>101</v>
      </c>
      <c r="M12">
        <v>256</v>
      </c>
      <c r="N12">
        <v>50.4</v>
      </c>
      <c r="O12" t="s">
        <v>102</v>
      </c>
      <c r="P12" t="s">
        <v>103</v>
      </c>
      <c r="Q12">
        <v>256</v>
      </c>
      <c r="R12">
        <v>50.4</v>
      </c>
    </row>
    <row r="13" spans="1:18" x14ac:dyDescent="0.25">
      <c r="A13" s="22" t="s">
        <v>74</v>
      </c>
      <c r="B13" t="s">
        <v>66</v>
      </c>
      <c r="C13" t="s">
        <v>98</v>
      </c>
      <c r="D13">
        <v>108837720</v>
      </c>
      <c r="E13" t="s">
        <v>5847</v>
      </c>
      <c r="F13" t="s">
        <v>2459</v>
      </c>
      <c r="G13">
        <v>0</v>
      </c>
      <c r="H13">
        <v>0</v>
      </c>
      <c r="I13">
        <v>0</v>
      </c>
      <c r="J13">
        <v>0</v>
      </c>
      <c r="K13">
        <v>5.08</v>
      </c>
      <c r="L13" t="s">
        <v>101</v>
      </c>
      <c r="M13">
        <v>0</v>
      </c>
      <c r="N13">
        <v>0</v>
      </c>
      <c r="O13" t="s">
        <v>102</v>
      </c>
      <c r="P13" t="s">
        <v>103</v>
      </c>
      <c r="Q13">
        <v>0</v>
      </c>
      <c r="R13">
        <v>0</v>
      </c>
    </row>
    <row r="14" spans="1:18" x14ac:dyDescent="0.25">
      <c r="A14" s="22" t="s">
        <v>74</v>
      </c>
      <c r="B14" t="s">
        <v>66</v>
      </c>
      <c r="C14" t="s">
        <v>98</v>
      </c>
      <c r="D14">
        <v>108906591</v>
      </c>
      <c r="E14" t="s">
        <v>5848</v>
      </c>
      <c r="F14" t="s">
        <v>2460</v>
      </c>
      <c r="G14">
        <v>0</v>
      </c>
      <c r="H14">
        <v>0</v>
      </c>
      <c r="I14">
        <v>0</v>
      </c>
      <c r="J14">
        <v>0</v>
      </c>
      <c r="K14">
        <v>5.05</v>
      </c>
      <c r="L14" t="s">
        <v>101</v>
      </c>
      <c r="M14">
        <v>0</v>
      </c>
      <c r="N14">
        <v>0</v>
      </c>
      <c r="O14" t="s">
        <v>102</v>
      </c>
      <c r="P14" t="s">
        <v>103</v>
      </c>
      <c r="Q14">
        <v>0</v>
      </c>
      <c r="R14">
        <v>0</v>
      </c>
    </row>
    <row r="15" spans="1:18" x14ac:dyDescent="0.25">
      <c r="A15" s="22" t="s">
        <v>74</v>
      </c>
      <c r="B15" t="s">
        <v>66</v>
      </c>
      <c r="C15" t="s">
        <v>98</v>
      </c>
      <c r="D15">
        <v>108920483</v>
      </c>
      <c r="E15" t="s">
        <v>5849</v>
      </c>
      <c r="F15" t="s">
        <v>5850</v>
      </c>
      <c r="G15">
        <v>0</v>
      </c>
      <c r="H15">
        <v>0</v>
      </c>
      <c r="I15">
        <v>0</v>
      </c>
      <c r="J15">
        <v>0</v>
      </c>
      <c r="K15">
        <v>0.25</v>
      </c>
      <c r="L15" t="s">
        <v>101</v>
      </c>
      <c r="M15">
        <v>0</v>
      </c>
      <c r="N15">
        <v>0</v>
      </c>
      <c r="O15" t="s">
        <v>102</v>
      </c>
      <c r="P15" t="s">
        <v>103</v>
      </c>
      <c r="Q15">
        <v>0</v>
      </c>
      <c r="R15">
        <v>0</v>
      </c>
    </row>
    <row r="16" spans="1:18" x14ac:dyDescent="0.25">
      <c r="A16" s="22" t="s">
        <v>74</v>
      </c>
      <c r="B16" t="s">
        <v>66</v>
      </c>
      <c r="C16" t="s">
        <v>98</v>
      </c>
      <c r="D16">
        <v>108923206</v>
      </c>
      <c r="E16" t="s">
        <v>5851</v>
      </c>
      <c r="F16" t="s">
        <v>2463</v>
      </c>
      <c r="G16">
        <v>0</v>
      </c>
      <c r="H16">
        <v>0</v>
      </c>
      <c r="I16">
        <v>0</v>
      </c>
      <c r="J16">
        <v>0</v>
      </c>
      <c r="K16">
        <v>0.05</v>
      </c>
      <c r="L16" t="s">
        <v>101</v>
      </c>
      <c r="M16">
        <v>0</v>
      </c>
      <c r="N16">
        <v>0</v>
      </c>
      <c r="O16" t="s">
        <v>102</v>
      </c>
      <c r="P16" t="s">
        <v>103</v>
      </c>
      <c r="Q16">
        <v>0</v>
      </c>
      <c r="R16">
        <v>0</v>
      </c>
    </row>
    <row r="17" spans="1:18" x14ac:dyDescent="0.25">
      <c r="A17" s="22" t="s">
        <v>74</v>
      </c>
      <c r="B17" t="s">
        <v>66</v>
      </c>
      <c r="C17" t="s">
        <v>98</v>
      </c>
      <c r="D17">
        <v>108944908</v>
      </c>
      <c r="E17" t="s">
        <v>5852</v>
      </c>
      <c r="F17" t="s">
        <v>5853</v>
      </c>
      <c r="G17">
        <v>0</v>
      </c>
      <c r="H17">
        <v>0</v>
      </c>
      <c r="I17">
        <v>0</v>
      </c>
      <c r="J17">
        <v>0</v>
      </c>
      <c r="K17">
        <v>3.97</v>
      </c>
      <c r="L17" t="s">
        <v>101</v>
      </c>
      <c r="M17">
        <v>0</v>
      </c>
      <c r="N17">
        <v>0</v>
      </c>
      <c r="O17" t="s">
        <v>102</v>
      </c>
      <c r="P17" t="s">
        <v>103</v>
      </c>
      <c r="Q17">
        <v>0</v>
      </c>
      <c r="R17">
        <v>0</v>
      </c>
    </row>
    <row r="18" spans="1:18" x14ac:dyDescent="0.25">
      <c r="A18" s="22" t="s">
        <v>74</v>
      </c>
      <c r="B18" t="s">
        <v>66</v>
      </c>
      <c r="C18" t="s">
        <v>98</v>
      </c>
      <c r="D18">
        <v>108947811</v>
      </c>
      <c r="E18" t="s">
        <v>5854</v>
      </c>
      <c r="F18" t="s">
        <v>2467</v>
      </c>
      <c r="G18">
        <v>0</v>
      </c>
      <c r="H18">
        <v>0</v>
      </c>
      <c r="I18">
        <v>0</v>
      </c>
      <c r="J18">
        <v>0</v>
      </c>
      <c r="K18">
        <v>5.25</v>
      </c>
      <c r="L18" t="s">
        <v>101</v>
      </c>
      <c r="M18">
        <v>0</v>
      </c>
      <c r="N18">
        <v>0</v>
      </c>
      <c r="O18" t="s">
        <v>102</v>
      </c>
      <c r="P18" t="s">
        <v>103</v>
      </c>
      <c r="Q18">
        <v>0</v>
      </c>
      <c r="R18">
        <v>0</v>
      </c>
    </row>
    <row r="19" spans="1:18" x14ac:dyDescent="0.25">
      <c r="A19" s="22" t="s">
        <v>74</v>
      </c>
      <c r="B19" t="s">
        <v>66</v>
      </c>
      <c r="C19" t="s">
        <v>98</v>
      </c>
      <c r="D19">
        <v>108992007</v>
      </c>
      <c r="E19" t="s">
        <v>2471</v>
      </c>
      <c r="F19" t="s">
        <v>2459</v>
      </c>
      <c r="G19">
        <v>0</v>
      </c>
      <c r="H19">
        <v>0</v>
      </c>
      <c r="I19">
        <v>0</v>
      </c>
      <c r="J19">
        <v>0</v>
      </c>
      <c r="K19">
        <v>5.08</v>
      </c>
      <c r="L19" t="s">
        <v>101</v>
      </c>
      <c r="M19">
        <v>0</v>
      </c>
      <c r="N19">
        <v>0</v>
      </c>
      <c r="O19" t="s">
        <v>102</v>
      </c>
      <c r="P19" t="s">
        <v>103</v>
      </c>
      <c r="Q19">
        <v>0</v>
      </c>
      <c r="R19">
        <v>0</v>
      </c>
    </row>
    <row r="20" spans="1:18" x14ac:dyDescent="0.25">
      <c r="A20" s="22" t="s">
        <v>74</v>
      </c>
      <c r="B20" t="s">
        <v>66</v>
      </c>
      <c r="C20" t="s">
        <v>98</v>
      </c>
      <c r="D20">
        <v>109010402</v>
      </c>
      <c r="E20" t="s">
        <v>5855</v>
      </c>
      <c r="F20" t="s">
        <v>5853</v>
      </c>
      <c r="G20">
        <v>0</v>
      </c>
      <c r="H20">
        <v>0</v>
      </c>
      <c r="I20">
        <v>0</v>
      </c>
      <c r="J20">
        <v>0</v>
      </c>
      <c r="K20">
        <v>4.78</v>
      </c>
      <c r="L20" t="s">
        <v>101</v>
      </c>
      <c r="M20">
        <v>12</v>
      </c>
      <c r="N20">
        <v>2.5099999999999998</v>
      </c>
      <c r="O20" t="s">
        <v>102</v>
      </c>
      <c r="P20" t="s">
        <v>103</v>
      </c>
      <c r="Q20">
        <v>12</v>
      </c>
      <c r="R20">
        <v>2.5099999999999998</v>
      </c>
    </row>
    <row r="21" spans="1:18" x14ac:dyDescent="0.25">
      <c r="A21" s="22" t="s">
        <v>74</v>
      </c>
      <c r="B21" t="s">
        <v>66</v>
      </c>
      <c r="C21" t="s">
        <v>98</v>
      </c>
      <c r="D21">
        <v>109010426</v>
      </c>
      <c r="E21" t="s">
        <v>5856</v>
      </c>
      <c r="F21" t="s">
        <v>2467</v>
      </c>
      <c r="G21">
        <v>0</v>
      </c>
      <c r="H21">
        <v>0</v>
      </c>
      <c r="I21">
        <v>0</v>
      </c>
      <c r="J21">
        <v>0</v>
      </c>
      <c r="K21">
        <v>1</v>
      </c>
      <c r="L21" t="s">
        <v>101</v>
      </c>
      <c r="M21">
        <v>0</v>
      </c>
      <c r="N21">
        <v>0</v>
      </c>
      <c r="O21" t="s">
        <v>102</v>
      </c>
      <c r="P21" t="s">
        <v>103</v>
      </c>
      <c r="Q21">
        <v>0</v>
      </c>
      <c r="R21">
        <v>0</v>
      </c>
    </row>
    <row r="22" spans="1:18" x14ac:dyDescent="0.25">
      <c r="A22" s="22" t="s">
        <v>74</v>
      </c>
      <c r="B22" t="s">
        <v>66</v>
      </c>
      <c r="C22" t="s">
        <v>98</v>
      </c>
      <c r="D22">
        <v>109010483</v>
      </c>
      <c r="E22" t="s">
        <v>5857</v>
      </c>
      <c r="F22" t="s">
        <v>5853</v>
      </c>
      <c r="G22">
        <v>0</v>
      </c>
      <c r="H22">
        <v>0</v>
      </c>
      <c r="I22">
        <v>0</v>
      </c>
      <c r="J22">
        <v>0</v>
      </c>
      <c r="K22">
        <v>5.25</v>
      </c>
      <c r="L22" t="s">
        <v>101</v>
      </c>
      <c r="M22">
        <v>0</v>
      </c>
      <c r="N22">
        <v>0</v>
      </c>
      <c r="O22" t="s">
        <v>102</v>
      </c>
      <c r="P22" t="s">
        <v>103</v>
      </c>
      <c r="Q22">
        <v>0</v>
      </c>
      <c r="R22">
        <v>0</v>
      </c>
    </row>
    <row r="23" spans="1:18" x14ac:dyDescent="0.25">
      <c r="A23" s="22" t="s">
        <v>74</v>
      </c>
      <c r="B23" t="s">
        <v>66</v>
      </c>
      <c r="C23" t="s">
        <v>98</v>
      </c>
      <c r="D23">
        <v>109010541</v>
      </c>
      <c r="E23" t="s">
        <v>5858</v>
      </c>
      <c r="F23" t="s">
        <v>5853</v>
      </c>
      <c r="G23">
        <v>0</v>
      </c>
      <c r="H23">
        <v>0</v>
      </c>
      <c r="I23">
        <v>0</v>
      </c>
      <c r="J23">
        <v>0</v>
      </c>
      <c r="K23">
        <v>1</v>
      </c>
      <c r="L23" t="s">
        <v>101</v>
      </c>
      <c r="M23">
        <v>0</v>
      </c>
      <c r="N23">
        <v>0</v>
      </c>
      <c r="O23" t="s">
        <v>102</v>
      </c>
      <c r="P23" t="s">
        <v>103</v>
      </c>
      <c r="Q23">
        <v>0</v>
      </c>
      <c r="R23">
        <v>0</v>
      </c>
    </row>
    <row r="24" spans="1:18" x14ac:dyDescent="0.25">
      <c r="A24" s="22" t="s">
        <v>74</v>
      </c>
      <c r="B24" t="s">
        <v>66</v>
      </c>
      <c r="C24" t="s">
        <v>98</v>
      </c>
      <c r="D24">
        <v>109010622</v>
      </c>
      <c r="E24" t="s">
        <v>5859</v>
      </c>
      <c r="F24" t="s">
        <v>2467</v>
      </c>
      <c r="G24">
        <v>0</v>
      </c>
      <c r="H24">
        <v>0</v>
      </c>
      <c r="I24">
        <v>0</v>
      </c>
      <c r="J24">
        <v>0</v>
      </c>
      <c r="K24">
        <v>1.68</v>
      </c>
      <c r="L24" t="s">
        <v>101</v>
      </c>
      <c r="M24">
        <v>45</v>
      </c>
      <c r="N24">
        <v>26.8</v>
      </c>
      <c r="O24" t="s">
        <v>102</v>
      </c>
      <c r="P24" t="s">
        <v>103</v>
      </c>
      <c r="Q24">
        <v>45</v>
      </c>
      <c r="R24">
        <v>26.8</v>
      </c>
    </row>
    <row r="25" spans="1:18" x14ac:dyDescent="0.25">
      <c r="A25" s="22" t="s">
        <v>74</v>
      </c>
      <c r="B25" t="s">
        <v>66</v>
      </c>
      <c r="C25" t="s">
        <v>98</v>
      </c>
      <c r="D25">
        <v>109010792</v>
      </c>
      <c r="E25" t="s">
        <v>5860</v>
      </c>
      <c r="F25" t="s">
        <v>5853</v>
      </c>
      <c r="G25">
        <v>0</v>
      </c>
      <c r="H25">
        <v>0</v>
      </c>
      <c r="I25">
        <v>0</v>
      </c>
      <c r="J25">
        <v>0</v>
      </c>
      <c r="K25">
        <v>4.16</v>
      </c>
      <c r="L25" t="s">
        <v>101</v>
      </c>
      <c r="M25">
        <v>0</v>
      </c>
      <c r="N25">
        <v>0</v>
      </c>
      <c r="O25" t="s">
        <v>102</v>
      </c>
      <c r="P25" t="s">
        <v>103</v>
      </c>
      <c r="Q25">
        <v>0</v>
      </c>
      <c r="R25">
        <v>0</v>
      </c>
    </row>
    <row r="26" spans="1:18" x14ac:dyDescent="0.25">
      <c r="A26" s="22" t="s">
        <v>74</v>
      </c>
      <c r="B26" t="s">
        <v>66</v>
      </c>
      <c r="C26" t="s">
        <v>98</v>
      </c>
      <c r="D26">
        <v>109012107</v>
      </c>
      <c r="E26" t="s">
        <v>5861</v>
      </c>
      <c r="F26" t="s">
        <v>2467</v>
      </c>
      <c r="G26">
        <v>0</v>
      </c>
      <c r="H26">
        <v>0</v>
      </c>
      <c r="I26">
        <v>0</v>
      </c>
      <c r="J26">
        <v>0</v>
      </c>
      <c r="K26">
        <v>0.21</v>
      </c>
      <c r="L26" t="s">
        <v>101</v>
      </c>
      <c r="M26">
        <v>0</v>
      </c>
      <c r="N26">
        <v>0</v>
      </c>
      <c r="O26" t="s">
        <v>102</v>
      </c>
      <c r="P26" t="s">
        <v>103</v>
      </c>
      <c r="Q26">
        <v>0</v>
      </c>
      <c r="R26">
        <v>0</v>
      </c>
    </row>
    <row r="27" spans="1:18" x14ac:dyDescent="0.25">
      <c r="A27" s="22" t="s">
        <v>74</v>
      </c>
      <c r="B27" t="s">
        <v>66</v>
      </c>
      <c r="C27" t="s">
        <v>98</v>
      </c>
      <c r="D27">
        <v>109012171</v>
      </c>
      <c r="E27" t="s">
        <v>5862</v>
      </c>
      <c r="F27" t="s">
        <v>2467</v>
      </c>
      <c r="G27">
        <v>0</v>
      </c>
      <c r="H27">
        <v>0</v>
      </c>
      <c r="I27">
        <v>0</v>
      </c>
      <c r="J27">
        <v>0</v>
      </c>
      <c r="K27">
        <v>0.72</v>
      </c>
      <c r="L27" t="s">
        <v>101</v>
      </c>
      <c r="M27">
        <v>131</v>
      </c>
      <c r="N27">
        <v>182.16</v>
      </c>
      <c r="O27" t="s">
        <v>102</v>
      </c>
      <c r="P27" t="s">
        <v>103</v>
      </c>
      <c r="Q27">
        <v>131</v>
      </c>
      <c r="R27">
        <v>182.16</v>
      </c>
    </row>
    <row r="28" spans="1:18" x14ac:dyDescent="0.25">
      <c r="A28" s="22" t="s">
        <v>74</v>
      </c>
      <c r="B28" t="s">
        <v>66</v>
      </c>
      <c r="C28" t="s">
        <v>98</v>
      </c>
      <c r="D28">
        <v>109014652</v>
      </c>
      <c r="E28" t="s">
        <v>2480</v>
      </c>
      <c r="F28" t="s">
        <v>2462</v>
      </c>
      <c r="G28">
        <v>0</v>
      </c>
      <c r="H28">
        <v>0</v>
      </c>
      <c r="I28">
        <v>0</v>
      </c>
      <c r="J28">
        <v>0</v>
      </c>
      <c r="K28">
        <v>0.18</v>
      </c>
      <c r="L28" t="s">
        <v>101</v>
      </c>
      <c r="M28">
        <v>0</v>
      </c>
      <c r="N28">
        <v>0</v>
      </c>
      <c r="O28" t="s">
        <v>102</v>
      </c>
      <c r="P28" t="s">
        <v>103</v>
      </c>
      <c r="Q28">
        <v>0</v>
      </c>
      <c r="R28">
        <v>0</v>
      </c>
    </row>
    <row r="29" spans="1:18" x14ac:dyDescent="0.25">
      <c r="A29" s="22" t="s">
        <v>74</v>
      </c>
      <c r="B29" t="s">
        <v>66</v>
      </c>
      <c r="C29" t="s">
        <v>98</v>
      </c>
      <c r="D29">
        <v>109039086</v>
      </c>
      <c r="E29" t="s">
        <v>2481</v>
      </c>
      <c r="F29" t="s">
        <v>2459</v>
      </c>
      <c r="G29">
        <v>0</v>
      </c>
      <c r="H29">
        <v>0</v>
      </c>
      <c r="I29">
        <v>0</v>
      </c>
      <c r="J29">
        <v>0</v>
      </c>
      <c r="K29">
        <v>4.5</v>
      </c>
      <c r="L29" t="s">
        <v>101</v>
      </c>
      <c r="M29">
        <v>0</v>
      </c>
      <c r="N29">
        <v>0</v>
      </c>
      <c r="O29" t="s">
        <v>102</v>
      </c>
      <c r="P29" t="s">
        <v>103</v>
      </c>
      <c r="Q29">
        <v>0</v>
      </c>
      <c r="R29">
        <v>0</v>
      </c>
    </row>
    <row r="30" spans="1:18" x14ac:dyDescent="0.25">
      <c r="A30" s="22" t="s">
        <v>74</v>
      </c>
      <c r="B30" t="s">
        <v>66</v>
      </c>
      <c r="C30" t="s">
        <v>98</v>
      </c>
      <c r="D30">
        <v>109058759</v>
      </c>
      <c r="E30" t="s">
        <v>2468</v>
      </c>
      <c r="F30" t="s">
        <v>2462</v>
      </c>
      <c r="G30">
        <v>0</v>
      </c>
      <c r="H30">
        <v>0</v>
      </c>
      <c r="I30">
        <v>0</v>
      </c>
      <c r="J30">
        <v>0</v>
      </c>
      <c r="K30">
        <v>0.02</v>
      </c>
      <c r="L30" t="s">
        <v>101</v>
      </c>
      <c r="M30">
        <v>16</v>
      </c>
      <c r="N30">
        <v>944.26</v>
      </c>
      <c r="O30" t="s">
        <v>102</v>
      </c>
      <c r="P30" t="s">
        <v>103</v>
      </c>
      <c r="Q30">
        <v>16</v>
      </c>
      <c r="R30">
        <v>944.26</v>
      </c>
    </row>
    <row r="31" spans="1:18" x14ac:dyDescent="0.25">
      <c r="A31" s="22" t="s">
        <v>74</v>
      </c>
      <c r="B31" t="s">
        <v>66</v>
      </c>
      <c r="C31" t="s">
        <v>98</v>
      </c>
      <c r="D31">
        <v>109062402</v>
      </c>
      <c r="E31" t="s">
        <v>5863</v>
      </c>
      <c r="F31" t="s">
        <v>2467</v>
      </c>
      <c r="G31">
        <v>0</v>
      </c>
      <c r="H31">
        <v>0</v>
      </c>
      <c r="I31">
        <v>0</v>
      </c>
      <c r="J31">
        <v>0</v>
      </c>
      <c r="K31">
        <v>0.39</v>
      </c>
      <c r="L31" t="s">
        <v>101</v>
      </c>
      <c r="M31">
        <v>0</v>
      </c>
      <c r="N31">
        <v>0</v>
      </c>
      <c r="O31" t="s">
        <v>102</v>
      </c>
      <c r="P31" t="s">
        <v>103</v>
      </c>
      <c r="Q31">
        <v>0</v>
      </c>
      <c r="R31">
        <v>0</v>
      </c>
    </row>
    <row r="32" spans="1:18" x14ac:dyDescent="0.25">
      <c r="A32" s="22" t="s">
        <v>74</v>
      </c>
      <c r="B32" t="s">
        <v>66</v>
      </c>
      <c r="C32" t="s">
        <v>98</v>
      </c>
      <c r="D32">
        <v>109062452</v>
      </c>
      <c r="E32" t="s">
        <v>5864</v>
      </c>
      <c r="F32" t="s">
        <v>5853</v>
      </c>
      <c r="G32">
        <v>0</v>
      </c>
      <c r="H32">
        <v>0</v>
      </c>
      <c r="I32">
        <v>0</v>
      </c>
      <c r="J32">
        <v>0</v>
      </c>
      <c r="K32">
        <v>0</v>
      </c>
      <c r="L32" t="s">
        <v>101</v>
      </c>
      <c r="M32">
        <v>1</v>
      </c>
      <c r="N32">
        <v>0</v>
      </c>
      <c r="O32" t="s">
        <v>102</v>
      </c>
      <c r="P32" t="s">
        <v>103</v>
      </c>
      <c r="Q32">
        <v>1</v>
      </c>
      <c r="R32">
        <v>0</v>
      </c>
    </row>
    <row r="33" spans="1:18" x14ac:dyDescent="0.25">
      <c r="A33" s="22" t="s">
        <v>74</v>
      </c>
      <c r="B33" t="s">
        <v>66</v>
      </c>
      <c r="C33" t="s">
        <v>98</v>
      </c>
      <c r="D33">
        <v>109062824</v>
      </c>
      <c r="E33" t="s">
        <v>5865</v>
      </c>
      <c r="F33" t="s">
        <v>5853</v>
      </c>
      <c r="G33">
        <v>0</v>
      </c>
      <c r="H33">
        <v>0</v>
      </c>
      <c r="I33">
        <v>0</v>
      </c>
      <c r="J33">
        <v>0</v>
      </c>
      <c r="K33">
        <v>0.1</v>
      </c>
      <c r="L33" t="s">
        <v>101</v>
      </c>
      <c r="M33">
        <v>40</v>
      </c>
      <c r="N33">
        <v>409.09</v>
      </c>
      <c r="O33" t="s">
        <v>102</v>
      </c>
      <c r="P33" t="s">
        <v>103</v>
      </c>
      <c r="Q33">
        <v>40</v>
      </c>
      <c r="R33">
        <v>409.09</v>
      </c>
    </row>
    <row r="34" spans="1:18" x14ac:dyDescent="0.25">
      <c r="A34" s="22" t="s">
        <v>74</v>
      </c>
      <c r="B34" t="s">
        <v>66</v>
      </c>
      <c r="C34" t="s">
        <v>98</v>
      </c>
      <c r="D34">
        <v>109078634</v>
      </c>
      <c r="E34" t="s">
        <v>5866</v>
      </c>
      <c r="F34" t="s">
        <v>2460</v>
      </c>
      <c r="G34">
        <v>0</v>
      </c>
      <c r="H34">
        <v>0</v>
      </c>
      <c r="I34">
        <v>0</v>
      </c>
      <c r="J34">
        <v>0</v>
      </c>
      <c r="K34">
        <v>4.93</v>
      </c>
      <c r="L34" t="s">
        <v>101</v>
      </c>
      <c r="M34">
        <v>0</v>
      </c>
      <c r="N34">
        <v>0</v>
      </c>
      <c r="O34" t="s">
        <v>102</v>
      </c>
      <c r="P34" t="s">
        <v>103</v>
      </c>
      <c r="Q34">
        <v>0</v>
      </c>
      <c r="R34">
        <v>0</v>
      </c>
    </row>
    <row r="35" spans="1:18" x14ac:dyDescent="0.25">
      <c r="A35" s="22" t="s">
        <v>74</v>
      </c>
      <c r="B35" t="s">
        <v>66</v>
      </c>
      <c r="C35" t="s">
        <v>98</v>
      </c>
      <c r="D35">
        <v>109107765</v>
      </c>
      <c r="E35" t="s">
        <v>2476</v>
      </c>
      <c r="F35" t="s">
        <v>2459</v>
      </c>
      <c r="G35">
        <v>0</v>
      </c>
      <c r="H35">
        <v>0</v>
      </c>
      <c r="I35">
        <v>0</v>
      </c>
      <c r="J35">
        <v>0</v>
      </c>
      <c r="K35">
        <v>0.04</v>
      </c>
      <c r="L35" t="s">
        <v>101</v>
      </c>
      <c r="M35">
        <v>39</v>
      </c>
      <c r="N35">
        <v>1047.76</v>
      </c>
      <c r="O35" t="s">
        <v>102</v>
      </c>
      <c r="P35" t="s">
        <v>103</v>
      </c>
      <c r="Q35">
        <v>39</v>
      </c>
      <c r="R35">
        <v>1047.76</v>
      </c>
    </row>
    <row r="36" spans="1:18" x14ac:dyDescent="0.25">
      <c r="A36" s="22" t="s">
        <v>74</v>
      </c>
      <c r="B36" t="s">
        <v>66</v>
      </c>
      <c r="C36" t="s">
        <v>98</v>
      </c>
      <c r="D36">
        <v>109129686</v>
      </c>
      <c r="E36" t="s">
        <v>2482</v>
      </c>
      <c r="F36" t="s">
        <v>2460</v>
      </c>
      <c r="G36">
        <v>0</v>
      </c>
      <c r="H36">
        <v>0</v>
      </c>
      <c r="I36">
        <v>0</v>
      </c>
      <c r="J36">
        <v>0</v>
      </c>
      <c r="K36">
        <v>1.63</v>
      </c>
      <c r="L36" t="s">
        <v>101</v>
      </c>
      <c r="M36">
        <v>150</v>
      </c>
      <c r="N36">
        <v>91.98</v>
      </c>
      <c r="O36" t="s">
        <v>102</v>
      </c>
      <c r="P36" t="s">
        <v>103</v>
      </c>
      <c r="Q36">
        <v>150</v>
      </c>
      <c r="R36">
        <v>91.98</v>
      </c>
    </row>
    <row r="37" spans="1:18" x14ac:dyDescent="0.25">
      <c r="A37" s="22" t="s">
        <v>74</v>
      </c>
      <c r="B37" t="s">
        <v>66</v>
      </c>
      <c r="C37" t="s">
        <v>98</v>
      </c>
      <c r="D37">
        <v>109129845</v>
      </c>
      <c r="E37" t="s">
        <v>2474</v>
      </c>
      <c r="F37" t="s">
        <v>2460</v>
      </c>
      <c r="G37">
        <v>0</v>
      </c>
      <c r="H37">
        <v>0</v>
      </c>
      <c r="I37">
        <v>0</v>
      </c>
      <c r="J37">
        <v>0</v>
      </c>
      <c r="K37">
        <v>3.12</v>
      </c>
      <c r="L37" t="s">
        <v>101</v>
      </c>
      <c r="M37">
        <v>13</v>
      </c>
      <c r="N37">
        <v>4.17</v>
      </c>
      <c r="O37" t="s">
        <v>102</v>
      </c>
      <c r="P37" t="s">
        <v>103</v>
      </c>
      <c r="Q37">
        <v>13</v>
      </c>
      <c r="R37">
        <v>4.17</v>
      </c>
    </row>
    <row r="38" spans="1:18" x14ac:dyDescent="0.25">
      <c r="A38" s="22" t="s">
        <v>74</v>
      </c>
      <c r="B38" t="s">
        <v>66</v>
      </c>
      <c r="C38" t="s">
        <v>98</v>
      </c>
      <c r="D38">
        <v>109164614</v>
      </c>
      <c r="E38" t="s">
        <v>5867</v>
      </c>
      <c r="F38" t="s">
        <v>2464</v>
      </c>
      <c r="G38">
        <v>0</v>
      </c>
      <c r="H38">
        <v>0</v>
      </c>
      <c r="I38">
        <v>0</v>
      </c>
      <c r="J38">
        <v>0</v>
      </c>
      <c r="K38">
        <v>0.08</v>
      </c>
      <c r="L38" t="s">
        <v>101</v>
      </c>
      <c r="M38">
        <v>0</v>
      </c>
      <c r="N38">
        <v>0</v>
      </c>
      <c r="O38" t="s">
        <v>102</v>
      </c>
      <c r="P38" t="s">
        <v>103</v>
      </c>
      <c r="Q38">
        <v>0</v>
      </c>
      <c r="R38">
        <v>0</v>
      </c>
    </row>
    <row r="39" spans="1:18" x14ac:dyDescent="0.25">
      <c r="A39" s="22" t="s">
        <v>74</v>
      </c>
      <c r="B39" t="s">
        <v>66</v>
      </c>
      <c r="C39" t="s">
        <v>98</v>
      </c>
      <c r="D39">
        <v>109296450</v>
      </c>
      <c r="E39" t="s">
        <v>2470</v>
      </c>
      <c r="F39" t="s">
        <v>2459</v>
      </c>
      <c r="G39">
        <v>0</v>
      </c>
      <c r="H39">
        <v>0</v>
      </c>
      <c r="I39">
        <v>0</v>
      </c>
      <c r="J39">
        <v>0</v>
      </c>
      <c r="K39">
        <v>6</v>
      </c>
      <c r="L39" t="s">
        <v>101</v>
      </c>
      <c r="M39">
        <v>0</v>
      </c>
      <c r="N39">
        <v>0</v>
      </c>
      <c r="O39" t="s">
        <v>102</v>
      </c>
      <c r="P39" t="s">
        <v>103</v>
      </c>
      <c r="Q39">
        <v>0</v>
      </c>
      <c r="R39">
        <v>0</v>
      </c>
    </row>
    <row r="40" spans="1:18" x14ac:dyDescent="0.25">
      <c r="A40" s="22" t="s">
        <v>74</v>
      </c>
      <c r="B40" t="s">
        <v>66</v>
      </c>
      <c r="C40" t="s">
        <v>98</v>
      </c>
      <c r="D40">
        <v>109314097</v>
      </c>
      <c r="E40" t="s">
        <v>5868</v>
      </c>
      <c r="F40" t="s">
        <v>2467</v>
      </c>
      <c r="G40">
        <v>0</v>
      </c>
      <c r="H40">
        <v>0</v>
      </c>
      <c r="I40">
        <v>0</v>
      </c>
      <c r="J40">
        <v>0</v>
      </c>
      <c r="K40">
        <v>1.48</v>
      </c>
      <c r="L40" t="s">
        <v>101</v>
      </c>
      <c r="M40">
        <v>99</v>
      </c>
      <c r="N40">
        <v>67.069999999999993</v>
      </c>
      <c r="O40" t="s">
        <v>102</v>
      </c>
      <c r="P40" t="s">
        <v>103</v>
      </c>
      <c r="Q40">
        <v>99</v>
      </c>
      <c r="R40">
        <v>67.069999999999993</v>
      </c>
    </row>
    <row r="41" spans="1:18" x14ac:dyDescent="0.25">
      <c r="A41" s="22" t="s">
        <v>74</v>
      </c>
      <c r="B41" t="s">
        <v>66</v>
      </c>
      <c r="C41" t="s">
        <v>98</v>
      </c>
      <c r="D41">
        <v>109314124</v>
      </c>
      <c r="E41" t="s">
        <v>5869</v>
      </c>
      <c r="F41" t="s">
        <v>5853</v>
      </c>
      <c r="G41">
        <v>0</v>
      </c>
      <c r="H41">
        <v>0</v>
      </c>
      <c r="I41">
        <v>0</v>
      </c>
      <c r="J41">
        <v>0</v>
      </c>
      <c r="K41">
        <v>1.67</v>
      </c>
      <c r="L41" t="s">
        <v>101</v>
      </c>
      <c r="M41">
        <v>0</v>
      </c>
      <c r="N41">
        <v>0</v>
      </c>
      <c r="O41" t="s">
        <v>102</v>
      </c>
      <c r="P41" t="s">
        <v>103</v>
      </c>
      <c r="Q41">
        <v>0</v>
      </c>
      <c r="R41">
        <v>0</v>
      </c>
    </row>
    <row r="42" spans="1:18" x14ac:dyDescent="0.25">
      <c r="A42" s="22" t="s">
        <v>74</v>
      </c>
      <c r="B42" t="s">
        <v>66</v>
      </c>
      <c r="C42" t="s">
        <v>98</v>
      </c>
      <c r="D42">
        <v>109314976</v>
      </c>
      <c r="E42" t="s">
        <v>5870</v>
      </c>
      <c r="F42" t="s">
        <v>2467</v>
      </c>
      <c r="G42">
        <v>0</v>
      </c>
      <c r="H42">
        <v>0</v>
      </c>
      <c r="I42">
        <v>0</v>
      </c>
      <c r="J42">
        <v>0</v>
      </c>
      <c r="K42">
        <v>3.15</v>
      </c>
      <c r="L42" t="s">
        <v>101</v>
      </c>
      <c r="M42">
        <v>0</v>
      </c>
      <c r="N42">
        <v>0</v>
      </c>
      <c r="O42" t="s">
        <v>102</v>
      </c>
      <c r="P42" t="s">
        <v>103</v>
      </c>
      <c r="Q42">
        <v>0</v>
      </c>
      <c r="R42">
        <v>0</v>
      </c>
    </row>
    <row r="43" spans="1:18" x14ac:dyDescent="0.25">
      <c r="A43" s="22" t="s">
        <v>74</v>
      </c>
      <c r="B43" t="s">
        <v>67</v>
      </c>
      <c r="C43" t="s">
        <v>98</v>
      </c>
      <c r="D43">
        <v>107871307</v>
      </c>
      <c r="E43" t="s">
        <v>5871</v>
      </c>
      <c r="F43" t="s">
        <v>5872</v>
      </c>
      <c r="G43">
        <v>0</v>
      </c>
      <c r="H43">
        <v>0</v>
      </c>
      <c r="I43">
        <v>0</v>
      </c>
      <c r="J43">
        <v>0</v>
      </c>
      <c r="K43">
        <v>0</v>
      </c>
      <c r="L43" t="s">
        <v>2458</v>
      </c>
      <c r="M43">
        <v>353</v>
      </c>
      <c r="N43">
        <v>0</v>
      </c>
      <c r="O43" t="s">
        <v>102</v>
      </c>
      <c r="P43" t="s">
        <v>103</v>
      </c>
      <c r="Q43">
        <v>353</v>
      </c>
      <c r="R43">
        <v>0</v>
      </c>
    </row>
    <row r="44" spans="1:18" x14ac:dyDescent="0.25">
      <c r="A44" s="22" t="s">
        <v>74</v>
      </c>
      <c r="B44" t="s">
        <v>67</v>
      </c>
      <c r="C44" t="s">
        <v>98</v>
      </c>
      <c r="D44">
        <v>108797848</v>
      </c>
      <c r="E44" t="s">
        <v>5873</v>
      </c>
      <c r="F44" t="s">
        <v>5853</v>
      </c>
      <c r="G44">
        <v>0</v>
      </c>
      <c r="H44">
        <v>0</v>
      </c>
      <c r="I44">
        <v>0</v>
      </c>
      <c r="J44">
        <v>0</v>
      </c>
      <c r="K44">
        <v>0.74</v>
      </c>
      <c r="L44" t="s">
        <v>2458</v>
      </c>
      <c r="M44">
        <v>925</v>
      </c>
      <c r="N44">
        <v>1250</v>
      </c>
      <c r="O44" t="s">
        <v>102</v>
      </c>
      <c r="P44" t="s">
        <v>103</v>
      </c>
      <c r="Q44">
        <v>925</v>
      </c>
      <c r="R44">
        <v>1250</v>
      </c>
    </row>
    <row r="45" spans="1:18" x14ac:dyDescent="0.25">
      <c r="A45" s="22" t="s">
        <v>74</v>
      </c>
      <c r="B45" t="s">
        <v>67</v>
      </c>
      <c r="C45" t="s">
        <v>98</v>
      </c>
      <c r="D45">
        <v>108944908</v>
      </c>
      <c r="E45" t="s">
        <v>5852</v>
      </c>
      <c r="F45" t="s">
        <v>5853</v>
      </c>
      <c r="G45">
        <v>0</v>
      </c>
      <c r="H45">
        <v>0</v>
      </c>
      <c r="I45">
        <v>0</v>
      </c>
      <c r="J45">
        <v>0</v>
      </c>
      <c r="K45">
        <v>1.18</v>
      </c>
      <c r="L45" t="s">
        <v>2458</v>
      </c>
      <c r="M45">
        <v>989</v>
      </c>
      <c r="N45">
        <v>838.33</v>
      </c>
      <c r="O45" t="s">
        <v>102</v>
      </c>
      <c r="P45" t="s">
        <v>103</v>
      </c>
      <c r="Q45">
        <v>989</v>
      </c>
      <c r="R45">
        <v>838.33</v>
      </c>
    </row>
    <row r="46" spans="1:18" x14ac:dyDescent="0.25">
      <c r="A46" s="22" t="s">
        <v>74</v>
      </c>
      <c r="B46" t="s">
        <v>67</v>
      </c>
      <c r="C46" t="s">
        <v>98</v>
      </c>
      <c r="D46">
        <v>109010792</v>
      </c>
      <c r="E46" t="s">
        <v>5860</v>
      </c>
      <c r="F46" t="s">
        <v>5853</v>
      </c>
      <c r="G46">
        <v>0</v>
      </c>
      <c r="H46">
        <v>0</v>
      </c>
      <c r="I46">
        <v>0</v>
      </c>
      <c r="J46">
        <v>0</v>
      </c>
      <c r="K46">
        <v>0.9</v>
      </c>
      <c r="L46" t="s">
        <v>2458</v>
      </c>
      <c r="M46">
        <v>943</v>
      </c>
      <c r="N46">
        <v>1042.95</v>
      </c>
      <c r="O46" t="s">
        <v>102</v>
      </c>
      <c r="P46" t="s">
        <v>103</v>
      </c>
      <c r="Q46">
        <v>943</v>
      </c>
      <c r="R46">
        <v>1042.95</v>
      </c>
    </row>
    <row r="47" spans="1:18" x14ac:dyDescent="0.25">
      <c r="A47" s="22" t="s">
        <v>74</v>
      </c>
      <c r="B47" t="s">
        <v>67</v>
      </c>
      <c r="C47" t="s">
        <v>98</v>
      </c>
      <c r="D47">
        <v>109012107</v>
      </c>
      <c r="E47" t="s">
        <v>5861</v>
      </c>
      <c r="F47" t="s">
        <v>2467</v>
      </c>
      <c r="G47">
        <v>0</v>
      </c>
      <c r="H47">
        <v>0</v>
      </c>
      <c r="I47">
        <v>0</v>
      </c>
      <c r="J47">
        <v>0</v>
      </c>
      <c r="K47">
        <v>4.87</v>
      </c>
      <c r="L47" t="s">
        <v>2458</v>
      </c>
      <c r="M47">
        <v>3770</v>
      </c>
      <c r="N47">
        <v>774.44</v>
      </c>
      <c r="O47" t="s">
        <v>102</v>
      </c>
      <c r="P47" t="s">
        <v>103</v>
      </c>
      <c r="Q47">
        <v>3770</v>
      </c>
      <c r="R47">
        <v>774.44</v>
      </c>
    </row>
    <row r="48" spans="1:18" x14ac:dyDescent="0.25">
      <c r="A48" s="22" t="s">
        <v>74</v>
      </c>
      <c r="B48" t="s">
        <v>67</v>
      </c>
      <c r="C48" t="s">
        <v>98</v>
      </c>
      <c r="D48">
        <v>109062402</v>
      </c>
      <c r="E48" t="s">
        <v>5863</v>
      </c>
      <c r="F48" t="s">
        <v>2467</v>
      </c>
      <c r="G48">
        <v>0</v>
      </c>
      <c r="H48">
        <v>0</v>
      </c>
      <c r="I48">
        <v>0</v>
      </c>
      <c r="J48">
        <v>0</v>
      </c>
      <c r="K48">
        <v>4.8600000000000003</v>
      </c>
      <c r="L48" t="s">
        <v>2458</v>
      </c>
      <c r="M48">
        <v>6524</v>
      </c>
      <c r="N48">
        <v>1342.08</v>
      </c>
      <c r="O48" t="s">
        <v>102</v>
      </c>
      <c r="P48" t="s">
        <v>103</v>
      </c>
      <c r="Q48">
        <v>6524</v>
      </c>
      <c r="R48">
        <v>1342.08</v>
      </c>
    </row>
    <row r="49" spans="1:18" x14ac:dyDescent="0.25">
      <c r="A49" s="22" t="s">
        <v>74</v>
      </c>
      <c r="B49" t="s">
        <v>67</v>
      </c>
      <c r="C49" t="s">
        <v>98</v>
      </c>
      <c r="D49">
        <v>109079781</v>
      </c>
      <c r="E49" t="s">
        <v>2472</v>
      </c>
      <c r="F49" t="s">
        <v>2460</v>
      </c>
      <c r="G49">
        <v>0</v>
      </c>
      <c r="H49">
        <v>0</v>
      </c>
      <c r="I49">
        <v>0</v>
      </c>
      <c r="J49">
        <v>0</v>
      </c>
      <c r="K49">
        <v>5.08</v>
      </c>
      <c r="L49" t="s">
        <v>2458</v>
      </c>
      <c r="M49">
        <v>6429</v>
      </c>
      <c r="N49">
        <v>1264.93</v>
      </c>
      <c r="O49" t="s">
        <v>102</v>
      </c>
      <c r="P49" t="s">
        <v>103</v>
      </c>
      <c r="Q49">
        <v>6429</v>
      </c>
      <c r="R49">
        <v>1264.93</v>
      </c>
    </row>
    <row r="50" spans="1:18" x14ac:dyDescent="0.25">
      <c r="A50" s="22" t="s">
        <v>74</v>
      </c>
      <c r="B50" t="s">
        <v>68</v>
      </c>
      <c r="C50" t="s">
        <v>98</v>
      </c>
      <c r="D50">
        <v>107871158</v>
      </c>
      <c r="E50" t="s">
        <v>2460</v>
      </c>
      <c r="F50" t="s">
        <v>5842</v>
      </c>
      <c r="G50">
        <v>0</v>
      </c>
      <c r="H50">
        <v>0</v>
      </c>
      <c r="I50">
        <v>0</v>
      </c>
      <c r="J50">
        <v>0</v>
      </c>
      <c r="K50">
        <v>0</v>
      </c>
      <c r="L50" t="s">
        <v>2414</v>
      </c>
      <c r="M50">
        <v>1</v>
      </c>
      <c r="N50">
        <v>0</v>
      </c>
      <c r="O50" t="s">
        <v>104</v>
      </c>
      <c r="P50" t="s">
        <v>103</v>
      </c>
      <c r="Q50">
        <v>1</v>
      </c>
      <c r="R50">
        <v>0</v>
      </c>
    </row>
    <row r="51" spans="1:18" x14ac:dyDescent="0.25">
      <c r="A51" s="22" t="s">
        <v>74</v>
      </c>
      <c r="B51" t="s">
        <v>68</v>
      </c>
      <c r="C51" t="s">
        <v>98</v>
      </c>
      <c r="D51">
        <v>108746276</v>
      </c>
      <c r="E51" t="s">
        <v>2466</v>
      </c>
      <c r="F51" t="s">
        <v>2460</v>
      </c>
      <c r="G51">
        <v>0</v>
      </c>
      <c r="H51">
        <v>0</v>
      </c>
      <c r="I51">
        <v>0</v>
      </c>
      <c r="J51">
        <v>0</v>
      </c>
      <c r="K51">
        <v>2.38</v>
      </c>
      <c r="L51" t="s">
        <v>2414</v>
      </c>
      <c r="M51">
        <v>27</v>
      </c>
      <c r="N51">
        <v>11.35</v>
      </c>
      <c r="O51" t="s">
        <v>104</v>
      </c>
      <c r="P51" t="s">
        <v>103</v>
      </c>
      <c r="Q51">
        <v>27</v>
      </c>
      <c r="R51">
        <v>11.35</v>
      </c>
    </row>
    <row r="52" spans="1:18" x14ac:dyDescent="0.25">
      <c r="A52" s="22" t="s">
        <v>74</v>
      </c>
      <c r="B52" t="s">
        <v>68</v>
      </c>
      <c r="C52" t="s">
        <v>98</v>
      </c>
      <c r="D52">
        <v>108797194</v>
      </c>
      <c r="E52" t="s">
        <v>5874</v>
      </c>
      <c r="F52" t="s">
        <v>2467</v>
      </c>
      <c r="G52">
        <v>0</v>
      </c>
      <c r="H52">
        <v>0</v>
      </c>
      <c r="I52">
        <v>0</v>
      </c>
      <c r="J52">
        <v>0</v>
      </c>
      <c r="K52">
        <v>0.3</v>
      </c>
      <c r="L52" t="s">
        <v>2414</v>
      </c>
      <c r="M52">
        <v>5</v>
      </c>
      <c r="N52">
        <v>16.73</v>
      </c>
      <c r="O52" t="s">
        <v>104</v>
      </c>
      <c r="P52" t="s">
        <v>103</v>
      </c>
      <c r="Q52">
        <v>5</v>
      </c>
      <c r="R52">
        <v>16.73</v>
      </c>
    </row>
    <row r="53" spans="1:18" x14ac:dyDescent="0.25">
      <c r="A53" s="22" t="s">
        <v>74</v>
      </c>
      <c r="B53" t="s">
        <v>68</v>
      </c>
      <c r="C53" t="s">
        <v>98</v>
      </c>
      <c r="D53">
        <v>108797501</v>
      </c>
      <c r="E53" t="s">
        <v>5845</v>
      </c>
      <c r="F53" t="s">
        <v>2467</v>
      </c>
      <c r="G53">
        <v>0</v>
      </c>
      <c r="H53">
        <v>0</v>
      </c>
      <c r="I53">
        <v>0</v>
      </c>
      <c r="J53">
        <v>0</v>
      </c>
      <c r="K53">
        <v>3.52</v>
      </c>
      <c r="L53" t="s">
        <v>2414</v>
      </c>
      <c r="M53">
        <v>4</v>
      </c>
      <c r="N53">
        <v>1.1399999999999999</v>
      </c>
      <c r="O53" t="s">
        <v>104</v>
      </c>
      <c r="P53" t="s">
        <v>103</v>
      </c>
      <c r="Q53">
        <v>4</v>
      </c>
      <c r="R53">
        <v>1.1399999999999999</v>
      </c>
    </row>
    <row r="54" spans="1:18" x14ac:dyDescent="0.25">
      <c r="A54" s="22" t="s">
        <v>74</v>
      </c>
      <c r="B54" t="s">
        <v>68</v>
      </c>
      <c r="C54" t="s">
        <v>98</v>
      </c>
      <c r="D54">
        <v>108919655</v>
      </c>
      <c r="E54" t="s">
        <v>5875</v>
      </c>
      <c r="F54" t="s">
        <v>2463</v>
      </c>
      <c r="G54">
        <v>0</v>
      </c>
      <c r="H54">
        <v>0</v>
      </c>
      <c r="I54">
        <v>0</v>
      </c>
      <c r="J54">
        <v>0</v>
      </c>
      <c r="K54">
        <v>0.08</v>
      </c>
      <c r="L54" t="s">
        <v>2414</v>
      </c>
      <c r="M54">
        <v>0</v>
      </c>
      <c r="N54">
        <v>0</v>
      </c>
      <c r="O54" t="s">
        <v>104</v>
      </c>
      <c r="P54" t="s">
        <v>103</v>
      </c>
      <c r="Q54">
        <v>0</v>
      </c>
      <c r="R54">
        <v>0</v>
      </c>
    </row>
    <row r="55" spans="1:18" x14ac:dyDescent="0.25">
      <c r="A55" s="22" t="s">
        <v>74</v>
      </c>
      <c r="B55" t="s">
        <v>68</v>
      </c>
      <c r="C55" t="s">
        <v>98</v>
      </c>
      <c r="D55">
        <v>108921393</v>
      </c>
      <c r="E55" t="s">
        <v>5876</v>
      </c>
      <c r="F55" t="s">
        <v>2463</v>
      </c>
      <c r="G55">
        <v>0</v>
      </c>
      <c r="H55">
        <v>0</v>
      </c>
      <c r="I55">
        <v>0</v>
      </c>
      <c r="J55">
        <v>0</v>
      </c>
      <c r="K55">
        <v>0.28000000000000003</v>
      </c>
      <c r="L55" t="s">
        <v>2414</v>
      </c>
      <c r="M55">
        <v>0</v>
      </c>
      <c r="N55">
        <v>0</v>
      </c>
      <c r="O55" t="s">
        <v>104</v>
      </c>
      <c r="P55" t="s">
        <v>103</v>
      </c>
      <c r="Q55">
        <v>0</v>
      </c>
      <c r="R55">
        <v>0</v>
      </c>
    </row>
    <row r="56" spans="1:18" x14ac:dyDescent="0.25">
      <c r="A56" s="22" t="s">
        <v>74</v>
      </c>
      <c r="B56" t="s">
        <v>68</v>
      </c>
      <c r="C56" t="s">
        <v>98</v>
      </c>
      <c r="D56">
        <v>108948361</v>
      </c>
      <c r="E56" t="s">
        <v>5877</v>
      </c>
      <c r="F56" t="s">
        <v>5853</v>
      </c>
      <c r="G56">
        <v>0</v>
      </c>
      <c r="H56">
        <v>0</v>
      </c>
      <c r="I56">
        <v>0</v>
      </c>
      <c r="J56">
        <v>0</v>
      </c>
      <c r="K56">
        <v>1.91</v>
      </c>
      <c r="L56" t="s">
        <v>2414</v>
      </c>
      <c r="M56">
        <v>6</v>
      </c>
      <c r="N56">
        <v>3.13</v>
      </c>
      <c r="O56" t="s">
        <v>104</v>
      </c>
      <c r="P56" t="s">
        <v>103</v>
      </c>
      <c r="Q56">
        <v>6</v>
      </c>
      <c r="R56">
        <v>3.13</v>
      </c>
    </row>
    <row r="57" spans="1:18" x14ac:dyDescent="0.25">
      <c r="A57" s="22" t="s">
        <v>74</v>
      </c>
      <c r="B57" t="s">
        <v>68</v>
      </c>
      <c r="C57" t="s">
        <v>98</v>
      </c>
      <c r="D57">
        <v>108990175</v>
      </c>
      <c r="E57" t="s">
        <v>5878</v>
      </c>
      <c r="F57" t="s">
        <v>2463</v>
      </c>
      <c r="G57">
        <v>0</v>
      </c>
      <c r="H57">
        <v>0</v>
      </c>
      <c r="I57">
        <v>0</v>
      </c>
      <c r="J57">
        <v>0</v>
      </c>
      <c r="K57">
        <v>0.08</v>
      </c>
      <c r="L57" t="s">
        <v>2414</v>
      </c>
      <c r="M57">
        <v>0</v>
      </c>
      <c r="N57">
        <v>0</v>
      </c>
      <c r="O57" t="s">
        <v>104</v>
      </c>
      <c r="P57" t="s">
        <v>103</v>
      </c>
      <c r="Q57">
        <v>0</v>
      </c>
      <c r="R57">
        <v>0</v>
      </c>
    </row>
    <row r="58" spans="1:18" x14ac:dyDescent="0.25">
      <c r="A58" s="22" t="s">
        <v>74</v>
      </c>
      <c r="B58" t="s">
        <v>68</v>
      </c>
      <c r="C58" t="s">
        <v>98</v>
      </c>
      <c r="D58">
        <v>109004572</v>
      </c>
      <c r="E58" t="s">
        <v>5879</v>
      </c>
      <c r="F58" t="s">
        <v>2467</v>
      </c>
      <c r="G58">
        <v>0</v>
      </c>
      <c r="H58">
        <v>0</v>
      </c>
      <c r="I58">
        <v>0</v>
      </c>
      <c r="J58">
        <v>0</v>
      </c>
      <c r="K58">
        <v>4.3600000000000003</v>
      </c>
      <c r="L58" t="s">
        <v>2414</v>
      </c>
      <c r="M58">
        <v>10</v>
      </c>
      <c r="N58">
        <v>2.29</v>
      </c>
      <c r="O58" t="s">
        <v>104</v>
      </c>
      <c r="P58" t="s">
        <v>103</v>
      </c>
      <c r="Q58">
        <v>10</v>
      </c>
      <c r="R58">
        <v>2.29</v>
      </c>
    </row>
    <row r="59" spans="1:18" x14ac:dyDescent="0.25">
      <c r="A59" s="22" t="s">
        <v>74</v>
      </c>
      <c r="B59" t="s">
        <v>68</v>
      </c>
      <c r="C59" t="s">
        <v>98</v>
      </c>
      <c r="D59">
        <v>109010402</v>
      </c>
      <c r="E59" t="s">
        <v>5855</v>
      </c>
      <c r="F59" t="s">
        <v>5853</v>
      </c>
      <c r="G59">
        <v>0</v>
      </c>
      <c r="H59">
        <v>0</v>
      </c>
      <c r="I59">
        <v>0</v>
      </c>
      <c r="J59">
        <v>0</v>
      </c>
      <c r="K59">
        <v>0.17</v>
      </c>
      <c r="L59" t="s">
        <v>2414</v>
      </c>
      <c r="M59">
        <v>3</v>
      </c>
      <c r="N59">
        <v>18.149999999999999</v>
      </c>
      <c r="O59" t="s">
        <v>104</v>
      </c>
      <c r="P59" t="s">
        <v>103</v>
      </c>
      <c r="Q59">
        <v>3</v>
      </c>
      <c r="R59">
        <v>18.149999999999999</v>
      </c>
    </row>
    <row r="60" spans="1:18" x14ac:dyDescent="0.25">
      <c r="A60" s="22" t="s">
        <v>74</v>
      </c>
      <c r="B60" t="s">
        <v>68</v>
      </c>
      <c r="C60" t="s">
        <v>98</v>
      </c>
      <c r="D60">
        <v>109010622</v>
      </c>
      <c r="E60" t="s">
        <v>5859</v>
      </c>
      <c r="F60" t="s">
        <v>2467</v>
      </c>
      <c r="G60">
        <v>0</v>
      </c>
      <c r="H60">
        <v>0</v>
      </c>
      <c r="I60">
        <v>0</v>
      </c>
      <c r="J60">
        <v>0</v>
      </c>
      <c r="K60">
        <v>0.15</v>
      </c>
      <c r="L60" t="s">
        <v>2414</v>
      </c>
      <c r="M60">
        <v>3</v>
      </c>
      <c r="N60">
        <v>19.489999999999998</v>
      </c>
      <c r="O60" t="s">
        <v>104</v>
      </c>
      <c r="P60" t="s">
        <v>103</v>
      </c>
      <c r="Q60">
        <v>3</v>
      </c>
      <c r="R60">
        <v>19.489999999999998</v>
      </c>
    </row>
    <row r="61" spans="1:18" x14ac:dyDescent="0.25">
      <c r="A61" s="22" t="s">
        <v>74</v>
      </c>
      <c r="B61" t="s">
        <v>68</v>
      </c>
      <c r="C61" t="s">
        <v>98</v>
      </c>
      <c r="D61">
        <v>109011292</v>
      </c>
      <c r="E61" t="s">
        <v>5880</v>
      </c>
      <c r="F61" t="s">
        <v>5853</v>
      </c>
      <c r="G61">
        <v>0</v>
      </c>
      <c r="H61">
        <v>0</v>
      </c>
      <c r="I61">
        <v>0</v>
      </c>
      <c r="J61">
        <v>0</v>
      </c>
      <c r="K61">
        <v>2.09</v>
      </c>
      <c r="L61" t="s">
        <v>2414</v>
      </c>
      <c r="M61">
        <v>10</v>
      </c>
      <c r="N61">
        <v>4.79</v>
      </c>
      <c r="O61" t="s">
        <v>104</v>
      </c>
      <c r="P61" t="s">
        <v>103</v>
      </c>
      <c r="Q61">
        <v>10</v>
      </c>
      <c r="R61">
        <v>4.79</v>
      </c>
    </row>
    <row r="62" spans="1:18" x14ac:dyDescent="0.25">
      <c r="A62" s="22" t="s">
        <v>74</v>
      </c>
      <c r="B62" t="s">
        <v>68</v>
      </c>
      <c r="C62" t="s">
        <v>98</v>
      </c>
      <c r="D62">
        <v>109012171</v>
      </c>
      <c r="E62" t="s">
        <v>5862</v>
      </c>
      <c r="F62" t="s">
        <v>2467</v>
      </c>
      <c r="G62">
        <v>0</v>
      </c>
      <c r="H62">
        <v>0</v>
      </c>
      <c r="I62">
        <v>0</v>
      </c>
      <c r="J62">
        <v>0</v>
      </c>
      <c r="K62">
        <v>1.75</v>
      </c>
      <c r="L62" t="s">
        <v>2414</v>
      </c>
      <c r="M62">
        <v>25</v>
      </c>
      <c r="N62">
        <v>14.27</v>
      </c>
      <c r="O62" t="s">
        <v>104</v>
      </c>
      <c r="P62" t="s">
        <v>103</v>
      </c>
      <c r="Q62">
        <v>25</v>
      </c>
      <c r="R62">
        <v>14.27</v>
      </c>
    </row>
    <row r="63" spans="1:18" x14ac:dyDescent="0.25">
      <c r="A63" s="22" t="s">
        <v>74</v>
      </c>
      <c r="B63" t="s">
        <v>68</v>
      </c>
      <c r="C63" t="s">
        <v>98</v>
      </c>
      <c r="D63">
        <v>109058759</v>
      </c>
      <c r="E63" t="s">
        <v>2468</v>
      </c>
      <c r="F63" t="s">
        <v>2462</v>
      </c>
      <c r="G63">
        <v>0</v>
      </c>
      <c r="H63">
        <v>0</v>
      </c>
      <c r="I63">
        <v>0</v>
      </c>
      <c r="J63">
        <v>0</v>
      </c>
      <c r="K63">
        <v>0.33</v>
      </c>
      <c r="L63" t="s">
        <v>2414</v>
      </c>
      <c r="M63">
        <v>1</v>
      </c>
      <c r="N63">
        <v>3.01</v>
      </c>
      <c r="O63" t="s">
        <v>104</v>
      </c>
      <c r="P63" t="s">
        <v>103</v>
      </c>
      <c r="Q63">
        <v>1</v>
      </c>
      <c r="R63">
        <v>3.01</v>
      </c>
    </row>
    <row r="64" spans="1:18" x14ac:dyDescent="0.25">
      <c r="A64" s="22" t="s">
        <v>74</v>
      </c>
      <c r="B64" t="s">
        <v>68</v>
      </c>
      <c r="C64" t="s">
        <v>98</v>
      </c>
      <c r="D64">
        <v>109062824</v>
      </c>
      <c r="E64" t="s">
        <v>5865</v>
      </c>
      <c r="F64" t="s">
        <v>5853</v>
      </c>
      <c r="G64">
        <v>0</v>
      </c>
      <c r="H64">
        <v>0</v>
      </c>
      <c r="I64">
        <v>0</v>
      </c>
      <c r="J64">
        <v>0</v>
      </c>
      <c r="K64">
        <v>0.09</v>
      </c>
      <c r="L64" t="s">
        <v>2414</v>
      </c>
      <c r="M64">
        <v>3</v>
      </c>
      <c r="N64">
        <v>31.76</v>
      </c>
      <c r="O64" t="s">
        <v>104</v>
      </c>
      <c r="P64" t="s">
        <v>103</v>
      </c>
      <c r="Q64">
        <v>3</v>
      </c>
      <c r="R64">
        <v>31.76</v>
      </c>
    </row>
    <row r="65" spans="1:18" x14ac:dyDescent="0.25">
      <c r="A65" s="22" t="s">
        <v>74</v>
      </c>
      <c r="B65" t="s">
        <v>68</v>
      </c>
      <c r="C65" t="s">
        <v>98</v>
      </c>
      <c r="D65">
        <v>109078634</v>
      </c>
      <c r="E65" t="s">
        <v>5866</v>
      </c>
      <c r="F65" t="s">
        <v>2460</v>
      </c>
      <c r="G65">
        <v>0</v>
      </c>
      <c r="H65">
        <v>0</v>
      </c>
      <c r="I65">
        <v>0</v>
      </c>
      <c r="J65">
        <v>0</v>
      </c>
      <c r="K65">
        <v>0.05</v>
      </c>
      <c r="L65" t="s">
        <v>2414</v>
      </c>
      <c r="M65">
        <v>2</v>
      </c>
      <c r="N65">
        <v>37.5</v>
      </c>
      <c r="O65" t="s">
        <v>104</v>
      </c>
      <c r="P65" t="s">
        <v>103</v>
      </c>
      <c r="Q65">
        <v>2</v>
      </c>
      <c r="R65">
        <v>37.5</v>
      </c>
    </row>
    <row r="66" spans="1:18" x14ac:dyDescent="0.25">
      <c r="A66" s="22" t="s">
        <v>74</v>
      </c>
      <c r="B66" t="s">
        <v>68</v>
      </c>
      <c r="C66" t="s">
        <v>98</v>
      </c>
      <c r="D66">
        <v>109129686</v>
      </c>
      <c r="E66" t="s">
        <v>2482</v>
      </c>
      <c r="F66" t="s">
        <v>2460</v>
      </c>
      <c r="G66">
        <v>0</v>
      </c>
      <c r="H66">
        <v>0</v>
      </c>
      <c r="I66">
        <v>0</v>
      </c>
      <c r="J66">
        <v>0</v>
      </c>
      <c r="K66">
        <v>1.97</v>
      </c>
      <c r="L66" t="s">
        <v>2414</v>
      </c>
      <c r="M66">
        <v>23</v>
      </c>
      <c r="N66">
        <v>11.69</v>
      </c>
      <c r="O66" t="s">
        <v>104</v>
      </c>
      <c r="P66" t="s">
        <v>103</v>
      </c>
      <c r="Q66">
        <v>23</v>
      </c>
      <c r="R66">
        <v>11.69</v>
      </c>
    </row>
    <row r="67" spans="1:18" x14ac:dyDescent="0.25">
      <c r="A67" s="22" t="s">
        <v>74</v>
      </c>
      <c r="B67" t="s">
        <v>68</v>
      </c>
      <c r="C67" t="s">
        <v>98</v>
      </c>
      <c r="D67">
        <v>109129845</v>
      </c>
      <c r="E67" t="s">
        <v>2474</v>
      </c>
      <c r="F67" t="s">
        <v>2460</v>
      </c>
      <c r="G67">
        <v>0</v>
      </c>
      <c r="H67">
        <v>0</v>
      </c>
      <c r="I67">
        <v>0</v>
      </c>
      <c r="J67">
        <v>0</v>
      </c>
      <c r="K67">
        <v>1.74</v>
      </c>
      <c r="L67" t="s">
        <v>2414</v>
      </c>
      <c r="M67">
        <v>12</v>
      </c>
      <c r="N67">
        <v>6.91</v>
      </c>
      <c r="O67" t="s">
        <v>104</v>
      </c>
      <c r="P67" t="s">
        <v>103</v>
      </c>
      <c r="Q67">
        <v>12</v>
      </c>
      <c r="R67">
        <v>6.91</v>
      </c>
    </row>
    <row r="68" spans="1:18" x14ac:dyDescent="0.25">
      <c r="A68" s="22" t="s">
        <v>74</v>
      </c>
      <c r="B68" t="s">
        <v>68</v>
      </c>
      <c r="C68" t="s">
        <v>98</v>
      </c>
      <c r="D68">
        <v>109130186</v>
      </c>
      <c r="E68" t="s">
        <v>2469</v>
      </c>
      <c r="F68" t="s">
        <v>2460</v>
      </c>
      <c r="G68">
        <v>0</v>
      </c>
      <c r="H68">
        <v>0</v>
      </c>
      <c r="I68">
        <v>0</v>
      </c>
      <c r="J68">
        <v>0</v>
      </c>
      <c r="K68">
        <v>5.28</v>
      </c>
      <c r="L68" t="s">
        <v>2414</v>
      </c>
      <c r="M68">
        <v>12</v>
      </c>
      <c r="N68">
        <v>2.27</v>
      </c>
      <c r="O68" t="s">
        <v>104</v>
      </c>
      <c r="P68" t="s">
        <v>103</v>
      </c>
      <c r="Q68">
        <v>12</v>
      </c>
      <c r="R68">
        <v>2.27</v>
      </c>
    </row>
    <row r="69" spans="1:18" x14ac:dyDescent="0.25">
      <c r="A69" s="22" t="s">
        <v>74</v>
      </c>
      <c r="B69" t="s">
        <v>68</v>
      </c>
      <c r="C69" t="s">
        <v>98</v>
      </c>
      <c r="D69">
        <v>109314030</v>
      </c>
      <c r="E69" t="s">
        <v>5881</v>
      </c>
      <c r="F69" t="s">
        <v>5853</v>
      </c>
      <c r="G69">
        <v>0</v>
      </c>
      <c r="H69">
        <v>0</v>
      </c>
      <c r="I69">
        <v>0</v>
      </c>
      <c r="J69">
        <v>0</v>
      </c>
      <c r="K69">
        <v>5.07</v>
      </c>
      <c r="L69" t="s">
        <v>2414</v>
      </c>
      <c r="M69">
        <v>4</v>
      </c>
      <c r="N69">
        <v>0.79</v>
      </c>
      <c r="O69" t="s">
        <v>104</v>
      </c>
      <c r="P69" t="s">
        <v>103</v>
      </c>
      <c r="Q69">
        <v>4</v>
      </c>
      <c r="R69">
        <v>0.79</v>
      </c>
    </row>
    <row r="70" spans="1:18" x14ac:dyDescent="0.25">
      <c r="A70" s="22" t="s">
        <v>74</v>
      </c>
      <c r="B70" t="s">
        <v>68</v>
      </c>
      <c r="C70" t="s">
        <v>98</v>
      </c>
      <c r="D70">
        <v>109314097</v>
      </c>
      <c r="E70" t="s">
        <v>5868</v>
      </c>
      <c r="F70" t="s">
        <v>2467</v>
      </c>
      <c r="G70">
        <v>0</v>
      </c>
      <c r="H70">
        <v>0</v>
      </c>
      <c r="I70">
        <v>0</v>
      </c>
      <c r="J70">
        <v>0</v>
      </c>
      <c r="K70">
        <v>2.89</v>
      </c>
      <c r="L70" t="s">
        <v>2414</v>
      </c>
      <c r="M70">
        <v>20</v>
      </c>
      <c r="N70">
        <v>6.91</v>
      </c>
      <c r="O70" t="s">
        <v>104</v>
      </c>
      <c r="P70" t="s">
        <v>103</v>
      </c>
      <c r="Q70">
        <v>20</v>
      </c>
      <c r="R70">
        <v>6.91</v>
      </c>
    </row>
    <row r="71" spans="1:18" x14ac:dyDescent="0.25">
      <c r="A71" s="22" t="s">
        <v>74</v>
      </c>
      <c r="B71" t="s">
        <v>70</v>
      </c>
      <c r="C71" t="s">
        <v>98</v>
      </c>
      <c r="D71">
        <v>108746031</v>
      </c>
      <c r="E71" t="s">
        <v>2475</v>
      </c>
      <c r="F71" t="s">
        <v>2460</v>
      </c>
      <c r="G71">
        <v>0</v>
      </c>
      <c r="H71">
        <v>0</v>
      </c>
      <c r="I71">
        <v>0</v>
      </c>
      <c r="J71">
        <v>0</v>
      </c>
      <c r="K71">
        <v>4.5599999999999996</v>
      </c>
    </row>
    <row r="72" spans="1:18" x14ac:dyDescent="0.25">
      <c r="A72" s="22" t="s">
        <v>74</v>
      </c>
      <c r="B72" t="s">
        <v>70</v>
      </c>
      <c r="C72" t="s">
        <v>98</v>
      </c>
      <c r="D72">
        <v>109060424</v>
      </c>
      <c r="E72" t="s">
        <v>5882</v>
      </c>
      <c r="F72" t="s">
        <v>2467</v>
      </c>
      <c r="G72">
        <v>0</v>
      </c>
      <c r="H72">
        <v>0</v>
      </c>
      <c r="I72">
        <v>0</v>
      </c>
      <c r="J72">
        <v>0</v>
      </c>
      <c r="K72">
        <v>5.21</v>
      </c>
    </row>
    <row r="73" spans="1:18" x14ac:dyDescent="0.25">
      <c r="A73" s="22" t="s">
        <v>74</v>
      </c>
      <c r="B73" t="s">
        <v>70</v>
      </c>
      <c r="C73" t="s">
        <v>98</v>
      </c>
      <c r="D73">
        <v>109107765</v>
      </c>
      <c r="E73" t="s">
        <v>2476</v>
      </c>
      <c r="F73" t="s">
        <v>2459</v>
      </c>
      <c r="G73">
        <v>0</v>
      </c>
      <c r="H73">
        <v>0</v>
      </c>
      <c r="I73">
        <v>0</v>
      </c>
      <c r="J73">
        <v>0</v>
      </c>
      <c r="K73">
        <v>5.16</v>
      </c>
    </row>
    <row r="74" spans="1:18" x14ac:dyDescent="0.25">
      <c r="A74" s="22" t="s">
        <v>74</v>
      </c>
      <c r="B74" t="s">
        <v>70</v>
      </c>
      <c r="C74" t="s">
        <v>98</v>
      </c>
      <c r="D74">
        <v>109314223</v>
      </c>
      <c r="E74" t="s">
        <v>5883</v>
      </c>
      <c r="F74" t="s">
        <v>5853</v>
      </c>
      <c r="G74">
        <v>0</v>
      </c>
      <c r="H74">
        <v>0</v>
      </c>
      <c r="I74">
        <v>0</v>
      </c>
      <c r="J74">
        <v>0</v>
      </c>
      <c r="K74">
        <v>5.03</v>
      </c>
    </row>
    <row r="75" spans="1:18" x14ac:dyDescent="0.25">
      <c r="A75" s="22" t="s">
        <v>74</v>
      </c>
      <c r="B75" t="s">
        <v>70</v>
      </c>
      <c r="C75" t="s">
        <v>98</v>
      </c>
      <c r="D75">
        <v>109314976</v>
      </c>
      <c r="E75" t="s">
        <v>5870</v>
      </c>
      <c r="F75" t="s">
        <v>2467</v>
      </c>
      <c r="G75">
        <v>0</v>
      </c>
      <c r="H75">
        <v>0</v>
      </c>
      <c r="I75">
        <v>0</v>
      </c>
      <c r="J75">
        <v>0</v>
      </c>
      <c r="K75">
        <v>1.5</v>
      </c>
    </row>
    <row r="76" spans="1:18" x14ac:dyDescent="0.25">
      <c r="A76" s="22" t="s">
        <v>74</v>
      </c>
      <c r="B76" t="s">
        <v>2444</v>
      </c>
      <c r="C76" t="s">
        <v>98</v>
      </c>
      <c r="D76">
        <v>108745226</v>
      </c>
      <c r="E76" t="s">
        <v>2477</v>
      </c>
      <c r="F76" t="s">
        <v>2460</v>
      </c>
      <c r="G76">
        <v>0</v>
      </c>
      <c r="H76">
        <v>0</v>
      </c>
      <c r="I76">
        <v>0</v>
      </c>
      <c r="J76">
        <v>0</v>
      </c>
      <c r="K76">
        <v>4.8</v>
      </c>
    </row>
    <row r="77" spans="1:18" x14ac:dyDescent="0.25">
      <c r="A77" s="22" t="s">
        <v>74</v>
      </c>
      <c r="B77" t="s">
        <v>2444</v>
      </c>
      <c r="C77" t="s">
        <v>98</v>
      </c>
      <c r="D77">
        <v>108788253</v>
      </c>
      <c r="E77" t="s">
        <v>5884</v>
      </c>
      <c r="F77" t="s">
        <v>2462</v>
      </c>
      <c r="G77">
        <v>0</v>
      </c>
      <c r="H77">
        <v>0</v>
      </c>
      <c r="I77">
        <v>0</v>
      </c>
      <c r="J77">
        <v>0</v>
      </c>
      <c r="K77">
        <v>0.13</v>
      </c>
    </row>
    <row r="78" spans="1:18" x14ac:dyDescent="0.25">
      <c r="A78" s="22" t="s">
        <v>74</v>
      </c>
      <c r="B78" t="s">
        <v>2444</v>
      </c>
      <c r="C78" t="s">
        <v>98</v>
      </c>
      <c r="D78">
        <v>108876182</v>
      </c>
      <c r="E78" t="s">
        <v>5885</v>
      </c>
      <c r="F78" t="s">
        <v>5853</v>
      </c>
      <c r="G78">
        <v>0</v>
      </c>
      <c r="H78">
        <v>0</v>
      </c>
      <c r="I78">
        <v>0</v>
      </c>
      <c r="J78">
        <v>0</v>
      </c>
      <c r="K78">
        <v>5</v>
      </c>
    </row>
    <row r="79" spans="1:18" x14ac:dyDescent="0.25">
      <c r="A79" s="22" t="s">
        <v>74</v>
      </c>
      <c r="B79" t="s">
        <v>2444</v>
      </c>
      <c r="C79" t="s">
        <v>98</v>
      </c>
      <c r="D79">
        <v>108876290</v>
      </c>
      <c r="E79" t="s">
        <v>5886</v>
      </c>
      <c r="F79" t="s">
        <v>5853</v>
      </c>
      <c r="G79">
        <v>0</v>
      </c>
      <c r="H79">
        <v>0</v>
      </c>
      <c r="I79">
        <v>0</v>
      </c>
      <c r="J79">
        <v>0</v>
      </c>
      <c r="K79">
        <v>1.97</v>
      </c>
    </row>
    <row r="80" spans="1:18" x14ac:dyDescent="0.25">
      <c r="A80" s="22" t="s">
        <v>74</v>
      </c>
      <c r="B80" t="s">
        <v>2444</v>
      </c>
      <c r="C80" t="s">
        <v>98</v>
      </c>
      <c r="D80">
        <v>109010514</v>
      </c>
      <c r="E80" t="s">
        <v>5887</v>
      </c>
      <c r="F80" t="s">
        <v>5853</v>
      </c>
      <c r="G80">
        <v>0</v>
      </c>
      <c r="H80">
        <v>0</v>
      </c>
      <c r="I80">
        <v>0</v>
      </c>
      <c r="J80">
        <v>0</v>
      </c>
      <c r="K80">
        <v>5.08</v>
      </c>
    </row>
    <row r="81" spans="1:18" x14ac:dyDescent="0.25">
      <c r="A81" s="22" t="s">
        <v>74</v>
      </c>
      <c r="B81" t="s">
        <v>2444</v>
      </c>
      <c r="C81" t="s">
        <v>98</v>
      </c>
      <c r="D81">
        <v>109012142</v>
      </c>
      <c r="E81" t="s">
        <v>5888</v>
      </c>
      <c r="F81" t="s">
        <v>5853</v>
      </c>
      <c r="G81">
        <v>0</v>
      </c>
      <c r="H81">
        <v>0</v>
      </c>
      <c r="I81">
        <v>0</v>
      </c>
      <c r="J81">
        <v>0</v>
      </c>
      <c r="K81">
        <v>5.08</v>
      </c>
    </row>
    <row r="82" spans="1:18" x14ac:dyDescent="0.25">
      <c r="A82" s="22" t="s">
        <v>74</v>
      </c>
      <c r="B82" t="s">
        <v>2444</v>
      </c>
      <c r="C82" t="s">
        <v>98</v>
      </c>
      <c r="D82">
        <v>109060031</v>
      </c>
      <c r="E82" t="s">
        <v>5889</v>
      </c>
      <c r="F82" t="s">
        <v>2467</v>
      </c>
      <c r="G82">
        <v>0</v>
      </c>
      <c r="H82">
        <v>0</v>
      </c>
      <c r="I82">
        <v>0</v>
      </c>
      <c r="J82">
        <v>0</v>
      </c>
      <c r="K82">
        <v>5.08</v>
      </c>
    </row>
    <row r="83" spans="1:18" x14ac:dyDescent="0.25">
      <c r="A83" s="22" t="s">
        <v>74</v>
      </c>
      <c r="B83" t="s">
        <v>69</v>
      </c>
      <c r="C83" t="s">
        <v>98</v>
      </c>
      <c r="D83">
        <v>108746031</v>
      </c>
      <c r="E83" t="s">
        <v>2475</v>
      </c>
      <c r="F83" t="s">
        <v>2460</v>
      </c>
      <c r="G83">
        <v>0</v>
      </c>
      <c r="H83">
        <v>0</v>
      </c>
      <c r="I83">
        <v>0</v>
      </c>
      <c r="J83">
        <v>0</v>
      </c>
      <c r="K83">
        <v>0.53</v>
      </c>
      <c r="L83" t="s">
        <v>2415</v>
      </c>
      <c r="M83">
        <v>31</v>
      </c>
      <c r="N83">
        <v>58.99</v>
      </c>
      <c r="O83" t="s">
        <v>104</v>
      </c>
      <c r="P83" t="s">
        <v>103</v>
      </c>
      <c r="Q83">
        <v>31</v>
      </c>
      <c r="R83">
        <v>58.99</v>
      </c>
    </row>
    <row r="84" spans="1:18" x14ac:dyDescent="0.25">
      <c r="A84" s="22" t="s">
        <v>74</v>
      </c>
      <c r="B84" t="s">
        <v>69</v>
      </c>
      <c r="C84" t="s">
        <v>98</v>
      </c>
      <c r="D84">
        <v>108746276</v>
      </c>
      <c r="E84" t="s">
        <v>2466</v>
      </c>
      <c r="F84" t="s">
        <v>2460</v>
      </c>
      <c r="G84">
        <v>0</v>
      </c>
      <c r="H84">
        <v>0</v>
      </c>
      <c r="I84">
        <v>0</v>
      </c>
      <c r="J84">
        <v>0</v>
      </c>
      <c r="K84">
        <v>1.18</v>
      </c>
      <c r="L84" t="s">
        <v>2415</v>
      </c>
      <c r="M84">
        <v>10</v>
      </c>
      <c r="N84">
        <v>8.49</v>
      </c>
      <c r="O84" t="s">
        <v>104</v>
      </c>
      <c r="P84" t="s">
        <v>103</v>
      </c>
      <c r="Q84">
        <v>10</v>
      </c>
      <c r="R84">
        <v>8.49</v>
      </c>
    </row>
    <row r="85" spans="1:18" x14ac:dyDescent="0.25">
      <c r="A85" s="22" t="s">
        <v>74</v>
      </c>
      <c r="B85" t="s">
        <v>69</v>
      </c>
      <c r="C85" t="s">
        <v>98</v>
      </c>
      <c r="D85">
        <v>108788125</v>
      </c>
      <c r="E85" t="s">
        <v>2483</v>
      </c>
      <c r="F85" t="s">
        <v>2462</v>
      </c>
      <c r="G85">
        <v>0</v>
      </c>
      <c r="H85">
        <v>0</v>
      </c>
      <c r="I85">
        <v>0</v>
      </c>
      <c r="J85">
        <v>0</v>
      </c>
      <c r="K85">
        <v>0.17</v>
      </c>
      <c r="L85" t="s">
        <v>2415</v>
      </c>
      <c r="M85">
        <v>0</v>
      </c>
      <c r="N85">
        <v>0</v>
      </c>
      <c r="O85" t="s">
        <v>104</v>
      </c>
      <c r="P85" t="s">
        <v>103</v>
      </c>
      <c r="Q85">
        <v>0</v>
      </c>
      <c r="R85">
        <v>0</v>
      </c>
    </row>
    <row r="86" spans="1:18" x14ac:dyDescent="0.25">
      <c r="A86" s="22" t="s">
        <v>74</v>
      </c>
      <c r="B86" t="s">
        <v>69</v>
      </c>
      <c r="C86" t="s">
        <v>98</v>
      </c>
      <c r="D86">
        <v>108797194</v>
      </c>
      <c r="E86" t="s">
        <v>5874</v>
      </c>
      <c r="F86" t="s">
        <v>2467</v>
      </c>
      <c r="G86">
        <v>0</v>
      </c>
      <c r="H86">
        <v>0</v>
      </c>
      <c r="I86">
        <v>0</v>
      </c>
      <c r="J86">
        <v>0</v>
      </c>
      <c r="K86">
        <v>0.01</v>
      </c>
      <c r="L86" t="s">
        <v>2415</v>
      </c>
      <c r="M86">
        <v>2</v>
      </c>
      <c r="N86">
        <v>156.52000000000001</v>
      </c>
      <c r="O86" t="s">
        <v>104</v>
      </c>
      <c r="P86" t="s">
        <v>103</v>
      </c>
      <c r="Q86">
        <v>2</v>
      </c>
      <c r="R86">
        <v>156.52000000000001</v>
      </c>
    </row>
    <row r="87" spans="1:18" x14ac:dyDescent="0.25">
      <c r="A87" s="22" t="s">
        <v>74</v>
      </c>
      <c r="B87" t="s">
        <v>69</v>
      </c>
      <c r="C87" t="s">
        <v>98</v>
      </c>
      <c r="D87">
        <v>108797267</v>
      </c>
      <c r="E87" t="s">
        <v>5844</v>
      </c>
      <c r="F87" t="s">
        <v>2467</v>
      </c>
      <c r="G87">
        <v>0</v>
      </c>
      <c r="H87">
        <v>0</v>
      </c>
      <c r="I87">
        <v>0</v>
      </c>
      <c r="J87">
        <v>0</v>
      </c>
      <c r="K87">
        <v>0</v>
      </c>
      <c r="L87" t="s">
        <v>2415</v>
      </c>
      <c r="M87">
        <v>1</v>
      </c>
      <c r="N87">
        <v>0</v>
      </c>
      <c r="O87" t="s">
        <v>104</v>
      </c>
      <c r="P87" t="s">
        <v>103</v>
      </c>
      <c r="Q87">
        <v>1</v>
      </c>
      <c r="R87">
        <v>0</v>
      </c>
    </row>
    <row r="88" spans="1:18" x14ac:dyDescent="0.25">
      <c r="A88" s="22" t="s">
        <v>74</v>
      </c>
      <c r="B88" t="s">
        <v>69</v>
      </c>
      <c r="C88" t="s">
        <v>98</v>
      </c>
      <c r="D88">
        <v>108797501</v>
      </c>
      <c r="E88" t="s">
        <v>5845</v>
      </c>
      <c r="F88" t="s">
        <v>2467</v>
      </c>
      <c r="G88">
        <v>0</v>
      </c>
      <c r="H88">
        <v>0</v>
      </c>
      <c r="I88">
        <v>0</v>
      </c>
      <c r="J88">
        <v>0</v>
      </c>
      <c r="K88">
        <v>0.16</v>
      </c>
      <c r="L88" t="s">
        <v>2415</v>
      </c>
      <c r="M88">
        <v>1</v>
      </c>
      <c r="N88">
        <v>6.1</v>
      </c>
      <c r="O88" t="s">
        <v>104</v>
      </c>
      <c r="P88" t="s">
        <v>103</v>
      </c>
      <c r="Q88">
        <v>1</v>
      </c>
      <c r="R88">
        <v>6.1</v>
      </c>
    </row>
    <row r="89" spans="1:18" x14ac:dyDescent="0.25">
      <c r="A89" s="22" t="s">
        <v>74</v>
      </c>
      <c r="B89" t="s">
        <v>69</v>
      </c>
      <c r="C89" t="s">
        <v>98</v>
      </c>
      <c r="D89">
        <v>108797612</v>
      </c>
      <c r="E89" t="s">
        <v>5890</v>
      </c>
      <c r="F89" t="s">
        <v>2467</v>
      </c>
      <c r="G89">
        <v>0</v>
      </c>
      <c r="H89">
        <v>0</v>
      </c>
      <c r="I89">
        <v>0</v>
      </c>
      <c r="J89">
        <v>0</v>
      </c>
      <c r="K89">
        <v>0.1</v>
      </c>
      <c r="L89" t="s">
        <v>2415</v>
      </c>
      <c r="M89">
        <v>10</v>
      </c>
      <c r="N89">
        <v>103.45</v>
      </c>
      <c r="O89" t="s">
        <v>104</v>
      </c>
      <c r="P89" t="s">
        <v>103</v>
      </c>
      <c r="Q89">
        <v>10</v>
      </c>
      <c r="R89">
        <v>103.45</v>
      </c>
    </row>
    <row r="90" spans="1:18" x14ac:dyDescent="0.25">
      <c r="A90" s="22" t="s">
        <v>74</v>
      </c>
      <c r="B90" t="s">
        <v>69</v>
      </c>
      <c r="C90" t="s">
        <v>98</v>
      </c>
      <c r="D90">
        <v>108871803</v>
      </c>
      <c r="E90" t="s">
        <v>2473</v>
      </c>
      <c r="F90" t="s">
        <v>2462</v>
      </c>
      <c r="G90">
        <v>0</v>
      </c>
      <c r="H90">
        <v>0</v>
      </c>
      <c r="I90">
        <v>0</v>
      </c>
      <c r="J90">
        <v>0</v>
      </c>
      <c r="K90">
        <v>0.17</v>
      </c>
      <c r="L90" t="s">
        <v>2415</v>
      </c>
      <c r="M90">
        <v>0</v>
      </c>
      <c r="N90">
        <v>0</v>
      </c>
      <c r="O90" t="s">
        <v>104</v>
      </c>
      <c r="P90" t="s">
        <v>103</v>
      </c>
      <c r="Q90">
        <v>0</v>
      </c>
      <c r="R90">
        <v>0</v>
      </c>
    </row>
    <row r="91" spans="1:18" x14ac:dyDescent="0.25">
      <c r="A91" s="22" t="s">
        <v>74</v>
      </c>
      <c r="B91" t="s">
        <v>69</v>
      </c>
      <c r="C91" t="s">
        <v>98</v>
      </c>
      <c r="D91">
        <v>108872922</v>
      </c>
      <c r="E91" t="s">
        <v>2478</v>
      </c>
      <c r="F91" t="s">
        <v>2462</v>
      </c>
      <c r="G91">
        <v>0</v>
      </c>
      <c r="H91">
        <v>0</v>
      </c>
      <c r="I91">
        <v>0</v>
      </c>
      <c r="J91">
        <v>0</v>
      </c>
      <c r="K91">
        <v>0.18</v>
      </c>
      <c r="L91" t="s">
        <v>2415</v>
      </c>
      <c r="M91">
        <v>0</v>
      </c>
      <c r="N91">
        <v>0</v>
      </c>
      <c r="O91" t="s">
        <v>104</v>
      </c>
      <c r="P91" t="s">
        <v>103</v>
      </c>
      <c r="Q91">
        <v>0</v>
      </c>
      <c r="R91">
        <v>0</v>
      </c>
    </row>
    <row r="92" spans="1:18" x14ac:dyDescent="0.25">
      <c r="A92" s="22" t="s">
        <v>74</v>
      </c>
      <c r="B92" t="s">
        <v>69</v>
      </c>
      <c r="C92" t="s">
        <v>98</v>
      </c>
      <c r="D92">
        <v>108938101</v>
      </c>
      <c r="E92" t="s">
        <v>2479</v>
      </c>
      <c r="F92" t="s">
        <v>2462</v>
      </c>
      <c r="G92">
        <v>0</v>
      </c>
      <c r="H92">
        <v>0</v>
      </c>
      <c r="I92">
        <v>0</v>
      </c>
      <c r="J92">
        <v>0</v>
      </c>
      <c r="K92">
        <v>0.23</v>
      </c>
      <c r="L92" t="s">
        <v>2415</v>
      </c>
      <c r="M92">
        <v>0</v>
      </c>
      <c r="N92">
        <v>0</v>
      </c>
      <c r="O92" t="s">
        <v>104</v>
      </c>
      <c r="P92" t="s">
        <v>103</v>
      </c>
      <c r="Q92">
        <v>0</v>
      </c>
      <c r="R92">
        <v>0</v>
      </c>
    </row>
    <row r="93" spans="1:18" x14ac:dyDescent="0.25">
      <c r="A93" s="22" t="s">
        <v>74</v>
      </c>
      <c r="B93" t="s">
        <v>69</v>
      </c>
      <c r="C93" t="s">
        <v>98</v>
      </c>
      <c r="D93">
        <v>108948361</v>
      </c>
      <c r="E93" t="s">
        <v>5877</v>
      </c>
      <c r="F93" t="s">
        <v>5853</v>
      </c>
      <c r="G93">
        <v>0</v>
      </c>
      <c r="H93">
        <v>0</v>
      </c>
      <c r="I93">
        <v>0</v>
      </c>
      <c r="J93">
        <v>0</v>
      </c>
      <c r="K93">
        <v>3.11</v>
      </c>
      <c r="L93" t="s">
        <v>2415</v>
      </c>
      <c r="M93">
        <v>20</v>
      </c>
      <c r="N93">
        <v>6.42</v>
      </c>
      <c r="O93" t="s">
        <v>104</v>
      </c>
      <c r="P93" t="s">
        <v>103</v>
      </c>
      <c r="Q93">
        <v>20</v>
      </c>
      <c r="R93">
        <v>6.42</v>
      </c>
    </row>
    <row r="94" spans="1:18" x14ac:dyDescent="0.25">
      <c r="A94" s="22" t="s">
        <v>74</v>
      </c>
      <c r="B94" t="s">
        <v>69</v>
      </c>
      <c r="C94" t="s">
        <v>98</v>
      </c>
      <c r="D94">
        <v>109004572</v>
      </c>
      <c r="E94" t="s">
        <v>5879</v>
      </c>
      <c r="F94" t="s">
        <v>2467</v>
      </c>
      <c r="G94">
        <v>0</v>
      </c>
      <c r="H94">
        <v>0</v>
      </c>
      <c r="I94">
        <v>0</v>
      </c>
      <c r="J94">
        <v>0</v>
      </c>
      <c r="K94">
        <v>0.54</v>
      </c>
      <c r="L94" t="s">
        <v>2415</v>
      </c>
      <c r="M94">
        <v>3</v>
      </c>
      <c r="N94">
        <v>5.58</v>
      </c>
      <c r="O94" t="s">
        <v>104</v>
      </c>
      <c r="P94" t="s">
        <v>103</v>
      </c>
      <c r="Q94">
        <v>3</v>
      </c>
      <c r="R94">
        <v>5.58</v>
      </c>
    </row>
    <row r="95" spans="1:18" x14ac:dyDescent="0.25">
      <c r="A95" s="22" t="s">
        <v>74</v>
      </c>
      <c r="B95" t="s">
        <v>69</v>
      </c>
      <c r="C95" t="s">
        <v>98</v>
      </c>
      <c r="D95">
        <v>109010402</v>
      </c>
      <c r="E95" t="s">
        <v>5855</v>
      </c>
      <c r="F95" t="s">
        <v>5853</v>
      </c>
      <c r="G95">
        <v>0</v>
      </c>
      <c r="H95">
        <v>0</v>
      </c>
      <c r="I95">
        <v>0</v>
      </c>
      <c r="J95">
        <v>0</v>
      </c>
      <c r="K95">
        <v>0.13</v>
      </c>
      <c r="L95" t="s">
        <v>2415</v>
      </c>
      <c r="M95">
        <v>3</v>
      </c>
      <c r="N95">
        <v>22.45</v>
      </c>
      <c r="O95" t="s">
        <v>104</v>
      </c>
      <c r="P95" t="s">
        <v>103</v>
      </c>
      <c r="Q95">
        <v>3</v>
      </c>
      <c r="R95">
        <v>22.45</v>
      </c>
    </row>
    <row r="96" spans="1:18" x14ac:dyDescent="0.25">
      <c r="A96" s="22" t="s">
        <v>74</v>
      </c>
      <c r="B96" t="s">
        <v>69</v>
      </c>
      <c r="C96" t="s">
        <v>98</v>
      </c>
      <c r="D96">
        <v>109010622</v>
      </c>
      <c r="E96" t="s">
        <v>5859</v>
      </c>
      <c r="F96" t="s">
        <v>2467</v>
      </c>
      <c r="G96">
        <v>0</v>
      </c>
      <c r="H96">
        <v>0</v>
      </c>
      <c r="I96">
        <v>0</v>
      </c>
      <c r="J96">
        <v>0</v>
      </c>
      <c r="K96">
        <v>3.25</v>
      </c>
      <c r="L96" t="s">
        <v>2415</v>
      </c>
      <c r="M96">
        <v>14</v>
      </c>
      <c r="N96">
        <v>4.3099999999999996</v>
      </c>
      <c r="O96" t="s">
        <v>104</v>
      </c>
      <c r="P96" t="s">
        <v>103</v>
      </c>
      <c r="Q96">
        <v>14</v>
      </c>
      <c r="R96">
        <v>4.3099999999999996</v>
      </c>
    </row>
    <row r="97" spans="1:18" x14ac:dyDescent="0.25">
      <c r="A97" s="22" t="s">
        <v>74</v>
      </c>
      <c r="B97" t="s">
        <v>69</v>
      </c>
      <c r="C97" t="s">
        <v>98</v>
      </c>
      <c r="D97">
        <v>109011292</v>
      </c>
      <c r="E97" t="s">
        <v>5880</v>
      </c>
      <c r="F97" t="s">
        <v>5853</v>
      </c>
      <c r="G97">
        <v>0</v>
      </c>
      <c r="H97">
        <v>0</v>
      </c>
      <c r="I97">
        <v>0</v>
      </c>
      <c r="J97">
        <v>0</v>
      </c>
      <c r="K97">
        <v>2.94</v>
      </c>
      <c r="L97" t="s">
        <v>2415</v>
      </c>
      <c r="M97">
        <v>8</v>
      </c>
      <c r="N97">
        <v>2.72</v>
      </c>
      <c r="O97" t="s">
        <v>104</v>
      </c>
      <c r="P97" t="s">
        <v>103</v>
      </c>
      <c r="Q97">
        <v>8</v>
      </c>
      <c r="R97">
        <v>2.72</v>
      </c>
    </row>
    <row r="98" spans="1:18" x14ac:dyDescent="0.25">
      <c r="A98" s="22" t="s">
        <v>74</v>
      </c>
      <c r="B98" t="s">
        <v>69</v>
      </c>
      <c r="C98" t="s">
        <v>98</v>
      </c>
      <c r="D98">
        <v>109012171</v>
      </c>
      <c r="E98" t="s">
        <v>5862</v>
      </c>
      <c r="F98" t="s">
        <v>2467</v>
      </c>
      <c r="G98">
        <v>0</v>
      </c>
      <c r="H98">
        <v>0</v>
      </c>
      <c r="I98">
        <v>0</v>
      </c>
      <c r="J98">
        <v>0</v>
      </c>
      <c r="K98">
        <v>2.61</v>
      </c>
      <c r="L98" t="s">
        <v>2415</v>
      </c>
      <c r="M98">
        <v>8</v>
      </c>
      <c r="N98">
        <v>3.07</v>
      </c>
      <c r="O98" t="s">
        <v>104</v>
      </c>
      <c r="P98" t="s">
        <v>103</v>
      </c>
      <c r="Q98">
        <v>8</v>
      </c>
      <c r="R98">
        <v>3.07</v>
      </c>
    </row>
    <row r="99" spans="1:18" x14ac:dyDescent="0.25">
      <c r="A99" s="22" t="s">
        <v>74</v>
      </c>
      <c r="B99" t="s">
        <v>69</v>
      </c>
      <c r="C99" t="s">
        <v>98</v>
      </c>
      <c r="D99">
        <v>109014652</v>
      </c>
      <c r="E99" t="s">
        <v>2480</v>
      </c>
      <c r="F99" t="s">
        <v>2462</v>
      </c>
      <c r="G99">
        <v>0</v>
      </c>
      <c r="H99">
        <v>0</v>
      </c>
      <c r="I99">
        <v>0</v>
      </c>
      <c r="J99">
        <v>0</v>
      </c>
      <c r="K99">
        <v>0</v>
      </c>
      <c r="L99" t="s">
        <v>2415</v>
      </c>
      <c r="M99">
        <v>1</v>
      </c>
      <c r="N99">
        <v>0</v>
      </c>
      <c r="O99" t="s">
        <v>104</v>
      </c>
      <c r="P99" t="s">
        <v>103</v>
      </c>
      <c r="Q99">
        <v>1</v>
      </c>
      <c r="R99">
        <v>0</v>
      </c>
    </row>
    <row r="100" spans="1:18" x14ac:dyDescent="0.25">
      <c r="A100" s="22" t="s">
        <v>74</v>
      </c>
      <c r="B100" t="s">
        <v>69</v>
      </c>
      <c r="C100" t="s">
        <v>98</v>
      </c>
      <c r="D100">
        <v>109044342</v>
      </c>
      <c r="E100" t="s">
        <v>5891</v>
      </c>
      <c r="F100" t="s">
        <v>2463</v>
      </c>
      <c r="G100">
        <v>0</v>
      </c>
      <c r="H100">
        <v>0</v>
      </c>
      <c r="I100">
        <v>0</v>
      </c>
      <c r="J100">
        <v>0</v>
      </c>
      <c r="K100">
        <v>0.13</v>
      </c>
      <c r="L100" t="s">
        <v>2415</v>
      </c>
      <c r="M100">
        <v>0</v>
      </c>
      <c r="N100">
        <v>0</v>
      </c>
      <c r="O100" t="s">
        <v>104</v>
      </c>
      <c r="P100" t="s">
        <v>103</v>
      </c>
      <c r="Q100">
        <v>0</v>
      </c>
      <c r="R100">
        <v>0</v>
      </c>
    </row>
    <row r="101" spans="1:18" x14ac:dyDescent="0.25">
      <c r="A101" s="22" t="s">
        <v>74</v>
      </c>
      <c r="B101" t="s">
        <v>69</v>
      </c>
      <c r="C101" t="s">
        <v>98</v>
      </c>
      <c r="D101">
        <v>109060424</v>
      </c>
      <c r="E101" t="s">
        <v>5882</v>
      </c>
      <c r="F101" t="s">
        <v>2467</v>
      </c>
      <c r="G101">
        <v>0</v>
      </c>
      <c r="H101">
        <v>0</v>
      </c>
      <c r="I101">
        <v>0</v>
      </c>
      <c r="J101">
        <v>0</v>
      </c>
      <c r="K101">
        <v>0.09</v>
      </c>
      <c r="L101" t="s">
        <v>2415</v>
      </c>
      <c r="M101">
        <v>2</v>
      </c>
      <c r="N101">
        <v>22.15</v>
      </c>
      <c r="O101" t="s">
        <v>104</v>
      </c>
      <c r="P101" t="s">
        <v>103</v>
      </c>
      <c r="Q101">
        <v>2</v>
      </c>
      <c r="R101">
        <v>22.15</v>
      </c>
    </row>
    <row r="102" spans="1:18" x14ac:dyDescent="0.25">
      <c r="A102" s="22" t="s">
        <v>74</v>
      </c>
      <c r="B102" t="s">
        <v>69</v>
      </c>
      <c r="C102" t="s">
        <v>98</v>
      </c>
      <c r="D102">
        <v>109062452</v>
      </c>
      <c r="E102" t="s">
        <v>5864</v>
      </c>
      <c r="F102" t="s">
        <v>5853</v>
      </c>
      <c r="G102">
        <v>0</v>
      </c>
      <c r="H102">
        <v>0</v>
      </c>
      <c r="I102">
        <v>0</v>
      </c>
      <c r="J102">
        <v>0</v>
      </c>
      <c r="K102">
        <v>0.17</v>
      </c>
      <c r="L102" t="s">
        <v>2415</v>
      </c>
      <c r="M102">
        <v>3</v>
      </c>
      <c r="N102">
        <v>18.18</v>
      </c>
      <c r="O102" t="s">
        <v>104</v>
      </c>
      <c r="P102" t="s">
        <v>103</v>
      </c>
      <c r="Q102">
        <v>3</v>
      </c>
      <c r="R102">
        <v>18.18</v>
      </c>
    </row>
    <row r="103" spans="1:18" x14ac:dyDescent="0.25">
      <c r="A103" s="22" t="s">
        <v>74</v>
      </c>
      <c r="B103" t="s">
        <v>69</v>
      </c>
      <c r="C103" t="s">
        <v>98</v>
      </c>
      <c r="D103">
        <v>109062824</v>
      </c>
      <c r="E103" t="s">
        <v>5865</v>
      </c>
      <c r="F103" t="s">
        <v>5853</v>
      </c>
      <c r="G103">
        <v>0</v>
      </c>
      <c r="H103">
        <v>0</v>
      </c>
      <c r="I103">
        <v>0</v>
      </c>
      <c r="J103">
        <v>0</v>
      </c>
      <c r="K103">
        <v>5.1100000000000003</v>
      </c>
      <c r="L103" t="s">
        <v>2415</v>
      </c>
      <c r="M103">
        <v>10</v>
      </c>
      <c r="N103">
        <v>1.96</v>
      </c>
      <c r="O103" t="s">
        <v>104</v>
      </c>
      <c r="P103" t="s">
        <v>103</v>
      </c>
      <c r="Q103">
        <v>10</v>
      </c>
      <c r="R103">
        <v>1.96</v>
      </c>
    </row>
    <row r="104" spans="1:18" x14ac:dyDescent="0.25">
      <c r="A104" s="22" t="s">
        <v>74</v>
      </c>
      <c r="B104" t="s">
        <v>69</v>
      </c>
      <c r="C104" t="s">
        <v>98</v>
      </c>
      <c r="D104">
        <v>109107765</v>
      </c>
      <c r="E104" t="s">
        <v>2476</v>
      </c>
      <c r="F104" t="s">
        <v>2459</v>
      </c>
      <c r="G104">
        <v>0</v>
      </c>
      <c r="H104">
        <v>0</v>
      </c>
      <c r="I104">
        <v>0</v>
      </c>
      <c r="J104">
        <v>0</v>
      </c>
      <c r="K104">
        <v>0</v>
      </c>
      <c r="L104" t="s">
        <v>2415</v>
      </c>
      <c r="M104">
        <v>1</v>
      </c>
      <c r="N104">
        <v>0</v>
      </c>
      <c r="O104" t="s">
        <v>104</v>
      </c>
      <c r="P104" t="s">
        <v>103</v>
      </c>
      <c r="Q104">
        <v>1</v>
      </c>
      <c r="R104">
        <v>0</v>
      </c>
    </row>
    <row r="105" spans="1:18" x14ac:dyDescent="0.25">
      <c r="A105" s="22" t="s">
        <v>74</v>
      </c>
      <c r="B105" t="s">
        <v>69</v>
      </c>
      <c r="C105" t="s">
        <v>98</v>
      </c>
      <c r="D105">
        <v>109129686</v>
      </c>
      <c r="E105" t="s">
        <v>2482</v>
      </c>
      <c r="F105" t="s">
        <v>2460</v>
      </c>
      <c r="G105">
        <v>0</v>
      </c>
      <c r="H105">
        <v>0</v>
      </c>
      <c r="I105">
        <v>0</v>
      </c>
      <c r="J105">
        <v>0</v>
      </c>
      <c r="K105">
        <v>1.75</v>
      </c>
      <c r="L105" t="s">
        <v>2415</v>
      </c>
      <c r="M105">
        <v>12</v>
      </c>
      <c r="N105">
        <v>6.88</v>
      </c>
      <c r="O105" t="s">
        <v>104</v>
      </c>
      <c r="P105" t="s">
        <v>103</v>
      </c>
      <c r="Q105">
        <v>12</v>
      </c>
      <c r="R105">
        <v>6.88</v>
      </c>
    </row>
    <row r="106" spans="1:18" x14ac:dyDescent="0.25">
      <c r="A106" s="22" t="s">
        <v>74</v>
      </c>
      <c r="B106" t="s">
        <v>69</v>
      </c>
      <c r="C106" t="s">
        <v>98</v>
      </c>
      <c r="D106">
        <v>109129845</v>
      </c>
      <c r="E106" t="s">
        <v>2474</v>
      </c>
      <c r="F106" t="s">
        <v>2460</v>
      </c>
      <c r="G106">
        <v>0</v>
      </c>
      <c r="H106">
        <v>0</v>
      </c>
      <c r="I106">
        <v>0</v>
      </c>
      <c r="J106">
        <v>0</v>
      </c>
      <c r="K106">
        <v>0.14000000000000001</v>
      </c>
      <c r="L106" t="s">
        <v>2415</v>
      </c>
      <c r="M106">
        <v>3</v>
      </c>
      <c r="N106">
        <v>20.69</v>
      </c>
      <c r="O106" t="s">
        <v>104</v>
      </c>
      <c r="P106" t="s">
        <v>103</v>
      </c>
      <c r="Q106">
        <v>3</v>
      </c>
      <c r="R106">
        <v>20.69</v>
      </c>
    </row>
    <row r="107" spans="1:18" x14ac:dyDescent="0.25">
      <c r="A107" s="22" t="s">
        <v>74</v>
      </c>
      <c r="B107" t="s">
        <v>69</v>
      </c>
      <c r="C107" t="s">
        <v>98</v>
      </c>
      <c r="D107">
        <v>109314030</v>
      </c>
      <c r="E107" t="s">
        <v>5881</v>
      </c>
      <c r="F107" t="s">
        <v>5853</v>
      </c>
      <c r="G107">
        <v>0</v>
      </c>
      <c r="H107">
        <v>0</v>
      </c>
      <c r="I107">
        <v>0</v>
      </c>
      <c r="J107">
        <v>0</v>
      </c>
      <c r="K107">
        <v>0</v>
      </c>
      <c r="L107" t="s">
        <v>2415</v>
      </c>
      <c r="M107">
        <v>1</v>
      </c>
      <c r="N107">
        <v>0</v>
      </c>
      <c r="O107" t="s">
        <v>104</v>
      </c>
      <c r="P107" t="s">
        <v>103</v>
      </c>
      <c r="Q107">
        <v>1</v>
      </c>
      <c r="R107">
        <v>0</v>
      </c>
    </row>
    <row r="108" spans="1:18" x14ac:dyDescent="0.25">
      <c r="A108" s="22" t="s">
        <v>74</v>
      </c>
      <c r="B108" t="s">
        <v>69</v>
      </c>
      <c r="C108" t="s">
        <v>98</v>
      </c>
      <c r="D108">
        <v>109314097</v>
      </c>
      <c r="E108" t="s">
        <v>5868</v>
      </c>
      <c r="F108" t="s">
        <v>2467</v>
      </c>
      <c r="G108">
        <v>0</v>
      </c>
      <c r="H108">
        <v>0</v>
      </c>
      <c r="I108">
        <v>0</v>
      </c>
      <c r="J108">
        <v>0</v>
      </c>
      <c r="K108">
        <v>0.39</v>
      </c>
      <c r="L108" t="s">
        <v>2415</v>
      </c>
      <c r="M108">
        <v>6</v>
      </c>
      <c r="N108">
        <v>15.46</v>
      </c>
      <c r="O108" t="s">
        <v>104</v>
      </c>
      <c r="P108" t="s">
        <v>103</v>
      </c>
      <c r="Q108">
        <v>6</v>
      </c>
      <c r="R108">
        <v>15.46</v>
      </c>
    </row>
    <row r="109" spans="1:18" x14ac:dyDescent="0.25">
      <c r="A109" s="22" t="s">
        <v>74</v>
      </c>
      <c r="B109" t="s">
        <v>2452</v>
      </c>
      <c r="C109" t="s">
        <v>98</v>
      </c>
      <c r="D109">
        <v>109148599</v>
      </c>
      <c r="E109" t="s">
        <v>5892</v>
      </c>
      <c r="F109" t="s">
        <v>5853</v>
      </c>
      <c r="G109">
        <v>0</v>
      </c>
      <c r="H109">
        <v>0</v>
      </c>
      <c r="I109">
        <v>0</v>
      </c>
      <c r="J109">
        <v>0</v>
      </c>
      <c r="K109">
        <v>5</v>
      </c>
    </row>
    <row r="110" spans="1:18" x14ac:dyDescent="0.25">
      <c r="A110" s="22" t="s">
        <v>74</v>
      </c>
      <c r="B110" t="s">
        <v>2484</v>
      </c>
      <c r="C110" t="s">
        <v>98</v>
      </c>
      <c r="D110">
        <v>109010420</v>
      </c>
      <c r="E110" t="s">
        <v>5893</v>
      </c>
      <c r="F110" t="s">
        <v>5853</v>
      </c>
      <c r="G110">
        <v>0</v>
      </c>
      <c r="H110">
        <v>0</v>
      </c>
      <c r="I110">
        <v>0</v>
      </c>
      <c r="J110">
        <v>0</v>
      </c>
      <c r="K110">
        <v>5.07</v>
      </c>
    </row>
    <row r="111" spans="1:18" x14ac:dyDescent="0.25">
      <c r="A111" s="22" t="s">
        <v>74</v>
      </c>
      <c r="B111" t="s">
        <v>72</v>
      </c>
      <c r="C111" t="s">
        <v>98</v>
      </c>
      <c r="D111">
        <v>109062452</v>
      </c>
      <c r="E111" t="s">
        <v>5864</v>
      </c>
      <c r="F111" t="s">
        <v>5853</v>
      </c>
      <c r="G111">
        <v>0</v>
      </c>
      <c r="H111">
        <v>0</v>
      </c>
      <c r="I111">
        <v>0</v>
      </c>
      <c r="J111">
        <v>0</v>
      </c>
      <c r="K111">
        <v>5.35</v>
      </c>
    </row>
    <row r="112" spans="1:18" x14ac:dyDescent="0.25">
      <c r="A112" s="22" t="s">
        <v>74</v>
      </c>
      <c r="B112" t="s">
        <v>65</v>
      </c>
      <c r="C112" t="s">
        <v>98</v>
      </c>
      <c r="D112">
        <v>108797612</v>
      </c>
      <c r="E112" t="s">
        <v>5890</v>
      </c>
      <c r="F112" t="s">
        <v>2467</v>
      </c>
      <c r="G112">
        <v>0</v>
      </c>
      <c r="H112">
        <v>0</v>
      </c>
      <c r="I112">
        <v>0</v>
      </c>
      <c r="J112">
        <v>0</v>
      </c>
      <c r="K112">
        <v>4.92</v>
      </c>
    </row>
    <row r="113" spans="1:1" x14ac:dyDescent="0.25">
      <c r="A113" s="22" t="s">
        <v>81</v>
      </c>
    </row>
    <row r="114" spans="1:1" x14ac:dyDescent="0.25">
      <c r="A114" s="22"/>
    </row>
    <row r="115" spans="1:1" x14ac:dyDescent="0.25">
      <c r="A115" s="22"/>
    </row>
    <row r="116" spans="1:1" x14ac:dyDescent="0.25">
      <c r="A116" s="22"/>
    </row>
    <row r="117" spans="1:1" x14ac:dyDescent="0.25">
      <c r="A117" s="22"/>
    </row>
    <row r="118" spans="1:1" x14ac:dyDescent="0.25">
      <c r="A118" s="22"/>
    </row>
    <row r="119" spans="1:1" x14ac:dyDescent="0.25">
      <c r="A119" s="22"/>
    </row>
    <row r="120" spans="1:1" x14ac:dyDescent="0.25">
      <c r="A120" s="22"/>
    </row>
    <row r="121" spans="1:1" x14ac:dyDescent="0.25">
      <c r="A121" s="22"/>
    </row>
    <row r="122" spans="1:1" x14ac:dyDescent="0.25">
      <c r="A122" s="22"/>
    </row>
    <row r="123" spans="1:1" x14ac:dyDescent="0.25">
      <c r="A123" s="22"/>
    </row>
    <row r="124" spans="1:1" x14ac:dyDescent="0.25">
      <c r="A124" s="22"/>
    </row>
    <row r="125" spans="1:1" x14ac:dyDescent="0.25">
      <c r="A125" s="22"/>
    </row>
    <row r="126" spans="1:1" x14ac:dyDescent="0.25">
      <c r="A126" s="22"/>
    </row>
    <row r="127" spans="1:1" x14ac:dyDescent="0.25">
      <c r="A127" s="22"/>
    </row>
    <row r="128" spans="1:1" x14ac:dyDescent="0.25">
      <c r="A128" s="22"/>
    </row>
    <row r="129" spans="1:1" x14ac:dyDescent="0.25">
      <c r="A129" s="22"/>
    </row>
    <row r="130" spans="1:1" x14ac:dyDescent="0.25">
      <c r="A130" s="22"/>
    </row>
    <row r="131" spans="1:1" x14ac:dyDescent="0.25">
      <c r="A131" s="22"/>
    </row>
    <row r="132" spans="1:1" x14ac:dyDescent="0.25">
      <c r="A132" s="22"/>
    </row>
    <row r="133" spans="1:1" x14ac:dyDescent="0.25">
      <c r="A133" s="22"/>
    </row>
    <row r="134" spans="1:1" x14ac:dyDescent="0.25">
      <c r="A134" s="22"/>
    </row>
    <row r="135" spans="1:1" x14ac:dyDescent="0.25">
      <c r="A135" s="22"/>
    </row>
    <row r="136" spans="1:1" x14ac:dyDescent="0.25">
      <c r="A136" s="22"/>
    </row>
    <row r="137" spans="1:1" x14ac:dyDescent="0.25">
      <c r="A137" s="22"/>
    </row>
    <row r="138" spans="1:1" x14ac:dyDescent="0.25">
      <c r="A138" s="22"/>
    </row>
    <row r="139" spans="1:1" x14ac:dyDescent="0.25">
      <c r="A139" s="22"/>
    </row>
    <row r="140" spans="1:1" x14ac:dyDescent="0.25">
      <c r="A140" s="22"/>
    </row>
    <row r="141" spans="1:1" x14ac:dyDescent="0.25">
      <c r="A141" s="22"/>
    </row>
    <row r="142" spans="1:1" x14ac:dyDescent="0.25">
      <c r="A142" s="22"/>
    </row>
    <row r="143" spans="1:1" x14ac:dyDescent="0.25">
      <c r="A143" s="22"/>
    </row>
    <row r="144" spans="1:1" x14ac:dyDescent="0.25">
      <c r="A144" s="22"/>
    </row>
    <row r="145" spans="1:1" x14ac:dyDescent="0.25">
      <c r="A145" s="22"/>
    </row>
    <row r="146" spans="1:1" x14ac:dyDescent="0.25">
      <c r="A146" s="22"/>
    </row>
    <row r="147" spans="1:1" x14ac:dyDescent="0.25">
      <c r="A147" s="22"/>
    </row>
    <row r="148" spans="1:1" x14ac:dyDescent="0.25">
      <c r="A148" s="22"/>
    </row>
    <row r="149" spans="1:1" x14ac:dyDescent="0.25">
      <c r="A149" s="22"/>
    </row>
    <row r="150" spans="1:1" x14ac:dyDescent="0.25">
      <c r="A150" s="22"/>
    </row>
    <row r="151" spans="1:1" x14ac:dyDescent="0.25">
      <c r="A151" s="22"/>
    </row>
    <row r="152" spans="1:1" x14ac:dyDescent="0.25">
      <c r="A152" s="22"/>
    </row>
    <row r="153" spans="1:1" x14ac:dyDescent="0.25">
      <c r="A153" s="22"/>
    </row>
    <row r="154" spans="1:1" x14ac:dyDescent="0.25">
      <c r="A154" s="22"/>
    </row>
    <row r="155" spans="1:1" x14ac:dyDescent="0.25">
      <c r="A155" s="22"/>
    </row>
    <row r="156" spans="1:1" x14ac:dyDescent="0.25">
      <c r="A156" s="22"/>
    </row>
    <row r="157" spans="1:1" x14ac:dyDescent="0.25">
      <c r="A157" s="22"/>
    </row>
    <row r="158" spans="1:1" x14ac:dyDescent="0.25">
      <c r="A158" s="22"/>
    </row>
    <row r="159" spans="1:1" x14ac:dyDescent="0.25">
      <c r="A159" s="22"/>
    </row>
    <row r="160" spans="1:1" x14ac:dyDescent="0.25">
      <c r="A160" s="22"/>
    </row>
    <row r="161" spans="1:1" x14ac:dyDescent="0.25">
      <c r="A161" s="22"/>
    </row>
    <row r="162" spans="1:1" x14ac:dyDescent="0.25">
      <c r="A162" s="22"/>
    </row>
    <row r="163" spans="1:1" x14ac:dyDescent="0.25">
      <c r="A163" s="22"/>
    </row>
    <row r="164" spans="1:1" x14ac:dyDescent="0.25">
      <c r="A164" s="22"/>
    </row>
    <row r="165" spans="1:1" x14ac:dyDescent="0.25">
      <c r="A165" s="22"/>
    </row>
    <row r="166" spans="1:1" x14ac:dyDescent="0.25">
      <c r="A166" s="22"/>
    </row>
    <row r="167" spans="1:1" x14ac:dyDescent="0.25">
      <c r="A167" s="22"/>
    </row>
    <row r="168" spans="1:1" x14ac:dyDescent="0.25">
      <c r="A168" s="22"/>
    </row>
    <row r="169" spans="1:1" x14ac:dyDescent="0.25">
      <c r="A169" s="22"/>
    </row>
    <row r="170" spans="1:1" x14ac:dyDescent="0.25">
      <c r="A170" s="22"/>
    </row>
    <row r="171" spans="1:1" x14ac:dyDescent="0.25">
      <c r="A171" s="22"/>
    </row>
    <row r="172" spans="1:1" x14ac:dyDescent="0.25">
      <c r="A172" s="22"/>
    </row>
    <row r="173" spans="1:1" x14ac:dyDescent="0.25">
      <c r="A173" s="22"/>
    </row>
    <row r="174" spans="1:1" x14ac:dyDescent="0.25">
      <c r="A174" s="22"/>
    </row>
    <row r="175" spans="1:1" x14ac:dyDescent="0.25">
      <c r="A175" s="22"/>
    </row>
    <row r="176" spans="1:1" x14ac:dyDescent="0.25">
      <c r="A176" s="22"/>
    </row>
    <row r="177" spans="1:1" x14ac:dyDescent="0.25">
      <c r="A177" s="22"/>
    </row>
    <row r="178" spans="1:1" x14ac:dyDescent="0.25">
      <c r="A178" s="22"/>
    </row>
    <row r="179" spans="1:1" x14ac:dyDescent="0.25">
      <c r="A179" s="22"/>
    </row>
    <row r="180" spans="1:1" x14ac:dyDescent="0.25">
      <c r="A180" s="22"/>
    </row>
    <row r="181" spans="1:1" x14ac:dyDescent="0.25">
      <c r="A181" s="22"/>
    </row>
    <row r="182" spans="1:1" x14ac:dyDescent="0.25">
      <c r="A182" s="22"/>
    </row>
    <row r="183" spans="1:1" x14ac:dyDescent="0.25">
      <c r="A183" s="22"/>
    </row>
    <row r="184" spans="1:1" x14ac:dyDescent="0.25">
      <c r="A184" s="22"/>
    </row>
    <row r="185" spans="1:1" x14ac:dyDescent="0.25">
      <c r="A185" s="22"/>
    </row>
    <row r="186" spans="1:1" x14ac:dyDescent="0.25">
      <c r="A186" s="22"/>
    </row>
    <row r="187" spans="1:1" x14ac:dyDescent="0.25">
      <c r="A187" s="22"/>
    </row>
    <row r="188" spans="1:1" x14ac:dyDescent="0.25">
      <c r="A188" s="22"/>
    </row>
    <row r="189" spans="1:1" x14ac:dyDescent="0.25">
      <c r="A189" s="22"/>
    </row>
    <row r="190" spans="1:1" x14ac:dyDescent="0.25">
      <c r="A190" s="22"/>
    </row>
    <row r="191" spans="1:1" x14ac:dyDescent="0.25">
      <c r="A191" s="22"/>
    </row>
    <row r="192" spans="1:1" x14ac:dyDescent="0.25">
      <c r="A192" s="22"/>
    </row>
    <row r="193" spans="1:1" x14ac:dyDescent="0.25">
      <c r="A193" s="22"/>
    </row>
    <row r="194" spans="1:1" x14ac:dyDescent="0.25">
      <c r="A194" s="22"/>
    </row>
    <row r="195" spans="1:1" x14ac:dyDescent="0.25">
      <c r="A195" s="22"/>
    </row>
    <row r="196" spans="1:1" x14ac:dyDescent="0.25">
      <c r="A196" s="22"/>
    </row>
    <row r="197" spans="1:1" x14ac:dyDescent="0.25">
      <c r="A197" s="22"/>
    </row>
    <row r="198" spans="1:1" x14ac:dyDescent="0.25">
      <c r="A198" s="22"/>
    </row>
    <row r="199" spans="1:1" x14ac:dyDescent="0.25">
      <c r="A199" s="22"/>
    </row>
    <row r="200" spans="1:1" x14ac:dyDescent="0.25">
      <c r="A200" s="22"/>
    </row>
    <row r="201" spans="1:1" x14ac:dyDescent="0.25">
      <c r="A201" s="22"/>
    </row>
    <row r="202" spans="1:1" x14ac:dyDescent="0.25">
      <c r="A202" s="22"/>
    </row>
    <row r="203" spans="1:1" x14ac:dyDescent="0.25">
      <c r="A203" s="22"/>
    </row>
    <row r="204" spans="1:1" x14ac:dyDescent="0.25">
      <c r="A204" s="22"/>
    </row>
    <row r="205" spans="1:1" x14ac:dyDescent="0.25">
      <c r="A205" s="22"/>
    </row>
    <row r="206" spans="1:1" x14ac:dyDescent="0.25">
      <c r="A206" s="22"/>
    </row>
    <row r="207" spans="1:1" x14ac:dyDescent="0.25">
      <c r="A207" s="22"/>
    </row>
    <row r="208" spans="1:1" x14ac:dyDescent="0.25">
      <c r="A208" s="22"/>
    </row>
    <row r="209" spans="1:1" x14ac:dyDescent="0.25">
      <c r="A209" s="22"/>
    </row>
    <row r="210" spans="1:1" x14ac:dyDescent="0.25">
      <c r="A210" s="22"/>
    </row>
    <row r="211" spans="1:1" x14ac:dyDescent="0.25">
      <c r="A211" s="22"/>
    </row>
    <row r="212" spans="1:1" x14ac:dyDescent="0.25">
      <c r="A212" s="22"/>
    </row>
    <row r="213" spans="1:1" x14ac:dyDescent="0.25">
      <c r="A213" s="22"/>
    </row>
    <row r="214" spans="1:1" x14ac:dyDescent="0.25">
      <c r="A214" s="22"/>
    </row>
    <row r="215" spans="1:1" x14ac:dyDescent="0.25">
      <c r="A215" s="22"/>
    </row>
    <row r="216" spans="1:1" x14ac:dyDescent="0.25">
      <c r="A216" s="22"/>
    </row>
    <row r="217" spans="1:1" x14ac:dyDescent="0.25">
      <c r="A217" s="22"/>
    </row>
    <row r="218" spans="1:1" x14ac:dyDescent="0.25">
      <c r="A218" s="22"/>
    </row>
    <row r="219" spans="1:1" x14ac:dyDescent="0.25">
      <c r="A219" s="22"/>
    </row>
    <row r="220" spans="1:1" x14ac:dyDescent="0.25">
      <c r="A220" s="22"/>
    </row>
    <row r="221" spans="1:1" x14ac:dyDescent="0.25">
      <c r="A221" s="22"/>
    </row>
    <row r="222" spans="1:1" x14ac:dyDescent="0.25">
      <c r="A222" s="22"/>
    </row>
    <row r="223" spans="1:1" x14ac:dyDescent="0.25">
      <c r="A223" s="22"/>
    </row>
    <row r="224" spans="1:1" x14ac:dyDescent="0.25">
      <c r="A224" s="22"/>
    </row>
    <row r="225" spans="1:1" x14ac:dyDescent="0.25">
      <c r="A225" s="22"/>
    </row>
    <row r="226" spans="1:1" x14ac:dyDescent="0.25">
      <c r="A226" s="22"/>
    </row>
    <row r="227" spans="1:1" x14ac:dyDescent="0.25">
      <c r="A227" s="22"/>
    </row>
    <row r="228" spans="1:1" x14ac:dyDescent="0.25">
      <c r="A228" s="22"/>
    </row>
    <row r="229" spans="1:1" x14ac:dyDescent="0.25">
      <c r="A229" s="22"/>
    </row>
    <row r="230" spans="1:1" x14ac:dyDescent="0.25">
      <c r="A230" s="22"/>
    </row>
    <row r="231" spans="1:1" x14ac:dyDescent="0.25">
      <c r="A231" s="22"/>
    </row>
    <row r="232" spans="1:1" x14ac:dyDescent="0.25">
      <c r="A232" s="22"/>
    </row>
    <row r="233" spans="1:1" x14ac:dyDescent="0.25">
      <c r="A233" s="22"/>
    </row>
    <row r="234" spans="1:1" x14ac:dyDescent="0.25">
      <c r="A234" s="22"/>
    </row>
    <row r="235" spans="1:1" x14ac:dyDescent="0.25">
      <c r="A235" s="22"/>
    </row>
    <row r="236" spans="1:1" x14ac:dyDescent="0.25">
      <c r="A236" s="22"/>
    </row>
    <row r="237" spans="1:1" x14ac:dyDescent="0.25">
      <c r="A237" s="22"/>
    </row>
    <row r="238" spans="1:1" x14ac:dyDescent="0.25">
      <c r="A238" s="22"/>
    </row>
    <row r="239" spans="1:1" x14ac:dyDescent="0.25">
      <c r="A239" s="22"/>
    </row>
    <row r="240" spans="1:1" x14ac:dyDescent="0.25">
      <c r="A240" s="22"/>
    </row>
    <row r="241" spans="1:1" x14ac:dyDescent="0.25">
      <c r="A241" s="22"/>
    </row>
    <row r="242" spans="1:1" x14ac:dyDescent="0.25">
      <c r="A242" s="22"/>
    </row>
    <row r="243" spans="1:1" x14ac:dyDescent="0.25">
      <c r="A243" s="22"/>
    </row>
    <row r="244" spans="1:1" x14ac:dyDescent="0.25">
      <c r="A244" s="22"/>
    </row>
    <row r="245" spans="1:1" x14ac:dyDescent="0.25">
      <c r="A245" s="22"/>
    </row>
    <row r="246" spans="1:1" x14ac:dyDescent="0.25">
      <c r="A246" s="22"/>
    </row>
    <row r="247" spans="1:1" x14ac:dyDescent="0.25">
      <c r="A247" s="22"/>
    </row>
    <row r="248" spans="1:1" x14ac:dyDescent="0.25">
      <c r="A248" s="22"/>
    </row>
    <row r="249" spans="1:1" x14ac:dyDescent="0.25">
      <c r="A249" s="22"/>
    </row>
    <row r="250" spans="1:1" x14ac:dyDescent="0.25">
      <c r="A250" s="22"/>
    </row>
    <row r="251" spans="1:1" x14ac:dyDescent="0.25">
      <c r="A251" s="22"/>
    </row>
    <row r="252" spans="1:1" x14ac:dyDescent="0.25">
      <c r="A252" s="22"/>
    </row>
    <row r="253" spans="1:1" x14ac:dyDescent="0.25">
      <c r="A253" s="22"/>
    </row>
    <row r="254" spans="1:1" x14ac:dyDescent="0.25">
      <c r="A254" s="22"/>
    </row>
    <row r="255" spans="1:1" x14ac:dyDescent="0.25">
      <c r="A255" s="22"/>
    </row>
    <row r="256" spans="1:1" x14ac:dyDescent="0.25">
      <c r="A256" s="22"/>
    </row>
    <row r="257" spans="1:1" x14ac:dyDescent="0.25">
      <c r="A257" s="22"/>
    </row>
    <row r="258" spans="1:1" x14ac:dyDescent="0.25">
      <c r="A258" s="22"/>
    </row>
    <row r="259" spans="1:1" x14ac:dyDescent="0.25">
      <c r="A259" s="22"/>
    </row>
    <row r="260" spans="1:1" x14ac:dyDescent="0.25">
      <c r="A260" s="22"/>
    </row>
    <row r="261" spans="1:1" x14ac:dyDescent="0.25">
      <c r="A261" s="22"/>
    </row>
    <row r="262" spans="1:1" x14ac:dyDescent="0.25">
      <c r="A262" s="22"/>
    </row>
    <row r="263" spans="1:1" x14ac:dyDescent="0.25">
      <c r="A263" s="22"/>
    </row>
    <row r="264" spans="1:1" x14ac:dyDescent="0.25">
      <c r="A264" s="22"/>
    </row>
    <row r="265" spans="1:1" x14ac:dyDescent="0.25">
      <c r="A265" s="22"/>
    </row>
    <row r="266" spans="1:1" x14ac:dyDescent="0.25">
      <c r="A266" s="22"/>
    </row>
    <row r="267" spans="1:1" x14ac:dyDescent="0.25">
      <c r="A267" s="22"/>
    </row>
    <row r="268" spans="1:1" x14ac:dyDescent="0.25">
      <c r="A268" s="22"/>
    </row>
    <row r="269" spans="1:1" x14ac:dyDescent="0.25">
      <c r="A269" s="22"/>
    </row>
    <row r="270" spans="1:1" x14ac:dyDescent="0.25">
      <c r="A270" s="22"/>
    </row>
    <row r="271" spans="1:1" x14ac:dyDescent="0.25">
      <c r="A271" s="22"/>
    </row>
    <row r="272" spans="1:1" x14ac:dyDescent="0.25">
      <c r="A272" s="22"/>
    </row>
    <row r="273" spans="1:1" x14ac:dyDescent="0.25">
      <c r="A273" s="22"/>
    </row>
    <row r="274" spans="1:1" x14ac:dyDescent="0.25">
      <c r="A274" s="22"/>
    </row>
    <row r="275" spans="1:1" x14ac:dyDescent="0.25">
      <c r="A275" s="22"/>
    </row>
    <row r="276" spans="1:1" x14ac:dyDescent="0.25">
      <c r="A276" s="22"/>
    </row>
    <row r="277" spans="1:1" x14ac:dyDescent="0.25">
      <c r="A277" s="22"/>
    </row>
    <row r="278" spans="1:1" x14ac:dyDescent="0.25">
      <c r="A278" s="22"/>
    </row>
    <row r="279" spans="1:1" x14ac:dyDescent="0.25">
      <c r="A279" s="22"/>
    </row>
    <row r="280" spans="1:1" x14ac:dyDescent="0.25">
      <c r="A280" s="22"/>
    </row>
    <row r="281" spans="1:1" x14ac:dyDescent="0.25">
      <c r="A281" s="22"/>
    </row>
    <row r="282" spans="1:1" x14ac:dyDescent="0.25">
      <c r="A282" s="22"/>
    </row>
    <row r="283" spans="1:1" x14ac:dyDescent="0.25">
      <c r="A283" s="22"/>
    </row>
    <row r="284" spans="1:1" x14ac:dyDescent="0.25">
      <c r="A284" s="22"/>
    </row>
    <row r="285" spans="1:1" x14ac:dyDescent="0.25">
      <c r="A285" s="22"/>
    </row>
    <row r="286" spans="1:1" x14ac:dyDescent="0.25">
      <c r="A286" s="22"/>
    </row>
    <row r="287" spans="1:1" x14ac:dyDescent="0.25">
      <c r="A287" s="22"/>
    </row>
    <row r="288" spans="1:1" x14ac:dyDescent="0.25">
      <c r="A288" s="22"/>
    </row>
    <row r="289" spans="1:1" x14ac:dyDescent="0.25">
      <c r="A289" s="22"/>
    </row>
    <row r="290" spans="1:1" x14ac:dyDescent="0.25">
      <c r="A290" s="22"/>
    </row>
    <row r="291" spans="1:1" x14ac:dyDescent="0.25">
      <c r="A291" s="22"/>
    </row>
    <row r="292" spans="1:1" x14ac:dyDescent="0.25">
      <c r="A292" s="22"/>
    </row>
    <row r="293" spans="1:1" x14ac:dyDescent="0.25">
      <c r="A293" s="22"/>
    </row>
    <row r="294" spans="1:1" x14ac:dyDescent="0.25">
      <c r="A294" s="22"/>
    </row>
    <row r="295" spans="1:1" x14ac:dyDescent="0.25">
      <c r="A295" s="22"/>
    </row>
    <row r="296" spans="1:1" x14ac:dyDescent="0.25">
      <c r="A296" s="22"/>
    </row>
    <row r="297" spans="1:1" x14ac:dyDescent="0.25">
      <c r="A297" s="22"/>
    </row>
    <row r="298" spans="1:1" x14ac:dyDescent="0.25">
      <c r="A298" s="22"/>
    </row>
    <row r="299" spans="1:1" x14ac:dyDescent="0.25">
      <c r="A299" s="22"/>
    </row>
    <row r="300" spans="1:1" x14ac:dyDescent="0.25">
      <c r="A300" s="22"/>
    </row>
    <row r="301" spans="1:1" x14ac:dyDescent="0.25">
      <c r="A301" s="22"/>
    </row>
    <row r="302" spans="1:1" x14ac:dyDescent="0.25">
      <c r="A302" s="22"/>
    </row>
    <row r="303" spans="1:1" x14ac:dyDescent="0.25">
      <c r="A303" s="22"/>
    </row>
    <row r="304" spans="1:1" x14ac:dyDescent="0.25">
      <c r="A304" s="22"/>
    </row>
    <row r="305" spans="1:1" x14ac:dyDescent="0.25">
      <c r="A305" s="22"/>
    </row>
    <row r="306" spans="1:1" x14ac:dyDescent="0.25">
      <c r="A306" s="22"/>
    </row>
    <row r="307" spans="1:1" x14ac:dyDescent="0.25">
      <c r="A307" s="22"/>
    </row>
    <row r="308" spans="1:1" x14ac:dyDescent="0.25">
      <c r="A308" s="22"/>
    </row>
    <row r="309" spans="1:1" x14ac:dyDescent="0.25">
      <c r="A309" s="22"/>
    </row>
    <row r="310" spans="1:1" x14ac:dyDescent="0.25">
      <c r="A310" s="22"/>
    </row>
    <row r="311" spans="1:1" x14ac:dyDescent="0.25">
      <c r="A311" s="22"/>
    </row>
    <row r="312" spans="1:1" x14ac:dyDescent="0.25">
      <c r="A312" s="22"/>
    </row>
    <row r="313" spans="1:1" x14ac:dyDescent="0.25">
      <c r="A313" s="22"/>
    </row>
    <row r="314" spans="1:1" x14ac:dyDescent="0.25">
      <c r="A314" s="22"/>
    </row>
    <row r="315" spans="1:1" x14ac:dyDescent="0.25">
      <c r="A315" s="22"/>
    </row>
    <row r="316" spans="1:1" x14ac:dyDescent="0.25">
      <c r="A316" s="22"/>
    </row>
    <row r="317" spans="1:1" x14ac:dyDescent="0.25">
      <c r="A317" s="22"/>
    </row>
    <row r="318" spans="1:1" x14ac:dyDescent="0.25">
      <c r="A318" s="22"/>
    </row>
    <row r="319" spans="1:1" x14ac:dyDescent="0.25">
      <c r="A319" s="22"/>
    </row>
    <row r="320" spans="1:1" x14ac:dyDescent="0.25">
      <c r="A320" s="22"/>
    </row>
    <row r="321" spans="1:1" x14ac:dyDescent="0.25">
      <c r="A321" s="22"/>
    </row>
    <row r="322" spans="1:1" x14ac:dyDescent="0.25">
      <c r="A322" s="22"/>
    </row>
    <row r="323" spans="1:1" x14ac:dyDescent="0.25">
      <c r="A323" s="22"/>
    </row>
    <row r="324" spans="1:1" x14ac:dyDescent="0.25">
      <c r="A324" s="22"/>
    </row>
    <row r="325" spans="1:1" x14ac:dyDescent="0.25">
      <c r="A325" s="22"/>
    </row>
    <row r="326" spans="1:1" x14ac:dyDescent="0.25">
      <c r="A326" s="22"/>
    </row>
    <row r="327" spans="1:1" x14ac:dyDescent="0.25">
      <c r="A327" s="22"/>
    </row>
    <row r="328" spans="1:1" x14ac:dyDescent="0.25">
      <c r="A328" s="22"/>
    </row>
    <row r="329" spans="1:1" x14ac:dyDescent="0.25">
      <c r="A329" s="22"/>
    </row>
    <row r="330" spans="1:1" x14ac:dyDescent="0.25">
      <c r="A330" s="22"/>
    </row>
    <row r="331" spans="1:1" x14ac:dyDescent="0.25">
      <c r="A331" s="22"/>
    </row>
    <row r="332" spans="1:1" x14ac:dyDescent="0.25">
      <c r="A332" s="22"/>
    </row>
    <row r="333" spans="1:1" x14ac:dyDescent="0.25">
      <c r="A333" s="22"/>
    </row>
    <row r="334" spans="1:1" x14ac:dyDescent="0.25">
      <c r="A334" s="22"/>
    </row>
    <row r="335" spans="1:1" x14ac:dyDescent="0.25">
      <c r="A335" s="22"/>
    </row>
    <row r="336" spans="1:1" x14ac:dyDescent="0.25">
      <c r="A336" s="22"/>
    </row>
    <row r="337" spans="1:1" x14ac:dyDescent="0.25">
      <c r="A337" s="22"/>
    </row>
    <row r="338" spans="1:1" x14ac:dyDescent="0.25">
      <c r="A338" s="22"/>
    </row>
    <row r="339" spans="1:1" x14ac:dyDescent="0.25">
      <c r="A339" s="22"/>
    </row>
    <row r="340" spans="1:1" x14ac:dyDescent="0.25">
      <c r="A340" s="22"/>
    </row>
    <row r="341" spans="1:1" x14ac:dyDescent="0.25">
      <c r="A341" s="22"/>
    </row>
    <row r="342" spans="1:1" x14ac:dyDescent="0.25">
      <c r="A342" s="22"/>
    </row>
    <row r="343" spans="1:1" x14ac:dyDescent="0.25">
      <c r="A343" s="22"/>
    </row>
    <row r="344" spans="1:1" x14ac:dyDescent="0.25">
      <c r="A344" s="22"/>
    </row>
    <row r="345" spans="1:1" x14ac:dyDescent="0.25">
      <c r="A345" s="22"/>
    </row>
    <row r="346" spans="1:1" x14ac:dyDescent="0.25">
      <c r="A346" s="22"/>
    </row>
    <row r="347" spans="1:1" x14ac:dyDescent="0.25">
      <c r="A347" s="22"/>
    </row>
    <row r="348" spans="1:1" x14ac:dyDescent="0.25">
      <c r="A348" s="22"/>
    </row>
    <row r="349" spans="1:1" x14ac:dyDescent="0.25">
      <c r="A349" s="22"/>
    </row>
    <row r="350" spans="1:1" x14ac:dyDescent="0.25">
      <c r="A350" s="22"/>
    </row>
    <row r="351" spans="1:1" x14ac:dyDescent="0.25">
      <c r="A351" s="22"/>
    </row>
    <row r="352" spans="1:1" x14ac:dyDescent="0.25">
      <c r="A352" s="22"/>
    </row>
    <row r="353" spans="1:1" x14ac:dyDescent="0.25">
      <c r="A353" s="22"/>
    </row>
    <row r="354" spans="1:1" x14ac:dyDescent="0.25">
      <c r="A354" s="22"/>
    </row>
    <row r="355" spans="1:1" x14ac:dyDescent="0.25">
      <c r="A355" s="22"/>
    </row>
    <row r="356" spans="1:1" x14ac:dyDescent="0.25">
      <c r="A356" s="22"/>
    </row>
    <row r="357" spans="1:1" x14ac:dyDescent="0.25">
      <c r="A357" s="22"/>
    </row>
    <row r="358" spans="1:1" x14ac:dyDescent="0.25">
      <c r="A358" s="22"/>
    </row>
    <row r="359" spans="1:1" x14ac:dyDescent="0.25">
      <c r="A359" s="22"/>
    </row>
    <row r="360" spans="1:1" x14ac:dyDescent="0.25">
      <c r="A360" s="22"/>
    </row>
    <row r="361" spans="1:1" x14ac:dyDescent="0.25">
      <c r="A361" s="22"/>
    </row>
    <row r="362" spans="1:1" x14ac:dyDescent="0.25">
      <c r="A362" s="22"/>
    </row>
    <row r="363" spans="1:1" x14ac:dyDescent="0.25">
      <c r="A363" s="22"/>
    </row>
    <row r="364" spans="1:1" x14ac:dyDescent="0.25">
      <c r="A364" s="22"/>
    </row>
    <row r="365" spans="1:1" x14ac:dyDescent="0.25">
      <c r="A365" s="22"/>
    </row>
    <row r="366" spans="1:1" x14ac:dyDescent="0.25">
      <c r="A366" s="22"/>
    </row>
    <row r="367" spans="1:1" x14ac:dyDescent="0.25">
      <c r="A367" s="22"/>
    </row>
    <row r="368" spans="1:1" x14ac:dyDescent="0.25">
      <c r="A368" s="22"/>
    </row>
    <row r="369" spans="1:1" x14ac:dyDescent="0.25">
      <c r="A369" s="22"/>
    </row>
    <row r="370" spans="1:1" x14ac:dyDescent="0.25">
      <c r="A370" s="22"/>
    </row>
    <row r="371" spans="1:1" x14ac:dyDescent="0.25">
      <c r="A371" s="22"/>
    </row>
    <row r="372" spans="1:1" x14ac:dyDescent="0.25">
      <c r="A372" s="22"/>
    </row>
    <row r="373" spans="1:1" x14ac:dyDescent="0.25">
      <c r="A373" s="22"/>
    </row>
    <row r="374" spans="1:1" x14ac:dyDescent="0.25">
      <c r="A374" s="22"/>
    </row>
    <row r="375" spans="1:1" x14ac:dyDescent="0.25">
      <c r="A375" s="22"/>
    </row>
    <row r="376" spans="1:1" x14ac:dyDescent="0.25">
      <c r="A376" s="22"/>
    </row>
    <row r="377" spans="1:1" x14ac:dyDescent="0.25">
      <c r="A377" s="22"/>
    </row>
    <row r="378" spans="1:1" x14ac:dyDescent="0.25">
      <c r="A378" s="22"/>
    </row>
    <row r="379" spans="1:1" x14ac:dyDescent="0.25">
      <c r="A379" s="22"/>
    </row>
    <row r="380" spans="1:1" x14ac:dyDescent="0.25">
      <c r="A380" s="22"/>
    </row>
    <row r="381" spans="1:1" x14ac:dyDescent="0.25">
      <c r="A381" s="22"/>
    </row>
    <row r="382" spans="1:1" x14ac:dyDescent="0.25">
      <c r="A382" s="22"/>
    </row>
    <row r="383" spans="1:1" x14ac:dyDescent="0.25">
      <c r="A383" s="22"/>
    </row>
    <row r="384" spans="1:1" x14ac:dyDescent="0.25">
      <c r="A384" s="22"/>
    </row>
    <row r="385" spans="1:1" x14ac:dyDescent="0.25">
      <c r="A385" s="22"/>
    </row>
    <row r="386" spans="1:1" x14ac:dyDescent="0.25">
      <c r="A386" s="22"/>
    </row>
    <row r="387" spans="1:1" x14ac:dyDescent="0.25">
      <c r="A387" s="22"/>
    </row>
    <row r="388" spans="1:1" x14ac:dyDescent="0.25">
      <c r="A388" s="22"/>
    </row>
    <row r="389" spans="1:1" x14ac:dyDescent="0.25">
      <c r="A389" s="22"/>
    </row>
    <row r="390" spans="1:1" x14ac:dyDescent="0.25">
      <c r="A390" s="22"/>
    </row>
    <row r="391" spans="1:1" x14ac:dyDescent="0.25">
      <c r="A391" s="22"/>
    </row>
    <row r="392" spans="1:1" x14ac:dyDescent="0.25">
      <c r="A392" s="22"/>
    </row>
    <row r="393" spans="1:1" x14ac:dyDescent="0.25">
      <c r="A393" s="22"/>
    </row>
    <row r="394" spans="1:1" x14ac:dyDescent="0.25">
      <c r="A394" s="22"/>
    </row>
    <row r="395" spans="1:1" x14ac:dyDescent="0.25">
      <c r="A395" s="22"/>
    </row>
    <row r="396" spans="1:1" x14ac:dyDescent="0.25">
      <c r="A396" s="22"/>
    </row>
    <row r="397" spans="1:1" x14ac:dyDescent="0.25">
      <c r="A397" s="22"/>
    </row>
    <row r="398" spans="1:1" x14ac:dyDescent="0.25">
      <c r="A398" s="22"/>
    </row>
    <row r="399" spans="1:1" x14ac:dyDescent="0.25">
      <c r="A399" s="22"/>
    </row>
    <row r="400" spans="1:1" x14ac:dyDescent="0.25">
      <c r="A400" s="22"/>
    </row>
    <row r="401" spans="1:1" x14ac:dyDescent="0.25">
      <c r="A401" s="22"/>
    </row>
    <row r="402" spans="1:1" x14ac:dyDescent="0.25">
      <c r="A402" s="22"/>
    </row>
    <row r="403" spans="1:1" x14ac:dyDescent="0.25">
      <c r="A403" s="22"/>
    </row>
    <row r="404" spans="1:1" x14ac:dyDescent="0.25">
      <c r="A404" s="22"/>
    </row>
    <row r="405" spans="1:1" x14ac:dyDescent="0.25">
      <c r="A405" s="22"/>
    </row>
    <row r="406" spans="1:1" x14ac:dyDescent="0.25">
      <c r="A406" s="22"/>
    </row>
    <row r="407" spans="1:1" x14ac:dyDescent="0.25">
      <c r="A407" s="22"/>
    </row>
    <row r="408" spans="1:1" x14ac:dyDescent="0.25">
      <c r="A408" s="22"/>
    </row>
    <row r="409" spans="1:1" x14ac:dyDescent="0.25">
      <c r="A409" s="22"/>
    </row>
    <row r="410" spans="1:1" x14ac:dyDescent="0.25">
      <c r="A410" s="22"/>
    </row>
    <row r="411" spans="1:1" x14ac:dyDescent="0.25">
      <c r="A411" s="22"/>
    </row>
    <row r="412" spans="1:1" x14ac:dyDescent="0.25">
      <c r="A412" s="22"/>
    </row>
    <row r="413" spans="1:1" x14ac:dyDescent="0.25">
      <c r="A413" s="22"/>
    </row>
    <row r="414" spans="1:1" x14ac:dyDescent="0.25">
      <c r="A414" s="22"/>
    </row>
    <row r="415" spans="1:1" x14ac:dyDescent="0.25">
      <c r="A415" s="22"/>
    </row>
    <row r="416" spans="1:1" x14ac:dyDescent="0.25">
      <c r="A416" s="22"/>
    </row>
    <row r="417" spans="1:1" x14ac:dyDescent="0.25">
      <c r="A417" s="22"/>
    </row>
    <row r="418" spans="1:1" x14ac:dyDescent="0.25">
      <c r="A418" s="22"/>
    </row>
    <row r="419" spans="1:1" x14ac:dyDescent="0.25">
      <c r="A419" s="22"/>
    </row>
    <row r="420" spans="1:1" x14ac:dyDescent="0.25">
      <c r="A420" s="22"/>
    </row>
    <row r="421" spans="1:1" x14ac:dyDescent="0.25">
      <c r="A421" s="22"/>
    </row>
    <row r="422" spans="1:1" x14ac:dyDescent="0.25">
      <c r="A422" s="22"/>
    </row>
    <row r="423" spans="1:1" x14ac:dyDescent="0.25">
      <c r="A423" s="22"/>
    </row>
    <row r="424" spans="1:1" x14ac:dyDescent="0.25">
      <c r="A424" s="22"/>
    </row>
    <row r="425" spans="1:1" x14ac:dyDescent="0.25">
      <c r="A425" s="22"/>
    </row>
    <row r="426" spans="1:1" x14ac:dyDescent="0.25">
      <c r="A426" s="22"/>
    </row>
    <row r="427" spans="1:1" x14ac:dyDescent="0.25">
      <c r="A427" s="22"/>
    </row>
    <row r="428" spans="1:1" x14ac:dyDescent="0.25">
      <c r="A428" s="22"/>
    </row>
    <row r="429" spans="1:1" x14ac:dyDescent="0.25">
      <c r="A429" s="22"/>
    </row>
    <row r="430" spans="1:1" x14ac:dyDescent="0.25">
      <c r="A430" s="22"/>
    </row>
    <row r="431" spans="1:1" x14ac:dyDescent="0.25">
      <c r="A431" s="22"/>
    </row>
    <row r="432" spans="1:1" x14ac:dyDescent="0.25">
      <c r="A432" s="22"/>
    </row>
    <row r="433" spans="1:1" x14ac:dyDescent="0.25">
      <c r="A433" s="22"/>
    </row>
    <row r="434" spans="1:1" x14ac:dyDescent="0.25">
      <c r="A434" s="22"/>
    </row>
    <row r="435" spans="1:1" x14ac:dyDescent="0.25">
      <c r="A435" s="22"/>
    </row>
    <row r="436" spans="1:1" x14ac:dyDescent="0.25">
      <c r="A436" s="22"/>
    </row>
    <row r="437" spans="1:1" x14ac:dyDescent="0.25">
      <c r="A437" s="22"/>
    </row>
    <row r="438" spans="1:1" x14ac:dyDescent="0.25">
      <c r="A438" s="22"/>
    </row>
    <row r="439" spans="1:1" x14ac:dyDescent="0.25">
      <c r="A439" s="22"/>
    </row>
    <row r="440" spans="1:1" x14ac:dyDescent="0.25">
      <c r="A440" s="22"/>
    </row>
    <row r="441" spans="1:1" x14ac:dyDescent="0.25">
      <c r="A441" s="22"/>
    </row>
    <row r="442" spans="1:1" x14ac:dyDescent="0.25">
      <c r="A442" s="22"/>
    </row>
    <row r="443" spans="1:1" x14ac:dyDescent="0.25">
      <c r="A443" s="22"/>
    </row>
    <row r="444" spans="1:1" x14ac:dyDescent="0.25">
      <c r="A444" s="22"/>
    </row>
    <row r="445" spans="1:1" x14ac:dyDescent="0.25">
      <c r="A445" s="22"/>
    </row>
    <row r="446" spans="1:1" x14ac:dyDescent="0.25">
      <c r="A446" s="22"/>
    </row>
    <row r="447" spans="1:1" x14ac:dyDescent="0.25">
      <c r="A447" s="22"/>
    </row>
    <row r="448" spans="1:1" x14ac:dyDescent="0.25">
      <c r="A448" s="22"/>
    </row>
    <row r="449" spans="1:1" x14ac:dyDescent="0.25">
      <c r="A449" s="22"/>
    </row>
    <row r="450" spans="1:1" x14ac:dyDescent="0.25">
      <c r="A450" s="22"/>
    </row>
    <row r="451" spans="1:1" x14ac:dyDescent="0.25">
      <c r="A451" s="22"/>
    </row>
    <row r="452" spans="1:1" x14ac:dyDescent="0.25">
      <c r="A452" s="22"/>
    </row>
    <row r="453" spans="1:1" x14ac:dyDescent="0.25">
      <c r="A453" s="22"/>
    </row>
    <row r="454" spans="1:1" x14ac:dyDescent="0.25">
      <c r="A454" s="22"/>
    </row>
    <row r="455" spans="1:1" x14ac:dyDescent="0.25">
      <c r="A455" s="22"/>
    </row>
    <row r="456" spans="1:1" x14ac:dyDescent="0.25">
      <c r="A456" s="22"/>
    </row>
    <row r="457" spans="1:1" x14ac:dyDescent="0.25">
      <c r="A457" s="22"/>
    </row>
    <row r="458" spans="1:1" x14ac:dyDescent="0.25">
      <c r="A458" s="22"/>
    </row>
    <row r="459" spans="1:1" x14ac:dyDescent="0.25">
      <c r="A459" s="22"/>
    </row>
    <row r="460" spans="1:1" x14ac:dyDescent="0.25">
      <c r="A460" s="22"/>
    </row>
    <row r="461" spans="1:1" x14ac:dyDescent="0.25">
      <c r="A461" s="22"/>
    </row>
    <row r="462" spans="1:1" x14ac:dyDescent="0.25">
      <c r="A462" s="22"/>
    </row>
    <row r="463" spans="1:1" x14ac:dyDescent="0.25">
      <c r="A463" s="22"/>
    </row>
    <row r="464" spans="1:1" x14ac:dyDescent="0.25">
      <c r="A464" s="22"/>
    </row>
    <row r="465" spans="1:1" x14ac:dyDescent="0.25">
      <c r="A465" s="22"/>
    </row>
    <row r="466" spans="1:1" x14ac:dyDescent="0.25">
      <c r="A466" s="22"/>
    </row>
    <row r="467" spans="1:1" x14ac:dyDescent="0.25">
      <c r="A467" s="22"/>
    </row>
    <row r="468" spans="1:1" x14ac:dyDescent="0.25">
      <c r="A468" s="22"/>
    </row>
    <row r="469" spans="1:1" x14ac:dyDescent="0.25">
      <c r="A469" s="22"/>
    </row>
    <row r="470" spans="1:1" x14ac:dyDescent="0.25">
      <c r="A470" s="22"/>
    </row>
    <row r="471" spans="1:1" x14ac:dyDescent="0.25">
      <c r="A471" s="22"/>
    </row>
    <row r="472" spans="1:1" x14ac:dyDescent="0.25">
      <c r="A472" s="22"/>
    </row>
    <row r="473" spans="1:1" x14ac:dyDescent="0.25">
      <c r="A473" s="22"/>
    </row>
    <row r="474" spans="1:1" x14ac:dyDescent="0.25">
      <c r="A474" s="22"/>
    </row>
    <row r="475" spans="1:1" x14ac:dyDescent="0.25">
      <c r="A475" s="22"/>
    </row>
    <row r="476" spans="1:1" x14ac:dyDescent="0.25">
      <c r="A476" s="22"/>
    </row>
    <row r="477" spans="1:1" x14ac:dyDescent="0.25">
      <c r="A477" s="22"/>
    </row>
    <row r="478" spans="1:1" x14ac:dyDescent="0.25">
      <c r="A478" s="22"/>
    </row>
    <row r="479" spans="1:1" x14ac:dyDescent="0.25">
      <c r="A479" s="22"/>
    </row>
    <row r="480" spans="1:1" x14ac:dyDescent="0.25">
      <c r="A480" s="22"/>
    </row>
    <row r="481" spans="1:1" x14ac:dyDescent="0.25">
      <c r="A481" s="22"/>
    </row>
    <row r="482" spans="1:1" x14ac:dyDescent="0.25">
      <c r="A482" s="22"/>
    </row>
    <row r="483" spans="1:1" x14ac:dyDescent="0.25">
      <c r="A483" s="22"/>
    </row>
    <row r="484" spans="1:1" x14ac:dyDescent="0.25">
      <c r="A484" s="22"/>
    </row>
    <row r="485" spans="1:1" x14ac:dyDescent="0.25">
      <c r="A485" s="22"/>
    </row>
    <row r="486" spans="1:1" x14ac:dyDescent="0.25">
      <c r="A486" s="22"/>
    </row>
    <row r="487" spans="1:1" x14ac:dyDescent="0.25">
      <c r="A487" s="22"/>
    </row>
    <row r="488" spans="1:1" x14ac:dyDescent="0.25">
      <c r="A488" s="22"/>
    </row>
    <row r="489" spans="1:1" x14ac:dyDescent="0.25">
      <c r="A489" s="22"/>
    </row>
    <row r="490" spans="1:1" x14ac:dyDescent="0.25">
      <c r="A490" s="22"/>
    </row>
    <row r="491" spans="1:1" x14ac:dyDescent="0.25">
      <c r="A491" s="22"/>
    </row>
    <row r="492" spans="1:1" x14ac:dyDescent="0.25">
      <c r="A492" s="22"/>
    </row>
    <row r="493" spans="1:1" x14ac:dyDescent="0.25">
      <c r="A493" s="22"/>
    </row>
    <row r="494" spans="1:1" x14ac:dyDescent="0.25">
      <c r="A494" s="22"/>
    </row>
    <row r="495" spans="1:1" x14ac:dyDescent="0.25">
      <c r="A495" s="22"/>
    </row>
    <row r="496" spans="1:1" x14ac:dyDescent="0.25">
      <c r="A496" s="22"/>
    </row>
    <row r="497" spans="1:1" x14ac:dyDescent="0.25">
      <c r="A497" s="22"/>
    </row>
    <row r="498" spans="1:1" x14ac:dyDescent="0.25">
      <c r="A498" s="22"/>
    </row>
    <row r="499" spans="1:1" x14ac:dyDescent="0.25">
      <c r="A499" s="22"/>
    </row>
    <row r="500" spans="1:1" x14ac:dyDescent="0.25">
      <c r="A500" s="22"/>
    </row>
    <row r="501" spans="1:1" x14ac:dyDescent="0.25">
      <c r="A501" s="22"/>
    </row>
    <row r="502" spans="1:1" x14ac:dyDescent="0.25">
      <c r="A502" s="22"/>
    </row>
    <row r="503" spans="1:1" x14ac:dyDescent="0.25">
      <c r="A503" s="22"/>
    </row>
    <row r="504" spans="1:1" x14ac:dyDescent="0.25">
      <c r="A504" s="22"/>
    </row>
    <row r="505" spans="1:1" x14ac:dyDescent="0.25">
      <c r="A505" s="22"/>
    </row>
    <row r="506" spans="1:1" x14ac:dyDescent="0.25">
      <c r="A506" s="22"/>
    </row>
    <row r="507" spans="1:1" x14ac:dyDescent="0.25">
      <c r="A507" s="22"/>
    </row>
    <row r="508" spans="1:1" x14ac:dyDescent="0.25">
      <c r="A508" s="22"/>
    </row>
    <row r="509" spans="1:1" x14ac:dyDescent="0.25">
      <c r="A509" s="22"/>
    </row>
    <row r="510" spans="1:1" x14ac:dyDescent="0.25">
      <c r="A510" s="22"/>
    </row>
    <row r="511" spans="1:1" x14ac:dyDescent="0.25">
      <c r="A511" s="22"/>
    </row>
    <row r="512" spans="1:1" x14ac:dyDescent="0.25">
      <c r="A512" s="22"/>
    </row>
    <row r="513" spans="1:1" x14ac:dyDescent="0.25">
      <c r="A513" s="22"/>
    </row>
    <row r="514" spans="1:1" x14ac:dyDescent="0.25">
      <c r="A514" s="22"/>
    </row>
    <row r="515" spans="1:1" x14ac:dyDescent="0.25">
      <c r="A515" s="22"/>
    </row>
    <row r="516" spans="1:1" x14ac:dyDescent="0.25">
      <c r="A516" s="22"/>
    </row>
    <row r="517" spans="1:1" x14ac:dyDescent="0.25">
      <c r="A517" s="22"/>
    </row>
    <row r="518" spans="1:1" x14ac:dyDescent="0.25">
      <c r="A518" s="22"/>
    </row>
    <row r="519" spans="1:1" x14ac:dyDescent="0.25">
      <c r="A519" s="22"/>
    </row>
    <row r="520" spans="1:1" x14ac:dyDescent="0.25">
      <c r="A520" s="22"/>
    </row>
    <row r="521" spans="1:1" x14ac:dyDescent="0.25">
      <c r="A521" s="22"/>
    </row>
    <row r="522" spans="1:1" x14ac:dyDescent="0.25">
      <c r="A522" s="22"/>
    </row>
    <row r="523" spans="1:1" x14ac:dyDescent="0.25">
      <c r="A523" s="22"/>
    </row>
    <row r="524" spans="1:1" x14ac:dyDescent="0.25">
      <c r="A524" s="22"/>
    </row>
    <row r="525" spans="1:1" x14ac:dyDescent="0.25">
      <c r="A525" s="22"/>
    </row>
    <row r="526" spans="1:1" x14ac:dyDescent="0.25">
      <c r="A526" s="22"/>
    </row>
    <row r="527" spans="1:1" x14ac:dyDescent="0.25">
      <c r="A527" s="22"/>
    </row>
    <row r="528" spans="1:1" x14ac:dyDescent="0.25">
      <c r="A528" s="22"/>
    </row>
    <row r="529" spans="1:1" x14ac:dyDescent="0.25">
      <c r="A529" s="22"/>
    </row>
    <row r="530" spans="1:1" x14ac:dyDescent="0.25">
      <c r="A530" s="22"/>
    </row>
    <row r="531" spans="1:1" x14ac:dyDescent="0.25">
      <c r="A531" s="22"/>
    </row>
    <row r="532" spans="1:1" x14ac:dyDescent="0.25">
      <c r="A532" s="22"/>
    </row>
    <row r="533" spans="1:1" x14ac:dyDescent="0.25">
      <c r="A533" s="22"/>
    </row>
    <row r="534" spans="1:1" x14ac:dyDescent="0.25">
      <c r="A534" s="22"/>
    </row>
    <row r="535" spans="1:1" x14ac:dyDescent="0.25">
      <c r="A535" s="22"/>
    </row>
    <row r="536" spans="1:1" x14ac:dyDescent="0.25">
      <c r="A536" s="22"/>
    </row>
    <row r="537" spans="1:1" x14ac:dyDescent="0.25">
      <c r="A537" s="22"/>
    </row>
    <row r="538" spans="1:1" x14ac:dyDescent="0.25">
      <c r="A538" s="22"/>
    </row>
    <row r="539" spans="1:1" x14ac:dyDescent="0.25">
      <c r="A539" s="22"/>
    </row>
    <row r="540" spans="1:1" x14ac:dyDescent="0.25">
      <c r="A540" s="22"/>
    </row>
    <row r="541" spans="1:1" x14ac:dyDescent="0.25">
      <c r="A541" s="22"/>
    </row>
    <row r="542" spans="1:1" x14ac:dyDescent="0.25">
      <c r="A542" s="22"/>
    </row>
    <row r="543" spans="1:1" x14ac:dyDescent="0.25">
      <c r="A543" s="22"/>
    </row>
    <row r="544" spans="1:1" x14ac:dyDescent="0.25">
      <c r="A544" s="22"/>
    </row>
    <row r="545" spans="1:1" x14ac:dyDescent="0.25">
      <c r="A545" s="22"/>
    </row>
    <row r="546" spans="1:1" x14ac:dyDescent="0.25">
      <c r="A546" s="22"/>
    </row>
    <row r="547" spans="1:1" x14ac:dyDescent="0.25">
      <c r="A547" s="22"/>
    </row>
    <row r="548" spans="1:1" x14ac:dyDescent="0.25">
      <c r="A548" s="22"/>
    </row>
    <row r="549" spans="1:1" x14ac:dyDescent="0.25">
      <c r="A549" s="22"/>
    </row>
    <row r="550" spans="1:1" x14ac:dyDescent="0.25">
      <c r="A550" s="22"/>
    </row>
    <row r="551" spans="1:1" x14ac:dyDescent="0.25">
      <c r="A551" s="22"/>
    </row>
    <row r="552" spans="1:1" x14ac:dyDescent="0.25">
      <c r="A552" s="22"/>
    </row>
    <row r="553" spans="1:1" x14ac:dyDescent="0.25">
      <c r="A553" s="22"/>
    </row>
    <row r="554" spans="1:1" x14ac:dyDescent="0.25">
      <c r="A554" s="22"/>
    </row>
    <row r="555" spans="1:1" x14ac:dyDescent="0.25">
      <c r="A555" s="22"/>
    </row>
    <row r="556" spans="1:1" x14ac:dyDescent="0.25">
      <c r="A556" s="22"/>
    </row>
    <row r="557" spans="1:1" x14ac:dyDescent="0.25">
      <c r="A557" s="22"/>
    </row>
    <row r="558" spans="1:1" x14ac:dyDescent="0.25">
      <c r="A558" s="22"/>
    </row>
    <row r="559" spans="1:1" x14ac:dyDescent="0.25">
      <c r="A559" s="22"/>
    </row>
    <row r="560" spans="1:1" x14ac:dyDescent="0.25">
      <c r="A560" s="22"/>
    </row>
    <row r="561" spans="1:1" x14ac:dyDescent="0.25">
      <c r="A561" s="22"/>
    </row>
    <row r="562" spans="1:1" x14ac:dyDescent="0.25">
      <c r="A562" s="22"/>
    </row>
    <row r="563" spans="1:1" x14ac:dyDescent="0.25">
      <c r="A563" s="22"/>
    </row>
    <row r="564" spans="1:1" x14ac:dyDescent="0.25">
      <c r="A564" s="22"/>
    </row>
    <row r="565" spans="1:1" x14ac:dyDescent="0.25">
      <c r="A565" s="22"/>
    </row>
    <row r="566" spans="1:1" x14ac:dyDescent="0.25">
      <c r="A566" s="22"/>
    </row>
    <row r="567" spans="1:1" x14ac:dyDescent="0.25">
      <c r="A567" s="22"/>
    </row>
    <row r="568" spans="1:1" x14ac:dyDescent="0.25">
      <c r="A568" s="22"/>
    </row>
    <row r="569" spans="1:1" x14ac:dyDescent="0.25">
      <c r="A569" s="22"/>
    </row>
    <row r="570" spans="1:1" x14ac:dyDescent="0.25">
      <c r="A570" s="22"/>
    </row>
    <row r="571" spans="1:1" x14ac:dyDescent="0.25">
      <c r="A571" s="22"/>
    </row>
    <row r="572" spans="1:1" x14ac:dyDescent="0.25">
      <c r="A572" s="22"/>
    </row>
    <row r="573" spans="1:1" x14ac:dyDescent="0.25">
      <c r="A573" s="22"/>
    </row>
    <row r="574" spans="1:1" x14ac:dyDescent="0.25">
      <c r="A574" s="22"/>
    </row>
    <row r="575" spans="1:1" x14ac:dyDescent="0.25">
      <c r="A575" s="22"/>
    </row>
    <row r="576" spans="1:1" x14ac:dyDescent="0.25">
      <c r="A576" s="22"/>
    </row>
    <row r="577" spans="1:1" x14ac:dyDescent="0.25">
      <c r="A577" s="22"/>
    </row>
    <row r="578" spans="1:1" x14ac:dyDescent="0.25">
      <c r="A578" s="22"/>
    </row>
    <row r="579" spans="1:1" x14ac:dyDescent="0.25">
      <c r="A579" s="22"/>
    </row>
    <row r="580" spans="1:1" x14ac:dyDescent="0.25">
      <c r="A580" s="22"/>
    </row>
    <row r="581" spans="1:1" x14ac:dyDescent="0.25">
      <c r="A581" s="22"/>
    </row>
    <row r="582" spans="1:1" x14ac:dyDescent="0.25">
      <c r="A582" s="22"/>
    </row>
    <row r="583" spans="1:1" x14ac:dyDescent="0.25">
      <c r="A583" s="22"/>
    </row>
    <row r="584" spans="1:1" x14ac:dyDescent="0.25">
      <c r="A584" s="22"/>
    </row>
    <row r="585" spans="1:1" x14ac:dyDescent="0.25">
      <c r="A585" s="22"/>
    </row>
    <row r="586" spans="1:1" x14ac:dyDescent="0.25">
      <c r="A586" s="22"/>
    </row>
    <row r="587" spans="1:1" x14ac:dyDescent="0.25">
      <c r="A587" s="22"/>
    </row>
    <row r="588" spans="1:1" x14ac:dyDescent="0.25">
      <c r="A588" s="22"/>
    </row>
    <row r="589" spans="1:1" x14ac:dyDescent="0.25">
      <c r="A589" s="22"/>
    </row>
    <row r="590" spans="1:1" x14ac:dyDescent="0.25">
      <c r="A590" s="22"/>
    </row>
    <row r="591" spans="1:1" x14ac:dyDescent="0.25">
      <c r="A591" s="22"/>
    </row>
    <row r="592" spans="1:1" x14ac:dyDescent="0.25">
      <c r="A592" s="22"/>
    </row>
    <row r="593" spans="1:1" x14ac:dyDescent="0.25">
      <c r="A593" s="22"/>
    </row>
    <row r="594" spans="1:1" x14ac:dyDescent="0.25">
      <c r="A594" s="22"/>
    </row>
    <row r="595" spans="1:1" x14ac:dyDescent="0.25">
      <c r="A595" s="22"/>
    </row>
    <row r="596" spans="1:1" x14ac:dyDescent="0.25">
      <c r="A596" s="22"/>
    </row>
    <row r="597" spans="1:1" x14ac:dyDescent="0.25">
      <c r="A597" s="22"/>
    </row>
    <row r="598" spans="1:1" x14ac:dyDescent="0.25">
      <c r="A598" s="22"/>
    </row>
    <row r="599" spans="1:1" x14ac:dyDescent="0.25">
      <c r="A599" s="22"/>
    </row>
    <row r="600" spans="1:1" x14ac:dyDescent="0.25">
      <c r="A600" s="22"/>
    </row>
    <row r="601" spans="1:1" x14ac:dyDescent="0.25">
      <c r="A601" s="22"/>
    </row>
    <row r="602" spans="1:1" x14ac:dyDescent="0.25">
      <c r="A602" s="22"/>
    </row>
    <row r="603" spans="1:1" x14ac:dyDescent="0.25">
      <c r="A603" s="22"/>
    </row>
    <row r="604" spans="1:1" x14ac:dyDescent="0.25">
      <c r="A604" s="22"/>
    </row>
    <row r="605" spans="1:1" x14ac:dyDescent="0.25">
      <c r="A605" s="22"/>
    </row>
    <row r="606" spans="1:1" x14ac:dyDescent="0.25">
      <c r="A606" s="22"/>
    </row>
    <row r="607" spans="1:1" x14ac:dyDescent="0.25">
      <c r="A607" s="22"/>
    </row>
    <row r="608" spans="1:1" x14ac:dyDescent="0.25">
      <c r="A608" s="22"/>
    </row>
    <row r="609" spans="1:1" x14ac:dyDescent="0.25">
      <c r="A609" s="22"/>
    </row>
    <row r="610" spans="1:1" x14ac:dyDescent="0.25">
      <c r="A610" s="22"/>
    </row>
    <row r="611" spans="1:1" x14ac:dyDescent="0.25">
      <c r="A611" s="22"/>
    </row>
    <row r="612" spans="1:1" x14ac:dyDescent="0.25">
      <c r="A612" s="22"/>
    </row>
    <row r="613" spans="1:1" x14ac:dyDescent="0.25">
      <c r="A613" s="22"/>
    </row>
    <row r="614" spans="1:1" x14ac:dyDescent="0.25">
      <c r="A614" s="22"/>
    </row>
    <row r="615" spans="1:1" x14ac:dyDescent="0.25">
      <c r="A615" s="22"/>
    </row>
    <row r="616" spans="1:1" x14ac:dyDescent="0.25">
      <c r="A616" s="22"/>
    </row>
    <row r="617" spans="1:1" x14ac:dyDescent="0.25">
      <c r="A617" s="22"/>
    </row>
    <row r="618" spans="1:1" x14ac:dyDescent="0.25">
      <c r="A618" s="22"/>
    </row>
    <row r="619" spans="1:1" x14ac:dyDescent="0.25">
      <c r="A619" s="22"/>
    </row>
    <row r="620" spans="1:1" x14ac:dyDescent="0.25">
      <c r="A620" s="22"/>
    </row>
    <row r="621" spans="1:1" x14ac:dyDescent="0.25">
      <c r="A621" s="22"/>
    </row>
    <row r="622" spans="1:1" x14ac:dyDescent="0.25">
      <c r="A622" s="22"/>
    </row>
    <row r="623" spans="1:1" x14ac:dyDescent="0.25">
      <c r="A623" s="22"/>
    </row>
    <row r="624" spans="1:1" x14ac:dyDescent="0.25">
      <c r="A624" s="22"/>
    </row>
    <row r="625" spans="1:1" x14ac:dyDescent="0.25">
      <c r="A625" s="22"/>
    </row>
    <row r="626" spans="1:1" x14ac:dyDescent="0.25">
      <c r="A626" s="22"/>
    </row>
    <row r="627" spans="1:1" x14ac:dyDescent="0.25">
      <c r="A627" s="22"/>
    </row>
    <row r="628" spans="1:1" x14ac:dyDescent="0.25">
      <c r="A628" s="22"/>
    </row>
    <row r="629" spans="1:1" x14ac:dyDescent="0.25">
      <c r="A629" s="22"/>
    </row>
    <row r="630" spans="1:1" x14ac:dyDescent="0.25">
      <c r="A630" s="22"/>
    </row>
    <row r="631" spans="1:1" x14ac:dyDescent="0.25">
      <c r="A631" s="22"/>
    </row>
    <row r="632" spans="1:1" x14ac:dyDescent="0.25">
      <c r="A632" s="22"/>
    </row>
    <row r="633" spans="1:1" x14ac:dyDescent="0.25">
      <c r="A633" s="22"/>
    </row>
    <row r="634" spans="1:1" x14ac:dyDescent="0.25">
      <c r="A634" s="22"/>
    </row>
    <row r="635" spans="1:1" x14ac:dyDescent="0.25">
      <c r="A635" s="22"/>
    </row>
    <row r="636" spans="1:1" x14ac:dyDescent="0.25">
      <c r="A636" s="22"/>
    </row>
    <row r="637" spans="1:1" x14ac:dyDescent="0.25">
      <c r="A637" s="22"/>
    </row>
    <row r="638" spans="1:1" x14ac:dyDescent="0.25">
      <c r="A638" s="22"/>
    </row>
    <row r="639" spans="1:1" x14ac:dyDescent="0.25">
      <c r="A639" s="22"/>
    </row>
    <row r="640" spans="1:1" x14ac:dyDescent="0.25">
      <c r="A640" s="22"/>
    </row>
    <row r="641" spans="1:1" x14ac:dyDescent="0.25">
      <c r="A641" s="22"/>
    </row>
    <row r="642" spans="1:1" x14ac:dyDescent="0.25">
      <c r="A642" s="22"/>
    </row>
    <row r="643" spans="1:1" x14ac:dyDescent="0.25">
      <c r="A643" s="22"/>
    </row>
    <row r="644" spans="1:1" x14ac:dyDescent="0.25">
      <c r="A644" s="22"/>
    </row>
    <row r="645" spans="1:1" x14ac:dyDescent="0.25">
      <c r="A645" s="22"/>
    </row>
    <row r="646" spans="1:1" x14ac:dyDescent="0.25">
      <c r="A646" s="22"/>
    </row>
    <row r="647" spans="1:1" x14ac:dyDescent="0.25">
      <c r="A647" s="22"/>
    </row>
    <row r="648" spans="1:1" x14ac:dyDescent="0.25">
      <c r="A648" s="22"/>
    </row>
    <row r="649" spans="1:1" x14ac:dyDescent="0.25">
      <c r="A649" s="22"/>
    </row>
    <row r="650" spans="1:1" x14ac:dyDescent="0.25">
      <c r="A650" s="22"/>
    </row>
    <row r="651" spans="1:1" x14ac:dyDescent="0.25">
      <c r="A651" s="22"/>
    </row>
    <row r="652" spans="1:1" x14ac:dyDescent="0.25">
      <c r="A652" s="22"/>
    </row>
    <row r="653" spans="1:1" x14ac:dyDescent="0.25">
      <c r="A653" s="22"/>
    </row>
    <row r="654" spans="1:1" x14ac:dyDescent="0.25">
      <c r="A654" s="22"/>
    </row>
    <row r="655" spans="1:1" x14ac:dyDescent="0.25">
      <c r="A655" s="22"/>
    </row>
    <row r="656" spans="1:1" x14ac:dyDescent="0.25">
      <c r="A656" s="22"/>
    </row>
    <row r="657" spans="1:1" x14ac:dyDescent="0.25">
      <c r="A657" s="22"/>
    </row>
    <row r="658" spans="1:1" x14ac:dyDescent="0.25">
      <c r="A658" s="22"/>
    </row>
    <row r="659" spans="1:1" x14ac:dyDescent="0.25">
      <c r="A659" s="22"/>
    </row>
    <row r="660" spans="1:1" x14ac:dyDescent="0.25">
      <c r="A660" s="22"/>
    </row>
    <row r="661" spans="1:1" x14ac:dyDescent="0.25">
      <c r="A661" s="22"/>
    </row>
    <row r="662" spans="1:1" x14ac:dyDescent="0.25">
      <c r="A662" s="22"/>
    </row>
    <row r="663" spans="1:1" x14ac:dyDescent="0.25">
      <c r="A663" s="22"/>
    </row>
    <row r="664" spans="1:1" x14ac:dyDescent="0.25">
      <c r="A664" s="22"/>
    </row>
    <row r="665" spans="1:1" x14ac:dyDescent="0.25">
      <c r="A665" s="22"/>
    </row>
    <row r="666" spans="1:1" x14ac:dyDescent="0.25">
      <c r="A666" s="22"/>
    </row>
    <row r="667" spans="1:1" x14ac:dyDescent="0.25">
      <c r="A667" s="22"/>
    </row>
    <row r="668" spans="1:1" x14ac:dyDescent="0.25">
      <c r="A668" s="22"/>
    </row>
    <row r="669" spans="1:1" x14ac:dyDescent="0.25">
      <c r="A669" s="22"/>
    </row>
    <row r="670" spans="1:1" x14ac:dyDescent="0.25">
      <c r="A670" s="22"/>
    </row>
    <row r="671" spans="1:1" x14ac:dyDescent="0.25">
      <c r="A671" s="22"/>
    </row>
    <row r="672" spans="1:1" x14ac:dyDescent="0.25">
      <c r="A672" s="22"/>
    </row>
    <row r="673" spans="1:1" x14ac:dyDescent="0.25">
      <c r="A673" s="22"/>
    </row>
    <row r="674" spans="1:1" x14ac:dyDescent="0.25">
      <c r="A674" s="22"/>
    </row>
    <row r="675" spans="1:1" x14ac:dyDescent="0.25">
      <c r="A675" s="22"/>
    </row>
    <row r="676" spans="1:1" x14ac:dyDescent="0.25">
      <c r="A676" s="22"/>
    </row>
    <row r="677" spans="1:1" x14ac:dyDescent="0.25">
      <c r="A677" s="22"/>
    </row>
    <row r="678" spans="1:1" x14ac:dyDescent="0.25">
      <c r="A678" s="22"/>
    </row>
    <row r="679" spans="1:1" x14ac:dyDescent="0.25">
      <c r="A679" s="22"/>
    </row>
    <row r="680" spans="1:1" x14ac:dyDescent="0.25">
      <c r="A680" s="22"/>
    </row>
    <row r="681" spans="1:1" x14ac:dyDescent="0.25">
      <c r="A681" s="22"/>
    </row>
    <row r="682" spans="1:1" x14ac:dyDescent="0.25">
      <c r="A682" s="22"/>
    </row>
    <row r="683" spans="1:1" x14ac:dyDescent="0.25">
      <c r="A683" s="22"/>
    </row>
    <row r="684" spans="1:1" x14ac:dyDescent="0.25">
      <c r="A684" s="22"/>
    </row>
    <row r="685" spans="1:1" x14ac:dyDescent="0.25">
      <c r="A685" s="22"/>
    </row>
    <row r="686" spans="1:1" x14ac:dyDescent="0.25">
      <c r="A686" s="22"/>
    </row>
    <row r="687" spans="1:1" x14ac:dyDescent="0.25">
      <c r="A687" s="22"/>
    </row>
    <row r="688" spans="1:1" x14ac:dyDescent="0.25">
      <c r="A688" s="22"/>
    </row>
    <row r="689" spans="1:1" x14ac:dyDescent="0.25">
      <c r="A689" s="22"/>
    </row>
    <row r="690" spans="1:1" x14ac:dyDescent="0.25">
      <c r="A690" s="22"/>
    </row>
    <row r="691" spans="1:1" x14ac:dyDescent="0.25">
      <c r="A691" s="22"/>
    </row>
    <row r="692" spans="1:1" x14ac:dyDescent="0.25">
      <c r="A692" s="22"/>
    </row>
    <row r="693" spans="1:1" x14ac:dyDescent="0.25">
      <c r="A693" s="22"/>
    </row>
    <row r="694" spans="1:1" x14ac:dyDescent="0.25">
      <c r="A694" s="22"/>
    </row>
    <row r="695" spans="1:1" x14ac:dyDescent="0.25">
      <c r="A695" s="22"/>
    </row>
    <row r="696" spans="1:1" x14ac:dyDescent="0.25">
      <c r="A696" s="22"/>
    </row>
    <row r="697" spans="1:1" x14ac:dyDescent="0.25">
      <c r="A697" s="22"/>
    </row>
    <row r="698" spans="1:1" x14ac:dyDescent="0.25">
      <c r="A698" s="22"/>
    </row>
    <row r="699" spans="1:1" x14ac:dyDescent="0.25">
      <c r="A699" s="22"/>
    </row>
    <row r="700" spans="1:1" x14ac:dyDescent="0.25">
      <c r="A700" s="22"/>
    </row>
    <row r="701" spans="1:1" x14ac:dyDescent="0.25">
      <c r="A701" s="22"/>
    </row>
    <row r="702" spans="1:1" x14ac:dyDescent="0.25">
      <c r="A702" s="22"/>
    </row>
    <row r="703" spans="1:1" x14ac:dyDescent="0.25">
      <c r="A703" s="22"/>
    </row>
    <row r="704" spans="1:1" x14ac:dyDescent="0.25">
      <c r="A704" s="22"/>
    </row>
    <row r="705" spans="1:1" x14ac:dyDescent="0.25">
      <c r="A705" s="22"/>
    </row>
    <row r="706" spans="1:1" x14ac:dyDescent="0.25">
      <c r="A706" s="22"/>
    </row>
    <row r="707" spans="1:1" x14ac:dyDescent="0.25">
      <c r="A707" s="22"/>
    </row>
    <row r="708" spans="1:1" x14ac:dyDescent="0.25">
      <c r="A708" s="22"/>
    </row>
    <row r="709" spans="1:1" x14ac:dyDescent="0.25">
      <c r="A709" s="22"/>
    </row>
    <row r="710" spans="1:1" x14ac:dyDescent="0.25">
      <c r="A710" s="22"/>
    </row>
    <row r="711" spans="1:1" x14ac:dyDescent="0.25">
      <c r="A711" s="22"/>
    </row>
    <row r="712" spans="1:1" x14ac:dyDescent="0.25">
      <c r="A712" s="22"/>
    </row>
    <row r="713" spans="1:1" x14ac:dyDescent="0.25">
      <c r="A713" s="22"/>
    </row>
    <row r="714" spans="1:1" x14ac:dyDescent="0.25">
      <c r="A714" s="22"/>
    </row>
    <row r="715" spans="1:1" x14ac:dyDescent="0.25">
      <c r="A715" s="22"/>
    </row>
    <row r="716" spans="1:1" x14ac:dyDescent="0.25">
      <c r="A716" s="22"/>
    </row>
    <row r="717" spans="1:1" x14ac:dyDescent="0.25">
      <c r="A717" s="22"/>
    </row>
    <row r="718" spans="1:1" x14ac:dyDescent="0.25">
      <c r="A718" s="22"/>
    </row>
    <row r="719" spans="1:1" x14ac:dyDescent="0.25">
      <c r="A719" s="22"/>
    </row>
    <row r="720" spans="1:1" x14ac:dyDescent="0.25">
      <c r="A720" s="22"/>
    </row>
    <row r="721" spans="1:1" x14ac:dyDescent="0.25">
      <c r="A721" s="22"/>
    </row>
    <row r="722" spans="1:1" x14ac:dyDescent="0.25">
      <c r="A722" s="22"/>
    </row>
    <row r="723" spans="1:1" x14ac:dyDescent="0.25">
      <c r="A723" s="22"/>
    </row>
    <row r="724" spans="1:1" x14ac:dyDescent="0.25">
      <c r="A724" s="22"/>
    </row>
    <row r="725" spans="1:1" x14ac:dyDescent="0.25">
      <c r="A725" s="22"/>
    </row>
    <row r="726" spans="1:1" x14ac:dyDescent="0.25">
      <c r="A726" s="22"/>
    </row>
    <row r="727" spans="1:1" x14ac:dyDescent="0.25">
      <c r="A727" s="22"/>
    </row>
    <row r="728" spans="1:1" x14ac:dyDescent="0.25">
      <c r="A728" s="22"/>
    </row>
    <row r="729" spans="1:1" x14ac:dyDescent="0.25">
      <c r="A729" s="22"/>
    </row>
    <row r="730" spans="1:1" x14ac:dyDescent="0.25">
      <c r="A730" s="22"/>
    </row>
    <row r="731" spans="1:1" x14ac:dyDescent="0.25">
      <c r="A731" s="22"/>
    </row>
    <row r="732" spans="1:1" x14ac:dyDescent="0.25">
      <c r="A732" s="22"/>
    </row>
    <row r="733" spans="1:1" x14ac:dyDescent="0.25">
      <c r="A733" s="22"/>
    </row>
    <row r="734" spans="1:1" x14ac:dyDescent="0.25">
      <c r="A734" s="22"/>
    </row>
    <row r="735" spans="1:1" x14ac:dyDescent="0.25">
      <c r="A735" s="22"/>
    </row>
    <row r="736" spans="1:1" x14ac:dyDescent="0.25">
      <c r="A736" s="22"/>
    </row>
    <row r="737" spans="1:1" x14ac:dyDescent="0.25">
      <c r="A737" s="22"/>
    </row>
    <row r="738" spans="1:1" x14ac:dyDescent="0.25">
      <c r="A738" s="22"/>
    </row>
    <row r="739" spans="1:1" x14ac:dyDescent="0.25">
      <c r="A739" s="22"/>
    </row>
    <row r="740" spans="1:1" x14ac:dyDescent="0.25">
      <c r="A740" s="22"/>
    </row>
    <row r="741" spans="1:1" x14ac:dyDescent="0.25">
      <c r="A741" s="22"/>
    </row>
    <row r="742" spans="1:1" x14ac:dyDescent="0.25">
      <c r="A742" s="22"/>
    </row>
    <row r="743" spans="1:1" x14ac:dyDescent="0.25">
      <c r="A743" s="22"/>
    </row>
    <row r="744" spans="1:1" x14ac:dyDescent="0.25">
      <c r="A744" s="22"/>
    </row>
    <row r="745" spans="1:1" x14ac:dyDescent="0.25">
      <c r="A745" s="22"/>
    </row>
    <row r="746" spans="1:1" x14ac:dyDescent="0.25">
      <c r="A746" s="22"/>
    </row>
    <row r="747" spans="1:1" x14ac:dyDescent="0.25">
      <c r="A747" s="22"/>
    </row>
    <row r="748" spans="1:1" x14ac:dyDescent="0.25">
      <c r="A748" s="22"/>
    </row>
    <row r="749" spans="1:1" x14ac:dyDescent="0.25">
      <c r="A749" s="22"/>
    </row>
    <row r="750" spans="1:1" x14ac:dyDescent="0.25">
      <c r="A750" s="22"/>
    </row>
    <row r="751" spans="1:1" x14ac:dyDescent="0.25">
      <c r="A751" s="22"/>
    </row>
    <row r="752" spans="1:1" x14ac:dyDescent="0.25">
      <c r="A752" s="22"/>
    </row>
    <row r="753" spans="1:1" x14ac:dyDescent="0.25">
      <c r="A753" s="22"/>
    </row>
    <row r="754" spans="1:1" x14ac:dyDescent="0.25">
      <c r="A754" s="22"/>
    </row>
    <row r="755" spans="1:1" x14ac:dyDescent="0.25">
      <c r="A755" s="22"/>
    </row>
    <row r="756" spans="1:1" x14ac:dyDescent="0.25">
      <c r="A756" s="22"/>
    </row>
    <row r="757" spans="1:1" x14ac:dyDescent="0.25">
      <c r="A757" s="22"/>
    </row>
    <row r="758" spans="1:1" x14ac:dyDescent="0.25">
      <c r="A758" s="22"/>
    </row>
    <row r="759" spans="1:1" x14ac:dyDescent="0.25">
      <c r="A759" s="22"/>
    </row>
    <row r="760" spans="1:1" x14ac:dyDescent="0.25">
      <c r="A760" s="22"/>
    </row>
    <row r="761" spans="1:1" x14ac:dyDescent="0.25">
      <c r="A761" s="22"/>
    </row>
    <row r="762" spans="1:1" x14ac:dyDescent="0.25">
      <c r="A762" s="22"/>
    </row>
    <row r="763" spans="1:1" x14ac:dyDescent="0.25">
      <c r="A763" s="22"/>
    </row>
    <row r="764" spans="1:1" x14ac:dyDescent="0.25">
      <c r="A764" s="22"/>
    </row>
    <row r="765" spans="1:1" x14ac:dyDescent="0.25">
      <c r="A765" s="22"/>
    </row>
    <row r="766" spans="1:1" x14ac:dyDescent="0.25">
      <c r="A766" s="22"/>
    </row>
    <row r="767" spans="1:1" x14ac:dyDescent="0.25">
      <c r="A767" s="22"/>
    </row>
    <row r="768" spans="1:1" x14ac:dyDescent="0.25">
      <c r="A768" s="22"/>
    </row>
    <row r="769" spans="1:1" x14ac:dyDescent="0.25">
      <c r="A769" s="22"/>
    </row>
    <row r="770" spans="1:1" x14ac:dyDescent="0.25">
      <c r="A770" s="22"/>
    </row>
    <row r="771" spans="1:1" x14ac:dyDescent="0.25">
      <c r="A771" s="22"/>
    </row>
    <row r="772" spans="1:1" x14ac:dyDescent="0.25">
      <c r="A772" s="22"/>
    </row>
    <row r="773" spans="1:1" x14ac:dyDescent="0.25">
      <c r="A773" s="22"/>
    </row>
    <row r="774" spans="1:1" x14ac:dyDescent="0.25">
      <c r="A774" s="22"/>
    </row>
    <row r="775" spans="1:1" x14ac:dyDescent="0.25">
      <c r="A775" s="22"/>
    </row>
    <row r="776" spans="1:1" x14ac:dyDescent="0.25">
      <c r="A776" s="22"/>
    </row>
    <row r="777" spans="1:1" x14ac:dyDescent="0.25">
      <c r="A777" s="22"/>
    </row>
    <row r="778" spans="1:1" x14ac:dyDescent="0.25">
      <c r="A778" s="22"/>
    </row>
    <row r="779" spans="1:1" x14ac:dyDescent="0.25">
      <c r="A779" s="22"/>
    </row>
    <row r="780" spans="1:1" x14ac:dyDescent="0.25">
      <c r="A780" s="22"/>
    </row>
    <row r="781" spans="1:1" x14ac:dyDescent="0.25">
      <c r="A781" s="22"/>
    </row>
    <row r="782" spans="1:1" x14ac:dyDescent="0.25">
      <c r="A782" s="22"/>
    </row>
    <row r="783" spans="1:1" x14ac:dyDescent="0.25">
      <c r="A783" s="22"/>
    </row>
    <row r="784" spans="1:1" x14ac:dyDescent="0.25">
      <c r="A784" s="22"/>
    </row>
    <row r="785" spans="1:1" x14ac:dyDescent="0.25">
      <c r="A785" s="22"/>
    </row>
    <row r="786" spans="1:1" x14ac:dyDescent="0.25">
      <c r="A786" s="22"/>
    </row>
    <row r="787" spans="1:1" x14ac:dyDescent="0.25">
      <c r="A787" s="22"/>
    </row>
    <row r="788" spans="1:1" x14ac:dyDescent="0.25">
      <c r="A788" s="22"/>
    </row>
    <row r="789" spans="1:1" x14ac:dyDescent="0.25">
      <c r="A789" s="22"/>
    </row>
    <row r="790" spans="1:1" x14ac:dyDescent="0.25">
      <c r="A790" s="22"/>
    </row>
    <row r="791" spans="1:1" x14ac:dyDescent="0.25">
      <c r="A791" s="22"/>
    </row>
    <row r="792" spans="1:1" x14ac:dyDescent="0.25">
      <c r="A792" s="22"/>
    </row>
    <row r="793" spans="1:1" x14ac:dyDescent="0.25">
      <c r="A793" s="22"/>
    </row>
    <row r="794" spans="1:1" x14ac:dyDescent="0.25">
      <c r="A794" s="22"/>
    </row>
    <row r="795" spans="1:1" x14ac:dyDescent="0.25">
      <c r="A795" s="22"/>
    </row>
    <row r="796" spans="1:1" x14ac:dyDescent="0.25">
      <c r="A796" s="22"/>
    </row>
    <row r="797" spans="1:1" x14ac:dyDescent="0.25">
      <c r="A797" s="22"/>
    </row>
    <row r="798" spans="1:1" x14ac:dyDescent="0.25">
      <c r="A798" s="22"/>
    </row>
    <row r="799" spans="1:1" x14ac:dyDescent="0.25">
      <c r="A799" s="22"/>
    </row>
    <row r="800" spans="1:1" x14ac:dyDescent="0.25">
      <c r="A800" s="22"/>
    </row>
    <row r="801" spans="1:1" x14ac:dyDescent="0.25">
      <c r="A801" s="22"/>
    </row>
    <row r="802" spans="1:1" x14ac:dyDescent="0.25">
      <c r="A802" s="22"/>
    </row>
    <row r="803" spans="1:1" x14ac:dyDescent="0.25">
      <c r="A803" s="22"/>
    </row>
    <row r="804" spans="1:1" x14ac:dyDescent="0.25">
      <c r="A804" s="22"/>
    </row>
    <row r="805" spans="1:1" x14ac:dyDescent="0.25">
      <c r="A805" s="22"/>
    </row>
    <row r="806" spans="1:1" x14ac:dyDescent="0.25">
      <c r="A806" s="22"/>
    </row>
    <row r="807" spans="1:1" x14ac:dyDescent="0.25">
      <c r="A807" s="22"/>
    </row>
    <row r="808" spans="1:1" x14ac:dyDescent="0.25">
      <c r="A808" s="22"/>
    </row>
    <row r="809" spans="1:1" x14ac:dyDescent="0.25">
      <c r="A809" s="22"/>
    </row>
    <row r="810" spans="1:1" x14ac:dyDescent="0.25">
      <c r="A810" s="22"/>
    </row>
    <row r="811" spans="1:1" x14ac:dyDescent="0.25">
      <c r="A811" s="22"/>
    </row>
    <row r="812" spans="1:1" x14ac:dyDescent="0.25">
      <c r="A812" s="22"/>
    </row>
    <row r="813" spans="1:1" x14ac:dyDescent="0.25">
      <c r="A813" s="22"/>
    </row>
    <row r="814" spans="1:1" x14ac:dyDescent="0.25">
      <c r="A814" s="22"/>
    </row>
    <row r="815" spans="1:1" x14ac:dyDescent="0.25">
      <c r="A815" s="22"/>
    </row>
    <row r="816" spans="1:1" x14ac:dyDescent="0.25">
      <c r="A816" s="22"/>
    </row>
    <row r="817" spans="1:1" x14ac:dyDescent="0.25">
      <c r="A817" s="22"/>
    </row>
    <row r="818" spans="1:1" x14ac:dyDescent="0.25">
      <c r="A818" s="22"/>
    </row>
    <row r="819" spans="1:1" x14ac:dyDescent="0.25">
      <c r="A819" s="22"/>
    </row>
    <row r="820" spans="1:1" x14ac:dyDescent="0.25">
      <c r="A820" s="22"/>
    </row>
    <row r="821" spans="1:1" x14ac:dyDescent="0.25">
      <c r="A821" s="22"/>
    </row>
    <row r="822" spans="1:1" x14ac:dyDescent="0.25">
      <c r="A822" s="22"/>
    </row>
    <row r="823" spans="1:1" x14ac:dyDescent="0.25">
      <c r="A823" s="22"/>
    </row>
    <row r="824" spans="1:1" x14ac:dyDescent="0.25">
      <c r="A824" s="22"/>
    </row>
    <row r="825" spans="1:1" x14ac:dyDescent="0.25">
      <c r="A825" s="22"/>
    </row>
    <row r="826" spans="1:1" x14ac:dyDescent="0.25">
      <c r="A826" s="22"/>
    </row>
    <row r="827" spans="1:1" x14ac:dyDescent="0.25">
      <c r="A827" s="22"/>
    </row>
    <row r="828" spans="1:1" x14ac:dyDescent="0.25">
      <c r="A828" s="22"/>
    </row>
    <row r="829" spans="1:1" x14ac:dyDescent="0.25">
      <c r="A829" s="22"/>
    </row>
    <row r="830" spans="1:1" x14ac:dyDescent="0.25">
      <c r="A830" s="22"/>
    </row>
    <row r="831" spans="1:1" x14ac:dyDescent="0.25">
      <c r="A831" s="22"/>
    </row>
    <row r="832" spans="1:1" x14ac:dyDescent="0.25">
      <c r="A832" s="22"/>
    </row>
    <row r="833" spans="1:1" x14ac:dyDescent="0.25">
      <c r="A833" s="22"/>
    </row>
    <row r="834" spans="1:1" x14ac:dyDescent="0.25">
      <c r="A834" s="22"/>
    </row>
    <row r="835" spans="1:1" x14ac:dyDescent="0.25">
      <c r="A835" s="22"/>
    </row>
    <row r="836" spans="1:1" x14ac:dyDescent="0.25">
      <c r="A836" s="22"/>
    </row>
    <row r="837" spans="1:1" x14ac:dyDescent="0.25">
      <c r="A837" s="22"/>
    </row>
    <row r="838" spans="1:1" x14ac:dyDescent="0.25">
      <c r="A838" s="22"/>
    </row>
    <row r="839" spans="1:1" x14ac:dyDescent="0.25">
      <c r="A839" s="22"/>
    </row>
    <row r="840" spans="1:1" x14ac:dyDescent="0.25">
      <c r="A840" s="22"/>
    </row>
    <row r="841" spans="1:1" x14ac:dyDescent="0.25">
      <c r="A841" s="22"/>
    </row>
    <row r="842" spans="1:1" x14ac:dyDescent="0.25">
      <c r="A842" s="22"/>
    </row>
    <row r="843" spans="1:1" x14ac:dyDescent="0.25">
      <c r="A843" s="22"/>
    </row>
    <row r="844" spans="1:1" x14ac:dyDescent="0.25">
      <c r="A844" s="22"/>
    </row>
    <row r="845" spans="1:1" x14ac:dyDescent="0.25">
      <c r="A845" s="22"/>
    </row>
    <row r="846" spans="1:1" x14ac:dyDescent="0.25">
      <c r="A846" s="22"/>
    </row>
    <row r="847" spans="1:1" x14ac:dyDescent="0.25">
      <c r="A847" s="22"/>
    </row>
    <row r="848" spans="1:1" x14ac:dyDescent="0.25">
      <c r="A848" s="22"/>
    </row>
    <row r="849" spans="1:1" x14ac:dyDescent="0.25">
      <c r="A849" s="22"/>
    </row>
    <row r="850" spans="1:1" x14ac:dyDescent="0.25">
      <c r="A850" s="22"/>
    </row>
    <row r="851" spans="1:1" x14ac:dyDescent="0.25">
      <c r="A851" s="22"/>
    </row>
    <row r="852" spans="1:1" x14ac:dyDescent="0.25">
      <c r="A852" s="22"/>
    </row>
    <row r="853" spans="1:1" x14ac:dyDescent="0.25">
      <c r="A853" s="22"/>
    </row>
    <row r="854" spans="1:1" x14ac:dyDescent="0.25">
      <c r="A854" s="22"/>
    </row>
    <row r="855" spans="1:1" x14ac:dyDescent="0.25">
      <c r="A855" s="22"/>
    </row>
    <row r="856" spans="1:1" x14ac:dyDescent="0.25">
      <c r="A856" s="22"/>
    </row>
    <row r="857" spans="1:1" x14ac:dyDescent="0.25">
      <c r="A857" s="22"/>
    </row>
    <row r="858" spans="1:1" x14ac:dyDescent="0.25">
      <c r="A858" s="22"/>
    </row>
    <row r="859" spans="1:1" x14ac:dyDescent="0.25">
      <c r="A859" s="22"/>
    </row>
    <row r="860" spans="1:1" x14ac:dyDescent="0.25">
      <c r="A860" s="22"/>
    </row>
    <row r="861" spans="1:1" x14ac:dyDescent="0.25">
      <c r="A861" s="22"/>
    </row>
    <row r="862" spans="1:1" x14ac:dyDescent="0.25">
      <c r="A862" s="22"/>
    </row>
    <row r="863" spans="1:1" x14ac:dyDescent="0.25">
      <c r="A863" s="22"/>
    </row>
    <row r="864" spans="1:1" x14ac:dyDescent="0.25">
      <c r="A864" s="22"/>
    </row>
    <row r="865" spans="1:1" x14ac:dyDescent="0.25">
      <c r="A865" s="22"/>
    </row>
    <row r="866" spans="1:1" x14ac:dyDescent="0.25">
      <c r="A866" s="22"/>
    </row>
    <row r="867" spans="1:1" x14ac:dyDescent="0.25">
      <c r="A867" s="22"/>
    </row>
    <row r="868" spans="1:1" x14ac:dyDescent="0.25">
      <c r="A868" s="22"/>
    </row>
    <row r="869" spans="1:1" x14ac:dyDescent="0.25">
      <c r="A869" s="22"/>
    </row>
    <row r="870" spans="1:1" x14ac:dyDescent="0.25">
      <c r="A870" s="22"/>
    </row>
    <row r="871" spans="1:1" x14ac:dyDescent="0.25">
      <c r="A871" s="22"/>
    </row>
    <row r="872" spans="1:1" x14ac:dyDescent="0.25">
      <c r="A872" s="22"/>
    </row>
    <row r="873" spans="1:1" x14ac:dyDescent="0.25">
      <c r="A873" s="22"/>
    </row>
    <row r="874" spans="1:1" x14ac:dyDescent="0.25">
      <c r="A874" s="22"/>
    </row>
    <row r="875" spans="1:1" x14ac:dyDescent="0.25">
      <c r="A875" s="22"/>
    </row>
    <row r="876" spans="1:1" x14ac:dyDescent="0.25">
      <c r="A876" s="22"/>
    </row>
    <row r="877" spans="1:1" x14ac:dyDescent="0.25">
      <c r="A877" s="22"/>
    </row>
    <row r="878" spans="1:1" x14ac:dyDescent="0.25">
      <c r="A878" s="22"/>
    </row>
    <row r="879" spans="1:1" x14ac:dyDescent="0.25">
      <c r="A879" s="22"/>
    </row>
    <row r="880" spans="1:1" x14ac:dyDescent="0.25">
      <c r="A880" s="22"/>
    </row>
    <row r="881" spans="1:1" x14ac:dyDescent="0.25">
      <c r="A881" s="22"/>
    </row>
    <row r="882" spans="1:1" x14ac:dyDescent="0.25">
      <c r="A882" s="22"/>
    </row>
    <row r="883" spans="1:1" x14ac:dyDescent="0.25">
      <c r="A883" s="22"/>
    </row>
    <row r="884" spans="1:1" x14ac:dyDescent="0.25">
      <c r="A884" s="22"/>
    </row>
    <row r="885" spans="1:1" x14ac:dyDescent="0.25">
      <c r="A885" s="22"/>
    </row>
    <row r="886" spans="1:1" x14ac:dyDescent="0.25">
      <c r="A886" s="22"/>
    </row>
    <row r="887" spans="1:1" x14ac:dyDescent="0.25">
      <c r="A887" s="22"/>
    </row>
    <row r="888" spans="1:1" x14ac:dyDescent="0.25">
      <c r="A888" s="22"/>
    </row>
    <row r="889" spans="1:1" x14ac:dyDescent="0.25">
      <c r="A889" s="22"/>
    </row>
    <row r="890" spans="1:1" x14ac:dyDescent="0.25">
      <c r="A890" s="22"/>
    </row>
    <row r="891" spans="1:1" x14ac:dyDescent="0.25">
      <c r="A891" s="22"/>
    </row>
    <row r="892" spans="1:1" x14ac:dyDescent="0.25">
      <c r="A892" s="22"/>
    </row>
    <row r="893" spans="1:1" x14ac:dyDescent="0.25">
      <c r="A893" s="22"/>
    </row>
    <row r="894" spans="1:1" x14ac:dyDescent="0.25">
      <c r="A894" s="22"/>
    </row>
    <row r="895" spans="1:1" x14ac:dyDescent="0.25">
      <c r="A895" s="22"/>
    </row>
    <row r="896" spans="1:1" x14ac:dyDescent="0.25">
      <c r="A896" s="22"/>
    </row>
    <row r="897" spans="1:1" x14ac:dyDescent="0.25">
      <c r="A897" s="22"/>
    </row>
    <row r="898" spans="1:1" x14ac:dyDescent="0.25">
      <c r="A898" s="22"/>
    </row>
    <row r="899" spans="1:1" x14ac:dyDescent="0.25">
      <c r="A899" s="22"/>
    </row>
    <row r="900" spans="1:1" x14ac:dyDescent="0.25">
      <c r="A900" s="22"/>
    </row>
    <row r="901" spans="1:1" x14ac:dyDescent="0.25">
      <c r="A901" s="22"/>
    </row>
    <row r="902" spans="1:1" x14ac:dyDescent="0.25">
      <c r="A902" s="22"/>
    </row>
    <row r="903" spans="1:1" x14ac:dyDescent="0.25">
      <c r="A903" s="22"/>
    </row>
    <row r="904" spans="1:1" x14ac:dyDescent="0.25">
      <c r="A904" s="22"/>
    </row>
    <row r="905" spans="1:1" x14ac:dyDescent="0.25">
      <c r="A905" s="22"/>
    </row>
    <row r="906" spans="1:1" x14ac:dyDescent="0.25">
      <c r="A906" s="22"/>
    </row>
    <row r="907" spans="1:1" x14ac:dyDescent="0.25">
      <c r="A907" s="22"/>
    </row>
    <row r="908" spans="1:1" x14ac:dyDescent="0.25">
      <c r="A908" s="22"/>
    </row>
    <row r="909" spans="1:1" x14ac:dyDescent="0.25">
      <c r="A909" s="22"/>
    </row>
    <row r="910" spans="1:1" x14ac:dyDescent="0.25">
      <c r="A910" s="22"/>
    </row>
    <row r="911" spans="1:1" x14ac:dyDescent="0.25">
      <c r="A911" s="22"/>
    </row>
    <row r="912" spans="1:1" x14ac:dyDescent="0.25">
      <c r="A912" s="22"/>
    </row>
    <row r="913" spans="1:1" x14ac:dyDescent="0.25">
      <c r="A913" s="22"/>
    </row>
    <row r="914" spans="1:1" x14ac:dyDescent="0.25">
      <c r="A914" s="22"/>
    </row>
    <row r="915" spans="1:1" x14ac:dyDescent="0.25">
      <c r="A915" s="22"/>
    </row>
    <row r="916" spans="1:1" x14ac:dyDescent="0.25">
      <c r="A916" s="22"/>
    </row>
    <row r="917" spans="1:1" x14ac:dyDescent="0.25">
      <c r="A917" s="22"/>
    </row>
    <row r="918" spans="1:1" x14ac:dyDescent="0.25">
      <c r="A918" s="22"/>
    </row>
    <row r="919" spans="1:1" x14ac:dyDescent="0.25">
      <c r="A919" s="22"/>
    </row>
    <row r="920" spans="1:1" x14ac:dyDescent="0.25">
      <c r="A920" s="22"/>
    </row>
    <row r="921" spans="1:1" x14ac:dyDescent="0.25">
      <c r="A921" s="22"/>
    </row>
    <row r="922" spans="1:1" x14ac:dyDescent="0.25">
      <c r="A922" s="22"/>
    </row>
    <row r="923" spans="1:1" x14ac:dyDescent="0.25">
      <c r="A923" s="22"/>
    </row>
    <row r="924" spans="1:1" x14ac:dyDescent="0.25">
      <c r="A924" s="22"/>
    </row>
    <row r="925" spans="1:1" x14ac:dyDescent="0.25">
      <c r="A925" s="22"/>
    </row>
    <row r="926" spans="1:1" x14ac:dyDescent="0.25">
      <c r="A926" s="22"/>
    </row>
    <row r="927" spans="1:1" x14ac:dyDescent="0.25">
      <c r="A927" s="22"/>
    </row>
    <row r="928" spans="1:1" x14ac:dyDescent="0.25">
      <c r="A928" s="22"/>
    </row>
    <row r="929" spans="1:1" x14ac:dyDescent="0.25">
      <c r="A929" s="22"/>
    </row>
    <row r="930" spans="1:1" x14ac:dyDescent="0.25">
      <c r="A930" s="22"/>
    </row>
    <row r="931" spans="1:1" x14ac:dyDescent="0.25">
      <c r="A931" s="22"/>
    </row>
    <row r="932" spans="1:1" x14ac:dyDescent="0.25">
      <c r="A932" s="22"/>
    </row>
    <row r="933" spans="1:1" x14ac:dyDescent="0.25">
      <c r="A933" s="22"/>
    </row>
    <row r="934" spans="1:1" x14ac:dyDescent="0.25">
      <c r="A934" s="22"/>
    </row>
    <row r="935" spans="1:1" x14ac:dyDescent="0.25">
      <c r="A935" s="22"/>
    </row>
    <row r="936" spans="1:1" x14ac:dyDescent="0.25">
      <c r="A936" s="22"/>
    </row>
    <row r="937" spans="1:1" x14ac:dyDescent="0.25">
      <c r="A937" s="22"/>
    </row>
    <row r="938" spans="1:1" x14ac:dyDescent="0.25">
      <c r="A938" s="22"/>
    </row>
    <row r="939" spans="1:1" x14ac:dyDescent="0.25">
      <c r="A939" s="22"/>
    </row>
    <row r="940" spans="1:1" x14ac:dyDescent="0.25">
      <c r="A940" s="22"/>
    </row>
    <row r="941" spans="1:1" x14ac:dyDescent="0.25">
      <c r="A941" s="22"/>
    </row>
    <row r="942" spans="1:1" x14ac:dyDescent="0.25">
      <c r="A942" s="22"/>
    </row>
    <row r="943" spans="1:1" x14ac:dyDescent="0.25">
      <c r="A943" s="22"/>
    </row>
    <row r="944" spans="1:1" x14ac:dyDescent="0.25">
      <c r="A944" s="22"/>
    </row>
    <row r="945" spans="1:1" x14ac:dyDescent="0.25">
      <c r="A945" s="22"/>
    </row>
    <row r="946" spans="1:1" x14ac:dyDescent="0.25">
      <c r="A946" s="22"/>
    </row>
    <row r="947" spans="1:1" x14ac:dyDescent="0.25">
      <c r="A947" s="22"/>
    </row>
    <row r="948" spans="1:1" x14ac:dyDescent="0.25">
      <c r="A948" s="22"/>
    </row>
    <row r="949" spans="1:1" x14ac:dyDescent="0.25">
      <c r="A949" s="22"/>
    </row>
    <row r="950" spans="1:1" x14ac:dyDescent="0.25">
      <c r="A950" s="22"/>
    </row>
    <row r="951" spans="1:1" x14ac:dyDescent="0.25">
      <c r="A951" s="22"/>
    </row>
    <row r="952" spans="1:1" x14ac:dyDescent="0.25">
      <c r="A952" s="22"/>
    </row>
    <row r="953" spans="1:1" x14ac:dyDescent="0.25">
      <c r="A953" s="22"/>
    </row>
    <row r="954" spans="1:1" x14ac:dyDescent="0.25">
      <c r="A954" s="22"/>
    </row>
    <row r="955" spans="1:1" x14ac:dyDescent="0.25">
      <c r="A955" s="22"/>
    </row>
    <row r="956" spans="1:1" x14ac:dyDescent="0.25">
      <c r="A956" s="22"/>
    </row>
    <row r="957" spans="1:1" x14ac:dyDescent="0.25">
      <c r="A957" s="22"/>
    </row>
    <row r="958" spans="1:1" x14ac:dyDescent="0.25">
      <c r="A958" s="22"/>
    </row>
    <row r="959" spans="1:1" x14ac:dyDescent="0.25">
      <c r="A959" s="22"/>
    </row>
    <row r="960" spans="1:1" x14ac:dyDescent="0.25">
      <c r="A960" s="22"/>
    </row>
    <row r="961" spans="1:1" x14ac:dyDescent="0.25">
      <c r="A961" s="22"/>
    </row>
    <row r="962" spans="1:1" x14ac:dyDescent="0.25">
      <c r="A962" s="22"/>
    </row>
    <row r="963" spans="1:1" x14ac:dyDescent="0.25">
      <c r="A963" s="22"/>
    </row>
    <row r="964" spans="1:1" x14ac:dyDescent="0.25">
      <c r="A964" s="22"/>
    </row>
    <row r="965" spans="1:1" x14ac:dyDescent="0.25">
      <c r="A965" s="22"/>
    </row>
    <row r="966" spans="1:1" x14ac:dyDescent="0.25">
      <c r="A966" s="22"/>
    </row>
    <row r="967" spans="1:1" x14ac:dyDescent="0.25">
      <c r="A967" s="22"/>
    </row>
    <row r="968" spans="1:1" x14ac:dyDescent="0.25">
      <c r="A968" s="22"/>
    </row>
    <row r="969" spans="1:1" x14ac:dyDescent="0.25">
      <c r="A969" s="22"/>
    </row>
    <row r="970" spans="1:1" x14ac:dyDescent="0.25">
      <c r="A970" s="22"/>
    </row>
    <row r="971" spans="1:1" x14ac:dyDescent="0.25">
      <c r="A971" s="22"/>
    </row>
    <row r="972" spans="1:1" x14ac:dyDescent="0.25">
      <c r="A972" s="22"/>
    </row>
    <row r="973" spans="1:1" x14ac:dyDescent="0.25">
      <c r="A973" s="22"/>
    </row>
    <row r="974" spans="1:1" x14ac:dyDescent="0.25">
      <c r="A974" s="22"/>
    </row>
    <row r="975" spans="1:1" x14ac:dyDescent="0.25">
      <c r="A975" s="22"/>
    </row>
    <row r="976" spans="1:1" x14ac:dyDescent="0.25">
      <c r="A976" s="22"/>
    </row>
    <row r="977" spans="1:1" x14ac:dyDescent="0.25">
      <c r="A977" s="22"/>
    </row>
    <row r="978" spans="1:1" x14ac:dyDescent="0.25">
      <c r="A978" s="22"/>
    </row>
    <row r="979" spans="1:1" x14ac:dyDescent="0.25">
      <c r="A979" s="22"/>
    </row>
    <row r="980" spans="1:1" x14ac:dyDescent="0.25">
      <c r="A980" s="22"/>
    </row>
    <row r="981" spans="1:1" x14ac:dyDescent="0.25">
      <c r="A981" s="22"/>
    </row>
    <row r="982" spans="1:1" x14ac:dyDescent="0.25">
      <c r="A982" s="22"/>
    </row>
    <row r="983" spans="1:1" x14ac:dyDescent="0.25">
      <c r="A983" s="22"/>
    </row>
    <row r="984" spans="1:1" x14ac:dyDescent="0.25">
      <c r="A984" s="22"/>
    </row>
    <row r="985" spans="1:1" x14ac:dyDescent="0.25">
      <c r="A985" s="22"/>
    </row>
    <row r="986" spans="1:1" x14ac:dyDescent="0.25">
      <c r="A986" s="22"/>
    </row>
    <row r="987" spans="1:1" x14ac:dyDescent="0.25">
      <c r="A987" s="22"/>
    </row>
    <row r="988" spans="1:1" x14ac:dyDescent="0.25">
      <c r="A988" s="22"/>
    </row>
    <row r="989" spans="1:1" x14ac:dyDescent="0.25">
      <c r="A989" s="22"/>
    </row>
    <row r="990" spans="1:1" x14ac:dyDescent="0.25">
      <c r="A990" s="22"/>
    </row>
    <row r="991" spans="1:1" x14ac:dyDescent="0.25">
      <c r="A991" s="22"/>
    </row>
    <row r="992" spans="1:1" x14ac:dyDescent="0.25">
      <c r="A992" s="22"/>
    </row>
    <row r="993" spans="1:1" x14ac:dyDescent="0.25">
      <c r="A993" s="22"/>
    </row>
    <row r="994" spans="1:1" x14ac:dyDescent="0.25">
      <c r="A994" s="22"/>
    </row>
    <row r="995" spans="1:1" x14ac:dyDescent="0.25">
      <c r="A995" s="22"/>
    </row>
    <row r="996" spans="1:1" x14ac:dyDescent="0.25">
      <c r="A996" s="22"/>
    </row>
    <row r="997" spans="1:1" x14ac:dyDescent="0.25">
      <c r="A997" s="22"/>
    </row>
    <row r="998" spans="1:1" x14ac:dyDescent="0.25">
      <c r="A998" s="22"/>
    </row>
    <row r="999" spans="1:1" x14ac:dyDescent="0.25">
      <c r="A999" s="22"/>
    </row>
    <row r="1000" spans="1:1" x14ac:dyDescent="0.25">
      <c r="A1000" s="22"/>
    </row>
    <row r="1001" spans="1:1" x14ac:dyDescent="0.25">
      <c r="A1001" s="22"/>
    </row>
    <row r="1002" spans="1:1" x14ac:dyDescent="0.25">
      <c r="A1002" s="22"/>
    </row>
    <row r="1003" spans="1:1" x14ac:dyDescent="0.25">
      <c r="A1003" s="22"/>
    </row>
    <row r="1004" spans="1:1" x14ac:dyDescent="0.25">
      <c r="A1004" s="22"/>
    </row>
    <row r="1005" spans="1:1" x14ac:dyDescent="0.25">
      <c r="A1005" s="22"/>
    </row>
    <row r="1006" spans="1:1" x14ac:dyDescent="0.25">
      <c r="A1006" s="22"/>
    </row>
    <row r="1007" spans="1:1" x14ac:dyDescent="0.25">
      <c r="A1007" s="22"/>
    </row>
    <row r="1008" spans="1:1" x14ac:dyDescent="0.25">
      <c r="A1008" s="22"/>
    </row>
    <row r="1009" spans="1:1" x14ac:dyDescent="0.25">
      <c r="A1009" s="22"/>
    </row>
    <row r="1010" spans="1:1" x14ac:dyDescent="0.25">
      <c r="A1010" s="22"/>
    </row>
    <row r="1011" spans="1:1" x14ac:dyDescent="0.25">
      <c r="A1011" s="22"/>
    </row>
    <row r="1012" spans="1:1" x14ac:dyDescent="0.25">
      <c r="A1012" s="22"/>
    </row>
    <row r="1013" spans="1:1" x14ac:dyDescent="0.25">
      <c r="A1013" s="22"/>
    </row>
    <row r="1014" spans="1:1" x14ac:dyDescent="0.25">
      <c r="A1014" s="22"/>
    </row>
    <row r="1015" spans="1:1" x14ac:dyDescent="0.25">
      <c r="A1015" s="22"/>
    </row>
    <row r="1016" spans="1:1" x14ac:dyDescent="0.25">
      <c r="A1016" s="22"/>
    </row>
    <row r="1017" spans="1:1" x14ac:dyDescent="0.25">
      <c r="A1017" s="22"/>
    </row>
    <row r="1018" spans="1:1" x14ac:dyDescent="0.25">
      <c r="A1018" s="22"/>
    </row>
    <row r="1019" spans="1:1" x14ac:dyDescent="0.25">
      <c r="A1019" s="22"/>
    </row>
    <row r="1020" spans="1:1" x14ac:dyDescent="0.25">
      <c r="A1020" s="22"/>
    </row>
    <row r="1021" spans="1:1" x14ac:dyDescent="0.25">
      <c r="A1021" s="22"/>
    </row>
    <row r="1022" spans="1:1" x14ac:dyDescent="0.25">
      <c r="A1022" s="22"/>
    </row>
    <row r="1023" spans="1:1" x14ac:dyDescent="0.25">
      <c r="A1023" s="22"/>
    </row>
    <row r="1024" spans="1:1" x14ac:dyDescent="0.25">
      <c r="A1024" s="22"/>
    </row>
    <row r="1025" spans="1:1" x14ac:dyDescent="0.25">
      <c r="A1025" s="22"/>
    </row>
    <row r="1026" spans="1:1" x14ac:dyDescent="0.25">
      <c r="A1026" s="22"/>
    </row>
    <row r="1027" spans="1:1" x14ac:dyDescent="0.25">
      <c r="A1027" s="22"/>
    </row>
    <row r="1028" spans="1:1" x14ac:dyDescent="0.25">
      <c r="A1028" s="22"/>
    </row>
    <row r="1029" spans="1:1" x14ac:dyDescent="0.25">
      <c r="A1029" s="22"/>
    </row>
    <row r="1030" spans="1:1" x14ac:dyDescent="0.25">
      <c r="A1030" s="22"/>
    </row>
    <row r="1031" spans="1:1" x14ac:dyDescent="0.25">
      <c r="A1031" s="22"/>
    </row>
    <row r="1032" spans="1:1" x14ac:dyDescent="0.25">
      <c r="A1032" s="22"/>
    </row>
    <row r="1033" spans="1:1" x14ac:dyDescent="0.25">
      <c r="A1033" s="22"/>
    </row>
    <row r="1034" spans="1:1" x14ac:dyDescent="0.25">
      <c r="A1034" s="22"/>
    </row>
    <row r="1035" spans="1:1" x14ac:dyDescent="0.25">
      <c r="A1035" s="22"/>
    </row>
    <row r="1036" spans="1:1" x14ac:dyDescent="0.25">
      <c r="A1036" s="22"/>
    </row>
    <row r="1037" spans="1:1" x14ac:dyDescent="0.25">
      <c r="A1037" s="22"/>
    </row>
    <row r="1038" spans="1:1" x14ac:dyDescent="0.25">
      <c r="A1038" s="22"/>
    </row>
    <row r="1039" spans="1:1" x14ac:dyDescent="0.25">
      <c r="A1039" s="22"/>
    </row>
    <row r="1040" spans="1:1" x14ac:dyDescent="0.25">
      <c r="A1040" s="22"/>
    </row>
    <row r="1041" spans="1:1" x14ac:dyDescent="0.25">
      <c r="A1041" s="22"/>
    </row>
    <row r="1042" spans="1:1" x14ac:dyDescent="0.25">
      <c r="A1042" s="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01"/>
  <sheetViews>
    <sheetView workbookViewId="0">
      <selection sqref="A1:P2500"/>
    </sheetView>
  </sheetViews>
  <sheetFormatPr defaultRowHeight="15" x14ac:dyDescent="0.25"/>
  <cols>
    <col min="1" max="1" width="65.42578125" customWidth="1"/>
    <col min="2" max="2" width="33.85546875" bestFit="1" customWidth="1"/>
    <col min="3" max="3" width="58.28515625" customWidth="1"/>
    <col min="4" max="4" width="8.140625" customWidth="1"/>
    <col min="5" max="5" width="7.5703125" customWidth="1"/>
    <col min="6" max="6" width="8.140625" customWidth="1"/>
    <col min="7" max="8" width="9.140625" customWidth="1"/>
    <col min="9" max="9" width="8.140625" customWidth="1"/>
    <col min="10" max="10" width="13.5703125" bestFit="1" customWidth="1"/>
    <col min="11" max="11" width="9.140625" customWidth="1"/>
    <col min="12" max="12" width="17.28515625" bestFit="1" customWidth="1"/>
    <col min="13" max="13" width="7.5703125" customWidth="1"/>
    <col min="14" max="15" width="13.28515625" bestFit="1" customWidth="1"/>
    <col min="16" max="16" width="6.42578125" customWidth="1"/>
  </cols>
  <sheetData>
    <row r="1" spans="1:16" x14ac:dyDescent="0.25">
      <c r="A1" s="22" t="s">
        <v>106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x14ac:dyDescent="0.25">
      <c r="A2" s="22" t="s">
        <v>5841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x14ac:dyDescent="0.25">
      <c r="A3" s="22" t="s">
        <v>107</v>
      </c>
      <c r="B3" s="22" t="s">
        <v>108</v>
      </c>
      <c r="C3" s="22" t="s">
        <v>111</v>
      </c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</row>
    <row r="4" spans="1:16" x14ac:dyDescent="0.25">
      <c r="A4" s="22"/>
      <c r="B4" s="22" t="s">
        <v>109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</row>
    <row r="5" spans="1:16" x14ac:dyDescent="0.25">
      <c r="A5" s="22"/>
      <c r="B5" s="22" t="s">
        <v>110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</row>
    <row r="6" spans="1:16" x14ac:dyDescent="0.25">
      <c r="A6" s="22" t="s">
        <v>112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</row>
    <row r="7" spans="1:16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x14ac:dyDescent="0.25">
      <c r="A8" s="22"/>
      <c r="B8" s="22"/>
      <c r="C8" s="22"/>
      <c r="D8" s="22"/>
      <c r="E8" s="22" t="s">
        <v>113</v>
      </c>
      <c r="F8" s="22"/>
      <c r="G8" s="22"/>
      <c r="H8" s="22" t="s">
        <v>114</v>
      </c>
      <c r="I8" s="22"/>
      <c r="J8" s="22"/>
      <c r="K8" s="22"/>
      <c r="L8" s="22" t="s">
        <v>115</v>
      </c>
      <c r="M8" s="22"/>
      <c r="N8" s="22"/>
      <c r="O8" s="22"/>
      <c r="P8" s="22"/>
    </row>
    <row r="9" spans="1:16" x14ac:dyDescent="0.25">
      <c r="A9" s="22" t="s">
        <v>116</v>
      </c>
      <c r="B9" s="22" t="s">
        <v>117</v>
      </c>
      <c r="C9" s="22" t="s">
        <v>118</v>
      </c>
      <c r="D9" s="22" t="s">
        <v>119</v>
      </c>
      <c r="E9" s="22" t="s">
        <v>120</v>
      </c>
      <c r="F9" s="22" t="s">
        <v>121</v>
      </c>
      <c r="G9" s="22" t="s">
        <v>122</v>
      </c>
      <c r="H9" s="22" t="s">
        <v>122</v>
      </c>
      <c r="I9" s="22" t="s">
        <v>121</v>
      </c>
      <c r="J9" s="22" t="s">
        <v>123</v>
      </c>
      <c r="K9" s="22" t="s">
        <v>124</v>
      </c>
      <c r="L9" s="22" t="s">
        <v>125</v>
      </c>
      <c r="M9" s="22" t="s">
        <v>126</v>
      </c>
      <c r="N9" s="22" t="s">
        <v>127</v>
      </c>
      <c r="O9" s="22" t="s">
        <v>128</v>
      </c>
      <c r="P9" s="22" t="s">
        <v>129</v>
      </c>
    </row>
    <row r="10" spans="1:16" x14ac:dyDescent="0.25">
      <c r="A10" s="22" t="s">
        <v>130</v>
      </c>
      <c r="B10" s="22" t="s">
        <v>131</v>
      </c>
      <c r="C10" s="22" t="s">
        <v>132</v>
      </c>
      <c r="D10" s="22" t="s">
        <v>133</v>
      </c>
      <c r="E10" s="23">
        <v>1096</v>
      </c>
      <c r="F10" s="22">
        <v>0</v>
      </c>
      <c r="G10" s="22">
        <v>0</v>
      </c>
      <c r="H10" s="24">
        <v>1720.07</v>
      </c>
      <c r="I10" s="22">
        <v>0.64</v>
      </c>
      <c r="J10" s="22">
        <v>0.64</v>
      </c>
      <c r="K10" s="25">
        <v>0</v>
      </c>
      <c r="L10" s="22">
        <v>0</v>
      </c>
      <c r="M10" s="22">
        <v>0</v>
      </c>
      <c r="N10" s="22">
        <v>0</v>
      </c>
      <c r="O10" s="22">
        <v>0</v>
      </c>
      <c r="P10" s="25">
        <v>0</v>
      </c>
    </row>
    <row r="11" spans="1:16" x14ac:dyDescent="0.25">
      <c r="A11" s="22"/>
      <c r="B11" s="22"/>
      <c r="C11" s="22" t="s">
        <v>134</v>
      </c>
      <c r="D11" s="22" t="s">
        <v>105</v>
      </c>
      <c r="E11" s="22">
        <v>504</v>
      </c>
      <c r="F11" s="22">
        <v>2.06</v>
      </c>
      <c r="G11" s="22">
        <v>244.1</v>
      </c>
      <c r="H11" s="22">
        <v>364.99</v>
      </c>
      <c r="I11" s="22">
        <v>1.38</v>
      </c>
      <c r="J11" s="22">
        <v>-0.68</v>
      </c>
      <c r="K11" s="26">
        <v>0.66879999999999995</v>
      </c>
      <c r="L11" s="22">
        <v>0</v>
      </c>
      <c r="M11" s="22">
        <v>0</v>
      </c>
      <c r="N11" s="22">
        <v>0</v>
      </c>
      <c r="O11" s="22">
        <v>0</v>
      </c>
      <c r="P11" s="25">
        <v>0</v>
      </c>
    </row>
    <row r="12" spans="1:16" x14ac:dyDescent="0.25">
      <c r="A12" s="22"/>
      <c r="B12" s="22"/>
      <c r="C12" s="22" t="s">
        <v>135</v>
      </c>
      <c r="D12" s="22" t="s">
        <v>105</v>
      </c>
      <c r="E12" s="22">
        <v>592</v>
      </c>
      <c r="F12" s="22">
        <v>6.87</v>
      </c>
      <c r="G12" s="22">
        <v>86.21</v>
      </c>
      <c r="H12" s="22">
        <v>148.27000000000001</v>
      </c>
      <c r="I12" s="22">
        <v>3.99</v>
      </c>
      <c r="J12" s="22">
        <v>-2.87</v>
      </c>
      <c r="K12" s="26">
        <v>0.58140000000000003</v>
      </c>
      <c r="L12" s="22">
        <v>0</v>
      </c>
      <c r="M12" s="22">
        <v>0</v>
      </c>
      <c r="N12" s="22">
        <v>0</v>
      </c>
      <c r="O12" s="22">
        <v>0</v>
      </c>
      <c r="P12" s="25">
        <v>0</v>
      </c>
    </row>
    <row r="13" spans="1:16" x14ac:dyDescent="0.25">
      <c r="A13" s="22"/>
      <c r="B13" s="22"/>
      <c r="C13" s="22" t="s">
        <v>136</v>
      </c>
      <c r="D13" s="22" t="s">
        <v>105</v>
      </c>
      <c r="E13" s="22">
        <v>0</v>
      </c>
      <c r="F13" s="22">
        <v>0</v>
      </c>
      <c r="G13" s="22">
        <v>0</v>
      </c>
      <c r="H13" s="22">
        <v>86.54</v>
      </c>
      <c r="I13" s="22">
        <v>0</v>
      </c>
      <c r="J13" s="22">
        <v>0</v>
      </c>
      <c r="K13" s="25">
        <v>0</v>
      </c>
      <c r="L13" s="22">
        <v>0</v>
      </c>
      <c r="M13" s="22">
        <v>0</v>
      </c>
      <c r="N13" s="22">
        <v>0</v>
      </c>
      <c r="O13" s="22">
        <v>0</v>
      </c>
      <c r="P13" s="25">
        <v>0</v>
      </c>
    </row>
    <row r="14" spans="1:16" x14ac:dyDescent="0.25">
      <c r="A14" s="22"/>
      <c r="B14" s="22"/>
      <c r="C14" s="22" t="s">
        <v>137</v>
      </c>
      <c r="D14" s="22" t="s">
        <v>105</v>
      </c>
      <c r="E14" s="22">
        <v>0</v>
      </c>
      <c r="F14" s="22">
        <v>0</v>
      </c>
      <c r="G14" s="22">
        <v>0</v>
      </c>
      <c r="H14" s="22">
        <v>8.74</v>
      </c>
      <c r="I14" s="22">
        <v>0</v>
      </c>
      <c r="J14" s="22">
        <v>0</v>
      </c>
      <c r="K14" s="25">
        <v>0</v>
      </c>
      <c r="L14" s="22">
        <v>0</v>
      </c>
      <c r="M14" s="22">
        <v>0</v>
      </c>
      <c r="N14" s="22">
        <v>0</v>
      </c>
      <c r="O14" s="22">
        <v>0</v>
      </c>
      <c r="P14" s="25">
        <v>0</v>
      </c>
    </row>
    <row r="15" spans="1:16" x14ac:dyDescent="0.25">
      <c r="A15" s="22"/>
      <c r="B15" s="22"/>
      <c r="C15" s="22" t="s">
        <v>138</v>
      </c>
      <c r="D15" s="22" t="s">
        <v>105</v>
      </c>
      <c r="E15" s="23">
        <v>1096</v>
      </c>
      <c r="F15" s="22">
        <v>8.93</v>
      </c>
      <c r="G15" s="22">
        <v>122.71</v>
      </c>
      <c r="H15" s="22">
        <v>203.96</v>
      </c>
      <c r="I15" s="22">
        <v>5.37</v>
      </c>
      <c r="J15" s="22">
        <v>-3.56</v>
      </c>
      <c r="K15" s="26">
        <v>0.60160000000000002</v>
      </c>
      <c r="L15" s="22">
        <v>0</v>
      </c>
      <c r="M15" s="22">
        <v>0</v>
      </c>
      <c r="N15" s="22">
        <v>0</v>
      </c>
      <c r="O15" s="22">
        <v>0</v>
      </c>
      <c r="P15" s="25">
        <v>0</v>
      </c>
    </row>
    <row r="16" spans="1:16" x14ac:dyDescent="0.25">
      <c r="A16" s="22"/>
      <c r="B16" s="22"/>
      <c r="C16" s="22" t="s">
        <v>139</v>
      </c>
      <c r="D16" s="22" t="s">
        <v>105</v>
      </c>
      <c r="E16" s="22">
        <v>0</v>
      </c>
      <c r="F16" s="22">
        <v>0</v>
      </c>
      <c r="G16" s="22">
        <v>0</v>
      </c>
      <c r="H16" s="23">
        <v>10000</v>
      </c>
      <c r="I16" s="22">
        <v>0</v>
      </c>
      <c r="J16" s="22">
        <v>0</v>
      </c>
      <c r="K16" s="25">
        <v>0</v>
      </c>
      <c r="L16" s="22">
        <v>0</v>
      </c>
      <c r="M16" s="22">
        <v>0</v>
      </c>
      <c r="N16" s="22">
        <v>0</v>
      </c>
      <c r="O16" s="22">
        <v>0</v>
      </c>
      <c r="P16" s="25">
        <v>0</v>
      </c>
    </row>
    <row r="17" spans="1:16" x14ac:dyDescent="0.25">
      <c r="A17" s="22"/>
      <c r="B17" s="22"/>
      <c r="C17" s="22" t="s">
        <v>140</v>
      </c>
      <c r="D17" s="22" t="s">
        <v>105</v>
      </c>
      <c r="E17" s="22">
        <v>0</v>
      </c>
      <c r="F17" s="22">
        <v>0</v>
      </c>
      <c r="G17" s="22">
        <v>0</v>
      </c>
      <c r="H17" s="23">
        <v>10000</v>
      </c>
      <c r="I17" s="22">
        <v>0</v>
      </c>
      <c r="J17" s="22">
        <v>0</v>
      </c>
      <c r="K17" s="25">
        <v>0</v>
      </c>
      <c r="L17" s="22">
        <v>0</v>
      </c>
      <c r="M17" s="22">
        <v>0</v>
      </c>
      <c r="N17" s="22">
        <v>0</v>
      </c>
      <c r="O17" s="22">
        <v>0</v>
      </c>
      <c r="P17" s="25">
        <v>0</v>
      </c>
    </row>
    <row r="18" spans="1:16" x14ac:dyDescent="0.25">
      <c r="A18" s="22"/>
      <c r="B18" s="22"/>
      <c r="C18" s="22" t="s">
        <v>141</v>
      </c>
      <c r="D18" s="22" t="s">
        <v>105</v>
      </c>
      <c r="E18" s="22">
        <v>0</v>
      </c>
      <c r="F18" s="22">
        <v>0</v>
      </c>
      <c r="G18" s="22">
        <v>0</v>
      </c>
      <c r="H18" s="23">
        <v>10000</v>
      </c>
      <c r="I18" s="22">
        <v>0</v>
      </c>
      <c r="J18" s="22">
        <v>0</v>
      </c>
      <c r="K18" s="25">
        <v>0</v>
      </c>
      <c r="L18" s="22">
        <v>0</v>
      </c>
      <c r="M18" s="22">
        <v>0</v>
      </c>
      <c r="N18" s="22">
        <v>0</v>
      </c>
      <c r="O18" s="22">
        <v>0</v>
      </c>
      <c r="P18" s="25">
        <v>0</v>
      </c>
    </row>
    <row r="19" spans="1:16" x14ac:dyDescent="0.25">
      <c r="A19" s="22"/>
      <c r="B19" s="22"/>
      <c r="C19" s="22" t="s">
        <v>142</v>
      </c>
      <c r="D19" s="22" t="s">
        <v>105</v>
      </c>
      <c r="E19" s="22">
        <v>0</v>
      </c>
      <c r="F19" s="22">
        <v>0</v>
      </c>
      <c r="G19" s="22">
        <v>0</v>
      </c>
      <c r="H19" s="23">
        <v>10000</v>
      </c>
      <c r="I19" s="22">
        <v>0</v>
      </c>
      <c r="J19" s="22">
        <v>0</v>
      </c>
      <c r="K19" s="25">
        <v>0</v>
      </c>
      <c r="L19" s="22">
        <v>0</v>
      </c>
      <c r="M19" s="22">
        <v>0</v>
      </c>
      <c r="N19" s="22">
        <v>0</v>
      </c>
      <c r="O19" s="22">
        <v>0</v>
      </c>
      <c r="P19" s="25">
        <v>0</v>
      </c>
    </row>
    <row r="20" spans="1:16" x14ac:dyDescent="0.25">
      <c r="A20" s="22"/>
      <c r="B20" s="22"/>
      <c r="C20" s="22" t="s">
        <v>143</v>
      </c>
      <c r="D20" s="22" t="s">
        <v>105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5">
        <v>0</v>
      </c>
      <c r="L20" s="22">
        <v>0</v>
      </c>
      <c r="M20" s="22">
        <v>0</v>
      </c>
      <c r="N20" s="22">
        <v>0</v>
      </c>
      <c r="O20" s="22">
        <v>0</v>
      </c>
      <c r="P20" s="25">
        <v>0</v>
      </c>
    </row>
    <row r="21" spans="1:16" x14ac:dyDescent="0.25">
      <c r="A21" s="22"/>
      <c r="B21" s="22"/>
      <c r="C21" s="22" t="s">
        <v>144</v>
      </c>
      <c r="D21" s="22" t="s">
        <v>145</v>
      </c>
      <c r="E21" s="22">
        <v>0</v>
      </c>
      <c r="F21" s="22">
        <v>0</v>
      </c>
      <c r="G21" s="22">
        <v>0</v>
      </c>
      <c r="H21" s="22">
        <v>23.35</v>
      </c>
      <c r="I21" s="22">
        <v>0</v>
      </c>
      <c r="J21" s="22">
        <v>0</v>
      </c>
      <c r="K21" s="25">
        <v>0</v>
      </c>
      <c r="L21" s="22">
        <v>0</v>
      </c>
      <c r="M21" s="22">
        <v>0</v>
      </c>
      <c r="N21" s="22">
        <v>0</v>
      </c>
      <c r="O21" s="22">
        <v>0</v>
      </c>
      <c r="P21" s="25">
        <v>0</v>
      </c>
    </row>
    <row r="22" spans="1:16" x14ac:dyDescent="0.25">
      <c r="A22" s="22"/>
      <c r="B22" s="22"/>
      <c r="C22" s="22" t="s">
        <v>146</v>
      </c>
      <c r="D22" s="22" t="s">
        <v>145</v>
      </c>
      <c r="E22" s="22">
        <v>6</v>
      </c>
      <c r="F22" s="22">
        <v>1.3</v>
      </c>
      <c r="G22" s="22">
        <v>4.6100000000000003</v>
      </c>
      <c r="H22" s="22">
        <v>72.63</v>
      </c>
      <c r="I22" s="22">
        <v>0.08</v>
      </c>
      <c r="J22" s="22">
        <v>-1.22</v>
      </c>
      <c r="K22" s="26">
        <v>6.3399999999999998E-2</v>
      </c>
      <c r="L22" s="22">
        <v>0</v>
      </c>
      <c r="M22" s="22">
        <v>0</v>
      </c>
      <c r="N22" s="22">
        <v>0</v>
      </c>
      <c r="O22" s="22">
        <v>0</v>
      </c>
      <c r="P22" s="25">
        <v>0</v>
      </c>
    </row>
    <row r="23" spans="1:16" x14ac:dyDescent="0.25">
      <c r="A23" s="22"/>
      <c r="B23" s="22"/>
      <c r="C23" s="22" t="s">
        <v>147</v>
      </c>
      <c r="D23" s="22" t="s">
        <v>104</v>
      </c>
      <c r="E23" s="22">
        <v>0</v>
      </c>
      <c r="F23" s="22">
        <v>0</v>
      </c>
      <c r="G23" s="22">
        <v>0</v>
      </c>
      <c r="H23" s="22">
        <v>9.67</v>
      </c>
      <c r="I23" s="22">
        <v>0</v>
      </c>
      <c r="J23" s="22">
        <v>0</v>
      </c>
      <c r="K23" s="25">
        <v>0</v>
      </c>
      <c r="L23" s="22">
        <v>0</v>
      </c>
      <c r="M23" s="22">
        <v>0</v>
      </c>
      <c r="N23" s="22">
        <v>0</v>
      </c>
      <c r="O23" s="22">
        <v>0</v>
      </c>
      <c r="P23" s="25">
        <v>0</v>
      </c>
    </row>
    <row r="24" spans="1:16" x14ac:dyDescent="0.25">
      <c r="A24" s="22"/>
      <c r="B24" s="22"/>
      <c r="C24" s="22" t="s">
        <v>148</v>
      </c>
      <c r="D24" s="22" t="s">
        <v>133</v>
      </c>
      <c r="E24" s="23">
        <v>1096</v>
      </c>
      <c r="F24" s="22">
        <v>1.48</v>
      </c>
      <c r="G24" s="22">
        <v>742.77</v>
      </c>
      <c r="H24" s="22">
        <v>800.42</v>
      </c>
      <c r="I24" s="22">
        <v>1.37</v>
      </c>
      <c r="J24" s="22">
        <v>-0.11</v>
      </c>
      <c r="K24" s="26">
        <v>0.92800000000000005</v>
      </c>
      <c r="L24" s="22">
        <v>0</v>
      </c>
      <c r="M24" s="22">
        <v>0</v>
      </c>
      <c r="N24" s="22">
        <v>0</v>
      </c>
      <c r="O24" s="22">
        <v>0</v>
      </c>
      <c r="P24" s="25">
        <v>0</v>
      </c>
    </row>
    <row r="25" spans="1:16" x14ac:dyDescent="0.25">
      <c r="A25" s="22"/>
      <c r="B25" s="22"/>
      <c r="C25" s="22" t="s">
        <v>149</v>
      </c>
      <c r="D25" s="22" t="s">
        <v>105</v>
      </c>
      <c r="E25" s="23">
        <v>1096</v>
      </c>
      <c r="F25" s="22">
        <v>11.71</v>
      </c>
      <c r="G25" s="22">
        <v>93.6</v>
      </c>
      <c r="H25" s="22">
        <v>146.86000000000001</v>
      </c>
      <c r="I25" s="22">
        <v>7.46</v>
      </c>
      <c r="J25" s="22">
        <v>-4.25</v>
      </c>
      <c r="K25" s="26">
        <v>0.63729999999999998</v>
      </c>
      <c r="L25" s="22">
        <v>0</v>
      </c>
      <c r="M25" s="22">
        <v>0</v>
      </c>
      <c r="N25" s="22">
        <v>0</v>
      </c>
      <c r="O25" s="22">
        <v>0</v>
      </c>
      <c r="P25" s="25">
        <v>0</v>
      </c>
    </row>
    <row r="26" spans="1:16" x14ac:dyDescent="0.25">
      <c r="A26" s="22"/>
      <c r="B26" s="22" t="s">
        <v>150</v>
      </c>
      <c r="C26" s="22" t="s">
        <v>151</v>
      </c>
      <c r="D26" s="22" t="s">
        <v>145</v>
      </c>
      <c r="E26" s="23">
        <v>11925</v>
      </c>
      <c r="F26" s="22">
        <v>191.66</v>
      </c>
      <c r="G26" s="22">
        <v>62.22</v>
      </c>
      <c r="H26" s="22">
        <v>52.2</v>
      </c>
      <c r="I26" s="22">
        <v>228.45</v>
      </c>
      <c r="J26" s="22">
        <v>36.78</v>
      </c>
      <c r="K26" s="26">
        <v>1.1919</v>
      </c>
      <c r="L26" s="22">
        <v>0</v>
      </c>
      <c r="M26" s="22">
        <v>0</v>
      </c>
      <c r="N26" s="22">
        <v>0</v>
      </c>
      <c r="O26" s="22">
        <v>0</v>
      </c>
      <c r="P26" s="25">
        <v>0</v>
      </c>
    </row>
    <row r="27" spans="1:16" x14ac:dyDescent="0.25">
      <c r="A27" s="22"/>
      <c r="B27" s="22"/>
      <c r="C27" s="22" t="s">
        <v>152</v>
      </c>
      <c r="D27" s="22" t="s">
        <v>105</v>
      </c>
      <c r="E27" s="23">
        <v>63149</v>
      </c>
      <c r="F27" s="22">
        <v>157.63999999999999</v>
      </c>
      <c r="G27" s="22">
        <v>400.58</v>
      </c>
      <c r="H27" s="22">
        <v>289.63</v>
      </c>
      <c r="I27" s="22">
        <v>218.03</v>
      </c>
      <c r="J27" s="22">
        <v>60.39</v>
      </c>
      <c r="K27" s="26">
        <v>1.3831</v>
      </c>
      <c r="L27" s="22">
        <v>0</v>
      </c>
      <c r="M27" s="22">
        <v>0</v>
      </c>
      <c r="N27" s="22">
        <v>0</v>
      </c>
      <c r="O27" s="22">
        <v>0</v>
      </c>
      <c r="P27" s="25">
        <v>0</v>
      </c>
    </row>
    <row r="28" spans="1:16" x14ac:dyDescent="0.25">
      <c r="A28" s="22"/>
      <c r="B28" s="22"/>
      <c r="C28" s="22" t="s">
        <v>153</v>
      </c>
      <c r="D28" s="22" t="s">
        <v>105</v>
      </c>
      <c r="E28" s="23">
        <v>59218</v>
      </c>
      <c r="F28" s="22">
        <v>324.38</v>
      </c>
      <c r="G28" s="22">
        <v>182.55</v>
      </c>
      <c r="H28" s="22">
        <v>125.82</v>
      </c>
      <c r="I28" s="22">
        <v>470.66</v>
      </c>
      <c r="J28" s="22">
        <v>146.27000000000001</v>
      </c>
      <c r="K28" s="26">
        <v>1.4509000000000001</v>
      </c>
      <c r="L28" s="22">
        <v>0</v>
      </c>
      <c r="M28" s="22">
        <v>0</v>
      </c>
      <c r="N28" s="22">
        <v>0</v>
      </c>
      <c r="O28" s="22">
        <v>0</v>
      </c>
      <c r="P28" s="25">
        <v>0</v>
      </c>
    </row>
    <row r="29" spans="1:16" x14ac:dyDescent="0.25">
      <c r="A29" s="22"/>
      <c r="B29" s="22"/>
      <c r="C29" s="22" t="s">
        <v>154</v>
      </c>
      <c r="D29" s="22" t="s">
        <v>105</v>
      </c>
      <c r="E29" s="22">
        <v>487</v>
      </c>
      <c r="F29" s="22">
        <v>4.68</v>
      </c>
      <c r="G29" s="22">
        <v>103.97</v>
      </c>
      <c r="H29" s="22">
        <v>80.14</v>
      </c>
      <c r="I29" s="22">
        <v>6.08</v>
      </c>
      <c r="J29" s="22">
        <v>1.39</v>
      </c>
      <c r="K29" s="26">
        <v>1.2974000000000001</v>
      </c>
      <c r="L29" s="22">
        <v>0</v>
      </c>
      <c r="M29" s="22">
        <v>0</v>
      </c>
      <c r="N29" s="22">
        <v>0</v>
      </c>
      <c r="O29" s="22">
        <v>0</v>
      </c>
      <c r="P29" s="25">
        <v>0</v>
      </c>
    </row>
    <row r="30" spans="1:16" x14ac:dyDescent="0.25">
      <c r="A30" s="22"/>
      <c r="B30" s="22"/>
      <c r="C30" s="22" t="s">
        <v>155</v>
      </c>
      <c r="D30" s="22" t="s">
        <v>105</v>
      </c>
      <c r="E30" s="22">
        <v>0</v>
      </c>
      <c r="F30" s="22">
        <v>0</v>
      </c>
      <c r="G30" s="22">
        <v>0</v>
      </c>
      <c r="H30" s="22">
        <v>222.3</v>
      </c>
      <c r="I30" s="22">
        <v>0</v>
      </c>
      <c r="J30" s="22">
        <v>0</v>
      </c>
      <c r="K30" s="25">
        <v>0</v>
      </c>
      <c r="L30" s="22">
        <v>0</v>
      </c>
      <c r="M30" s="22">
        <v>0</v>
      </c>
      <c r="N30" s="22">
        <v>0</v>
      </c>
      <c r="O30" s="22">
        <v>0</v>
      </c>
      <c r="P30" s="25">
        <v>0</v>
      </c>
    </row>
    <row r="31" spans="1:16" x14ac:dyDescent="0.25">
      <c r="A31" s="22"/>
      <c r="B31" s="22"/>
      <c r="C31" s="22" t="s">
        <v>156</v>
      </c>
      <c r="D31" s="22" t="s">
        <v>105</v>
      </c>
      <c r="E31" s="23">
        <v>122854</v>
      </c>
      <c r="F31" s="22">
        <v>486.71</v>
      </c>
      <c r="G31" s="22">
        <v>252.42</v>
      </c>
      <c r="H31" s="22">
        <v>176.83</v>
      </c>
      <c r="I31" s="22">
        <v>694.77</v>
      </c>
      <c r="J31" s="22">
        <v>208.06</v>
      </c>
      <c r="K31" s="26">
        <v>1.4275</v>
      </c>
      <c r="L31" s="22">
        <v>0</v>
      </c>
      <c r="M31" s="22">
        <v>0</v>
      </c>
      <c r="N31" s="22">
        <v>0</v>
      </c>
      <c r="O31" s="22">
        <v>0</v>
      </c>
      <c r="P31" s="25">
        <v>0</v>
      </c>
    </row>
    <row r="32" spans="1:16" x14ac:dyDescent="0.25">
      <c r="A32" s="22"/>
      <c r="B32" s="22"/>
      <c r="C32" s="22" t="s">
        <v>157</v>
      </c>
      <c r="D32" s="22" t="s">
        <v>145</v>
      </c>
      <c r="E32" s="22">
        <v>0</v>
      </c>
      <c r="F32" s="22">
        <v>0</v>
      </c>
      <c r="G32" s="22">
        <v>0</v>
      </c>
      <c r="H32" s="22">
        <v>0.01</v>
      </c>
      <c r="I32" s="22">
        <v>0</v>
      </c>
      <c r="J32" s="22">
        <v>0</v>
      </c>
      <c r="K32" s="25">
        <v>0</v>
      </c>
      <c r="L32" s="22">
        <v>0</v>
      </c>
      <c r="M32" s="22">
        <v>0</v>
      </c>
      <c r="N32" s="22">
        <v>0</v>
      </c>
      <c r="O32" s="22">
        <v>0</v>
      </c>
      <c r="P32" s="25">
        <v>0</v>
      </c>
    </row>
    <row r="33" spans="1:16" x14ac:dyDescent="0.25">
      <c r="A33" s="22"/>
      <c r="B33" s="22"/>
      <c r="C33" s="22" t="s">
        <v>158</v>
      </c>
      <c r="D33" s="22" t="s">
        <v>104</v>
      </c>
      <c r="E33" s="22">
        <v>0</v>
      </c>
      <c r="F33" s="22">
        <v>0</v>
      </c>
      <c r="G33" s="22">
        <v>0</v>
      </c>
      <c r="H33" s="22">
        <v>21.61</v>
      </c>
      <c r="I33" s="22">
        <v>0</v>
      </c>
      <c r="J33" s="22">
        <v>0</v>
      </c>
      <c r="K33" s="25">
        <v>0</v>
      </c>
      <c r="L33" s="22">
        <v>0</v>
      </c>
      <c r="M33" s="22">
        <v>0</v>
      </c>
      <c r="N33" s="22">
        <v>0</v>
      </c>
      <c r="O33" s="22">
        <v>0</v>
      </c>
      <c r="P33" s="25">
        <v>0</v>
      </c>
    </row>
    <row r="34" spans="1:16" x14ac:dyDescent="0.25">
      <c r="A34" s="22"/>
      <c r="B34" s="22"/>
      <c r="C34" s="22" t="s">
        <v>159</v>
      </c>
      <c r="D34" s="22" t="s">
        <v>133</v>
      </c>
      <c r="E34" s="23">
        <v>122854</v>
      </c>
      <c r="F34" s="22">
        <v>201.49</v>
      </c>
      <c r="G34" s="22">
        <v>609.73</v>
      </c>
      <c r="H34" s="22">
        <v>720.74</v>
      </c>
      <c r="I34" s="22">
        <v>170.46</v>
      </c>
      <c r="J34" s="22">
        <v>-31.03</v>
      </c>
      <c r="K34" s="26">
        <v>0.84599999999999997</v>
      </c>
      <c r="L34" s="22">
        <v>0</v>
      </c>
      <c r="M34" s="22">
        <v>0</v>
      </c>
      <c r="N34" s="22">
        <v>0</v>
      </c>
      <c r="O34" s="22">
        <v>0</v>
      </c>
      <c r="P34" s="25">
        <v>0</v>
      </c>
    </row>
    <row r="35" spans="1:16" x14ac:dyDescent="0.25">
      <c r="A35" s="22"/>
      <c r="B35" s="22"/>
      <c r="C35" s="22" t="s">
        <v>160</v>
      </c>
      <c r="D35" s="22" t="s">
        <v>105</v>
      </c>
      <c r="E35" s="23">
        <v>122854</v>
      </c>
      <c r="F35" s="22">
        <v>879.86</v>
      </c>
      <c r="G35" s="22">
        <v>139.63</v>
      </c>
      <c r="H35" s="22">
        <v>112.33</v>
      </c>
      <c r="I35" s="24">
        <v>1093.67</v>
      </c>
      <c r="J35" s="22">
        <v>213.81</v>
      </c>
      <c r="K35" s="26">
        <v>1.2430000000000001</v>
      </c>
      <c r="L35" s="22">
        <v>0</v>
      </c>
      <c r="M35" s="22">
        <v>0</v>
      </c>
      <c r="N35" s="22">
        <v>0</v>
      </c>
      <c r="O35" s="22">
        <v>0</v>
      </c>
      <c r="P35" s="25">
        <v>0</v>
      </c>
    </row>
    <row r="36" spans="1:16" x14ac:dyDescent="0.25">
      <c r="A36" s="22"/>
      <c r="B36" s="22" t="s">
        <v>161</v>
      </c>
      <c r="C36" s="22" t="s">
        <v>162</v>
      </c>
      <c r="D36" s="22" t="s">
        <v>105</v>
      </c>
      <c r="E36" s="22">
        <v>0</v>
      </c>
      <c r="F36" s="22">
        <v>0.4</v>
      </c>
      <c r="G36" s="22">
        <v>0</v>
      </c>
      <c r="H36" s="22">
        <v>39.229999999999997</v>
      </c>
      <c r="I36" s="22">
        <v>0</v>
      </c>
      <c r="J36" s="22">
        <v>-0.4</v>
      </c>
      <c r="K36" s="25">
        <v>0</v>
      </c>
      <c r="L36" s="22">
        <v>0</v>
      </c>
      <c r="M36" s="22">
        <v>0</v>
      </c>
      <c r="N36" s="22">
        <v>0</v>
      </c>
      <c r="O36" s="22">
        <v>0</v>
      </c>
      <c r="P36" s="25">
        <v>0</v>
      </c>
    </row>
    <row r="37" spans="1:16" x14ac:dyDescent="0.25">
      <c r="A37" s="22"/>
      <c r="B37" s="22"/>
      <c r="C37" s="22" t="s">
        <v>163</v>
      </c>
      <c r="D37" s="22" t="s">
        <v>105</v>
      </c>
      <c r="E37" s="22">
        <v>0</v>
      </c>
      <c r="F37" s="22">
        <v>0</v>
      </c>
      <c r="G37" s="22">
        <v>0</v>
      </c>
      <c r="H37" s="23">
        <v>10000</v>
      </c>
      <c r="I37" s="22">
        <v>0</v>
      </c>
      <c r="J37" s="22">
        <v>0</v>
      </c>
      <c r="K37" s="25">
        <v>0</v>
      </c>
      <c r="L37" s="22">
        <v>0</v>
      </c>
      <c r="M37" s="22">
        <v>0</v>
      </c>
      <c r="N37" s="22">
        <v>0</v>
      </c>
      <c r="O37" s="22">
        <v>0</v>
      </c>
      <c r="P37" s="25">
        <v>0</v>
      </c>
    </row>
    <row r="38" spans="1:16" x14ac:dyDescent="0.25">
      <c r="A38" s="22"/>
      <c r="B38" s="22"/>
      <c r="C38" s="22" t="s">
        <v>164</v>
      </c>
      <c r="D38" s="22" t="s">
        <v>105</v>
      </c>
      <c r="E38" s="22">
        <v>0</v>
      </c>
      <c r="F38" s="22">
        <v>0</v>
      </c>
      <c r="G38" s="22">
        <v>0</v>
      </c>
      <c r="H38" s="22">
        <v>119.13</v>
      </c>
      <c r="I38" s="22">
        <v>0</v>
      </c>
      <c r="J38" s="22">
        <v>0</v>
      </c>
      <c r="K38" s="25">
        <v>0</v>
      </c>
      <c r="L38" s="22">
        <v>0</v>
      </c>
      <c r="M38" s="22">
        <v>0</v>
      </c>
      <c r="N38" s="22">
        <v>0</v>
      </c>
      <c r="O38" s="22">
        <v>0</v>
      </c>
      <c r="P38" s="25">
        <v>0</v>
      </c>
    </row>
    <row r="39" spans="1:16" x14ac:dyDescent="0.25">
      <c r="A39" s="22"/>
      <c r="B39" s="22"/>
      <c r="C39" s="22" t="s">
        <v>165</v>
      </c>
      <c r="D39" s="22" t="s">
        <v>105</v>
      </c>
      <c r="E39" s="22">
        <v>0</v>
      </c>
      <c r="F39" s="22">
        <v>0</v>
      </c>
      <c r="G39" s="22">
        <v>0</v>
      </c>
      <c r="H39" s="22">
        <v>70.66</v>
      </c>
      <c r="I39" s="22">
        <v>0</v>
      </c>
      <c r="J39" s="22">
        <v>0</v>
      </c>
      <c r="K39" s="25">
        <v>0</v>
      </c>
      <c r="L39" s="22">
        <v>0</v>
      </c>
      <c r="M39" s="22">
        <v>0</v>
      </c>
      <c r="N39" s="22">
        <v>0</v>
      </c>
      <c r="O39" s="22">
        <v>0</v>
      </c>
      <c r="P39" s="25">
        <v>0</v>
      </c>
    </row>
    <row r="40" spans="1:16" x14ac:dyDescent="0.25">
      <c r="A40" s="22"/>
      <c r="B40" s="22"/>
      <c r="C40" s="22" t="s">
        <v>166</v>
      </c>
      <c r="D40" s="22" t="s">
        <v>105</v>
      </c>
      <c r="E40" s="22">
        <v>0</v>
      </c>
      <c r="F40" s="22">
        <v>0</v>
      </c>
      <c r="G40" s="22">
        <v>0</v>
      </c>
      <c r="H40" s="22">
        <v>42.3</v>
      </c>
      <c r="I40" s="22">
        <v>0</v>
      </c>
      <c r="J40" s="22">
        <v>0</v>
      </c>
      <c r="K40" s="25">
        <v>0</v>
      </c>
      <c r="L40" s="22">
        <v>0</v>
      </c>
      <c r="M40" s="22">
        <v>0</v>
      </c>
      <c r="N40" s="22">
        <v>0</v>
      </c>
      <c r="O40" s="22">
        <v>0</v>
      </c>
      <c r="P40" s="25">
        <v>0</v>
      </c>
    </row>
    <row r="41" spans="1:16" x14ac:dyDescent="0.25">
      <c r="A41" s="22"/>
      <c r="B41" s="22"/>
      <c r="C41" s="22" t="s">
        <v>167</v>
      </c>
      <c r="D41" s="22" t="s">
        <v>105</v>
      </c>
      <c r="E41" s="22">
        <v>0</v>
      </c>
      <c r="F41" s="22">
        <v>0</v>
      </c>
      <c r="G41" s="22">
        <v>0</v>
      </c>
      <c r="H41" s="22">
        <v>1.79</v>
      </c>
      <c r="I41" s="22">
        <v>0</v>
      </c>
      <c r="J41" s="22">
        <v>0</v>
      </c>
      <c r="K41" s="25">
        <v>0</v>
      </c>
      <c r="L41" s="22">
        <v>0</v>
      </c>
      <c r="M41" s="22">
        <v>0</v>
      </c>
      <c r="N41" s="22">
        <v>0</v>
      </c>
      <c r="O41" s="22">
        <v>0</v>
      </c>
      <c r="P41" s="25">
        <v>0</v>
      </c>
    </row>
    <row r="42" spans="1:16" x14ac:dyDescent="0.25">
      <c r="A42" s="22"/>
      <c r="B42" s="22"/>
      <c r="C42" s="22" t="s">
        <v>168</v>
      </c>
      <c r="D42" s="22" t="s">
        <v>105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5">
        <v>0</v>
      </c>
      <c r="L42" s="22">
        <v>0</v>
      </c>
      <c r="M42" s="22">
        <v>0</v>
      </c>
      <c r="N42" s="22">
        <v>0</v>
      </c>
      <c r="O42" s="22">
        <v>0</v>
      </c>
      <c r="P42" s="25">
        <v>0</v>
      </c>
    </row>
    <row r="43" spans="1:16" x14ac:dyDescent="0.25">
      <c r="A43" s="22"/>
      <c r="B43" s="22"/>
      <c r="C43" s="22" t="s">
        <v>169</v>
      </c>
      <c r="D43" s="22" t="s">
        <v>133</v>
      </c>
      <c r="E43" s="22">
        <v>0</v>
      </c>
      <c r="F43" s="22">
        <v>0</v>
      </c>
      <c r="G43" s="22">
        <v>0</v>
      </c>
      <c r="H43" s="24">
        <v>1216.0999999999999</v>
      </c>
      <c r="I43" s="22">
        <v>0</v>
      </c>
      <c r="J43" s="22">
        <v>0</v>
      </c>
      <c r="K43" s="25">
        <v>0</v>
      </c>
      <c r="L43" s="22">
        <v>0</v>
      </c>
      <c r="M43" s="22">
        <v>0</v>
      </c>
      <c r="N43" s="22">
        <v>0</v>
      </c>
      <c r="O43" s="22">
        <v>0</v>
      </c>
      <c r="P43" s="25">
        <v>0</v>
      </c>
    </row>
    <row r="44" spans="1:16" x14ac:dyDescent="0.25">
      <c r="A44" s="22"/>
      <c r="B44" s="22"/>
      <c r="C44" s="22" t="s">
        <v>170</v>
      </c>
      <c r="D44" s="22" t="s">
        <v>133</v>
      </c>
      <c r="E44" s="22">
        <v>0</v>
      </c>
      <c r="F44" s="22">
        <v>0.4</v>
      </c>
      <c r="G44" s="22">
        <v>0</v>
      </c>
      <c r="H44" s="22">
        <v>0</v>
      </c>
      <c r="I44" s="22">
        <v>0</v>
      </c>
      <c r="J44" s="22">
        <v>-0.4</v>
      </c>
      <c r="K44" s="25">
        <v>0</v>
      </c>
      <c r="L44" s="22">
        <v>0</v>
      </c>
      <c r="M44" s="22">
        <v>0</v>
      </c>
      <c r="N44" s="22">
        <v>0</v>
      </c>
      <c r="O44" s="22">
        <v>0</v>
      </c>
      <c r="P44" s="25">
        <v>0</v>
      </c>
    </row>
    <row r="45" spans="1:16" x14ac:dyDescent="0.25">
      <c r="A45" s="22"/>
      <c r="B45" s="22" t="s">
        <v>171</v>
      </c>
      <c r="C45" s="22" t="s">
        <v>172</v>
      </c>
      <c r="D45" s="22" t="s">
        <v>105</v>
      </c>
      <c r="E45" s="23">
        <v>5730</v>
      </c>
      <c r="F45" s="22">
        <v>15.49</v>
      </c>
      <c r="G45" s="22">
        <v>370.02</v>
      </c>
      <c r="H45" s="22">
        <v>221.45</v>
      </c>
      <c r="I45" s="22">
        <v>25.87</v>
      </c>
      <c r="J45" s="22">
        <v>10.39</v>
      </c>
      <c r="K45" s="26">
        <v>1.6709000000000001</v>
      </c>
      <c r="L45" s="22">
        <v>0</v>
      </c>
      <c r="M45" s="22">
        <v>0</v>
      </c>
      <c r="N45" s="22">
        <v>0</v>
      </c>
      <c r="O45" s="22">
        <v>0</v>
      </c>
      <c r="P45" s="25">
        <v>0</v>
      </c>
    </row>
    <row r="46" spans="1:16" x14ac:dyDescent="0.25">
      <c r="A46" s="22"/>
      <c r="B46" s="22"/>
      <c r="C46" s="22" t="s">
        <v>173</v>
      </c>
      <c r="D46" s="22" t="s">
        <v>105</v>
      </c>
      <c r="E46" s="23">
        <v>3883</v>
      </c>
      <c r="F46" s="22">
        <v>24.7</v>
      </c>
      <c r="G46" s="22">
        <v>157.19</v>
      </c>
      <c r="H46" s="22">
        <v>103.89</v>
      </c>
      <c r="I46" s="22">
        <v>37.380000000000003</v>
      </c>
      <c r="J46" s="22">
        <v>12.67</v>
      </c>
      <c r="K46" s="26">
        <v>1.5129999999999999</v>
      </c>
      <c r="L46" s="22">
        <v>0</v>
      </c>
      <c r="M46" s="22">
        <v>0</v>
      </c>
      <c r="N46" s="22">
        <v>0</v>
      </c>
      <c r="O46" s="22">
        <v>0</v>
      </c>
      <c r="P46" s="25">
        <v>0</v>
      </c>
    </row>
    <row r="47" spans="1:16" x14ac:dyDescent="0.25">
      <c r="A47" s="22"/>
      <c r="B47" s="22"/>
      <c r="C47" s="22" t="s">
        <v>174</v>
      </c>
      <c r="D47" s="22" t="s">
        <v>105</v>
      </c>
      <c r="E47" s="22">
        <v>21</v>
      </c>
      <c r="F47" s="22">
        <v>0.3</v>
      </c>
      <c r="G47" s="22">
        <v>68.98</v>
      </c>
      <c r="H47" s="22">
        <v>64.34</v>
      </c>
      <c r="I47" s="22">
        <v>0.33</v>
      </c>
      <c r="J47" s="22">
        <v>0.02</v>
      </c>
      <c r="K47" s="26">
        <v>1.0721000000000001</v>
      </c>
      <c r="L47" s="22">
        <v>0</v>
      </c>
      <c r="M47" s="22">
        <v>0</v>
      </c>
      <c r="N47" s="22">
        <v>0</v>
      </c>
      <c r="O47" s="22">
        <v>0</v>
      </c>
      <c r="P47" s="25">
        <v>0</v>
      </c>
    </row>
    <row r="48" spans="1:16" x14ac:dyDescent="0.25">
      <c r="A48" s="22"/>
      <c r="B48" s="22"/>
      <c r="C48" s="22" t="s">
        <v>175</v>
      </c>
      <c r="D48" s="22" t="s">
        <v>105</v>
      </c>
      <c r="E48" s="22">
        <v>0</v>
      </c>
      <c r="F48" s="22">
        <v>0</v>
      </c>
      <c r="G48" s="22">
        <v>0</v>
      </c>
      <c r="H48" s="22">
        <v>154.68</v>
      </c>
      <c r="I48" s="22">
        <v>0</v>
      </c>
      <c r="J48" s="22">
        <v>0</v>
      </c>
      <c r="K48" s="25">
        <v>0</v>
      </c>
      <c r="L48" s="22">
        <v>0</v>
      </c>
      <c r="M48" s="22">
        <v>0</v>
      </c>
      <c r="N48" s="22">
        <v>0</v>
      </c>
      <c r="O48" s="22">
        <v>0</v>
      </c>
      <c r="P48" s="25">
        <v>0</v>
      </c>
    </row>
    <row r="49" spans="1:16" x14ac:dyDescent="0.25">
      <c r="A49" s="22"/>
      <c r="B49" s="22"/>
      <c r="C49" s="22" t="s">
        <v>176</v>
      </c>
      <c r="D49" s="22" t="s">
        <v>105</v>
      </c>
      <c r="E49" s="23">
        <v>9634</v>
      </c>
      <c r="F49" s="22">
        <v>40.49</v>
      </c>
      <c r="G49" s="22">
        <v>237.92</v>
      </c>
      <c r="H49" s="22">
        <v>151.53</v>
      </c>
      <c r="I49" s="22">
        <v>63.58</v>
      </c>
      <c r="J49" s="22">
        <v>23.08</v>
      </c>
      <c r="K49" s="26">
        <v>1.5701000000000001</v>
      </c>
      <c r="L49" s="22">
        <v>0</v>
      </c>
      <c r="M49" s="22">
        <v>0</v>
      </c>
      <c r="N49" s="22">
        <v>0</v>
      </c>
      <c r="O49" s="22">
        <v>0</v>
      </c>
      <c r="P49" s="25">
        <v>0</v>
      </c>
    </row>
    <row r="50" spans="1:16" x14ac:dyDescent="0.25">
      <c r="A50" s="22"/>
      <c r="B50" s="22"/>
      <c r="C50" s="22" t="s">
        <v>177</v>
      </c>
      <c r="D50" s="22" t="s">
        <v>145</v>
      </c>
      <c r="E50" s="22">
        <v>0</v>
      </c>
      <c r="F50" s="22">
        <v>0</v>
      </c>
      <c r="G50" s="22">
        <v>0</v>
      </c>
      <c r="H50" s="23">
        <v>10000</v>
      </c>
      <c r="I50" s="22">
        <v>0</v>
      </c>
      <c r="J50" s="22">
        <v>0</v>
      </c>
      <c r="K50" s="25">
        <v>0</v>
      </c>
      <c r="L50" s="22">
        <v>0</v>
      </c>
      <c r="M50" s="22">
        <v>0</v>
      </c>
      <c r="N50" s="22">
        <v>0</v>
      </c>
      <c r="O50" s="22">
        <v>0</v>
      </c>
      <c r="P50" s="25">
        <v>0</v>
      </c>
    </row>
    <row r="51" spans="1:16" x14ac:dyDescent="0.25">
      <c r="A51" s="22"/>
      <c r="B51" s="22"/>
      <c r="C51" s="22" t="s">
        <v>178</v>
      </c>
      <c r="D51" s="22" t="s">
        <v>104</v>
      </c>
      <c r="E51" s="22">
        <v>0</v>
      </c>
      <c r="F51" s="22">
        <v>0</v>
      </c>
      <c r="G51" s="22">
        <v>0</v>
      </c>
      <c r="H51" s="22">
        <v>28.91</v>
      </c>
      <c r="I51" s="22">
        <v>0</v>
      </c>
      <c r="J51" s="22">
        <v>0</v>
      </c>
      <c r="K51" s="25">
        <v>0</v>
      </c>
      <c r="L51" s="22">
        <v>0</v>
      </c>
      <c r="M51" s="22">
        <v>0</v>
      </c>
      <c r="N51" s="22">
        <v>0</v>
      </c>
      <c r="O51" s="22">
        <v>0</v>
      </c>
      <c r="P51" s="25">
        <v>0</v>
      </c>
    </row>
    <row r="52" spans="1:16" x14ac:dyDescent="0.25">
      <c r="A52" s="22"/>
      <c r="B52" s="22"/>
      <c r="C52" s="22" t="s">
        <v>179</v>
      </c>
      <c r="D52" s="22" t="s">
        <v>105</v>
      </c>
      <c r="E52" s="23">
        <v>9634</v>
      </c>
      <c r="F52" s="22">
        <v>9.86</v>
      </c>
      <c r="G52" s="22">
        <v>977.05</v>
      </c>
      <c r="H52" s="22">
        <v>375.01</v>
      </c>
      <c r="I52" s="22">
        <v>25.69</v>
      </c>
      <c r="J52" s="22">
        <v>15.83</v>
      </c>
      <c r="K52" s="26">
        <v>2.6053999999999999</v>
      </c>
      <c r="L52" s="22">
        <v>0</v>
      </c>
      <c r="M52" s="22">
        <v>0</v>
      </c>
      <c r="N52" s="22">
        <v>0</v>
      </c>
      <c r="O52" s="22">
        <v>0</v>
      </c>
      <c r="P52" s="25">
        <v>0</v>
      </c>
    </row>
    <row r="53" spans="1:16" x14ac:dyDescent="0.25">
      <c r="A53" s="22"/>
      <c r="B53" s="22"/>
      <c r="C53" s="22" t="s">
        <v>180</v>
      </c>
      <c r="D53" s="22" t="s">
        <v>105</v>
      </c>
      <c r="E53" s="23">
        <v>9634</v>
      </c>
      <c r="F53" s="22">
        <v>50.35</v>
      </c>
      <c r="G53" s="22">
        <v>191.33</v>
      </c>
      <c r="H53" s="22">
        <v>107.92</v>
      </c>
      <c r="I53" s="22">
        <v>89.27</v>
      </c>
      <c r="J53" s="22">
        <v>38.909999999999997</v>
      </c>
      <c r="K53" s="26">
        <v>1.7727999999999999</v>
      </c>
      <c r="L53" s="22">
        <v>0</v>
      </c>
      <c r="M53" s="22">
        <v>0</v>
      </c>
      <c r="N53" s="22">
        <v>0</v>
      </c>
      <c r="O53" s="22">
        <v>0</v>
      </c>
      <c r="P53" s="25">
        <v>0</v>
      </c>
    </row>
    <row r="54" spans="1:16" x14ac:dyDescent="0.25">
      <c r="A54" s="22"/>
      <c r="B54" s="22" t="s">
        <v>181</v>
      </c>
      <c r="C54" s="22" t="s">
        <v>182</v>
      </c>
      <c r="D54" s="22" t="s">
        <v>145</v>
      </c>
      <c r="E54" s="22">
        <v>0</v>
      </c>
      <c r="F54" s="22">
        <v>0</v>
      </c>
      <c r="G54" s="22">
        <v>0</v>
      </c>
      <c r="H54" s="23">
        <v>10000</v>
      </c>
      <c r="I54" s="22">
        <v>0</v>
      </c>
      <c r="J54" s="22">
        <v>0</v>
      </c>
      <c r="K54" s="25">
        <v>0</v>
      </c>
      <c r="L54" s="22">
        <v>0</v>
      </c>
      <c r="M54" s="22">
        <v>0</v>
      </c>
      <c r="N54" s="22">
        <v>0</v>
      </c>
      <c r="O54" s="22">
        <v>0</v>
      </c>
      <c r="P54" s="25">
        <v>0</v>
      </c>
    </row>
    <row r="55" spans="1:16" x14ac:dyDescent="0.25">
      <c r="A55" s="22"/>
      <c r="B55" s="22"/>
      <c r="C55" s="22" t="s">
        <v>183</v>
      </c>
      <c r="D55" s="22" t="s">
        <v>184</v>
      </c>
      <c r="E55" s="22">
        <v>0</v>
      </c>
      <c r="F55" s="22">
        <v>0</v>
      </c>
      <c r="G55" s="22">
        <v>0</v>
      </c>
      <c r="H55" s="22">
        <v>60.97</v>
      </c>
      <c r="I55" s="22">
        <v>0</v>
      </c>
      <c r="J55" s="22">
        <v>0</v>
      </c>
      <c r="K55" s="25">
        <v>0</v>
      </c>
      <c r="L55" s="22">
        <v>0</v>
      </c>
      <c r="M55" s="22">
        <v>0</v>
      </c>
      <c r="N55" s="22">
        <v>0</v>
      </c>
      <c r="O55" s="22">
        <v>0</v>
      </c>
      <c r="P55" s="25">
        <v>0</v>
      </c>
    </row>
    <row r="56" spans="1:16" x14ac:dyDescent="0.25">
      <c r="A56" s="22"/>
      <c r="B56" s="22"/>
      <c r="C56" s="22" t="s">
        <v>185</v>
      </c>
      <c r="D56" s="22" t="s">
        <v>104</v>
      </c>
      <c r="E56" s="22">
        <v>0</v>
      </c>
      <c r="F56" s="22">
        <v>0</v>
      </c>
      <c r="G56" s="22">
        <v>0</v>
      </c>
      <c r="H56" s="22">
        <v>6.43</v>
      </c>
      <c r="I56" s="22">
        <v>0</v>
      </c>
      <c r="J56" s="22">
        <v>0</v>
      </c>
      <c r="K56" s="25">
        <v>0</v>
      </c>
      <c r="L56" s="22">
        <v>0</v>
      </c>
      <c r="M56" s="22">
        <v>0</v>
      </c>
      <c r="N56" s="22">
        <v>0</v>
      </c>
      <c r="O56" s="22">
        <v>0</v>
      </c>
      <c r="P56" s="25">
        <v>0</v>
      </c>
    </row>
    <row r="57" spans="1:16" x14ac:dyDescent="0.25">
      <c r="A57" s="22"/>
      <c r="B57" s="22"/>
      <c r="C57" s="22" t="s">
        <v>186</v>
      </c>
      <c r="D57" s="22" t="s">
        <v>187</v>
      </c>
      <c r="E57" s="22">
        <v>0</v>
      </c>
      <c r="F57" s="22">
        <v>0</v>
      </c>
      <c r="G57" s="22">
        <v>0</v>
      </c>
      <c r="H57" s="22">
        <v>4.3499999999999996</v>
      </c>
      <c r="I57" s="22">
        <v>0</v>
      </c>
      <c r="J57" s="22">
        <v>0</v>
      </c>
      <c r="K57" s="25">
        <v>0</v>
      </c>
      <c r="L57" s="22">
        <v>0</v>
      </c>
      <c r="M57" s="22">
        <v>0</v>
      </c>
      <c r="N57" s="22">
        <v>0</v>
      </c>
      <c r="O57" s="22">
        <v>0</v>
      </c>
      <c r="P57" s="25">
        <v>0</v>
      </c>
    </row>
    <row r="58" spans="1:16" x14ac:dyDescent="0.25">
      <c r="A58" s="22"/>
      <c r="B58" s="22"/>
      <c r="C58" s="22" t="s">
        <v>188</v>
      </c>
      <c r="D58" s="22" t="s">
        <v>133</v>
      </c>
      <c r="E58" s="23">
        <v>257328</v>
      </c>
      <c r="F58" s="22">
        <v>7.86</v>
      </c>
      <c r="G58" s="24">
        <v>32738.93</v>
      </c>
      <c r="H58" s="24">
        <v>21909.7</v>
      </c>
      <c r="I58" s="22">
        <v>11.74</v>
      </c>
      <c r="J58" s="22">
        <v>3.88</v>
      </c>
      <c r="K58" s="26">
        <v>1.4943</v>
      </c>
      <c r="L58" s="22">
        <v>0</v>
      </c>
      <c r="M58" s="22">
        <v>0</v>
      </c>
      <c r="N58" s="22">
        <v>0</v>
      </c>
      <c r="O58" s="22">
        <v>0</v>
      </c>
      <c r="P58" s="25">
        <v>0</v>
      </c>
    </row>
    <row r="59" spans="1:16" x14ac:dyDescent="0.25">
      <c r="A59" s="22"/>
      <c r="B59" s="22"/>
      <c r="C59" s="22" t="s">
        <v>189</v>
      </c>
      <c r="D59" s="22" t="s">
        <v>133</v>
      </c>
      <c r="E59" s="23">
        <v>257328</v>
      </c>
      <c r="F59" s="22">
        <v>7.86</v>
      </c>
      <c r="G59" s="24">
        <v>32738.93</v>
      </c>
      <c r="H59" s="24">
        <v>21909.7</v>
      </c>
      <c r="I59" s="22">
        <v>11.74</v>
      </c>
      <c r="J59" s="22">
        <v>3.88</v>
      </c>
      <c r="K59" s="26">
        <v>1.4943</v>
      </c>
      <c r="L59" s="22">
        <v>0</v>
      </c>
      <c r="M59" s="22">
        <v>0</v>
      </c>
      <c r="N59" s="22">
        <v>0</v>
      </c>
      <c r="O59" s="22">
        <v>0</v>
      </c>
      <c r="P59" s="25">
        <v>0</v>
      </c>
    </row>
    <row r="60" spans="1:16" x14ac:dyDescent="0.25">
      <c r="A60" s="22"/>
      <c r="B60" s="22" t="s">
        <v>190</v>
      </c>
      <c r="C60" s="22" t="s">
        <v>191</v>
      </c>
      <c r="D60" s="22" t="s">
        <v>133</v>
      </c>
      <c r="E60" s="23">
        <v>123950</v>
      </c>
      <c r="F60" s="22">
        <v>16.5</v>
      </c>
      <c r="G60" s="24">
        <v>7512.12</v>
      </c>
      <c r="H60" s="24">
        <v>4336.29</v>
      </c>
      <c r="I60" s="22">
        <v>28.58</v>
      </c>
      <c r="J60" s="22">
        <v>12.08</v>
      </c>
      <c r="K60" s="26">
        <v>1.7323999999999999</v>
      </c>
      <c r="L60" s="22">
        <v>0</v>
      </c>
      <c r="M60" s="22">
        <v>0</v>
      </c>
      <c r="N60" s="22">
        <v>0</v>
      </c>
      <c r="O60" s="22">
        <v>0</v>
      </c>
      <c r="P60" s="25">
        <v>0</v>
      </c>
    </row>
    <row r="61" spans="1:16" x14ac:dyDescent="0.25">
      <c r="A61" s="22"/>
      <c r="B61" s="22" t="s">
        <v>192</v>
      </c>
      <c r="C61" s="22" t="s">
        <v>193</v>
      </c>
      <c r="D61" s="22" t="s">
        <v>133</v>
      </c>
      <c r="E61" s="23">
        <v>123950</v>
      </c>
      <c r="F61" s="22">
        <v>170.83</v>
      </c>
      <c r="G61" s="22">
        <v>725.58</v>
      </c>
      <c r="H61" s="24">
        <v>1079.02</v>
      </c>
      <c r="I61" s="22">
        <v>114.87</v>
      </c>
      <c r="J61" s="22">
        <v>-55.96</v>
      </c>
      <c r="K61" s="26">
        <v>0.6724</v>
      </c>
      <c r="L61" s="22">
        <v>0</v>
      </c>
      <c r="M61" s="22">
        <v>0</v>
      </c>
      <c r="N61" s="22">
        <v>0</v>
      </c>
      <c r="O61" s="22">
        <v>0</v>
      </c>
      <c r="P61" s="25">
        <v>0</v>
      </c>
    </row>
    <row r="62" spans="1:16" x14ac:dyDescent="0.25">
      <c r="A62" s="22"/>
      <c r="B62" s="22" t="s">
        <v>194</v>
      </c>
      <c r="C62" s="22" t="s">
        <v>195</v>
      </c>
      <c r="D62" s="22" t="s">
        <v>105</v>
      </c>
      <c r="E62" s="23">
        <v>123950</v>
      </c>
      <c r="F62" s="24">
        <v>1137.52</v>
      </c>
      <c r="G62" s="22">
        <v>108.97</v>
      </c>
      <c r="H62" s="22">
        <v>92.11</v>
      </c>
      <c r="I62" s="24">
        <v>1345.6</v>
      </c>
      <c r="J62" s="22">
        <v>208.09</v>
      </c>
      <c r="K62" s="26">
        <v>1.1829000000000001</v>
      </c>
      <c r="L62" s="22">
        <v>0</v>
      </c>
      <c r="M62" s="22">
        <v>0</v>
      </c>
      <c r="N62" s="22">
        <v>0</v>
      </c>
      <c r="O62" s="22">
        <v>0</v>
      </c>
      <c r="P62" s="25">
        <v>0</v>
      </c>
    </row>
    <row r="63" spans="1:16" x14ac:dyDescent="0.25">
      <c r="A63" s="22" t="s">
        <v>196</v>
      </c>
      <c r="B63" s="22" t="s">
        <v>197</v>
      </c>
      <c r="C63" s="22" t="s">
        <v>198</v>
      </c>
      <c r="D63" s="22" t="s">
        <v>145</v>
      </c>
      <c r="E63" s="22">
        <v>0</v>
      </c>
      <c r="F63" s="22">
        <v>0</v>
      </c>
      <c r="G63" s="22">
        <v>0</v>
      </c>
      <c r="H63" s="23">
        <v>10000</v>
      </c>
      <c r="I63" s="22">
        <v>0</v>
      </c>
      <c r="J63" s="22">
        <v>0</v>
      </c>
      <c r="K63" s="25">
        <v>0</v>
      </c>
      <c r="L63" s="22">
        <v>0</v>
      </c>
      <c r="M63" s="22">
        <v>0</v>
      </c>
      <c r="N63" s="22">
        <v>0</v>
      </c>
      <c r="O63" s="22">
        <v>0</v>
      </c>
      <c r="P63" s="25">
        <v>0</v>
      </c>
    </row>
    <row r="64" spans="1:16" x14ac:dyDescent="0.25">
      <c r="A64" s="22"/>
      <c r="B64" s="22"/>
      <c r="C64" s="22" t="s">
        <v>199</v>
      </c>
      <c r="D64" s="22" t="s">
        <v>104</v>
      </c>
      <c r="E64" s="22">
        <v>0</v>
      </c>
      <c r="F64" s="22">
        <v>0</v>
      </c>
      <c r="G64" s="22">
        <v>0</v>
      </c>
      <c r="H64" s="23">
        <v>10000</v>
      </c>
      <c r="I64" s="22">
        <v>0</v>
      </c>
      <c r="J64" s="22">
        <v>0</v>
      </c>
      <c r="K64" s="25">
        <v>0</v>
      </c>
      <c r="L64" s="22">
        <v>0</v>
      </c>
      <c r="M64" s="22">
        <v>0</v>
      </c>
      <c r="N64" s="22">
        <v>0</v>
      </c>
      <c r="O64" s="22">
        <v>0</v>
      </c>
      <c r="P64" s="25">
        <v>0</v>
      </c>
    </row>
    <row r="65" spans="1:16" x14ac:dyDescent="0.25">
      <c r="A65" s="22"/>
      <c r="B65" s="22" t="s">
        <v>200</v>
      </c>
      <c r="C65" s="22" t="s">
        <v>201</v>
      </c>
      <c r="D65" s="22" t="s">
        <v>145</v>
      </c>
      <c r="E65" s="22">
        <v>0</v>
      </c>
      <c r="F65" s="22">
        <v>0</v>
      </c>
      <c r="G65" s="22">
        <v>0</v>
      </c>
      <c r="H65" s="23">
        <v>10000</v>
      </c>
      <c r="I65" s="22">
        <v>0</v>
      </c>
      <c r="J65" s="22">
        <v>0</v>
      </c>
      <c r="K65" s="25">
        <v>0</v>
      </c>
      <c r="L65" s="22">
        <v>0</v>
      </c>
      <c r="M65" s="22">
        <v>0</v>
      </c>
      <c r="N65" s="22">
        <v>0</v>
      </c>
      <c r="O65" s="22">
        <v>0</v>
      </c>
      <c r="P65" s="25">
        <v>0</v>
      </c>
    </row>
    <row r="66" spans="1:16" x14ac:dyDescent="0.25">
      <c r="A66" s="22"/>
      <c r="B66" s="22"/>
      <c r="C66" s="22" t="s">
        <v>202</v>
      </c>
      <c r="D66" s="22" t="s">
        <v>145</v>
      </c>
      <c r="E66" s="22">
        <v>0</v>
      </c>
      <c r="F66" s="22">
        <v>0</v>
      </c>
      <c r="G66" s="22">
        <v>0</v>
      </c>
      <c r="H66" s="23">
        <v>10000</v>
      </c>
      <c r="I66" s="22">
        <v>0</v>
      </c>
      <c r="J66" s="22">
        <v>0</v>
      </c>
      <c r="K66" s="25">
        <v>0</v>
      </c>
      <c r="L66" s="22">
        <v>0</v>
      </c>
      <c r="M66" s="22">
        <v>0</v>
      </c>
      <c r="N66" s="22">
        <v>0</v>
      </c>
      <c r="O66" s="22">
        <v>0</v>
      </c>
      <c r="P66" s="25">
        <v>0</v>
      </c>
    </row>
    <row r="67" spans="1:16" x14ac:dyDescent="0.25">
      <c r="A67" s="22"/>
      <c r="B67" s="22" t="s">
        <v>203</v>
      </c>
      <c r="C67" s="22" t="s">
        <v>204</v>
      </c>
      <c r="D67" s="22" t="s">
        <v>145</v>
      </c>
      <c r="E67" s="22">
        <v>0</v>
      </c>
      <c r="F67" s="22">
        <v>0</v>
      </c>
      <c r="G67" s="22">
        <v>0</v>
      </c>
      <c r="H67" s="23">
        <v>10000</v>
      </c>
      <c r="I67" s="22">
        <v>0</v>
      </c>
      <c r="J67" s="22">
        <v>0</v>
      </c>
      <c r="K67" s="25">
        <v>0</v>
      </c>
      <c r="L67" s="22">
        <v>0</v>
      </c>
      <c r="M67" s="22">
        <v>0</v>
      </c>
      <c r="N67" s="22">
        <v>0</v>
      </c>
      <c r="O67" s="22">
        <v>0</v>
      </c>
      <c r="P67" s="25">
        <v>0</v>
      </c>
    </row>
    <row r="68" spans="1:16" x14ac:dyDescent="0.25">
      <c r="A68" s="22"/>
      <c r="B68" s="22"/>
      <c r="C68" s="22" t="s">
        <v>205</v>
      </c>
      <c r="D68" s="22" t="s">
        <v>105</v>
      </c>
      <c r="E68" s="22">
        <v>0</v>
      </c>
      <c r="F68" s="22">
        <v>0</v>
      </c>
      <c r="G68" s="22">
        <v>0</v>
      </c>
      <c r="H68" s="23">
        <v>10000</v>
      </c>
      <c r="I68" s="22">
        <v>0</v>
      </c>
      <c r="J68" s="22">
        <v>0</v>
      </c>
      <c r="K68" s="25">
        <v>0</v>
      </c>
      <c r="L68" s="22">
        <v>0</v>
      </c>
      <c r="M68" s="22">
        <v>0</v>
      </c>
      <c r="N68" s="22">
        <v>0</v>
      </c>
      <c r="O68" s="22">
        <v>0</v>
      </c>
      <c r="P68" s="25">
        <v>0</v>
      </c>
    </row>
    <row r="69" spans="1:16" x14ac:dyDescent="0.25">
      <c r="A69" s="22"/>
      <c r="B69" s="22"/>
      <c r="C69" s="22" t="s">
        <v>206</v>
      </c>
      <c r="D69" s="22" t="s">
        <v>105</v>
      </c>
      <c r="E69" s="22">
        <v>0</v>
      </c>
      <c r="F69" s="22">
        <v>0</v>
      </c>
      <c r="G69" s="22">
        <v>0</v>
      </c>
      <c r="H69" s="23">
        <v>10000</v>
      </c>
      <c r="I69" s="22">
        <v>0</v>
      </c>
      <c r="J69" s="22">
        <v>0</v>
      </c>
      <c r="K69" s="25">
        <v>0</v>
      </c>
      <c r="L69" s="22">
        <v>0</v>
      </c>
      <c r="M69" s="22">
        <v>0</v>
      </c>
      <c r="N69" s="22">
        <v>0</v>
      </c>
      <c r="O69" s="22">
        <v>0</v>
      </c>
      <c r="P69" s="25">
        <v>0</v>
      </c>
    </row>
    <row r="70" spans="1:16" x14ac:dyDescent="0.25">
      <c r="A70" s="22"/>
      <c r="B70" s="22"/>
      <c r="C70" s="22" t="s">
        <v>207</v>
      </c>
      <c r="D70" s="22" t="s">
        <v>105</v>
      </c>
      <c r="E70" s="22">
        <v>0</v>
      </c>
      <c r="F70" s="22">
        <v>0</v>
      </c>
      <c r="G70" s="22">
        <v>0</v>
      </c>
      <c r="H70" s="23">
        <v>10000</v>
      </c>
      <c r="I70" s="22">
        <v>0</v>
      </c>
      <c r="J70" s="22">
        <v>0</v>
      </c>
      <c r="K70" s="25">
        <v>0</v>
      </c>
      <c r="L70" s="22">
        <v>0</v>
      </c>
      <c r="M70" s="22">
        <v>0</v>
      </c>
      <c r="N70" s="22">
        <v>0</v>
      </c>
      <c r="O70" s="22">
        <v>0</v>
      </c>
      <c r="P70" s="25">
        <v>0</v>
      </c>
    </row>
    <row r="71" spans="1:16" x14ac:dyDescent="0.25">
      <c r="A71" s="22"/>
      <c r="B71" s="22"/>
      <c r="C71" s="22" t="s">
        <v>208</v>
      </c>
      <c r="D71" s="22" t="s">
        <v>105</v>
      </c>
      <c r="E71" s="22">
        <v>0</v>
      </c>
      <c r="F71" s="22">
        <v>0</v>
      </c>
      <c r="G71" s="22">
        <v>0</v>
      </c>
      <c r="H71" s="23">
        <v>10000</v>
      </c>
      <c r="I71" s="22">
        <v>0</v>
      </c>
      <c r="J71" s="22">
        <v>0</v>
      </c>
      <c r="K71" s="25">
        <v>0</v>
      </c>
      <c r="L71" s="22">
        <v>0</v>
      </c>
      <c r="M71" s="22">
        <v>0</v>
      </c>
      <c r="N71" s="22">
        <v>0</v>
      </c>
      <c r="O71" s="22">
        <v>0</v>
      </c>
      <c r="P71" s="25">
        <v>0</v>
      </c>
    </row>
    <row r="72" spans="1:16" x14ac:dyDescent="0.25">
      <c r="A72" s="22"/>
      <c r="B72" s="22"/>
      <c r="C72" s="22" t="s">
        <v>209</v>
      </c>
      <c r="D72" s="22" t="s">
        <v>133</v>
      </c>
      <c r="E72" s="22">
        <v>0</v>
      </c>
      <c r="F72" s="22">
        <v>0</v>
      </c>
      <c r="G72" s="22">
        <v>0</v>
      </c>
      <c r="H72" s="22">
        <v>0</v>
      </c>
      <c r="I72" s="22">
        <v>0</v>
      </c>
      <c r="J72" s="22">
        <v>0</v>
      </c>
      <c r="K72" s="25">
        <v>0</v>
      </c>
      <c r="L72" s="22">
        <v>0</v>
      </c>
      <c r="M72" s="22">
        <v>0</v>
      </c>
      <c r="N72" s="22">
        <v>0</v>
      </c>
      <c r="O72" s="22">
        <v>0</v>
      </c>
      <c r="P72" s="25">
        <v>0</v>
      </c>
    </row>
    <row r="73" spans="1:16" x14ac:dyDescent="0.25">
      <c r="A73" s="22"/>
      <c r="B73" s="22" t="s">
        <v>210</v>
      </c>
      <c r="C73" s="22" t="s">
        <v>211</v>
      </c>
      <c r="D73" s="22" t="s">
        <v>105</v>
      </c>
      <c r="E73" s="23">
        <v>14210</v>
      </c>
      <c r="F73" s="22">
        <v>48.14</v>
      </c>
      <c r="G73" s="22">
        <v>295.18</v>
      </c>
      <c r="H73" s="22">
        <v>266.60000000000002</v>
      </c>
      <c r="I73" s="22">
        <v>53.3</v>
      </c>
      <c r="J73" s="22">
        <v>5.16</v>
      </c>
      <c r="K73" s="26">
        <v>1.1072</v>
      </c>
      <c r="L73" s="22">
        <v>0</v>
      </c>
      <c r="M73" s="22">
        <v>0</v>
      </c>
      <c r="N73" s="22">
        <v>0</v>
      </c>
      <c r="O73" s="22">
        <v>0</v>
      </c>
      <c r="P73" s="25">
        <v>0</v>
      </c>
    </row>
    <row r="74" spans="1:16" x14ac:dyDescent="0.25">
      <c r="A74" s="22"/>
      <c r="B74" s="22"/>
      <c r="C74" s="22" t="s">
        <v>212</v>
      </c>
      <c r="D74" s="22" t="s">
        <v>105</v>
      </c>
      <c r="E74" s="23">
        <v>12968</v>
      </c>
      <c r="F74" s="22">
        <v>45.4</v>
      </c>
      <c r="G74" s="22">
        <v>285.63</v>
      </c>
      <c r="H74" s="22">
        <v>237.16</v>
      </c>
      <c r="I74" s="22">
        <v>54.68</v>
      </c>
      <c r="J74" s="22">
        <v>9.2799999999999994</v>
      </c>
      <c r="K74" s="26">
        <v>1.2043999999999999</v>
      </c>
      <c r="L74" s="22">
        <v>0</v>
      </c>
      <c r="M74" s="22">
        <v>0</v>
      </c>
      <c r="N74" s="22">
        <v>0</v>
      </c>
      <c r="O74" s="22">
        <v>0</v>
      </c>
      <c r="P74" s="25">
        <v>0</v>
      </c>
    </row>
    <row r="75" spans="1:16" x14ac:dyDescent="0.25">
      <c r="A75" s="22"/>
      <c r="B75" s="22"/>
      <c r="C75" s="22" t="s">
        <v>213</v>
      </c>
      <c r="D75" s="22" t="s">
        <v>105</v>
      </c>
      <c r="E75" s="22">
        <v>31</v>
      </c>
      <c r="F75" s="22">
        <v>0.1</v>
      </c>
      <c r="G75" s="22">
        <v>301.62</v>
      </c>
      <c r="H75" s="22">
        <v>183.19</v>
      </c>
      <c r="I75" s="22">
        <v>0.17</v>
      </c>
      <c r="J75" s="22">
        <v>7.0000000000000007E-2</v>
      </c>
      <c r="K75" s="26">
        <v>1.6465000000000001</v>
      </c>
      <c r="L75" s="22">
        <v>0</v>
      </c>
      <c r="M75" s="22">
        <v>0</v>
      </c>
      <c r="N75" s="22">
        <v>0</v>
      </c>
      <c r="O75" s="22">
        <v>0</v>
      </c>
      <c r="P75" s="25">
        <v>0</v>
      </c>
    </row>
    <row r="76" spans="1:16" x14ac:dyDescent="0.25">
      <c r="A76" s="22"/>
      <c r="B76" s="22"/>
      <c r="C76" s="22" t="s">
        <v>214</v>
      </c>
      <c r="D76" s="22" t="s">
        <v>105</v>
      </c>
      <c r="E76" s="22">
        <v>0</v>
      </c>
      <c r="F76" s="22">
        <v>0</v>
      </c>
      <c r="G76" s="22">
        <v>0</v>
      </c>
      <c r="H76" s="22">
        <v>227.71</v>
      </c>
      <c r="I76" s="22">
        <v>0</v>
      </c>
      <c r="J76" s="22">
        <v>0</v>
      </c>
      <c r="K76" s="25">
        <v>0</v>
      </c>
      <c r="L76" s="22">
        <v>0</v>
      </c>
      <c r="M76" s="22">
        <v>0</v>
      </c>
      <c r="N76" s="22">
        <v>0</v>
      </c>
      <c r="O76" s="22">
        <v>0</v>
      </c>
      <c r="P76" s="25">
        <v>0</v>
      </c>
    </row>
    <row r="77" spans="1:16" x14ac:dyDescent="0.25">
      <c r="A77" s="22"/>
      <c r="B77" s="22"/>
      <c r="C77" s="22" t="s">
        <v>215</v>
      </c>
      <c r="D77" s="22" t="s">
        <v>105</v>
      </c>
      <c r="E77" s="23">
        <v>27209</v>
      </c>
      <c r="F77" s="22">
        <v>93.64</v>
      </c>
      <c r="G77" s="22">
        <v>290.56</v>
      </c>
      <c r="H77" s="22">
        <v>251.58</v>
      </c>
      <c r="I77" s="22">
        <v>108.15</v>
      </c>
      <c r="J77" s="22">
        <v>14.51</v>
      </c>
      <c r="K77" s="26">
        <v>1.1549</v>
      </c>
      <c r="L77" s="22">
        <v>0</v>
      </c>
      <c r="M77" s="22">
        <v>0</v>
      </c>
      <c r="N77" s="22">
        <v>0</v>
      </c>
      <c r="O77" s="22">
        <v>0</v>
      </c>
      <c r="P77" s="25">
        <v>0</v>
      </c>
    </row>
    <row r="78" spans="1:16" x14ac:dyDescent="0.25">
      <c r="A78" s="22"/>
      <c r="B78" s="22" t="s">
        <v>216</v>
      </c>
      <c r="C78" s="22" t="s">
        <v>217</v>
      </c>
      <c r="D78" s="22" t="s">
        <v>105</v>
      </c>
      <c r="E78" s="23">
        <v>26050</v>
      </c>
      <c r="F78" s="22">
        <v>47.23</v>
      </c>
      <c r="G78" s="22">
        <v>551.54999999999995</v>
      </c>
      <c r="H78" s="22">
        <v>458.67</v>
      </c>
      <c r="I78" s="22">
        <v>56.79</v>
      </c>
      <c r="J78" s="22">
        <v>9.56</v>
      </c>
      <c r="K78" s="26">
        <v>1.2024999999999999</v>
      </c>
      <c r="L78" s="22">
        <v>0</v>
      </c>
      <c r="M78" s="22">
        <v>0</v>
      </c>
      <c r="N78" s="22">
        <v>0</v>
      </c>
      <c r="O78" s="22">
        <v>0</v>
      </c>
      <c r="P78" s="25">
        <v>0</v>
      </c>
    </row>
    <row r="79" spans="1:16" x14ac:dyDescent="0.25">
      <c r="A79" s="22"/>
      <c r="B79" s="22" t="s">
        <v>218</v>
      </c>
      <c r="C79" s="22" t="s">
        <v>219</v>
      </c>
      <c r="D79" s="22" t="s">
        <v>133</v>
      </c>
      <c r="E79" s="23">
        <v>26050</v>
      </c>
      <c r="F79" s="22">
        <v>46.4</v>
      </c>
      <c r="G79" s="22">
        <v>561.46</v>
      </c>
      <c r="H79" s="22">
        <v>269.68</v>
      </c>
      <c r="I79" s="22">
        <v>96.6</v>
      </c>
      <c r="J79" s="22">
        <v>50.2</v>
      </c>
      <c r="K79" s="26">
        <v>2.0819000000000001</v>
      </c>
      <c r="L79" s="22">
        <v>0</v>
      </c>
      <c r="M79" s="22">
        <v>0</v>
      </c>
      <c r="N79" s="22">
        <v>0</v>
      </c>
      <c r="O79" s="22">
        <v>0</v>
      </c>
      <c r="P79" s="25">
        <v>0</v>
      </c>
    </row>
    <row r="80" spans="1:16" x14ac:dyDescent="0.25">
      <c r="A80" s="22"/>
      <c r="B80" s="22" t="s">
        <v>220</v>
      </c>
      <c r="C80" s="22" t="s">
        <v>221</v>
      </c>
      <c r="D80" s="22" t="s">
        <v>133</v>
      </c>
      <c r="E80" s="23">
        <v>26050</v>
      </c>
      <c r="F80" s="22">
        <v>0</v>
      </c>
      <c r="G80" s="22">
        <v>0</v>
      </c>
      <c r="H80" s="24">
        <v>8624.74</v>
      </c>
      <c r="I80" s="22">
        <v>3.02</v>
      </c>
      <c r="J80" s="22">
        <v>3.02</v>
      </c>
      <c r="K80" s="25">
        <v>0</v>
      </c>
      <c r="L80" s="22">
        <v>0</v>
      </c>
      <c r="M80" s="22">
        <v>0</v>
      </c>
      <c r="N80" s="22">
        <v>0</v>
      </c>
      <c r="O80" s="22">
        <v>0</v>
      </c>
      <c r="P80" s="25">
        <v>0</v>
      </c>
    </row>
    <row r="81" spans="1:16" x14ac:dyDescent="0.25">
      <c r="A81" s="22"/>
      <c r="B81" s="22" t="s">
        <v>222</v>
      </c>
      <c r="C81" s="22" t="s">
        <v>223</v>
      </c>
      <c r="D81" s="22" t="s">
        <v>133</v>
      </c>
      <c r="E81" s="23">
        <v>26050</v>
      </c>
      <c r="F81" s="22">
        <v>0</v>
      </c>
      <c r="G81" s="22">
        <v>0</v>
      </c>
      <c r="H81" s="24">
        <v>31354.42</v>
      </c>
      <c r="I81" s="22">
        <v>0.83</v>
      </c>
      <c r="J81" s="22">
        <v>0.83</v>
      </c>
      <c r="K81" s="25">
        <v>0</v>
      </c>
      <c r="L81" s="22">
        <v>0</v>
      </c>
      <c r="M81" s="22">
        <v>0</v>
      </c>
      <c r="N81" s="22">
        <v>0</v>
      </c>
      <c r="O81" s="22">
        <v>0</v>
      </c>
      <c r="P81" s="25">
        <v>0</v>
      </c>
    </row>
    <row r="82" spans="1:16" x14ac:dyDescent="0.25">
      <c r="A82" s="22"/>
      <c r="B82" s="22" t="s">
        <v>194</v>
      </c>
      <c r="C82" s="22" t="s">
        <v>224</v>
      </c>
      <c r="D82" s="22" t="s">
        <v>133</v>
      </c>
      <c r="E82" s="23">
        <v>26050</v>
      </c>
      <c r="F82" s="22">
        <v>187.27</v>
      </c>
      <c r="G82" s="22">
        <v>139.1</v>
      </c>
      <c r="H82" s="22">
        <v>98.16</v>
      </c>
      <c r="I82" s="22">
        <v>265.39</v>
      </c>
      <c r="J82" s="22">
        <v>78.12</v>
      </c>
      <c r="K82" s="26">
        <v>1.4172</v>
      </c>
      <c r="L82" s="22">
        <v>0</v>
      </c>
      <c r="M82" s="22">
        <v>0</v>
      </c>
      <c r="N82" s="22">
        <v>0</v>
      </c>
      <c r="O82" s="22">
        <v>0</v>
      </c>
      <c r="P82" s="25">
        <v>0</v>
      </c>
    </row>
    <row r="83" spans="1:16" x14ac:dyDescent="0.25">
      <c r="A83" s="22" t="s">
        <v>225</v>
      </c>
      <c r="B83" s="22" t="s">
        <v>226</v>
      </c>
      <c r="C83" s="22" t="s">
        <v>227</v>
      </c>
      <c r="D83" s="22" t="s">
        <v>105</v>
      </c>
      <c r="E83" s="23">
        <v>58175</v>
      </c>
      <c r="F83" s="22">
        <v>187.27</v>
      </c>
      <c r="G83" s="22">
        <v>310.64</v>
      </c>
      <c r="H83" s="22">
        <v>286.60000000000002</v>
      </c>
      <c r="I83" s="22">
        <v>202.98</v>
      </c>
      <c r="J83" s="22">
        <v>15.71</v>
      </c>
      <c r="K83" s="26">
        <v>1.0839000000000001</v>
      </c>
      <c r="L83" s="22">
        <v>0</v>
      </c>
      <c r="M83" s="22">
        <v>0</v>
      </c>
      <c r="N83" s="22">
        <v>0</v>
      </c>
      <c r="O83" s="22">
        <v>0</v>
      </c>
      <c r="P83" s="25">
        <v>0</v>
      </c>
    </row>
    <row r="84" spans="1:16" x14ac:dyDescent="0.25">
      <c r="A84" s="22"/>
      <c r="B84" s="22"/>
      <c r="C84" s="22" t="s">
        <v>228</v>
      </c>
      <c r="D84" s="22" t="s">
        <v>105</v>
      </c>
      <c r="E84" s="23">
        <v>57193</v>
      </c>
      <c r="F84" s="22">
        <v>195.32</v>
      </c>
      <c r="G84" s="22">
        <v>292.81</v>
      </c>
      <c r="H84" s="22">
        <v>249.82</v>
      </c>
      <c r="I84" s="22">
        <v>228.94</v>
      </c>
      <c r="J84" s="22">
        <v>33.61</v>
      </c>
      <c r="K84" s="26">
        <v>1.1720999999999999</v>
      </c>
      <c r="L84" s="22">
        <v>0</v>
      </c>
      <c r="M84" s="22">
        <v>0</v>
      </c>
      <c r="N84" s="22">
        <v>0</v>
      </c>
      <c r="O84" s="22">
        <v>0</v>
      </c>
      <c r="P84" s="25">
        <v>0</v>
      </c>
    </row>
    <row r="85" spans="1:16" x14ac:dyDescent="0.25">
      <c r="A85" s="22"/>
      <c r="B85" s="22"/>
      <c r="C85" s="22" t="s">
        <v>229</v>
      </c>
      <c r="D85" s="22" t="s">
        <v>105</v>
      </c>
      <c r="E85" s="22">
        <v>678</v>
      </c>
      <c r="F85" s="22">
        <v>2.2000000000000002</v>
      </c>
      <c r="G85" s="22">
        <v>308.69</v>
      </c>
      <c r="H85" s="22">
        <v>199.11</v>
      </c>
      <c r="I85" s="22">
        <v>3.41</v>
      </c>
      <c r="J85" s="22">
        <v>1.21</v>
      </c>
      <c r="K85" s="26">
        <v>1.5503</v>
      </c>
      <c r="L85" s="22">
        <v>0</v>
      </c>
      <c r="M85" s="22">
        <v>0</v>
      </c>
      <c r="N85" s="22">
        <v>0</v>
      </c>
      <c r="O85" s="22">
        <v>0</v>
      </c>
      <c r="P85" s="25">
        <v>0</v>
      </c>
    </row>
    <row r="86" spans="1:16" x14ac:dyDescent="0.25">
      <c r="A86" s="22"/>
      <c r="B86" s="22"/>
      <c r="C86" s="22" t="s">
        <v>230</v>
      </c>
      <c r="D86" s="22" t="s">
        <v>105</v>
      </c>
      <c r="E86" s="22">
        <v>1</v>
      </c>
      <c r="F86" s="22">
        <v>0</v>
      </c>
      <c r="G86" s="22">
        <v>600</v>
      </c>
      <c r="H86" s="22">
        <v>158.21</v>
      </c>
      <c r="I86" s="22">
        <v>0.01</v>
      </c>
      <c r="J86" s="22">
        <v>0</v>
      </c>
      <c r="K86" s="26">
        <v>3.7924000000000002</v>
      </c>
      <c r="L86" s="22">
        <v>0</v>
      </c>
      <c r="M86" s="22">
        <v>0</v>
      </c>
      <c r="N86" s="22">
        <v>0</v>
      </c>
      <c r="O86" s="22">
        <v>0</v>
      </c>
      <c r="P86" s="25">
        <v>0</v>
      </c>
    </row>
    <row r="87" spans="1:16" x14ac:dyDescent="0.25">
      <c r="A87" s="22"/>
      <c r="B87" s="22"/>
      <c r="C87" s="22" t="s">
        <v>231</v>
      </c>
      <c r="D87" s="22" t="s">
        <v>105</v>
      </c>
      <c r="E87" s="23">
        <v>116047</v>
      </c>
      <c r="F87" s="22">
        <v>384.79</v>
      </c>
      <c r="G87" s="22">
        <v>301.58</v>
      </c>
      <c r="H87" s="22">
        <v>266.57</v>
      </c>
      <c r="I87" s="22">
        <v>435.33</v>
      </c>
      <c r="J87" s="22">
        <v>50.54</v>
      </c>
      <c r="K87" s="26">
        <v>1.1313</v>
      </c>
      <c r="L87" s="22">
        <v>0</v>
      </c>
      <c r="M87" s="22">
        <v>0</v>
      </c>
      <c r="N87" s="22">
        <v>0</v>
      </c>
      <c r="O87" s="22">
        <v>0</v>
      </c>
      <c r="P87" s="25">
        <v>0</v>
      </c>
    </row>
    <row r="88" spans="1:16" x14ac:dyDescent="0.25">
      <c r="A88" s="22"/>
      <c r="B88" s="22"/>
      <c r="C88" s="22" t="s">
        <v>232</v>
      </c>
      <c r="D88" s="22" t="s">
        <v>133</v>
      </c>
      <c r="E88" s="23">
        <v>143256</v>
      </c>
      <c r="F88" s="22">
        <v>84.59</v>
      </c>
      <c r="G88" s="24">
        <v>1693.47</v>
      </c>
      <c r="H88" s="24">
        <v>1368.87</v>
      </c>
      <c r="I88" s="22">
        <v>104.65</v>
      </c>
      <c r="J88" s="22">
        <v>20.059999999999999</v>
      </c>
      <c r="K88" s="26">
        <v>1.2371000000000001</v>
      </c>
      <c r="L88" s="22">
        <v>0</v>
      </c>
      <c r="M88" s="22">
        <v>0</v>
      </c>
      <c r="N88" s="22">
        <v>0</v>
      </c>
      <c r="O88" s="22">
        <v>0</v>
      </c>
      <c r="P88" s="25">
        <v>0</v>
      </c>
    </row>
    <row r="89" spans="1:16" x14ac:dyDescent="0.25">
      <c r="A89" s="22"/>
      <c r="B89" s="22"/>
      <c r="C89" s="22" t="s">
        <v>233</v>
      </c>
      <c r="D89" s="22" t="s">
        <v>133</v>
      </c>
      <c r="E89" s="23">
        <v>116047</v>
      </c>
      <c r="F89" s="22">
        <v>469.39</v>
      </c>
      <c r="G89" s="22">
        <v>247.23</v>
      </c>
      <c r="H89" s="22">
        <v>214.91</v>
      </c>
      <c r="I89" s="22">
        <v>539.98</v>
      </c>
      <c r="J89" s="22">
        <v>70.599999999999994</v>
      </c>
      <c r="K89" s="26">
        <v>1.1504000000000001</v>
      </c>
      <c r="L89" s="22">
        <v>0</v>
      </c>
      <c r="M89" s="22">
        <v>0</v>
      </c>
      <c r="N89" s="22">
        <v>0</v>
      </c>
      <c r="O89" s="22">
        <v>0</v>
      </c>
      <c r="P89" s="25">
        <v>0</v>
      </c>
    </row>
    <row r="90" spans="1:16" x14ac:dyDescent="0.25">
      <c r="A90" s="22"/>
      <c r="B90" s="22" t="s">
        <v>234</v>
      </c>
      <c r="C90" s="22" t="s">
        <v>235</v>
      </c>
      <c r="D90" s="22" t="s">
        <v>105</v>
      </c>
      <c r="E90" s="22">
        <v>0</v>
      </c>
      <c r="F90" s="22">
        <v>0</v>
      </c>
      <c r="G90" s="22">
        <v>0</v>
      </c>
      <c r="H90" s="22">
        <v>373.81</v>
      </c>
      <c r="I90" s="22">
        <v>0</v>
      </c>
      <c r="J90" s="22">
        <v>0</v>
      </c>
      <c r="K90" s="25">
        <v>0</v>
      </c>
      <c r="L90" s="22">
        <v>0</v>
      </c>
      <c r="M90" s="22">
        <v>0</v>
      </c>
      <c r="N90" s="22">
        <v>0</v>
      </c>
      <c r="O90" s="22">
        <v>0</v>
      </c>
      <c r="P90" s="25">
        <v>0</v>
      </c>
    </row>
    <row r="91" spans="1:16" x14ac:dyDescent="0.25">
      <c r="A91" s="22"/>
      <c r="B91" s="22"/>
      <c r="C91" s="22" t="s">
        <v>236</v>
      </c>
      <c r="D91" s="22" t="s">
        <v>105</v>
      </c>
      <c r="E91" s="22">
        <v>0</v>
      </c>
      <c r="F91" s="22">
        <v>0</v>
      </c>
      <c r="G91" s="22">
        <v>0</v>
      </c>
      <c r="H91" s="22">
        <v>351.75</v>
      </c>
      <c r="I91" s="22">
        <v>0</v>
      </c>
      <c r="J91" s="22">
        <v>0</v>
      </c>
      <c r="K91" s="25">
        <v>0</v>
      </c>
      <c r="L91" s="22">
        <v>0</v>
      </c>
      <c r="M91" s="22">
        <v>0</v>
      </c>
      <c r="N91" s="22">
        <v>0</v>
      </c>
      <c r="O91" s="22">
        <v>0</v>
      </c>
      <c r="P91" s="25">
        <v>0</v>
      </c>
    </row>
    <row r="92" spans="1:16" x14ac:dyDescent="0.25">
      <c r="A92" s="22"/>
      <c r="B92" s="22"/>
      <c r="C92" s="22" t="s">
        <v>237</v>
      </c>
      <c r="D92" s="22" t="s">
        <v>105</v>
      </c>
      <c r="E92" s="22">
        <v>0</v>
      </c>
      <c r="F92" s="22">
        <v>0</v>
      </c>
      <c r="G92" s="22">
        <v>0</v>
      </c>
      <c r="H92" s="22">
        <v>44.47</v>
      </c>
      <c r="I92" s="22">
        <v>0</v>
      </c>
      <c r="J92" s="22">
        <v>0</v>
      </c>
      <c r="K92" s="25">
        <v>0</v>
      </c>
      <c r="L92" s="22">
        <v>0</v>
      </c>
      <c r="M92" s="22">
        <v>0</v>
      </c>
      <c r="N92" s="22">
        <v>0</v>
      </c>
      <c r="O92" s="22">
        <v>0</v>
      </c>
      <c r="P92" s="25">
        <v>0</v>
      </c>
    </row>
    <row r="93" spans="1:16" x14ac:dyDescent="0.25">
      <c r="A93" s="22"/>
      <c r="B93" s="22"/>
      <c r="C93" s="22" t="s">
        <v>238</v>
      </c>
      <c r="D93" s="22" t="s">
        <v>105</v>
      </c>
      <c r="E93" s="22">
        <v>0</v>
      </c>
      <c r="F93" s="22">
        <v>0</v>
      </c>
      <c r="G93" s="22">
        <v>0</v>
      </c>
      <c r="H93" s="22">
        <v>0.1</v>
      </c>
      <c r="I93" s="22">
        <v>0</v>
      </c>
      <c r="J93" s="22">
        <v>0</v>
      </c>
      <c r="K93" s="25">
        <v>0</v>
      </c>
      <c r="L93" s="22">
        <v>0</v>
      </c>
      <c r="M93" s="22">
        <v>0</v>
      </c>
      <c r="N93" s="22">
        <v>0</v>
      </c>
      <c r="O93" s="22">
        <v>0</v>
      </c>
      <c r="P93" s="25">
        <v>0</v>
      </c>
    </row>
    <row r="94" spans="1:16" x14ac:dyDescent="0.25">
      <c r="A94" s="22"/>
      <c r="B94" s="22"/>
      <c r="C94" s="22" t="s">
        <v>239</v>
      </c>
      <c r="D94" s="22" t="s">
        <v>105</v>
      </c>
      <c r="E94" s="22">
        <v>0</v>
      </c>
      <c r="F94" s="22">
        <v>0</v>
      </c>
      <c r="G94" s="22">
        <v>0</v>
      </c>
      <c r="H94" s="22">
        <v>0</v>
      </c>
      <c r="I94" s="22">
        <v>0</v>
      </c>
      <c r="J94" s="22">
        <v>0</v>
      </c>
      <c r="K94" s="25">
        <v>0</v>
      </c>
      <c r="L94" s="22">
        <v>0</v>
      </c>
      <c r="M94" s="22">
        <v>0</v>
      </c>
      <c r="N94" s="22">
        <v>0</v>
      </c>
      <c r="O94" s="22">
        <v>0</v>
      </c>
      <c r="P94" s="25">
        <v>0</v>
      </c>
    </row>
    <row r="95" spans="1:16" x14ac:dyDescent="0.25">
      <c r="A95" s="22"/>
      <c r="B95" s="22"/>
      <c r="C95" s="22" t="s">
        <v>240</v>
      </c>
      <c r="D95" s="22" t="s">
        <v>105</v>
      </c>
      <c r="E95" s="23">
        <v>35520</v>
      </c>
      <c r="F95" s="22">
        <v>132.52000000000001</v>
      </c>
      <c r="G95" s="22">
        <v>268.02999999999997</v>
      </c>
      <c r="H95" s="22">
        <v>258.36</v>
      </c>
      <c r="I95" s="22">
        <v>137.47999999999999</v>
      </c>
      <c r="J95" s="22">
        <v>4.96</v>
      </c>
      <c r="K95" s="26">
        <v>1.0374000000000001</v>
      </c>
      <c r="L95" s="22">
        <v>0</v>
      </c>
      <c r="M95" s="22">
        <v>0</v>
      </c>
      <c r="N95" s="22">
        <v>0</v>
      </c>
      <c r="O95" s="22">
        <v>0</v>
      </c>
      <c r="P95" s="25">
        <v>0</v>
      </c>
    </row>
    <row r="96" spans="1:16" x14ac:dyDescent="0.25">
      <c r="A96" s="22"/>
      <c r="B96" s="22"/>
      <c r="C96" s="22" t="s">
        <v>241</v>
      </c>
      <c r="D96" s="22" t="s">
        <v>105</v>
      </c>
      <c r="E96" s="23">
        <v>34502</v>
      </c>
      <c r="F96" s="22">
        <v>132.63999999999999</v>
      </c>
      <c r="G96" s="22">
        <v>260.11</v>
      </c>
      <c r="H96" s="22">
        <v>244.23</v>
      </c>
      <c r="I96" s="22">
        <v>141.27000000000001</v>
      </c>
      <c r="J96" s="22">
        <v>8.6199999999999992</v>
      </c>
      <c r="K96" s="26">
        <v>1.0649999999999999</v>
      </c>
      <c r="L96" s="22">
        <v>0</v>
      </c>
      <c r="M96" s="22">
        <v>0</v>
      </c>
      <c r="N96" s="22">
        <v>0</v>
      </c>
      <c r="O96" s="22">
        <v>0</v>
      </c>
      <c r="P96" s="25">
        <v>0</v>
      </c>
    </row>
    <row r="97" spans="1:16" x14ac:dyDescent="0.25">
      <c r="A97" s="22"/>
      <c r="B97" s="22"/>
      <c r="C97" s="22" t="s">
        <v>242</v>
      </c>
      <c r="D97" s="22" t="s">
        <v>105</v>
      </c>
      <c r="E97" s="22">
        <v>311</v>
      </c>
      <c r="F97" s="22">
        <v>1.45</v>
      </c>
      <c r="G97" s="22">
        <v>214.52</v>
      </c>
      <c r="H97" s="22">
        <v>214.65</v>
      </c>
      <c r="I97" s="22">
        <v>1.45</v>
      </c>
      <c r="J97" s="22">
        <v>0</v>
      </c>
      <c r="K97" s="26">
        <v>0.99939999999999996</v>
      </c>
      <c r="L97" s="22">
        <v>0</v>
      </c>
      <c r="M97" s="22">
        <v>0</v>
      </c>
      <c r="N97" s="22">
        <v>0</v>
      </c>
      <c r="O97" s="22">
        <v>0</v>
      </c>
      <c r="P97" s="25">
        <v>0</v>
      </c>
    </row>
    <row r="98" spans="1:16" x14ac:dyDescent="0.25">
      <c r="A98" s="22"/>
      <c r="B98" s="22"/>
      <c r="C98" s="22" t="s">
        <v>243</v>
      </c>
      <c r="D98" s="22" t="s">
        <v>105</v>
      </c>
      <c r="E98" s="22">
        <v>0</v>
      </c>
      <c r="F98" s="22">
        <v>0</v>
      </c>
      <c r="G98" s="22">
        <v>0</v>
      </c>
      <c r="H98" s="22">
        <v>301.92</v>
      </c>
      <c r="I98" s="22">
        <v>0</v>
      </c>
      <c r="J98" s="22">
        <v>0</v>
      </c>
      <c r="K98" s="25">
        <v>0</v>
      </c>
      <c r="L98" s="22">
        <v>0</v>
      </c>
      <c r="M98" s="22">
        <v>0</v>
      </c>
      <c r="N98" s="22">
        <v>0</v>
      </c>
      <c r="O98" s="22">
        <v>0</v>
      </c>
      <c r="P98" s="25">
        <v>0</v>
      </c>
    </row>
    <row r="99" spans="1:16" x14ac:dyDescent="0.25">
      <c r="A99" s="22"/>
      <c r="B99" s="22"/>
      <c r="C99" s="22" t="s">
        <v>244</v>
      </c>
      <c r="D99" s="22" t="s">
        <v>105</v>
      </c>
      <c r="E99" s="23">
        <v>70333</v>
      </c>
      <c r="F99" s="22">
        <v>266.62</v>
      </c>
      <c r="G99" s="22">
        <v>263.8</v>
      </c>
      <c r="H99" s="22">
        <v>251.01</v>
      </c>
      <c r="I99" s="22">
        <v>280.2</v>
      </c>
      <c r="J99" s="22">
        <v>13.58</v>
      </c>
      <c r="K99" s="26">
        <v>1.0509999999999999</v>
      </c>
      <c r="L99" s="22">
        <v>0</v>
      </c>
      <c r="M99" s="22">
        <v>0</v>
      </c>
      <c r="N99" s="22">
        <v>0</v>
      </c>
      <c r="O99" s="22">
        <v>0</v>
      </c>
      <c r="P99" s="25">
        <v>0</v>
      </c>
    </row>
    <row r="100" spans="1:16" x14ac:dyDescent="0.25">
      <c r="A100" s="22"/>
      <c r="B100" s="22"/>
      <c r="C100" s="22" t="s">
        <v>245</v>
      </c>
      <c r="D100" s="22" t="s">
        <v>133</v>
      </c>
      <c r="E100" s="23">
        <v>70333</v>
      </c>
      <c r="F100" s="22">
        <v>8.34</v>
      </c>
      <c r="G100" s="24">
        <v>8435.74</v>
      </c>
      <c r="H100" s="24">
        <v>4281.96</v>
      </c>
      <c r="I100" s="22">
        <v>16.43</v>
      </c>
      <c r="J100" s="22">
        <v>8.09</v>
      </c>
      <c r="K100" s="26">
        <v>1.9701</v>
      </c>
      <c r="L100" s="22">
        <v>0</v>
      </c>
      <c r="M100" s="22">
        <v>0</v>
      </c>
      <c r="N100" s="22">
        <v>0</v>
      </c>
      <c r="O100" s="22">
        <v>0</v>
      </c>
      <c r="P100" s="25">
        <v>0</v>
      </c>
    </row>
    <row r="101" spans="1:16" x14ac:dyDescent="0.25">
      <c r="A101" s="22"/>
      <c r="B101" s="22"/>
      <c r="C101" s="22" t="s">
        <v>246</v>
      </c>
      <c r="D101" s="22" t="s">
        <v>105</v>
      </c>
      <c r="E101" s="23">
        <v>70333</v>
      </c>
      <c r="F101" s="22">
        <v>274.95</v>
      </c>
      <c r="G101" s="22">
        <v>255.8</v>
      </c>
      <c r="H101" s="22">
        <v>237.11</v>
      </c>
      <c r="I101" s="22">
        <v>296.63</v>
      </c>
      <c r="J101" s="22">
        <v>21.67</v>
      </c>
      <c r="K101" s="26">
        <v>1.0788</v>
      </c>
      <c r="L101" s="22">
        <v>0</v>
      </c>
      <c r="M101" s="22">
        <v>0</v>
      </c>
      <c r="N101" s="22">
        <v>0</v>
      </c>
      <c r="O101" s="22">
        <v>0</v>
      </c>
      <c r="P101" s="25">
        <v>0</v>
      </c>
    </row>
    <row r="102" spans="1:16" x14ac:dyDescent="0.25">
      <c r="A102" s="22"/>
      <c r="B102" s="22" t="s">
        <v>247</v>
      </c>
      <c r="C102" s="22" t="s">
        <v>248</v>
      </c>
      <c r="D102" s="22" t="s">
        <v>105</v>
      </c>
      <c r="E102" s="23">
        <v>34753</v>
      </c>
      <c r="F102" s="22">
        <v>265.07</v>
      </c>
      <c r="G102" s="22">
        <v>131.11000000000001</v>
      </c>
      <c r="H102" s="22">
        <v>149.72999999999999</v>
      </c>
      <c r="I102" s="22">
        <v>232.1</v>
      </c>
      <c r="J102" s="22">
        <v>-32.96</v>
      </c>
      <c r="K102" s="26">
        <v>0.87560000000000004</v>
      </c>
      <c r="L102" s="22">
        <v>0</v>
      </c>
      <c r="M102" s="22">
        <v>0</v>
      </c>
      <c r="N102" s="22">
        <v>0</v>
      </c>
      <c r="O102" s="22">
        <v>0</v>
      </c>
      <c r="P102" s="25">
        <v>0</v>
      </c>
    </row>
    <row r="103" spans="1:16" x14ac:dyDescent="0.25">
      <c r="A103" s="22"/>
      <c r="B103" s="22"/>
      <c r="C103" s="22" t="s">
        <v>249</v>
      </c>
      <c r="D103" s="22" t="s">
        <v>105</v>
      </c>
      <c r="E103" s="23">
        <v>33750</v>
      </c>
      <c r="F103" s="22">
        <v>253.69</v>
      </c>
      <c r="G103" s="22">
        <v>133.04</v>
      </c>
      <c r="H103" s="22">
        <v>142.94999999999999</v>
      </c>
      <c r="I103" s="22">
        <v>236.1</v>
      </c>
      <c r="J103" s="22">
        <v>-17.59</v>
      </c>
      <c r="K103" s="26">
        <v>0.93069999999999997</v>
      </c>
      <c r="L103" s="22">
        <v>0</v>
      </c>
      <c r="M103" s="22">
        <v>0</v>
      </c>
      <c r="N103" s="22">
        <v>0</v>
      </c>
      <c r="O103" s="22">
        <v>0</v>
      </c>
      <c r="P103" s="25">
        <v>0</v>
      </c>
    </row>
    <row r="104" spans="1:16" x14ac:dyDescent="0.25">
      <c r="A104" s="22"/>
      <c r="B104" s="22"/>
      <c r="C104" s="22" t="s">
        <v>250</v>
      </c>
      <c r="D104" s="22" t="s">
        <v>105</v>
      </c>
      <c r="E104" s="22">
        <v>295</v>
      </c>
      <c r="F104" s="22">
        <v>2.65</v>
      </c>
      <c r="G104" s="22">
        <v>111.51</v>
      </c>
      <c r="H104" s="22">
        <v>110.41</v>
      </c>
      <c r="I104" s="22">
        <v>2.67</v>
      </c>
      <c r="J104" s="22">
        <v>0.03</v>
      </c>
      <c r="K104" s="26">
        <v>1.0099</v>
      </c>
      <c r="L104" s="22">
        <v>0</v>
      </c>
      <c r="M104" s="22">
        <v>0</v>
      </c>
      <c r="N104" s="22">
        <v>0</v>
      </c>
      <c r="O104" s="22">
        <v>0</v>
      </c>
      <c r="P104" s="25">
        <v>0</v>
      </c>
    </row>
    <row r="105" spans="1:16" x14ac:dyDescent="0.25">
      <c r="A105" s="22"/>
      <c r="B105" s="22"/>
      <c r="C105" s="22" t="s">
        <v>251</v>
      </c>
      <c r="D105" s="22" t="s">
        <v>105</v>
      </c>
      <c r="E105" s="22">
        <v>0</v>
      </c>
      <c r="F105" s="22">
        <v>0</v>
      </c>
      <c r="G105" s="22">
        <v>0</v>
      </c>
      <c r="H105" s="22">
        <v>52</v>
      </c>
      <c r="I105" s="22">
        <v>0</v>
      </c>
      <c r="J105" s="22">
        <v>0</v>
      </c>
      <c r="K105" s="25">
        <v>0</v>
      </c>
      <c r="L105" s="22">
        <v>0</v>
      </c>
      <c r="M105" s="22">
        <v>0</v>
      </c>
      <c r="N105" s="22">
        <v>0</v>
      </c>
      <c r="O105" s="22">
        <v>0</v>
      </c>
      <c r="P105" s="25">
        <v>0</v>
      </c>
    </row>
    <row r="106" spans="1:16" x14ac:dyDescent="0.25">
      <c r="A106" s="22"/>
      <c r="B106" s="22"/>
      <c r="C106" s="22" t="s">
        <v>252</v>
      </c>
      <c r="D106" s="22" t="s">
        <v>105</v>
      </c>
      <c r="E106" s="23">
        <v>68798</v>
      </c>
      <c r="F106" s="22">
        <v>521.4</v>
      </c>
      <c r="G106" s="22">
        <v>131.94999999999999</v>
      </c>
      <c r="H106" s="22">
        <v>146.11000000000001</v>
      </c>
      <c r="I106" s="22">
        <v>470.87</v>
      </c>
      <c r="J106" s="22">
        <v>-50.53</v>
      </c>
      <c r="K106" s="26">
        <v>0.90310000000000001</v>
      </c>
      <c r="L106" s="22">
        <v>0</v>
      </c>
      <c r="M106" s="22">
        <v>0</v>
      </c>
      <c r="N106" s="22">
        <v>0</v>
      </c>
      <c r="O106" s="22">
        <v>0</v>
      </c>
      <c r="P106" s="25">
        <v>0</v>
      </c>
    </row>
    <row r="107" spans="1:16" x14ac:dyDescent="0.25">
      <c r="A107" s="22"/>
      <c r="B107" s="22"/>
      <c r="C107" s="22" t="s">
        <v>253</v>
      </c>
      <c r="D107" s="22" t="s">
        <v>102</v>
      </c>
      <c r="E107" s="23">
        <v>30176</v>
      </c>
      <c r="F107" s="22">
        <v>0</v>
      </c>
      <c r="G107" s="22">
        <v>0</v>
      </c>
      <c r="H107" s="24">
        <v>75064.98</v>
      </c>
      <c r="I107" s="22">
        <v>0.4</v>
      </c>
      <c r="J107" s="22">
        <v>0.4</v>
      </c>
      <c r="K107" s="25">
        <v>0</v>
      </c>
      <c r="L107" s="22">
        <v>0</v>
      </c>
      <c r="M107" s="22">
        <v>0</v>
      </c>
      <c r="N107" s="22">
        <v>0</v>
      </c>
      <c r="O107" s="22">
        <v>0</v>
      </c>
      <c r="P107" s="25">
        <v>0</v>
      </c>
    </row>
    <row r="108" spans="1:16" x14ac:dyDescent="0.25">
      <c r="A108" s="22"/>
      <c r="B108" s="22"/>
      <c r="C108" s="22" t="s">
        <v>254</v>
      </c>
      <c r="D108" s="22" t="s">
        <v>105</v>
      </c>
      <c r="E108" s="22">
        <v>0</v>
      </c>
      <c r="F108" s="22">
        <v>0</v>
      </c>
      <c r="G108" s="22">
        <v>0</v>
      </c>
      <c r="H108" s="22">
        <v>450.82</v>
      </c>
      <c r="I108" s="22">
        <v>0</v>
      </c>
      <c r="J108" s="22">
        <v>0</v>
      </c>
      <c r="K108" s="25">
        <v>0</v>
      </c>
      <c r="L108" s="22">
        <v>0</v>
      </c>
      <c r="M108" s="22">
        <v>0</v>
      </c>
      <c r="N108" s="22">
        <v>0</v>
      </c>
      <c r="O108" s="22">
        <v>0</v>
      </c>
      <c r="P108" s="25">
        <v>0</v>
      </c>
    </row>
    <row r="109" spans="1:16" x14ac:dyDescent="0.25">
      <c r="A109" s="22"/>
      <c r="B109" s="22"/>
      <c r="C109" s="22" t="s">
        <v>255</v>
      </c>
      <c r="D109" s="22" t="s">
        <v>105</v>
      </c>
      <c r="E109" s="23">
        <v>16445</v>
      </c>
      <c r="F109" s="22">
        <v>32.479999999999997</v>
      </c>
      <c r="G109" s="22">
        <v>506.33</v>
      </c>
      <c r="H109" s="22">
        <v>460.96</v>
      </c>
      <c r="I109" s="22">
        <v>35.68</v>
      </c>
      <c r="J109" s="22">
        <v>3.2</v>
      </c>
      <c r="K109" s="26">
        <v>1.0984</v>
      </c>
      <c r="L109" s="22">
        <v>0</v>
      </c>
      <c r="M109" s="22">
        <v>0</v>
      </c>
      <c r="N109" s="22">
        <v>0</v>
      </c>
      <c r="O109" s="22">
        <v>0</v>
      </c>
      <c r="P109" s="25">
        <v>0</v>
      </c>
    </row>
    <row r="110" spans="1:16" x14ac:dyDescent="0.25">
      <c r="A110" s="22"/>
      <c r="B110" s="22"/>
      <c r="C110" s="22" t="s">
        <v>256</v>
      </c>
      <c r="D110" s="22" t="s">
        <v>105</v>
      </c>
      <c r="E110" s="23">
        <v>4479</v>
      </c>
      <c r="F110" s="22">
        <v>43.07</v>
      </c>
      <c r="G110" s="22">
        <v>103.99</v>
      </c>
      <c r="H110" s="22">
        <v>124.21</v>
      </c>
      <c r="I110" s="22">
        <v>36.06</v>
      </c>
      <c r="J110" s="22">
        <v>-7.01</v>
      </c>
      <c r="K110" s="26">
        <v>0.83720000000000006</v>
      </c>
      <c r="L110" s="22">
        <v>0</v>
      </c>
      <c r="M110" s="22">
        <v>0</v>
      </c>
      <c r="N110" s="22">
        <v>0</v>
      </c>
      <c r="O110" s="22">
        <v>0</v>
      </c>
      <c r="P110" s="25">
        <v>0</v>
      </c>
    </row>
    <row r="111" spans="1:16" x14ac:dyDescent="0.25">
      <c r="A111" s="22"/>
      <c r="B111" s="22"/>
      <c r="C111" s="22" t="s">
        <v>257</v>
      </c>
      <c r="D111" s="22" t="s">
        <v>105</v>
      </c>
      <c r="E111" s="23">
        <v>14365</v>
      </c>
      <c r="F111" s="22">
        <v>156.31</v>
      </c>
      <c r="G111" s="22">
        <v>91.9</v>
      </c>
      <c r="H111" s="22">
        <v>71.98</v>
      </c>
      <c r="I111" s="22">
        <v>199.57</v>
      </c>
      <c r="J111" s="22">
        <v>43.26</v>
      </c>
      <c r="K111" s="26">
        <v>1.2767999999999999</v>
      </c>
      <c r="L111" s="22">
        <v>0</v>
      </c>
      <c r="M111" s="22">
        <v>0</v>
      </c>
      <c r="N111" s="22">
        <v>0</v>
      </c>
      <c r="O111" s="22">
        <v>0</v>
      </c>
      <c r="P111" s="25">
        <v>0</v>
      </c>
    </row>
    <row r="112" spans="1:16" x14ac:dyDescent="0.25">
      <c r="A112" s="22"/>
      <c r="B112" s="22"/>
      <c r="C112" s="22" t="s">
        <v>258</v>
      </c>
      <c r="D112" s="22" t="s">
        <v>105</v>
      </c>
      <c r="E112" s="22">
        <v>284</v>
      </c>
      <c r="F112" s="22">
        <v>7.34</v>
      </c>
      <c r="G112" s="22">
        <v>38.69</v>
      </c>
      <c r="H112" s="22">
        <v>35.25</v>
      </c>
      <c r="I112" s="22">
        <v>8.06</v>
      </c>
      <c r="J112" s="22">
        <v>0.72</v>
      </c>
      <c r="K112" s="26">
        <v>1.0975999999999999</v>
      </c>
      <c r="L112" s="22">
        <v>0</v>
      </c>
      <c r="M112" s="22">
        <v>0</v>
      </c>
      <c r="N112" s="22">
        <v>0</v>
      </c>
      <c r="O112" s="22">
        <v>0</v>
      </c>
      <c r="P112" s="25">
        <v>0</v>
      </c>
    </row>
    <row r="113" spans="1:16" x14ac:dyDescent="0.25">
      <c r="A113" s="22"/>
      <c r="B113" s="22"/>
      <c r="C113" s="22" t="s">
        <v>259</v>
      </c>
      <c r="D113" s="22" t="s">
        <v>105</v>
      </c>
      <c r="E113" s="22">
        <v>0</v>
      </c>
      <c r="F113" s="22">
        <v>0</v>
      </c>
      <c r="G113" s="22">
        <v>0</v>
      </c>
      <c r="H113" s="22">
        <v>23.86</v>
      </c>
      <c r="I113" s="22">
        <v>0</v>
      </c>
      <c r="J113" s="22">
        <v>0</v>
      </c>
      <c r="K113" s="25">
        <v>0</v>
      </c>
      <c r="L113" s="22">
        <v>0</v>
      </c>
      <c r="M113" s="22">
        <v>0</v>
      </c>
      <c r="N113" s="22">
        <v>0</v>
      </c>
      <c r="O113" s="22">
        <v>0</v>
      </c>
      <c r="P113" s="25">
        <v>0</v>
      </c>
    </row>
    <row r="114" spans="1:16" x14ac:dyDescent="0.25">
      <c r="A114" s="22"/>
      <c r="B114" s="22"/>
      <c r="C114" s="22" t="s">
        <v>260</v>
      </c>
      <c r="D114" s="22" t="s">
        <v>105</v>
      </c>
      <c r="E114" s="23">
        <v>19128</v>
      </c>
      <c r="F114" s="22">
        <v>206.72</v>
      </c>
      <c r="G114" s="22">
        <v>92.53</v>
      </c>
      <c r="H114" s="22">
        <v>78.489999999999995</v>
      </c>
      <c r="I114" s="22">
        <v>243.69</v>
      </c>
      <c r="J114" s="22">
        <v>36.97</v>
      </c>
      <c r="K114" s="26">
        <v>1.1788000000000001</v>
      </c>
      <c r="L114" s="22">
        <v>0</v>
      </c>
      <c r="M114" s="22">
        <v>0</v>
      </c>
      <c r="N114" s="22">
        <v>0</v>
      </c>
      <c r="O114" s="22">
        <v>0</v>
      </c>
      <c r="P114" s="25">
        <v>0</v>
      </c>
    </row>
    <row r="115" spans="1:16" x14ac:dyDescent="0.25">
      <c r="A115" s="22"/>
      <c r="B115" s="22"/>
      <c r="C115" s="22" t="s">
        <v>261</v>
      </c>
      <c r="D115" s="22" t="s">
        <v>105</v>
      </c>
      <c r="E115" s="23">
        <v>2834</v>
      </c>
      <c r="F115" s="22">
        <v>27.41</v>
      </c>
      <c r="G115" s="22">
        <v>103.41</v>
      </c>
      <c r="H115" s="22">
        <v>43.52</v>
      </c>
      <c r="I115" s="22">
        <v>65.12</v>
      </c>
      <c r="J115" s="22">
        <v>37.71</v>
      </c>
      <c r="K115" s="26">
        <v>2.3759999999999999</v>
      </c>
      <c r="L115" s="22">
        <v>0</v>
      </c>
      <c r="M115" s="22">
        <v>0</v>
      </c>
      <c r="N115" s="22">
        <v>0</v>
      </c>
      <c r="O115" s="22">
        <v>0</v>
      </c>
      <c r="P115" s="25">
        <v>0</v>
      </c>
    </row>
    <row r="116" spans="1:16" x14ac:dyDescent="0.25">
      <c r="A116" s="22"/>
      <c r="B116" s="22"/>
      <c r="C116" s="22" t="s">
        <v>262</v>
      </c>
      <c r="D116" s="22" t="s">
        <v>105</v>
      </c>
      <c r="E116" s="23">
        <v>1313</v>
      </c>
      <c r="F116" s="22">
        <v>17.29</v>
      </c>
      <c r="G116" s="22">
        <v>75.92</v>
      </c>
      <c r="H116" s="22">
        <v>36.01</v>
      </c>
      <c r="I116" s="22">
        <v>36.46</v>
      </c>
      <c r="J116" s="22">
        <v>19.170000000000002</v>
      </c>
      <c r="K116" s="26">
        <v>2.1082999999999998</v>
      </c>
      <c r="L116" s="22">
        <v>0</v>
      </c>
      <c r="M116" s="22">
        <v>0</v>
      </c>
      <c r="N116" s="22">
        <v>0</v>
      </c>
      <c r="O116" s="22">
        <v>0</v>
      </c>
      <c r="P116" s="25">
        <v>0</v>
      </c>
    </row>
    <row r="117" spans="1:16" x14ac:dyDescent="0.25">
      <c r="A117" s="22"/>
      <c r="B117" s="22"/>
      <c r="C117" s="22" t="s">
        <v>263</v>
      </c>
      <c r="D117" s="22" t="s">
        <v>105</v>
      </c>
      <c r="E117" s="22">
        <v>6</v>
      </c>
      <c r="F117" s="22">
        <v>0.12</v>
      </c>
      <c r="G117" s="22">
        <v>49.88</v>
      </c>
      <c r="H117" s="22">
        <v>1.5</v>
      </c>
      <c r="I117" s="22">
        <v>4</v>
      </c>
      <c r="J117" s="22">
        <v>3.88</v>
      </c>
      <c r="K117" s="26">
        <v>33.256100000000004</v>
      </c>
      <c r="L117" s="22">
        <v>0</v>
      </c>
      <c r="M117" s="22">
        <v>0</v>
      </c>
      <c r="N117" s="22">
        <v>0</v>
      </c>
      <c r="O117" s="22">
        <v>0</v>
      </c>
      <c r="P117" s="25">
        <v>0</v>
      </c>
    </row>
    <row r="118" spans="1:16" x14ac:dyDescent="0.25">
      <c r="A118" s="22"/>
      <c r="B118" s="22"/>
      <c r="C118" s="22" t="s">
        <v>264</v>
      </c>
      <c r="D118" s="22" t="s">
        <v>105</v>
      </c>
      <c r="E118" s="22">
        <v>0</v>
      </c>
      <c r="F118" s="22">
        <v>0</v>
      </c>
      <c r="G118" s="22">
        <v>0</v>
      </c>
      <c r="H118" s="23">
        <v>10000</v>
      </c>
      <c r="I118" s="22">
        <v>0</v>
      </c>
      <c r="J118" s="22">
        <v>0</v>
      </c>
      <c r="K118" s="25">
        <v>0</v>
      </c>
      <c r="L118" s="22">
        <v>0</v>
      </c>
      <c r="M118" s="22">
        <v>0</v>
      </c>
      <c r="N118" s="22">
        <v>0</v>
      </c>
      <c r="O118" s="22">
        <v>0</v>
      </c>
      <c r="P118" s="25">
        <v>0</v>
      </c>
    </row>
    <row r="119" spans="1:16" x14ac:dyDescent="0.25">
      <c r="A119" s="22"/>
      <c r="B119" s="22"/>
      <c r="C119" s="22" t="s">
        <v>265</v>
      </c>
      <c r="D119" s="22" t="s">
        <v>105</v>
      </c>
      <c r="E119" s="23">
        <v>4153</v>
      </c>
      <c r="F119" s="22">
        <v>44.82</v>
      </c>
      <c r="G119" s="22">
        <v>92.66</v>
      </c>
      <c r="H119" s="22">
        <v>39.33</v>
      </c>
      <c r="I119" s="22">
        <v>105.58</v>
      </c>
      <c r="J119" s="22">
        <v>60.76</v>
      </c>
      <c r="K119" s="26">
        <v>2.3555999999999999</v>
      </c>
      <c r="L119" s="22">
        <v>0</v>
      </c>
      <c r="M119" s="22">
        <v>0</v>
      </c>
      <c r="N119" s="22">
        <v>0</v>
      </c>
      <c r="O119" s="22">
        <v>0</v>
      </c>
      <c r="P119" s="25">
        <v>0</v>
      </c>
    </row>
    <row r="120" spans="1:16" x14ac:dyDescent="0.25">
      <c r="A120" s="22"/>
      <c r="B120" s="22"/>
      <c r="C120" s="22" t="s">
        <v>266</v>
      </c>
      <c r="D120" s="22" t="s">
        <v>133</v>
      </c>
      <c r="E120" s="23">
        <v>107328</v>
      </c>
      <c r="F120" s="22">
        <v>144.97</v>
      </c>
      <c r="G120" s="22">
        <v>740.36</v>
      </c>
      <c r="H120" s="22">
        <v>660.17</v>
      </c>
      <c r="I120" s="22">
        <v>162.58000000000001</v>
      </c>
      <c r="J120" s="22">
        <v>17.61</v>
      </c>
      <c r="K120" s="26">
        <v>1.1214999999999999</v>
      </c>
      <c r="L120" s="22">
        <v>0</v>
      </c>
      <c r="M120" s="22">
        <v>0</v>
      </c>
      <c r="N120" s="22">
        <v>0</v>
      </c>
      <c r="O120" s="22">
        <v>0</v>
      </c>
      <c r="P120" s="25">
        <v>0</v>
      </c>
    </row>
    <row r="121" spans="1:16" x14ac:dyDescent="0.25">
      <c r="A121" s="22"/>
      <c r="B121" s="22" t="s">
        <v>267</v>
      </c>
      <c r="C121" s="22" t="s">
        <v>268</v>
      </c>
      <c r="D121" s="22" t="s">
        <v>105</v>
      </c>
      <c r="E121" s="22">
        <v>230</v>
      </c>
      <c r="F121" s="22">
        <v>7.65</v>
      </c>
      <c r="G121" s="22">
        <v>30.06</v>
      </c>
      <c r="H121" s="22">
        <v>18.61</v>
      </c>
      <c r="I121" s="22">
        <v>12.36</v>
      </c>
      <c r="J121" s="22">
        <v>4.71</v>
      </c>
      <c r="K121" s="26">
        <v>1.615</v>
      </c>
      <c r="L121" s="22">
        <v>0</v>
      </c>
      <c r="M121" s="22">
        <v>0</v>
      </c>
      <c r="N121" s="22">
        <v>0</v>
      </c>
      <c r="O121" s="22">
        <v>0</v>
      </c>
      <c r="P121" s="25">
        <v>0</v>
      </c>
    </row>
    <row r="122" spans="1:16" x14ac:dyDescent="0.25">
      <c r="A122" s="22"/>
      <c r="B122" s="22"/>
      <c r="C122" s="22" t="s">
        <v>269</v>
      </c>
      <c r="D122" s="22" t="s">
        <v>105</v>
      </c>
      <c r="E122" s="22">
        <v>0</v>
      </c>
      <c r="F122" s="22">
        <v>0</v>
      </c>
      <c r="G122" s="22">
        <v>0</v>
      </c>
      <c r="H122" s="23">
        <v>10000</v>
      </c>
      <c r="I122" s="22">
        <v>0</v>
      </c>
      <c r="J122" s="22">
        <v>0</v>
      </c>
      <c r="K122" s="25">
        <v>0</v>
      </c>
      <c r="L122" s="22">
        <v>0</v>
      </c>
      <c r="M122" s="22">
        <v>0</v>
      </c>
      <c r="N122" s="22">
        <v>0</v>
      </c>
      <c r="O122" s="22">
        <v>0</v>
      </c>
      <c r="P122" s="25">
        <v>0</v>
      </c>
    </row>
    <row r="123" spans="1:16" x14ac:dyDescent="0.25">
      <c r="A123" s="22"/>
      <c r="B123" s="22"/>
      <c r="C123" s="22" t="s">
        <v>270</v>
      </c>
      <c r="D123" s="22" t="s">
        <v>105</v>
      </c>
      <c r="E123" s="22">
        <v>0</v>
      </c>
      <c r="F123" s="22">
        <v>0</v>
      </c>
      <c r="G123" s="22">
        <v>0</v>
      </c>
      <c r="H123" s="23">
        <v>10000</v>
      </c>
      <c r="I123" s="22">
        <v>0</v>
      </c>
      <c r="J123" s="22">
        <v>0</v>
      </c>
      <c r="K123" s="25">
        <v>0</v>
      </c>
      <c r="L123" s="22">
        <v>0</v>
      </c>
      <c r="M123" s="22">
        <v>0</v>
      </c>
      <c r="N123" s="22">
        <v>0</v>
      </c>
      <c r="O123" s="22">
        <v>0</v>
      </c>
      <c r="P123" s="25">
        <v>0</v>
      </c>
    </row>
    <row r="124" spans="1:16" x14ac:dyDescent="0.25">
      <c r="A124" s="22"/>
      <c r="B124" s="22"/>
      <c r="C124" s="22" t="s">
        <v>271</v>
      </c>
      <c r="D124" s="22" t="s">
        <v>105</v>
      </c>
      <c r="E124" s="22">
        <v>0</v>
      </c>
      <c r="F124" s="22">
        <v>0</v>
      </c>
      <c r="G124" s="22">
        <v>0</v>
      </c>
      <c r="H124" s="22">
        <v>144.72</v>
      </c>
      <c r="I124" s="22">
        <v>0</v>
      </c>
      <c r="J124" s="22">
        <v>0</v>
      </c>
      <c r="K124" s="25">
        <v>0</v>
      </c>
      <c r="L124" s="22">
        <v>0</v>
      </c>
      <c r="M124" s="22">
        <v>0</v>
      </c>
      <c r="N124" s="22">
        <v>0</v>
      </c>
      <c r="O124" s="22">
        <v>0</v>
      </c>
      <c r="P124" s="25">
        <v>0</v>
      </c>
    </row>
    <row r="125" spans="1:16" x14ac:dyDescent="0.25">
      <c r="A125" s="22"/>
      <c r="B125" s="22"/>
      <c r="C125" s="22" t="s">
        <v>272</v>
      </c>
      <c r="D125" s="22" t="s">
        <v>105</v>
      </c>
      <c r="E125" s="23">
        <v>107328</v>
      </c>
      <c r="F125" s="22">
        <v>958.04</v>
      </c>
      <c r="G125" s="22">
        <v>112.03</v>
      </c>
      <c r="H125" s="22">
        <v>104.09</v>
      </c>
      <c r="I125" s="24">
        <v>1031.1500000000001</v>
      </c>
      <c r="J125" s="22">
        <v>73.12</v>
      </c>
      <c r="K125" s="26">
        <v>1.0763</v>
      </c>
      <c r="L125" s="22">
        <v>0</v>
      </c>
      <c r="M125" s="22">
        <v>0</v>
      </c>
      <c r="N125" s="22">
        <v>0</v>
      </c>
      <c r="O125" s="22">
        <v>0</v>
      </c>
      <c r="P125" s="25">
        <v>0</v>
      </c>
    </row>
    <row r="126" spans="1:16" x14ac:dyDescent="0.25">
      <c r="A126" s="22"/>
      <c r="B126" s="22" t="s">
        <v>273</v>
      </c>
      <c r="C126" s="22" t="s">
        <v>274</v>
      </c>
      <c r="D126" s="22" t="s">
        <v>105</v>
      </c>
      <c r="E126" s="23">
        <v>107328</v>
      </c>
      <c r="F126" s="22">
        <v>41.01</v>
      </c>
      <c r="G126" s="24">
        <v>2616.9899999999998</v>
      </c>
      <c r="H126" s="24">
        <v>1786.36</v>
      </c>
      <c r="I126" s="22">
        <v>60.08</v>
      </c>
      <c r="J126" s="22">
        <v>19.07</v>
      </c>
      <c r="K126" s="26">
        <v>1.4650000000000001</v>
      </c>
      <c r="L126" s="22">
        <v>0</v>
      </c>
      <c r="M126" s="22">
        <v>0</v>
      </c>
      <c r="N126" s="22">
        <v>0</v>
      </c>
      <c r="O126" s="22">
        <v>0</v>
      </c>
      <c r="P126" s="25">
        <v>0</v>
      </c>
    </row>
    <row r="127" spans="1:16" x14ac:dyDescent="0.25">
      <c r="A127" s="22"/>
      <c r="B127" s="22" t="s">
        <v>275</v>
      </c>
      <c r="C127" s="22" t="s">
        <v>276</v>
      </c>
      <c r="D127" s="22" t="s">
        <v>105</v>
      </c>
      <c r="E127" s="23">
        <v>107328</v>
      </c>
      <c r="F127" s="22">
        <v>107.71</v>
      </c>
      <c r="G127" s="22">
        <v>996.47</v>
      </c>
      <c r="H127" s="22">
        <v>838.14</v>
      </c>
      <c r="I127" s="22">
        <v>128.05000000000001</v>
      </c>
      <c r="J127" s="22">
        <v>20.350000000000001</v>
      </c>
      <c r="K127" s="26">
        <v>1.1889000000000001</v>
      </c>
      <c r="L127" s="22">
        <v>0</v>
      </c>
      <c r="M127" s="22">
        <v>0</v>
      </c>
      <c r="N127" s="22">
        <v>0</v>
      </c>
      <c r="O127" s="22">
        <v>0</v>
      </c>
      <c r="P127" s="25">
        <v>0</v>
      </c>
    </row>
    <row r="128" spans="1:16" x14ac:dyDescent="0.25">
      <c r="A128" s="22"/>
      <c r="B128" s="22" t="s">
        <v>1</v>
      </c>
      <c r="C128" s="22" t="s">
        <v>59</v>
      </c>
      <c r="D128" s="22" t="s">
        <v>105</v>
      </c>
      <c r="E128" s="23">
        <v>107328</v>
      </c>
      <c r="F128" s="22">
        <v>233.5</v>
      </c>
      <c r="G128" s="22">
        <v>459.64</v>
      </c>
      <c r="H128" s="22">
        <v>435.11</v>
      </c>
      <c r="I128" s="22">
        <v>246.67</v>
      </c>
      <c r="J128" s="22">
        <v>13.17</v>
      </c>
      <c r="K128" s="26">
        <v>1.0564</v>
      </c>
      <c r="L128" s="22">
        <v>0</v>
      </c>
      <c r="M128" s="22">
        <v>0</v>
      </c>
      <c r="N128" s="22">
        <v>0</v>
      </c>
      <c r="O128" s="22">
        <v>0</v>
      </c>
      <c r="P128" s="25">
        <v>0</v>
      </c>
    </row>
    <row r="129" spans="1:16" x14ac:dyDescent="0.25">
      <c r="A129" s="22"/>
      <c r="B129" s="22" t="s">
        <v>194</v>
      </c>
      <c r="C129" s="22" t="s">
        <v>277</v>
      </c>
      <c r="D129" s="22" t="s">
        <v>105</v>
      </c>
      <c r="E129" s="23">
        <v>107328</v>
      </c>
      <c r="F129" s="24">
        <v>2084.6</v>
      </c>
      <c r="G129" s="22">
        <v>51.49</v>
      </c>
      <c r="H129" s="22">
        <v>46.61</v>
      </c>
      <c r="I129" s="24">
        <v>2302.5700000000002</v>
      </c>
      <c r="J129" s="22">
        <v>217.97</v>
      </c>
      <c r="K129" s="26">
        <v>1.1046</v>
      </c>
      <c r="L129" s="22">
        <v>0</v>
      </c>
      <c r="M129" s="22">
        <v>0</v>
      </c>
      <c r="N129" s="22">
        <v>0</v>
      </c>
      <c r="O129" s="22">
        <v>0</v>
      </c>
      <c r="P129" s="25">
        <v>0</v>
      </c>
    </row>
    <row r="130" spans="1:16" x14ac:dyDescent="0.25">
      <c r="A130" s="22" t="s">
        <v>278</v>
      </c>
      <c r="B130" s="22" t="s">
        <v>279</v>
      </c>
      <c r="C130" s="22" t="s">
        <v>280</v>
      </c>
      <c r="D130" s="22" t="s">
        <v>105</v>
      </c>
      <c r="E130" s="22">
        <v>0</v>
      </c>
      <c r="F130" s="22">
        <v>0</v>
      </c>
      <c r="G130" s="22">
        <v>0</v>
      </c>
      <c r="H130" s="23">
        <v>10000</v>
      </c>
      <c r="I130" s="22">
        <v>0</v>
      </c>
      <c r="J130" s="22">
        <v>0</v>
      </c>
      <c r="K130" s="25">
        <v>0</v>
      </c>
      <c r="L130" s="22">
        <v>0</v>
      </c>
      <c r="M130" s="22">
        <v>0</v>
      </c>
      <c r="N130" s="22">
        <v>0</v>
      </c>
      <c r="O130" s="22">
        <v>0</v>
      </c>
      <c r="P130" s="25">
        <v>0</v>
      </c>
    </row>
    <row r="131" spans="1:16" x14ac:dyDescent="0.25">
      <c r="A131" s="22"/>
      <c r="B131" s="22"/>
      <c r="C131" s="22" t="s">
        <v>281</v>
      </c>
      <c r="D131" s="22" t="s">
        <v>105</v>
      </c>
      <c r="E131" s="22">
        <v>0</v>
      </c>
      <c r="F131" s="22">
        <v>0</v>
      </c>
      <c r="G131" s="22">
        <v>0</v>
      </c>
      <c r="H131" s="23">
        <v>10000</v>
      </c>
      <c r="I131" s="22">
        <v>0</v>
      </c>
      <c r="J131" s="22">
        <v>0</v>
      </c>
      <c r="K131" s="25">
        <v>0</v>
      </c>
      <c r="L131" s="22">
        <v>0</v>
      </c>
      <c r="M131" s="22">
        <v>0</v>
      </c>
      <c r="N131" s="22">
        <v>0</v>
      </c>
      <c r="O131" s="22">
        <v>0</v>
      </c>
      <c r="P131" s="25">
        <v>0</v>
      </c>
    </row>
    <row r="132" spans="1:16" x14ac:dyDescent="0.25">
      <c r="A132" s="22"/>
      <c r="B132" s="22"/>
      <c r="C132" s="22" t="s">
        <v>282</v>
      </c>
      <c r="D132" s="22" t="s">
        <v>105</v>
      </c>
      <c r="E132" s="22">
        <v>0</v>
      </c>
      <c r="F132" s="22">
        <v>0</v>
      </c>
      <c r="G132" s="22">
        <v>0</v>
      </c>
      <c r="H132" s="23">
        <v>10000</v>
      </c>
      <c r="I132" s="22">
        <v>0</v>
      </c>
      <c r="J132" s="22">
        <v>0</v>
      </c>
      <c r="K132" s="25">
        <v>0</v>
      </c>
      <c r="L132" s="22">
        <v>0</v>
      </c>
      <c r="M132" s="22">
        <v>0</v>
      </c>
      <c r="N132" s="22">
        <v>0</v>
      </c>
      <c r="O132" s="22">
        <v>0</v>
      </c>
      <c r="P132" s="25">
        <v>0</v>
      </c>
    </row>
    <row r="133" spans="1:16" x14ac:dyDescent="0.25">
      <c r="A133" s="22"/>
      <c r="B133" s="22"/>
      <c r="C133" s="22" t="s">
        <v>283</v>
      </c>
      <c r="D133" s="22" t="s">
        <v>105</v>
      </c>
      <c r="E133" s="22">
        <v>0</v>
      </c>
      <c r="F133" s="22">
        <v>0</v>
      </c>
      <c r="G133" s="22">
        <v>0</v>
      </c>
      <c r="H133" s="23">
        <v>10000</v>
      </c>
      <c r="I133" s="22">
        <v>0</v>
      </c>
      <c r="J133" s="22">
        <v>0</v>
      </c>
      <c r="K133" s="25">
        <v>0</v>
      </c>
      <c r="L133" s="22">
        <v>0</v>
      </c>
      <c r="M133" s="22">
        <v>0</v>
      </c>
      <c r="N133" s="22">
        <v>0</v>
      </c>
      <c r="O133" s="22">
        <v>0</v>
      </c>
      <c r="P133" s="25">
        <v>0</v>
      </c>
    </row>
    <row r="134" spans="1:16" x14ac:dyDescent="0.25">
      <c r="A134" s="22"/>
      <c r="B134" s="22"/>
      <c r="C134" s="22" t="s">
        <v>284</v>
      </c>
      <c r="D134" s="22" t="s">
        <v>133</v>
      </c>
      <c r="E134" s="22">
        <v>0</v>
      </c>
      <c r="F134" s="22">
        <v>0</v>
      </c>
      <c r="G134" s="22">
        <v>0</v>
      </c>
      <c r="H134" s="22">
        <v>0</v>
      </c>
      <c r="I134" s="22">
        <v>0</v>
      </c>
      <c r="J134" s="22">
        <v>0</v>
      </c>
      <c r="K134" s="25">
        <v>0</v>
      </c>
      <c r="L134" s="22">
        <v>0</v>
      </c>
      <c r="M134" s="22">
        <v>0</v>
      </c>
      <c r="N134" s="22">
        <v>0</v>
      </c>
      <c r="O134" s="22">
        <v>0</v>
      </c>
      <c r="P134" s="25">
        <v>0</v>
      </c>
    </row>
    <row r="135" spans="1:16" x14ac:dyDescent="0.25">
      <c r="A135" s="22"/>
      <c r="B135" s="22"/>
      <c r="C135" s="22" t="s">
        <v>285</v>
      </c>
      <c r="D135" s="22" t="s">
        <v>105</v>
      </c>
      <c r="E135" s="22">
        <v>0</v>
      </c>
      <c r="F135" s="22">
        <v>0</v>
      </c>
      <c r="G135" s="22">
        <v>0</v>
      </c>
      <c r="H135" s="22">
        <v>115.73</v>
      </c>
      <c r="I135" s="22">
        <v>0</v>
      </c>
      <c r="J135" s="22">
        <v>0</v>
      </c>
      <c r="K135" s="25">
        <v>0</v>
      </c>
      <c r="L135" s="22">
        <v>0</v>
      </c>
      <c r="M135" s="22">
        <v>0</v>
      </c>
      <c r="N135" s="22">
        <v>0</v>
      </c>
      <c r="O135" s="22">
        <v>0</v>
      </c>
      <c r="P135" s="25">
        <v>0</v>
      </c>
    </row>
    <row r="136" spans="1:16" x14ac:dyDescent="0.25">
      <c r="A136" s="22"/>
      <c r="B136" s="22"/>
      <c r="C136" s="22" t="s">
        <v>286</v>
      </c>
      <c r="D136" s="22" t="s">
        <v>105</v>
      </c>
      <c r="E136" s="22">
        <v>0</v>
      </c>
      <c r="F136" s="22">
        <v>0</v>
      </c>
      <c r="G136" s="22">
        <v>0</v>
      </c>
      <c r="H136" s="22">
        <v>62.01</v>
      </c>
      <c r="I136" s="22">
        <v>0</v>
      </c>
      <c r="J136" s="22">
        <v>0</v>
      </c>
      <c r="K136" s="25">
        <v>0</v>
      </c>
      <c r="L136" s="22">
        <v>0</v>
      </c>
      <c r="M136" s="22">
        <v>0</v>
      </c>
      <c r="N136" s="22">
        <v>0</v>
      </c>
      <c r="O136" s="22">
        <v>0</v>
      </c>
      <c r="P136" s="25">
        <v>0</v>
      </c>
    </row>
    <row r="137" spans="1:16" x14ac:dyDescent="0.25">
      <c r="A137" s="22"/>
      <c r="B137" s="22"/>
      <c r="C137" s="22" t="s">
        <v>287</v>
      </c>
      <c r="D137" s="22" t="s">
        <v>105</v>
      </c>
      <c r="E137" s="22">
        <v>0</v>
      </c>
      <c r="F137" s="22">
        <v>0</v>
      </c>
      <c r="G137" s="22">
        <v>0</v>
      </c>
      <c r="H137" s="22">
        <v>48</v>
      </c>
      <c r="I137" s="22">
        <v>0</v>
      </c>
      <c r="J137" s="22">
        <v>0</v>
      </c>
      <c r="K137" s="25">
        <v>0</v>
      </c>
      <c r="L137" s="22">
        <v>0</v>
      </c>
      <c r="M137" s="22">
        <v>0</v>
      </c>
      <c r="N137" s="22">
        <v>0</v>
      </c>
      <c r="O137" s="22">
        <v>0</v>
      </c>
      <c r="P137" s="25">
        <v>0</v>
      </c>
    </row>
    <row r="138" spans="1:16" x14ac:dyDescent="0.25">
      <c r="A138" s="22"/>
      <c r="B138" s="22"/>
      <c r="C138" s="22" t="s">
        <v>288</v>
      </c>
      <c r="D138" s="22" t="s">
        <v>105</v>
      </c>
      <c r="E138" s="22">
        <v>0</v>
      </c>
      <c r="F138" s="22">
        <v>0</v>
      </c>
      <c r="G138" s="22">
        <v>0</v>
      </c>
      <c r="H138" s="23">
        <v>10000</v>
      </c>
      <c r="I138" s="22">
        <v>0</v>
      </c>
      <c r="J138" s="22">
        <v>0</v>
      </c>
      <c r="K138" s="25">
        <v>0</v>
      </c>
      <c r="L138" s="22">
        <v>0</v>
      </c>
      <c r="M138" s="22">
        <v>0</v>
      </c>
      <c r="N138" s="22">
        <v>0</v>
      </c>
      <c r="O138" s="22">
        <v>0</v>
      </c>
      <c r="P138" s="25">
        <v>0</v>
      </c>
    </row>
    <row r="139" spans="1:16" x14ac:dyDescent="0.25">
      <c r="A139" s="22"/>
      <c r="B139" s="22"/>
      <c r="C139" s="22" t="s">
        <v>289</v>
      </c>
      <c r="D139" s="22" t="s">
        <v>133</v>
      </c>
      <c r="E139" s="22">
        <v>0</v>
      </c>
      <c r="F139" s="22">
        <v>0</v>
      </c>
      <c r="G139" s="22">
        <v>0</v>
      </c>
      <c r="H139" s="22">
        <v>0</v>
      </c>
      <c r="I139" s="22">
        <v>0</v>
      </c>
      <c r="J139" s="22">
        <v>0</v>
      </c>
      <c r="K139" s="25">
        <v>0</v>
      </c>
      <c r="L139" s="22">
        <v>0</v>
      </c>
      <c r="M139" s="22">
        <v>0</v>
      </c>
      <c r="N139" s="22">
        <v>0</v>
      </c>
      <c r="O139" s="22">
        <v>0</v>
      </c>
      <c r="P139" s="25">
        <v>0</v>
      </c>
    </row>
    <row r="140" spans="1:16" x14ac:dyDescent="0.25">
      <c r="A140" s="22"/>
      <c r="B140" s="22"/>
      <c r="C140" s="22" t="s">
        <v>290</v>
      </c>
      <c r="D140" s="22" t="s">
        <v>133</v>
      </c>
      <c r="E140" s="22">
        <v>0</v>
      </c>
      <c r="F140" s="22">
        <v>0</v>
      </c>
      <c r="G140" s="22">
        <v>0</v>
      </c>
      <c r="H140" s="23">
        <v>10000</v>
      </c>
      <c r="I140" s="22">
        <v>0</v>
      </c>
      <c r="J140" s="22">
        <v>0</v>
      </c>
      <c r="K140" s="25">
        <v>0</v>
      </c>
      <c r="L140" s="22">
        <v>0</v>
      </c>
      <c r="M140" s="22">
        <v>0</v>
      </c>
      <c r="N140" s="22">
        <v>0</v>
      </c>
      <c r="O140" s="22">
        <v>0</v>
      </c>
      <c r="P140" s="25">
        <v>0</v>
      </c>
    </row>
    <row r="141" spans="1:16" x14ac:dyDescent="0.25">
      <c r="A141" s="22"/>
      <c r="B141" s="22"/>
      <c r="C141" s="22" t="s">
        <v>291</v>
      </c>
      <c r="D141" s="22" t="s">
        <v>133</v>
      </c>
      <c r="E141" s="22">
        <v>0</v>
      </c>
      <c r="F141" s="22">
        <v>0</v>
      </c>
      <c r="G141" s="22">
        <v>0</v>
      </c>
      <c r="H141" s="22">
        <v>0</v>
      </c>
      <c r="I141" s="22">
        <v>0</v>
      </c>
      <c r="J141" s="22">
        <v>0</v>
      </c>
      <c r="K141" s="25">
        <v>0</v>
      </c>
      <c r="L141" s="22">
        <v>0</v>
      </c>
      <c r="M141" s="22">
        <v>0</v>
      </c>
      <c r="N141" s="22">
        <v>0</v>
      </c>
      <c r="O141" s="22">
        <v>0</v>
      </c>
      <c r="P141" s="25">
        <v>0</v>
      </c>
    </row>
    <row r="142" spans="1:16" x14ac:dyDescent="0.25">
      <c r="A142" s="22"/>
      <c r="B142" s="22" t="s">
        <v>292</v>
      </c>
      <c r="C142" s="22" t="s">
        <v>293</v>
      </c>
      <c r="D142" s="22" t="s">
        <v>105</v>
      </c>
      <c r="E142" s="22">
        <v>23</v>
      </c>
      <c r="F142" s="22">
        <v>0.03</v>
      </c>
      <c r="G142" s="22">
        <v>739.29</v>
      </c>
      <c r="H142" s="22">
        <v>358.44</v>
      </c>
      <c r="I142" s="22">
        <v>0.06</v>
      </c>
      <c r="J142" s="22">
        <v>0.03</v>
      </c>
      <c r="K142" s="26">
        <v>2.0625</v>
      </c>
      <c r="L142" s="22">
        <v>0</v>
      </c>
      <c r="M142" s="22">
        <v>0</v>
      </c>
      <c r="N142" s="22">
        <v>0</v>
      </c>
      <c r="O142" s="22">
        <v>0</v>
      </c>
      <c r="P142" s="25">
        <v>0</v>
      </c>
    </row>
    <row r="143" spans="1:16" x14ac:dyDescent="0.25">
      <c r="A143" s="22"/>
      <c r="B143" s="22"/>
      <c r="C143" s="22" t="s">
        <v>294</v>
      </c>
      <c r="D143" s="22" t="s">
        <v>105</v>
      </c>
      <c r="E143" s="22">
        <v>7</v>
      </c>
      <c r="F143" s="22">
        <v>0.02</v>
      </c>
      <c r="G143" s="22">
        <v>365.22</v>
      </c>
      <c r="H143" s="22">
        <v>236.26</v>
      </c>
      <c r="I143" s="22">
        <v>0.03</v>
      </c>
      <c r="J143" s="22">
        <v>0.01</v>
      </c>
      <c r="K143" s="26">
        <v>1.5458000000000001</v>
      </c>
      <c r="L143" s="22">
        <v>0</v>
      </c>
      <c r="M143" s="22">
        <v>0</v>
      </c>
      <c r="N143" s="22">
        <v>0</v>
      </c>
      <c r="O143" s="22">
        <v>0</v>
      </c>
      <c r="P143" s="25">
        <v>0</v>
      </c>
    </row>
    <row r="144" spans="1:16" x14ac:dyDescent="0.25">
      <c r="A144" s="22"/>
      <c r="B144" s="22"/>
      <c r="C144" s="22" t="s">
        <v>295</v>
      </c>
      <c r="D144" s="22" t="s">
        <v>105</v>
      </c>
      <c r="E144" s="22">
        <v>0</v>
      </c>
      <c r="F144" s="22">
        <v>0</v>
      </c>
      <c r="G144" s="22">
        <v>0</v>
      </c>
      <c r="H144" s="22">
        <v>173.33</v>
      </c>
      <c r="I144" s="22">
        <v>0</v>
      </c>
      <c r="J144" s="22">
        <v>0</v>
      </c>
      <c r="K144" s="25">
        <v>0</v>
      </c>
      <c r="L144" s="22">
        <v>0</v>
      </c>
      <c r="M144" s="22">
        <v>0</v>
      </c>
      <c r="N144" s="22">
        <v>0</v>
      </c>
      <c r="O144" s="22">
        <v>0</v>
      </c>
      <c r="P144" s="25">
        <v>0</v>
      </c>
    </row>
    <row r="145" spans="1:16" x14ac:dyDescent="0.25">
      <c r="A145" s="22"/>
      <c r="B145" s="22"/>
      <c r="C145" s="22" t="s">
        <v>296</v>
      </c>
      <c r="D145" s="22" t="s">
        <v>105</v>
      </c>
      <c r="E145" s="22">
        <v>0</v>
      </c>
      <c r="F145" s="22">
        <v>0</v>
      </c>
      <c r="G145" s="22">
        <v>0</v>
      </c>
      <c r="H145" s="22">
        <v>209.55</v>
      </c>
      <c r="I145" s="22">
        <v>0</v>
      </c>
      <c r="J145" s="22">
        <v>0</v>
      </c>
      <c r="K145" s="25">
        <v>0</v>
      </c>
      <c r="L145" s="22">
        <v>0</v>
      </c>
      <c r="M145" s="22">
        <v>0</v>
      </c>
      <c r="N145" s="22">
        <v>0</v>
      </c>
      <c r="O145" s="22">
        <v>0</v>
      </c>
      <c r="P145" s="25">
        <v>0</v>
      </c>
    </row>
    <row r="146" spans="1:16" x14ac:dyDescent="0.25">
      <c r="A146" s="22"/>
      <c r="B146" s="22"/>
      <c r="C146" s="22" t="s">
        <v>297</v>
      </c>
      <c r="D146" s="22" t="s">
        <v>105</v>
      </c>
      <c r="E146" s="22">
        <v>30</v>
      </c>
      <c r="F146" s="22">
        <v>0.05</v>
      </c>
      <c r="G146" s="22">
        <v>596.69000000000005</v>
      </c>
      <c r="H146" s="22">
        <v>319.85000000000002</v>
      </c>
      <c r="I146" s="22">
        <v>0.09</v>
      </c>
      <c r="J146" s="22">
        <v>0.04</v>
      </c>
      <c r="K146" s="26">
        <v>1.8654999999999999</v>
      </c>
      <c r="L146" s="22">
        <v>0</v>
      </c>
      <c r="M146" s="22">
        <v>0</v>
      </c>
      <c r="N146" s="22">
        <v>0</v>
      </c>
      <c r="O146" s="22">
        <v>0</v>
      </c>
      <c r="P146" s="25">
        <v>0</v>
      </c>
    </row>
    <row r="147" spans="1:16" x14ac:dyDescent="0.25">
      <c r="A147" s="22"/>
      <c r="B147" s="22"/>
      <c r="C147" s="22" t="s">
        <v>298</v>
      </c>
      <c r="D147" s="22" t="s">
        <v>105</v>
      </c>
      <c r="E147" s="22">
        <v>0</v>
      </c>
      <c r="F147" s="22">
        <v>0</v>
      </c>
      <c r="G147" s="22">
        <v>0</v>
      </c>
      <c r="H147" s="22">
        <v>235.08</v>
      </c>
      <c r="I147" s="22">
        <v>0</v>
      </c>
      <c r="J147" s="22">
        <v>0</v>
      </c>
      <c r="K147" s="25">
        <v>0</v>
      </c>
      <c r="L147" s="22">
        <v>0</v>
      </c>
      <c r="M147" s="22">
        <v>0</v>
      </c>
      <c r="N147" s="22">
        <v>0</v>
      </c>
      <c r="O147" s="22">
        <v>0</v>
      </c>
      <c r="P147" s="25">
        <v>0</v>
      </c>
    </row>
    <row r="148" spans="1:16" x14ac:dyDescent="0.25">
      <c r="A148" s="22"/>
      <c r="B148" s="22"/>
      <c r="C148" s="22" t="s">
        <v>299</v>
      </c>
      <c r="D148" s="22" t="s">
        <v>105</v>
      </c>
      <c r="E148" s="22">
        <v>0</v>
      </c>
      <c r="F148" s="22">
        <v>0</v>
      </c>
      <c r="G148" s="22">
        <v>0</v>
      </c>
      <c r="H148" s="22">
        <v>115.23</v>
      </c>
      <c r="I148" s="22">
        <v>0</v>
      </c>
      <c r="J148" s="22">
        <v>0</v>
      </c>
      <c r="K148" s="25">
        <v>0</v>
      </c>
      <c r="L148" s="22">
        <v>0</v>
      </c>
      <c r="M148" s="22">
        <v>0</v>
      </c>
      <c r="N148" s="22">
        <v>0</v>
      </c>
      <c r="O148" s="22">
        <v>0</v>
      </c>
      <c r="P148" s="25">
        <v>0</v>
      </c>
    </row>
    <row r="149" spans="1:16" x14ac:dyDescent="0.25">
      <c r="A149" s="22"/>
      <c r="B149" s="22"/>
      <c r="C149" s="22" t="s">
        <v>300</v>
      </c>
      <c r="D149" s="22" t="s">
        <v>105</v>
      </c>
      <c r="E149" s="22">
        <v>0</v>
      </c>
      <c r="F149" s="22">
        <v>0</v>
      </c>
      <c r="G149" s="22">
        <v>0</v>
      </c>
      <c r="H149" s="22">
        <v>67.42</v>
      </c>
      <c r="I149" s="22">
        <v>0</v>
      </c>
      <c r="J149" s="22">
        <v>0</v>
      </c>
      <c r="K149" s="25">
        <v>0</v>
      </c>
      <c r="L149" s="22">
        <v>0</v>
      </c>
      <c r="M149" s="22">
        <v>0</v>
      </c>
      <c r="N149" s="22">
        <v>0</v>
      </c>
      <c r="O149" s="22">
        <v>0</v>
      </c>
      <c r="P149" s="25">
        <v>0</v>
      </c>
    </row>
    <row r="150" spans="1:16" x14ac:dyDescent="0.25">
      <c r="A150" s="22"/>
      <c r="B150" s="22"/>
      <c r="C150" s="22" t="s">
        <v>301</v>
      </c>
      <c r="D150" s="22" t="s">
        <v>105</v>
      </c>
      <c r="E150" s="22">
        <v>0</v>
      </c>
      <c r="F150" s="22">
        <v>0</v>
      </c>
      <c r="G150" s="22">
        <v>0</v>
      </c>
      <c r="H150" s="22">
        <v>6.88</v>
      </c>
      <c r="I150" s="22">
        <v>0</v>
      </c>
      <c r="J150" s="22">
        <v>0</v>
      </c>
      <c r="K150" s="25">
        <v>0</v>
      </c>
      <c r="L150" s="22">
        <v>0</v>
      </c>
      <c r="M150" s="22">
        <v>0</v>
      </c>
      <c r="N150" s="22">
        <v>0</v>
      </c>
      <c r="O150" s="22">
        <v>0</v>
      </c>
      <c r="P150" s="25">
        <v>0</v>
      </c>
    </row>
    <row r="151" spans="1:16" x14ac:dyDescent="0.25">
      <c r="A151" s="22"/>
      <c r="B151" s="22"/>
      <c r="C151" s="22" t="s">
        <v>302</v>
      </c>
      <c r="D151" s="22" t="s">
        <v>105</v>
      </c>
      <c r="E151" s="22">
        <v>0</v>
      </c>
      <c r="F151" s="22">
        <v>0</v>
      </c>
      <c r="G151" s="22">
        <v>0</v>
      </c>
      <c r="H151" s="22">
        <v>0</v>
      </c>
      <c r="I151" s="22">
        <v>0</v>
      </c>
      <c r="J151" s="22">
        <v>0</v>
      </c>
      <c r="K151" s="25">
        <v>0</v>
      </c>
      <c r="L151" s="22">
        <v>0</v>
      </c>
      <c r="M151" s="22">
        <v>0</v>
      </c>
      <c r="N151" s="22">
        <v>0</v>
      </c>
      <c r="O151" s="22">
        <v>0</v>
      </c>
      <c r="P151" s="25">
        <v>0</v>
      </c>
    </row>
    <row r="152" spans="1:16" x14ac:dyDescent="0.25">
      <c r="A152" s="22"/>
      <c r="B152" s="22"/>
      <c r="C152" s="22" t="s">
        <v>303</v>
      </c>
      <c r="D152" s="22" t="s">
        <v>133</v>
      </c>
      <c r="E152" s="22">
        <v>0</v>
      </c>
      <c r="F152" s="22">
        <v>4.57</v>
      </c>
      <c r="G152" s="22">
        <v>0</v>
      </c>
      <c r="H152" s="22">
        <v>147.25</v>
      </c>
      <c r="I152" s="22">
        <v>0</v>
      </c>
      <c r="J152" s="22">
        <v>-4.57</v>
      </c>
      <c r="K152" s="25">
        <v>0</v>
      </c>
      <c r="L152" s="22">
        <v>0</v>
      </c>
      <c r="M152" s="22">
        <v>0</v>
      </c>
      <c r="N152" s="22">
        <v>0</v>
      </c>
      <c r="O152" s="22">
        <v>0</v>
      </c>
      <c r="P152" s="25">
        <v>0</v>
      </c>
    </row>
    <row r="153" spans="1:16" x14ac:dyDescent="0.25">
      <c r="A153" s="22"/>
      <c r="B153" s="22"/>
      <c r="C153" s="22" t="s">
        <v>304</v>
      </c>
      <c r="D153" s="22" t="s">
        <v>105</v>
      </c>
      <c r="E153" s="22">
        <v>0</v>
      </c>
      <c r="F153" s="22">
        <v>4.62</v>
      </c>
      <c r="G153" s="22">
        <v>0</v>
      </c>
      <c r="H153" s="22">
        <v>0</v>
      </c>
      <c r="I153" s="22">
        <v>0.09</v>
      </c>
      <c r="J153" s="22">
        <v>-4.5199999999999996</v>
      </c>
      <c r="K153" s="26">
        <v>2.0299999999999999E-2</v>
      </c>
      <c r="L153" s="22">
        <v>0</v>
      </c>
      <c r="M153" s="22">
        <v>0</v>
      </c>
      <c r="N153" s="22">
        <v>0</v>
      </c>
      <c r="O153" s="22">
        <v>0</v>
      </c>
      <c r="P153" s="25">
        <v>0</v>
      </c>
    </row>
    <row r="154" spans="1:16" x14ac:dyDescent="0.25">
      <c r="A154" s="22"/>
      <c r="B154" s="22" t="s">
        <v>305</v>
      </c>
      <c r="C154" s="22" t="s">
        <v>306</v>
      </c>
      <c r="D154" s="22" t="s">
        <v>105</v>
      </c>
      <c r="E154" s="22">
        <v>0</v>
      </c>
      <c r="F154" s="22">
        <v>0</v>
      </c>
      <c r="G154" s="22">
        <v>0</v>
      </c>
      <c r="H154" s="22">
        <v>25.59</v>
      </c>
      <c r="I154" s="22">
        <v>0</v>
      </c>
      <c r="J154" s="22">
        <v>0</v>
      </c>
      <c r="K154" s="25">
        <v>0</v>
      </c>
      <c r="L154" s="22">
        <v>0</v>
      </c>
      <c r="M154" s="22">
        <v>0</v>
      </c>
      <c r="N154" s="22">
        <v>0</v>
      </c>
      <c r="O154" s="22">
        <v>0</v>
      </c>
      <c r="P154" s="25">
        <v>0</v>
      </c>
    </row>
    <row r="155" spans="1:16" x14ac:dyDescent="0.25">
      <c r="A155" s="22"/>
      <c r="B155" s="22"/>
      <c r="C155" s="22" t="s">
        <v>307</v>
      </c>
      <c r="D155" s="22" t="s">
        <v>105</v>
      </c>
      <c r="E155" s="22">
        <v>0</v>
      </c>
      <c r="F155" s="22">
        <v>0</v>
      </c>
      <c r="G155" s="22">
        <v>0</v>
      </c>
      <c r="H155" s="23">
        <v>10000</v>
      </c>
      <c r="I155" s="22">
        <v>0</v>
      </c>
      <c r="J155" s="22">
        <v>0</v>
      </c>
      <c r="K155" s="25">
        <v>0</v>
      </c>
      <c r="L155" s="22">
        <v>0</v>
      </c>
      <c r="M155" s="22">
        <v>0</v>
      </c>
      <c r="N155" s="22">
        <v>0</v>
      </c>
      <c r="O155" s="22">
        <v>0</v>
      </c>
      <c r="P155" s="25">
        <v>0</v>
      </c>
    </row>
    <row r="156" spans="1:16" x14ac:dyDescent="0.25">
      <c r="A156" s="22"/>
      <c r="B156" s="22"/>
      <c r="C156" s="22" t="s">
        <v>308</v>
      </c>
      <c r="D156" s="22" t="s">
        <v>133</v>
      </c>
      <c r="E156" s="22">
        <v>0</v>
      </c>
      <c r="F156" s="22">
        <v>0</v>
      </c>
      <c r="G156" s="22">
        <v>0</v>
      </c>
      <c r="H156" s="22">
        <v>27.69</v>
      </c>
      <c r="I156" s="22">
        <v>0</v>
      </c>
      <c r="J156" s="22">
        <v>0</v>
      </c>
      <c r="K156" s="25">
        <v>0</v>
      </c>
      <c r="L156" s="22">
        <v>0</v>
      </c>
      <c r="M156" s="22">
        <v>0</v>
      </c>
      <c r="N156" s="22">
        <v>0</v>
      </c>
      <c r="O156" s="22">
        <v>0</v>
      </c>
      <c r="P156" s="25">
        <v>0</v>
      </c>
    </row>
    <row r="157" spans="1:16" x14ac:dyDescent="0.25">
      <c r="A157" s="22"/>
      <c r="B157" s="22"/>
      <c r="C157" s="22" t="s">
        <v>309</v>
      </c>
      <c r="D157" s="22" t="s">
        <v>133</v>
      </c>
      <c r="E157" s="22">
        <v>0</v>
      </c>
      <c r="F157" s="22">
        <v>0</v>
      </c>
      <c r="G157" s="22">
        <v>0</v>
      </c>
      <c r="H157" s="22">
        <v>0</v>
      </c>
      <c r="I157" s="22">
        <v>0</v>
      </c>
      <c r="J157" s="22">
        <v>0</v>
      </c>
      <c r="K157" s="25">
        <v>0</v>
      </c>
      <c r="L157" s="22">
        <v>0</v>
      </c>
      <c r="M157" s="22">
        <v>0</v>
      </c>
      <c r="N157" s="22">
        <v>0</v>
      </c>
      <c r="O157" s="22">
        <v>0</v>
      </c>
      <c r="P157" s="25">
        <v>0</v>
      </c>
    </row>
    <row r="158" spans="1:16" x14ac:dyDescent="0.25">
      <c r="A158" s="22"/>
      <c r="B158" s="22" t="s">
        <v>310</v>
      </c>
      <c r="C158" s="22" t="s">
        <v>311</v>
      </c>
      <c r="D158" s="22" t="s">
        <v>105</v>
      </c>
      <c r="E158" s="22">
        <v>0</v>
      </c>
      <c r="F158" s="22">
        <v>0</v>
      </c>
      <c r="G158" s="22">
        <v>0</v>
      </c>
      <c r="H158" s="23">
        <v>10000</v>
      </c>
      <c r="I158" s="22">
        <v>0</v>
      </c>
      <c r="J158" s="22">
        <v>0</v>
      </c>
      <c r="K158" s="25">
        <v>0</v>
      </c>
      <c r="L158" s="22">
        <v>0</v>
      </c>
      <c r="M158" s="22">
        <v>0</v>
      </c>
      <c r="N158" s="22">
        <v>0</v>
      </c>
      <c r="O158" s="22">
        <v>0</v>
      </c>
      <c r="P158" s="25">
        <v>0</v>
      </c>
    </row>
    <row r="159" spans="1:16" x14ac:dyDescent="0.25">
      <c r="A159" s="22"/>
      <c r="B159" s="22"/>
      <c r="C159" s="22" t="s">
        <v>312</v>
      </c>
      <c r="D159" s="22" t="s">
        <v>133</v>
      </c>
      <c r="E159" s="22">
        <v>0</v>
      </c>
      <c r="F159" s="22">
        <v>0</v>
      </c>
      <c r="G159" s="22">
        <v>0</v>
      </c>
      <c r="H159" s="23">
        <v>10000</v>
      </c>
      <c r="I159" s="22">
        <v>0</v>
      </c>
      <c r="J159" s="22">
        <v>0</v>
      </c>
      <c r="K159" s="25">
        <v>0</v>
      </c>
      <c r="L159" s="22">
        <v>0</v>
      </c>
      <c r="M159" s="22">
        <v>0</v>
      </c>
      <c r="N159" s="22">
        <v>0</v>
      </c>
      <c r="O159" s="22">
        <v>0</v>
      </c>
      <c r="P159" s="25">
        <v>0</v>
      </c>
    </row>
    <row r="160" spans="1:16" x14ac:dyDescent="0.25">
      <c r="A160" s="22"/>
      <c r="B160" s="22"/>
      <c r="C160" s="22" t="s">
        <v>313</v>
      </c>
      <c r="D160" s="22" t="s">
        <v>133</v>
      </c>
      <c r="E160" s="22">
        <v>0</v>
      </c>
      <c r="F160" s="22">
        <v>0</v>
      </c>
      <c r="G160" s="22">
        <v>0</v>
      </c>
      <c r="H160" s="22">
        <v>0</v>
      </c>
      <c r="I160" s="22">
        <v>0</v>
      </c>
      <c r="J160" s="22">
        <v>0</v>
      </c>
      <c r="K160" s="25">
        <v>0</v>
      </c>
      <c r="L160" s="22">
        <v>0</v>
      </c>
      <c r="M160" s="22">
        <v>0</v>
      </c>
      <c r="N160" s="22">
        <v>0</v>
      </c>
      <c r="O160" s="22">
        <v>0</v>
      </c>
      <c r="P160" s="25">
        <v>0</v>
      </c>
    </row>
    <row r="161" spans="1:16" x14ac:dyDescent="0.25">
      <c r="A161" s="22"/>
      <c r="B161" s="22" t="s">
        <v>314</v>
      </c>
      <c r="C161" s="22" t="s">
        <v>315</v>
      </c>
      <c r="D161" s="22" t="s">
        <v>105</v>
      </c>
      <c r="E161" s="22">
        <v>0</v>
      </c>
      <c r="F161" s="22">
        <v>0</v>
      </c>
      <c r="G161" s="22">
        <v>0</v>
      </c>
      <c r="H161" s="23">
        <v>10000</v>
      </c>
      <c r="I161" s="22">
        <v>0</v>
      </c>
      <c r="J161" s="22">
        <v>0</v>
      </c>
      <c r="K161" s="25">
        <v>0</v>
      </c>
      <c r="L161" s="22">
        <v>0</v>
      </c>
      <c r="M161" s="22">
        <v>0</v>
      </c>
      <c r="N161" s="22">
        <v>0</v>
      </c>
      <c r="O161" s="22">
        <v>0</v>
      </c>
      <c r="P161" s="25">
        <v>0</v>
      </c>
    </row>
    <row r="162" spans="1:16" x14ac:dyDescent="0.25">
      <c r="A162" s="22"/>
      <c r="B162" s="22"/>
      <c r="C162" s="22" t="s">
        <v>316</v>
      </c>
      <c r="D162" s="22" t="s">
        <v>133</v>
      </c>
      <c r="E162" s="22">
        <v>0</v>
      </c>
      <c r="F162" s="22">
        <v>0</v>
      </c>
      <c r="G162" s="22">
        <v>0</v>
      </c>
      <c r="H162" s="23">
        <v>10000</v>
      </c>
      <c r="I162" s="22">
        <v>0</v>
      </c>
      <c r="J162" s="22">
        <v>0</v>
      </c>
      <c r="K162" s="25">
        <v>0</v>
      </c>
      <c r="L162" s="22">
        <v>0</v>
      </c>
      <c r="M162" s="22">
        <v>0</v>
      </c>
      <c r="N162" s="22">
        <v>0</v>
      </c>
      <c r="O162" s="22">
        <v>0</v>
      </c>
      <c r="P162" s="25">
        <v>0</v>
      </c>
    </row>
    <row r="163" spans="1:16" x14ac:dyDescent="0.25">
      <c r="A163" s="22"/>
      <c r="B163" s="22"/>
      <c r="C163" s="22" t="s">
        <v>317</v>
      </c>
      <c r="D163" s="22" t="s">
        <v>133</v>
      </c>
      <c r="E163" s="22">
        <v>0</v>
      </c>
      <c r="F163" s="22">
        <v>0</v>
      </c>
      <c r="G163" s="22">
        <v>0</v>
      </c>
      <c r="H163" s="22">
        <v>0</v>
      </c>
      <c r="I163" s="22">
        <v>0</v>
      </c>
      <c r="J163" s="22">
        <v>0</v>
      </c>
      <c r="K163" s="25">
        <v>0</v>
      </c>
      <c r="L163" s="22">
        <v>0</v>
      </c>
      <c r="M163" s="22">
        <v>0</v>
      </c>
      <c r="N163" s="22">
        <v>0</v>
      </c>
      <c r="O163" s="22">
        <v>0</v>
      </c>
      <c r="P163" s="25">
        <v>0</v>
      </c>
    </row>
    <row r="164" spans="1:16" x14ac:dyDescent="0.25">
      <c r="A164" s="22"/>
      <c r="B164" s="22" t="s">
        <v>318</v>
      </c>
      <c r="C164" s="22" t="s">
        <v>319</v>
      </c>
      <c r="D164" s="22" t="s">
        <v>105</v>
      </c>
      <c r="E164" s="22">
        <v>0</v>
      </c>
      <c r="F164" s="22">
        <v>0</v>
      </c>
      <c r="G164" s="22">
        <v>0</v>
      </c>
      <c r="H164" s="23">
        <v>10000</v>
      </c>
      <c r="I164" s="22">
        <v>0</v>
      </c>
      <c r="J164" s="22">
        <v>0</v>
      </c>
      <c r="K164" s="25">
        <v>0</v>
      </c>
      <c r="L164" s="22">
        <v>0</v>
      </c>
      <c r="M164" s="22">
        <v>0</v>
      </c>
      <c r="N164" s="22">
        <v>0</v>
      </c>
      <c r="O164" s="22">
        <v>0</v>
      </c>
      <c r="P164" s="25">
        <v>0</v>
      </c>
    </row>
    <row r="165" spans="1:16" x14ac:dyDescent="0.25">
      <c r="A165" s="22"/>
      <c r="B165" s="22" t="s">
        <v>194</v>
      </c>
      <c r="C165" s="22" t="s">
        <v>320</v>
      </c>
      <c r="D165" s="22" t="s">
        <v>133</v>
      </c>
      <c r="E165" s="22">
        <v>0</v>
      </c>
      <c r="F165" s="22">
        <v>4.62</v>
      </c>
      <c r="G165" s="22">
        <v>0</v>
      </c>
      <c r="H165" s="22">
        <v>0</v>
      </c>
      <c r="I165" s="22">
        <v>0.09</v>
      </c>
      <c r="J165" s="22">
        <v>-4.5199999999999996</v>
      </c>
      <c r="K165" s="26">
        <v>2.0299999999999999E-2</v>
      </c>
      <c r="L165" s="22">
        <v>0</v>
      </c>
      <c r="M165" s="22">
        <v>0</v>
      </c>
      <c r="N165" s="22">
        <v>0</v>
      </c>
      <c r="O165" s="22">
        <v>0</v>
      </c>
      <c r="P165" s="25">
        <v>0</v>
      </c>
    </row>
    <row r="166" spans="1:16" x14ac:dyDescent="0.25">
      <c r="A166" s="22" t="s">
        <v>321</v>
      </c>
      <c r="B166" s="22" t="s">
        <v>322</v>
      </c>
      <c r="C166" s="22" t="s">
        <v>323</v>
      </c>
      <c r="D166" s="22" t="s">
        <v>105</v>
      </c>
      <c r="E166" s="22">
        <v>0</v>
      </c>
      <c r="F166" s="22">
        <v>0</v>
      </c>
      <c r="G166" s="22">
        <v>0</v>
      </c>
      <c r="H166" s="23">
        <v>10000</v>
      </c>
      <c r="I166" s="22">
        <v>0</v>
      </c>
      <c r="J166" s="22">
        <v>0</v>
      </c>
      <c r="K166" s="25">
        <v>0</v>
      </c>
      <c r="L166" s="22">
        <v>0</v>
      </c>
      <c r="M166" s="22">
        <v>0</v>
      </c>
      <c r="N166" s="22">
        <v>0</v>
      </c>
      <c r="O166" s="22">
        <v>0</v>
      </c>
      <c r="P166" s="25">
        <v>0</v>
      </c>
    </row>
    <row r="167" spans="1:16" x14ac:dyDescent="0.25">
      <c r="A167" s="22"/>
      <c r="B167" s="22"/>
      <c r="C167" s="22" t="s">
        <v>324</v>
      </c>
      <c r="D167" s="22" t="s">
        <v>105</v>
      </c>
      <c r="E167" s="22">
        <v>0</v>
      </c>
      <c r="F167" s="22">
        <v>0</v>
      </c>
      <c r="G167" s="22">
        <v>0</v>
      </c>
      <c r="H167" s="23">
        <v>10000</v>
      </c>
      <c r="I167" s="22">
        <v>0</v>
      </c>
      <c r="J167" s="22">
        <v>0</v>
      </c>
      <c r="K167" s="25">
        <v>0</v>
      </c>
      <c r="L167" s="22">
        <v>0</v>
      </c>
      <c r="M167" s="22">
        <v>0</v>
      </c>
      <c r="N167" s="22">
        <v>0</v>
      </c>
      <c r="O167" s="22">
        <v>0</v>
      </c>
      <c r="P167" s="25">
        <v>0</v>
      </c>
    </row>
    <row r="168" spans="1:16" x14ac:dyDescent="0.25">
      <c r="A168" s="22"/>
      <c r="B168" s="22"/>
      <c r="C168" s="22" t="s">
        <v>325</v>
      </c>
      <c r="D168" s="22" t="s">
        <v>105</v>
      </c>
      <c r="E168" s="22">
        <v>0</v>
      </c>
      <c r="F168" s="22">
        <v>0</v>
      </c>
      <c r="G168" s="22">
        <v>0</v>
      </c>
      <c r="H168" s="23">
        <v>10000</v>
      </c>
      <c r="I168" s="22">
        <v>0</v>
      </c>
      <c r="J168" s="22">
        <v>0</v>
      </c>
      <c r="K168" s="25">
        <v>0</v>
      </c>
      <c r="L168" s="22">
        <v>0</v>
      </c>
      <c r="M168" s="22">
        <v>0</v>
      </c>
      <c r="N168" s="22">
        <v>0</v>
      </c>
      <c r="O168" s="22">
        <v>0</v>
      </c>
      <c r="P168" s="25">
        <v>0</v>
      </c>
    </row>
    <row r="169" spans="1:16" x14ac:dyDescent="0.25">
      <c r="A169" s="22" t="s">
        <v>326</v>
      </c>
      <c r="B169" s="22" t="s">
        <v>326</v>
      </c>
      <c r="C169" s="22" t="s">
        <v>327</v>
      </c>
      <c r="D169" s="22" t="s">
        <v>133</v>
      </c>
      <c r="E169" s="23">
        <v>133378</v>
      </c>
      <c r="F169" s="22">
        <v>138.19</v>
      </c>
      <c r="G169" s="22">
        <v>965.15</v>
      </c>
      <c r="H169" s="22">
        <v>181.23</v>
      </c>
      <c r="I169" s="22">
        <v>735.96</v>
      </c>
      <c r="J169" s="22">
        <v>597.77</v>
      </c>
      <c r="K169" s="26">
        <v>5.3254999999999999</v>
      </c>
      <c r="L169" s="22">
        <v>0</v>
      </c>
      <c r="M169" s="22">
        <v>0</v>
      </c>
      <c r="N169" s="22">
        <v>0</v>
      </c>
      <c r="O169" s="22">
        <v>0</v>
      </c>
      <c r="P169" s="25">
        <v>0</v>
      </c>
    </row>
    <row r="170" spans="1:16" x14ac:dyDescent="0.25">
      <c r="A170" s="22"/>
      <c r="B170" s="22"/>
      <c r="C170" s="22" t="s">
        <v>328</v>
      </c>
      <c r="D170" s="22" t="s">
        <v>133</v>
      </c>
      <c r="E170" s="23">
        <v>133378</v>
      </c>
      <c r="F170" s="22">
        <v>88.39</v>
      </c>
      <c r="G170" s="24">
        <v>1509.06</v>
      </c>
      <c r="H170" s="24">
        <v>3273.08</v>
      </c>
      <c r="I170" s="22">
        <v>40.75</v>
      </c>
      <c r="J170" s="22">
        <v>-47.63</v>
      </c>
      <c r="K170" s="26">
        <v>0.46110000000000001</v>
      </c>
      <c r="L170" s="22">
        <v>0</v>
      </c>
      <c r="M170" s="22">
        <v>0</v>
      </c>
      <c r="N170" s="22">
        <v>0</v>
      </c>
      <c r="O170" s="22">
        <v>0</v>
      </c>
      <c r="P170" s="25">
        <v>0</v>
      </c>
    </row>
    <row r="171" spans="1:16" x14ac:dyDescent="0.25">
      <c r="A171" s="22"/>
      <c r="B171" s="22"/>
      <c r="C171" s="22" t="s">
        <v>329</v>
      </c>
      <c r="D171" s="22" t="s">
        <v>133</v>
      </c>
      <c r="E171" s="23">
        <v>133378</v>
      </c>
      <c r="F171" s="22">
        <v>0</v>
      </c>
      <c r="G171" s="22">
        <v>0</v>
      </c>
      <c r="H171" s="22">
        <v>0</v>
      </c>
      <c r="I171" s="22">
        <v>0</v>
      </c>
      <c r="J171" s="22">
        <v>0</v>
      </c>
      <c r="K171" s="25">
        <v>0</v>
      </c>
      <c r="L171" s="22">
        <v>0</v>
      </c>
      <c r="M171" s="22">
        <v>0</v>
      </c>
      <c r="N171" s="22">
        <v>0</v>
      </c>
      <c r="O171" s="22">
        <v>0</v>
      </c>
      <c r="P171" s="25">
        <v>0</v>
      </c>
    </row>
    <row r="172" spans="1:16" x14ac:dyDescent="0.25">
      <c r="A172" s="22"/>
      <c r="B172" s="22"/>
      <c r="C172" s="22" t="s">
        <v>330</v>
      </c>
      <c r="D172" s="22" t="s">
        <v>133</v>
      </c>
      <c r="E172" s="23">
        <v>133378</v>
      </c>
      <c r="F172" s="22">
        <v>0</v>
      </c>
      <c r="G172" s="22">
        <v>0</v>
      </c>
      <c r="H172" s="22">
        <v>637.67999999999995</v>
      </c>
      <c r="I172" s="22">
        <v>209.16</v>
      </c>
      <c r="J172" s="22">
        <v>209.16</v>
      </c>
      <c r="K172" s="25">
        <v>0</v>
      </c>
      <c r="L172" s="22">
        <v>0</v>
      </c>
      <c r="M172" s="22">
        <v>0</v>
      </c>
      <c r="N172" s="22">
        <v>0</v>
      </c>
      <c r="O172" s="22">
        <v>0</v>
      </c>
      <c r="P172" s="25">
        <v>0</v>
      </c>
    </row>
    <row r="173" spans="1:16" x14ac:dyDescent="0.25">
      <c r="A173" s="22"/>
      <c r="B173" s="22"/>
      <c r="C173" s="22" t="s">
        <v>331</v>
      </c>
      <c r="D173" s="22" t="s">
        <v>133</v>
      </c>
      <c r="E173" s="23">
        <v>257328</v>
      </c>
      <c r="F173" s="22">
        <v>229.73</v>
      </c>
      <c r="G173" s="24">
        <v>1120.1400000000001</v>
      </c>
      <c r="H173" s="22">
        <v>645.4</v>
      </c>
      <c r="I173" s="22">
        <v>398.71</v>
      </c>
      <c r="J173" s="22">
        <v>168.98</v>
      </c>
      <c r="K173" s="26">
        <v>1.7356</v>
      </c>
      <c r="L173" s="22">
        <v>0</v>
      </c>
      <c r="M173" s="22">
        <v>0</v>
      </c>
      <c r="N173" s="22">
        <v>0</v>
      </c>
      <c r="O173" s="22">
        <v>0</v>
      </c>
      <c r="P173" s="25">
        <v>0</v>
      </c>
    </row>
    <row r="174" spans="1:16" x14ac:dyDescent="0.25">
      <c r="A174" s="22"/>
      <c r="B174" s="22"/>
      <c r="C174" s="22" t="s">
        <v>332</v>
      </c>
      <c r="D174" s="22" t="s">
        <v>133</v>
      </c>
      <c r="E174" s="23">
        <v>133378</v>
      </c>
      <c r="F174" s="22">
        <v>0</v>
      </c>
      <c r="G174" s="22">
        <v>0</v>
      </c>
      <c r="H174" s="22">
        <v>0</v>
      </c>
      <c r="I174" s="22">
        <v>0</v>
      </c>
      <c r="J174" s="22">
        <v>0</v>
      </c>
      <c r="K174" s="25">
        <v>0</v>
      </c>
      <c r="L174" s="22">
        <v>0</v>
      </c>
      <c r="M174" s="22">
        <v>0</v>
      </c>
      <c r="N174" s="22">
        <v>0</v>
      </c>
      <c r="O174" s="22">
        <v>0</v>
      </c>
      <c r="P174" s="25">
        <v>0</v>
      </c>
    </row>
    <row r="175" spans="1:16" x14ac:dyDescent="0.25">
      <c r="A175" s="22" t="s">
        <v>333</v>
      </c>
      <c r="B175" s="22" t="s">
        <v>334</v>
      </c>
      <c r="C175" s="22" t="s">
        <v>335</v>
      </c>
      <c r="D175" s="22" t="s">
        <v>102</v>
      </c>
      <c r="E175" s="22">
        <v>0</v>
      </c>
      <c r="F175" s="22">
        <v>0</v>
      </c>
      <c r="G175" s="22">
        <v>0</v>
      </c>
      <c r="H175" s="23">
        <v>10000</v>
      </c>
      <c r="I175" s="22">
        <v>0</v>
      </c>
      <c r="J175" s="22">
        <v>0</v>
      </c>
      <c r="K175" s="25">
        <v>0</v>
      </c>
      <c r="L175" s="22">
        <v>0</v>
      </c>
      <c r="M175" s="22">
        <v>0</v>
      </c>
      <c r="N175" s="22">
        <v>0</v>
      </c>
      <c r="O175" s="22">
        <v>0</v>
      </c>
      <c r="P175" s="25">
        <v>0</v>
      </c>
    </row>
    <row r="176" spans="1:16" x14ac:dyDescent="0.25">
      <c r="A176" s="22"/>
      <c r="B176" s="22"/>
      <c r="C176" s="22" t="s">
        <v>336</v>
      </c>
      <c r="D176" s="22" t="s">
        <v>102</v>
      </c>
      <c r="E176" s="22">
        <v>0</v>
      </c>
      <c r="F176" s="22">
        <v>0</v>
      </c>
      <c r="G176" s="22">
        <v>0</v>
      </c>
      <c r="H176" s="23">
        <v>10000</v>
      </c>
      <c r="I176" s="22">
        <v>0</v>
      </c>
      <c r="J176" s="22">
        <v>0</v>
      </c>
      <c r="K176" s="25">
        <v>0</v>
      </c>
      <c r="L176" s="22">
        <v>0</v>
      </c>
      <c r="M176" s="22">
        <v>0</v>
      </c>
      <c r="N176" s="22">
        <v>0</v>
      </c>
      <c r="O176" s="22">
        <v>0</v>
      </c>
      <c r="P176" s="25">
        <v>0</v>
      </c>
    </row>
    <row r="177" spans="1:16" x14ac:dyDescent="0.25">
      <c r="A177" s="22"/>
      <c r="B177" s="22"/>
      <c r="C177" s="22" t="s">
        <v>337</v>
      </c>
      <c r="D177" s="22" t="s">
        <v>102</v>
      </c>
      <c r="E177" s="22">
        <v>0</v>
      </c>
      <c r="F177" s="22">
        <v>0</v>
      </c>
      <c r="G177" s="22">
        <v>0</v>
      </c>
      <c r="H177" s="23">
        <v>10000</v>
      </c>
      <c r="I177" s="22">
        <v>0</v>
      </c>
      <c r="J177" s="22">
        <v>0</v>
      </c>
      <c r="K177" s="25">
        <v>0</v>
      </c>
      <c r="L177" s="22">
        <v>0</v>
      </c>
      <c r="M177" s="22">
        <v>0</v>
      </c>
      <c r="N177" s="22">
        <v>0</v>
      </c>
      <c r="O177" s="22">
        <v>0</v>
      </c>
      <c r="P177" s="25">
        <v>0</v>
      </c>
    </row>
    <row r="178" spans="1:16" x14ac:dyDescent="0.2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x14ac:dyDescent="0.25">
      <c r="A179" s="22" t="s">
        <v>338</v>
      </c>
      <c r="B179" s="22" t="s">
        <v>338</v>
      </c>
      <c r="C179" s="22" t="s">
        <v>339</v>
      </c>
      <c r="D179" s="22" t="s">
        <v>105</v>
      </c>
      <c r="E179" s="23">
        <v>1096</v>
      </c>
      <c r="F179" s="22">
        <v>257.64999999999998</v>
      </c>
      <c r="G179" s="22">
        <v>4.25</v>
      </c>
      <c r="H179" s="22">
        <v>4.3499999999999996</v>
      </c>
      <c r="I179" s="22">
        <v>251.93</v>
      </c>
      <c r="J179" s="22">
        <v>-5.72</v>
      </c>
      <c r="K179" s="26">
        <v>0.9778</v>
      </c>
      <c r="L179" s="22">
        <v>0</v>
      </c>
      <c r="M179" s="22">
        <v>0</v>
      </c>
      <c r="N179" s="22">
        <v>0</v>
      </c>
      <c r="O179" s="22">
        <v>0</v>
      </c>
      <c r="P179" s="25">
        <v>0</v>
      </c>
    </row>
    <row r="180" spans="1:16" x14ac:dyDescent="0.25">
      <c r="A180" s="22"/>
      <c r="B180" s="22"/>
      <c r="C180" s="22" t="s">
        <v>340</v>
      </c>
      <c r="D180" s="22" t="s">
        <v>105</v>
      </c>
      <c r="E180" s="23">
        <v>122854</v>
      </c>
      <c r="F180" s="22">
        <v>879.86</v>
      </c>
      <c r="G180" s="22">
        <v>139.63</v>
      </c>
      <c r="H180" s="22">
        <v>112.33</v>
      </c>
      <c r="I180" s="24">
        <v>1093.67</v>
      </c>
      <c r="J180" s="22">
        <v>213.81</v>
      </c>
      <c r="K180" s="26">
        <v>1.2430000000000001</v>
      </c>
      <c r="L180" s="22">
        <v>0</v>
      </c>
      <c r="M180" s="22">
        <v>0</v>
      </c>
      <c r="N180" s="22">
        <v>0</v>
      </c>
      <c r="O180" s="22">
        <v>0</v>
      </c>
      <c r="P180" s="25">
        <v>0</v>
      </c>
    </row>
    <row r="181" spans="1:16" x14ac:dyDescent="0.25">
      <c r="A181" s="22"/>
      <c r="B181" s="22"/>
      <c r="C181" s="22" t="s">
        <v>341</v>
      </c>
      <c r="D181" s="22" t="s">
        <v>105</v>
      </c>
      <c r="E181" s="23">
        <v>123950</v>
      </c>
      <c r="F181" s="24">
        <v>1137.52</v>
      </c>
      <c r="G181" s="22">
        <v>108.97</v>
      </c>
      <c r="H181" s="22">
        <v>92.11</v>
      </c>
      <c r="I181" s="24">
        <v>1345.6</v>
      </c>
      <c r="J181" s="22">
        <v>208.09</v>
      </c>
      <c r="K181" s="26">
        <v>1.1829000000000001</v>
      </c>
      <c r="L181" s="22">
        <v>0</v>
      </c>
      <c r="M181" s="22">
        <v>0</v>
      </c>
      <c r="N181" s="22">
        <v>0</v>
      </c>
      <c r="O181" s="22">
        <v>0</v>
      </c>
      <c r="P181" s="25">
        <v>0</v>
      </c>
    </row>
    <row r="182" spans="1:16" x14ac:dyDescent="0.25">
      <c r="A182" s="22"/>
      <c r="B182" s="22"/>
      <c r="C182" s="22" t="s">
        <v>342</v>
      </c>
      <c r="D182" s="22" t="s">
        <v>105</v>
      </c>
      <c r="E182" s="23">
        <v>107328</v>
      </c>
      <c r="F182" s="24">
        <v>2084.6</v>
      </c>
      <c r="G182" s="22">
        <v>51.49</v>
      </c>
      <c r="H182" s="22">
        <v>46.61</v>
      </c>
      <c r="I182" s="24">
        <v>2302.5700000000002</v>
      </c>
      <c r="J182" s="22">
        <v>217.97</v>
      </c>
      <c r="K182" s="26">
        <v>1.1046</v>
      </c>
      <c r="L182" s="22">
        <v>0</v>
      </c>
      <c r="M182" s="22">
        <v>0</v>
      </c>
      <c r="N182" s="22">
        <v>0</v>
      </c>
      <c r="O182" s="22">
        <v>0</v>
      </c>
      <c r="P182" s="25">
        <v>0</v>
      </c>
    </row>
    <row r="183" spans="1:16" x14ac:dyDescent="0.25">
      <c r="A183" s="22"/>
      <c r="B183" s="22"/>
      <c r="C183" s="22" t="s">
        <v>343</v>
      </c>
      <c r="D183" s="22" t="s">
        <v>105</v>
      </c>
      <c r="E183" s="23">
        <v>26050</v>
      </c>
      <c r="F183" s="22">
        <v>187.27</v>
      </c>
      <c r="G183" s="22">
        <v>139.1</v>
      </c>
      <c r="H183" s="22">
        <v>98.16</v>
      </c>
      <c r="I183" s="22">
        <v>265.39</v>
      </c>
      <c r="J183" s="22">
        <v>78.12</v>
      </c>
      <c r="K183" s="26">
        <v>1.4172</v>
      </c>
      <c r="L183" s="22">
        <v>0</v>
      </c>
      <c r="M183" s="22">
        <v>0</v>
      </c>
      <c r="N183" s="22">
        <v>0</v>
      </c>
      <c r="O183" s="22">
        <v>0</v>
      </c>
      <c r="P183" s="25">
        <v>0</v>
      </c>
    </row>
    <row r="184" spans="1:16" x14ac:dyDescent="0.25">
      <c r="A184" s="22"/>
      <c r="B184" s="22"/>
      <c r="C184" s="22" t="s">
        <v>344</v>
      </c>
      <c r="D184" s="22" t="s">
        <v>105</v>
      </c>
      <c r="E184" s="22">
        <v>0</v>
      </c>
      <c r="F184" s="22">
        <v>4.62</v>
      </c>
      <c r="G184" s="22">
        <v>0</v>
      </c>
      <c r="H184" s="22">
        <v>0</v>
      </c>
      <c r="I184" s="22">
        <v>0.09</v>
      </c>
      <c r="J184" s="22">
        <v>-4.5199999999999996</v>
      </c>
      <c r="K184" s="26">
        <v>2.0299999999999999E-2</v>
      </c>
      <c r="L184" s="22">
        <v>0</v>
      </c>
      <c r="M184" s="22">
        <v>0</v>
      </c>
      <c r="N184" s="22">
        <v>0</v>
      </c>
      <c r="O184" s="22">
        <v>0</v>
      </c>
      <c r="P184" s="25">
        <v>0</v>
      </c>
    </row>
    <row r="185" spans="1:16" x14ac:dyDescent="0.25">
      <c r="A185" s="22"/>
      <c r="B185" s="22"/>
      <c r="C185" s="22" t="s">
        <v>345</v>
      </c>
      <c r="D185" s="22" t="s">
        <v>105</v>
      </c>
      <c r="E185" s="22">
        <v>0</v>
      </c>
      <c r="F185" s="22">
        <v>0</v>
      </c>
      <c r="G185" s="22">
        <v>0</v>
      </c>
      <c r="H185" s="22">
        <v>0</v>
      </c>
      <c r="I185" s="22">
        <v>0</v>
      </c>
      <c r="J185" s="22">
        <v>0</v>
      </c>
      <c r="K185" s="25">
        <v>0</v>
      </c>
      <c r="L185" s="22">
        <v>0</v>
      </c>
      <c r="M185" s="22">
        <v>0</v>
      </c>
      <c r="N185" s="22">
        <v>0</v>
      </c>
      <c r="O185" s="22">
        <v>0</v>
      </c>
      <c r="P185" s="25">
        <v>0</v>
      </c>
    </row>
    <row r="186" spans="1:16" x14ac:dyDescent="0.25">
      <c r="A186" s="22"/>
      <c r="B186" s="22"/>
      <c r="C186" s="22" t="s">
        <v>346</v>
      </c>
      <c r="D186" s="22" t="s">
        <v>105</v>
      </c>
      <c r="E186" s="23">
        <v>133378</v>
      </c>
      <c r="F186" s="22">
        <v>456.31</v>
      </c>
      <c r="G186" s="22">
        <v>292.3</v>
      </c>
      <c r="H186" s="22">
        <v>96.33</v>
      </c>
      <c r="I186" s="24">
        <v>1384.58</v>
      </c>
      <c r="J186" s="22">
        <v>928.27</v>
      </c>
      <c r="K186" s="26">
        <v>3.0343</v>
      </c>
      <c r="L186" s="22">
        <v>0</v>
      </c>
      <c r="M186" s="22">
        <v>0</v>
      </c>
      <c r="N186" s="22">
        <v>0</v>
      </c>
      <c r="O186" s="22">
        <v>0</v>
      </c>
      <c r="P186" s="25">
        <v>0</v>
      </c>
    </row>
    <row r="187" spans="1:16" x14ac:dyDescent="0.25">
      <c r="A187" s="22"/>
      <c r="B187" s="22"/>
      <c r="C187" s="22" t="s">
        <v>347</v>
      </c>
      <c r="D187" s="22" t="s">
        <v>102</v>
      </c>
      <c r="E187" s="22">
        <v>0</v>
      </c>
      <c r="F187" s="22">
        <v>0</v>
      </c>
      <c r="G187" s="22">
        <v>0</v>
      </c>
      <c r="H187" s="22">
        <v>0</v>
      </c>
      <c r="I187" s="22">
        <v>0</v>
      </c>
      <c r="J187" s="22">
        <v>0</v>
      </c>
      <c r="K187" s="25">
        <v>0</v>
      </c>
      <c r="L187" s="22">
        <v>0</v>
      </c>
      <c r="M187" s="22">
        <v>0</v>
      </c>
      <c r="N187" s="22">
        <v>0</v>
      </c>
      <c r="O187" s="22">
        <v>0</v>
      </c>
      <c r="P187" s="25">
        <v>0</v>
      </c>
    </row>
    <row r="188" spans="1:16" x14ac:dyDescent="0.25">
      <c r="A188" s="22"/>
      <c r="B188" s="22"/>
      <c r="C188" s="22" t="s">
        <v>348</v>
      </c>
      <c r="D188" s="22" t="s">
        <v>105</v>
      </c>
      <c r="E188" s="23">
        <v>257328</v>
      </c>
      <c r="F188" s="24">
        <v>3870.31</v>
      </c>
      <c r="G188" s="22">
        <v>66.489999999999995</v>
      </c>
      <c r="H188" s="22">
        <v>48.57</v>
      </c>
      <c r="I188" s="24">
        <v>5298.24</v>
      </c>
      <c r="J188" s="24">
        <v>1427.92</v>
      </c>
      <c r="K188" s="26">
        <v>1.3689</v>
      </c>
      <c r="L188" s="22">
        <v>0</v>
      </c>
      <c r="M188" s="22">
        <v>0</v>
      </c>
      <c r="N188" s="22">
        <v>0</v>
      </c>
      <c r="O188" s="22">
        <v>0</v>
      </c>
      <c r="P188" s="25">
        <v>0</v>
      </c>
    </row>
    <row r="189" spans="1:16" x14ac:dyDescent="0.2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</row>
    <row r="190" spans="1:16" x14ac:dyDescent="0.25">
      <c r="A190" s="22" t="s">
        <v>349</v>
      </c>
      <c r="B190" s="22" t="s">
        <v>349</v>
      </c>
      <c r="C190" s="22" t="s">
        <v>350</v>
      </c>
      <c r="D190" s="22" t="s">
        <v>105</v>
      </c>
      <c r="E190" s="23">
        <v>123950</v>
      </c>
      <c r="F190" s="24">
        <v>1137.52</v>
      </c>
      <c r="G190" s="22">
        <v>108.97</v>
      </c>
      <c r="H190" s="22">
        <v>92.11</v>
      </c>
      <c r="I190" s="24">
        <v>1345.6</v>
      </c>
      <c r="J190" s="22">
        <v>208.09</v>
      </c>
      <c r="K190" s="26">
        <v>1.1829000000000001</v>
      </c>
      <c r="L190" s="22">
        <v>0</v>
      </c>
      <c r="M190" s="22">
        <v>0</v>
      </c>
      <c r="N190" s="22">
        <v>0</v>
      </c>
      <c r="O190" s="22">
        <v>0</v>
      </c>
      <c r="P190" s="25">
        <v>0</v>
      </c>
    </row>
    <row r="191" spans="1:16" x14ac:dyDescent="0.25">
      <c r="A191" s="22"/>
      <c r="B191" s="22"/>
      <c r="C191" s="22" t="s">
        <v>351</v>
      </c>
      <c r="D191" s="22" t="s">
        <v>105</v>
      </c>
      <c r="E191" s="23">
        <v>26050</v>
      </c>
      <c r="F191" s="22">
        <v>187.27</v>
      </c>
      <c r="G191" s="22">
        <v>139.1</v>
      </c>
      <c r="H191" s="22">
        <v>98.16</v>
      </c>
      <c r="I191" s="22">
        <v>265.39</v>
      </c>
      <c r="J191" s="22">
        <v>78.12</v>
      </c>
      <c r="K191" s="26">
        <v>1.4172</v>
      </c>
      <c r="L191" s="22">
        <v>0</v>
      </c>
      <c r="M191" s="22">
        <v>0</v>
      </c>
      <c r="N191" s="22">
        <v>0</v>
      </c>
      <c r="O191" s="22">
        <v>0</v>
      </c>
      <c r="P191" s="25">
        <v>0</v>
      </c>
    </row>
    <row r="192" spans="1:16" x14ac:dyDescent="0.25">
      <c r="A192" s="22"/>
      <c r="B192" s="22"/>
      <c r="C192" s="22" t="s">
        <v>344</v>
      </c>
      <c r="D192" s="22" t="s">
        <v>105</v>
      </c>
      <c r="E192" s="22">
        <v>0</v>
      </c>
      <c r="F192" s="22">
        <v>4.62</v>
      </c>
      <c r="G192" s="22">
        <v>0</v>
      </c>
      <c r="H192" s="22">
        <v>0</v>
      </c>
      <c r="I192" s="22">
        <v>0.09</v>
      </c>
      <c r="J192" s="22">
        <v>-4.5199999999999996</v>
      </c>
      <c r="K192" s="26">
        <v>2.0299999999999999E-2</v>
      </c>
      <c r="L192" s="22">
        <v>0</v>
      </c>
      <c r="M192" s="22">
        <v>0</v>
      </c>
      <c r="N192" s="22">
        <v>0</v>
      </c>
      <c r="O192" s="22">
        <v>0</v>
      </c>
      <c r="P192" s="25">
        <v>0</v>
      </c>
    </row>
    <row r="193" spans="1:16" x14ac:dyDescent="0.25">
      <c r="A193" s="22"/>
      <c r="B193" s="22"/>
      <c r="C193" s="22" t="s">
        <v>346</v>
      </c>
      <c r="D193" s="22" t="s">
        <v>105</v>
      </c>
      <c r="E193" s="23">
        <v>26050</v>
      </c>
      <c r="F193" s="22">
        <v>456.31</v>
      </c>
      <c r="G193" s="22">
        <v>57.09</v>
      </c>
      <c r="H193" s="22">
        <v>22.16</v>
      </c>
      <c r="I193" s="24">
        <v>1175.42</v>
      </c>
      <c r="J193" s="22">
        <v>719.11</v>
      </c>
      <c r="K193" s="26">
        <v>2.5758999999999999</v>
      </c>
      <c r="L193" s="22">
        <v>0</v>
      </c>
      <c r="M193" s="22">
        <v>0</v>
      </c>
      <c r="N193" s="22">
        <v>0</v>
      </c>
      <c r="O193" s="22">
        <v>0</v>
      </c>
      <c r="P193" s="25">
        <v>0</v>
      </c>
    </row>
    <row r="194" spans="1:16" x14ac:dyDescent="0.25">
      <c r="A194" s="22"/>
      <c r="B194" s="22"/>
      <c r="C194" s="22" t="s">
        <v>347</v>
      </c>
      <c r="D194" s="22" t="s">
        <v>102</v>
      </c>
      <c r="E194" s="22">
        <v>0</v>
      </c>
      <c r="F194" s="22">
        <v>0</v>
      </c>
      <c r="G194" s="22">
        <v>0</v>
      </c>
      <c r="H194" s="22">
        <v>0</v>
      </c>
      <c r="I194" s="22">
        <v>0</v>
      </c>
      <c r="J194" s="22">
        <v>0</v>
      </c>
      <c r="K194" s="25">
        <v>0</v>
      </c>
      <c r="L194" s="22">
        <v>0</v>
      </c>
      <c r="M194" s="22">
        <v>0</v>
      </c>
      <c r="N194" s="22">
        <v>0</v>
      </c>
      <c r="O194" s="22">
        <v>0</v>
      </c>
      <c r="P194" s="25">
        <v>0</v>
      </c>
    </row>
    <row r="195" spans="1:16" x14ac:dyDescent="0.25">
      <c r="A195" s="22"/>
      <c r="B195" s="22"/>
      <c r="C195" s="22" t="s">
        <v>348</v>
      </c>
      <c r="D195" s="22" t="s">
        <v>105</v>
      </c>
      <c r="E195" s="23">
        <v>150000</v>
      </c>
      <c r="F195" s="24">
        <v>1785.71</v>
      </c>
      <c r="G195" s="22">
        <v>84</v>
      </c>
      <c r="H195" s="22">
        <v>53.83</v>
      </c>
      <c r="I195" s="24">
        <v>2786.51</v>
      </c>
      <c r="J195" s="24">
        <v>1000.8</v>
      </c>
      <c r="K195" s="26">
        <v>1.5604</v>
      </c>
      <c r="L195" s="22">
        <v>0</v>
      </c>
      <c r="M195" s="22">
        <v>0</v>
      </c>
      <c r="N195" s="22">
        <v>0</v>
      </c>
      <c r="O195" s="22">
        <v>0</v>
      </c>
      <c r="P195" s="25">
        <v>0</v>
      </c>
    </row>
    <row r="196" spans="1:16" x14ac:dyDescent="0.2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</row>
    <row r="197" spans="1:16" x14ac:dyDescent="0.25">
      <c r="A197" s="22" t="s">
        <v>352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</row>
    <row r="198" spans="1:16" x14ac:dyDescent="0.25">
      <c r="A198" s="22" t="s">
        <v>353</v>
      </c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</row>
    <row r="199" spans="1:16" x14ac:dyDescent="0.25">
      <c r="A199" s="22" t="s">
        <v>354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</row>
    <row r="200" spans="1:16" x14ac:dyDescent="0.25">
      <c r="A200" s="22" t="s">
        <v>355</v>
      </c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</row>
    <row r="201" spans="1:16" x14ac:dyDescent="0.25">
      <c r="A201" s="22" t="s">
        <v>356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7"/>
  <sheetViews>
    <sheetView tabSelected="1" workbookViewId="0">
      <selection sqref="A1:K1048576"/>
    </sheetView>
  </sheetViews>
  <sheetFormatPr defaultRowHeight="15" x14ac:dyDescent="0.25"/>
  <cols>
    <col min="1" max="2" width="9.140625" style="13"/>
    <col min="3" max="3" width="13.7109375" style="13" bestFit="1" customWidth="1"/>
    <col min="4" max="4" width="12.7109375" style="13" bestFit="1" customWidth="1"/>
    <col min="5" max="5" width="10.7109375" style="13" customWidth="1"/>
    <col min="6" max="6" width="11.28515625" style="13" customWidth="1"/>
    <col min="7" max="7" width="10.5703125" style="13" customWidth="1"/>
    <col min="8" max="8" width="14.28515625" style="13" bestFit="1" customWidth="1"/>
    <col min="9" max="10" width="9.28515625" style="13"/>
    <col min="11" max="11" width="13.7109375" style="13" customWidth="1"/>
  </cols>
  <sheetData>
    <row r="1" spans="1:10" ht="15.75" thickBot="1" x14ac:dyDescent="0.3">
      <c r="A1" s="11"/>
      <c r="B1" s="11"/>
      <c r="C1" s="11"/>
      <c r="D1" s="11"/>
      <c r="E1" s="11"/>
      <c r="F1" s="11"/>
      <c r="G1" s="11"/>
      <c r="H1" s="12"/>
      <c r="I1" s="16" t="s">
        <v>59</v>
      </c>
      <c r="J1" s="11"/>
    </row>
    <row r="2" spans="1:10" x14ac:dyDescent="0.25">
      <c r="A2" s="11"/>
      <c r="B2" s="69" t="s">
        <v>953</v>
      </c>
      <c r="C2" s="70"/>
      <c r="D2" s="70"/>
      <c r="E2" s="70"/>
      <c r="F2" s="73" t="s">
        <v>357</v>
      </c>
      <c r="G2" s="73"/>
      <c r="H2" s="73"/>
      <c r="I2" s="74"/>
      <c r="J2" s="11"/>
    </row>
    <row r="3" spans="1:10" ht="15.75" thickBot="1" x14ac:dyDescent="0.3">
      <c r="A3" s="11"/>
      <c r="B3" s="71"/>
      <c r="C3" s="72"/>
      <c r="D3" s="72"/>
      <c r="E3" s="72"/>
      <c r="F3" s="75"/>
      <c r="G3" s="75"/>
      <c r="H3" s="75"/>
      <c r="I3" s="76"/>
      <c r="J3" s="11"/>
    </row>
    <row r="4" spans="1:10" x14ac:dyDescent="0.25">
      <c r="A4" s="11"/>
      <c r="B4" s="39" t="s">
        <v>54</v>
      </c>
      <c r="C4" s="40"/>
      <c r="D4" s="40" t="s">
        <v>55</v>
      </c>
      <c r="E4" s="41"/>
      <c r="F4" s="107"/>
      <c r="G4" s="108"/>
      <c r="H4" s="108"/>
      <c r="I4" s="109"/>
      <c r="J4" s="11"/>
    </row>
    <row r="5" spans="1:10" x14ac:dyDescent="0.25">
      <c r="A5" s="11"/>
      <c r="B5" s="42">
        <v>44273</v>
      </c>
      <c r="C5" s="43"/>
      <c r="D5" s="42">
        <v>44274</v>
      </c>
      <c r="E5" s="43"/>
      <c r="F5" s="110"/>
      <c r="G5" s="111"/>
      <c r="H5" s="111"/>
      <c r="I5" s="112"/>
      <c r="J5" s="15">
        <v>10</v>
      </c>
    </row>
    <row r="6" spans="1:10" ht="15.75" thickBot="1" x14ac:dyDescent="0.3">
      <c r="A6" s="11"/>
      <c r="B6" s="46">
        <v>0.75</v>
      </c>
      <c r="C6" s="47"/>
      <c r="D6" s="46">
        <v>0</v>
      </c>
      <c r="E6" s="47"/>
      <c r="F6" s="113"/>
      <c r="G6" s="114"/>
      <c r="H6" s="114"/>
      <c r="I6" s="115"/>
      <c r="J6" s="11"/>
    </row>
    <row r="7" spans="1:10" x14ac:dyDescent="0.25">
      <c r="A7" s="11"/>
      <c r="B7" s="39" t="s">
        <v>56</v>
      </c>
      <c r="C7" s="40"/>
      <c r="D7" s="40"/>
      <c r="E7" s="41"/>
      <c r="F7" s="39" t="s">
        <v>57</v>
      </c>
      <c r="G7" s="40"/>
      <c r="H7" s="40"/>
      <c r="I7" s="41"/>
      <c r="J7" s="11"/>
    </row>
    <row r="8" spans="1:10" x14ac:dyDescent="0.25">
      <c r="A8" s="11"/>
      <c r="B8" s="99" t="s">
        <v>58</v>
      </c>
      <c r="C8" s="100"/>
      <c r="D8" s="122">
        <v>81564</v>
      </c>
      <c r="E8" s="123"/>
      <c r="F8" s="99" t="s">
        <v>58</v>
      </c>
      <c r="G8" s="100"/>
      <c r="H8" s="67">
        <v>81564</v>
      </c>
      <c r="I8" s="68"/>
      <c r="J8" s="11"/>
    </row>
    <row r="9" spans="1:10" x14ac:dyDescent="0.25">
      <c r="A9" s="11"/>
      <c r="B9" s="99" t="s">
        <v>60</v>
      </c>
      <c r="C9" s="100"/>
      <c r="D9" s="118">
        <v>156.85</v>
      </c>
      <c r="E9" s="119"/>
      <c r="F9" s="99" t="s">
        <v>61</v>
      </c>
      <c r="G9" s="100"/>
      <c r="H9" s="63">
        <v>181.52</v>
      </c>
      <c r="I9" s="64"/>
      <c r="J9" s="11"/>
    </row>
    <row r="10" spans="1:10" ht="15.75" thickBot="1" x14ac:dyDescent="0.3">
      <c r="A10" s="11"/>
      <c r="B10" s="103" t="s">
        <v>62</v>
      </c>
      <c r="C10" s="104"/>
      <c r="D10" s="120">
        <v>520.01</v>
      </c>
      <c r="E10" s="121"/>
      <c r="F10" s="103" t="s">
        <v>62</v>
      </c>
      <c r="G10" s="104"/>
      <c r="H10" s="105">
        <v>449.33891582194798</v>
      </c>
      <c r="I10" s="106"/>
      <c r="J10" s="11"/>
    </row>
    <row r="11" spans="1:10" x14ac:dyDescent="0.25">
      <c r="A11" s="11"/>
      <c r="B11" s="39" t="s">
        <v>63</v>
      </c>
      <c r="C11" s="40"/>
      <c r="D11" s="40"/>
      <c r="E11" s="41"/>
      <c r="F11" s="39" t="s">
        <v>64</v>
      </c>
      <c r="G11" s="40"/>
      <c r="H11" s="40"/>
      <c r="I11" s="41"/>
      <c r="J11" s="11"/>
    </row>
    <row r="12" spans="1:10" x14ac:dyDescent="0.25">
      <c r="A12" s="11"/>
      <c r="B12" s="99" t="s">
        <v>65</v>
      </c>
      <c r="C12" s="100"/>
      <c r="D12" s="116">
        <v>4.4799999999999995</v>
      </c>
      <c r="E12" s="117"/>
      <c r="F12" s="99" t="s">
        <v>65</v>
      </c>
      <c r="G12" s="100"/>
      <c r="H12" s="65">
        <v>-36</v>
      </c>
      <c r="I12" s="66"/>
      <c r="J12" s="11"/>
    </row>
    <row r="13" spans="1:10" x14ac:dyDescent="0.25">
      <c r="A13" s="11"/>
      <c r="B13" s="99" t="s">
        <v>66</v>
      </c>
      <c r="C13" s="100"/>
      <c r="D13" s="116">
        <v>27.580000000000002</v>
      </c>
      <c r="E13" s="117"/>
      <c r="F13" s="99" t="s">
        <v>66</v>
      </c>
      <c r="G13" s="100"/>
      <c r="H13" s="65">
        <v>0</v>
      </c>
      <c r="I13" s="66"/>
    </row>
    <row r="14" spans="1:10" x14ac:dyDescent="0.25">
      <c r="A14" s="11"/>
      <c r="B14" s="99" t="s">
        <v>67</v>
      </c>
      <c r="C14" s="100"/>
      <c r="D14" s="116">
        <v>18.240000000000002</v>
      </c>
      <c r="E14" s="117"/>
      <c r="F14" s="99" t="s">
        <v>67</v>
      </c>
      <c r="G14" s="100"/>
      <c r="H14" s="65">
        <v>0</v>
      </c>
      <c r="I14" s="66"/>
    </row>
    <row r="15" spans="1:10" x14ac:dyDescent="0.25">
      <c r="A15" s="11"/>
      <c r="B15" s="99" t="s">
        <v>68</v>
      </c>
      <c r="C15" s="100"/>
      <c r="D15" s="116">
        <v>39.14</v>
      </c>
      <c r="E15" s="117"/>
      <c r="F15" s="99" t="s">
        <v>68</v>
      </c>
      <c r="G15" s="100"/>
      <c r="H15" s="65">
        <v>0</v>
      </c>
      <c r="I15" s="66"/>
    </row>
    <row r="16" spans="1:10" x14ac:dyDescent="0.25">
      <c r="A16" s="11"/>
      <c r="B16" s="99" t="s">
        <v>69</v>
      </c>
      <c r="C16" s="100"/>
      <c r="D16" s="116">
        <v>46.870000000000005</v>
      </c>
      <c r="E16" s="117"/>
      <c r="F16" s="99" t="s">
        <v>69</v>
      </c>
      <c r="G16" s="100"/>
      <c r="H16" s="65">
        <v>0</v>
      </c>
      <c r="I16" s="66"/>
      <c r="J16" s="11"/>
    </row>
    <row r="17" spans="1:11" x14ac:dyDescent="0.25">
      <c r="A17" s="11"/>
      <c r="B17" s="99" t="s">
        <v>70</v>
      </c>
      <c r="C17" s="100"/>
      <c r="D17" s="116">
        <v>5.57</v>
      </c>
      <c r="E17" s="117"/>
      <c r="F17" s="99" t="s">
        <v>70</v>
      </c>
      <c r="G17" s="100"/>
      <c r="H17" s="65">
        <v>0</v>
      </c>
      <c r="I17" s="66"/>
    </row>
    <row r="18" spans="1:11" ht="15.75" thickBot="1" x14ac:dyDescent="0.3">
      <c r="A18" s="11"/>
      <c r="B18" s="101" t="s">
        <v>71</v>
      </c>
      <c r="C18" s="102"/>
      <c r="D18" s="116">
        <v>0</v>
      </c>
      <c r="E18" s="117"/>
      <c r="F18" s="101" t="s">
        <v>71</v>
      </c>
      <c r="G18" s="102"/>
      <c r="H18" s="63">
        <v>0</v>
      </c>
      <c r="I18" s="64"/>
    </row>
    <row r="19" spans="1:11" ht="16.5" thickTop="1" thickBot="1" x14ac:dyDescent="0.3">
      <c r="A19" s="11"/>
      <c r="B19" s="80" t="s">
        <v>72</v>
      </c>
      <c r="C19" s="81"/>
      <c r="D19" s="59">
        <v>0.47</v>
      </c>
      <c r="E19" s="60"/>
      <c r="F19" s="80" t="s">
        <v>72</v>
      </c>
      <c r="G19" s="81"/>
      <c r="H19" s="63">
        <v>-36</v>
      </c>
      <c r="I19" s="96"/>
      <c r="J19" s="57" t="s">
        <v>622</v>
      </c>
      <c r="K19" s="58"/>
    </row>
    <row r="20" spans="1:11" ht="16.5" thickTop="1" thickBot="1" x14ac:dyDescent="0.3">
      <c r="A20" s="33">
        <v>0.1240038253108063</v>
      </c>
      <c r="B20" s="88" t="s">
        <v>73</v>
      </c>
      <c r="C20" s="89"/>
      <c r="D20" s="61">
        <v>142.35</v>
      </c>
      <c r="E20" s="62"/>
      <c r="F20" s="88" t="s">
        <v>73</v>
      </c>
      <c r="G20" s="89"/>
      <c r="H20" s="97">
        <v>-72</v>
      </c>
      <c r="I20" s="98"/>
      <c r="J20" s="51" t="s">
        <v>623</v>
      </c>
      <c r="K20" s="52"/>
    </row>
    <row r="21" spans="1:11" ht="15.75" thickBot="1" x14ac:dyDescent="0.3">
      <c r="A21" s="11"/>
      <c r="B21" s="77" t="s">
        <v>75</v>
      </c>
      <c r="C21" s="78"/>
      <c r="D21" s="78"/>
      <c r="E21" s="79"/>
      <c r="F21" s="77" t="s">
        <v>76</v>
      </c>
      <c r="G21" s="78"/>
      <c r="H21" s="78"/>
      <c r="I21" s="78"/>
      <c r="J21" s="49">
        <v>0</v>
      </c>
      <c r="K21" s="50"/>
    </row>
    <row r="22" spans="1:11" ht="15.75" thickTop="1" x14ac:dyDescent="0.25">
      <c r="A22" s="11"/>
      <c r="B22" s="80" t="s">
        <v>66</v>
      </c>
      <c r="C22" s="81"/>
      <c r="D22" s="84">
        <v>0</v>
      </c>
      <c r="E22" s="85"/>
      <c r="F22" s="80" t="s">
        <v>66</v>
      </c>
      <c r="G22" s="81"/>
      <c r="H22" s="86">
        <v>640</v>
      </c>
      <c r="I22" s="87"/>
      <c r="J22" s="55" t="s">
        <v>621</v>
      </c>
      <c r="K22" s="56"/>
    </row>
    <row r="23" spans="1:11" ht="15.75" thickBot="1" x14ac:dyDescent="0.3">
      <c r="A23" s="11"/>
      <c r="B23" s="80" t="s">
        <v>77</v>
      </c>
      <c r="C23" s="81"/>
      <c r="D23" s="84">
        <v>0</v>
      </c>
      <c r="E23" s="85"/>
      <c r="F23" s="80" t="s">
        <v>77</v>
      </c>
      <c r="G23" s="81"/>
      <c r="H23" s="86">
        <v>1500</v>
      </c>
      <c r="I23" s="87"/>
      <c r="J23" s="49">
        <v>0</v>
      </c>
      <c r="K23" s="50"/>
    </row>
    <row r="24" spans="1:11" ht="15.75" thickTop="1" x14ac:dyDescent="0.25">
      <c r="A24" s="11"/>
      <c r="B24" s="80" t="s">
        <v>70</v>
      </c>
      <c r="C24" s="81"/>
      <c r="D24" s="84">
        <v>0</v>
      </c>
      <c r="E24" s="85"/>
      <c r="F24" s="80" t="s">
        <v>70</v>
      </c>
      <c r="G24" s="81"/>
      <c r="H24" s="86">
        <v>640</v>
      </c>
      <c r="I24" s="87"/>
      <c r="J24" s="53" t="s">
        <v>620</v>
      </c>
      <c r="K24" s="54"/>
    </row>
    <row r="25" spans="1:11" ht="15.75" thickBot="1" x14ac:dyDescent="0.3">
      <c r="A25" s="11"/>
      <c r="B25" s="80" t="s">
        <v>68</v>
      </c>
      <c r="C25" s="81"/>
      <c r="D25" s="82">
        <v>6.6428206438426161</v>
      </c>
      <c r="E25" s="83"/>
      <c r="F25" s="80" t="s">
        <v>68</v>
      </c>
      <c r="G25" s="81"/>
      <c r="H25" s="86">
        <v>9</v>
      </c>
      <c r="I25" s="87"/>
      <c r="J25" s="49">
        <v>0</v>
      </c>
      <c r="K25" s="50"/>
    </row>
    <row r="26" spans="1:11" ht="16.5" thickTop="1" thickBot="1" x14ac:dyDescent="0.3">
      <c r="A26" s="11"/>
      <c r="B26" s="90" t="s">
        <v>69</v>
      </c>
      <c r="C26" s="91"/>
      <c r="D26" s="92">
        <v>9.7077021548965217</v>
      </c>
      <c r="E26" s="93"/>
      <c r="F26" s="90" t="s">
        <v>78</v>
      </c>
      <c r="G26" s="91"/>
      <c r="H26" s="94">
        <v>12</v>
      </c>
      <c r="I26" s="95"/>
      <c r="J26" s="11"/>
    </row>
    <row r="27" spans="1:11" x14ac:dyDescent="0.25">
      <c r="A27" s="11"/>
      <c r="I27" s="30"/>
      <c r="J27" s="29"/>
    </row>
  </sheetData>
  <mergeCells count="90">
    <mergeCell ref="B25:C25"/>
    <mergeCell ref="D25:E25"/>
    <mergeCell ref="F25:G25"/>
    <mergeCell ref="H25:I25"/>
    <mergeCell ref="J25:K25"/>
    <mergeCell ref="B26:C26"/>
    <mergeCell ref="D26:E26"/>
    <mergeCell ref="F26:G26"/>
    <mergeCell ref="H26:I26"/>
    <mergeCell ref="B23:C23"/>
    <mergeCell ref="D23:E23"/>
    <mergeCell ref="F23:G23"/>
    <mergeCell ref="H23:I23"/>
    <mergeCell ref="J23:K23"/>
    <mergeCell ref="B24:C24"/>
    <mergeCell ref="D24:E24"/>
    <mergeCell ref="F24:G24"/>
    <mergeCell ref="H24:I24"/>
    <mergeCell ref="J24:K24"/>
    <mergeCell ref="B21:E21"/>
    <mergeCell ref="F21:I21"/>
    <mergeCell ref="J21:K21"/>
    <mergeCell ref="B22:C22"/>
    <mergeCell ref="D22:E22"/>
    <mergeCell ref="F22:G22"/>
    <mergeCell ref="H22:I22"/>
    <mergeCell ref="J22:K22"/>
    <mergeCell ref="B19:C19"/>
    <mergeCell ref="D19:E19"/>
    <mergeCell ref="F19:G19"/>
    <mergeCell ref="H19:I19"/>
    <mergeCell ref="J19:K19"/>
    <mergeCell ref="B20:C20"/>
    <mergeCell ref="D20:E20"/>
    <mergeCell ref="F20:G20"/>
    <mergeCell ref="H20:I20"/>
    <mergeCell ref="J20:K20"/>
    <mergeCell ref="B17:C17"/>
    <mergeCell ref="D17:E17"/>
    <mergeCell ref="F17:G17"/>
    <mergeCell ref="H17:I17"/>
    <mergeCell ref="B18:C18"/>
    <mergeCell ref="D18:E18"/>
    <mergeCell ref="F18:G18"/>
    <mergeCell ref="H18:I18"/>
    <mergeCell ref="B15:C15"/>
    <mergeCell ref="D15:E15"/>
    <mergeCell ref="F15:G15"/>
    <mergeCell ref="H15:I15"/>
    <mergeCell ref="B16:C16"/>
    <mergeCell ref="D16:E16"/>
    <mergeCell ref="F16:G16"/>
    <mergeCell ref="H16:I16"/>
    <mergeCell ref="B13:C13"/>
    <mergeCell ref="D13:E13"/>
    <mergeCell ref="F13:G13"/>
    <mergeCell ref="H13:I13"/>
    <mergeCell ref="B14:C14"/>
    <mergeCell ref="D14:E14"/>
    <mergeCell ref="F14:G14"/>
    <mergeCell ref="H14:I14"/>
    <mergeCell ref="B11:E11"/>
    <mergeCell ref="F11:I11"/>
    <mergeCell ref="B12:C12"/>
    <mergeCell ref="D12:E12"/>
    <mergeCell ref="F12:G12"/>
    <mergeCell ref="H12:I12"/>
    <mergeCell ref="B9:C9"/>
    <mergeCell ref="D9:E9"/>
    <mergeCell ref="F9:G9"/>
    <mergeCell ref="H9:I9"/>
    <mergeCell ref="B10:C10"/>
    <mergeCell ref="D10:E10"/>
    <mergeCell ref="F10:G10"/>
    <mergeCell ref="H10:I10"/>
    <mergeCell ref="B7:E7"/>
    <mergeCell ref="F7:I7"/>
    <mergeCell ref="B8:C8"/>
    <mergeCell ref="D8:E8"/>
    <mergeCell ref="F8:G8"/>
    <mergeCell ref="H8:I8"/>
    <mergeCell ref="B2:E3"/>
    <mergeCell ref="F2:I3"/>
    <mergeCell ref="B4:C4"/>
    <mergeCell ref="D4:E4"/>
    <mergeCell ref="F4:I6"/>
    <mergeCell ref="B5:C5"/>
    <mergeCell ref="D5:E5"/>
    <mergeCell ref="B6:C6"/>
    <mergeCell ref="D6:E6"/>
  </mergeCells>
  <conditionalFormatting sqref="D10:E10">
    <cfRule type="cellIs" dxfId="159" priority="5" operator="lessThan">
      <formula>470</formula>
    </cfRule>
    <cfRule type="cellIs" dxfId="158" priority="6" operator="greaterThanOrEqual">
      <formula>470</formula>
    </cfRule>
  </conditionalFormatting>
  <conditionalFormatting sqref="D26:E26 D22:D23 D25">
    <cfRule type="containsText" dxfId="157" priority="4" operator="containsText" text="&quot;--&quot;">
      <formula>NOT(ISERROR(SEARCH("""--""",D22)))</formula>
    </cfRule>
  </conditionalFormatting>
  <conditionalFormatting sqref="D24">
    <cfRule type="containsText" dxfId="156" priority="3" operator="containsText" text="&quot;--&quot;">
      <formula>NOT(ISERROR(SEARCH("""--""",D24)))</formula>
    </cfRule>
    <cfRule type="cellIs" dxfId="155" priority="31" operator="lessThan">
      <formula>$H$24</formula>
    </cfRule>
    <cfRule type="cellIs" dxfId="154" priority="32" operator="greaterThanOrEqual">
      <formula>$H$24</formula>
    </cfRule>
  </conditionalFormatting>
  <conditionalFormatting sqref="D23">
    <cfRule type="cellIs" dxfId="153" priority="7" operator="greaterThan">
      <formula>$H$23</formula>
    </cfRule>
    <cfRule type="cellIs" dxfId="152" priority="8" operator="lessThan">
      <formula>$H$23</formula>
    </cfRule>
  </conditionalFormatting>
  <conditionalFormatting sqref="D25 D23">
    <cfRule type="cellIs" dxfId="151" priority="9" operator="greaterThan">
      <formula>$H$25</formula>
    </cfRule>
    <cfRule type="cellIs" dxfId="150" priority="10" operator="lessThan">
      <formula>$H$25</formula>
    </cfRule>
  </conditionalFormatting>
  <conditionalFormatting sqref="D26:E26">
    <cfRule type="cellIs" dxfId="149" priority="11" operator="greaterThan">
      <formula>$H$26</formula>
    </cfRule>
    <cfRule type="cellIs" dxfId="148" priority="12" operator="lessThan">
      <formula>$H$26</formula>
    </cfRule>
  </conditionalFormatting>
  <conditionalFormatting sqref="D9:E9">
    <cfRule type="cellIs" dxfId="147" priority="13" operator="lessThan">
      <formula>$H$9</formula>
    </cfRule>
    <cfRule type="cellIs" dxfId="146" priority="14" operator="greaterThan">
      <formula>$H$9</formula>
    </cfRule>
  </conditionalFormatting>
  <conditionalFormatting sqref="D13:E13">
    <cfRule type="cellIs" dxfId="145" priority="15" operator="lessThan">
      <formula>$H$13</formula>
    </cfRule>
    <cfRule type="cellIs" dxfId="144" priority="16" operator="greaterThan">
      <formula>$H$13</formula>
    </cfRule>
  </conditionalFormatting>
  <conditionalFormatting sqref="D14:E14">
    <cfRule type="cellIs" dxfId="143" priority="17" operator="lessThan">
      <formula>$H$14</formula>
    </cfRule>
    <cfRule type="cellIs" dxfId="142" priority="18" operator="greaterThan">
      <formula>$H$14</formula>
    </cfRule>
  </conditionalFormatting>
  <conditionalFormatting sqref="D15:E15">
    <cfRule type="cellIs" dxfId="141" priority="19" operator="lessThan">
      <formula>$H$15</formula>
    </cfRule>
    <cfRule type="cellIs" dxfId="140" priority="20" operator="greaterThan">
      <formula>$H$15</formula>
    </cfRule>
  </conditionalFormatting>
  <conditionalFormatting sqref="D16:E16">
    <cfRule type="cellIs" dxfId="139" priority="21" operator="lessThan">
      <formula>$H$16</formula>
    </cfRule>
    <cfRule type="cellIs" dxfId="138" priority="22" operator="greaterThan">
      <formula>$H$16</formula>
    </cfRule>
  </conditionalFormatting>
  <conditionalFormatting sqref="D17:E18">
    <cfRule type="cellIs" dxfId="137" priority="23" operator="lessThan">
      <formula>$H$17</formula>
    </cfRule>
    <cfRule type="cellIs" dxfId="136" priority="24" operator="greaterThan">
      <formula>$H$17</formula>
    </cfRule>
  </conditionalFormatting>
  <conditionalFormatting sqref="D19">
    <cfRule type="cellIs" dxfId="135" priority="25" operator="lessThan">
      <formula>$H$19</formula>
    </cfRule>
    <cfRule type="cellIs" dxfId="134" priority="26" operator="greaterThan">
      <formula>$H$19</formula>
    </cfRule>
  </conditionalFormatting>
  <conditionalFormatting sqref="D20">
    <cfRule type="cellIs" dxfId="133" priority="27" operator="lessThan">
      <formula>$H$20</formula>
    </cfRule>
    <cfRule type="cellIs" dxfId="132" priority="28" operator="greaterThan">
      <formula>$H$20</formula>
    </cfRule>
  </conditionalFormatting>
  <conditionalFormatting sqref="D12:E12">
    <cfRule type="cellIs" dxfId="131" priority="29" operator="lessThan">
      <formula>$H$12</formula>
    </cfRule>
    <cfRule type="cellIs" dxfId="130" priority="30" operator="greaterThan">
      <formula>$H$12</formula>
    </cfRule>
  </conditionalFormatting>
  <conditionalFormatting sqref="D22:E22">
    <cfRule type="cellIs" dxfId="129" priority="1" operator="greaterThanOrEqual">
      <formula>$H$22</formula>
    </cfRule>
    <cfRule type="cellIs" dxfId="128" priority="2" operator="lessThan">
      <formula>$H$22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27"/>
  <sheetViews>
    <sheetView workbookViewId="0">
      <selection sqref="A1:K1048576"/>
    </sheetView>
  </sheetViews>
  <sheetFormatPr defaultRowHeight="15" x14ac:dyDescent="0.25"/>
  <cols>
    <col min="1" max="2" width="9.140625" style="13"/>
    <col min="3" max="3" width="13.7109375" style="13" bestFit="1" customWidth="1"/>
    <col min="4" max="4" width="12.7109375" style="13" bestFit="1" customWidth="1"/>
    <col min="5" max="5" width="10.7109375" style="13" customWidth="1"/>
    <col min="6" max="6" width="11.28515625" style="13" customWidth="1"/>
    <col min="7" max="7" width="10.5703125" style="13" customWidth="1"/>
    <col min="8" max="8" width="14.28515625" style="13" bestFit="1" customWidth="1"/>
    <col min="9" max="10" width="9.28515625" style="13"/>
    <col min="11" max="11" width="13.7109375" style="13" customWidth="1"/>
  </cols>
  <sheetData>
    <row r="1" spans="1:10" ht="15.75" thickBot="1" x14ac:dyDescent="0.3">
      <c r="A1" s="11"/>
      <c r="B1" s="11"/>
      <c r="C1" s="11"/>
      <c r="D1" s="11"/>
      <c r="E1" s="11"/>
      <c r="F1" s="11"/>
      <c r="G1" s="11"/>
      <c r="H1" s="12"/>
      <c r="I1" s="16" t="s">
        <v>59</v>
      </c>
      <c r="J1" s="11"/>
    </row>
    <row r="2" spans="1:10" x14ac:dyDescent="0.25">
      <c r="A2" s="11"/>
      <c r="B2" s="69" t="s">
        <v>2453</v>
      </c>
      <c r="C2" s="70"/>
      <c r="D2" s="70"/>
      <c r="E2" s="70"/>
      <c r="F2" s="73" t="s">
        <v>357</v>
      </c>
      <c r="G2" s="73"/>
      <c r="H2" s="73"/>
      <c r="I2" s="74"/>
      <c r="J2" s="11"/>
    </row>
    <row r="3" spans="1:10" ht="15.75" thickBot="1" x14ac:dyDescent="0.3">
      <c r="A3" s="11"/>
      <c r="B3" s="71"/>
      <c r="C3" s="72"/>
      <c r="D3" s="72"/>
      <c r="E3" s="72"/>
      <c r="F3" s="75"/>
      <c r="G3" s="75"/>
      <c r="H3" s="75"/>
      <c r="I3" s="76"/>
      <c r="J3" s="11"/>
    </row>
    <row r="4" spans="1:10" x14ac:dyDescent="0.25">
      <c r="A4" s="11"/>
      <c r="B4" s="39" t="s">
        <v>54</v>
      </c>
      <c r="C4" s="40"/>
      <c r="D4" s="40" t="s">
        <v>55</v>
      </c>
      <c r="E4" s="41"/>
      <c r="F4" s="107"/>
      <c r="G4" s="108"/>
      <c r="H4" s="108"/>
      <c r="I4" s="109"/>
      <c r="J4" s="11"/>
    </row>
    <row r="5" spans="1:10" x14ac:dyDescent="0.25">
      <c r="A5" s="11"/>
      <c r="B5" s="42">
        <v>44273</v>
      </c>
      <c r="C5" s="43"/>
      <c r="D5" s="42">
        <v>44274</v>
      </c>
      <c r="E5" s="43"/>
      <c r="F5" s="110"/>
      <c r="G5" s="111"/>
      <c r="H5" s="111"/>
      <c r="I5" s="112"/>
      <c r="J5" s="15">
        <v>10</v>
      </c>
    </row>
    <row r="6" spans="1:10" ht="15.75" thickBot="1" x14ac:dyDescent="0.3">
      <c r="A6" s="11"/>
      <c r="B6" s="46">
        <v>0.75</v>
      </c>
      <c r="C6" s="47"/>
      <c r="D6" s="46">
        <v>0</v>
      </c>
      <c r="E6" s="47"/>
      <c r="F6" s="113"/>
      <c r="G6" s="114"/>
      <c r="H6" s="114"/>
      <c r="I6" s="115"/>
      <c r="J6" s="11"/>
    </row>
    <row r="7" spans="1:10" x14ac:dyDescent="0.25">
      <c r="A7" s="11"/>
      <c r="B7" s="39" t="s">
        <v>56</v>
      </c>
      <c r="C7" s="40"/>
      <c r="D7" s="40"/>
      <c r="E7" s="41"/>
      <c r="F7" s="39" t="s">
        <v>57</v>
      </c>
      <c r="G7" s="40"/>
      <c r="H7" s="40"/>
      <c r="I7" s="41"/>
      <c r="J7" s="11"/>
    </row>
    <row r="8" spans="1:10" x14ac:dyDescent="0.25">
      <c r="A8" s="11"/>
      <c r="B8" s="99" t="s">
        <v>58</v>
      </c>
      <c r="C8" s="100"/>
      <c r="D8" s="122">
        <v>142260</v>
      </c>
      <c r="E8" s="123"/>
      <c r="F8" s="99" t="s">
        <v>58</v>
      </c>
      <c r="G8" s="100"/>
      <c r="H8" s="67">
        <v>142260</v>
      </c>
      <c r="I8" s="68"/>
      <c r="J8" s="11"/>
    </row>
    <row r="9" spans="1:10" x14ac:dyDescent="0.25">
      <c r="A9" s="11"/>
      <c r="B9" s="99" t="s">
        <v>60</v>
      </c>
      <c r="C9" s="100"/>
      <c r="D9" s="118">
        <v>367.53</v>
      </c>
      <c r="E9" s="119"/>
      <c r="F9" s="99" t="s">
        <v>61</v>
      </c>
      <c r="G9" s="100"/>
      <c r="H9" s="63">
        <v>365</v>
      </c>
      <c r="I9" s="64"/>
      <c r="J9" s="11"/>
    </row>
    <row r="10" spans="1:10" ht="15.75" thickBot="1" x14ac:dyDescent="0.3">
      <c r="A10" s="11"/>
      <c r="B10" s="103" t="s">
        <v>62</v>
      </c>
      <c r="C10" s="104"/>
      <c r="D10" s="120">
        <v>387.07</v>
      </c>
      <c r="E10" s="121"/>
      <c r="F10" s="103" t="s">
        <v>62</v>
      </c>
      <c r="G10" s="104"/>
      <c r="H10" s="105">
        <v>389.75342465753425</v>
      </c>
      <c r="I10" s="106"/>
      <c r="J10" s="11"/>
    </row>
    <row r="11" spans="1:10" x14ac:dyDescent="0.25">
      <c r="A11" s="11"/>
      <c r="B11" s="39" t="s">
        <v>63</v>
      </c>
      <c r="C11" s="40"/>
      <c r="D11" s="40"/>
      <c r="E11" s="41"/>
      <c r="F11" s="39" t="s">
        <v>64</v>
      </c>
      <c r="G11" s="40"/>
      <c r="H11" s="40"/>
      <c r="I11" s="41"/>
      <c r="J11" s="11"/>
    </row>
    <row r="12" spans="1:10" x14ac:dyDescent="0.25">
      <c r="A12" s="11"/>
      <c r="B12" s="99" t="s">
        <v>65</v>
      </c>
      <c r="C12" s="100"/>
      <c r="D12" s="116">
        <v>11.39</v>
      </c>
      <c r="E12" s="117"/>
      <c r="F12" s="99" t="s">
        <v>65</v>
      </c>
      <c r="G12" s="100"/>
      <c r="H12" s="65">
        <v>-36</v>
      </c>
      <c r="I12" s="66"/>
      <c r="J12" s="11"/>
    </row>
    <row r="13" spans="1:10" x14ac:dyDescent="0.25">
      <c r="A13" s="11"/>
      <c r="B13" s="99" t="s">
        <v>66</v>
      </c>
      <c r="C13" s="100"/>
      <c r="D13" s="116">
        <v>104.34000000000002</v>
      </c>
      <c r="E13" s="117"/>
      <c r="F13" s="99" t="s">
        <v>66</v>
      </c>
      <c r="G13" s="100"/>
      <c r="H13" s="65">
        <v>0</v>
      </c>
      <c r="I13" s="66"/>
    </row>
    <row r="14" spans="1:10" x14ac:dyDescent="0.25">
      <c r="A14" s="11"/>
      <c r="B14" s="99" t="s">
        <v>67</v>
      </c>
      <c r="C14" s="100"/>
      <c r="D14" s="116">
        <v>24.73</v>
      </c>
      <c r="E14" s="117"/>
      <c r="F14" s="99" t="s">
        <v>67</v>
      </c>
      <c r="G14" s="100"/>
      <c r="H14" s="65">
        <v>2.8953333333333333</v>
      </c>
      <c r="I14" s="66"/>
    </row>
    <row r="15" spans="1:10" x14ac:dyDescent="0.25">
      <c r="A15" s="11"/>
      <c r="B15" s="99" t="s">
        <v>68</v>
      </c>
      <c r="C15" s="100"/>
      <c r="D15" s="116">
        <v>125.17</v>
      </c>
      <c r="E15" s="117"/>
      <c r="F15" s="99" t="s">
        <v>68</v>
      </c>
      <c r="G15" s="100"/>
      <c r="H15" s="65">
        <v>1.4476666666666667</v>
      </c>
      <c r="I15" s="66"/>
    </row>
    <row r="16" spans="1:10" x14ac:dyDescent="0.25">
      <c r="A16" s="11"/>
      <c r="B16" s="99" t="s">
        <v>69</v>
      </c>
      <c r="C16" s="100"/>
      <c r="D16" s="116">
        <v>78.67</v>
      </c>
      <c r="E16" s="117"/>
      <c r="F16" s="99" t="s">
        <v>69</v>
      </c>
      <c r="G16" s="100"/>
      <c r="H16" s="65">
        <v>1.1581333333333332</v>
      </c>
      <c r="I16" s="66"/>
      <c r="J16" s="11"/>
    </row>
    <row r="17" spans="1:11" x14ac:dyDescent="0.25">
      <c r="A17" s="11"/>
      <c r="B17" s="99" t="s">
        <v>70</v>
      </c>
      <c r="C17" s="100"/>
      <c r="D17" s="116">
        <v>7.6999999999999993</v>
      </c>
      <c r="E17" s="117"/>
      <c r="F17" s="99" t="s">
        <v>70</v>
      </c>
      <c r="G17" s="100"/>
      <c r="H17" s="65">
        <v>0</v>
      </c>
      <c r="I17" s="66"/>
    </row>
    <row r="18" spans="1:11" ht="15.75" thickBot="1" x14ac:dyDescent="0.3">
      <c r="A18" s="11"/>
      <c r="B18" s="101" t="s">
        <v>71</v>
      </c>
      <c r="C18" s="102"/>
      <c r="D18" s="116">
        <v>0</v>
      </c>
      <c r="E18" s="117"/>
      <c r="F18" s="101" t="s">
        <v>71</v>
      </c>
      <c r="G18" s="102"/>
      <c r="H18" s="63">
        <v>0</v>
      </c>
      <c r="I18" s="64"/>
    </row>
    <row r="19" spans="1:11" ht="16.5" thickTop="1" thickBot="1" x14ac:dyDescent="0.3">
      <c r="A19" s="11"/>
      <c r="B19" s="80" t="s">
        <v>72</v>
      </c>
      <c r="C19" s="81"/>
      <c r="D19" s="59">
        <v>12.94</v>
      </c>
      <c r="E19" s="60"/>
      <c r="F19" s="80" t="s">
        <v>72</v>
      </c>
      <c r="G19" s="81"/>
      <c r="H19" s="63">
        <v>-36</v>
      </c>
      <c r="I19" s="96"/>
      <c r="J19" s="57" t="s">
        <v>622</v>
      </c>
      <c r="K19" s="58"/>
    </row>
    <row r="20" spans="1:11" ht="16.5" thickTop="1" thickBot="1" x14ac:dyDescent="0.3">
      <c r="A20" s="33">
        <v>7.3245721437705635E-2</v>
      </c>
      <c r="B20" s="88" t="s">
        <v>73</v>
      </c>
      <c r="C20" s="89"/>
      <c r="D20" s="61">
        <v>364.94</v>
      </c>
      <c r="E20" s="62"/>
      <c r="F20" s="88" t="s">
        <v>73</v>
      </c>
      <c r="G20" s="89"/>
      <c r="H20" s="97">
        <v>-66.498866666666672</v>
      </c>
      <c r="I20" s="98"/>
      <c r="J20" s="51" t="s">
        <v>623</v>
      </c>
      <c r="K20" s="52"/>
    </row>
    <row r="21" spans="1:11" ht="15.75" thickBot="1" x14ac:dyDescent="0.3">
      <c r="A21" s="11"/>
      <c r="B21" s="77" t="s">
        <v>75</v>
      </c>
      <c r="C21" s="78"/>
      <c r="D21" s="78"/>
      <c r="E21" s="79"/>
      <c r="F21" s="77" t="s">
        <v>76</v>
      </c>
      <c r="G21" s="78"/>
      <c r="H21" s="78"/>
      <c r="I21" s="78"/>
      <c r="J21" s="49">
        <v>4343</v>
      </c>
      <c r="K21" s="50"/>
    </row>
    <row r="22" spans="1:11" ht="15.75" thickTop="1" x14ac:dyDescent="0.25">
      <c r="A22" s="11"/>
      <c r="B22" s="80" t="s">
        <v>66</v>
      </c>
      <c r="C22" s="81"/>
      <c r="D22" s="84">
        <v>0</v>
      </c>
      <c r="E22" s="85"/>
      <c r="F22" s="80" t="s">
        <v>66</v>
      </c>
      <c r="G22" s="81"/>
      <c r="H22" s="86">
        <v>640</v>
      </c>
      <c r="I22" s="87"/>
      <c r="J22" s="55" t="s">
        <v>621</v>
      </c>
      <c r="K22" s="56"/>
    </row>
    <row r="23" spans="1:11" ht="15.75" thickBot="1" x14ac:dyDescent="0.3">
      <c r="A23" s="11"/>
      <c r="B23" s="80" t="s">
        <v>77</v>
      </c>
      <c r="C23" s="81"/>
      <c r="D23" s="84">
        <v>0</v>
      </c>
      <c r="E23" s="85"/>
      <c r="F23" s="80" t="s">
        <v>77</v>
      </c>
      <c r="G23" s="81"/>
      <c r="H23" s="86">
        <v>1500</v>
      </c>
      <c r="I23" s="87"/>
      <c r="J23" s="49">
        <v>0</v>
      </c>
      <c r="K23" s="50"/>
    </row>
    <row r="24" spans="1:11" ht="15.75" thickTop="1" x14ac:dyDescent="0.25">
      <c r="A24" s="11"/>
      <c r="B24" s="80" t="s">
        <v>70</v>
      </c>
      <c r="C24" s="81"/>
      <c r="D24" s="84">
        <v>0</v>
      </c>
      <c r="E24" s="85"/>
      <c r="F24" s="80" t="s">
        <v>70</v>
      </c>
      <c r="G24" s="81"/>
      <c r="H24" s="86">
        <v>640</v>
      </c>
      <c r="I24" s="87"/>
      <c r="J24" s="53" t="s">
        <v>620</v>
      </c>
      <c r="K24" s="54"/>
    </row>
    <row r="25" spans="1:11" ht="15.75" thickBot="1" x14ac:dyDescent="0.3">
      <c r="A25" s="11"/>
      <c r="B25" s="80" t="s">
        <v>68</v>
      </c>
      <c r="C25" s="81"/>
      <c r="D25" s="82">
        <v>6.439242630023168</v>
      </c>
      <c r="E25" s="83"/>
      <c r="F25" s="80" t="s">
        <v>68</v>
      </c>
      <c r="G25" s="81"/>
      <c r="H25" s="86">
        <v>9</v>
      </c>
      <c r="I25" s="87"/>
      <c r="J25" s="49">
        <v>0</v>
      </c>
      <c r="K25" s="50"/>
    </row>
    <row r="26" spans="1:11" ht="16.5" thickTop="1" thickBot="1" x14ac:dyDescent="0.3">
      <c r="A26" s="11"/>
      <c r="B26" s="90" t="s">
        <v>69</v>
      </c>
      <c r="C26" s="91"/>
      <c r="D26" s="92">
        <v>9.4572263887123427</v>
      </c>
      <c r="E26" s="93"/>
      <c r="F26" s="90" t="s">
        <v>78</v>
      </c>
      <c r="G26" s="91"/>
      <c r="H26" s="94">
        <v>12</v>
      </c>
      <c r="I26" s="95"/>
      <c r="J26" s="11"/>
    </row>
    <row r="27" spans="1:11" x14ac:dyDescent="0.25">
      <c r="A27" s="11"/>
      <c r="I27" s="30"/>
      <c r="J27" s="29"/>
    </row>
  </sheetData>
  <mergeCells count="90">
    <mergeCell ref="B25:C25"/>
    <mergeCell ref="D25:E25"/>
    <mergeCell ref="F25:G25"/>
    <mergeCell ref="H25:I25"/>
    <mergeCell ref="J25:K25"/>
    <mergeCell ref="B26:C26"/>
    <mergeCell ref="D26:E26"/>
    <mergeCell ref="F26:G26"/>
    <mergeCell ref="H26:I26"/>
    <mergeCell ref="B23:C23"/>
    <mergeCell ref="D23:E23"/>
    <mergeCell ref="F23:G23"/>
    <mergeCell ref="H23:I23"/>
    <mergeCell ref="J23:K23"/>
    <mergeCell ref="B24:C24"/>
    <mergeCell ref="D24:E24"/>
    <mergeCell ref="F24:G24"/>
    <mergeCell ref="H24:I24"/>
    <mergeCell ref="J24:K24"/>
    <mergeCell ref="B21:E21"/>
    <mergeCell ref="F21:I21"/>
    <mergeCell ref="J21:K21"/>
    <mergeCell ref="B22:C22"/>
    <mergeCell ref="D22:E22"/>
    <mergeCell ref="F22:G22"/>
    <mergeCell ref="H22:I22"/>
    <mergeCell ref="J22:K22"/>
    <mergeCell ref="B19:C19"/>
    <mergeCell ref="D19:E19"/>
    <mergeCell ref="F19:G19"/>
    <mergeCell ref="H19:I19"/>
    <mergeCell ref="J19:K19"/>
    <mergeCell ref="B20:C20"/>
    <mergeCell ref="D20:E20"/>
    <mergeCell ref="F20:G20"/>
    <mergeCell ref="H20:I20"/>
    <mergeCell ref="J20:K20"/>
    <mergeCell ref="B17:C17"/>
    <mergeCell ref="D17:E17"/>
    <mergeCell ref="F17:G17"/>
    <mergeCell ref="H17:I17"/>
    <mergeCell ref="B18:C18"/>
    <mergeCell ref="D18:E18"/>
    <mergeCell ref="F18:G18"/>
    <mergeCell ref="H18:I18"/>
    <mergeCell ref="B15:C15"/>
    <mergeCell ref="D15:E15"/>
    <mergeCell ref="F15:G15"/>
    <mergeCell ref="H15:I15"/>
    <mergeCell ref="B16:C16"/>
    <mergeCell ref="D16:E16"/>
    <mergeCell ref="F16:G16"/>
    <mergeCell ref="H16:I16"/>
    <mergeCell ref="B13:C13"/>
    <mergeCell ref="D13:E13"/>
    <mergeCell ref="F13:G13"/>
    <mergeCell ref="H13:I13"/>
    <mergeCell ref="B14:C14"/>
    <mergeCell ref="D14:E14"/>
    <mergeCell ref="F14:G14"/>
    <mergeCell ref="H14:I14"/>
    <mergeCell ref="B11:E11"/>
    <mergeCell ref="F11:I11"/>
    <mergeCell ref="B12:C12"/>
    <mergeCell ref="D12:E12"/>
    <mergeCell ref="F12:G12"/>
    <mergeCell ref="H12:I12"/>
    <mergeCell ref="B9:C9"/>
    <mergeCell ref="D9:E9"/>
    <mergeCell ref="F9:G9"/>
    <mergeCell ref="H9:I9"/>
    <mergeCell ref="B10:C10"/>
    <mergeCell ref="D10:E10"/>
    <mergeCell ref="F10:G10"/>
    <mergeCell ref="H10:I10"/>
    <mergeCell ref="B7:E7"/>
    <mergeCell ref="F7:I7"/>
    <mergeCell ref="B8:C8"/>
    <mergeCell ref="D8:E8"/>
    <mergeCell ref="F8:G8"/>
    <mergeCell ref="H8:I8"/>
    <mergeCell ref="B2:E3"/>
    <mergeCell ref="F2:I3"/>
    <mergeCell ref="B4:C4"/>
    <mergeCell ref="D4:E4"/>
    <mergeCell ref="F4:I6"/>
    <mergeCell ref="B5:C5"/>
    <mergeCell ref="D5:E5"/>
    <mergeCell ref="B6:C6"/>
    <mergeCell ref="D6:E6"/>
  </mergeCells>
  <conditionalFormatting sqref="D10:E10">
    <cfRule type="cellIs" dxfId="127" priority="5" operator="lessThan">
      <formula>470</formula>
    </cfRule>
    <cfRule type="cellIs" dxfId="126" priority="6" operator="greaterThanOrEqual">
      <formula>470</formula>
    </cfRule>
  </conditionalFormatting>
  <conditionalFormatting sqref="D26:E26 D22:D23 D25">
    <cfRule type="containsText" dxfId="125" priority="4" operator="containsText" text="&quot;--&quot;">
      <formula>NOT(ISERROR(SEARCH("""--""",D22)))</formula>
    </cfRule>
  </conditionalFormatting>
  <conditionalFormatting sqref="D24">
    <cfRule type="containsText" dxfId="124" priority="3" operator="containsText" text="&quot;--&quot;">
      <formula>NOT(ISERROR(SEARCH("""--""",D24)))</formula>
    </cfRule>
    <cfRule type="cellIs" dxfId="123" priority="31" operator="lessThan">
      <formula>$H$24</formula>
    </cfRule>
    <cfRule type="cellIs" dxfId="122" priority="32" operator="greaterThanOrEqual">
      <formula>$H$24</formula>
    </cfRule>
  </conditionalFormatting>
  <conditionalFormatting sqref="D23">
    <cfRule type="cellIs" dxfId="121" priority="7" operator="greaterThan">
      <formula>$H$23</formula>
    </cfRule>
    <cfRule type="cellIs" dxfId="120" priority="8" operator="lessThan">
      <formula>$H$23</formula>
    </cfRule>
  </conditionalFormatting>
  <conditionalFormatting sqref="D25 D23">
    <cfRule type="cellIs" dxfId="119" priority="9" operator="greaterThan">
      <formula>$H$25</formula>
    </cfRule>
    <cfRule type="cellIs" dxfId="118" priority="10" operator="lessThan">
      <formula>$H$25</formula>
    </cfRule>
  </conditionalFormatting>
  <conditionalFormatting sqref="D26:E26">
    <cfRule type="cellIs" dxfId="117" priority="11" operator="greaterThan">
      <formula>$H$26</formula>
    </cfRule>
    <cfRule type="cellIs" dxfId="116" priority="12" operator="lessThan">
      <formula>$H$26</formula>
    </cfRule>
  </conditionalFormatting>
  <conditionalFormatting sqref="D9:E9">
    <cfRule type="cellIs" dxfId="115" priority="13" operator="lessThan">
      <formula>$H$9</formula>
    </cfRule>
    <cfRule type="cellIs" dxfId="114" priority="14" operator="greaterThan">
      <formula>$H$9</formula>
    </cfRule>
  </conditionalFormatting>
  <conditionalFormatting sqref="D13:E13">
    <cfRule type="cellIs" dxfId="113" priority="15" operator="lessThan">
      <formula>$H$13</formula>
    </cfRule>
    <cfRule type="cellIs" dxfId="112" priority="16" operator="greaterThan">
      <formula>$H$13</formula>
    </cfRule>
  </conditionalFormatting>
  <conditionalFormatting sqref="D14:E14">
    <cfRule type="cellIs" dxfId="111" priority="17" operator="lessThan">
      <formula>$H$14</formula>
    </cfRule>
    <cfRule type="cellIs" dxfId="110" priority="18" operator="greaterThan">
      <formula>$H$14</formula>
    </cfRule>
  </conditionalFormatting>
  <conditionalFormatting sqref="D15:E15">
    <cfRule type="cellIs" dxfId="109" priority="19" operator="lessThan">
      <formula>$H$15</formula>
    </cfRule>
    <cfRule type="cellIs" dxfId="108" priority="20" operator="greaterThan">
      <formula>$H$15</formula>
    </cfRule>
  </conditionalFormatting>
  <conditionalFormatting sqref="D16:E16">
    <cfRule type="cellIs" dxfId="107" priority="21" operator="lessThan">
      <formula>$H$16</formula>
    </cfRule>
    <cfRule type="cellIs" dxfId="106" priority="22" operator="greaterThan">
      <formula>$H$16</formula>
    </cfRule>
  </conditionalFormatting>
  <conditionalFormatting sqref="D17:E18">
    <cfRule type="cellIs" dxfId="105" priority="23" operator="lessThan">
      <formula>$H$17</formula>
    </cfRule>
    <cfRule type="cellIs" dxfId="104" priority="24" operator="greaterThan">
      <formula>$H$17</formula>
    </cfRule>
  </conditionalFormatting>
  <conditionalFormatting sqref="D19">
    <cfRule type="cellIs" dxfId="103" priority="25" operator="lessThan">
      <formula>$H$19</formula>
    </cfRule>
    <cfRule type="cellIs" dxfId="102" priority="26" operator="greaterThan">
      <formula>$H$19</formula>
    </cfRule>
  </conditionalFormatting>
  <conditionalFormatting sqref="D20">
    <cfRule type="cellIs" dxfId="101" priority="27" operator="lessThan">
      <formula>$H$20</formula>
    </cfRule>
    <cfRule type="cellIs" dxfId="100" priority="28" operator="greaterThan">
      <formula>$H$20</formula>
    </cfRule>
  </conditionalFormatting>
  <conditionalFormatting sqref="D12:E12">
    <cfRule type="cellIs" dxfId="99" priority="29" operator="lessThan">
      <formula>$H$12</formula>
    </cfRule>
    <cfRule type="cellIs" dxfId="98" priority="30" operator="greaterThan">
      <formula>$H$12</formula>
    </cfRule>
  </conditionalFormatting>
  <conditionalFormatting sqref="D22:E22">
    <cfRule type="cellIs" dxfId="97" priority="1" operator="greaterThanOrEqual">
      <formula>$H$22</formula>
    </cfRule>
    <cfRule type="cellIs" dxfId="96" priority="2" operator="lessThan">
      <formula>$H$22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27"/>
  <sheetViews>
    <sheetView workbookViewId="0">
      <selection sqref="A1:K1048576"/>
    </sheetView>
  </sheetViews>
  <sheetFormatPr defaultRowHeight="15" x14ac:dyDescent="0.25"/>
  <cols>
    <col min="1" max="2" width="9.140625" style="13"/>
    <col min="3" max="3" width="13.7109375" style="13" bestFit="1" customWidth="1"/>
    <col min="4" max="4" width="12.7109375" style="13" bestFit="1" customWidth="1"/>
    <col min="5" max="5" width="10.7109375" style="13" customWidth="1"/>
    <col min="6" max="6" width="11.28515625" style="13" customWidth="1"/>
    <col min="7" max="7" width="10.5703125" style="13" customWidth="1"/>
    <col min="8" max="8" width="14.28515625" style="13" bestFit="1" customWidth="1"/>
    <col min="9" max="10" width="9.28515625" style="13"/>
    <col min="11" max="11" width="13.7109375" style="13" customWidth="1"/>
  </cols>
  <sheetData>
    <row r="1" spans="1:10" ht="15.75" thickBot="1" x14ac:dyDescent="0.3">
      <c r="A1" s="11"/>
      <c r="B1" s="11"/>
      <c r="C1" s="11"/>
      <c r="D1" s="11"/>
      <c r="E1" s="11"/>
      <c r="F1" s="11"/>
      <c r="G1" s="11"/>
      <c r="H1" s="12"/>
      <c r="I1" s="16" t="s">
        <v>59</v>
      </c>
      <c r="J1" s="11"/>
    </row>
    <row r="2" spans="1:10" x14ac:dyDescent="0.25">
      <c r="A2" s="11"/>
      <c r="B2" s="69" t="s">
        <v>2454</v>
      </c>
      <c r="C2" s="70"/>
      <c r="D2" s="70"/>
      <c r="E2" s="70"/>
      <c r="F2" s="73" t="s">
        <v>357</v>
      </c>
      <c r="G2" s="73"/>
      <c r="H2" s="73"/>
      <c r="I2" s="74"/>
      <c r="J2" s="11"/>
    </row>
    <row r="3" spans="1:10" ht="15.75" thickBot="1" x14ac:dyDescent="0.3">
      <c r="A3" s="11"/>
      <c r="B3" s="71"/>
      <c r="C3" s="72"/>
      <c r="D3" s="72"/>
      <c r="E3" s="72"/>
      <c r="F3" s="75"/>
      <c r="G3" s="75"/>
      <c r="H3" s="75"/>
      <c r="I3" s="76"/>
      <c r="J3" s="11"/>
    </row>
    <row r="4" spans="1:10" x14ac:dyDescent="0.25">
      <c r="A4" s="11"/>
      <c r="B4" s="39" t="s">
        <v>54</v>
      </c>
      <c r="C4" s="40"/>
      <c r="D4" s="40" t="s">
        <v>55</v>
      </c>
      <c r="E4" s="41"/>
      <c r="F4" s="107"/>
      <c r="G4" s="108"/>
      <c r="H4" s="108"/>
      <c r="I4" s="109"/>
      <c r="J4" s="11"/>
    </row>
    <row r="5" spans="1:10" x14ac:dyDescent="0.25">
      <c r="A5" s="11"/>
      <c r="B5" s="42">
        <v>44273</v>
      </c>
      <c r="C5" s="43"/>
      <c r="D5" s="42">
        <v>44274</v>
      </c>
      <c r="E5" s="43"/>
      <c r="F5" s="110"/>
      <c r="G5" s="111"/>
      <c r="H5" s="111"/>
      <c r="I5" s="112"/>
      <c r="J5" s="15">
        <v>10</v>
      </c>
    </row>
    <row r="6" spans="1:10" ht="15.75" thickBot="1" x14ac:dyDescent="0.3">
      <c r="A6" s="11"/>
      <c r="B6" s="46">
        <v>0.75</v>
      </c>
      <c r="C6" s="47"/>
      <c r="D6" s="46">
        <v>0</v>
      </c>
      <c r="E6" s="47"/>
      <c r="F6" s="113"/>
      <c r="G6" s="114"/>
      <c r="H6" s="114"/>
      <c r="I6" s="115"/>
      <c r="J6" s="11"/>
    </row>
    <row r="7" spans="1:10" x14ac:dyDescent="0.25">
      <c r="A7" s="11"/>
      <c r="B7" s="39" t="s">
        <v>56</v>
      </c>
      <c r="C7" s="40"/>
      <c r="D7" s="40"/>
      <c r="E7" s="41"/>
      <c r="F7" s="39" t="s">
        <v>57</v>
      </c>
      <c r="G7" s="40"/>
      <c r="H7" s="40"/>
      <c r="I7" s="41"/>
      <c r="J7" s="11"/>
    </row>
    <row r="8" spans="1:10" x14ac:dyDescent="0.25">
      <c r="A8" s="11"/>
      <c r="B8" s="99" t="s">
        <v>58</v>
      </c>
      <c r="C8" s="100"/>
      <c r="D8" s="122">
        <v>146295</v>
      </c>
      <c r="E8" s="123"/>
      <c r="F8" s="99" t="s">
        <v>58</v>
      </c>
      <c r="G8" s="100"/>
      <c r="H8" s="67">
        <v>146295</v>
      </c>
      <c r="I8" s="68"/>
      <c r="J8" s="11"/>
    </row>
    <row r="9" spans="1:10" x14ac:dyDescent="0.25">
      <c r="A9" s="11"/>
      <c r="B9" s="99" t="s">
        <v>60</v>
      </c>
      <c r="C9" s="100"/>
      <c r="D9" s="118">
        <v>234.26</v>
      </c>
      <c r="E9" s="119"/>
      <c r="F9" s="99" t="s">
        <v>61</v>
      </c>
      <c r="G9" s="100"/>
      <c r="H9" s="63">
        <v>313.64</v>
      </c>
      <c r="I9" s="64"/>
      <c r="J9" s="11"/>
    </row>
    <row r="10" spans="1:10" ht="15.75" thickBot="1" x14ac:dyDescent="0.3">
      <c r="A10" s="11"/>
      <c r="B10" s="103" t="s">
        <v>62</v>
      </c>
      <c r="C10" s="104"/>
      <c r="D10" s="120">
        <v>624.51</v>
      </c>
      <c r="E10" s="121"/>
      <c r="F10" s="103" t="s">
        <v>62</v>
      </c>
      <c r="G10" s="104"/>
      <c r="H10" s="105">
        <v>466.44241805892108</v>
      </c>
      <c r="I10" s="106"/>
      <c r="J10" s="11"/>
    </row>
    <row r="11" spans="1:10" x14ac:dyDescent="0.25">
      <c r="A11" s="11"/>
      <c r="B11" s="39" t="s">
        <v>63</v>
      </c>
      <c r="C11" s="40"/>
      <c r="D11" s="40"/>
      <c r="E11" s="41"/>
      <c r="F11" s="39" t="s">
        <v>64</v>
      </c>
      <c r="G11" s="40"/>
      <c r="H11" s="40"/>
      <c r="I11" s="41"/>
      <c r="J11" s="11"/>
    </row>
    <row r="12" spans="1:10" x14ac:dyDescent="0.25">
      <c r="A12" s="11"/>
      <c r="B12" s="99" t="s">
        <v>65</v>
      </c>
      <c r="C12" s="100"/>
      <c r="D12" s="116">
        <v>0</v>
      </c>
      <c r="E12" s="117"/>
      <c r="F12" s="99" t="s">
        <v>65</v>
      </c>
      <c r="G12" s="100"/>
      <c r="H12" s="65">
        <v>-36</v>
      </c>
      <c r="I12" s="66"/>
      <c r="J12" s="11"/>
    </row>
    <row r="13" spans="1:10" x14ac:dyDescent="0.25">
      <c r="A13" s="11"/>
      <c r="B13" s="99" t="s">
        <v>66</v>
      </c>
      <c r="C13" s="100"/>
      <c r="D13" s="116">
        <v>71.079999999999984</v>
      </c>
      <c r="E13" s="117"/>
      <c r="F13" s="99" t="s">
        <v>66</v>
      </c>
      <c r="G13" s="100"/>
      <c r="H13" s="65">
        <v>0</v>
      </c>
      <c r="I13" s="66"/>
    </row>
    <row r="14" spans="1:10" x14ac:dyDescent="0.25">
      <c r="A14" s="11"/>
      <c r="B14" s="99" t="s">
        <v>67</v>
      </c>
      <c r="C14" s="100"/>
      <c r="D14" s="116">
        <v>19.57</v>
      </c>
      <c r="E14" s="117"/>
      <c r="F14" s="99" t="s">
        <v>67</v>
      </c>
      <c r="G14" s="100"/>
      <c r="H14" s="65">
        <v>4.2140000000000004</v>
      </c>
      <c r="I14" s="66"/>
    </row>
    <row r="15" spans="1:10" x14ac:dyDescent="0.25">
      <c r="A15" s="11"/>
      <c r="B15" s="99" t="s">
        <v>68</v>
      </c>
      <c r="C15" s="100"/>
      <c r="D15" s="116">
        <v>55.089999999999982</v>
      </c>
      <c r="E15" s="117"/>
      <c r="F15" s="99" t="s">
        <v>68</v>
      </c>
      <c r="G15" s="100"/>
      <c r="H15" s="65">
        <v>2.1070000000000002</v>
      </c>
      <c r="I15" s="66"/>
    </row>
    <row r="16" spans="1:10" x14ac:dyDescent="0.25">
      <c r="A16" s="11"/>
      <c r="B16" s="99" t="s">
        <v>69</v>
      </c>
      <c r="C16" s="100"/>
      <c r="D16" s="116">
        <v>51.670000000000016</v>
      </c>
      <c r="E16" s="117"/>
      <c r="F16" s="99" t="s">
        <v>69</v>
      </c>
      <c r="G16" s="100"/>
      <c r="H16" s="65">
        <v>1.6856</v>
      </c>
      <c r="I16" s="66"/>
      <c r="J16" s="11"/>
    </row>
    <row r="17" spans="1:11" x14ac:dyDescent="0.25">
      <c r="A17" s="11"/>
      <c r="B17" s="99" t="s">
        <v>70</v>
      </c>
      <c r="C17" s="100"/>
      <c r="D17" s="116">
        <v>5.95</v>
      </c>
      <c r="E17" s="117"/>
      <c r="F17" s="99" t="s">
        <v>70</v>
      </c>
      <c r="G17" s="100"/>
      <c r="H17" s="65">
        <v>0</v>
      </c>
      <c r="I17" s="66"/>
    </row>
    <row r="18" spans="1:11" ht="15.75" thickBot="1" x14ac:dyDescent="0.3">
      <c r="A18" s="11"/>
      <c r="B18" s="101" t="s">
        <v>71</v>
      </c>
      <c r="C18" s="102"/>
      <c r="D18" s="116">
        <v>0</v>
      </c>
      <c r="E18" s="117"/>
      <c r="F18" s="101" t="s">
        <v>71</v>
      </c>
      <c r="G18" s="102"/>
      <c r="H18" s="63">
        <v>0</v>
      </c>
      <c r="I18" s="64"/>
    </row>
    <row r="19" spans="1:11" ht="16.5" thickTop="1" thickBot="1" x14ac:dyDescent="0.3">
      <c r="A19" s="11"/>
      <c r="B19" s="80" t="s">
        <v>72</v>
      </c>
      <c r="C19" s="81"/>
      <c r="D19" s="59">
        <v>5.5</v>
      </c>
      <c r="E19" s="60"/>
      <c r="F19" s="80" t="s">
        <v>72</v>
      </c>
      <c r="G19" s="81"/>
      <c r="H19" s="63">
        <v>-36</v>
      </c>
      <c r="I19" s="96"/>
      <c r="J19" s="57" t="s">
        <v>622</v>
      </c>
      <c r="K19" s="58"/>
    </row>
    <row r="20" spans="1:11" ht="16.5" thickTop="1" thickBot="1" x14ac:dyDescent="0.3">
      <c r="A20" s="33">
        <v>0.13190472124989339</v>
      </c>
      <c r="B20" s="88" t="s">
        <v>73</v>
      </c>
      <c r="C20" s="89"/>
      <c r="D20" s="61">
        <v>208.85999999999996</v>
      </c>
      <c r="E20" s="62"/>
      <c r="F20" s="88" t="s">
        <v>73</v>
      </c>
      <c r="G20" s="89"/>
      <c r="H20" s="97">
        <v>-63.993400000000001</v>
      </c>
      <c r="I20" s="98"/>
      <c r="J20" s="51" t="s">
        <v>623</v>
      </c>
      <c r="K20" s="52"/>
    </row>
    <row r="21" spans="1:11" ht="15.75" thickBot="1" x14ac:dyDescent="0.3">
      <c r="A21" s="11"/>
      <c r="B21" s="77" t="s">
        <v>75</v>
      </c>
      <c r="C21" s="78"/>
      <c r="D21" s="78"/>
      <c r="E21" s="79"/>
      <c r="F21" s="77" t="s">
        <v>76</v>
      </c>
      <c r="G21" s="78"/>
      <c r="H21" s="78"/>
      <c r="I21" s="78"/>
      <c r="J21" s="49">
        <v>6321</v>
      </c>
      <c r="K21" s="50"/>
    </row>
    <row r="22" spans="1:11" ht="15.75" thickTop="1" x14ac:dyDescent="0.25">
      <c r="A22" s="11"/>
      <c r="B22" s="80" t="s">
        <v>66</v>
      </c>
      <c r="C22" s="81"/>
      <c r="D22" s="84">
        <v>0</v>
      </c>
      <c r="E22" s="85"/>
      <c r="F22" s="80" t="s">
        <v>66</v>
      </c>
      <c r="G22" s="81"/>
      <c r="H22" s="86">
        <v>640</v>
      </c>
      <c r="I22" s="87"/>
      <c r="J22" s="55" t="s">
        <v>621</v>
      </c>
      <c r="K22" s="56"/>
    </row>
    <row r="23" spans="1:11" ht="15.75" thickBot="1" x14ac:dyDescent="0.3">
      <c r="A23" s="11"/>
      <c r="B23" s="80" t="s">
        <v>77</v>
      </c>
      <c r="C23" s="81"/>
      <c r="D23" s="84">
        <v>0</v>
      </c>
      <c r="E23" s="85"/>
      <c r="F23" s="80" t="s">
        <v>77</v>
      </c>
      <c r="G23" s="81"/>
      <c r="H23" s="86">
        <v>1500</v>
      </c>
      <c r="I23" s="87"/>
      <c r="J23" s="49">
        <v>0</v>
      </c>
      <c r="K23" s="50"/>
    </row>
    <row r="24" spans="1:11" ht="15.75" thickTop="1" x14ac:dyDescent="0.25">
      <c r="A24" s="11"/>
      <c r="B24" s="80" t="s">
        <v>70</v>
      </c>
      <c r="C24" s="81"/>
      <c r="D24" s="84">
        <v>0</v>
      </c>
      <c r="E24" s="85"/>
      <c r="F24" s="80" t="s">
        <v>70</v>
      </c>
      <c r="G24" s="81"/>
      <c r="H24" s="86">
        <v>640</v>
      </c>
      <c r="I24" s="87"/>
      <c r="J24" s="53" t="s">
        <v>620</v>
      </c>
      <c r="K24" s="54"/>
    </row>
    <row r="25" spans="1:11" ht="15.75" thickBot="1" x14ac:dyDescent="0.3">
      <c r="A25" s="11"/>
      <c r="B25" s="80" t="s">
        <v>68</v>
      </c>
      <c r="C25" s="81"/>
      <c r="D25" s="82">
        <v>7.6601924124160492</v>
      </c>
      <c r="E25" s="83"/>
      <c r="F25" s="80" t="s">
        <v>68</v>
      </c>
      <c r="G25" s="81"/>
      <c r="H25" s="86">
        <v>9</v>
      </c>
      <c r="I25" s="87"/>
      <c r="J25" s="49">
        <v>0</v>
      </c>
      <c r="K25" s="50"/>
    </row>
    <row r="26" spans="1:11" ht="16.5" thickTop="1" thickBot="1" x14ac:dyDescent="0.3">
      <c r="A26" s="11"/>
      <c r="B26" s="90" t="s">
        <v>69</v>
      </c>
      <c r="C26" s="91"/>
      <c r="D26" s="92">
        <v>12.541126378943289</v>
      </c>
      <c r="E26" s="93"/>
      <c r="F26" s="90" t="s">
        <v>78</v>
      </c>
      <c r="G26" s="91"/>
      <c r="H26" s="94">
        <v>12</v>
      </c>
      <c r="I26" s="95"/>
      <c r="J26" s="11"/>
    </row>
    <row r="27" spans="1:11" x14ac:dyDescent="0.25">
      <c r="A27" s="11"/>
      <c r="I27" s="30"/>
      <c r="J27" s="29"/>
    </row>
  </sheetData>
  <mergeCells count="90">
    <mergeCell ref="B25:C25"/>
    <mergeCell ref="D25:E25"/>
    <mergeCell ref="F25:G25"/>
    <mergeCell ref="H25:I25"/>
    <mergeCell ref="J25:K25"/>
    <mergeCell ref="B26:C26"/>
    <mergeCell ref="D26:E26"/>
    <mergeCell ref="F26:G26"/>
    <mergeCell ref="H26:I26"/>
    <mergeCell ref="B23:C23"/>
    <mergeCell ref="D23:E23"/>
    <mergeCell ref="F23:G23"/>
    <mergeCell ref="H23:I23"/>
    <mergeCell ref="J23:K23"/>
    <mergeCell ref="B24:C24"/>
    <mergeCell ref="D24:E24"/>
    <mergeCell ref="F24:G24"/>
    <mergeCell ref="H24:I24"/>
    <mergeCell ref="J24:K24"/>
    <mergeCell ref="B21:E21"/>
    <mergeCell ref="F21:I21"/>
    <mergeCell ref="J21:K21"/>
    <mergeCell ref="B22:C22"/>
    <mergeCell ref="D22:E22"/>
    <mergeCell ref="F22:G22"/>
    <mergeCell ref="H22:I22"/>
    <mergeCell ref="J22:K22"/>
    <mergeCell ref="B19:C19"/>
    <mergeCell ref="D19:E19"/>
    <mergeCell ref="F19:G19"/>
    <mergeCell ref="H19:I19"/>
    <mergeCell ref="J19:K19"/>
    <mergeCell ref="B20:C20"/>
    <mergeCell ref="D20:E20"/>
    <mergeCell ref="F20:G20"/>
    <mergeCell ref="H20:I20"/>
    <mergeCell ref="J20:K20"/>
    <mergeCell ref="B17:C17"/>
    <mergeCell ref="D17:E17"/>
    <mergeCell ref="F17:G17"/>
    <mergeCell ref="H17:I17"/>
    <mergeCell ref="B18:C18"/>
    <mergeCell ref="D18:E18"/>
    <mergeCell ref="F18:G18"/>
    <mergeCell ref="H18:I18"/>
    <mergeCell ref="B15:C15"/>
    <mergeCell ref="D15:E15"/>
    <mergeCell ref="F15:G15"/>
    <mergeCell ref="H15:I15"/>
    <mergeCell ref="B16:C16"/>
    <mergeCell ref="D16:E16"/>
    <mergeCell ref="F16:G16"/>
    <mergeCell ref="H16:I16"/>
    <mergeCell ref="B13:C13"/>
    <mergeCell ref="D13:E13"/>
    <mergeCell ref="F13:G13"/>
    <mergeCell ref="H13:I13"/>
    <mergeCell ref="B14:C14"/>
    <mergeCell ref="D14:E14"/>
    <mergeCell ref="F14:G14"/>
    <mergeCell ref="H14:I14"/>
    <mergeCell ref="B11:E11"/>
    <mergeCell ref="F11:I11"/>
    <mergeCell ref="B12:C12"/>
    <mergeCell ref="D12:E12"/>
    <mergeCell ref="F12:G12"/>
    <mergeCell ref="H12:I12"/>
    <mergeCell ref="B9:C9"/>
    <mergeCell ref="D9:E9"/>
    <mergeCell ref="F9:G9"/>
    <mergeCell ref="H9:I9"/>
    <mergeCell ref="B10:C10"/>
    <mergeCell ref="D10:E10"/>
    <mergeCell ref="F10:G10"/>
    <mergeCell ref="H10:I10"/>
    <mergeCell ref="B7:E7"/>
    <mergeCell ref="F7:I7"/>
    <mergeCell ref="B8:C8"/>
    <mergeCell ref="D8:E8"/>
    <mergeCell ref="F8:G8"/>
    <mergeCell ref="H8:I8"/>
    <mergeCell ref="B2:E3"/>
    <mergeCell ref="F2:I3"/>
    <mergeCell ref="B4:C4"/>
    <mergeCell ref="D4:E4"/>
    <mergeCell ref="F4:I6"/>
    <mergeCell ref="B5:C5"/>
    <mergeCell ref="D5:E5"/>
    <mergeCell ref="B6:C6"/>
    <mergeCell ref="D6:E6"/>
  </mergeCells>
  <conditionalFormatting sqref="D10:E10">
    <cfRule type="cellIs" dxfId="95" priority="5" operator="lessThan">
      <formula>470</formula>
    </cfRule>
    <cfRule type="cellIs" dxfId="94" priority="6" operator="greaterThanOrEqual">
      <formula>470</formula>
    </cfRule>
  </conditionalFormatting>
  <conditionalFormatting sqref="D26:E26 D22:D23 D25">
    <cfRule type="containsText" dxfId="93" priority="4" operator="containsText" text="&quot;--&quot;">
      <formula>NOT(ISERROR(SEARCH("""--""",D22)))</formula>
    </cfRule>
  </conditionalFormatting>
  <conditionalFormatting sqref="D24">
    <cfRule type="containsText" dxfId="92" priority="3" operator="containsText" text="&quot;--&quot;">
      <formula>NOT(ISERROR(SEARCH("""--""",D24)))</formula>
    </cfRule>
    <cfRule type="cellIs" dxfId="91" priority="31" operator="lessThan">
      <formula>$H$24</formula>
    </cfRule>
    <cfRule type="cellIs" dxfId="90" priority="32" operator="greaterThanOrEqual">
      <formula>$H$24</formula>
    </cfRule>
  </conditionalFormatting>
  <conditionalFormatting sqref="D23">
    <cfRule type="cellIs" dxfId="89" priority="7" operator="greaterThan">
      <formula>$H$23</formula>
    </cfRule>
    <cfRule type="cellIs" dxfId="88" priority="8" operator="lessThan">
      <formula>$H$23</formula>
    </cfRule>
  </conditionalFormatting>
  <conditionalFormatting sqref="D25 D23">
    <cfRule type="cellIs" dxfId="87" priority="9" operator="greaterThan">
      <formula>$H$25</formula>
    </cfRule>
    <cfRule type="cellIs" dxfId="86" priority="10" operator="lessThan">
      <formula>$H$25</formula>
    </cfRule>
  </conditionalFormatting>
  <conditionalFormatting sqref="D26:E26">
    <cfRule type="cellIs" dxfId="85" priority="11" operator="greaterThan">
      <formula>$H$26</formula>
    </cfRule>
    <cfRule type="cellIs" dxfId="84" priority="12" operator="lessThan">
      <formula>$H$26</formula>
    </cfRule>
  </conditionalFormatting>
  <conditionalFormatting sqref="D9:E9">
    <cfRule type="cellIs" dxfId="83" priority="13" operator="lessThan">
      <formula>$H$9</formula>
    </cfRule>
    <cfRule type="cellIs" dxfId="82" priority="14" operator="greaterThan">
      <formula>$H$9</formula>
    </cfRule>
  </conditionalFormatting>
  <conditionalFormatting sqref="D13:E13">
    <cfRule type="cellIs" dxfId="81" priority="15" operator="lessThan">
      <formula>$H$13</formula>
    </cfRule>
    <cfRule type="cellIs" dxfId="80" priority="16" operator="greaterThan">
      <formula>$H$13</formula>
    </cfRule>
  </conditionalFormatting>
  <conditionalFormatting sqref="D14:E14">
    <cfRule type="cellIs" dxfId="79" priority="17" operator="lessThan">
      <formula>$H$14</formula>
    </cfRule>
    <cfRule type="cellIs" dxfId="78" priority="18" operator="greaterThan">
      <formula>$H$14</formula>
    </cfRule>
  </conditionalFormatting>
  <conditionalFormatting sqref="D15:E15">
    <cfRule type="cellIs" dxfId="77" priority="19" operator="lessThan">
      <formula>$H$15</formula>
    </cfRule>
    <cfRule type="cellIs" dxfId="76" priority="20" operator="greaterThan">
      <formula>$H$15</formula>
    </cfRule>
  </conditionalFormatting>
  <conditionalFormatting sqref="D16:E16">
    <cfRule type="cellIs" dxfId="75" priority="21" operator="lessThan">
      <formula>$H$16</formula>
    </cfRule>
    <cfRule type="cellIs" dxfId="74" priority="22" operator="greaterThan">
      <formula>$H$16</formula>
    </cfRule>
  </conditionalFormatting>
  <conditionalFormatting sqref="D17:E18">
    <cfRule type="cellIs" dxfId="73" priority="23" operator="lessThan">
      <formula>$H$17</formula>
    </cfRule>
    <cfRule type="cellIs" dxfId="72" priority="24" operator="greaterThan">
      <formula>$H$17</formula>
    </cfRule>
  </conditionalFormatting>
  <conditionalFormatting sqref="D19">
    <cfRule type="cellIs" dxfId="71" priority="25" operator="lessThan">
      <formula>$H$19</formula>
    </cfRule>
    <cfRule type="cellIs" dxfId="70" priority="26" operator="greaterThan">
      <formula>$H$19</formula>
    </cfRule>
  </conditionalFormatting>
  <conditionalFormatting sqref="D20">
    <cfRule type="cellIs" dxfId="69" priority="27" operator="lessThan">
      <formula>$H$20</formula>
    </cfRule>
    <cfRule type="cellIs" dxfId="68" priority="28" operator="greaterThan">
      <formula>$H$20</formula>
    </cfRule>
  </conditionalFormatting>
  <conditionalFormatting sqref="D12:E12">
    <cfRule type="cellIs" dxfId="67" priority="29" operator="lessThan">
      <formula>$H$12</formula>
    </cfRule>
    <cfRule type="cellIs" dxfId="66" priority="30" operator="greaterThan">
      <formula>$H$12</formula>
    </cfRule>
  </conditionalFormatting>
  <conditionalFormatting sqref="D22:E22">
    <cfRule type="cellIs" dxfId="65" priority="1" operator="greaterThanOrEqual">
      <formula>$H$22</formula>
    </cfRule>
    <cfRule type="cellIs" dxfId="64" priority="2" operator="lessThan">
      <formula>$H$22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27"/>
  <sheetViews>
    <sheetView workbookViewId="0">
      <selection sqref="A1:K1048576"/>
    </sheetView>
  </sheetViews>
  <sheetFormatPr defaultRowHeight="15" x14ac:dyDescent="0.25"/>
  <cols>
    <col min="1" max="2" width="9.140625" style="13"/>
    <col min="3" max="3" width="13.7109375" style="13" bestFit="1" customWidth="1"/>
    <col min="4" max="4" width="12.7109375" style="13" bestFit="1" customWidth="1"/>
    <col min="5" max="5" width="10.7109375" style="13" customWidth="1"/>
    <col min="6" max="6" width="11.28515625" style="13" customWidth="1"/>
    <col min="7" max="7" width="10.5703125" style="13" customWidth="1"/>
    <col min="8" max="8" width="14.28515625" style="13" bestFit="1" customWidth="1"/>
    <col min="9" max="10" width="9.28515625" style="13"/>
    <col min="11" max="11" width="13.7109375" style="13" customWidth="1"/>
  </cols>
  <sheetData>
    <row r="1" spans="1:10" ht="15.75" thickBot="1" x14ac:dyDescent="0.3">
      <c r="A1" s="11"/>
      <c r="B1" s="11"/>
      <c r="C1" s="11"/>
      <c r="D1" s="11"/>
      <c r="E1" s="11"/>
      <c r="F1" s="11"/>
      <c r="G1" s="11"/>
      <c r="H1" s="12"/>
      <c r="I1" s="16" t="s">
        <v>59</v>
      </c>
      <c r="J1" s="11"/>
    </row>
    <row r="2" spans="1:10" x14ac:dyDescent="0.25">
      <c r="A2" s="11"/>
      <c r="B2" s="69" t="s">
        <v>2455</v>
      </c>
      <c r="C2" s="70"/>
      <c r="D2" s="70"/>
      <c r="E2" s="70"/>
      <c r="F2" s="73" t="s">
        <v>357</v>
      </c>
      <c r="G2" s="73"/>
      <c r="H2" s="73"/>
      <c r="I2" s="74"/>
      <c r="J2" s="11"/>
    </row>
    <row r="3" spans="1:10" ht="15.75" thickBot="1" x14ac:dyDescent="0.3">
      <c r="A3" s="11"/>
      <c r="B3" s="71"/>
      <c r="C3" s="72"/>
      <c r="D3" s="72"/>
      <c r="E3" s="72"/>
      <c r="F3" s="75"/>
      <c r="G3" s="75"/>
      <c r="H3" s="75"/>
      <c r="I3" s="76"/>
      <c r="J3" s="11"/>
    </row>
    <row r="4" spans="1:10" x14ac:dyDescent="0.25">
      <c r="A4" s="11"/>
      <c r="B4" s="39" t="s">
        <v>54</v>
      </c>
      <c r="C4" s="40"/>
      <c r="D4" s="40" t="s">
        <v>55</v>
      </c>
      <c r="E4" s="41"/>
      <c r="F4" s="107"/>
      <c r="G4" s="108"/>
      <c r="H4" s="108"/>
      <c r="I4" s="109"/>
      <c r="J4" s="11"/>
    </row>
    <row r="5" spans="1:10" x14ac:dyDescent="0.25">
      <c r="A5" s="11"/>
      <c r="B5" s="42">
        <v>44273</v>
      </c>
      <c r="C5" s="43"/>
      <c r="D5" s="42">
        <v>44274</v>
      </c>
      <c r="E5" s="43"/>
      <c r="F5" s="110"/>
      <c r="G5" s="111"/>
      <c r="H5" s="111"/>
      <c r="I5" s="112"/>
      <c r="J5" s="15">
        <v>10</v>
      </c>
    </row>
    <row r="6" spans="1:10" ht="15.75" thickBot="1" x14ac:dyDescent="0.3">
      <c r="A6" s="11"/>
      <c r="B6" s="46">
        <v>0.75</v>
      </c>
      <c r="C6" s="47"/>
      <c r="D6" s="46">
        <v>0</v>
      </c>
      <c r="E6" s="47"/>
      <c r="F6" s="113"/>
      <c r="G6" s="114"/>
      <c r="H6" s="114"/>
      <c r="I6" s="115"/>
      <c r="J6" s="11"/>
    </row>
    <row r="7" spans="1:10" x14ac:dyDescent="0.25">
      <c r="A7" s="11"/>
      <c r="B7" s="39" t="s">
        <v>56</v>
      </c>
      <c r="C7" s="40"/>
      <c r="D7" s="40"/>
      <c r="E7" s="41"/>
      <c r="F7" s="39" t="s">
        <v>57</v>
      </c>
      <c r="G7" s="40"/>
      <c r="H7" s="40"/>
      <c r="I7" s="41"/>
      <c r="J7" s="11"/>
    </row>
    <row r="8" spans="1:10" x14ac:dyDescent="0.25">
      <c r="A8" s="11"/>
      <c r="B8" s="99" t="s">
        <v>58</v>
      </c>
      <c r="C8" s="100"/>
      <c r="D8" s="122">
        <v>168931</v>
      </c>
      <c r="E8" s="123"/>
      <c r="F8" s="99" t="s">
        <v>58</v>
      </c>
      <c r="G8" s="100"/>
      <c r="H8" s="67">
        <v>168931</v>
      </c>
      <c r="I8" s="68"/>
      <c r="J8" s="11"/>
    </row>
    <row r="9" spans="1:10" x14ac:dyDescent="0.25">
      <c r="A9" s="11"/>
      <c r="B9" s="99" t="s">
        <v>60</v>
      </c>
      <c r="C9" s="100"/>
      <c r="D9" s="118">
        <v>537.97</v>
      </c>
      <c r="E9" s="119"/>
      <c r="F9" s="99" t="s">
        <v>61</v>
      </c>
      <c r="G9" s="100"/>
      <c r="H9" s="63">
        <v>466.39</v>
      </c>
      <c r="I9" s="64"/>
      <c r="J9" s="11"/>
    </row>
    <row r="10" spans="1:10" ht="15.75" thickBot="1" x14ac:dyDescent="0.3">
      <c r="A10" s="11"/>
      <c r="B10" s="103" t="s">
        <v>62</v>
      </c>
      <c r="C10" s="104"/>
      <c r="D10" s="120">
        <v>314.02</v>
      </c>
      <c r="E10" s="121"/>
      <c r="F10" s="103" t="s">
        <v>62</v>
      </c>
      <c r="G10" s="104"/>
      <c r="H10" s="105">
        <v>362.20973863075966</v>
      </c>
      <c r="I10" s="106"/>
      <c r="J10" s="11"/>
    </row>
    <row r="11" spans="1:10" x14ac:dyDescent="0.25">
      <c r="A11" s="11"/>
      <c r="B11" s="39" t="s">
        <v>63</v>
      </c>
      <c r="C11" s="40"/>
      <c r="D11" s="40"/>
      <c r="E11" s="41"/>
      <c r="F11" s="39" t="s">
        <v>64</v>
      </c>
      <c r="G11" s="40"/>
      <c r="H11" s="40"/>
      <c r="I11" s="41"/>
      <c r="J11" s="11"/>
    </row>
    <row r="12" spans="1:10" x14ac:dyDescent="0.25">
      <c r="A12" s="11"/>
      <c r="B12" s="99" t="s">
        <v>65</v>
      </c>
      <c r="C12" s="100"/>
      <c r="D12" s="116">
        <v>14.940000000000001</v>
      </c>
      <c r="E12" s="117"/>
      <c r="F12" s="99" t="s">
        <v>65</v>
      </c>
      <c r="G12" s="100"/>
      <c r="H12" s="65">
        <v>-36</v>
      </c>
      <c r="I12" s="66"/>
      <c r="J12" s="11"/>
    </row>
    <row r="13" spans="1:10" x14ac:dyDescent="0.25">
      <c r="A13" s="11"/>
      <c r="B13" s="99" t="s">
        <v>66</v>
      </c>
      <c r="C13" s="100"/>
      <c r="D13" s="116">
        <v>122.14999999999998</v>
      </c>
      <c r="E13" s="117"/>
      <c r="F13" s="99" t="s">
        <v>66</v>
      </c>
      <c r="G13" s="100"/>
      <c r="H13" s="65">
        <v>0</v>
      </c>
      <c r="I13" s="66"/>
    </row>
    <row r="14" spans="1:10" x14ac:dyDescent="0.25">
      <c r="A14" s="11"/>
      <c r="B14" s="99" t="s">
        <v>67</v>
      </c>
      <c r="C14" s="100"/>
      <c r="D14" s="116">
        <v>39.230000000000004</v>
      </c>
      <c r="E14" s="117"/>
      <c r="F14" s="99" t="s">
        <v>67</v>
      </c>
      <c r="G14" s="100"/>
      <c r="H14" s="65">
        <v>0</v>
      </c>
      <c r="I14" s="66"/>
    </row>
    <row r="15" spans="1:10" x14ac:dyDescent="0.25">
      <c r="A15" s="11"/>
      <c r="B15" s="99" t="s">
        <v>68</v>
      </c>
      <c r="C15" s="100"/>
      <c r="D15" s="116">
        <v>145.29000000000002</v>
      </c>
      <c r="E15" s="117"/>
      <c r="F15" s="99" t="s">
        <v>68</v>
      </c>
      <c r="G15" s="100"/>
      <c r="H15" s="65">
        <v>0</v>
      </c>
      <c r="I15" s="66"/>
    </row>
    <row r="16" spans="1:10" x14ac:dyDescent="0.25">
      <c r="A16" s="11"/>
      <c r="B16" s="99" t="s">
        <v>69</v>
      </c>
      <c r="C16" s="100"/>
      <c r="D16" s="116">
        <v>107.9</v>
      </c>
      <c r="E16" s="117"/>
      <c r="F16" s="99" t="s">
        <v>69</v>
      </c>
      <c r="G16" s="100"/>
      <c r="H16" s="65">
        <v>0</v>
      </c>
      <c r="I16" s="66"/>
      <c r="J16" s="11"/>
    </row>
    <row r="17" spans="1:11" x14ac:dyDescent="0.25">
      <c r="A17" s="11"/>
      <c r="B17" s="99" t="s">
        <v>70</v>
      </c>
      <c r="C17" s="100"/>
      <c r="D17" s="116">
        <v>0</v>
      </c>
      <c r="E17" s="117"/>
      <c r="F17" s="99" t="s">
        <v>70</v>
      </c>
      <c r="G17" s="100"/>
      <c r="H17" s="65">
        <v>0</v>
      </c>
      <c r="I17" s="66"/>
    </row>
    <row r="18" spans="1:11" ht="15.75" thickBot="1" x14ac:dyDescent="0.3">
      <c r="A18" s="11"/>
      <c r="B18" s="101" t="s">
        <v>71</v>
      </c>
      <c r="C18" s="102"/>
      <c r="D18" s="116">
        <v>0</v>
      </c>
      <c r="E18" s="117"/>
      <c r="F18" s="101" t="s">
        <v>71</v>
      </c>
      <c r="G18" s="102"/>
      <c r="H18" s="63">
        <v>0</v>
      </c>
      <c r="I18" s="64"/>
    </row>
    <row r="19" spans="1:11" ht="16.5" thickTop="1" thickBot="1" x14ac:dyDescent="0.3">
      <c r="A19" s="11"/>
      <c r="B19" s="80" t="s">
        <v>72</v>
      </c>
      <c r="C19" s="81"/>
      <c r="D19" s="59">
        <v>11.12</v>
      </c>
      <c r="E19" s="60"/>
      <c r="F19" s="80" t="s">
        <v>72</v>
      </c>
      <c r="G19" s="81"/>
      <c r="H19" s="63">
        <v>-36</v>
      </c>
      <c r="I19" s="96"/>
      <c r="J19" s="57" t="s">
        <v>622</v>
      </c>
      <c r="K19" s="58"/>
    </row>
    <row r="20" spans="1:11" ht="16.5" thickTop="1" thickBot="1" x14ac:dyDescent="0.3">
      <c r="A20" s="33">
        <v>0.22938082049184899</v>
      </c>
      <c r="B20" s="88" t="s">
        <v>73</v>
      </c>
      <c r="C20" s="89"/>
      <c r="D20" s="61">
        <v>440.63</v>
      </c>
      <c r="E20" s="62"/>
      <c r="F20" s="88" t="s">
        <v>73</v>
      </c>
      <c r="G20" s="89"/>
      <c r="H20" s="97">
        <v>-72</v>
      </c>
      <c r="I20" s="98"/>
      <c r="J20" s="51" t="s">
        <v>623</v>
      </c>
      <c r="K20" s="52"/>
    </row>
    <row r="21" spans="1:11" ht="15.75" thickBot="1" x14ac:dyDescent="0.3">
      <c r="A21" s="11"/>
      <c r="B21" s="77" t="s">
        <v>75</v>
      </c>
      <c r="C21" s="78"/>
      <c r="D21" s="78"/>
      <c r="E21" s="79"/>
      <c r="F21" s="77" t="s">
        <v>76</v>
      </c>
      <c r="G21" s="78"/>
      <c r="H21" s="78"/>
      <c r="I21" s="78"/>
      <c r="J21" s="49">
        <v>0</v>
      </c>
      <c r="K21" s="50"/>
    </row>
    <row r="22" spans="1:11" ht="15.75" thickTop="1" x14ac:dyDescent="0.25">
      <c r="A22" s="11"/>
      <c r="B22" s="80" t="s">
        <v>66</v>
      </c>
      <c r="C22" s="81"/>
      <c r="D22" s="84">
        <v>0</v>
      </c>
      <c r="E22" s="85"/>
      <c r="F22" s="80" t="s">
        <v>66</v>
      </c>
      <c r="G22" s="81"/>
      <c r="H22" s="86">
        <v>640</v>
      </c>
      <c r="I22" s="87"/>
      <c r="J22" s="55" t="s">
        <v>621</v>
      </c>
      <c r="K22" s="56"/>
    </row>
    <row r="23" spans="1:11" ht="15.75" thickBot="1" x14ac:dyDescent="0.3">
      <c r="A23" s="11"/>
      <c r="B23" s="80" t="s">
        <v>77</v>
      </c>
      <c r="C23" s="81"/>
      <c r="D23" s="84">
        <v>0</v>
      </c>
      <c r="E23" s="85"/>
      <c r="F23" s="80" t="s">
        <v>77</v>
      </c>
      <c r="G23" s="81"/>
      <c r="H23" s="86">
        <v>1500</v>
      </c>
      <c r="I23" s="87"/>
      <c r="J23" s="49">
        <v>0</v>
      </c>
      <c r="K23" s="50"/>
    </row>
    <row r="24" spans="1:11" ht="15.75" thickTop="1" x14ac:dyDescent="0.25">
      <c r="A24" s="11"/>
      <c r="B24" s="80" t="s">
        <v>70</v>
      </c>
      <c r="C24" s="81"/>
      <c r="D24" s="84" t="e">
        <v>#DIV/0!</v>
      </c>
      <c r="E24" s="85"/>
      <c r="F24" s="80" t="s">
        <v>70</v>
      </c>
      <c r="G24" s="81"/>
      <c r="H24" s="86">
        <v>640</v>
      </c>
      <c r="I24" s="87"/>
      <c r="J24" s="53" t="s">
        <v>620</v>
      </c>
      <c r="K24" s="54"/>
    </row>
    <row r="25" spans="1:11" ht="15.75" thickBot="1" x14ac:dyDescent="0.3">
      <c r="A25" s="11"/>
      <c r="B25" s="80" t="s">
        <v>68</v>
      </c>
      <c r="C25" s="81"/>
      <c r="D25" s="82">
        <v>6.352811618143023</v>
      </c>
      <c r="E25" s="83"/>
      <c r="F25" s="80" t="s">
        <v>68</v>
      </c>
      <c r="G25" s="81"/>
      <c r="H25" s="86">
        <v>9</v>
      </c>
      <c r="I25" s="87"/>
      <c r="J25" s="49">
        <v>0</v>
      </c>
      <c r="K25" s="50"/>
    </row>
    <row r="26" spans="1:11" ht="16.5" thickTop="1" thickBot="1" x14ac:dyDescent="0.3">
      <c r="A26" s="11"/>
      <c r="B26" s="90" t="s">
        <v>69</v>
      </c>
      <c r="C26" s="91"/>
      <c r="D26" s="92">
        <v>7.2011121408711762</v>
      </c>
      <c r="E26" s="93"/>
      <c r="F26" s="90" t="s">
        <v>78</v>
      </c>
      <c r="G26" s="91"/>
      <c r="H26" s="94">
        <v>12</v>
      </c>
      <c r="I26" s="95"/>
      <c r="J26" s="11"/>
    </row>
    <row r="27" spans="1:11" x14ac:dyDescent="0.25">
      <c r="A27" s="11"/>
      <c r="I27" s="30"/>
      <c r="J27" s="29"/>
    </row>
  </sheetData>
  <mergeCells count="90">
    <mergeCell ref="B25:C25"/>
    <mergeCell ref="D25:E25"/>
    <mergeCell ref="F25:G25"/>
    <mergeCell ref="H25:I25"/>
    <mergeCell ref="J25:K25"/>
    <mergeCell ref="B26:C26"/>
    <mergeCell ref="D26:E26"/>
    <mergeCell ref="F26:G26"/>
    <mergeCell ref="H26:I26"/>
    <mergeCell ref="B23:C23"/>
    <mergeCell ref="D23:E23"/>
    <mergeCell ref="F23:G23"/>
    <mergeCell ref="H23:I23"/>
    <mergeCell ref="J23:K23"/>
    <mergeCell ref="B24:C24"/>
    <mergeCell ref="D24:E24"/>
    <mergeCell ref="F24:G24"/>
    <mergeCell ref="H24:I24"/>
    <mergeCell ref="J24:K24"/>
    <mergeCell ref="B21:E21"/>
    <mergeCell ref="F21:I21"/>
    <mergeCell ref="J21:K21"/>
    <mergeCell ref="B22:C22"/>
    <mergeCell ref="D22:E22"/>
    <mergeCell ref="F22:G22"/>
    <mergeCell ref="H22:I22"/>
    <mergeCell ref="J22:K22"/>
    <mergeCell ref="B19:C19"/>
    <mergeCell ref="D19:E19"/>
    <mergeCell ref="F19:G19"/>
    <mergeCell ref="H19:I19"/>
    <mergeCell ref="J19:K19"/>
    <mergeCell ref="B20:C20"/>
    <mergeCell ref="D20:E20"/>
    <mergeCell ref="F20:G20"/>
    <mergeCell ref="H20:I20"/>
    <mergeCell ref="J20:K20"/>
    <mergeCell ref="B17:C17"/>
    <mergeCell ref="D17:E17"/>
    <mergeCell ref="F17:G17"/>
    <mergeCell ref="H17:I17"/>
    <mergeCell ref="B18:C18"/>
    <mergeCell ref="D18:E18"/>
    <mergeCell ref="F18:G18"/>
    <mergeCell ref="H18:I18"/>
    <mergeCell ref="B15:C15"/>
    <mergeCell ref="D15:E15"/>
    <mergeCell ref="F15:G15"/>
    <mergeCell ref="H15:I15"/>
    <mergeCell ref="B16:C16"/>
    <mergeCell ref="D16:E16"/>
    <mergeCell ref="F16:G16"/>
    <mergeCell ref="H16:I16"/>
    <mergeCell ref="B13:C13"/>
    <mergeCell ref="D13:E13"/>
    <mergeCell ref="F13:G13"/>
    <mergeCell ref="H13:I13"/>
    <mergeCell ref="B14:C14"/>
    <mergeCell ref="D14:E14"/>
    <mergeCell ref="F14:G14"/>
    <mergeCell ref="H14:I14"/>
    <mergeCell ref="B11:E11"/>
    <mergeCell ref="F11:I11"/>
    <mergeCell ref="B12:C12"/>
    <mergeCell ref="D12:E12"/>
    <mergeCell ref="F12:G12"/>
    <mergeCell ref="H12:I12"/>
    <mergeCell ref="B9:C9"/>
    <mergeCell ref="D9:E9"/>
    <mergeCell ref="F9:G9"/>
    <mergeCell ref="H9:I9"/>
    <mergeCell ref="B10:C10"/>
    <mergeCell ref="D10:E10"/>
    <mergeCell ref="F10:G10"/>
    <mergeCell ref="H10:I10"/>
    <mergeCell ref="B7:E7"/>
    <mergeCell ref="F7:I7"/>
    <mergeCell ref="B8:C8"/>
    <mergeCell ref="D8:E8"/>
    <mergeCell ref="F8:G8"/>
    <mergeCell ref="H8:I8"/>
    <mergeCell ref="B2:E3"/>
    <mergeCell ref="F2:I3"/>
    <mergeCell ref="B4:C4"/>
    <mergeCell ref="D4:E4"/>
    <mergeCell ref="F4:I6"/>
    <mergeCell ref="B5:C5"/>
    <mergeCell ref="D5:E5"/>
    <mergeCell ref="B6:C6"/>
    <mergeCell ref="D6:E6"/>
  </mergeCells>
  <conditionalFormatting sqref="D10:E10">
    <cfRule type="cellIs" dxfId="63" priority="5" operator="lessThan">
      <formula>470</formula>
    </cfRule>
    <cfRule type="cellIs" dxfId="62" priority="6" operator="greaterThanOrEqual">
      <formula>470</formula>
    </cfRule>
  </conditionalFormatting>
  <conditionalFormatting sqref="D26:E26 D22:D23 D25">
    <cfRule type="containsText" dxfId="61" priority="4" operator="containsText" text="&quot;--&quot;">
      <formula>NOT(ISERROR(SEARCH("""--""",D22)))</formula>
    </cfRule>
  </conditionalFormatting>
  <conditionalFormatting sqref="D24">
    <cfRule type="containsText" dxfId="60" priority="3" operator="containsText" text="&quot;--&quot;">
      <formula>NOT(ISERROR(SEARCH("""--""",D24)))</formula>
    </cfRule>
    <cfRule type="cellIs" dxfId="59" priority="31" operator="lessThan">
      <formula>$H$24</formula>
    </cfRule>
    <cfRule type="cellIs" dxfId="58" priority="32" operator="greaterThanOrEqual">
      <formula>$H$24</formula>
    </cfRule>
  </conditionalFormatting>
  <conditionalFormatting sqref="D23">
    <cfRule type="cellIs" dxfId="57" priority="7" operator="greaterThan">
      <formula>$H$23</formula>
    </cfRule>
    <cfRule type="cellIs" dxfId="56" priority="8" operator="lessThan">
      <formula>$H$23</formula>
    </cfRule>
  </conditionalFormatting>
  <conditionalFormatting sqref="D25 D23">
    <cfRule type="cellIs" dxfId="55" priority="9" operator="greaterThan">
      <formula>$H$25</formula>
    </cfRule>
    <cfRule type="cellIs" dxfId="54" priority="10" operator="lessThan">
      <formula>$H$25</formula>
    </cfRule>
  </conditionalFormatting>
  <conditionalFormatting sqref="D26:E26">
    <cfRule type="cellIs" dxfId="53" priority="11" operator="greaterThan">
      <formula>$H$26</formula>
    </cfRule>
    <cfRule type="cellIs" dxfId="52" priority="12" operator="lessThan">
      <formula>$H$26</formula>
    </cfRule>
  </conditionalFormatting>
  <conditionalFormatting sqref="D9:E9">
    <cfRule type="cellIs" dxfId="51" priority="13" operator="lessThan">
      <formula>$H$9</formula>
    </cfRule>
    <cfRule type="cellIs" dxfId="50" priority="14" operator="greaterThan">
      <formula>$H$9</formula>
    </cfRule>
  </conditionalFormatting>
  <conditionalFormatting sqref="D13:E13">
    <cfRule type="cellIs" dxfId="49" priority="15" operator="lessThan">
      <formula>$H$13</formula>
    </cfRule>
    <cfRule type="cellIs" dxfId="48" priority="16" operator="greaterThan">
      <formula>$H$13</formula>
    </cfRule>
  </conditionalFormatting>
  <conditionalFormatting sqref="D14:E14">
    <cfRule type="cellIs" dxfId="47" priority="17" operator="lessThan">
      <formula>$H$14</formula>
    </cfRule>
    <cfRule type="cellIs" dxfId="46" priority="18" operator="greaterThan">
      <formula>$H$14</formula>
    </cfRule>
  </conditionalFormatting>
  <conditionalFormatting sqref="D15:E15">
    <cfRule type="cellIs" dxfId="45" priority="19" operator="lessThan">
      <formula>$H$15</formula>
    </cfRule>
    <cfRule type="cellIs" dxfId="44" priority="20" operator="greaterThan">
      <formula>$H$15</formula>
    </cfRule>
  </conditionalFormatting>
  <conditionalFormatting sqref="D16:E16">
    <cfRule type="cellIs" dxfId="43" priority="21" operator="lessThan">
      <formula>$H$16</formula>
    </cfRule>
    <cfRule type="cellIs" dxfId="42" priority="22" operator="greaterThan">
      <formula>$H$16</formula>
    </cfRule>
  </conditionalFormatting>
  <conditionalFormatting sqref="D17:E18">
    <cfRule type="cellIs" dxfId="41" priority="23" operator="lessThan">
      <formula>$H$17</formula>
    </cfRule>
    <cfRule type="cellIs" dxfId="40" priority="24" operator="greaterThan">
      <formula>$H$17</formula>
    </cfRule>
  </conditionalFormatting>
  <conditionalFormatting sqref="D19">
    <cfRule type="cellIs" dxfId="39" priority="25" operator="lessThan">
      <formula>$H$19</formula>
    </cfRule>
    <cfRule type="cellIs" dxfId="38" priority="26" operator="greaterThan">
      <formula>$H$19</formula>
    </cfRule>
  </conditionalFormatting>
  <conditionalFormatting sqref="D20">
    <cfRule type="cellIs" dxfId="37" priority="27" operator="lessThan">
      <formula>$H$20</formula>
    </cfRule>
    <cfRule type="cellIs" dxfId="36" priority="28" operator="greaterThan">
      <formula>$H$20</formula>
    </cfRule>
  </conditionalFormatting>
  <conditionalFormatting sqref="D12:E12">
    <cfRule type="cellIs" dxfId="35" priority="29" operator="lessThan">
      <formula>$H$12</formula>
    </cfRule>
    <cfRule type="cellIs" dxfId="34" priority="30" operator="greaterThan">
      <formula>$H$12</formula>
    </cfRule>
  </conditionalFormatting>
  <conditionalFormatting sqref="D22:E22">
    <cfRule type="cellIs" dxfId="33" priority="1" operator="greaterThanOrEqual">
      <formula>$H$22</formula>
    </cfRule>
    <cfRule type="cellIs" dxfId="32" priority="2" operator="lessThan">
      <formula>$H$22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27"/>
  <sheetViews>
    <sheetView workbookViewId="0">
      <selection sqref="A1:K1048576"/>
    </sheetView>
  </sheetViews>
  <sheetFormatPr defaultRowHeight="15" x14ac:dyDescent="0.25"/>
  <cols>
    <col min="1" max="2" width="9.140625" style="13"/>
    <col min="3" max="3" width="13.7109375" style="13" bestFit="1" customWidth="1"/>
    <col min="4" max="4" width="12.7109375" style="13" bestFit="1" customWidth="1"/>
    <col min="5" max="5" width="10.7109375" style="13" customWidth="1"/>
    <col min="6" max="6" width="11.28515625" style="13" customWidth="1"/>
    <col min="7" max="7" width="10.5703125" style="13" customWidth="1"/>
    <col min="8" max="8" width="14.28515625" style="13" bestFit="1" customWidth="1"/>
    <col min="9" max="10" width="9.28515625" style="13"/>
    <col min="11" max="11" width="13.7109375" style="13" customWidth="1"/>
  </cols>
  <sheetData>
    <row r="1" spans="1:10" ht="15.75" thickBot="1" x14ac:dyDescent="0.3">
      <c r="A1" s="11"/>
      <c r="B1" s="11"/>
      <c r="C1" s="11"/>
      <c r="D1" s="11"/>
      <c r="E1" s="11"/>
      <c r="F1" s="11"/>
      <c r="G1" s="11"/>
      <c r="H1" s="12"/>
      <c r="I1" s="16" t="s">
        <v>59</v>
      </c>
      <c r="J1" s="11"/>
    </row>
    <row r="2" spans="1:10" x14ac:dyDescent="0.25">
      <c r="A2" s="11"/>
      <c r="B2" s="69" t="s">
        <v>2456</v>
      </c>
      <c r="C2" s="70"/>
      <c r="D2" s="70"/>
      <c r="E2" s="70"/>
      <c r="F2" s="73" t="s">
        <v>357</v>
      </c>
      <c r="G2" s="73"/>
      <c r="H2" s="73"/>
      <c r="I2" s="74"/>
      <c r="J2" s="11"/>
    </row>
    <row r="3" spans="1:10" ht="15.75" thickBot="1" x14ac:dyDescent="0.3">
      <c r="A3" s="11"/>
      <c r="B3" s="71"/>
      <c r="C3" s="72"/>
      <c r="D3" s="72"/>
      <c r="E3" s="72"/>
      <c r="F3" s="75"/>
      <c r="G3" s="75"/>
      <c r="H3" s="75"/>
      <c r="I3" s="76"/>
      <c r="J3" s="11"/>
    </row>
    <row r="4" spans="1:10" x14ac:dyDescent="0.25">
      <c r="A4" s="11"/>
      <c r="B4" s="39" t="s">
        <v>54</v>
      </c>
      <c r="C4" s="40"/>
      <c r="D4" s="40" t="s">
        <v>55</v>
      </c>
      <c r="E4" s="41"/>
      <c r="F4" s="107"/>
      <c r="G4" s="108"/>
      <c r="H4" s="108"/>
      <c r="I4" s="109"/>
      <c r="J4" s="11"/>
    </row>
    <row r="5" spans="1:10" x14ac:dyDescent="0.25">
      <c r="A5" s="11"/>
      <c r="B5" s="42">
        <v>44273</v>
      </c>
      <c r="C5" s="43"/>
      <c r="D5" s="42">
        <v>44274</v>
      </c>
      <c r="E5" s="43"/>
      <c r="F5" s="110"/>
      <c r="G5" s="111"/>
      <c r="H5" s="111"/>
      <c r="I5" s="112"/>
      <c r="J5" s="15">
        <v>10</v>
      </c>
    </row>
    <row r="6" spans="1:10" ht="15.75" thickBot="1" x14ac:dyDescent="0.3">
      <c r="A6" s="11"/>
      <c r="B6" s="46">
        <v>0.75</v>
      </c>
      <c r="C6" s="47"/>
      <c r="D6" s="46">
        <v>0</v>
      </c>
      <c r="E6" s="47"/>
      <c r="F6" s="113"/>
      <c r="G6" s="114"/>
      <c r="H6" s="114"/>
      <c r="I6" s="115"/>
      <c r="J6" s="11"/>
    </row>
    <row r="7" spans="1:10" x14ac:dyDescent="0.25">
      <c r="A7" s="11"/>
      <c r="B7" s="39" t="s">
        <v>56</v>
      </c>
      <c r="C7" s="40"/>
      <c r="D7" s="40"/>
      <c r="E7" s="41"/>
      <c r="F7" s="39" t="s">
        <v>57</v>
      </c>
      <c r="G7" s="40"/>
      <c r="H7" s="40"/>
      <c r="I7" s="41"/>
      <c r="J7" s="11"/>
    </row>
    <row r="8" spans="1:10" x14ac:dyDescent="0.25">
      <c r="A8" s="11"/>
      <c r="B8" s="99" t="s">
        <v>58</v>
      </c>
      <c r="C8" s="100"/>
      <c r="D8" s="122">
        <v>107328</v>
      </c>
      <c r="E8" s="123"/>
      <c r="F8" s="99" t="s">
        <v>58</v>
      </c>
      <c r="G8" s="100"/>
      <c r="H8" s="67">
        <v>107328</v>
      </c>
      <c r="I8" s="68"/>
      <c r="J8" s="11"/>
    </row>
    <row r="9" spans="1:10" x14ac:dyDescent="0.25">
      <c r="A9" s="11"/>
      <c r="B9" s="99" t="s">
        <v>60</v>
      </c>
      <c r="C9" s="100"/>
      <c r="D9" s="118">
        <v>233.5</v>
      </c>
      <c r="E9" s="119"/>
      <c r="F9" s="99" t="s">
        <v>61</v>
      </c>
      <c r="G9" s="100"/>
      <c r="H9" s="63">
        <v>246.67</v>
      </c>
      <c r="I9" s="64"/>
      <c r="J9" s="11"/>
    </row>
    <row r="10" spans="1:10" ht="15.75" thickBot="1" x14ac:dyDescent="0.3">
      <c r="A10" s="11"/>
      <c r="B10" s="103" t="s">
        <v>62</v>
      </c>
      <c r="C10" s="104"/>
      <c r="D10" s="120">
        <v>459.64</v>
      </c>
      <c r="E10" s="121"/>
      <c r="F10" s="103" t="s">
        <v>62</v>
      </c>
      <c r="G10" s="104"/>
      <c r="H10" s="105">
        <v>435.10763368062595</v>
      </c>
      <c r="I10" s="106"/>
      <c r="J10" s="11"/>
    </row>
    <row r="11" spans="1:10" x14ac:dyDescent="0.25">
      <c r="A11" s="11"/>
      <c r="B11" s="39" t="s">
        <v>63</v>
      </c>
      <c r="C11" s="40"/>
      <c r="D11" s="40"/>
      <c r="E11" s="41"/>
      <c r="F11" s="39" t="s">
        <v>64</v>
      </c>
      <c r="G11" s="40"/>
      <c r="H11" s="40"/>
      <c r="I11" s="41"/>
      <c r="J11" s="11"/>
    </row>
    <row r="12" spans="1:10" x14ac:dyDescent="0.25">
      <c r="A12" s="11"/>
      <c r="B12" s="99" t="s">
        <v>65</v>
      </c>
      <c r="C12" s="100"/>
      <c r="D12" s="116">
        <v>4.92</v>
      </c>
      <c r="E12" s="117"/>
      <c r="F12" s="99" t="s">
        <v>65</v>
      </c>
      <c r="G12" s="100"/>
      <c r="H12" s="65">
        <v>-36</v>
      </c>
      <c r="I12" s="66"/>
      <c r="J12" s="11"/>
    </row>
    <row r="13" spans="1:10" x14ac:dyDescent="0.25">
      <c r="A13" s="11"/>
      <c r="B13" s="99" t="s">
        <v>66</v>
      </c>
      <c r="C13" s="100"/>
      <c r="D13" s="116">
        <v>89.330000000000013</v>
      </c>
      <c r="E13" s="117"/>
      <c r="F13" s="99" t="s">
        <v>66</v>
      </c>
      <c r="G13" s="100"/>
      <c r="H13" s="65">
        <v>0</v>
      </c>
      <c r="I13" s="66"/>
    </row>
    <row r="14" spans="1:10" x14ac:dyDescent="0.25">
      <c r="A14" s="11"/>
      <c r="B14" s="99" t="s">
        <v>67</v>
      </c>
      <c r="C14" s="100"/>
      <c r="D14" s="116">
        <v>17.630000000000003</v>
      </c>
      <c r="E14" s="117"/>
      <c r="F14" s="99" t="s">
        <v>67</v>
      </c>
      <c r="G14" s="100"/>
      <c r="H14" s="65">
        <v>0.25600000000000001</v>
      </c>
      <c r="I14" s="66"/>
    </row>
    <row r="15" spans="1:10" x14ac:dyDescent="0.25">
      <c r="A15" s="11"/>
      <c r="B15" s="99" t="s">
        <v>68</v>
      </c>
      <c r="C15" s="100"/>
      <c r="D15" s="116">
        <v>34.489999999999995</v>
      </c>
      <c r="E15" s="117"/>
      <c r="F15" s="99" t="s">
        <v>68</v>
      </c>
      <c r="G15" s="100"/>
      <c r="H15" s="65">
        <v>0.128</v>
      </c>
      <c r="I15" s="66"/>
    </row>
    <row r="16" spans="1:10" x14ac:dyDescent="0.25">
      <c r="A16" s="11"/>
      <c r="B16" s="99" t="s">
        <v>69</v>
      </c>
      <c r="C16" s="100"/>
      <c r="D16" s="116">
        <v>23.09</v>
      </c>
      <c r="E16" s="117"/>
      <c r="F16" s="99" t="s">
        <v>69</v>
      </c>
      <c r="G16" s="100"/>
      <c r="H16" s="65">
        <v>0.1024</v>
      </c>
      <c r="I16" s="66"/>
      <c r="J16" s="11"/>
    </row>
    <row r="17" spans="1:11" x14ac:dyDescent="0.25">
      <c r="A17" s="11"/>
      <c r="B17" s="99" t="s">
        <v>70</v>
      </c>
      <c r="C17" s="100"/>
      <c r="D17" s="116">
        <v>21.46</v>
      </c>
      <c r="E17" s="117"/>
      <c r="F17" s="99" t="s">
        <v>70</v>
      </c>
      <c r="G17" s="100"/>
      <c r="H17" s="65">
        <v>0</v>
      </c>
      <c r="I17" s="66"/>
    </row>
    <row r="18" spans="1:11" ht="15.75" thickBot="1" x14ac:dyDescent="0.3">
      <c r="A18" s="11"/>
      <c r="B18" s="101" t="s">
        <v>71</v>
      </c>
      <c r="C18" s="102"/>
      <c r="D18" s="116">
        <v>0</v>
      </c>
      <c r="E18" s="117"/>
      <c r="F18" s="101" t="s">
        <v>71</v>
      </c>
      <c r="G18" s="102"/>
      <c r="H18" s="63">
        <v>0</v>
      </c>
      <c r="I18" s="64"/>
    </row>
    <row r="19" spans="1:11" ht="16.5" thickTop="1" thickBot="1" x14ac:dyDescent="0.3">
      <c r="A19" s="11"/>
      <c r="B19" s="80" t="s">
        <v>72</v>
      </c>
      <c r="C19" s="81"/>
      <c r="D19" s="59">
        <v>5.35</v>
      </c>
      <c r="E19" s="60"/>
      <c r="F19" s="80" t="s">
        <v>72</v>
      </c>
      <c r="G19" s="81"/>
      <c r="H19" s="63">
        <v>-36</v>
      </c>
      <c r="I19" s="96"/>
      <c r="J19" s="57" t="s">
        <v>622</v>
      </c>
      <c r="K19" s="58"/>
    </row>
    <row r="20" spans="1:11" ht="16.5" thickTop="1" thickBot="1" x14ac:dyDescent="0.3">
      <c r="A20" s="33">
        <v>0.20342612419700212</v>
      </c>
      <c r="B20" s="88" t="s">
        <v>73</v>
      </c>
      <c r="C20" s="89"/>
      <c r="D20" s="61">
        <v>196.27</v>
      </c>
      <c r="E20" s="62"/>
      <c r="F20" s="88" t="s">
        <v>73</v>
      </c>
      <c r="G20" s="89"/>
      <c r="H20" s="97">
        <v>-71.513599999999997</v>
      </c>
      <c r="I20" s="98"/>
      <c r="J20" s="51" t="s">
        <v>623</v>
      </c>
      <c r="K20" s="52"/>
    </row>
    <row r="21" spans="1:11" ht="15.75" thickBot="1" x14ac:dyDescent="0.3">
      <c r="A21" s="11"/>
      <c r="B21" s="77" t="s">
        <v>75</v>
      </c>
      <c r="C21" s="78"/>
      <c r="D21" s="78"/>
      <c r="E21" s="79"/>
      <c r="F21" s="77" t="s">
        <v>76</v>
      </c>
      <c r="G21" s="78"/>
      <c r="H21" s="78"/>
      <c r="I21" s="78"/>
      <c r="J21" s="49">
        <v>384</v>
      </c>
      <c r="K21" s="50"/>
    </row>
    <row r="22" spans="1:11" ht="15.75" thickTop="1" x14ac:dyDescent="0.25">
      <c r="A22" s="11"/>
      <c r="B22" s="80" t="s">
        <v>66</v>
      </c>
      <c r="C22" s="81"/>
      <c r="D22" s="84">
        <v>0</v>
      </c>
      <c r="E22" s="85"/>
      <c r="F22" s="80" t="s">
        <v>66</v>
      </c>
      <c r="G22" s="81"/>
      <c r="H22" s="86">
        <v>640</v>
      </c>
      <c r="I22" s="87"/>
      <c r="J22" s="55" t="s">
        <v>621</v>
      </c>
      <c r="K22" s="56"/>
    </row>
    <row r="23" spans="1:11" ht="15.75" thickBot="1" x14ac:dyDescent="0.3">
      <c r="A23" s="11"/>
      <c r="B23" s="80" t="s">
        <v>77</v>
      </c>
      <c r="C23" s="81"/>
      <c r="D23" s="84">
        <v>0</v>
      </c>
      <c r="E23" s="85"/>
      <c r="F23" s="80" t="s">
        <v>77</v>
      </c>
      <c r="G23" s="81"/>
      <c r="H23" s="86">
        <v>1500</v>
      </c>
      <c r="I23" s="87"/>
      <c r="J23" s="49">
        <v>0</v>
      </c>
      <c r="K23" s="50"/>
    </row>
    <row r="24" spans="1:11" ht="15.75" thickTop="1" x14ac:dyDescent="0.25">
      <c r="A24" s="11"/>
      <c r="B24" s="80" t="s">
        <v>70</v>
      </c>
      <c r="C24" s="81"/>
      <c r="D24" s="84">
        <v>0</v>
      </c>
      <c r="E24" s="85"/>
      <c r="F24" s="80" t="s">
        <v>70</v>
      </c>
      <c r="G24" s="81"/>
      <c r="H24" s="86">
        <v>640</v>
      </c>
      <c r="I24" s="87"/>
      <c r="J24" s="53" t="s">
        <v>620</v>
      </c>
      <c r="K24" s="54"/>
    </row>
    <row r="25" spans="1:11" ht="15.75" thickBot="1" x14ac:dyDescent="0.3">
      <c r="A25" s="11"/>
      <c r="B25" s="80" t="s">
        <v>68</v>
      </c>
      <c r="C25" s="81"/>
      <c r="D25" s="82">
        <v>4.9579588286459852</v>
      </c>
      <c r="E25" s="83"/>
      <c r="F25" s="80" t="s">
        <v>68</v>
      </c>
      <c r="G25" s="81"/>
      <c r="H25" s="86">
        <v>9</v>
      </c>
      <c r="I25" s="87"/>
      <c r="J25" s="49">
        <v>0</v>
      </c>
      <c r="K25" s="50"/>
    </row>
    <row r="26" spans="1:11" ht="16.5" thickTop="1" thickBot="1" x14ac:dyDescent="0.3">
      <c r="A26" s="11"/>
      <c r="B26" s="90" t="s">
        <v>69</v>
      </c>
      <c r="C26" s="91"/>
      <c r="D26" s="92">
        <v>6.4963187527067996</v>
      </c>
      <c r="E26" s="93"/>
      <c r="F26" s="90" t="s">
        <v>78</v>
      </c>
      <c r="G26" s="91"/>
      <c r="H26" s="94">
        <v>12</v>
      </c>
      <c r="I26" s="95"/>
      <c r="J26" s="11"/>
    </row>
    <row r="27" spans="1:11" x14ac:dyDescent="0.25">
      <c r="A27" s="11"/>
      <c r="I27" s="30"/>
      <c r="J27" s="29"/>
    </row>
  </sheetData>
  <mergeCells count="90">
    <mergeCell ref="B25:C25"/>
    <mergeCell ref="D25:E25"/>
    <mergeCell ref="F25:G25"/>
    <mergeCell ref="H25:I25"/>
    <mergeCell ref="J25:K25"/>
    <mergeCell ref="B26:C26"/>
    <mergeCell ref="D26:E26"/>
    <mergeCell ref="F26:G26"/>
    <mergeCell ref="H26:I26"/>
    <mergeCell ref="B23:C23"/>
    <mergeCell ref="D23:E23"/>
    <mergeCell ref="F23:G23"/>
    <mergeCell ref="H23:I23"/>
    <mergeCell ref="J23:K23"/>
    <mergeCell ref="B24:C24"/>
    <mergeCell ref="D24:E24"/>
    <mergeCell ref="F24:G24"/>
    <mergeCell ref="H24:I24"/>
    <mergeCell ref="J24:K24"/>
    <mergeCell ref="B21:E21"/>
    <mergeCell ref="F21:I21"/>
    <mergeCell ref="J21:K21"/>
    <mergeCell ref="B22:C22"/>
    <mergeCell ref="D22:E22"/>
    <mergeCell ref="F22:G22"/>
    <mergeCell ref="H22:I22"/>
    <mergeCell ref="J22:K22"/>
    <mergeCell ref="B19:C19"/>
    <mergeCell ref="D19:E19"/>
    <mergeCell ref="F19:G19"/>
    <mergeCell ref="H19:I19"/>
    <mergeCell ref="J19:K19"/>
    <mergeCell ref="B20:C20"/>
    <mergeCell ref="D20:E20"/>
    <mergeCell ref="F20:G20"/>
    <mergeCell ref="H20:I20"/>
    <mergeCell ref="J20:K20"/>
    <mergeCell ref="B17:C17"/>
    <mergeCell ref="D17:E17"/>
    <mergeCell ref="F17:G17"/>
    <mergeCell ref="H17:I17"/>
    <mergeCell ref="B18:C18"/>
    <mergeCell ref="D18:E18"/>
    <mergeCell ref="F18:G18"/>
    <mergeCell ref="H18:I18"/>
    <mergeCell ref="B15:C15"/>
    <mergeCell ref="D15:E15"/>
    <mergeCell ref="F15:G15"/>
    <mergeCell ref="H15:I15"/>
    <mergeCell ref="B16:C16"/>
    <mergeCell ref="D16:E16"/>
    <mergeCell ref="F16:G16"/>
    <mergeCell ref="H16:I16"/>
    <mergeCell ref="B13:C13"/>
    <mergeCell ref="D13:E13"/>
    <mergeCell ref="F13:G13"/>
    <mergeCell ref="H13:I13"/>
    <mergeCell ref="B14:C14"/>
    <mergeCell ref="D14:E14"/>
    <mergeCell ref="F14:G14"/>
    <mergeCell ref="H14:I14"/>
    <mergeCell ref="B11:E11"/>
    <mergeCell ref="F11:I11"/>
    <mergeCell ref="B12:C12"/>
    <mergeCell ref="D12:E12"/>
    <mergeCell ref="F12:G12"/>
    <mergeCell ref="H12:I12"/>
    <mergeCell ref="B9:C9"/>
    <mergeCell ref="D9:E9"/>
    <mergeCell ref="F9:G9"/>
    <mergeCell ref="H9:I9"/>
    <mergeCell ref="B10:C10"/>
    <mergeCell ref="D10:E10"/>
    <mergeCell ref="F10:G10"/>
    <mergeCell ref="H10:I10"/>
    <mergeCell ref="B7:E7"/>
    <mergeCell ref="F7:I7"/>
    <mergeCell ref="B8:C8"/>
    <mergeCell ref="D8:E8"/>
    <mergeCell ref="F8:G8"/>
    <mergeCell ref="H8:I8"/>
    <mergeCell ref="B2:E3"/>
    <mergeCell ref="F2:I3"/>
    <mergeCell ref="B4:C4"/>
    <mergeCell ref="D4:E4"/>
    <mergeCell ref="F4:I6"/>
    <mergeCell ref="B5:C5"/>
    <mergeCell ref="D5:E5"/>
    <mergeCell ref="B6:C6"/>
    <mergeCell ref="D6:E6"/>
  </mergeCells>
  <conditionalFormatting sqref="D10:E10">
    <cfRule type="cellIs" dxfId="31" priority="5" operator="lessThan">
      <formula>470</formula>
    </cfRule>
    <cfRule type="cellIs" dxfId="30" priority="6" operator="greaterThanOrEqual">
      <formula>470</formula>
    </cfRule>
  </conditionalFormatting>
  <conditionalFormatting sqref="D26:E26 D22:D23 D25">
    <cfRule type="containsText" dxfId="29" priority="4" operator="containsText" text="&quot;--&quot;">
      <formula>NOT(ISERROR(SEARCH("""--""",D22)))</formula>
    </cfRule>
  </conditionalFormatting>
  <conditionalFormatting sqref="D24">
    <cfRule type="containsText" dxfId="28" priority="3" operator="containsText" text="&quot;--&quot;">
      <formula>NOT(ISERROR(SEARCH("""--""",D24)))</formula>
    </cfRule>
    <cfRule type="cellIs" dxfId="27" priority="31" operator="lessThan">
      <formula>$H$24</formula>
    </cfRule>
    <cfRule type="cellIs" dxfId="26" priority="32" operator="greaterThanOrEqual">
      <formula>$H$24</formula>
    </cfRule>
  </conditionalFormatting>
  <conditionalFormatting sqref="D23">
    <cfRule type="cellIs" dxfId="25" priority="7" operator="greaterThan">
      <formula>$H$23</formula>
    </cfRule>
    <cfRule type="cellIs" dxfId="24" priority="8" operator="lessThan">
      <formula>$H$23</formula>
    </cfRule>
  </conditionalFormatting>
  <conditionalFormatting sqref="D25 D23">
    <cfRule type="cellIs" dxfId="23" priority="9" operator="greaterThan">
      <formula>$H$25</formula>
    </cfRule>
    <cfRule type="cellIs" dxfId="22" priority="10" operator="lessThan">
      <formula>$H$25</formula>
    </cfRule>
  </conditionalFormatting>
  <conditionalFormatting sqref="D26:E26">
    <cfRule type="cellIs" dxfId="21" priority="11" operator="greaterThan">
      <formula>$H$26</formula>
    </cfRule>
    <cfRule type="cellIs" dxfId="20" priority="12" operator="lessThan">
      <formula>$H$26</formula>
    </cfRule>
  </conditionalFormatting>
  <conditionalFormatting sqref="D9:E9">
    <cfRule type="cellIs" dxfId="19" priority="13" operator="lessThan">
      <formula>$H$9</formula>
    </cfRule>
    <cfRule type="cellIs" dxfId="18" priority="14" operator="greaterThan">
      <formula>$H$9</formula>
    </cfRule>
  </conditionalFormatting>
  <conditionalFormatting sqref="D13:E13">
    <cfRule type="cellIs" dxfId="17" priority="15" operator="lessThan">
      <formula>$H$13</formula>
    </cfRule>
    <cfRule type="cellIs" dxfId="16" priority="16" operator="greaterThan">
      <formula>$H$13</formula>
    </cfRule>
  </conditionalFormatting>
  <conditionalFormatting sqref="D14:E14">
    <cfRule type="cellIs" dxfId="15" priority="17" operator="lessThan">
      <formula>$H$14</formula>
    </cfRule>
    <cfRule type="cellIs" dxfId="14" priority="18" operator="greaterThan">
      <formula>$H$14</formula>
    </cfRule>
  </conditionalFormatting>
  <conditionalFormatting sqref="D15:E15">
    <cfRule type="cellIs" dxfId="13" priority="19" operator="lessThan">
      <formula>$H$15</formula>
    </cfRule>
    <cfRule type="cellIs" dxfId="12" priority="20" operator="greaterThan">
      <formula>$H$15</formula>
    </cfRule>
  </conditionalFormatting>
  <conditionalFormatting sqref="D16:E16">
    <cfRule type="cellIs" dxfId="11" priority="21" operator="lessThan">
      <formula>$H$16</formula>
    </cfRule>
    <cfRule type="cellIs" dxfId="10" priority="22" operator="greaterThan">
      <formula>$H$16</formula>
    </cfRule>
  </conditionalFormatting>
  <conditionalFormatting sqref="D17:E18">
    <cfRule type="cellIs" dxfId="9" priority="23" operator="lessThan">
      <formula>$H$17</formula>
    </cfRule>
    <cfRule type="cellIs" dxfId="8" priority="24" operator="greaterThan">
      <formula>$H$17</formula>
    </cfRule>
  </conditionalFormatting>
  <conditionalFormatting sqref="D19">
    <cfRule type="cellIs" dxfId="7" priority="25" operator="lessThan">
      <formula>$H$19</formula>
    </cfRule>
    <cfRule type="cellIs" dxfId="6" priority="26" operator="greaterThan">
      <formula>$H$19</formula>
    </cfRule>
  </conditionalFormatting>
  <conditionalFormatting sqref="D20">
    <cfRule type="cellIs" dxfId="5" priority="27" operator="lessThan">
      <formula>$H$20</formula>
    </cfRule>
    <cfRule type="cellIs" dxfId="4" priority="28" operator="greaterThan">
      <formula>$H$20</formula>
    </cfRule>
  </conditionalFormatting>
  <conditionalFormatting sqref="D12:E12">
    <cfRule type="cellIs" dxfId="3" priority="29" operator="lessThan">
      <formula>$H$12</formula>
    </cfRule>
    <cfRule type="cellIs" dxfId="2" priority="30" operator="greaterThan">
      <formula>$H$12</formula>
    </cfRule>
  </conditionalFormatting>
  <conditionalFormatting sqref="D22:E22">
    <cfRule type="cellIs" dxfId="1" priority="1" operator="greaterThanOrEqual">
      <formula>$H$22</formula>
    </cfRule>
    <cfRule type="cellIs" dxfId="0" priority="2" operator="lessThan">
      <formula>$H$22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774</vt:i4>
      </vt:variant>
    </vt:vector>
  </HeadingPairs>
  <TitlesOfParts>
    <vt:vector size="786" baseType="lpstr">
      <vt:lpstr>HOME</vt:lpstr>
      <vt:lpstr>ReportTemplate</vt:lpstr>
      <vt:lpstr>Chute</vt:lpstr>
      <vt:lpstr>Setup</vt:lpstr>
      <vt:lpstr>Ship</vt:lpstr>
      <vt:lpstr>Dock PPR</vt:lpstr>
      <vt:lpstr>PPR</vt:lpstr>
      <vt:lpstr>PSP1Report</vt:lpstr>
      <vt:lpstr>LGB7Report</vt:lpstr>
      <vt:lpstr>BFL1Report</vt:lpstr>
      <vt:lpstr>LGB3Report</vt:lpstr>
      <vt:lpstr>BOI2Report</vt:lpstr>
      <vt:lpstr>'Dock PPR'!PPA</vt:lpstr>
      <vt:lpstr>PPR!PPA</vt:lpstr>
      <vt:lpstr>Ship!PPA</vt:lpstr>
      <vt:lpstr>'Dock PPR'!PPA_1</vt:lpstr>
      <vt:lpstr>PPR!PPA_1</vt:lpstr>
      <vt:lpstr>Ship!PPA_1</vt:lpstr>
      <vt:lpstr>'Dock PPR'!PPA_10</vt:lpstr>
      <vt:lpstr>PPR!PPA_10</vt:lpstr>
      <vt:lpstr>Ship!PPA_10</vt:lpstr>
      <vt:lpstr>'Dock PPR'!PPA_100</vt:lpstr>
      <vt:lpstr>PPR!PPA_100</vt:lpstr>
      <vt:lpstr>'Dock PPR'!PPA_101</vt:lpstr>
      <vt:lpstr>PPR!PPA_101</vt:lpstr>
      <vt:lpstr>'Dock PPR'!PPA_102</vt:lpstr>
      <vt:lpstr>PPR!PPA_102</vt:lpstr>
      <vt:lpstr>'Dock PPR'!PPA_103</vt:lpstr>
      <vt:lpstr>PPR!PPA_103</vt:lpstr>
      <vt:lpstr>Ship!PPA_103</vt:lpstr>
      <vt:lpstr>'Dock PPR'!PPA_104</vt:lpstr>
      <vt:lpstr>Ship!PPA_104</vt:lpstr>
      <vt:lpstr>'Dock PPR'!PPA_105</vt:lpstr>
      <vt:lpstr>PPR!PPA_105</vt:lpstr>
      <vt:lpstr>'Dock PPR'!PPA_106</vt:lpstr>
      <vt:lpstr>PPR!PPA_106</vt:lpstr>
      <vt:lpstr>Ship!PPA_106</vt:lpstr>
      <vt:lpstr>'Dock PPR'!PPA_107</vt:lpstr>
      <vt:lpstr>PPR!PPA_107</vt:lpstr>
      <vt:lpstr>Ship!PPA_107</vt:lpstr>
      <vt:lpstr>'Dock PPR'!PPA_108</vt:lpstr>
      <vt:lpstr>PPR!PPA_108</vt:lpstr>
      <vt:lpstr>Ship!PPA_108</vt:lpstr>
      <vt:lpstr>'Dock PPR'!PPA_109</vt:lpstr>
      <vt:lpstr>PPR!PPA_109</vt:lpstr>
      <vt:lpstr>Ship!PPA_109</vt:lpstr>
      <vt:lpstr>'Dock PPR'!PPA_11</vt:lpstr>
      <vt:lpstr>PPR!PPA_11</vt:lpstr>
      <vt:lpstr>Ship!PPA_11</vt:lpstr>
      <vt:lpstr>'Dock PPR'!PPA_110</vt:lpstr>
      <vt:lpstr>PPR!PPA_110</vt:lpstr>
      <vt:lpstr>Ship!PPA_110</vt:lpstr>
      <vt:lpstr>'Dock PPR'!PPA_111</vt:lpstr>
      <vt:lpstr>PPR!PPA_111</vt:lpstr>
      <vt:lpstr>Ship!PPA_111</vt:lpstr>
      <vt:lpstr>'Dock PPR'!PPA_112</vt:lpstr>
      <vt:lpstr>PPR!PPA_112</vt:lpstr>
      <vt:lpstr>Ship!PPA_112</vt:lpstr>
      <vt:lpstr>'Dock PPR'!PPA_113</vt:lpstr>
      <vt:lpstr>PPR!PPA_113</vt:lpstr>
      <vt:lpstr>Ship!PPA_113</vt:lpstr>
      <vt:lpstr>'Dock PPR'!PPA_114</vt:lpstr>
      <vt:lpstr>PPR!PPA_114</vt:lpstr>
      <vt:lpstr>'Dock PPR'!PPA_115</vt:lpstr>
      <vt:lpstr>PPR!PPA_115</vt:lpstr>
      <vt:lpstr>Ship!PPA_115</vt:lpstr>
      <vt:lpstr>'Dock PPR'!PPA_116</vt:lpstr>
      <vt:lpstr>PPR!PPA_116</vt:lpstr>
      <vt:lpstr>Ship!PPA_116</vt:lpstr>
      <vt:lpstr>'Dock PPR'!PPA_117</vt:lpstr>
      <vt:lpstr>PPR!PPA_117</vt:lpstr>
      <vt:lpstr>Ship!PPA_117</vt:lpstr>
      <vt:lpstr>'Dock PPR'!PPA_118</vt:lpstr>
      <vt:lpstr>PPR!PPA_118</vt:lpstr>
      <vt:lpstr>Ship!PPA_118</vt:lpstr>
      <vt:lpstr>'Dock PPR'!PPA_119</vt:lpstr>
      <vt:lpstr>PPR!PPA_119</vt:lpstr>
      <vt:lpstr>Ship!PPA_119</vt:lpstr>
      <vt:lpstr>'Dock PPR'!PPA_12</vt:lpstr>
      <vt:lpstr>PPR!PPA_12</vt:lpstr>
      <vt:lpstr>Ship!PPA_12</vt:lpstr>
      <vt:lpstr>'Dock PPR'!PPA_120</vt:lpstr>
      <vt:lpstr>PPR!PPA_120</vt:lpstr>
      <vt:lpstr>Ship!PPA_120</vt:lpstr>
      <vt:lpstr>'Dock PPR'!PPA_121</vt:lpstr>
      <vt:lpstr>PPR!PPA_121</vt:lpstr>
      <vt:lpstr>Ship!PPA_121</vt:lpstr>
      <vt:lpstr>'Dock PPR'!PPA_122</vt:lpstr>
      <vt:lpstr>PPR!PPA_122</vt:lpstr>
      <vt:lpstr>Ship!PPA_122</vt:lpstr>
      <vt:lpstr>'Dock PPR'!PPA_123</vt:lpstr>
      <vt:lpstr>PPR!PPA_123</vt:lpstr>
      <vt:lpstr>Ship!PPA_123</vt:lpstr>
      <vt:lpstr>'Dock PPR'!PPA_124</vt:lpstr>
      <vt:lpstr>PPR!PPA_124</vt:lpstr>
      <vt:lpstr>Ship!PPA_124</vt:lpstr>
      <vt:lpstr>'Dock PPR'!PPA_125</vt:lpstr>
      <vt:lpstr>PPR!PPA_125</vt:lpstr>
      <vt:lpstr>Ship!PPA_125</vt:lpstr>
      <vt:lpstr>'Dock PPR'!PPA_126</vt:lpstr>
      <vt:lpstr>PPR!PPA_126</vt:lpstr>
      <vt:lpstr>Ship!PPA_126</vt:lpstr>
      <vt:lpstr>'Dock PPR'!PPA_127</vt:lpstr>
      <vt:lpstr>PPR!PPA_127</vt:lpstr>
      <vt:lpstr>Ship!PPA_127</vt:lpstr>
      <vt:lpstr>'Dock PPR'!PPA_128</vt:lpstr>
      <vt:lpstr>PPR!PPA_128</vt:lpstr>
      <vt:lpstr>'Dock PPR'!PPA_129</vt:lpstr>
      <vt:lpstr>PPR!PPA_129</vt:lpstr>
      <vt:lpstr>Ship!PPA_129</vt:lpstr>
      <vt:lpstr>'Dock PPR'!PPA_13</vt:lpstr>
      <vt:lpstr>PPR!PPA_13</vt:lpstr>
      <vt:lpstr>Ship!PPA_13</vt:lpstr>
      <vt:lpstr>'Dock PPR'!PPA_130</vt:lpstr>
      <vt:lpstr>PPR!PPA_130</vt:lpstr>
      <vt:lpstr>Ship!PPA_130</vt:lpstr>
      <vt:lpstr>'Dock PPR'!PPA_131</vt:lpstr>
      <vt:lpstr>PPR!PPA_131</vt:lpstr>
      <vt:lpstr>Ship!PPA_131</vt:lpstr>
      <vt:lpstr>'Dock PPR'!PPA_132</vt:lpstr>
      <vt:lpstr>PPR!PPA_132</vt:lpstr>
      <vt:lpstr>Ship!PPA_132</vt:lpstr>
      <vt:lpstr>'Dock PPR'!PPA_133</vt:lpstr>
      <vt:lpstr>PPR!PPA_133</vt:lpstr>
      <vt:lpstr>Ship!PPA_133</vt:lpstr>
      <vt:lpstr>'Dock PPR'!PPA_134</vt:lpstr>
      <vt:lpstr>PPR!PPA_134</vt:lpstr>
      <vt:lpstr>Ship!PPA_134</vt:lpstr>
      <vt:lpstr>'Dock PPR'!PPA_135</vt:lpstr>
      <vt:lpstr>PPR!PPA_135</vt:lpstr>
      <vt:lpstr>Ship!PPA_135</vt:lpstr>
      <vt:lpstr>'Dock PPR'!PPA_136</vt:lpstr>
      <vt:lpstr>PPR!PPA_136</vt:lpstr>
      <vt:lpstr>Ship!PPA_136</vt:lpstr>
      <vt:lpstr>'Dock PPR'!PPA_137</vt:lpstr>
      <vt:lpstr>PPR!PPA_137</vt:lpstr>
      <vt:lpstr>Ship!PPA_137</vt:lpstr>
      <vt:lpstr>'Dock PPR'!PPA_138</vt:lpstr>
      <vt:lpstr>PPR!PPA_138</vt:lpstr>
      <vt:lpstr>Ship!PPA_138</vt:lpstr>
      <vt:lpstr>'Dock PPR'!PPA_139</vt:lpstr>
      <vt:lpstr>PPR!PPA_139</vt:lpstr>
      <vt:lpstr>Ship!PPA_139</vt:lpstr>
      <vt:lpstr>'Dock PPR'!PPA_14</vt:lpstr>
      <vt:lpstr>PPR!PPA_14</vt:lpstr>
      <vt:lpstr>Ship!PPA_14</vt:lpstr>
      <vt:lpstr>'Dock PPR'!PPA_140</vt:lpstr>
      <vt:lpstr>PPR!PPA_140</vt:lpstr>
      <vt:lpstr>Ship!PPA_140</vt:lpstr>
      <vt:lpstr>'Dock PPR'!PPA_141</vt:lpstr>
      <vt:lpstr>PPR!PPA_141</vt:lpstr>
      <vt:lpstr>Ship!PPA_141</vt:lpstr>
      <vt:lpstr>'Dock PPR'!PPA_142</vt:lpstr>
      <vt:lpstr>PPR!PPA_142</vt:lpstr>
      <vt:lpstr>Ship!PPA_142</vt:lpstr>
      <vt:lpstr>'Dock PPR'!PPA_143</vt:lpstr>
      <vt:lpstr>PPR!PPA_143</vt:lpstr>
      <vt:lpstr>Ship!PPA_143</vt:lpstr>
      <vt:lpstr>'Dock PPR'!PPA_144</vt:lpstr>
      <vt:lpstr>PPR!PPA_144</vt:lpstr>
      <vt:lpstr>'Dock PPR'!PPA_145</vt:lpstr>
      <vt:lpstr>PPR!PPA_145</vt:lpstr>
      <vt:lpstr>Ship!PPA_145</vt:lpstr>
      <vt:lpstr>'Dock PPR'!PPA_146</vt:lpstr>
      <vt:lpstr>PPR!PPA_146</vt:lpstr>
      <vt:lpstr>'Dock PPR'!PPA_147</vt:lpstr>
      <vt:lpstr>PPR!PPA_147</vt:lpstr>
      <vt:lpstr>Ship!PPA_147</vt:lpstr>
      <vt:lpstr>'Dock PPR'!PPA_148</vt:lpstr>
      <vt:lpstr>PPR!PPA_148</vt:lpstr>
      <vt:lpstr>Ship!PPA_148</vt:lpstr>
      <vt:lpstr>'Dock PPR'!PPA_149</vt:lpstr>
      <vt:lpstr>PPR!PPA_149</vt:lpstr>
      <vt:lpstr>Ship!PPA_149</vt:lpstr>
      <vt:lpstr>'Dock PPR'!PPA_15</vt:lpstr>
      <vt:lpstr>PPR!PPA_15</vt:lpstr>
      <vt:lpstr>Ship!PPA_15</vt:lpstr>
      <vt:lpstr>'Dock PPR'!PPA_150</vt:lpstr>
      <vt:lpstr>PPR!PPA_150</vt:lpstr>
      <vt:lpstr>'Dock PPR'!PPA_151</vt:lpstr>
      <vt:lpstr>PPR!PPA_151</vt:lpstr>
      <vt:lpstr>Ship!PPA_151</vt:lpstr>
      <vt:lpstr>'Dock PPR'!PPA_152</vt:lpstr>
      <vt:lpstr>PPR!PPA_152</vt:lpstr>
      <vt:lpstr>Ship!PPA_152</vt:lpstr>
      <vt:lpstr>'Dock PPR'!PPA_153</vt:lpstr>
      <vt:lpstr>PPR!PPA_153</vt:lpstr>
      <vt:lpstr>Ship!PPA_153</vt:lpstr>
      <vt:lpstr>'Dock PPR'!PPA_154</vt:lpstr>
      <vt:lpstr>PPR!PPA_154</vt:lpstr>
      <vt:lpstr>'Dock PPR'!PPA_155</vt:lpstr>
      <vt:lpstr>PPR!PPA_155</vt:lpstr>
      <vt:lpstr>Ship!PPA_155</vt:lpstr>
      <vt:lpstr>'Dock PPR'!PPA_156</vt:lpstr>
      <vt:lpstr>PPR!PPA_156</vt:lpstr>
      <vt:lpstr>Ship!PPA_156</vt:lpstr>
      <vt:lpstr>'Dock PPR'!PPA_157</vt:lpstr>
      <vt:lpstr>PPR!PPA_157</vt:lpstr>
      <vt:lpstr>Ship!PPA_157</vt:lpstr>
      <vt:lpstr>'Dock PPR'!PPA_158</vt:lpstr>
      <vt:lpstr>PPR!PPA_158</vt:lpstr>
      <vt:lpstr>'Dock PPR'!PPA_159</vt:lpstr>
      <vt:lpstr>PPR!PPA_159</vt:lpstr>
      <vt:lpstr>Ship!PPA_159</vt:lpstr>
      <vt:lpstr>'Dock PPR'!PPA_16</vt:lpstr>
      <vt:lpstr>PPR!PPA_16</vt:lpstr>
      <vt:lpstr>Ship!PPA_16</vt:lpstr>
      <vt:lpstr>'Dock PPR'!PPA_160</vt:lpstr>
      <vt:lpstr>PPR!PPA_160</vt:lpstr>
      <vt:lpstr>Ship!PPA_160</vt:lpstr>
      <vt:lpstr>'Dock PPR'!PPA_161</vt:lpstr>
      <vt:lpstr>PPR!PPA_161</vt:lpstr>
      <vt:lpstr>Ship!PPA_161</vt:lpstr>
      <vt:lpstr>'Dock PPR'!PPA_162</vt:lpstr>
      <vt:lpstr>PPR!PPA_162</vt:lpstr>
      <vt:lpstr>Ship!PPA_162</vt:lpstr>
      <vt:lpstr>'Dock PPR'!PPA_163</vt:lpstr>
      <vt:lpstr>PPR!PPA_163</vt:lpstr>
      <vt:lpstr>Ship!PPA_163</vt:lpstr>
      <vt:lpstr>'Dock PPR'!PPA_164</vt:lpstr>
      <vt:lpstr>PPR!PPA_164</vt:lpstr>
      <vt:lpstr>Ship!PPA_164</vt:lpstr>
      <vt:lpstr>'Dock PPR'!PPA_165</vt:lpstr>
      <vt:lpstr>PPR!PPA_165</vt:lpstr>
      <vt:lpstr>Ship!PPA_165</vt:lpstr>
      <vt:lpstr>'Dock PPR'!PPA_166</vt:lpstr>
      <vt:lpstr>PPR!PPA_166</vt:lpstr>
      <vt:lpstr>Ship!PPA_166</vt:lpstr>
      <vt:lpstr>'Dock PPR'!PPA_167</vt:lpstr>
      <vt:lpstr>PPR!PPA_167</vt:lpstr>
      <vt:lpstr>Ship!PPA_167</vt:lpstr>
      <vt:lpstr>'Dock PPR'!PPA_168</vt:lpstr>
      <vt:lpstr>PPR!PPA_168</vt:lpstr>
      <vt:lpstr>'Dock PPR'!PPA_169</vt:lpstr>
      <vt:lpstr>PPR!PPA_169</vt:lpstr>
      <vt:lpstr>'Dock PPR'!PPA_17</vt:lpstr>
      <vt:lpstr>PPR!PPA_17</vt:lpstr>
      <vt:lpstr>'Dock PPR'!PPA_170</vt:lpstr>
      <vt:lpstr>PPR!PPA_170</vt:lpstr>
      <vt:lpstr>Ship!PPA_170</vt:lpstr>
      <vt:lpstr>'Dock PPR'!PPA_171</vt:lpstr>
      <vt:lpstr>PPR!PPA_171</vt:lpstr>
      <vt:lpstr>Ship!PPA_171</vt:lpstr>
      <vt:lpstr>'Dock PPR'!PPA_172</vt:lpstr>
      <vt:lpstr>PPR!PPA_172</vt:lpstr>
      <vt:lpstr>Ship!PPA_172</vt:lpstr>
      <vt:lpstr>'Dock PPR'!PPA_173</vt:lpstr>
      <vt:lpstr>PPR!PPA_173</vt:lpstr>
      <vt:lpstr>Ship!PPA_173</vt:lpstr>
      <vt:lpstr>'Dock PPR'!PPA_174</vt:lpstr>
      <vt:lpstr>PPR!PPA_174</vt:lpstr>
      <vt:lpstr>Ship!PPA_174</vt:lpstr>
      <vt:lpstr>'Dock PPR'!PPA_175</vt:lpstr>
      <vt:lpstr>PPR!PPA_175</vt:lpstr>
      <vt:lpstr>Ship!PPA_175</vt:lpstr>
      <vt:lpstr>'Dock PPR'!PPA_176</vt:lpstr>
      <vt:lpstr>PPR!PPA_176</vt:lpstr>
      <vt:lpstr>Ship!PPA_176</vt:lpstr>
      <vt:lpstr>'Dock PPR'!PPA_177</vt:lpstr>
      <vt:lpstr>PPR!PPA_177</vt:lpstr>
      <vt:lpstr>Ship!PPA_177</vt:lpstr>
      <vt:lpstr>'Dock PPR'!PPA_178</vt:lpstr>
      <vt:lpstr>PPR!PPA_178</vt:lpstr>
      <vt:lpstr>'Dock PPR'!PPA_179</vt:lpstr>
      <vt:lpstr>PPR!PPA_179</vt:lpstr>
      <vt:lpstr>'Dock PPR'!PPA_18</vt:lpstr>
      <vt:lpstr>PPR!PPA_18</vt:lpstr>
      <vt:lpstr>Ship!PPA_18</vt:lpstr>
      <vt:lpstr>'Dock PPR'!PPA_180</vt:lpstr>
      <vt:lpstr>PPR!PPA_180</vt:lpstr>
      <vt:lpstr>Ship!PPA_180</vt:lpstr>
      <vt:lpstr>'Dock PPR'!PPA_181</vt:lpstr>
      <vt:lpstr>PPR!PPA_181</vt:lpstr>
      <vt:lpstr>Ship!PPA_181</vt:lpstr>
      <vt:lpstr>'Dock PPR'!PPA_182</vt:lpstr>
      <vt:lpstr>PPR!PPA_182</vt:lpstr>
      <vt:lpstr>Ship!PPA_182</vt:lpstr>
      <vt:lpstr>'Dock PPR'!PPA_183</vt:lpstr>
      <vt:lpstr>PPR!PPA_183</vt:lpstr>
      <vt:lpstr>Ship!PPA_183</vt:lpstr>
      <vt:lpstr>'Dock PPR'!PPA_184</vt:lpstr>
      <vt:lpstr>PPR!PPA_184</vt:lpstr>
      <vt:lpstr>Ship!PPA_184</vt:lpstr>
      <vt:lpstr>'Dock PPR'!PPA_185</vt:lpstr>
      <vt:lpstr>PPR!PPA_185</vt:lpstr>
      <vt:lpstr>Ship!PPA_185</vt:lpstr>
      <vt:lpstr>'Dock PPR'!PPA_186</vt:lpstr>
      <vt:lpstr>PPR!PPA_186</vt:lpstr>
      <vt:lpstr>Ship!PPA_186</vt:lpstr>
      <vt:lpstr>'Dock PPR'!PPA_187</vt:lpstr>
      <vt:lpstr>PPR!PPA_187</vt:lpstr>
      <vt:lpstr>Ship!PPA_187</vt:lpstr>
      <vt:lpstr>'Dock PPR'!PPA_188</vt:lpstr>
      <vt:lpstr>PPR!PPA_188</vt:lpstr>
      <vt:lpstr>Ship!PPA_188</vt:lpstr>
      <vt:lpstr>'Dock PPR'!PPA_189</vt:lpstr>
      <vt:lpstr>PPR!PPA_189</vt:lpstr>
      <vt:lpstr>Ship!PPA_189</vt:lpstr>
      <vt:lpstr>'Dock PPR'!PPA_19</vt:lpstr>
      <vt:lpstr>PPR!PPA_19</vt:lpstr>
      <vt:lpstr>Ship!PPA_19</vt:lpstr>
      <vt:lpstr>'Dock PPR'!PPA_190</vt:lpstr>
      <vt:lpstr>PPR!PPA_190</vt:lpstr>
      <vt:lpstr>Ship!PPA_190</vt:lpstr>
      <vt:lpstr>'Dock PPR'!PPA_191</vt:lpstr>
      <vt:lpstr>PPR!PPA_191</vt:lpstr>
      <vt:lpstr>'Dock PPR'!PPA_192</vt:lpstr>
      <vt:lpstr>PPR!PPA_192</vt:lpstr>
      <vt:lpstr>Ship!PPA_192</vt:lpstr>
      <vt:lpstr>'Dock PPR'!PPA_193</vt:lpstr>
      <vt:lpstr>PPR!PPA_193</vt:lpstr>
      <vt:lpstr>'Dock PPR'!PPA_194</vt:lpstr>
      <vt:lpstr>PPR!PPA_194</vt:lpstr>
      <vt:lpstr>Ship!PPA_194</vt:lpstr>
      <vt:lpstr>'Dock PPR'!PPA_195</vt:lpstr>
      <vt:lpstr>PPR!PPA_195</vt:lpstr>
      <vt:lpstr>Ship!PPA_195</vt:lpstr>
      <vt:lpstr>'Dock PPR'!PPA_196</vt:lpstr>
      <vt:lpstr>PPR!PPA_196</vt:lpstr>
      <vt:lpstr>Ship!PPA_196</vt:lpstr>
      <vt:lpstr>'Dock PPR'!PPA_197</vt:lpstr>
      <vt:lpstr>PPR!PPA_197</vt:lpstr>
      <vt:lpstr>Ship!PPA_197</vt:lpstr>
      <vt:lpstr>'Dock PPR'!PPA_198</vt:lpstr>
      <vt:lpstr>PPR!PPA_198</vt:lpstr>
      <vt:lpstr>Ship!PPA_198</vt:lpstr>
      <vt:lpstr>'Dock PPR'!PPA_199</vt:lpstr>
      <vt:lpstr>PPR!PPA_199</vt:lpstr>
      <vt:lpstr>Ship!PPA_199</vt:lpstr>
      <vt:lpstr>'Dock PPR'!PPA_2</vt:lpstr>
      <vt:lpstr>PPR!PPA_2</vt:lpstr>
      <vt:lpstr>Ship!PPA_2</vt:lpstr>
      <vt:lpstr>'Dock PPR'!PPA_20</vt:lpstr>
      <vt:lpstr>PPR!PPA_20</vt:lpstr>
      <vt:lpstr>'Dock PPR'!PPA_200</vt:lpstr>
      <vt:lpstr>PPR!PPA_200</vt:lpstr>
      <vt:lpstr>Ship!PPA_200</vt:lpstr>
      <vt:lpstr>'Dock PPR'!PPA_201</vt:lpstr>
      <vt:lpstr>PPR!PPA_201</vt:lpstr>
      <vt:lpstr>Ship!PPA_201</vt:lpstr>
      <vt:lpstr>'Dock PPR'!PPA_202</vt:lpstr>
      <vt:lpstr>PPR!PPA_202</vt:lpstr>
      <vt:lpstr>Ship!PPA_202</vt:lpstr>
      <vt:lpstr>'Dock PPR'!PPA_203</vt:lpstr>
      <vt:lpstr>PPR!PPA_203</vt:lpstr>
      <vt:lpstr>Ship!PPA_203</vt:lpstr>
      <vt:lpstr>'Dock PPR'!PPA_204</vt:lpstr>
      <vt:lpstr>PPR!PPA_204</vt:lpstr>
      <vt:lpstr>Ship!PPA_204</vt:lpstr>
      <vt:lpstr>'Dock PPR'!PPA_205</vt:lpstr>
      <vt:lpstr>PPR!PPA_205</vt:lpstr>
      <vt:lpstr>'Dock PPR'!PPA_206</vt:lpstr>
      <vt:lpstr>PPR!PPA_206</vt:lpstr>
      <vt:lpstr>Ship!PPA_206</vt:lpstr>
      <vt:lpstr>'Dock PPR'!PPA_207</vt:lpstr>
      <vt:lpstr>PPR!PPA_207</vt:lpstr>
      <vt:lpstr>Ship!PPA_207</vt:lpstr>
      <vt:lpstr>'Dock PPR'!PPA_208</vt:lpstr>
      <vt:lpstr>PPR!PPA_208</vt:lpstr>
      <vt:lpstr>Ship!PPA_208</vt:lpstr>
      <vt:lpstr>'Dock PPR'!PPA_209</vt:lpstr>
      <vt:lpstr>PPR!PPA_209</vt:lpstr>
      <vt:lpstr>Ship!PPA_209</vt:lpstr>
      <vt:lpstr>'Dock PPR'!PPA_21</vt:lpstr>
      <vt:lpstr>PPR!PPA_21</vt:lpstr>
      <vt:lpstr>Ship!PPA_21</vt:lpstr>
      <vt:lpstr>'Dock PPR'!PPA_210</vt:lpstr>
      <vt:lpstr>PPR!PPA_210</vt:lpstr>
      <vt:lpstr>Ship!PPA_210</vt:lpstr>
      <vt:lpstr>'Dock PPR'!PPA_211</vt:lpstr>
      <vt:lpstr>PPR!PPA_211</vt:lpstr>
      <vt:lpstr>Ship!PPA_211</vt:lpstr>
      <vt:lpstr>'Dock PPR'!PPA_212</vt:lpstr>
      <vt:lpstr>PPR!PPA_212</vt:lpstr>
      <vt:lpstr>Ship!PPA_212</vt:lpstr>
      <vt:lpstr>'Dock PPR'!PPA_213</vt:lpstr>
      <vt:lpstr>PPR!PPA_213</vt:lpstr>
      <vt:lpstr>Ship!PPA_213</vt:lpstr>
      <vt:lpstr>'Dock PPR'!PPA_214</vt:lpstr>
      <vt:lpstr>PPR!PPA_214</vt:lpstr>
      <vt:lpstr>Ship!PPA_214</vt:lpstr>
      <vt:lpstr>'Dock PPR'!PPA_215</vt:lpstr>
      <vt:lpstr>PPR!PPA_215</vt:lpstr>
      <vt:lpstr>Ship!PPA_215</vt:lpstr>
      <vt:lpstr>'Dock PPR'!PPA_216</vt:lpstr>
      <vt:lpstr>PPR!PPA_216</vt:lpstr>
      <vt:lpstr>Ship!PPA_216</vt:lpstr>
      <vt:lpstr>'Dock PPR'!PPA_217</vt:lpstr>
      <vt:lpstr>PPR!PPA_217</vt:lpstr>
      <vt:lpstr>Ship!PPA_217</vt:lpstr>
      <vt:lpstr>'Dock PPR'!PPA_218</vt:lpstr>
      <vt:lpstr>PPR!PPA_218</vt:lpstr>
      <vt:lpstr>Ship!PPA_218</vt:lpstr>
      <vt:lpstr>'Dock PPR'!PPA_219</vt:lpstr>
      <vt:lpstr>PPR!PPA_219</vt:lpstr>
      <vt:lpstr>Ship!PPA_219</vt:lpstr>
      <vt:lpstr>'Dock PPR'!PPA_22</vt:lpstr>
      <vt:lpstr>PPR!PPA_22</vt:lpstr>
      <vt:lpstr>Ship!PPA_22</vt:lpstr>
      <vt:lpstr>'Dock PPR'!PPA_220</vt:lpstr>
      <vt:lpstr>PPR!PPA_220</vt:lpstr>
      <vt:lpstr>Ship!PPA_220</vt:lpstr>
      <vt:lpstr>'Dock PPR'!PPA_221</vt:lpstr>
      <vt:lpstr>PPR!PPA_221</vt:lpstr>
      <vt:lpstr>'Dock PPR'!PPA_222</vt:lpstr>
      <vt:lpstr>PPR!PPA_222</vt:lpstr>
      <vt:lpstr>Ship!PPA_222</vt:lpstr>
      <vt:lpstr>'Dock PPR'!PPA_223</vt:lpstr>
      <vt:lpstr>PPR!PPA_223</vt:lpstr>
      <vt:lpstr>Ship!PPA_223</vt:lpstr>
      <vt:lpstr>'Dock PPR'!PPA_224</vt:lpstr>
      <vt:lpstr>PPR!PPA_224</vt:lpstr>
      <vt:lpstr>Ship!PPA_224</vt:lpstr>
      <vt:lpstr>'Dock PPR'!PPA_225</vt:lpstr>
      <vt:lpstr>PPR!PPA_225</vt:lpstr>
      <vt:lpstr>Ship!PPA_225</vt:lpstr>
      <vt:lpstr>'Dock PPR'!PPA_226</vt:lpstr>
      <vt:lpstr>PPR!PPA_226</vt:lpstr>
      <vt:lpstr>Ship!PPA_226</vt:lpstr>
      <vt:lpstr>'Dock PPR'!PPA_227</vt:lpstr>
      <vt:lpstr>PPR!PPA_227</vt:lpstr>
      <vt:lpstr>Ship!PPA_227</vt:lpstr>
      <vt:lpstr>'Dock PPR'!PPA_228</vt:lpstr>
      <vt:lpstr>PPR!PPA_228</vt:lpstr>
      <vt:lpstr>Ship!PPA_228</vt:lpstr>
      <vt:lpstr>'Dock PPR'!PPA_229</vt:lpstr>
      <vt:lpstr>PPR!PPA_229</vt:lpstr>
      <vt:lpstr>Ship!PPA_229</vt:lpstr>
      <vt:lpstr>'Dock PPR'!PPA_23</vt:lpstr>
      <vt:lpstr>PPR!PPA_23</vt:lpstr>
      <vt:lpstr>Ship!PPA_23</vt:lpstr>
      <vt:lpstr>'Dock PPR'!PPA_230</vt:lpstr>
      <vt:lpstr>PPR!PPA_230</vt:lpstr>
      <vt:lpstr>Ship!PPA_230</vt:lpstr>
      <vt:lpstr>'Dock PPR'!PPA_231</vt:lpstr>
      <vt:lpstr>PPR!PPA_231</vt:lpstr>
      <vt:lpstr>Ship!PPA_231</vt:lpstr>
      <vt:lpstr>'Dock PPR'!PPA_232</vt:lpstr>
      <vt:lpstr>PPR!PPA_232</vt:lpstr>
      <vt:lpstr>Ship!PPA_232</vt:lpstr>
      <vt:lpstr>'Dock PPR'!PPA_233</vt:lpstr>
      <vt:lpstr>Ship!PPA_233</vt:lpstr>
      <vt:lpstr>'Dock PPR'!PPA_234</vt:lpstr>
      <vt:lpstr>PPR!PPA_234</vt:lpstr>
      <vt:lpstr>Ship!PPA_234</vt:lpstr>
      <vt:lpstr>'Dock PPR'!PPA_235</vt:lpstr>
      <vt:lpstr>PPR!PPA_235</vt:lpstr>
      <vt:lpstr>Ship!PPA_235</vt:lpstr>
      <vt:lpstr>'Dock PPR'!PPA_236</vt:lpstr>
      <vt:lpstr>PPR!PPA_236</vt:lpstr>
      <vt:lpstr>Ship!PPA_236</vt:lpstr>
      <vt:lpstr>'Dock PPR'!PPA_237</vt:lpstr>
      <vt:lpstr>PPR!PPA_237</vt:lpstr>
      <vt:lpstr>Ship!PPA_237</vt:lpstr>
      <vt:lpstr>'Dock PPR'!PPA_238</vt:lpstr>
      <vt:lpstr>PPR!PPA_238</vt:lpstr>
      <vt:lpstr>Ship!PPA_238</vt:lpstr>
      <vt:lpstr>'Dock PPR'!PPA_239</vt:lpstr>
      <vt:lpstr>PPR!PPA_239</vt:lpstr>
      <vt:lpstr>Ship!PPA_239</vt:lpstr>
      <vt:lpstr>'Dock PPR'!PPA_24</vt:lpstr>
      <vt:lpstr>PPR!PPA_24</vt:lpstr>
      <vt:lpstr>Ship!PPA_24</vt:lpstr>
      <vt:lpstr>'Dock PPR'!PPA_240</vt:lpstr>
      <vt:lpstr>PPR!PPA_240</vt:lpstr>
      <vt:lpstr>Ship!PPA_240</vt:lpstr>
      <vt:lpstr>'Dock PPR'!PPA_241</vt:lpstr>
      <vt:lpstr>PPR!PPA_241</vt:lpstr>
      <vt:lpstr>Ship!PPA_241</vt:lpstr>
      <vt:lpstr>'Dock PPR'!PPA_242</vt:lpstr>
      <vt:lpstr>PPR!PPA_242</vt:lpstr>
      <vt:lpstr>Ship!PPA_242</vt:lpstr>
      <vt:lpstr>'Dock PPR'!PPA_243</vt:lpstr>
      <vt:lpstr>PPR!PPA_243</vt:lpstr>
      <vt:lpstr>Ship!PPA_243</vt:lpstr>
      <vt:lpstr>'Dock PPR'!PPA_244</vt:lpstr>
      <vt:lpstr>PPR!PPA_244</vt:lpstr>
      <vt:lpstr>Ship!PPA_244</vt:lpstr>
      <vt:lpstr>'Dock PPR'!PPA_245</vt:lpstr>
      <vt:lpstr>PPR!PPA_245</vt:lpstr>
      <vt:lpstr>'Dock PPR'!PPA_246</vt:lpstr>
      <vt:lpstr>PPR!PPA_246</vt:lpstr>
      <vt:lpstr>'Dock PPR'!PPA_247</vt:lpstr>
      <vt:lpstr>PPR!PPA_247</vt:lpstr>
      <vt:lpstr>'Dock PPR'!PPA_248</vt:lpstr>
      <vt:lpstr>PPR!PPA_248</vt:lpstr>
      <vt:lpstr>Ship!PPA_248</vt:lpstr>
      <vt:lpstr>'Dock PPR'!PPA_249</vt:lpstr>
      <vt:lpstr>PPR!PPA_249</vt:lpstr>
      <vt:lpstr>'Dock PPR'!PPA_25</vt:lpstr>
      <vt:lpstr>PPR!PPA_25</vt:lpstr>
      <vt:lpstr>Ship!PPA_25</vt:lpstr>
      <vt:lpstr>'Dock PPR'!PPA_250</vt:lpstr>
      <vt:lpstr>PPR!PPA_250</vt:lpstr>
      <vt:lpstr>Ship!PPA_250</vt:lpstr>
      <vt:lpstr>'Dock PPR'!PPA_251</vt:lpstr>
      <vt:lpstr>PPR!PPA_251</vt:lpstr>
      <vt:lpstr>Ship!PPA_251</vt:lpstr>
      <vt:lpstr>'Dock PPR'!PPA_252</vt:lpstr>
      <vt:lpstr>PPR!PPA_252</vt:lpstr>
      <vt:lpstr>Ship!PPA_252</vt:lpstr>
      <vt:lpstr>'Dock PPR'!PPA_253</vt:lpstr>
      <vt:lpstr>PPR!PPA_253</vt:lpstr>
      <vt:lpstr>Ship!PPA_253</vt:lpstr>
      <vt:lpstr>'Dock PPR'!PPA_254</vt:lpstr>
      <vt:lpstr>PPR!PPA_254</vt:lpstr>
      <vt:lpstr>Ship!PPA_254</vt:lpstr>
      <vt:lpstr>'Dock PPR'!PPA_255</vt:lpstr>
      <vt:lpstr>PPR!PPA_255</vt:lpstr>
      <vt:lpstr>Ship!PPA_255</vt:lpstr>
      <vt:lpstr>'Dock PPR'!PPA_256</vt:lpstr>
      <vt:lpstr>PPR!PPA_256</vt:lpstr>
      <vt:lpstr>Ship!PPA_256</vt:lpstr>
      <vt:lpstr>PPR!PPA_257</vt:lpstr>
      <vt:lpstr>Ship!PPA_257</vt:lpstr>
      <vt:lpstr>'Dock PPR'!PPA_258</vt:lpstr>
      <vt:lpstr>PPR!PPA_258</vt:lpstr>
      <vt:lpstr>Ship!PPA_258</vt:lpstr>
      <vt:lpstr>'Dock PPR'!PPA_259</vt:lpstr>
      <vt:lpstr>PPR!PPA_259</vt:lpstr>
      <vt:lpstr>Ship!PPA_259</vt:lpstr>
      <vt:lpstr>'Dock PPR'!PPA_26</vt:lpstr>
      <vt:lpstr>PPR!PPA_26</vt:lpstr>
      <vt:lpstr>Ship!PPA_26</vt:lpstr>
      <vt:lpstr>'Dock PPR'!PPA_260</vt:lpstr>
      <vt:lpstr>PPR!PPA_260</vt:lpstr>
      <vt:lpstr>Ship!PPA_260</vt:lpstr>
      <vt:lpstr>'Dock PPR'!PPA_261</vt:lpstr>
      <vt:lpstr>PPR!PPA_261</vt:lpstr>
      <vt:lpstr>Ship!PPA_261</vt:lpstr>
      <vt:lpstr>'Dock PPR'!PPA_262</vt:lpstr>
      <vt:lpstr>PPR!PPA_262</vt:lpstr>
      <vt:lpstr>Ship!PPA_262</vt:lpstr>
      <vt:lpstr>'Dock PPR'!PPA_263</vt:lpstr>
      <vt:lpstr>PPR!PPA_263</vt:lpstr>
      <vt:lpstr>Ship!PPA_263</vt:lpstr>
      <vt:lpstr>'Dock PPR'!PPA_264</vt:lpstr>
      <vt:lpstr>PPR!PPA_264</vt:lpstr>
      <vt:lpstr>Ship!PPA_264</vt:lpstr>
      <vt:lpstr>'Dock PPR'!PPA_265</vt:lpstr>
      <vt:lpstr>PPR!PPA_265</vt:lpstr>
      <vt:lpstr>Ship!PPA_265</vt:lpstr>
      <vt:lpstr>'Dock PPR'!PPA_266</vt:lpstr>
      <vt:lpstr>PPR!PPA_266</vt:lpstr>
      <vt:lpstr>'Dock PPR'!PPA_267</vt:lpstr>
      <vt:lpstr>PPR!PPA_267</vt:lpstr>
      <vt:lpstr>'Dock PPR'!PPA_268</vt:lpstr>
      <vt:lpstr>PPR!PPA_268</vt:lpstr>
      <vt:lpstr>'Dock PPR'!PPA_269</vt:lpstr>
      <vt:lpstr>PPR!PPA_269</vt:lpstr>
      <vt:lpstr>'Dock PPR'!PPA_27</vt:lpstr>
      <vt:lpstr>PPR!PPA_27</vt:lpstr>
      <vt:lpstr>Ship!PPA_27</vt:lpstr>
      <vt:lpstr>'Dock PPR'!PPA_270</vt:lpstr>
      <vt:lpstr>PPR!PPA_270</vt:lpstr>
      <vt:lpstr>'Dock PPR'!PPA_271</vt:lpstr>
      <vt:lpstr>PPR!PPA_271</vt:lpstr>
      <vt:lpstr>'Dock PPR'!PPA_272</vt:lpstr>
      <vt:lpstr>PPR!PPA_272</vt:lpstr>
      <vt:lpstr>'Dock PPR'!PPA_273</vt:lpstr>
      <vt:lpstr>'Dock PPR'!PPA_28</vt:lpstr>
      <vt:lpstr>PPR!PPA_28</vt:lpstr>
      <vt:lpstr>Ship!PPA_28</vt:lpstr>
      <vt:lpstr>'Dock PPR'!PPA_29</vt:lpstr>
      <vt:lpstr>PPR!PPA_29</vt:lpstr>
      <vt:lpstr>Ship!PPA_29</vt:lpstr>
      <vt:lpstr>'Dock PPR'!PPA_3</vt:lpstr>
      <vt:lpstr>PPR!PPA_3</vt:lpstr>
      <vt:lpstr>Ship!PPA_3</vt:lpstr>
      <vt:lpstr>'Dock PPR'!PPA_30</vt:lpstr>
      <vt:lpstr>PPR!PPA_30</vt:lpstr>
      <vt:lpstr>Ship!PPA_30</vt:lpstr>
      <vt:lpstr>'Dock PPR'!PPA_31</vt:lpstr>
      <vt:lpstr>PPR!PPA_31</vt:lpstr>
      <vt:lpstr>Ship!PPA_31</vt:lpstr>
      <vt:lpstr>'Dock PPR'!PPA_32</vt:lpstr>
      <vt:lpstr>PPR!PPA_32</vt:lpstr>
      <vt:lpstr>Ship!PPA_32</vt:lpstr>
      <vt:lpstr>'Dock PPR'!PPA_33</vt:lpstr>
      <vt:lpstr>PPR!PPA_33</vt:lpstr>
      <vt:lpstr>Ship!PPA_33</vt:lpstr>
      <vt:lpstr>'Dock PPR'!PPA_34</vt:lpstr>
      <vt:lpstr>PPR!PPA_34</vt:lpstr>
      <vt:lpstr>Ship!PPA_34</vt:lpstr>
      <vt:lpstr>'Dock PPR'!PPA_35</vt:lpstr>
      <vt:lpstr>PPR!PPA_35</vt:lpstr>
      <vt:lpstr>Ship!PPA_35</vt:lpstr>
      <vt:lpstr>'Dock PPR'!PPA_36</vt:lpstr>
      <vt:lpstr>PPR!PPA_36</vt:lpstr>
      <vt:lpstr>Ship!PPA_36</vt:lpstr>
      <vt:lpstr>'Dock PPR'!PPA_37</vt:lpstr>
      <vt:lpstr>PPR!PPA_37</vt:lpstr>
      <vt:lpstr>Ship!PPA_37</vt:lpstr>
      <vt:lpstr>'Dock PPR'!PPA_38</vt:lpstr>
      <vt:lpstr>PPR!PPA_38</vt:lpstr>
      <vt:lpstr>Ship!PPA_38</vt:lpstr>
      <vt:lpstr>'Dock PPR'!PPA_39</vt:lpstr>
      <vt:lpstr>PPR!PPA_39</vt:lpstr>
      <vt:lpstr>Ship!PPA_39</vt:lpstr>
      <vt:lpstr>'Dock PPR'!PPA_4</vt:lpstr>
      <vt:lpstr>PPR!PPA_4</vt:lpstr>
      <vt:lpstr>Ship!PPA_4</vt:lpstr>
      <vt:lpstr>'Dock PPR'!PPA_40</vt:lpstr>
      <vt:lpstr>PPR!PPA_40</vt:lpstr>
      <vt:lpstr>Ship!PPA_40</vt:lpstr>
      <vt:lpstr>'Dock PPR'!PPA_41</vt:lpstr>
      <vt:lpstr>PPR!PPA_41</vt:lpstr>
      <vt:lpstr>Ship!PPA_41</vt:lpstr>
      <vt:lpstr>'Dock PPR'!PPA_42</vt:lpstr>
      <vt:lpstr>PPR!PPA_42</vt:lpstr>
      <vt:lpstr>Ship!PPA_42</vt:lpstr>
      <vt:lpstr>'Dock PPR'!PPA_43</vt:lpstr>
      <vt:lpstr>PPR!PPA_43</vt:lpstr>
      <vt:lpstr>Ship!PPA_43</vt:lpstr>
      <vt:lpstr>'Dock PPR'!PPA_44</vt:lpstr>
      <vt:lpstr>PPR!PPA_44</vt:lpstr>
      <vt:lpstr>Ship!PPA_44</vt:lpstr>
      <vt:lpstr>'Dock PPR'!PPA_45</vt:lpstr>
      <vt:lpstr>PPR!PPA_45</vt:lpstr>
      <vt:lpstr>Ship!PPA_45</vt:lpstr>
      <vt:lpstr>'Dock PPR'!PPA_46</vt:lpstr>
      <vt:lpstr>PPR!PPA_46</vt:lpstr>
      <vt:lpstr>Ship!PPA_46</vt:lpstr>
      <vt:lpstr>'Dock PPR'!PPA_47</vt:lpstr>
      <vt:lpstr>PPR!PPA_47</vt:lpstr>
      <vt:lpstr>Ship!PPA_47</vt:lpstr>
      <vt:lpstr>'Dock PPR'!PPA_48</vt:lpstr>
      <vt:lpstr>PPR!PPA_48</vt:lpstr>
      <vt:lpstr>Ship!PPA_48</vt:lpstr>
      <vt:lpstr>'Dock PPR'!PPA_49</vt:lpstr>
      <vt:lpstr>PPR!PPA_49</vt:lpstr>
      <vt:lpstr>Ship!PPA_49</vt:lpstr>
      <vt:lpstr>'Dock PPR'!PPA_5</vt:lpstr>
      <vt:lpstr>PPR!PPA_5</vt:lpstr>
      <vt:lpstr>Ship!PPA_5</vt:lpstr>
      <vt:lpstr>'Dock PPR'!PPA_50</vt:lpstr>
      <vt:lpstr>PPR!PPA_50</vt:lpstr>
      <vt:lpstr>Ship!PPA_50</vt:lpstr>
      <vt:lpstr>'Dock PPR'!PPA_51</vt:lpstr>
      <vt:lpstr>PPR!PPA_51</vt:lpstr>
      <vt:lpstr>'Dock PPR'!PPA_52</vt:lpstr>
      <vt:lpstr>PPR!PPA_52</vt:lpstr>
      <vt:lpstr>Ship!PPA_52</vt:lpstr>
      <vt:lpstr>'Dock PPR'!PPA_53</vt:lpstr>
      <vt:lpstr>PPR!PPA_53</vt:lpstr>
      <vt:lpstr>Ship!PPA_53</vt:lpstr>
      <vt:lpstr>'Dock PPR'!PPA_54</vt:lpstr>
      <vt:lpstr>PPR!PPA_54</vt:lpstr>
      <vt:lpstr>'Dock PPR'!PPA_55</vt:lpstr>
      <vt:lpstr>PPR!PPA_55</vt:lpstr>
      <vt:lpstr>'Dock PPR'!PPA_56</vt:lpstr>
      <vt:lpstr>PPR!PPA_56</vt:lpstr>
      <vt:lpstr>Ship!PPA_56</vt:lpstr>
      <vt:lpstr>'Dock PPR'!PPA_57</vt:lpstr>
      <vt:lpstr>PPR!PPA_57</vt:lpstr>
      <vt:lpstr>Ship!PPA_57</vt:lpstr>
      <vt:lpstr>'Dock PPR'!PPA_58</vt:lpstr>
      <vt:lpstr>PPR!PPA_58</vt:lpstr>
      <vt:lpstr>Ship!PPA_58</vt:lpstr>
      <vt:lpstr>'Dock PPR'!PPA_59</vt:lpstr>
      <vt:lpstr>PPR!PPA_59</vt:lpstr>
      <vt:lpstr>Ship!PPA_59</vt:lpstr>
      <vt:lpstr>'Dock PPR'!PPA_6</vt:lpstr>
      <vt:lpstr>PPR!PPA_6</vt:lpstr>
      <vt:lpstr>Ship!PPA_6</vt:lpstr>
      <vt:lpstr>'Dock PPR'!PPA_60</vt:lpstr>
      <vt:lpstr>PPR!PPA_60</vt:lpstr>
      <vt:lpstr>Ship!PPA_60</vt:lpstr>
      <vt:lpstr>'Dock PPR'!PPA_61</vt:lpstr>
      <vt:lpstr>PPR!PPA_61</vt:lpstr>
      <vt:lpstr>Ship!PPA_61</vt:lpstr>
      <vt:lpstr>'Dock PPR'!PPA_62</vt:lpstr>
      <vt:lpstr>PPR!PPA_62</vt:lpstr>
      <vt:lpstr>Ship!PPA_62</vt:lpstr>
      <vt:lpstr>'Dock PPR'!PPA_63</vt:lpstr>
      <vt:lpstr>PPR!PPA_63</vt:lpstr>
      <vt:lpstr>Ship!PPA_63</vt:lpstr>
      <vt:lpstr>'Dock PPR'!PPA_64</vt:lpstr>
      <vt:lpstr>PPR!PPA_64</vt:lpstr>
      <vt:lpstr>Ship!PPA_64</vt:lpstr>
      <vt:lpstr>'Dock PPR'!PPA_65</vt:lpstr>
      <vt:lpstr>PPR!PPA_65</vt:lpstr>
      <vt:lpstr>Ship!PPA_65</vt:lpstr>
      <vt:lpstr>'Dock PPR'!PPA_66</vt:lpstr>
      <vt:lpstr>PPR!PPA_66</vt:lpstr>
      <vt:lpstr>'Dock PPR'!PPA_67</vt:lpstr>
      <vt:lpstr>PPR!PPA_67</vt:lpstr>
      <vt:lpstr>Ship!PPA_67</vt:lpstr>
      <vt:lpstr>'Dock PPR'!PPA_68</vt:lpstr>
      <vt:lpstr>PPR!PPA_68</vt:lpstr>
      <vt:lpstr>Ship!PPA_68</vt:lpstr>
      <vt:lpstr>'Dock PPR'!PPA_69</vt:lpstr>
      <vt:lpstr>PPR!PPA_69</vt:lpstr>
      <vt:lpstr>Ship!PPA_69</vt:lpstr>
      <vt:lpstr>'Dock PPR'!PPA_7</vt:lpstr>
      <vt:lpstr>PPR!PPA_7</vt:lpstr>
      <vt:lpstr>Ship!PPA_7</vt:lpstr>
      <vt:lpstr>'Dock PPR'!PPA_70</vt:lpstr>
      <vt:lpstr>PPR!PPA_70</vt:lpstr>
      <vt:lpstr>Ship!PPA_70</vt:lpstr>
      <vt:lpstr>'Dock PPR'!PPA_71</vt:lpstr>
      <vt:lpstr>PPR!PPA_71</vt:lpstr>
      <vt:lpstr>'Dock PPR'!PPA_72</vt:lpstr>
      <vt:lpstr>PPR!PPA_72</vt:lpstr>
      <vt:lpstr>'Dock PPR'!PPA_73</vt:lpstr>
      <vt:lpstr>PPR!PPA_73</vt:lpstr>
      <vt:lpstr>Ship!PPA_73</vt:lpstr>
      <vt:lpstr>'Dock PPR'!PPA_74</vt:lpstr>
      <vt:lpstr>PPR!PPA_74</vt:lpstr>
      <vt:lpstr>Ship!PPA_74</vt:lpstr>
      <vt:lpstr>'Dock PPR'!PPA_75</vt:lpstr>
      <vt:lpstr>PPR!PPA_75</vt:lpstr>
      <vt:lpstr>Ship!PPA_75</vt:lpstr>
      <vt:lpstr>PPR!PPA_76</vt:lpstr>
      <vt:lpstr>Ship!PPA_76</vt:lpstr>
      <vt:lpstr>'Dock PPR'!PPA_77</vt:lpstr>
      <vt:lpstr>PPR!PPA_77</vt:lpstr>
      <vt:lpstr>Ship!PPA_77</vt:lpstr>
      <vt:lpstr>'Dock PPR'!PPA_78</vt:lpstr>
      <vt:lpstr>PPR!PPA_78</vt:lpstr>
      <vt:lpstr>Ship!PPA_78</vt:lpstr>
      <vt:lpstr>'Dock PPR'!PPA_79</vt:lpstr>
      <vt:lpstr>PPR!PPA_79</vt:lpstr>
      <vt:lpstr>Ship!PPA_79</vt:lpstr>
      <vt:lpstr>'Dock PPR'!PPA_8</vt:lpstr>
      <vt:lpstr>PPR!PPA_8</vt:lpstr>
      <vt:lpstr>Ship!PPA_8</vt:lpstr>
      <vt:lpstr>'Dock PPR'!PPA_80</vt:lpstr>
      <vt:lpstr>PPR!PPA_80</vt:lpstr>
      <vt:lpstr>Ship!PPA_80</vt:lpstr>
      <vt:lpstr>PPR!PPA_81</vt:lpstr>
      <vt:lpstr>Ship!PPA_81</vt:lpstr>
      <vt:lpstr>'Dock PPR'!PPA_82</vt:lpstr>
      <vt:lpstr>PPR!PPA_82</vt:lpstr>
      <vt:lpstr>'Dock PPR'!PPA_83</vt:lpstr>
      <vt:lpstr>PPR!PPA_83</vt:lpstr>
      <vt:lpstr>Ship!PPA_83</vt:lpstr>
      <vt:lpstr>'Dock PPR'!PPA_84</vt:lpstr>
      <vt:lpstr>PPR!PPA_84</vt:lpstr>
      <vt:lpstr>Ship!PPA_84</vt:lpstr>
      <vt:lpstr>'Dock PPR'!PPA_85</vt:lpstr>
      <vt:lpstr>PPR!PPA_85</vt:lpstr>
      <vt:lpstr>Ship!PPA_85</vt:lpstr>
      <vt:lpstr>'Dock PPR'!PPA_86</vt:lpstr>
      <vt:lpstr>PPR!PPA_86</vt:lpstr>
      <vt:lpstr>'Dock PPR'!PPA_87</vt:lpstr>
      <vt:lpstr>PPR!PPA_87</vt:lpstr>
      <vt:lpstr>Ship!PPA_87</vt:lpstr>
      <vt:lpstr>'Dock PPR'!PPA_88</vt:lpstr>
      <vt:lpstr>PPR!PPA_88</vt:lpstr>
      <vt:lpstr>Ship!PPA_88</vt:lpstr>
      <vt:lpstr>'Dock PPR'!PPA_89</vt:lpstr>
      <vt:lpstr>PPR!PPA_89</vt:lpstr>
      <vt:lpstr>Ship!PPA_89</vt:lpstr>
      <vt:lpstr>'Dock PPR'!PPA_9</vt:lpstr>
      <vt:lpstr>PPR!PPA_9</vt:lpstr>
      <vt:lpstr>Ship!PPA_9</vt:lpstr>
      <vt:lpstr>'Dock PPR'!PPA_90</vt:lpstr>
      <vt:lpstr>PPR!PPA_90</vt:lpstr>
      <vt:lpstr>Ship!PPA_90</vt:lpstr>
      <vt:lpstr>'Dock PPR'!PPA_91</vt:lpstr>
      <vt:lpstr>PPR!PPA_91</vt:lpstr>
      <vt:lpstr>Ship!PPA_91</vt:lpstr>
      <vt:lpstr>'Dock PPR'!PPA_92</vt:lpstr>
      <vt:lpstr>PPR!PPA_92</vt:lpstr>
      <vt:lpstr>Ship!PPA_92</vt:lpstr>
      <vt:lpstr>'Dock PPR'!PPA_93</vt:lpstr>
      <vt:lpstr>PPR!PPA_93</vt:lpstr>
      <vt:lpstr>Ship!PPA_93</vt:lpstr>
      <vt:lpstr>'Dock PPR'!PPA_94</vt:lpstr>
      <vt:lpstr>PPR!PPA_94</vt:lpstr>
      <vt:lpstr>Ship!PPA_94</vt:lpstr>
      <vt:lpstr>'Dock PPR'!PPA_95</vt:lpstr>
      <vt:lpstr>Ship!PPA_95</vt:lpstr>
      <vt:lpstr>'Dock PPR'!PPA_96</vt:lpstr>
      <vt:lpstr>PPR!PPA_96</vt:lpstr>
      <vt:lpstr>Ship!PPA_96</vt:lpstr>
      <vt:lpstr>'Dock PPR'!PPA_97</vt:lpstr>
      <vt:lpstr>PPR!PPA_97</vt:lpstr>
      <vt:lpstr>Ship!PPA_97</vt:lpstr>
      <vt:lpstr>'Dock PPR'!PPA_98</vt:lpstr>
      <vt:lpstr>PPR!PPA_98</vt:lpstr>
      <vt:lpstr>Ship!PPA_98</vt:lpstr>
      <vt:lpstr>'Dock PPR'!PPA_99</vt:lpstr>
      <vt:lpstr>PPR!PPA_99</vt:lpstr>
      <vt:lpstr>Ship!PPA_99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Cameron</dc:creator>
  <cp:lastModifiedBy>Klink, Michael</cp:lastModifiedBy>
  <dcterms:created xsi:type="dcterms:W3CDTF">2021-01-21T15:38:33Z</dcterms:created>
  <dcterms:modified xsi:type="dcterms:W3CDTF">2021-03-19T18:24:20Z</dcterms:modified>
</cp:coreProperties>
</file>