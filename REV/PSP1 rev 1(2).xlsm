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imhyo\Desktop\PSP1 Outbound\Ship Dock\"/>
    </mc:Choice>
  </mc:AlternateContent>
  <bookViews>
    <workbookView xWindow="0" yWindow="0" windowWidth="19200" windowHeight="6756"/>
  </bookViews>
  <sheets>
    <sheet name="Report" sheetId="3" r:id="rId1"/>
    <sheet name="Setup" sheetId="2" state="hidden" r:id="rId2"/>
    <sheet name="Ship" sheetId="5" state="hidden" r:id="rId3"/>
    <sheet name="Chute" sheetId="8" state="hidden" r:id="rId4"/>
    <sheet name="Dock PPR" sheetId="1" state="hidden" r:id="rId5"/>
    <sheet name="PPR" sheetId="4" state="hidden" r:id="rId6"/>
  </sheets>
  <externalReferences>
    <externalReference r:id="rId7"/>
  </externalReferences>
  <definedNames>
    <definedName name="PPA" localSheetId="4">'Dock PPR'!$A$1:$A$716</definedName>
    <definedName name="PPA" localSheetId="5">PPR!$A$1:$P$201</definedName>
    <definedName name="PPA" localSheetId="2">Ship!$M$1:$N$268</definedName>
    <definedName name="PPA_1" localSheetId="4">'Dock PPR'!$A$1:$A$716</definedName>
    <definedName name="PPA_1" localSheetId="5">PPR!$A$1:$P$201</definedName>
    <definedName name="PPA_1" localSheetId="2">Ship!$M$1:$N$3198</definedName>
    <definedName name="PPA_10" localSheetId="4">'Dock PPR'!$A$1:$A$427</definedName>
    <definedName name="PPA_10" localSheetId="5">PPR!$A$1:$P$201</definedName>
    <definedName name="PPA_10" localSheetId="2">Ship!$A$1:$B$3190</definedName>
    <definedName name="PPA_100" localSheetId="4">'Dock PPR'!$A$1:$A$106</definedName>
    <definedName name="PPA_100" localSheetId="5">PPR!$A$1:$P$201</definedName>
    <definedName name="PPA_101" localSheetId="4">'Dock PPR'!$A$1:$A$115</definedName>
    <definedName name="PPA_101" localSheetId="5">PPR!$A$1:$P$201</definedName>
    <definedName name="PPA_102" localSheetId="4">'Dock PPR'!$A$1:$A$53</definedName>
    <definedName name="PPA_102" localSheetId="5">PPR!$A$1:$P$201</definedName>
    <definedName name="PPA_103" localSheetId="4">'Dock PPR'!$A$1:$A$109</definedName>
    <definedName name="PPA_103" localSheetId="5">PPR!$A$1:$P$201</definedName>
    <definedName name="PPA_103" localSheetId="2">Ship!$A$1:$B$3894</definedName>
    <definedName name="PPA_104" localSheetId="4">'Dock PPR'!$A$1:$A$133</definedName>
    <definedName name="PPA_104" localSheetId="2">Ship!$A$1:$B$3902</definedName>
    <definedName name="PPA_105" localSheetId="4">'Dock PPR'!$A$1:$A$69</definedName>
    <definedName name="PPA_105" localSheetId="5">PPR!$A$1:$P$201</definedName>
    <definedName name="PPA_106" localSheetId="4">'Dock PPR'!$A$1:$A$104</definedName>
    <definedName name="PPA_106" localSheetId="5">PPR!$A$1:$P$201</definedName>
    <definedName name="PPA_106" localSheetId="2">Ship!$A$1:$B$3894</definedName>
    <definedName name="PPA_107" localSheetId="4">'Dock PPR'!$A$1:$A$120</definedName>
    <definedName name="PPA_107" localSheetId="5">PPR!$A$1:$P$201</definedName>
    <definedName name="PPA_107" localSheetId="2">Ship!$A$1:$B$3846</definedName>
    <definedName name="PPA_108" localSheetId="4">'Dock PPR'!$A$1:$A$80</definedName>
    <definedName name="PPA_108" localSheetId="5">PPR!$A$1:$P$201</definedName>
    <definedName name="PPA_108" localSheetId="2">Ship!$A$1:$B$3822</definedName>
    <definedName name="PPA_109" localSheetId="4">'Dock PPR'!$A$1:$A$118</definedName>
    <definedName name="PPA_109" localSheetId="5">PPR!$A$1:$P$201</definedName>
    <definedName name="PPA_109" localSheetId="2">Ship!$A$1:$B$3830</definedName>
    <definedName name="PPA_11" localSheetId="4">'Dock PPR'!$A$1:$A$1042</definedName>
    <definedName name="PPA_11" localSheetId="5">PPR!$A$1:$P$201</definedName>
    <definedName name="PPA_11" localSheetId="2">Ship!$A$1:$B$3190</definedName>
    <definedName name="PPA_110" localSheetId="4">'Dock PPR'!$A$1:$A$150</definedName>
    <definedName name="PPA_110" localSheetId="5">PPR!$A$1:$P$201</definedName>
    <definedName name="PPA_110" localSheetId="2">Ship!$A$1:$B$3902</definedName>
    <definedName name="PPA_111" localSheetId="4">'Dock PPR'!$A$1:$A$60</definedName>
    <definedName name="PPA_111" localSheetId="5">PPR!$A$1:$P$201</definedName>
    <definedName name="PPA_111" localSheetId="2">Ship!$A$1:$B$3902</definedName>
    <definedName name="PPA_112" localSheetId="4">'Dock PPR'!$A$1:$A$96</definedName>
    <definedName name="PPA_112" localSheetId="5">PPR!$A$1:$P$201</definedName>
    <definedName name="PPA_112" localSheetId="2">Ship!$A$1:$B$3894</definedName>
    <definedName name="PPA_113" localSheetId="4">'Dock PPR'!$A$1:$A$132</definedName>
    <definedName name="PPA_113" localSheetId="5">PPR!$A$1:$P$201</definedName>
    <definedName name="PPA_113" localSheetId="2">Ship!$A$1:$B$3894</definedName>
    <definedName name="PPA_114" localSheetId="4">'Dock PPR'!$A$1:$A$96</definedName>
    <definedName name="PPA_114" localSheetId="5">PPR!$A$1:$P$201</definedName>
    <definedName name="PPA_115" localSheetId="4">'Dock PPR'!$A$1:$A$58</definedName>
    <definedName name="PPA_115" localSheetId="5">PPR!$A$1:$P$201</definedName>
    <definedName name="PPA_115" localSheetId="2">Ship!$A$1:$B$3894</definedName>
    <definedName name="PPA_116" localSheetId="4">'Dock PPR'!$A$1:$A$110</definedName>
    <definedName name="PPA_116" localSheetId="5">PPR!$A$1:$P$201</definedName>
    <definedName name="PPA_116" localSheetId="2">Ship!$A$1:$B$3894</definedName>
    <definedName name="PPA_117" localSheetId="4">'Dock PPR'!$A$1:$A$110</definedName>
    <definedName name="PPA_117" localSheetId="5">PPR!$A$1:$C$12</definedName>
    <definedName name="PPA_117" localSheetId="2">Ship!$A$1:$B$3886</definedName>
    <definedName name="PPA_118" localSheetId="4">'Dock PPR'!$A$1:$A$55</definedName>
    <definedName name="PPA_118" localSheetId="5">PPR!$A$1:$P$201</definedName>
    <definedName name="PPA_118" localSheetId="2">Ship!$A$1:$B$3886</definedName>
    <definedName name="PPA_119" localSheetId="4">'Dock PPR'!$A$1:$B$6</definedName>
    <definedName name="PPA_119" localSheetId="5">PPR!$A$1:$P$201</definedName>
    <definedName name="PPA_119" localSheetId="2">Ship!$A$1:$B$3886</definedName>
    <definedName name="PPA_12" localSheetId="4">'Dock PPR'!$A$1:$A$427</definedName>
    <definedName name="PPA_12" localSheetId="5">PPR!$A$1:$P$201</definedName>
    <definedName name="PPA_12" localSheetId="2">Ship!$A$1:$B$3190</definedName>
    <definedName name="PPA_120" localSheetId="4">'Dock PPR'!$A$1:$A$96</definedName>
    <definedName name="PPA_120" localSheetId="5">PPR!$A$1:$P$201</definedName>
    <definedName name="PPA_120" localSheetId="2">Ship!$A$1:$B$3878</definedName>
    <definedName name="PPA_121" localSheetId="4">'Dock PPR'!$A$1:$A$55</definedName>
    <definedName name="PPA_121" localSheetId="5">PPR!$A$1:$P$201</definedName>
    <definedName name="PPA_121" localSheetId="2">Ship!$A$1:$B$3878</definedName>
    <definedName name="PPA_122" localSheetId="4">'Dock PPR'!$A$1:$A$101</definedName>
    <definedName name="PPA_122" localSheetId="5">PPR!$A$1:$P$201</definedName>
    <definedName name="PPA_122" localSheetId="2">Ship!$A$1:$B$3870</definedName>
    <definedName name="PPA_123" localSheetId="4">'Dock PPR'!$A$1:$A$46</definedName>
    <definedName name="PPA_123" localSheetId="5">PPR!$A$1:$P$201</definedName>
    <definedName name="PPA_123" localSheetId="2">Ship!$A$1:$B$3870</definedName>
    <definedName name="PPA_124" localSheetId="4">'Dock PPR'!$A$1:$A$101</definedName>
    <definedName name="PPA_124" localSheetId="5">PPR!$A$1:$P$201</definedName>
    <definedName name="PPA_124" localSheetId="2">Ship!$A$1:$B$3870</definedName>
    <definedName name="PPA_125" localSheetId="4">'Dock PPR'!$A$1:$A$99</definedName>
    <definedName name="PPA_125" localSheetId="5">PPR!$A$1:$P$201</definedName>
    <definedName name="PPA_125" localSheetId="2">Ship!$A$1:$B$3854</definedName>
    <definedName name="PPA_126" localSheetId="4">'Dock PPR'!$A$1:$A$124</definedName>
    <definedName name="PPA_126" localSheetId="5">PPR!$A$1:$C$12</definedName>
    <definedName name="PPA_126" localSheetId="2">Ship!$A$1:$B$3854</definedName>
    <definedName name="PPA_127" localSheetId="4">'Dock PPR'!$A$1:$A$50</definedName>
    <definedName name="PPA_127" localSheetId="5">PPR!$A$1:$P$201</definedName>
    <definedName name="PPA_127" localSheetId="2">Ship!$A$1:$B$3846</definedName>
    <definedName name="PPA_128" localSheetId="4">'Dock PPR'!$A$1:$B$6</definedName>
    <definedName name="PPA_128" localSheetId="5">PPR!$A$1:$P$201</definedName>
    <definedName name="PPA_129" localSheetId="4">'Dock PPR'!$A$1:$A$92</definedName>
    <definedName name="PPA_129" localSheetId="5">PPR!$A$1:$P$201</definedName>
    <definedName name="PPA_129" localSheetId="2">Ship!$A$1:$B$3846</definedName>
    <definedName name="PPA_13" localSheetId="4">'Dock PPR'!$A$1:$A$779</definedName>
    <definedName name="PPA_13" localSheetId="5">PPR!$A$1:$P$201</definedName>
    <definedName name="PPA_13" localSheetId="2">Ship!$A$1:$B$3190</definedName>
    <definedName name="PPA_130" localSheetId="4">'Dock PPR'!$A$1:$A$128</definedName>
    <definedName name="PPA_130" localSheetId="5">PPR!$A$1:$P$201</definedName>
    <definedName name="PPA_130" localSheetId="2">Ship!$A$1:$B$3846</definedName>
    <definedName name="PPA_131" localSheetId="4">'Dock PPR'!$A$1:$A$99</definedName>
    <definedName name="PPA_131" localSheetId="5">PPR!$A$1:$P$201</definedName>
    <definedName name="PPA_131" localSheetId="2">Ship!$A$1:$B$3846</definedName>
    <definedName name="PPA_132" localSheetId="4">'Dock PPR'!$A$1:$A$114</definedName>
    <definedName name="PPA_132" localSheetId="5">PPR!$A$1:$P$201</definedName>
    <definedName name="PPA_132" localSheetId="2">Ship!$A$1:$B$3846</definedName>
    <definedName name="PPA_133" localSheetId="4">'Dock PPR'!$A$1:$A$137</definedName>
    <definedName name="PPA_133" localSheetId="5">PPR!$A$1:$P$201</definedName>
    <definedName name="PPA_133" localSheetId="2">Ship!$A$1:$B$3846</definedName>
    <definedName name="PPA_134" localSheetId="4">'Dock PPR'!$A$1:$A$91</definedName>
    <definedName name="PPA_134" localSheetId="5">PPR!$A$1:$P$201</definedName>
    <definedName name="PPA_134" localSheetId="2">Ship!$A$1:$B$3854</definedName>
    <definedName name="PPA_135" localSheetId="4">'Dock PPR'!$A$1:$A$120</definedName>
    <definedName name="PPA_135" localSheetId="5">PPR!$A$1:$P$201</definedName>
    <definedName name="PPA_135" localSheetId="2">Ship!$A$1:$B$3854</definedName>
    <definedName name="PPA_136" localSheetId="4">'Dock PPR'!$A$1:$A$83</definedName>
    <definedName name="PPA_136" localSheetId="5">PPR!$A$1:$P$201</definedName>
    <definedName name="PPA_136" localSheetId="2">Ship!$A$1:$B$3838</definedName>
    <definedName name="PPA_137" localSheetId="4">'Dock PPR'!$A$1:$A$154</definedName>
    <definedName name="PPA_137" localSheetId="5">PPR!$A$1:$P$201</definedName>
    <definedName name="PPA_137" localSheetId="2">Ship!$A$1:$B$3782</definedName>
    <definedName name="PPA_138" localSheetId="4">'Dock PPR'!$A$1:$A$70</definedName>
    <definedName name="PPA_138" localSheetId="5">PPR!$A$1:$P$201</definedName>
    <definedName name="PPA_138" localSheetId="2">Ship!$A$1:$B$3774</definedName>
    <definedName name="PPA_139" localSheetId="4">'Dock PPR'!$A$1:$A$87</definedName>
    <definedName name="PPA_139" localSheetId="5">PPR!$A$1:$P$201</definedName>
    <definedName name="PPA_139" localSheetId="2">Ship!$A$1:$B$3774</definedName>
    <definedName name="PPA_14" localSheetId="4">'Dock PPR'!$A$1:$A$169</definedName>
    <definedName name="PPA_14" localSheetId="5">PPR!$A$1:$P$201</definedName>
    <definedName name="PPA_14" localSheetId="2">Ship!$A$1:$B$3190</definedName>
    <definedName name="PPA_140" localSheetId="4">'Dock PPR'!$A$1:$A$117</definedName>
    <definedName name="PPA_140" localSheetId="5">PPR!$A$1:$P$201</definedName>
    <definedName name="PPA_140" localSheetId="2">Ship!$A$1:$B$3774</definedName>
    <definedName name="PPA_141" localSheetId="4">'Dock PPR'!$A$1:$A$123</definedName>
    <definedName name="PPA_141" localSheetId="5">PPR!$A$1:$P$201</definedName>
    <definedName name="PPA_141" localSheetId="2">Ship!$A$1:$B$3774</definedName>
    <definedName name="PPA_142" localSheetId="4">'Dock PPR'!$A$1:$A$65</definedName>
    <definedName name="PPA_142" localSheetId="5">PPR!$A$1:$P$201</definedName>
    <definedName name="PPA_142" localSheetId="2">Ship!$A$1:$B$3774</definedName>
    <definedName name="PPA_143" localSheetId="4">'Dock PPR'!$A$1:$A$99</definedName>
    <definedName name="PPA_143" localSheetId="5">PPR!$A$1:$P$201</definedName>
    <definedName name="PPA_143" localSheetId="2">Ship!$A$1:$B$3774</definedName>
    <definedName name="PPA_144" localSheetId="4">'Dock PPR'!$A$1:$A$99</definedName>
    <definedName name="PPA_144" localSheetId="5">PPR!$A$1:$P$201</definedName>
    <definedName name="PPA_145" localSheetId="4">'Dock PPR'!$A$1:$A$42</definedName>
    <definedName name="PPA_145" localSheetId="5">PPR!$A$1:$P$201</definedName>
    <definedName name="PPA_145" localSheetId="2">Ship!$A$1:$B$3774</definedName>
    <definedName name="PPA_146" localSheetId="4">'Dock PPR'!$A$1:$A$95</definedName>
    <definedName name="PPA_146" localSheetId="5">PPR!$A$1:$P$201</definedName>
    <definedName name="PPA_147" localSheetId="4">'Dock PPR'!$A$1:$A$124</definedName>
    <definedName name="PPA_147" localSheetId="5">PPR!$A$1:$P$201</definedName>
    <definedName name="PPA_147" localSheetId="2">Ship!$A$1:$B$3774</definedName>
    <definedName name="PPA_148" localSheetId="4">'Dock PPR'!$A$1:$A$58</definedName>
    <definedName name="PPA_148" localSheetId="5">PPR!$A$1:$P$201</definedName>
    <definedName name="PPA_148" localSheetId="2">Ship!$A$1:$B$3774</definedName>
    <definedName name="PPA_149" localSheetId="4">'Dock PPR'!$A$1:$A$114</definedName>
    <definedName name="PPA_149" localSheetId="5">PPR!$A$1:$P$201</definedName>
    <definedName name="PPA_149" localSheetId="2">Ship!$A$1:$B$3774</definedName>
    <definedName name="PPA_15" localSheetId="4">'Dock PPR'!$A$1:$A$162</definedName>
    <definedName name="PPA_15" localSheetId="5">PPR!$A$1:$P$201</definedName>
    <definedName name="PPA_15" localSheetId="2">Ship!$A$1:$B$3190</definedName>
    <definedName name="PPA_150" localSheetId="4">'Dock PPR'!$A$1:$A$136</definedName>
    <definedName name="PPA_150" localSheetId="5">PPR!$A$1:$P$201</definedName>
    <definedName name="PPA_151" localSheetId="4">'Dock PPR'!$A$1:$A$70</definedName>
    <definedName name="PPA_151" localSheetId="5">PPR!$A$1:$P$201</definedName>
    <definedName name="PPA_151" localSheetId="2">Ship!$A$1:$B$3774</definedName>
    <definedName name="PPA_152" localSheetId="4">'Dock PPR'!$A$1:$A$122</definedName>
    <definedName name="PPA_152" localSheetId="5">PPR!$A$1:$P$201</definedName>
    <definedName name="PPA_152" localSheetId="2">Ship!$A$1:$B$3774</definedName>
    <definedName name="PPA_153" localSheetId="4">'Dock PPR'!$A$1:$A$162</definedName>
    <definedName name="PPA_153" localSheetId="5">PPR!$A$1:$P$201</definedName>
    <definedName name="PPA_153" localSheetId="2">Ship!$A$1:$B$3750</definedName>
    <definedName name="PPA_154" localSheetId="4">'Dock PPR'!$A$1:$A$93</definedName>
    <definedName name="PPA_154" localSheetId="5">PPR!$A$1:$P$201</definedName>
    <definedName name="PPA_155" localSheetId="4">'Dock PPR'!$A$1:$A$110</definedName>
    <definedName name="PPA_155" localSheetId="5">PPR!$A$1:$P$201</definedName>
    <definedName name="PPA_155" localSheetId="2">Ship!$A$1:$B$3750</definedName>
    <definedName name="PPA_156" localSheetId="4">'Dock PPR'!$A$1:$A$126</definedName>
    <definedName name="PPA_156" localSheetId="5">PPR!$A$1:$P$201</definedName>
    <definedName name="PPA_156" localSheetId="2">Ship!$A$1:$B$3742</definedName>
    <definedName name="PPA_157" localSheetId="4">'Dock PPR'!$A$1:$A$60</definedName>
    <definedName name="PPA_157" localSheetId="5">PPR!$A$1:$P$201</definedName>
    <definedName name="PPA_157" localSheetId="2">Ship!$A$1:$B$3694</definedName>
    <definedName name="PPA_158" localSheetId="4">'Dock PPR'!$A$1:$A$88</definedName>
    <definedName name="PPA_158" localSheetId="5">PPR!$A$1:$P$201</definedName>
    <definedName name="PPA_159" localSheetId="4">'Dock PPR'!$A$1:$A$133</definedName>
    <definedName name="PPA_159" localSheetId="5">PPR!$A$1:$P$201</definedName>
    <definedName name="PPA_159" localSheetId="2">Ship!$A$1:$B$3662</definedName>
    <definedName name="PPA_16" localSheetId="4">'Dock PPR'!$A$1:$A$94</definedName>
    <definedName name="PPA_16" localSheetId="5">PPR!$A$1:$P$201</definedName>
    <definedName name="PPA_16" localSheetId="2">Ship!$A$1:$B$3190</definedName>
    <definedName name="PPA_160" localSheetId="4">'Dock PPR'!$A$1:$A$62</definedName>
    <definedName name="PPA_160" localSheetId="5">PPR!$A$1:$P$201</definedName>
    <definedName name="PPA_160" localSheetId="2">Ship!$A$1:$B$3670</definedName>
    <definedName name="PPA_161" localSheetId="4">'Dock PPR'!$A$1:$A$133</definedName>
    <definedName name="PPA_161" localSheetId="5">PPR!$A$1:$P$201</definedName>
    <definedName name="PPA_161" localSheetId="2">Ship!$A$1:$B$3646</definedName>
    <definedName name="PPA_162" localSheetId="4">'Dock PPR'!$A$1:$A$112</definedName>
    <definedName name="PPA_162" localSheetId="5">PPR!$A$1:$P$201</definedName>
    <definedName name="PPA_162" localSheetId="2">Ship!$A$1:$B$3646</definedName>
    <definedName name="PPA_163" localSheetId="4">'Dock PPR'!$A$1:$A$144</definedName>
    <definedName name="PPA_163" localSheetId="5">PPR!$A$1:$P$201</definedName>
    <definedName name="PPA_163" localSheetId="2">Ship!$A$1:$B$3630</definedName>
    <definedName name="PPA_164" localSheetId="4">'Dock PPR'!$A$1:$A$58</definedName>
    <definedName name="PPA_164" localSheetId="5">PPR!$A$1:$P$201</definedName>
    <definedName name="PPA_164" localSheetId="2">Ship!$A$1:$B$3614</definedName>
    <definedName name="PPA_165" localSheetId="4">'Dock PPR'!$A$1:$A$94</definedName>
    <definedName name="PPA_165" localSheetId="5">PPR!$A$1:$P$201</definedName>
    <definedName name="PPA_165" localSheetId="2">Ship!$A$1:$B$3614</definedName>
    <definedName name="PPA_166" localSheetId="4">'Dock PPR'!$A$1:$A$103</definedName>
    <definedName name="PPA_166" localSheetId="5">PPR!$A$1:$P$201</definedName>
    <definedName name="PPA_166" localSheetId="2">Ship!$A$1:$B$3614</definedName>
    <definedName name="PPA_167" localSheetId="4">'Dock PPR'!$A$1:$A$57</definedName>
    <definedName name="PPA_167" localSheetId="5">PPR!$A$1:$P$201</definedName>
    <definedName name="PPA_167" localSheetId="2">Ship!$A$1:$B$3622</definedName>
    <definedName name="PPA_168" localSheetId="4">'Dock PPR'!$A$1:$A$97</definedName>
    <definedName name="PPA_168" localSheetId="5">PPR!$A$1:$P$201</definedName>
    <definedName name="PPA_169" localSheetId="4">'Dock PPR'!$A$1:$A$137</definedName>
    <definedName name="PPA_169" localSheetId="5">PPR!$A$1:$P$201</definedName>
    <definedName name="PPA_17" localSheetId="4">'Dock PPR'!$A$1:$A$117</definedName>
    <definedName name="PPA_17" localSheetId="5">PPR!$A$1:$P$201</definedName>
    <definedName name="PPA_170" localSheetId="4">'Dock PPR'!$A$1:$A$53</definedName>
    <definedName name="PPA_170" localSheetId="5">PPR!$A$1:$P$201</definedName>
    <definedName name="PPA_170" localSheetId="2">Ship!$A$1:$B$3622</definedName>
    <definedName name="PPA_171" localSheetId="4">'Dock PPR'!$A$1:$A$201</definedName>
    <definedName name="PPA_171" localSheetId="5">PPR!$A$1:$P$201</definedName>
    <definedName name="PPA_171" localSheetId="2">Ship!$A$1:$B$3622</definedName>
    <definedName name="PPA_172" localSheetId="4">'Dock PPR'!$A$1:$A$103</definedName>
    <definedName name="PPA_172" localSheetId="5">PPR!$A$1:$P$201</definedName>
    <definedName name="PPA_172" localSheetId="2">Ship!$A$1:$B$3622</definedName>
    <definedName name="PPA_173" localSheetId="4">'Dock PPR'!$A$1:$A$147</definedName>
    <definedName name="PPA_173" localSheetId="5">PPR!$A$1:$P$201</definedName>
    <definedName name="PPA_173" localSheetId="2">Ship!$A$1:$B$3622</definedName>
    <definedName name="PPA_174" localSheetId="4">'Dock PPR'!$A$1:$A$65</definedName>
    <definedName name="PPA_174" localSheetId="5">PPR!$A$1:$P$201</definedName>
    <definedName name="PPA_174" localSheetId="2">Ship!$A$1:$B$3622</definedName>
    <definedName name="PPA_175" localSheetId="4">'Dock PPR'!$A$1:$A$94</definedName>
    <definedName name="PPA_175" localSheetId="5">PPR!$A$1:$P$201</definedName>
    <definedName name="PPA_175" localSheetId="2">Ship!$A$1:$B$3630</definedName>
    <definedName name="PPA_176" localSheetId="4">'Dock PPR'!$A$1:$A$162</definedName>
    <definedName name="PPA_176" localSheetId="5">PPR!$A$1:$P$201</definedName>
    <definedName name="PPA_176" localSheetId="2">Ship!$A$1:$B$3662</definedName>
    <definedName name="PPA_177" localSheetId="4">'Dock PPR'!$A$1:$A$91</definedName>
    <definedName name="PPA_177" localSheetId="5">PPR!$A$1:$P$201</definedName>
    <definedName name="PPA_177" localSheetId="2">Ship!$A$1:$B$3662</definedName>
    <definedName name="PPA_178" localSheetId="4">'Dock PPR'!$A$1:$A$131</definedName>
    <definedName name="PPA_178" localSheetId="5">PPR!$A$1:$P$201</definedName>
    <definedName name="PPA_179" localSheetId="4">'Dock PPR'!$A$1:$A$120</definedName>
    <definedName name="PPA_179" localSheetId="5">PPR!$A$1:$P$201</definedName>
    <definedName name="PPA_18" localSheetId="4">'Dock PPR'!$A$1:$A$141</definedName>
    <definedName name="PPA_18" localSheetId="5">PPR!$A$1:$P$201</definedName>
    <definedName name="PPA_18" localSheetId="2">Ship!$A$1:$B$3190</definedName>
    <definedName name="PPA_180" localSheetId="4">'Dock PPR'!$A$1:$A$70</definedName>
    <definedName name="PPA_180" localSheetId="5">PPR!$A$1:$P$201</definedName>
    <definedName name="PPA_180" localSheetId="2">Ship!$A$1:$B$3670</definedName>
    <definedName name="PPA_181" localSheetId="4">'Dock PPR'!$A$1:$A$120</definedName>
    <definedName name="PPA_181" localSheetId="5">PPR!$A$1:$P$201</definedName>
    <definedName name="PPA_181" localSheetId="2">Ship!$A$1:$B$3694</definedName>
    <definedName name="PPA_182" localSheetId="4">'Dock PPR'!$A$1:$A$119</definedName>
    <definedName name="PPA_182" localSheetId="5">PPR!$A$1:$P$201</definedName>
    <definedName name="PPA_182" localSheetId="2">Ship!$A$1:$B$3750</definedName>
    <definedName name="PPA_183" localSheetId="4">'Dock PPR'!$A$1:$A$135</definedName>
    <definedName name="PPA_183" localSheetId="5">PPR!$A$1:$P$201</definedName>
    <definedName name="PPA_183" localSheetId="2">Ship!$A$1:$B$3750</definedName>
    <definedName name="PPA_184" localSheetId="4">'Dock PPR'!$A$1:$A$84</definedName>
    <definedName name="PPA_184" localSheetId="5">PPR!$A$1:$P$201</definedName>
    <definedName name="PPA_184" localSheetId="2">Ship!$A$1:$B$3766</definedName>
    <definedName name="PPA_185" localSheetId="4">'Dock PPR'!$A$1:$A$116</definedName>
    <definedName name="PPA_185" localSheetId="5">PPR!$A$1:$P$201</definedName>
    <definedName name="PPA_185" localSheetId="2">Ship!$A$1:$B$3758</definedName>
    <definedName name="PPA_186" localSheetId="4">'Dock PPR'!$A$1:$A$126</definedName>
    <definedName name="PPA_186" localSheetId="5">PPR!$A$1:$P$201</definedName>
    <definedName name="PPA_186" localSheetId="2">Ship!$A$1:$B$3758</definedName>
    <definedName name="PPA_187" localSheetId="4">'Dock PPR'!$A$1:$A$206</definedName>
    <definedName name="PPA_187" localSheetId="5">PPR!$A$1:$P$201</definedName>
    <definedName name="PPA_187" localSheetId="2">Ship!$A$1:$B$3822</definedName>
    <definedName name="PPA_188" localSheetId="4">'Dock PPR'!$A$1:$A$103</definedName>
    <definedName name="PPA_188" localSheetId="5">PPR!$A$1:$P$201</definedName>
    <definedName name="PPA_188" localSheetId="2">Ship!$A$1</definedName>
    <definedName name="PPA_189" localSheetId="4">'Dock PPR'!$A$1:$A$106</definedName>
    <definedName name="PPA_189" localSheetId="5">PPR!$A$1:$P$201</definedName>
    <definedName name="PPA_189" localSheetId="2">Ship!$A$1:$B$3822</definedName>
    <definedName name="PPA_19" localSheetId="4">'Dock PPR'!$A$1:$A$141</definedName>
    <definedName name="PPA_19" localSheetId="5">PPR!$A$1:$P$201</definedName>
    <definedName name="PPA_19" localSheetId="2">Ship!$A$1:$B$3190</definedName>
    <definedName name="PPA_190" localSheetId="4">'Dock PPR'!$A$1:$A$53</definedName>
    <definedName name="PPA_190" localSheetId="5">PPR!$A$1:$P$201</definedName>
    <definedName name="PPA_190" localSheetId="2">Ship!$A$1:$B$3822</definedName>
    <definedName name="PPA_191" localSheetId="4">'Dock PPR'!$A$1:$A$91</definedName>
    <definedName name="PPA_191" localSheetId="5">PPR!$A$1:$P$201</definedName>
    <definedName name="PPA_192" localSheetId="4">'Dock PPR'!$A$1:$A$128</definedName>
    <definedName name="PPA_192" localSheetId="5">PPR!$A$1:$P$201</definedName>
    <definedName name="PPA_192" localSheetId="2">Ship!$A$1:$B$3878</definedName>
    <definedName name="PPA_193" localSheetId="4">'Dock PPR'!$A$1:$A$82</definedName>
    <definedName name="PPA_193" localSheetId="5">PPR!$A$1:$P$201</definedName>
    <definedName name="PPA_194" localSheetId="4">'Dock PPR'!$A$1:$A$98</definedName>
    <definedName name="PPA_194" localSheetId="5">PPR!$A$1:$P$201</definedName>
    <definedName name="PPA_194" localSheetId="2">Ship!$A$1:$B$3878</definedName>
    <definedName name="PPA_195" localSheetId="4">'Dock PPR'!$A$1:$A$156</definedName>
    <definedName name="PPA_195" localSheetId="5">PPR!$A$1:$P$201</definedName>
    <definedName name="PPA_195" localSheetId="2">Ship!$A$1:$B$3942</definedName>
    <definedName name="PPA_196" localSheetId="4">'Dock PPR'!$A$1:$A$80</definedName>
    <definedName name="PPA_196" localSheetId="5">PPR!$A$1:$P$201</definedName>
    <definedName name="PPA_196" localSheetId="2">Ship!$A$1:$B$3942</definedName>
    <definedName name="PPA_197" localSheetId="4">'Dock PPR'!$A$1:$A$145</definedName>
    <definedName name="PPA_197" localSheetId="5">PPR!$A$1:$P$201</definedName>
    <definedName name="PPA_197" localSheetId="2">Ship!$A$1:$B$3942</definedName>
    <definedName name="PPA_198" localSheetId="4">'Dock PPR'!$A$1:$A$149</definedName>
    <definedName name="PPA_198" localSheetId="5">PPR!$A$1:$P$201</definedName>
    <definedName name="PPA_198" localSheetId="2">Ship!$A$1:$B$3974</definedName>
    <definedName name="PPA_199" localSheetId="4">'Dock PPR'!$A$1:$A$232</definedName>
    <definedName name="PPA_199" localSheetId="5">PPR!$A$1:$P$201</definedName>
    <definedName name="PPA_199" localSheetId="2">Ship!$A$1:$B$3982</definedName>
    <definedName name="PPA_2" localSheetId="4">'Dock PPR'!$A$1:$A$779</definedName>
    <definedName name="PPA_2" localSheetId="5">PPR!$A$1:$P$201</definedName>
    <definedName name="PPA_2" localSheetId="2">Ship!$K$1:$L$3190</definedName>
    <definedName name="PPA_20" localSheetId="4">'Dock PPR'!$A$1:$A$122</definedName>
    <definedName name="PPA_20" localSheetId="5">PPR!$A$1:$P$201</definedName>
    <definedName name="PPA_200" localSheetId="4">'Dock PPR'!$A$1:$A$129</definedName>
    <definedName name="PPA_200" localSheetId="5">PPR!$A$1:$P$201</definedName>
    <definedName name="PPA_200" localSheetId="2">Ship!$A$1:$B$3998</definedName>
    <definedName name="PPA_201" localSheetId="4">'Dock PPR'!$A$1:$A$123</definedName>
    <definedName name="PPA_201" localSheetId="5">PPR!$A$1:$C$12</definedName>
    <definedName name="PPA_201" localSheetId="2">Ship!$A$1:$B$3998</definedName>
    <definedName name="PPA_202" localSheetId="4">'Dock PPR'!$A$1:$A$68</definedName>
    <definedName name="PPA_202" localSheetId="5">PPR!$A$1:$P$201</definedName>
    <definedName name="PPA_202" localSheetId="2">Ship!$A$1:$B$4014</definedName>
    <definedName name="PPA_203" localSheetId="4">'Dock PPR'!$A$1:$B$6</definedName>
    <definedName name="PPA_203" localSheetId="5">PPR!$A$1:$P$201</definedName>
    <definedName name="PPA_203" localSheetId="2">Ship!$A$1:$B$4022</definedName>
    <definedName name="PPA_204" localSheetId="4">'Dock PPR'!$A$1:$A$109</definedName>
    <definedName name="PPA_204" localSheetId="5">PPR!$A$1:$P$201</definedName>
    <definedName name="PPA_204" localSheetId="2">Ship!$A$1:$B$4046</definedName>
    <definedName name="PPA_205" localSheetId="4">'Dock PPR'!$A$1:$A$131</definedName>
    <definedName name="PPA_205" localSheetId="5">PPR!$A$1:$P$201</definedName>
    <definedName name="PPA_206" localSheetId="4">'Dock PPR'!$A$1:$A$77</definedName>
    <definedName name="PPA_206" localSheetId="5">PPR!$A$1:$P$201</definedName>
    <definedName name="PPA_206" localSheetId="2">Ship!$A$1:$B$4046</definedName>
    <definedName name="PPA_207" localSheetId="4">'Dock PPR'!$A$1:$A$111</definedName>
    <definedName name="PPA_207" localSheetId="5">PPR!$A$1:$P$201</definedName>
    <definedName name="PPA_207" localSheetId="2">Ship!$A$1:$B$4046</definedName>
    <definedName name="PPA_208" localSheetId="4">'Dock PPR'!$A$1:$A$138</definedName>
    <definedName name="PPA_208" localSheetId="5">PPR!$A$1:$P$201</definedName>
    <definedName name="PPA_208" localSheetId="2">Ship!$A$1:$B$4046</definedName>
    <definedName name="PPA_209" localSheetId="4">'Dock PPR'!$A$1:$A$84</definedName>
    <definedName name="PPA_209" localSheetId="5">PPR!$A$1:$P$201</definedName>
    <definedName name="PPA_209" localSheetId="2">Ship!$A$1:$B$4046</definedName>
    <definedName name="PPA_21" localSheetId="4">'Dock PPR'!$A$1:$A$264</definedName>
    <definedName name="PPA_21" localSheetId="5">PPR!$A$1:$P$201</definedName>
    <definedName name="PPA_21" localSheetId="2">Ship!$A$1:$B$3190</definedName>
    <definedName name="PPA_210" localSheetId="4">'Dock PPR'!$A$1:$A$128</definedName>
    <definedName name="PPA_210" localSheetId="5">PPR!$A$1:$P$201</definedName>
    <definedName name="PPA_210" localSheetId="2">Ship!$A$1:$B$4046</definedName>
    <definedName name="PPA_211" localSheetId="4">'Dock PPR'!$A$1:$A$121</definedName>
    <definedName name="PPA_211" localSheetId="5">PPR!$A$1:$P$201</definedName>
    <definedName name="PPA_211" localSheetId="2">Ship!$A$1:$B$4038</definedName>
    <definedName name="PPA_212" localSheetId="4">'Dock PPR'!$A$1:$A$51</definedName>
    <definedName name="PPA_212" localSheetId="5">PPR!$A$1:$P$201</definedName>
    <definedName name="PPA_212" localSheetId="2">Ship!$A$1:$B$4038</definedName>
    <definedName name="PPA_213" localSheetId="4">'Dock PPR'!$A$1:$A$120</definedName>
    <definedName name="PPA_213" localSheetId="5">PPR!$A$1:$P$201</definedName>
    <definedName name="PPA_213" localSheetId="2">Ship!$A$1:$B$4278</definedName>
    <definedName name="PPA_214" localSheetId="4">'Dock PPR'!$A$1:$A$134</definedName>
    <definedName name="PPA_214" localSheetId="5">PPR!$A$1:$P$201</definedName>
    <definedName name="PPA_214" localSheetId="2">Ship!$A$1:$B$4302</definedName>
    <definedName name="PPA_215" localSheetId="4">'Dock PPR'!$A$1:$A$85</definedName>
    <definedName name="PPA_215" localSheetId="5">PPR!$A$1:$P$201</definedName>
    <definedName name="PPA_215" localSheetId="2">Ship!$A$1:$B$4302</definedName>
    <definedName name="PPA_216" localSheetId="4">'Dock PPR'!$A$1:$A$126</definedName>
    <definedName name="PPA_216" localSheetId="5">PPR!$A$1:$P$201</definedName>
    <definedName name="PPA_216" localSheetId="2">Ship!$A$1:$B$4302</definedName>
    <definedName name="PPA_217" localSheetId="4">'Dock PPR'!$A$1:$A$123</definedName>
    <definedName name="PPA_217" localSheetId="5">PPR!$A$1:$P$201</definedName>
    <definedName name="PPA_217" localSheetId="2">Ship!$A$1:$B$4302</definedName>
    <definedName name="PPA_218" localSheetId="4">'Dock PPR'!$A$1:$A$163</definedName>
    <definedName name="PPA_218" localSheetId="5">PPR!$A$1:$P$201</definedName>
    <definedName name="PPA_219" localSheetId="4">'Dock PPR'!$A$1:$A$123</definedName>
    <definedName name="PPA_219" localSheetId="5">PPR!$A$1:$P$201</definedName>
    <definedName name="PPA_22" localSheetId="4">'Dock PPR'!$A$1:$A$288</definedName>
    <definedName name="PPA_22" localSheetId="5">PPR!$A$1:$P$201</definedName>
    <definedName name="PPA_22" localSheetId="2">Ship!$A$1:$B$3190</definedName>
    <definedName name="PPA_220" localSheetId="4">'Dock PPR'!$A$1:$A$134</definedName>
    <definedName name="PPA_220" localSheetId="5">PPR!$A$1:$P$201</definedName>
    <definedName name="PPA_221" localSheetId="4">'Dock PPR'!$A$1:$A$206</definedName>
    <definedName name="PPA_221" localSheetId="5">PPR!$A$1:$P$201</definedName>
    <definedName name="PPA_222" localSheetId="4">'Dock PPR'!$A$1:$A$108</definedName>
    <definedName name="PPA_222" localSheetId="5">PPR!$A$1:$P$201</definedName>
    <definedName name="PPA_223" localSheetId="4">'Dock PPR'!$A$1:$A$190</definedName>
    <definedName name="PPA_223" localSheetId="5">PPR!$A$1:$P$201</definedName>
    <definedName name="PPA_224" localSheetId="4">'Dock PPR'!$A$1:$A$144</definedName>
    <definedName name="PPA_224" localSheetId="5">PPR!$A$1:$P$201</definedName>
    <definedName name="PPA_225" localSheetId="4">'Dock PPR'!$A$1:$A$92</definedName>
    <definedName name="PPA_225" localSheetId="5">PPR!$A$1:$P$201</definedName>
    <definedName name="PPA_226" localSheetId="4">'Dock PPR'!$A$1:$A$89</definedName>
    <definedName name="PPA_226" localSheetId="5">PPR!$A$1:$P$201</definedName>
    <definedName name="PPA_227" localSheetId="4">'Dock PPR'!$A$1:$A$125</definedName>
    <definedName name="PPA_227" localSheetId="5">PPR!$A$1:$P$201</definedName>
    <definedName name="PPA_228" localSheetId="4">'Dock PPR'!$A$1:$A$89</definedName>
    <definedName name="PPA_229" localSheetId="4">'Dock PPR'!$A$1:$A$97</definedName>
    <definedName name="PPA_23" localSheetId="4">'Dock PPR'!$A$1:$A$64</definedName>
    <definedName name="PPA_23" localSheetId="5">PPR!$A$1:$P$201</definedName>
    <definedName name="PPA_23" localSheetId="2">Ship!$A$1:$B$3190</definedName>
    <definedName name="PPA_24" localSheetId="4">'Dock PPR'!$A$1:$A$86</definedName>
    <definedName name="PPA_24" localSheetId="5">PPR!$A$1:$P$201</definedName>
    <definedName name="PPA_24" localSheetId="2">Ship!$A$1:$B$3190</definedName>
    <definedName name="PPA_25" localSheetId="4">'Dock PPR'!$A$1:$A$439</definedName>
    <definedName name="PPA_25" localSheetId="5">PPR!$A$1:$P$201</definedName>
    <definedName name="PPA_25" localSheetId="2">Ship!$A$1:$B$3190</definedName>
    <definedName name="PPA_26" localSheetId="4">'Dock PPR'!$A$1:$A$174</definedName>
    <definedName name="PPA_26" localSheetId="5">PPR!$A$1:$P$201</definedName>
    <definedName name="PPA_26" localSheetId="2">Ship!$A$1:$B$3190</definedName>
    <definedName name="PPA_27" localSheetId="4">'Dock PPR'!$A$1:$A$407</definedName>
    <definedName name="PPA_27" localSheetId="5">PPR!$A$1:$P$201</definedName>
    <definedName name="PPA_27" localSheetId="2">Ship!$A$1:$B$3190</definedName>
    <definedName name="PPA_28" localSheetId="4">'Dock PPR'!$A$1:$A$161</definedName>
    <definedName name="PPA_28" localSheetId="5">PPR!$A$1:$P$201</definedName>
    <definedName name="PPA_28" localSheetId="2">Ship!$A$1:$B$3190</definedName>
    <definedName name="PPA_29" localSheetId="4">'Dock PPR'!$A$1:$A$120</definedName>
    <definedName name="PPA_29" localSheetId="5">PPR!$A$1:$P$201</definedName>
    <definedName name="PPA_29" localSheetId="2">Ship!$A$1:$B$15</definedName>
    <definedName name="PPA_3" localSheetId="4">'Dock PPR'!$A$1:$A$427</definedName>
    <definedName name="PPA_3" localSheetId="5">PPR!$A$1:$P$201</definedName>
    <definedName name="PPA_3" localSheetId="2">Ship!$I$1:$J$3190</definedName>
    <definedName name="PPA_30" localSheetId="4">'Dock PPR'!$A$1:$A$96</definedName>
    <definedName name="PPA_30" localSheetId="5">PPR!$A$1:$P$201</definedName>
    <definedName name="PPA_30" localSheetId="2">Ship!$A$1:$B$15</definedName>
    <definedName name="PPA_31" localSheetId="4">'Dock PPR'!$A$1:$A$302</definedName>
    <definedName name="PPA_31" localSheetId="5">PPR!$A$1:$P$201</definedName>
    <definedName name="PPA_31" localSheetId="2">Ship!$A$1:$B$4022</definedName>
    <definedName name="PPA_32" localSheetId="4">'Dock PPR'!$A$1:$A$62</definedName>
    <definedName name="PPA_32" localSheetId="5">PPR!$A$1:$P$201</definedName>
    <definedName name="PPA_32" localSheetId="2">Ship!$A$1:$B$4022</definedName>
    <definedName name="PPA_33" localSheetId="4">'Dock PPR'!$A$1:$A$106</definedName>
    <definedName name="PPA_33" localSheetId="5">PPR!$A$1:$P$201</definedName>
    <definedName name="PPA_33" localSheetId="2">Ship!$A$1:$B$4022</definedName>
    <definedName name="PPA_34" localSheetId="4">'Dock PPR'!$A$1:$A$349</definedName>
    <definedName name="PPA_34" localSheetId="5">PPR!$A$1:$P$201</definedName>
    <definedName name="PPA_34" localSheetId="2">Ship!$A$1:$B$4022</definedName>
    <definedName name="PPA_35" localSheetId="4">'Dock PPR'!$A$1:$A$113</definedName>
    <definedName name="PPA_35" localSheetId="5">PPR!$A$1:$P$201</definedName>
    <definedName name="PPA_35" localSheetId="2">Ship!$A$1:$B$4022</definedName>
    <definedName name="PPA_36" localSheetId="4">'Dock PPR'!$A$1:$A$133</definedName>
    <definedName name="PPA_36" localSheetId="5">PPR!$A$1:$P$201</definedName>
    <definedName name="PPA_36" localSheetId="2">Ship!$A$1:$B$4022</definedName>
    <definedName name="PPA_37" localSheetId="4">'Dock PPR'!$A$1:$A$122</definedName>
    <definedName name="PPA_37" localSheetId="5">PPR!$A$1:$P$201</definedName>
    <definedName name="PPA_37" localSheetId="2">Ship!$A$1:$B$4022</definedName>
    <definedName name="PPA_38" localSheetId="4">'Dock PPR'!$A$1:$A$413</definedName>
    <definedName name="PPA_38" localSheetId="5">PPR!$A$1:$P$201</definedName>
    <definedName name="PPA_38" localSheetId="2">Ship!$A$1:$B$4022</definedName>
    <definedName name="PPA_39" localSheetId="4">'Dock PPR'!$A$1:$A$176</definedName>
    <definedName name="PPA_39" localSheetId="5">PPR!$A$1:$P$201</definedName>
    <definedName name="PPA_39" localSheetId="2">Ship!$A$1:$B$4022</definedName>
    <definedName name="PPA_4" localSheetId="4">'Dock PPR'!$A$1:$A$779</definedName>
    <definedName name="PPA_4" localSheetId="5">PPR!$A$1:$P$201</definedName>
    <definedName name="PPA_4" localSheetId="2">Ship!$G$1:$H$3190</definedName>
    <definedName name="PPA_40" localSheetId="4">'Dock PPR'!$A$1:$A$323</definedName>
    <definedName name="PPA_40" localSheetId="5">PPR!$A$1:$P$201</definedName>
    <definedName name="PPA_40" localSheetId="2">Ship!$A$1:$B$4022</definedName>
    <definedName name="PPA_41" localSheetId="4">'Dock PPR'!$A$1:$A$865</definedName>
    <definedName name="PPA_41" localSheetId="5">PPR!$A$1:$P$201</definedName>
    <definedName name="PPA_41" localSheetId="2">Ship!$A$1:$B$4022</definedName>
    <definedName name="PPA_42" localSheetId="4">'Dock PPR'!$A$1:$A$340</definedName>
    <definedName name="PPA_42" localSheetId="5">PPR!$A$1:$P$201</definedName>
    <definedName name="PPA_42" localSheetId="2">Ship!$A$1:$B$4022</definedName>
    <definedName name="PPA_43" localSheetId="4">'Dock PPR'!$A$1:$A$865</definedName>
    <definedName name="PPA_43" localSheetId="5">PPR!$A$1:$P$201</definedName>
    <definedName name="PPA_43" localSheetId="2">Ship!$A$1:$B$4022</definedName>
    <definedName name="PPA_44" localSheetId="4">'Dock PPR'!$A$1:$A$341</definedName>
    <definedName name="PPA_44" localSheetId="5">PPR!$A$1:$P$201</definedName>
    <definedName name="PPA_44" localSheetId="2">Ship!$A$1:$B$4022</definedName>
    <definedName name="PPA_45" localSheetId="4">'Dock PPR'!$A$1:$A$353</definedName>
    <definedName name="PPA_45" localSheetId="5">PPR!$A$1:$P$201</definedName>
    <definedName name="PPA_45" localSheetId="2">Ship!$A$1:$B$4022</definedName>
    <definedName name="PPA_46" localSheetId="4">'Dock PPR'!$A$1:$A$169</definedName>
    <definedName name="PPA_46" localSheetId="5">PPR!$A$1:$P$201</definedName>
    <definedName name="PPA_46" localSheetId="2">Ship!$A$1:$B$4006</definedName>
    <definedName name="PPA_47" localSheetId="4">'Dock PPR'!$A$1:$A$162</definedName>
    <definedName name="PPA_47" localSheetId="5">PPR!$A$1:$P$201</definedName>
    <definedName name="PPA_47" localSheetId="2">Ship!$A$1:$B$4006</definedName>
    <definedName name="PPA_48" localSheetId="4">'Dock PPR'!$A$1:$A$169</definedName>
    <definedName name="PPA_48" localSheetId="5">PPR!$A$1:$P$201</definedName>
    <definedName name="PPA_48" localSheetId="2">Ship!$A$1:$B$4006</definedName>
    <definedName name="PPA_49" localSheetId="4">'Dock PPR'!$A$1:$A$162</definedName>
    <definedName name="PPA_49" localSheetId="5">PPR!$A$1:$P$201</definedName>
    <definedName name="PPA_49" localSheetId="2">Ship!$A$1:$B$4022</definedName>
    <definedName name="PPA_5" localSheetId="4">'Dock PPR'!$A$1:$A$427</definedName>
    <definedName name="PPA_5" localSheetId="5">PPR!$A$1:$P$201</definedName>
    <definedName name="PPA_5" localSheetId="2">Ship!$E$1:$F$3190</definedName>
    <definedName name="PPA_50" localSheetId="4">'Dock PPR'!$A$1:$A$169</definedName>
    <definedName name="PPA_50" localSheetId="5">PPR!$A$1:$P$201</definedName>
    <definedName name="PPA_50" localSheetId="2">Ship!$A$1:$B$4126</definedName>
    <definedName name="PPA_51" localSheetId="4">'Dock PPR'!$A$1:$A$162</definedName>
    <definedName name="PPA_51" localSheetId="5">PPR!$A$1:$P$201</definedName>
    <definedName name="PPA_52" localSheetId="4">'Dock PPR'!$A$1:$A$169</definedName>
    <definedName name="PPA_52" localSheetId="5">PPR!$A$1:$P$201</definedName>
    <definedName name="PPA_52" localSheetId="2">Ship!$A$1:$B$4086</definedName>
    <definedName name="PPA_53" localSheetId="4">'Dock PPR'!$A$1:$A$140</definedName>
    <definedName name="PPA_53" localSheetId="5">PPR!$A$1:$P$201</definedName>
    <definedName name="PPA_53" localSheetId="2">Ship!$A$1:$B$4014</definedName>
    <definedName name="PPA_54" localSheetId="4">'Dock PPR'!$A$1:$A$140</definedName>
    <definedName name="PPA_54" localSheetId="5">PPR!$A$1:$P$201</definedName>
    <definedName name="PPA_55" localSheetId="4">'Dock PPR'!$A$1:$A$148</definedName>
    <definedName name="PPA_55" localSheetId="5">PPR!$A$1:$P$201</definedName>
    <definedName name="PPA_56" localSheetId="4">'Dock PPR'!$A$1:$A$139</definedName>
    <definedName name="PPA_56" localSheetId="5">PPR!$A$1:$P$201</definedName>
    <definedName name="PPA_56" localSheetId="2">Ship!$A$1:$B$3942</definedName>
    <definedName name="PPA_57" localSheetId="4">'Dock PPR'!$A$1:$A$161</definedName>
    <definedName name="PPA_57" localSheetId="5">PPR!$A$1:$P$201</definedName>
    <definedName name="PPA_57" localSheetId="2">Ship!$A$1:$B$3910</definedName>
    <definedName name="PPA_58" localSheetId="4">'Dock PPR'!$A$1:$A$139</definedName>
    <definedName name="PPA_58" localSheetId="5">PPR!$A$1:$P$201</definedName>
    <definedName name="PPA_58" localSheetId="2">Ship!$A$1:$B$3910</definedName>
    <definedName name="PPA_59" localSheetId="4">'Dock PPR'!$A$1:$A$140</definedName>
    <definedName name="PPA_59" localSheetId="5">PPR!$A$1:$P$201</definedName>
    <definedName name="PPA_59" localSheetId="2">Ship!$A$1:$B$3910</definedName>
    <definedName name="PPA_6" localSheetId="4">'Dock PPR'!$A$1:$A$779</definedName>
    <definedName name="PPA_6" localSheetId="5">PPR!$A$1:$P$201</definedName>
    <definedName name="PPA_6" localSheetId="2">Ship!$C$1:$D$3190</definedName>
    <definedName name="PPA_60" localSheetId="4">'Dock PPR'!$A$1:$A$152</definedName>
    <definedName name="PPA_60" localSheetId="5">PPR!$A$1:$P$201</definedName>
    <definedName name="PPA_60" localSheetId="2">Ship!$A$1:$B$3918</definedName>
    <definedName name="PPA_61" localSheetId="4">'Dock PPR'!$A$1:$A$148</definedName>
    <definedName name="PPA_61" localSheetId="5">PPR!$A$1:$P$201</definedName>
    <definedName name="PPA_61" localSheetId="2">Ship!$A$1:$B$3918</definedName>
    <definedName name="PPA_62" localSheetId="4">'Dock PPR'!$A$1:$A$129</definedName>
    <definedName name="PPA_62" localSheetId="5">PPR!$A$1:$P$201</definedName>
    <definedName name="PPA_62" localSheetId="2">Ship!$A$1:$B$3918</definedName>
    <definedName name="PPA_63" localSheetId="4">'Dock PPR'!$A$1:$A$169</definedName>
    <definedName name="PPA_63" localSheetId="5">PPR!$A$1:$P$201</definedName>
    <definedName name="PPA_63" localSheetId="2">Ship!$A$1:$B$3918</definedName>
    <definedName name="PPA_64" localSheetId="4">'Dock PPR'!$A$1:$A$162</definedName>
    <definedName name="PPA_64" localSheetId="5">PPR!$A$1:$P$201</definedName>
    <definedName name="PPA_64" localSheetId="2">Ship!$A$1:$B$3918</definedName>
    <definedName name="PPA_65" localSheetId="4">'Dock PPR'!$A$1:$A$161</definedName>
    <definedName name="PPA_65" localSheetId="5">PPR!$A$1:$P$201</definedName>
    <definedName name="PPA_65" localSheetId="2">Ship!$A$1:$B$3934</definedName>
    <definedName name="PPA_66" localSheetId="4">'Dock PPR'!$A$1:$A$133</definedName>
    <definedName name="PPA_66" localSheetId="5">PPR!$A$1:$P$201</definedName>
    <definedName name="PPA_67" localSheetId="4">'Dock PPR'!$A$1:$A$139</definedName>
    <definedName name="PPA_67" localSheetId="5">PPR!$A$1:$P$201</definedName>
    <definedName name="PPA_67" localSheetId="2">Ship!$A$1:$B$3934</definedName>
    <definedName name="PPA_68" localSheetId="4">'Dock PPR'!$A$1:$A$147</definedName>
    <definedName name="PPA_68" localSheetId="5">PPR!$A$1:$P$201</definedName>
    <definedName name="PPA_68" localSheetId="2">Ship!$A$1:$B$3934</definedName>
    <definedName name="PPA_69" localSheetId="4">'Dock PPR'!$A$1:$A$63</definedName>
    <definedName name="PPA_69" localSheetId="5">PPR!$A$1:$P$201</definedName>
    <definedName name="PPA_69" localSheetId="2">Ship!$A$1:$B$3942</definedName>
    <definedName name="PPA_7" localSheetId="4">'Dock PPR'!$A$1:$A$716</definedName>
    <definedName name="PPA_7" localSheetId="5">PPR!$A$1:$P$201</definedName>
    <definedName name="PPA_7" localSheetId="2">Ship!$A$1:$B$3190</definedName>
    <definedName name="PPA_70" localSheetId="4">'Dock PPR'!$A$1:$A$97</definedName>
    <definedName name="PPA_70" localSheetId="5">PPR!$A$1:$P$201</definedName>
    <definedName name="PPA_70" localSheetId="2">Ship!$A$1:$B$3990</definedName>
    <definedName name="PPA_71" localSheetId="4">'Dock PPR'!$A$1:$A$97</definedName>
    <definedName name="PPA_71" localSheetId="5">PPR!$A$1:$P$201</definedName>
    <definedName name="PPA_72" localSheetId="4">'Dock PPR'!$A$1:$A$114</definedName>
    <definedName name="PPA_72" localSheetId="5">PPR!$A$1:$P$201</definedName>
    <definedName name="PPA_73" localSheetId="4">'Dock PPR'!$A$1:$A$97</definedName>
    <definedName name="PPA_73" localSheetId="5">PPR!$A$1:$P$201</definedName>
    <definedName name="PPA_73" localSheetId="2">Ship!$A$1:$B$3990</definedName>
    <definedName name="PPA_74" localSheetId="4">'Dock PPR'!$A$1:$A$125</definedName>
    <definedName name="PPA_74" localSheetId="5">PPR!$A$1:$P$201</definedName>
    <definedName name="PPA_74" localSheetId="2">Ship!$A$1:$B$3982</definedName>
    <definedName name="PPA_75" localSheetId="4">'Dock PPR'!$A$1:$A$116</definedName>
    <definedName name="PPA_75" localSheetId="5">PPR!$A$1:$P$201</definedName>
    <definedName name="PPA_75" localSheetId="2">Ship!$A$1:$B$3982</definedName>
    <definedName name="PPA_76" localSheetId="5">PPR!$A$1:$P$201</definedName>
    <definedName name="PPA_76" localSheetId="2">Ship!$A$1:$B$3982</definedName>
    <definedName name="PPA_77" localSheetId="4">'Dock PPR'!$A$1:$A$140</definedName>
    <definedName name="PPA_77" localSheetId="5">PPR!$A$1:$P$201</definedName>
    <definedName name="PPA_77" localSheetId="2">Ship!$A$1:$B$3982</definedName>
    <definedName name="PPA_78" localSheetId="4">'Dock PPR'!$A$1:$A$126</definedName>
    <definedName name="PPA_78" localSheetId="5">PPR!$A$1:$P$201</definedName>
    <definedName name="PPA_78" localSheetId="2">Ship!$A$1:$B$3982</definedName>
    <definedName name="PPA_79" localSheetId="4">'Dock PPR'!$A$1:$A$117</definedName>
    <definedName name="PPA_79" localSheetId="5">PPR!$A$1:$P$201</definedName>
    <definedName name="PPA_79" localSheetId="2">Ship!$A$1:$B$3982</definedName>
    <definedName name="PPA_8" localSheetId="4">'Dock PPR'!$A$1:$A$716</definedName>
    <definedName name="PPA_8" localSheetId="5">PPR!$A$1:$P$201</definedName>
    <definedName name="PPA_8" localSheetId="2">Ship!$A$1:$B$3190</definedName>
    <definedName name="PPA_80" localSheetId="4">'Dock PPR'!$A$1:$A$94</definedName>
    <definedName name="PPA_80" localSheetId="5">PPR!$A$1:$P$201</definedName>
    <definedName name="PPA_80" localSheetId="2">Ship!$A$1:$B$3982</definedName>
    <definedName name="PPA_81" localSheetId="5">PPR!$A$1:$P$201</definedName>
    <definedName name="PPA_81" localSheetId="2">Ship!$A$1:$B$3982</definedName>
    <definedName name="PPA_82" localSheetId="4">'Dock PPR'!$A$1:$A$116</definedName>
    <definedName name="PPA_82" localSheetId="5">PPR!$A$1:$P$201</definedName>
    <definedName name="PPA_83" localSheetId="4">'Dock PPR'!$A$1:$A$111</definedName>
    <definedName name="PPA_83" localSheetId="5">PPR!$A$1:$P$201</definedName>
    <definedName name="PPA_83" localSheetId="2">Ship!$A$1:$B$3982</definedName>
    <definedName name="PPA_84" localSheetId="4">'Dock PPR'!$A$1:$A$95</definedName>
    <definedName name="PPA_84" localSheetId="5">PPR!$A$1:$P$201</definedName>
    <definedName name="PPA_84" localSheetId="2">Ship!$A$1:$B$3966</definedName>
    <definedName name="PPA_85" localSheetId="4">'Dock PPR'!$A$1:$A$63</definedName>
    <definedName name="PPA_85" localSheetId="5">PPR!$A$1:$P$201</definedName>
    <definedName name="PPA_85" localSheetId="2">Ship!$A$1:$B$3974</definedName>
    <definedName name="PPA_86" localSheetId="4">'Dock PPR'!$A$1:$A$40</definedName>
    <definedName name="PPA_86" localSheetId="5">PPR!$A$1:$P$201</definedName>
    <definedName name="PPA_87" localSheetId="4">'Dock PPR'!$A$1:$A$4</definedName>
    <definedName name="PPA_87" localSheetId="5">PPR!$A$1:$P$201</definedName>
    <definedName name="PPA_87" localSheetId="2">Ship!$A$1:$B$3926</definedName>
    <definedName name="PPA_88" localSheetId="4">'Dock PPR'!$A$1:$A$148</definedName>
    <definedName name="PPA_88" localSheetId="5">PPR!$A$1:$P$201</definedName>
    <definedName name="PPA_88" localSheetId="2">Ship!$A$1:$B$3926</definedName>
    <definedName name="PPA_89" localSheetId="4">'Dock PPR'!$A$1:$A$100</definedName>
    <definedName name="PPA_89" localSheetId="5">PPR!$A$1:$P$201</definedName>
    <definedName name="PPA_89" localSheetId="2">Ship!$A$1</definedName>
    <definedName name="PPA_9" localSheetId="4">'Dock PPR'!$A$1:$A$779</definedName>
    <definedName name="PPA_9" localSheetId="5">PPR!$A$1:$P$201</definedName>
    <definedName name="PPA_9" localSheetId="2">Ship!$A$1:$B$3190</definedName>
    <definedName name="PPA_90" localSheetId="4">'Dock PPR'!$A$1:$A$134</definedName>
    <definedName name="PPA_90" localSheetId="5">PPR!$A$1:$P$201</definedName>
    <definedName name="PPA_90" localSheetId="2">Ship!$A$1:$B$3926</definedName>
    <definedName name="PPA_91" localSheetId="4">'Dock PPR'!$A$1:$A$99</definedName>
    <definedName name="PPA_91" localSheetId="5">PPR!$A$1:$P$201</definedName>
    <definedName name="PPA_91" localSheetId="2">Ship!$A$1:$B$3926</definedName>
    <definedName name="PPA_92" localSheetId="4">'Dock PPR'!$A$1:$A$122</definedName>
    <definedName name="PPA_92" localSheetId="5">PPR!$A$1:$P$201</definedName>
    <definedName name="PPA_92" localSheetId="2">Ship!$A$1:$B$3926</definedName>
    <definedName name="PPA_93" localSheetId="4">'Dock PPR'!$A$1:$A$81</definedName>
    <definedName name="PPA_93" localSheetId="5">PPR!$A$1:$P$201</definedName>
    <definedName name="PPA_93" localSheetId="2">Ship!$A$1:$B$3926</definedName>
    <definedName name="PPA_94" localSheetId="4">'Dock PPR'!$A$1:$A$79</definedName>
    <definedName name="PPA_94" localSheetId="5">PPR!$A$1:$P$201</definedName>
    <definedName name="PPA_94" localSheetId="2">Ship!$A$1:$B$3926</definedName>
    <definedName name="PPA_95" localSheetId="4">'Dock PPR'!$A$1:$A$121</definedName>
    <definedName name="PPA_95" localSheetId="2">Ship!$A$1:$B$3926</definedName>
    <definedName name="PPA_96" localSheetId="4">'Dock PPR'!$A$1:$A$97</definedName>
    <definedName name="PPA_96" localSheetId="5">PPR!$A$1:$P$201</definedName>
    <definedName name="PPA_96" localSheetId="2">Ship!$A$1:$B$3910</definedName>
    <definedName name="PPA_97" localSheetId="4">'Dock PPR'!$A$1:$A$137</definedName>
    <definedName name="PPA_97" localSheetId="5">PPR!$A$1:$P$201</definedName>
    <definedName name="PPA_97" localSheetId="2">Ship!$A$1:$B$3910</definedName>
    <definedName name="PPA_98" localSheetId="4">'Dock PPR'!$A$1:$A$114</definedName>
    <definedName name="PPA_98" localSheetId="5">PPR!$A$1:$P$201</definedName>
    <definedName name="PPA_98" localSheetId="2">Ship!$A$1:$B$3910</definedName>
    <definedName name="PPA_99" localSheetId="4">'Dock PPR'!$A$1:$A$126</definedName>
    <definedName name="PPA_99" localSheetId="5">PPR!$A$1:$P$201</definedName>
    <definedName name="PPA_99" localSheetId="2">Ship!$A$1:$B$3910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3" l="1"/>
  <c r="G3" i="8" l="1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53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63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978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93" i="8"/>
  <c r="G994" i="8"/>
  <c r="G995" i="8"/>
  <c r="G996" i="8"/>
  <c r="G997" i="8"/>
  <c r="G998" i="8"/>
  <c r="G999" i="8"/>
  <c r="G2" i="8"/>
  <c r="J21" i="3" l="1"/>
  <c r="J23" i="3"/>
  <c r="H13" i="3" s="1"/>
  <c r="J25" i="3"/>
  <c r="H17" i="3" s="1"/>
  <c r="J5" i="3"/>
  <c r="B9" i="2"/>
  <c r="H16" i="3" l="1"/>
  <c r="H14" i="3"/>
  <c r="H15" i="3" s="1"/>
  <c r="D10" i="3"/>
  <c r="D8" i="3"/>
  <c r="D9" i="3"/>
  <c r="D19" i="3"/>
  <c r="D18" i="3"/>
  <c r="D17" i="3"/>
  <c r="D24" i="3" s="1"/>
  <c r="D16" i="3"/>
  <c r="D26" i="3" s="1"/>
  <c r="D15" i="3"/>
  <c r="D25" i="3" s="1"/>
  <c r="D14" i="3"/>
  <c r="D23" i="3" s="1"/>
  <c r="D12" i="3"/>
  <c r="D13" i="3"/>
  <c r="B6" i="2"/>
  <c r="C6" i="2" s="1"/>
  <c r="B5" i="2"/>
  <c r="D5" i="2" s="1"/>
  <c r="E4" i="2"/>
  <c r="D4" i="2" s="1"/>
  <c r="B4" i="2"/>
  <c r="E3" i="2"/>
  <c r="D3" i="2" s="1"/>
  <c r="B3" i="2"/>
  <c r="H19" i="3"/>
  <c r="P10" i="3"/>
  <c r="H12" i="3"/>
  <c r="G34" i="2"/>
  <c r="G33" i="2"/>
  <c r="G32" i="2"/>
  <c r="G31" i="2"/>
  <c r="G30" i="2"/>
  <c r="G29" i="2"/>
  <c r="K28" i="2"/>
  <c r="G28" i="2"/>
  <c r="G27" i="2"/>
  <c r="I26" i="2"/>
  <c r="G26" i="2"/>
  <c r="I25" i="2"/>
  <c r="G25" i="2"/>
  <c r="I24" i="2"/>
  <c r="G24" i="2"/>
  <c r="I23" i="2"/>
  <c r="G23" i="2"/>
  <c r="I22" i="2"/>
  <c r="G22" i="2"/>
  <c r="I21" i="2"/>
  <c r="G21" i="2"/>
  <c r="I20" i="2"/>
  <c r="G20" i="2"/>
  <c r="I19" i="2"/>
  <c r="G19" i="2"/>
  <c r="I18" i="2"/>
  <c r="G18" i="2"/>
  <c r="I17" i="2"/>
  <c r="G17" i="2"/>
  <c r="I16" i="2"/>
  <c r="G16" i="2"/>
  <c r="I15" i="2"/>
  <c r="G15" i="2"/>
  <c r="D11" i="2"/>
  <c r="C11" i="2"/>
  <c r="B11" i="2"/>
  <c r="A20" i="3" l="1"/>
  <c r="D22" i="3"/>
  <c r="D20" i="3"/>
  <c r="H8" i="3"/>
  <c r="C4" i="2"/>
  <c r="E6" i="2"/>
  <c r="D6" i="2"/>
  <c r="C5" i="2"/>
  <c r="H20" i="3" l="1"/>
  <c r="H10" i="3" s="1"/>
  <c r="E5" i="2"/>
  <c r="C3" i="2"/>
  <c r="B1" i="2" s="1"/>
  <c r="B2" i="2" l="1"/>
  <c r="B8" i="2"/>
  <c r="B7" i="2"/>
</calcChain>
</file>

<file path=xl/connections.xml><?xml version="1.0" encoding="utf-8"?>
<connections xmlns="http://schemas.openxmlformats.org/spreadsheetml/2006/main">
  <connection id="1" name="Connection" type="4" refreshedVersion="0" deleted="1" background="1" saveData="1">
    <webPr htmlTables="1" htmlFormat="all"/>
  </connection>
  <connection id="2" name="Connection1" type="4" refreshedVersion="0" deleted="1" background="1" saveData="1">
    <webPr htmlTables="1" htmlFormat="all"/>
  </connection>
  <connection id="3" name="Connection2" type="4" refreshedVersion="0" deleted="1" background="1" saveData="1">
    <webPr htmlTables="1" htmlFormat="all"/>
  </connection>
  <connection id="4" name="Connection3" type="4" refreshedVersion="0" deleted="1" background="1" saveData="1">
    <webPr htmlTables="1" htmlFormat="all"/>
  </connection>
  <connection id="5" name="Connection4" type="4" refreshedVersion="6" deleted="1" background="1" saveData="1">
    <webPr sourceData="1" parsePre="1" consecutive="1" xl2000="1" htmlTables="1"/>
  </connection>
</connections>
</file>

<file path=xl/sharedStrings.xml><?xml version="1.0" encoding="utf-8"?>
<sst xmlns="http://schemas.openxmlformats.org/spreadsheetml/2006/main" count="11594" uniqueCount="5951">
  <si>
    <t>Flats</t>
  </si>
  <si>
    <t>Ship</t>
  </si>
  <si>
    <t>Start Date</t>
  </si>
  <si>
    <t>End Date</t>
  </si>
  <si>
    <t>Start Time</t>
  </si>
  <si>
    <t>End Time</t>
  </si>
  <si>
    <t>PPR</t>
  </si>
  <si>
    <t>Dock PPR</t>
  </si>
  <si>
    <t>FC</t>
  </si>
  <si>
    <t>TimeZone</t>
  </si>
  <si>
    <t>For Timezone Input:</t>
  </si>
  <si>
    <t>Spurs</t>
  </si>
  <si>
    <t>Doors</t>
  </si>
  <si>
    <t>EST</t>
  </si>
  <si>
    <t>S0101: Success</t>
  </si>
  <si>
    <t>S0109: Success</t>
  </si>
  <si>
    <t>CST</t>
  </si>
  <si>
    <t>S0102: Success</t>
  </si>
  <si>
    <t>S0110: Success</t>
  </si>
  <si>
    <t>MST</t>
  </si>
  <si>
    <t>S0103: Success</t>
  </si>
  <si>
    <t>S0113: Success</t>
  </si>
  <si>
    <t>PST</t>
  </si>
  <si>
    <t>S0104: Success</t>
  </si>
  <si>
    <t>S0114: Success</t>
  </si>
  <si>
    <t>S0105: Success</t>
  </si>
  <si>
    <t>S0122: Success</t>
  </si>
  <si>
    <t>Sorter Edit (If your FC is not pulling Ship Sorter data, select the alternate)</t>
  </si>
  <si>
    <t>S0106: Success</t>
  </si>
  <si>
    <t>S0123: Success</t>
  </si>
  <si>
    <t>ShippingSorterController</t>
  </si>
  <si>
    <t>S0107: Success</t>
  </si>
  <si>
    <t>S0125: Success</t>
  </si>
  <si>
    <t>FlatsRouterController</t>
  </si>
  <si>
    <t>S0108: Success</t>
  </si>
  <si>
    <t>S0127: Success</t>
  </si>
  <si>
    <t>ShippingRouterController</t>
  </si>
  <si>
    <t>S0111: Success</t>
  </si>
  <si>
    <t>S0129: Success</t>
  </si>
  <si>
    <t>S0112: Success</t>
  </si>
  <si>
    <t>S0130: Success</t>
  </si>
  <si>
    <t>FlatSorterController</t>
  </si>
  <si>
    <t>S0115: Success</t>
  </si>
  <si>
    <t>S0131: Success</t>
  </si>
  <si>
    <t>S0116: Success</t>
  </si>
  <si>
    <t>S0132: Success</t>
  </si>
  <si>
    <t>S0117: Success</t>
  </si>
  <si>
    <t>S0118: Success</t>
  </si>
  <si>
    <t>S0119: Success</t>
  </si>
  <si>
    <t>S0120: Success</t>
  </si>
  <si>
    <t>S0121: Success</t>
  </si>
  <si>
    <t>S0124: Success</t>
  </si>
  <si>
    <t>S0126: Success</t>
  </si>
  <si>
    <t>S0128: Success</t>
  </si>
  <si>
    <t>Start Date/Time</t>
  </si>
  <si>
    <t>End Date/Time</t>
  </si>
  <si>
    <t>Performance - Actual</t>
  </si>
  <si>
    <t>Performance - Plan</t>
  </si>
  <si>
    <t>OB Volume</t>
  </si>
  <si>
    <t xml:space="preserve">Ship Dock </t>
  </si>
  <si>
    <t>OB Dock Hours</t>
  </si>
  <si>
    <t>Dock Hours</t>
  </si>
  <si>
    <t>Dock Rate</t>
  </si>
  <si>
    <t>Dock Hours Breakdown - Actual (Hrs Used)</t>
  </si>
  <si>
    <t>Dock Hours Breakdown - Plan (Hrs Exp)</t>
  </si>
  <si>
    <t>TDR Operator</t>
  </si>
  <si>
    <t>Dock Palletize</t>
  </si>
  <si>
    <t>Flat Induct</t>
  </si>
  <si>
    <t>Flat Waterspider</t>
  </si>
  <si>
    <t>Pallet Loader</t>
  </si>
  <si>
    <t>Fluid Loading</t>
  </si>
  <si>
    <t>Outbound Dock Crew</t>
  </si>
  <si>
    <t>Shipping Clerk</t>
  </si>
  <si>
    <t>Total Hours</t>
  </si>
  <si>
    <t>Ship Dock</t>
  </si>
  <si>
    <t>Dock Process Rates - Actual (UPH)</t>
  </si>
  <si>
    <t>Dock Process Rates - Plan</t>
  </si>
  <si>
    <t>Flats Induct</t>
  </si>
  <si>
    <t>Pallet Waterspider</t>
  </si>
  <si>
    <t>Name</t>
  </si>
  <si>
    <t>Units</t>
  </si>
  <si>
    <t xml:space="preserve"> </t>
  </si>
  <si>
    <t>Process Name</t>
  </si>
  <si>
    <t>Function Name</t>
  </si>
  <si>
    <t>Employee Type</t>
  </si>
  <si>
    <t>Employee Id</t>
  </si>
  <si>
    <t>Manager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</si>
  <si>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</si>
  <si>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</si>
  <si>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</si>
  <si>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</si>
  <si>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</si>
  <si>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</si>
  <si>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</si>
  <si>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</si>
  <si>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Unit Type</t>
  </si>
  <si>
    <t>Size</t>
  </si>
  <si>
    <t>UPH</t>
  </si>
  <si>
    <t>AMZN</t>
  </si>
  <si>
    <t>Directed_Palletize</t>
  </si>
  <si>
    <t>Anonymous</t>
  </si>
  <si>
    <t>PackagePalletized</t>
  </si>
  <si>
    <t>Package</t>
  </si>
  <si>
    <t>Total</t>
  </si>
  <si>
    <t>Pallet</t>
  </si>
  <si>
    <t>EACH</t>
  </si>
  <si>
    <t>Process Path Rollup</t>
  </si>
  <si>
    <t xml:space="preserve">Warehouse </t>
  </si>
  <si>
    <t>Report Date Range Day Week Month</t>
  </si>
  <si>
    <t>Intraday</t>
  </si>
  <si>
    <t>to</t>
  </si>
  <si>
    <t xml:space="preserve">Options Adjust Plan Hours for Intraday ? Hide Empty Line Items </t>
  </si>
  <si>
    <t>View Legacy Version CSVHTML</t>
  </si>
  <si>
    <t>Actual</t>
  </si>
  <si>
    <t>Plan</t>
  </si>
  <si>
    <t>YOY Improvement</t>
  </si>
  <si>
    <t>Main Processes</t>
  </si>
  <si>
    <t>Core Processes</t>
  </si>
  <si>
    <t>Line Items</t>
  </si>
  <si>
    <t>Unit</t>
  </si>
  <si>
    <t>Vol</t>
  </si>
  <si>
    <t>Hrs</t>
  </si>
  <si>
    <t>Rate</t>
  </si>
  <si>
    <t>Δ to Plan (Hrs)</t>
  </si>
  <si>
    <t>% to Plan</t>
  </si>
  <si>
    <t>PY Volume (Base)</t>
  </si>
  <si>
    <t>PY Rate</t>
  </si>
  <si>
    <t>Hrs @ CY Rate</t>
  </si>
  <si>
    <t>Hrs @ PY Rate</t>
  </si>
  <si>
    <t>YOY %</t>
  </si>
  <si>
    <t>Inbound</t>
  </si>
  <si>
    <t>Receive</t>
  </si>
  <si>
    <t xml:space="preserve">Receive Dock </t>
  </si>
  <si>
    <t>-</t>
  </si>
  <si>
    <t xml:space="preserve">Each Receive - Small </t>
  </si>
  <si>
    <t xml:space="preserve">Each Receive - Medium </t>
  </si>
  <si>
    <t xml:space="preserve">Each Receive - Large </t>
  </si>
  <si>
    <t xml:space="preserve">Each Receive - Heavy/Bulky </t>
  </si>
  <si>
    <t xml:space="preserve">Each Receive - Total </t>
  </si>
  <si>
    <t xml:space="preserve">Each To Bin - Small </t>
  </si>
  <si>
    <t xml:space="preserve">Each To Bin - Medium </t>
  </si>
  <si>
    <t xml:space="preserve">Each To Bin - Large </t>
  </si>
  <si>
    <t xml:space="preserve">Each To Bin - Heavy/Bulky </t>
  </si>
  <si>
    <t xml:space="preserve">Each To Bin - Total </t>
  </si>
  <si>
    <t xml:space="preserve">Case Receive </t>
  </si>
  <si>
    <t>Case</t>
  </si>
  <si>
    <t xml:space="preserve">LP Receive </t>
  </si>
  <si>
    <t xml:space="preserve">Pallet Receive </t>
  </si>
  <si>
    <t xml:space="preserve">Receive Support </t>
  </si>
  <si>
    <t xml:space="preserve">Receive - Total </t>
  </si>
  <si>
    <t>Transfer In and Stow</t>
  </si>
  <si>
    <t xml:space="preserve">Transfer In Decant </t>
  </si>
  <si>
    <t xml:space="preserve">Each Transfer In - Small </t>
  </si>
  <si>
    <t xml:space="preserve">Each Transfer In - Medium </t>
  </si>
  <si>
    <t xml:space="preserve">Each Transfer In - Large </t>
  </si>
  <si>
    <t xml:space="preserve">Each Transfer In - Heavy/Bulky </t>
  </si>
  <si>
    <t xml:space="preserve">Each Transfer In - Total </t>
  </si>
  <si>
    <t xml:space="preserve">Case Transfer In </t>
  </si>
  <si>
    <t xml:space="preserve">Pallet Transfer In </t>
  </si>
  <si>
    <t xml:space="preserve">Transfer In Support </t>
  </si>
  <si>
    <t xml:space="preserve">Transfer In - Total </t>
  </si>
  <si>
    <t>IB Prep</t>
  </si>
  <si>
    <t xml:space="preserve">Cubiscan </t>
  </si>
  <si>
    <t xml:space="preserve">Sample Center </t>
  </si>
  <si>
    <t xml:space="preserve">Prep Recorder - Small </t>
  </si>
  <si>
    <t xml:space="preserve">Prep Recorder - Medium </t>
  </si>
  <si>
    <t xml:space="preserve">Prep Recorder - Large </t>
  </si>
  <si>
    <t xml:space="preserve">Prep Recorder - Heavy/Bulky </t>
  </si>
  <si>
    <t xml:space="preserve">Prep Recorder - Total </t>
  </si>
  <si>
    <t xml:space="preserve">Prep Support </t>
  </si>
  <si>
    <t xml:space="preserve">Prep - Total </t>
  </si>
  <si>
    <t>Stow to Prime</t>
  </si>
  <si>
    <t xml:space="preserve">Each Stow To Prime - Small </t>
  </si>
  <si>
    <t xml:space="preserve">Each Stow To Prime - Medium </t>
  </si>
  <si>
    <t xml:space="preserve">Each Stow To Prime - Large </t>
  </si>
  <si>
    <t xml:space="preserve">Each Stow To Prime - Heavy/Bulky </t>
  </si>
  <si>
    <t xml:space="preserve">Each Stow to Prime - Total </t>
  </si>
  <si>
    <t xml:space="preserve">Case Stow to Prime </t>
  </si>
  <si>
    <t xml:space="preserve">Pallet Stow to Prime </t>
  </si>
  <si>
    <t xml:space="preserve">Stow to Prime Support </t>
  </si>
  <si>
    <t xml:space="preserve">Stow to Prime - Total </t>
  </si>
  <si>
    <t>RSR</t>
  </si>
  <si>
    <t xml:space="preserve">Case Stow to Reserve </t>
  </si>
  <si>
    <t xml:space="preserve">Case Replenishment </t>
  </si>
  <si>
    <t>CASE</t>
  </si>
  <si>
    <t xml:space="preserve">Pallet Stow Reserve </t>
  </si>
  <si>
    <t xml:space="preserve">Pallet Replenishment </t>
  </si>
  <si>
    <t>PALLET</t>
  </si>
  <si>
    <t xml:space="preserve">RSR Support </t>
  </si>
  <si>
    <t xml:space="preserve">RSR - Total </t>
  </si>
  <si>
    <t>IB Lead/PA</t>
  </si>
  <si>
    <t xml:space="preserve">IB Lead/PA </t>
  </si>
  <si>
    <t>IB Defect</t>
  </si>
  <si>
    <t xml:space="preserve">IB Problem Solve </t>
  </si>
  <si>
    <t>TOTAL</t>
  </si>
  <si>
    <t xml:space="preserve">IB Total </t>
  </si>
  <si>
    <t>DA - Building to Building Transfer</t>
  </si>
  <si>
    <t>RC Stow</t>
  </si>
  <si>
    <t xml:space="preserve">RC Case Stow </t>
  </si>
  <si>
    <t xml:space="preserve">RC Pallet Stow </t>
  </si>
  <si>
    <t>RC Pick</t>
  </si>
  <si>
    <t xml:space="preserve">RC Pick - Library </t>
  </si>
  <si>
    <t xml:space="preserve">RC Pick - Pallet Rack </t>
  </si>
  <si>
    <t>RC Sort</t>
  </si>
  <si>
    <t xml:space="preserve">RC Presort Cases </t>
  </si>
  <si>
    <t xml:space="preserve">RC Sort - Small </t>
  </si>
  <si>
    <t xml:space="preserve">RC Sort - Medium </t>
  </si>
  <si>
    <t xml:space="preserve">RC Sort - Large </t>
  </si>
  <si>
    <t xml:space="preserve">RC Sort - Heavy/Bulky </t>
  </si>
  <si>
    <t xml:space="preserve">RC Sort - Total </t>
  </si>
  <si>
    <t>Transfer Out Pick</t>
  </si>
  <si>
    <t xml:space="preserve">Transfer Out Pick - Small </t>
  </si>
  <si>
    <t xml:space="preserve">Transfer Out Pick - Medium </t>
  </si>
  <si>
    <t xml:space="preserve">Transfer Out Pick - Large </t>
  </si>
  <si>
    <t xml:space="preserve">Transfer Out Pick - Heavy/Bulky </t>
  </si>
  <si>
    <t xml:space="preserve">Transfer Out Pick - Total </t>
  </si>
  <si>
    <t>Transfer Out</t>
  </si>
  <si>
    <t xml:space="preserve">Transfer Out </t>
  </si>
  <si>
    <t>Transfer Out Dock</t>
  </si>
  <si>
    <t xml:space="preserve">Transfer Out Dock </t>
  </si>
  <si>
    <t>TO Lead/PA</t>
  </si>
  <si>
    <t xml:space="preserve">TO Lead/PA </t>
  </si>
  <si>
    <t>TO Defect</t>
  </si>
  <si>
    <t xml:space="preserve">TO Problem Solve </t>
  </si>
  <si>
    <t xml:space="preserve">DA Bldg to Bldg Transfer TOTAL </t>
  </si>
  <si>
    <t>Outbound</t>
  </si>
  <si>
    <t>Pick</t>
  </si>
  <si>
    <t xml:space="preserve">Pick - Small </t>
  </si>
  <si>
    <t xml:space="preserve">Pick - Medium </t>
  </si>
  <si>
    <t xml:space="preserve">Pick - Large </t>
  </si>
  <si>
    <t xml:space="preserve">Pick - Heavy/Bulky </t>
  </si>
  <si>
    <t xml:space="preserve">Pick - Total </t>
  </si>
  <si>
    <t xml:space="preserve">Pick Support </t>
  </si>
  <si>
    <t xml:space="preserve">Pick Total (Incl. Support) </t>
  </si>
  <si>
    <t>Sort</t>
  </si>
  <si>
    <t xml:space="preserve">Batch Sort - Small </t>
  </si>
  <si>
    <t xml:space="preserve">Batch Sort - Medium </t>
  </si>
  <si>
    <t xml:space="preserve">Batch Sort - Large </t>
  </si>
  <si>
    <t xml:space="preserve">Batch Sort - Heavy/Bulky </t>
  </si>
  <si>
    <t xml:space="preserve">Batch Sort - Total </t>
  </si>
  <si>
    <t xml:space="preserve">Flow Sort - Small </t>
  </si>
  <si>
    <t xml:space="preserve">Flow Sort - Medium </t>
  </si>
  <si>
    <t xml:space="preserve">Flow Sort - Large </t>
  </si>
  <si>
    <t xml:space="preserve">Flow Sort - Heavy/Bulky </t>
  </si>
  <si>
    <t xml:space="preserve">Flow Sort - Total </t>
  </si>
  <si>
    <t xml:space="preserve">Sort Support </t>
  </si>
  <si>
    <t xml:space="preserve">Sort - Total </t>
  </si>
  <si>
    <t>Pack</t>
  </si>
  <si>
    <t xml:space="preserve">Chutings - Small </t>
  </si>
  <si>
    <t xml:space="preserve">Chutings - Medium </t>
  </si>
  <si>
    <t xml:space="preserve">Chutings - Large </t>
  </si>
  <si>
    <t xml:space="preserve">Chutings - Heavy/Bulky </t>
  </si>
  <si>
    <t xml:space="preserve">Pack Chuting - Total </t>
  </si>
  <si>
    <t xml:space="preserve">Auto Slam </t>
  </si>
  <si>
    <t xml:space="preserve">Pack - Autobox </t>
  </si>
  <si>
    <t xml:space="preserve">Pack - Lev/Autofold </t>
  </si>
  <si>
    <t xml:space="preserve">Pack Singles - Small </t>
  </si>
  <si>
    <t xml:space="preserve">Pack Singles - Medium </t>
  </si>
  <si>
    <t xml:space="preserve">Pack Singles - Large </t>
  </si>
  <si>
    <t xml:space="preserve">Pack Singles - Heavy/Bulky </t>
  </si>
  <si>
    <t xml:space="preserve">Pack Singles - Total </t>
  </si>
  <si>
    <t xml:space="preserve">Pack Multis - Small </t>
  </si>
  <si>
    <t xml:space="preserve">Pack Multis - Medium </t>
  </si>
  <si>
    <t xml:space="preserve">Pack Multis - Large </t>
  </si>
  <si>
    <t xml:space="preserve">Pack Multis - Heavy/Bulky </t>
  </si>
  <si>
    <t xml:space="preserve">Pack Multis - Total </t>
  </si>
  <si>
    <t xml:space="preserve">Pack Support </t>
  </si>
  <si>
    <t>Outbound Prep</t>
  </si>
  <si>
    <t xml:space="preserve">Giftwrap </t>
  </si>
  <si>
    <t xml:space="preserve">Partner Prep </t>
  </si>
  <si>
    <t xml:space="preserve">Library Services </t>
  </si>
  <si>
    <t xml:space="preserve">Custom Packaging </t>
  </si>
  <si>
    <t xml:space="preserve">Pack and OB Prep Total </t>
  </si>
  <si>
    <t>OB Lead/PA</t>
  </si>
  <si>
    <t xml:space="preserve">OB Lead/PA </t>
  </si>
  <si>
    <t>OB Defect</t>
  </si>
  <si>
    <t xml:space="preserve">OB Problem Solve </t>
  </si>
  <si>
    <t xml:space="preserve">OB TOTAL </t>
  </si>
  <si>
    <t>Reverse Logistics</t>
  </si>
  <si>
    <t>C-Return</t>
  </si>
  <si>
    <t xml:space="preserve">C-Returns Processed - Small </t>
  </si>
  <si>
    <t xml:space="preserve">C-Returns Processed - Medium </t>
  </si>
  <si>
    <t xml:space="preserve">C-Returns Processed - Large </t>
  </si>
  <si>
    <t xml:space="preserve">C-Returns Processed - Heavy/Bulky </t>
  </si>
  <si>
    <t xml:space="preserve">C-Return Processed - Total </t>
  </si>
  <si>
    <t xml:space="preserve">C-Return Stow - Small </t>
  </si>
  <si>
    <t xml:space="preserve">C-Return Stow - Medium </t>
  </si>
  <si>
    <t xml:space="preserve">C-Return Stow - Large </t>
  </si>
  <si>
    <t xml:space="preserve">C-Return Stow - Heavy/Bulky </t>
  </si>
  <si>
    <t xml:space="preserve">C-Return Stow - Total </t>
  </si>
  <si>
    <t xml:space="preserve">C-Return Support </t>
  </si>
  <si>
    <t xml:space="preserve">Customer Returns - Total </t>
  </si>
  <si>
    <t>V-Return</t>
  </si>
  <si>
    <t xml:space="preserve">V-Return Pick - Small </t>
  </si>
  <si>
    <t xml:space="preserve">V-Return Pick - Medium </t>
  </si>
  <si>
    <t xml:space="preserve">V-Return Pick - Large </t>
  </si>
  <si>
    <t xml:space="preserve">V-Return Pick - Heavy/Bulky </t>
  </si>
  <si>
    <t xml:space="preserve">V-Return Pick - Total </t>
  </si>
  <si>
    <t xml:space="preserve">V-Return Pack - Small </t>
  </si>
  <si>
    <t xml:space="preserve">V-Return Pack - Medium </t>
  </si>
  <si>
    <t xml:space="preserve">V-Return Pack - Large </t>
  </si>
  <si>
    <t xml:space="preserve">V-Return Pack - Heavy/Bulky </t>
  </si>
  <si>
    <t xml:space="preserve">V-Return Pack - Total </t>
  </si>
  <si>
    <t xml:space="preserve">V-Return Support </t>
  </si>
  <si>
    <t xml:space="preserve">Vendor Returns - Total </t>
  </si>
  <si>
    <t>Warehouse Deals</t>
  </si>
  <si>
    <t xml:space="preserve">WHD Grading </t>
  </si>
  <si>
    <t xml:space="preserve">WHD Specialty Grading </t>
  </si>
  <si>
    <t xml:space="preserve">WHD Support </t>
  </si>
  <si>
    <t xml:space="preserve">Warehouse Deals - Total </t>
  </si>
  <si>
    <t>External Repairs</t>
  </si>
  <si>
    <t xml:space="preserve">External Repair Prep </t>
  </si>
  <si>
    <t xml:space="preserve">External Repair Support </t>
  </si>
  <si>
    <t xml:space="preserve">External Repair - Total </t>
  </si>
  <si>
    <t>Trade In</t>
  </si>
  <si>
    <t xml:space="preserve">Trade In Grading </t>
  </si>
  <si>
    <t xml:space="preserve">Trade In Support </t>
  </si>
  <si>
    <t xml:space="preserve">Trade In - Total </t>
  </si>
  <si>
    <t>Kindle Diagnostics</t>
  </si>
  <si>
    <t xml:space="preserve">Kindle Diagnostics </t>
  </si>
  <si>
    <t xml:space="preserve">REVERSE LOGISTICS TOTAL </t>
  </si>
  <si>
    <t>On-Demand</t>
  </si>
  <si>
    <t>On Demand</t>
  </si>
  <si>
    <t xml:space="preserve">Print On Demand </t>
  </si>
  <si>
    <t xml:space="preserve">Disc On Demand </t>
  </si>
  <si>
    <t xml:space="preserve">Create Your Own Ring (CYOR) </t>
  </si>
  <si>
    <t>Support</t>
  </si>
  <si>
    <t xml:space="preserve">Admin/HR/IT </t>
  </si>
  <si>
    <t xml:space="preserve">On Boarding </t>
  </si>
  <si>
    <t xml:space="preserve">AR Support </t>
  </si>
  <si>
    <t xml:space="preserve">Non_FC_Controllable </t>
  </si>
  <si>
    <t xml:space="preserve">IC/QA/CS </t>
  </si>
  <si>
    <t xml:space="preserve">Facilities </t>
  </si>
  <si>
    <t>Transport</t>
  </si>
  <si>
    <t>AmTran</t>
  </si>
  <si>
    <t xml:space="preserve">Amtran In </t>
  </si>
  <si>
    <t xml:space="preserve">Amtran Sortation </t>
  </si>
  <si>
    <t xml:space="preserve">Amtran Out </t>
  </si>
  <si>
    <t>FC Summary</t>
  </si>
  <si>
    <t xml:space="preserve">Vendor Rec (incl. Stow+Prep+RSR) </t>
  </si>
  <si>
    <t xml:space="preserve">Transfer-In </t>
  </si>
  <si>
    <t xml:space="preserve">Total Inbound </t>
  </si>
  <si>
    <t xml:space="preserve">Outbound </t>
  </si>
  <si>
    <t xml:space="preserve">Transfer-Out </t>
  </si>
  <si>
    <t xml:space="preserve">Reverse Logistics </t>
  </si>
  <si>
    <t xml:space="preserve">On Demand </t>
  </si>
  <si>
    <t xml:space="preserve">Support </t>
  </si>
  <si>
    <t xml:space="preserve">Transport </t>
  </si>
  <si>
    <t xml:space="preserve">THROUGHPUT </t>
  </si>
  <si>
    <t>RC Summary</t>
  </si>
  <si>
    <t xml:space="preserve">Inbound </t>
  </si>
  <si>
    <t xml:space="preserve">DA </t>
  </si>
  <si>
    <t>An override is already open. Select from following options to continue:</t>
  </si>
  <si>
    <t>Save the open override</t>
  </si>
  <si>
    <t>Cancel the open override and continue</t>
  </si>
  <si>
    <t>Delete the open override</t>
  </si>
  <si>
    <t>Do not continue</t>
  </si>
  <si>
    <t>DOCK SNAPSHOT</t>
  </si>
  <si>
    <t>Scans</t>
  </si>
  <si>
    <t>No Reads</t>
  </si>
  <si>
    <t>Diverts</t>
  </si>
  <si>
    <t>Successful Diverts</t>
  </si>
  <si>
    <t>Failed - Lane Full</t>
  </si>
  <si>
    <t>Lane Non-Operational</t>
  </si>
  <si>
    <t>Failed - Throughput Limit</t>
  </si>
  <si>
    <t>Failed - Failed to Divert</t>
  </si>
  <si>
    <t>Failed - Tracking Error</t>
  </si>
  <si>
    <t>Failed - Gap Error</t>
  </si>
  <si>
    <t>S01aa - Scans</t>
  </si>
  <si>
    <t>S01aa - No-Reads</t>
  </si>
  <si>
    <t>S01aa - No-Reads %</t>
  </si>
  <si>
    <t>S01aa - No-Codes</t>
  </si>
  <si>
    <t>S01aa - No-Codes %</t>
  </si>
  <si>
    <t>S01ab - Scans</t>
  </si>
  <si>
    <t>S01ab - No-Reads</t>
  </si>
  <si>
    <t>S01ab - No-Reads %</t>
  </si>
  <si>
    <t>S01ab - No-Codes</t>
  </si>
  <si>
    <t>S01ab - No-Codes %</t>
  </si>
  <si>
    <t>S01ac - Scans</t>
  </si>
  <si>
    <t>S01ac - No-Reads</t>
  </si>
  <si>
    <t>S01ac - No-Reads %</t>
  </si>
  <si>
    <t>S01ac - No-Codes</t>
  </si>
  <si>
    <t>S01ac - No-Codes %</t>
  </si>
  <si>
    <t>S010101: Success</t>
  </si>
  <si>
    <t>S010102: Success</t>
  </si>
  <si>
    <t>S010104: Success</t>
  </si>
  <si>
    <t>S010105: Success</t>
  </si>
  <si>
    <t>S010106: Success</t>
  </si>
  <si>
    <t>S010107: Success</t>
  </si>
  <si>
    <t>S010107: Lane Full</t>
  </si>
  <si>
    <t>S010107: Lane Non-Operational</t>
  </si>
  <si>
    <t>S010107: Throughput Limit</t>
  </si>
  <si>
    <t>S010107: Failed to Divert</t>
  </si>
  <si>
    <t>S010107: Tracking Error</t>
  </si>
  <si>
    <t>S010107: Gap Error</t>
  </si>
  <si>
    <t>S010107: No Destination Received</t>
  </si>
  <si>
    <t>S010108: Success</t>
  </si>
  <si>
    <t>S010110: Success</t>
  </si>
  <si>
    <t>S010111: Success</t>
  </si>
  <si>
    <t>S010112: Success</t>
  </si>
  <si>
    <t>S010112: Lane Full</t>
  </si>
  <si>
    <t>S010112: Lane Non-Operational</t>
  </si>
  <si>
    <t>S010112: Throughput Limit</t>
  </si>
  <si>
    <t>S010112: Failed to Divert</t>
  </si>
  <si>
    <t>S010112: Tracking Error</t>
  </si>
  <si>
    <t>S010112: Gap Error</t>
  </si>
  <si>
    <t>S010112: No Destination Received</t>
  </si>
  <si>
    <t>S010113: Success</t>
  </si>
  <si>
    <t>S010113: Lane Full</t>
  </si>
  <si>
    <t>S010113: Lane Non-Operational</t>
  </si>
  <si>
    <t>S010113: Throughput Limit</t>
  </si>
  <si>
    <t>S010113: Failed to Divert</t>
  </si>
  <si>
    <t>S010113: Tracking Error</t>
  </si>
  <si>
    <t>S010113: Gap Error</t>
  </si>
  <si>
    <t>S010113: No Destination Received</t>
  </si>
  <si>
    <t>S010114: Success</t>
  </si>
  <si>
    <t>S010114: Lane Full</t>
  </si>
  <si>
    <t>S010114: Lane Non-Operational</t>
  </si>
  <si>
    <t>S010114: Throughput Limit</t>
  </si>
  <si>
    <t>S010114: Failed to Divert</t>
  </si>
  <si>
    <t>S010114: Tracking Error</t>
  </si>
  <si>
    <t>S010114: Gap Error</t>
  </si>
  <si>
    <t>S010114: No Destination Received</t>
  </si>
  <si>
    <t>S010115: Success</t>
  </si>
  <si>
    <t>S010115: Lane Full</t>
  </si>
  <si>
    <t>S010115: Lane Non-Operational</t>
  </si>
  <si>
    <t>S010115: Throughput Limit</t>
  </si>
  <si>
    <t>S010115: Failed to Divert</t>
  </si>
  <si>
    <t>S010115: Tracking Error</t>
  </si>
  <si>
    <t>S010115: Gap Error</t>
  </si>
  <si>
    <t>S010115: No Destination Received</t>
  </si>
  <si>
    <t>S010116: Success</t>
  </si>
  <si>
    <t>S010116: Lane Full</t>
  </si>
  <si>
    <t>S010116: Lane Non-Operational</t>
  </si>
  <si>
    <t>S010116: Throughput Limit</t>
  </si>
  <si>
    <t>S010116: Failed to Divert</t>
  </si>
  <si>
    <t>S010116: Tracking Error</t>
  </si>
  <si>
    <t>S010116: Gap Error</t>
  </si>
  <si>
    <t>S010116: No Destination Received</t>
  </si>
  <si>
    <t>S010117: Success</t>
  </si>
  <si>
    <t>S010117: Lane Full</t>
  </si>
  <si>
    <t>S010117: Lane Non-Operational</t>
  </si>
  <si>
    <t>S010117: Throughput Limit</t>
  </si>
  <si>
    <t>S010117: Failed to Divert</t>
  </si>
  <si>
    <t>S010117: Tracking Error</t>
  </si>
  <si>
    <t>S010117: Gap Error</t>
  </si>
  <si>
    <t>S010117: No Destination Received</t>
  </si>
  <si>
    <t>S010118: Success</t>
  </si>
  <si>
    <t>S010118: Lane Full</t>
  </si>
  <si>
    <t>S010118: Lane Non-Operational</t>
  </si>
  <si>
    <t>S010118: Throughput Limit</t>
  </si>
  <si>
    <t>S010118: Failed to Divert</t>
  </si>
  <si>
    <t>S010118: Tracking Error</t>
  </si>
  <si>
    <t>S010118: Gap Error</t>
  </si>
  <si>
    <t>S010118: No Destination Received</t>
  </si>
  <si>
    <t>S010119: Success</t>
  </si>
  <si>
    <t>S010119: Lane Full</t>
  </si>
  <si>
    <t>S010119: Lane Non-Operational</t>
  </si>
  <si>
    <t>S010119: Throughput Limit</t>
  </si>
  <si>
    <t>S010119: Failed to Divert</t>
  </si>
  <si>
    <t>S010119: Tracking Error</t>
  </si>
  <si>
    <t>S010119: Gap Error</t>
  </si>
  <si>
    <t>S010119: No Destination Received</t>
  </si>
  <si>
    <t>S010120: Success</t>
  </si>
  <si>
    <t>S010120: Lane Full</t>
  </si>
  <si>
    <t>S010120: Lane Non-Operational</t>
  </si>
  <si>
    <t>S010120: Throughput Limit</t>
  </si>
  <si>
    <t>S010120: Failed to Divert</t>
  </si>
  <si>
    <t>S010120: Tracking Error</t>
  </si>
  <si>
    <t>S010120: Gap Error</t>
  </si>
  <si>
    <t>S010120: No Destination Received</t>
  </si>
  <si>
    <t>S010121: Success</t>
  </si>
  <si>
    <t>S010121: Lane Full</t>
  </si>
  <si>
    <t>S010121: Lane Non-Operational</t>
  </si>
  <si>
    <t>S010121: Throughput Limit</t>
  </si>
  <si>
    <t>S010121: Failed to Divert</t>
  </si>
  <si>
    <t>S010121: Tracking Error</t>
  </si>
  <si>
    <t>S010121: Gap Error</t>
  </si>
  <si>
    <t>S010121: No Destination Received</t>
  </si>
  <si>
    <t>S010122: Success</t>
  </si>
  <si>
    <t>S010122: Lane Full</t>
  </si>
  <si>
    <t>S010122: Lane Non-Operational</t>
  </si>
  <si>
    <t>S010122: Throughput Limit</t>
  </si>
  <si>
    <t>S010122: Failed to Divert</t>
  </si>
  <si>
    <t>S010122: Tracking Error</t>
  </si>
  <si>
    <t>S010122: Gap Error</t>
  </si>
  <si>
    <t>S010122: No Destination Received</t>
  </si>
  <si>
    <t>S010123: Success</t>
  </si>
  <si>
    <t>S010123: Lane Full</t>
  </si>
  <si>
    <t>S010123: Lane Non-Operational</t>
  </si>
  <si>
    <t>S010123: Throughput Limit</t>
  </si>
  <si>
    <t>S010123: Failed to Divert</t>
  </si>
  <si>
    <t>S010123: Tracking Error</t>
  </si>
  <si>
    <t>S010123: Gap Error</t>
  </si>
  <si>
    <t>S010123: No Destination Received</t>
  </si>
  <si>
    <t>S010124: Success</t>
  </si>
  <si>
    <t>S010124: Lane Full</t>
  </si>
  <si>
    <t>S010124: Lane Non-Operational</t>
  </si>
  <si>
    <t>S010124: Throughput Limit</t>
  </si>
  <si>
    <t>S010124: Failed to Divert</t>
  </si>
  <si>
    <t>S010124: Tracking Error</t>
  </si>
  <si>
    <t>S010124: Gap Error</t>
  </si>
  <si>
    <t>S010124: No Destination Received</t>
  </si>
  <si>
    <t>S010125: Success</t>
  </si>
  <si>
    <t>S010125: Lane Full</t>
  </si>
  <si>
    <t>S010125: Lane Non-Operational</t>
  </si>
  <si>
    <t>S010125: Throughput Limit</t>
  </si>
  <si>
    <t>S010125: Failed to Divert</t>
  </si>
  <si>
    <t>S010125: Tracking Error</t>
  </si>
  <si>
    <t>S010125: Gap Error</t>
  </si>
  <si>
    <t>S010125: No Destination Received</t>
  </si>
  <si>
    <t>S010126: Success</t>
  </si>
  <si>
    <t>S010126: Lane Full</t>
  </si>
  <si>
    <t>S010126: Lane Non-Operational</t>
  </si>
  <si>
    <t>S010126: Throughput Limit</t>
  </si>
  <si>
    <t>S010126: Failed to Divert</t>
  </si>
  <si>
    <t>S010126: Tracking Error</t>
  </si>
  <si>
    <t>S010126: Gap Error</t>
  </si>
  <si>
    <t>S010126: No Destination Received</t>
  </si>
  <si>
    <t>S010127: Success</t>
  </si>
  <si>
    <t>S010128: Success</t>
  </si>
  <si>
    <t>S010129: Success</t>
  </si>
  <si>
    <t>S010129: Lane Full</t>
  </si>
  <si>
    <t>S010129: Lane Non-Operational</t>
  </si>
  <si>
    <t>S010129: Throughput Limit</t>
  </si>
  <si>
    <t>S010129: Failed to Divert</t>
  </si>
  <si>
    <t>S010129: Tracking Error</t>
  </si>
  <si>
    <t>S010129: Gap Error</t>
  </si>
  <si>
    <t>S010129: No Destination Received</t>
  </si>
  <si>
    <t>S010130: Success</t>
  </si>
  <si>
    <t>S010130: Lane Full</t>
  </si>
  <si>
    <t>S010130: Lane Non-Operational</t>
  </si>
  <si>
    <t>S010130: Throughput Limit</t>
  </si>
  <si>
    <t>S010130: Failed to Divert</t>
  </si>
  <si>
    <t>S010130: Tracking Error</t>
  </si>
  <si>
    <t>S010130: Gap Error</t>
  </si>
  <si>
    <t>S010130: No Destination Received</t>
  </si>
  <si>
    <t>S010131: Success</t>
  </si>
  <si>
    <t>S010132: Success</t>
  </si>
  <si>
    <t>S010133: Success</t>
  </si>
  <si>
    <t>S010134: Success</t>
  </si>
  <si>
    <t>S010134: Lane Full</t>
  </si>
  <si>
    <t>S010134: Lane Non-Operational</t>
  </si>
  <si>
    <t>S010134: Throughput Limit</t>
  </si>
  <si>
    <t>S010134: Failed to Divert</t>
  </si>
  <si>
    <t>S010134: Tracking Error</t>
  </si>
  <si>
    <t>S010134: Gap Error</t>
  </si>
  <si>
    <t>S010134: No Destination Received</t>
  </si>
  <si>
    <t>S010201: Success</t>
  </si>
  <si>
    <t>S010203: Success</t>
  </si>
  <si>
    <t>S010203: Lane Full</t>
  </si>
  <si>
    <t>S010203: Lane Non-Operational</t>
  </si>
  <si>
    <t>S010203: Throughput Limit</t>
  </si>
  <si>
    <t>S010203: Failed to Divert</t>
  </si>
  <si>
    <t>S010203: Tracking Error</t>
  </si>
  <si>
    <t>S010203: Gap Error</t>
  </si>
  <si>
    <t>S010203: No Destination Received</t>
  </si>
  <si>
    <t>S010204: Success</t>
  </si>
  <si>
    <t>S010204: Lane Full</t>
  </si>
  <si>
    <t>S010204: Lane Non-Operational</t>
  </si>
  <si>
    <t>S010204: Throughput Limit</t>
  </si>
  <si>
    <t>S010204: Failed to Divert</t>
  </si>
  <si>
    <t>S010204: Tracking Error</t>
  </si>
  <si>
    <t>S010204: Gap Error</t>
  </si>
  <si>
    <t>S010204: No Destination Received</t>
  </si>
  <si>
    <t>S010205: Success</t>
  </si>
  <si>
    <t>S010205: Lane Full</t>
  </si>
  <si>
    <t>S010205: Lane Non-Operational</t>
  </si>
  <si>
    <t>S010205: Throughput Limit</t>
  </si>
  <si>
    <t>S010205: Failed to Divert</t>
  </si>
  <si>
    <t>S010205: Tracking Error</t>
  </si>
  <si>
    <t>S010205: Gap Error</t>
  </si>
  <si>
    <t>S010205: No Destination Received</t>
  </si>
  <si>
    <t>S010206: Success</t>
  </si>
  <si>
    <t>S010206: Lane Full</t>
  </si>
  <si>
    <t>S010206: Lane Non-Operational</t>
  </si>
  <si>
    <t>S010206: Throughput Limit</t>
  </si>
  <si>
    <t>S010206: Failed to Divert</t>
  </si>
  <si>
    <t>S010206: Tracking Error</t>
  </si>
  <si>
    <t>S010206: Gap Error</t>
  </si>
  <si>
    <t>S010206: No Destination Received</t>
  </si>
  <si>
    <t>S010207: Success</t>
  </si>
  <si>
    <t>S010207: Lane Full</t>
  </si>
  <si>
    <t>S010207: Lane Non-Operational</t>
  </si>
  <si>
    <t>S010207: Throughput Limit</t>
  </si>
  <si>
    <t>S010207: Failed to Divert</t>
  </si>
  <si>
    <t>S010207: Tracking Error</t>
  </si>
  <si>
    <t>S010207: Gap Error</t>
  </si>
  <si>
    <t>S010207: No Destination Received</t>
  </si>
  <si>
    <t>S010208: Success</t>
  </si>
  <si>
    <t>S010208: Lane Full</t>
  </si>
  <si>
    <t>S010208: Lane Non-Operational</t>
  </si>
  <si>
    <t>S010208: Throughput Limit</t>
  </si>
  <si>
    <t>S010208: Failed to Divert</t>
  </si>
  <si>
    <t>S010208: Tracking Error</t>
  </si>
  <si>
    <t>S010208: Gap Error</t>
  </si>
  <si>
    <t>S010208: No Destination Received</t>
  </si>
  <si>
    <t>S010209: Success</t>
  </si>
  <si>
    <t>S010209: Lane Full</t>
  </si>
  <si>
    <t>S010209: Lane Non-Operational</t>
  </si>
  <si>
    <t>S010209: Throughput Limit</t>
  </si>
  <si>
    <t>S010209: Failed to Divert</t>
  </si>
  <si>
    <t>S010209: Tracking Error</t>
  </si>
  <si>
    <t>S010209: Gap Error</t>
  </si>
  <si>
    <t>S010209: No Destination Received</t>
  </si>
  <si>
    <t>S010210: Success</t>
  </si>
  <si>
    <t>S010210: Lane Full</t>
  </si>
  <si>
    <t>S010210: Lane Non-Operational</t>
  </si>
  <si>
    <t>S010210: Throughput Limit</t>
  </si>
  <si>
    <t>S010210: Failed to Divert</t>
  </si>
  <si>
    <t>S010210: Tracking Error</t>
  </si>
  <si>
    <t>S010210: Gap Error</t>
  </si>
  <si>
    <t>S010210: No Destination Received</t>
  </si>
  <si>
    <t>S010211: Success</t>
  </si>
  <si>
    <t>S010211: Lane Full</t>
  </si>
  <si>
    <t>S010211: Lane Non-Operational</t>
  </si>
  <si>
    <t>S010211: Throughput Limit</t>
  </si>
  <si>
    <t>S010211: Failed to Divert</t>
  </si>
  <si>
    <t>S010211: Tracking Error</t>
  </si>
  <si>
    <t>S010211: Gap Error</t>
  </si>
  <si>
    <t>S010211: No Destination Received</t>
  </si>
  <si>
    <t>S010212: Success</t>
  </si>
  <si>
    <t>S010213: Success</t>
  </si>
  <si>
    <t>S010213: Lane Full</t>
  </si>
  <si>
    <t>S010213: Lane Non-Operational</t>
  </si>
  <si>
    <t>S010213: Throughput Limit</t>
  </si>
  <si>
    <t>S010213: Failed to Divert</t>
  </si>
  <si>
    <t>S010213: Tracking Error</t>
  </si>
  <si>
    <t>S010213: Gap Error</t>
  </si>
  <si>
    <t>S010213: No Destination Received</t>
  </si>
  <si>
    <t>S010214: Success</t>
  </si>
  <si>
    <t>S010214: Lane Full</t>
  </si>
  <si>
    <t>S010214: Lane Non-Operational</t>
  </si>
  <si>
    <t>S010214: Throughput Limit</t>
  </si>
  <si>
    <t>S010214: Failed to Divert</t>
  </si>
  <si>
    <t>S010214: Tracking Error</t>
  </si>
  <si>
    <t>S010214: Gap Error</t>
  </si>
  <si>
    <t>S010214: No Destination Received</t>
  </si>
  <si>
    <t>S010215: Success</t>
  </si>
  <si>
    <t>S010216: Success</t>
  </si>
  <si>
    <t>S010216: Lane Full</t>
  </si>
  <si>
    <t>S010216: Lane Non-Operational</t>
  </si>
  <si>
    <t>S010216: Throughput Limit</t>
  </si>
  <si>
    <t>S010216: Failed to Divert</t>
  </si>
  <si>
    <t>S010216: Tracking Error</t>
  </si>
  <si>
    <t>S010216: Gap Error</t>
  </si>
  <si>
    <t>S010216: No Destination Received</t>
  </si>
  <si>
    <t>S010217: Success</t>
  </si>
  <si>
    <t>S010219: Success</t>
  </si>
  <si>
    <t>S010221: Success</t>
  </si>
  <si>
    <t>S010222: Success</t>
  </si>
  <si>
    <t>S010222: Lane Full</t>
  </si>
  <si>
    <t>S010222: Lane Non-Operational</t>
  </si>
  <si>
    <t>S010222: Throughput Limit</t>
  </si>
  <si>
    <t>S010222: Failed to Divert</t>
  </si>
  <si>
    <t>S010222: Tracking Error</t>
  </si>
  <si>
    <t>S010222: Gap Error</t>
  </si>
  <si>
    <t>S010222: No Destination Received</t>
  </si>
  <si>
    <t>S010223: Success</t>
  </si>
  <si>
    <t>S010224: Success</t>
  </si>
  <si>
    <t>S010224: Lane Full</t>
  </si>
  <si>
    <t>S010224: Lane Non-Operational</t>
  </si>
  <si>
    <t>S010224: Throughput Limit</t>
  </si>
  <si>
    <t>S010224: Failed to Divert</t>
  </si>
  <si>
    <t>S010224: Tracking Error</t>
  </si>
  <si>
    <t>S010224: Gap Error</t>
  </si>
  <si>
    <t>S010224: No Destination Received</t>
  </si>
  <si>
    <t>S010301: Success</t>
  </si>
  <si>
    <t>S010303: Success</t>
  </si>
  <si>
    <t>S010304: Success</t>
  </si>
  <si>
    <t>S010304: Lane Full</t>
  </si>
  <si>
    <t>S010304: Lane Non-Operational</t>
  </si>
  <si>
    <t>S010304: Throughput Limit</t>
  </si>
  <si>
    <t>S010304: Failed to Divert</t>
  </si>
  <si>
    <t>S010304: Tracking Error</t>
  </si>
  <si>
    <t>S010304: Gap Error</t>
  </si>
  <si>
    <t>S010304: No Destination Received</t>
  </si>
  <si>
    <t>S010305: Success</t>
  </si>
  <si>
    <t>S010306: Success</t>
  </si>
  <si>
    <t>S010306: Lane Full</t>
  </si>
  <si>
    <t>S010306: Lane Non-Operational</t>
  </si>
  <si>
    <t>S010306: Throughput Limit</t>
  </si>
  <si>
    <t>S010306: Failed to Divert</t>
  </si>
  <si>
    <t>S010306: Tracking Error</t>
  </si>
  <si>
    <t>S010306: Gap Error</t>
  </si>
  <si>
    <t>S010306: No Destination Received</t>
  </si>
  <si>
    <t>S010307: Success</t>
  </si>
  <si>
    <t>S010308: Success</t>
  </si>
  <si>
    <t>S010308: Lane Full</t>
  </si>
  <si>
    <t>S010308: Lane Non-Operational</t>
  </si>
  <si>
    <t>S010308: Throughput Limit</t>
  </si>
  <si>
    <t>S010308: Failed to Divert</t>
  </si>
  <si>
    <t>S010308: Tracking Error</t>
  </si>
  <si>
    <t>S010308: Gap Error</t>
  </si>
  <si>
    <t>S010308: No Destination Received</t>
  </si>
  <si>
    <t>S010309: Success</t>
  </si>
  <si>
    <t>S010310: Success</t>
  </si>
  <si>
    <t>S010311: Success</t>
  </si>
  <si>
    <t>S010312: Success</t>
  </si>
  <si>
    <t>S010312: Lane Full</t>
  </si>
  <si>
    <t>S010312: Lane Non-Operational</t>
  </si>
  <si>
    <t>S010312: Throughput Limit</t>
  </si>
  <si>
    <t>S010312: Failed to Divert</t>
  </si>
  <si>
    <t>S010312: Tracking Error</t>
  </si>
  <si>
    <t>S010312: Gap Error</t>
  </si>
  <si>
    <t>S010312: No Destination Received</t>
  </si>
  <si>
    <t>S010313: Success</t>
  </si>
  <si>
    <t>S010314: Success</t>
  </si>
  <si>
    <t>S010314: Lane Full</t>
  </si>
  <si>
    <t>S010314: Lane Non-Operational</t>
  </si>
  <si>
    <t>S010314: Throughput Limit</t>
  </si>
  <si>
    <t>S010314: Failed to Divert</t>
  </si>
  <si>
    <t>S010314: Tracking Error</t>
  </si>
  <si>
    <t>S010314: Gap Error</t>
  </si>
  <si>
    <t>S010314: No Destination Received</t>
  </si>
  <si>
    <t>S010315: Success</t>
  </si>
  <si>
    <t>S010317: Success</t>
  </si>
  <si>
    <t>S010318: Success</t>
  </si>
  <si>
    <t>S010318: Lane Full</t>
  </si>
  <si>
    <t>S010318: Lane Non-Operational</t>
  </si>
  <si>
    <t>S010318: Throughput Limit</t>
  </si>
  <si>
    <t>S010318: Failed to Divert</t>
  </si>
  <si>
    <t>S010318: Tracking Error</t>
  </si>
  <si>
    <t>S010318: Gap Error</t>
  </si>
  <si>
    <t>S010318: No Destination Received</t>
  </si>
  <si>
    <t>S010319: Success</t>
  </si>
  <si>
    <t>S010320: Success</t>
  </si>
  <si>
    <t>S010321: Success</t>
  </si>
  <si>
    <t>S010322: Success</t>
  </si>
  <si>
    <t>S010323: Success</t>
  </si>
  <si>
    <t>S010323: Lane Full</t>
  </si>
  <si>
    <t>S010323: Lane Non-Operational</t>
  </si>
  <si>
    <t>S010323: Throughput Limit</t>
  </si>
  <si>
    <t>S010323: Failed to Divert</t>
  </si>
  <si>
    <t>S010323: Tracking Error</t>
  </si>
  <si>
    <t>S010323: Gap Error</t>
  </si>
  <si>
    <t>S010323: No Destination Received</t>
  </si>
  <si>
    <t>S010325: Success</t>
  </si>
  <si>
    <t>S010325: Lane Full</t>
  </si>
  <si>
    <t>S010325: Lane Non-Operational</t>
  </si>
  <si>
    <t>S010325: Throughput Limit</t>
  </si>
  <si>
    <t>S010325: Failed to Divert</t>
  </si>
  <si>
    <t>S010325: Tracking Error</t>
  </si>
  <si>
    <t>S010325: Gap Error</t>
  </si>
  <si>
    <t>S010325: No Destination Received</t>
  </si>
  <si>
    <t>S010326: Success</t>
  </si>
  <si>
    <t>S010326: Lane Full</t>
  </si>
  <si>
    <t>S010326: Lane Non-Operational</t>
  </si>
  <si>
    <t>S010326: Throughput Limit</t>
  </si>
  <si>
    <t>S010326: Failed to Divert</t>
  </si>
  <si>
    <t>S010326: Tracking Error</t>
  </si>
  <si>
    <t>S010326: Gap Error</t>
  </si>
  <si>
    <t>S010326: No Destination Received</t>
  </si>
  <si>
    <t>S010327: Success</t>
  </si>
  <si>
    <t>S010327: Lane Full</t>
  </si>
  <si>
    <t>S010327: Lane Non-Operational</t>
  </si>
  <si>
    <t>S010327: Throughput Limit</t>
  </si>
  <si>
    <t>S010327: Failed to Divert</t>
  </si>
  <si>
    <t>S010327: Tracking Error</t>
  </si>
  <si>
    <t>S010327: Gap Error</t>
  </si>
  <si>
    <t>S010327: No Destination Received</t>
  </si>
  <si>
    <t>S010328: Success</t>
  </si>
  <si>
    <t>S010329: Success</t>
  </si>
  <si>
    <t>S010329: Lane Full</t>
  </si>
  <si>
    <t>S010329: Lane Non-Operational</t>
  </si>
  <si>
    <t>S010329: Throughput Limit</t>
  </si>
  <si>
    <t>S010329: Failed to Divert</t>
  </si>
  <si>
    <t>S010329: Tracking Error</t>
  </si>
  <si>
    <t>S010329: Gap Error</t>
  </si>
  <si>
    <t>S010329: No Destination Received</t>
  </si>
  <si>
    <t>S010341: Success</t>
  </si>
  <si>
    <t>S010341: Lane Full</t>
  </si>
  <si>
    <t>S010341: Lane Non-Operational</t>
  </si>
  <si>
    <t>S010341: Throughput Limit</t>
  </si>
  <si>
    <t>S010341: Failed to Divert</t>
  </si>
  <si>
    <t>S010341: Tracking Error</t>
  </si>
  <si>
    <t>S010341: Gap Error</t>
  </si>
  <si>
    <t>S010341: No Destination Received</t>
  </si>
  <si>
    <t>S010401: Success</t>
  </si>
  <si>
    <t>S010411: Success</t>
  </si>
  <si>
    <t>S010411: Lane Full</t>
  </si>
  <si>
    <t>S010411: Lane Non-Operational</t>
  </si>
  <si>
    <t>S010411: Throughput Limit</t>
  </si>
  <si>
    <t>S010411: Failed to Divert</t>
  </si>
  <si>
    <t>S010411: Tracking Error</t>
  </si>
  <si>
    <t>S010411: Gap Error</t>
  </si>
  <si>
    <t>S010411: No Destination Received</t>
  </si>
  <si>
    <t>S010413: Success</t>
  </si>
  <si>
    <t>S010413: Lane Full</t>
  </si>
  <si>
    <t>S010413: Lane Non-Operational</t>
  </si>
  <si>
    <t>S010413: Throughput Limit</t>
  </si>
  <si>
    <t>S010413: Failed to Divert</t>
  </si>
  <si>
    <t>S010413: Tracking Error</t>
  </si>
  <si>
    <t>S010413: Gap Error</t>
  </si>
  <si>
    <t>S010413: No Destination Received</t>
  </si>
  <si>
    <t>S010415: Success</t>
  </si>
  <si>
    <t>S010415: Lane Full</t>
  </si>
  <si>
    <t>S010415: Lane Non-Operational</t>
  </si>
  <si>
    <t>S010415: Throughput Limit</t>
  </si>
  <si>
    <t>S010415: Failed to Divert</t>
  </si>
  <si>
    <t>S010415: Tracking Error</t>
  </si>
  <si>
    <t>S010415: Gap Error</t>
  </si>
  <si>
    <t>S010415: No Destination Received</t>
  </si>
  <si>
    <t>S010417: Success</t>
  </si>
  <si>
    <t>S010417: Lane Full</t>
  </si>
  <si>
    <t>S010417: Lane Non-Operational</t>
  </si>
  <si>
    <t>S010417: Throughput Limit</t>
  </si>
  <si>
    <t>S010417: Failed to Divert</t>
  </si>
  <si>
    <t>S010417: Tracking Error</t>
  </si>
  <si>
    <t>S010417: Gap Error</t>
  </si>
  <si>
    <t>S010417: No Destination Received</t>
  </si>
  <si>
    <t>S010419: Success</t>
  </si>
  <si>
    <t>S010419: Lane Full</t>
  </si>
  <si>
    <t>S010419: Lane Non-Operational</t>
  </si>
  <si>
    <t>S010419: Throughput Limit</t>
  </si>
  <si>
    <t>S010419: Failed to Divert</t>
  </si>
  <si>
    <t>S010419: Tracking Error</t>
  </si>
  <si>
    <t>S010419: Gap Error</t>
  </si>
  <si>
    <t>S010419: No Destination Received</t>
  </si>
  <si>
    <t>S010421: Success</t>
  </si>
  <si>
    <t>S010421: Lane Full</t>
  </si>
  <si>
    <t>S010421: Lane Non-Operational</t>
  </si>
  <si>
    <t>S010421: Throughput Limit</t>
  </si>
  <si>
    <t>S010421: Failed to Divert</t>
  </si>
  <si>
    <t>S010421: Tracking Error</t>
  </si>
  <si>
    <t>S010421: Gap Error</t>
  </si>
  <si>
    <t>S010421: No Destination Received</t>
  </si>
  <si>
    <t>S010423: Success</t>
  </si>
  <si>
    <t>S010423: Lane Full</t>
  </si>
  <si>
    <t>S010423: Lane Non-Operational</t>
  </si>
  <si>
    <t>S010423: Throughput Limit</t>
  </si>
  <si>
    <t>S010423: Failed to Divert</t>
  </si>
  <si>
    <t>S010423: Tracking Error</t>
  </si>
  <si>
    <t>S010423: Gap Error</t>
  </si>
  <si>
    <t>S010423: No Destination Received</t>
  </si>
  <si>
    <t>S010425: Success</t>
  </si>
  <si>
    <t>S010427: Success</t>
  </si>
  <si>
    <t>S010427: Lane Full</t>
  </si>
  <si>
    <t>S010427: Lane Non-Operational</t>
  </si>
  <si>
    <t>S010427: Throughput Limit</t>
  </si>
  <si>
    <t>S010427: Failed to Divert</t>
  </si>
  <si>
    <t>S010427: Tracking Error</t>
  </si>
  <si>
    <t>S010427: Gap Error</t>
  </si>
  <si>
    <t>S010427: No Destination Received</t>
  </si>
  <si>
    <t>S010429: Success</t>
  </si>
  <si>
    <t>S010429: Lane Full</t>
  </si>
  <si>
    <t>S010429: Lane Non-Operational</t>
  </si>
  <si>
    <t>S010429: Throughput Limit</t>
  </si>
  <si>
    <t>S010429: Failed to Divert</t>
  </si>
  <si>
    <t>S010429: Tracking Error</t>
  </si>
  <si>
    <t>S010429: Gap Error</t>
  </si>
  <si>
    <t>S010429: No Destination Received</t>
  </si>
  <si>
    <t>S010502: Success</t>
  </si>
  <si>
    <t>S010504: Success</t>
  </si>
  <si>
    <t>S010504: Lane Full</t>
  </si>
  <si>
    <t>S010504: Lane Non-Operational</t>
  </si>
  <si>
    <t>S010504: Throughput Limit</t>
  </si>
  <si>
    <t>S010504: Failed to Divert</t>
  </si>
  <si>
    <t>S010504: Tracking Error</t>
  </si>
  <si>
    <t>S010504: Gap Error</t>
  </si>
  <si>
    <t>S010504: No Destination Received</t>
  </si>
  <si>
    <t>S010506: Success</t>
  </si>
  <si>
    <t>S010508: Success</t>
  </si>
  <si>
    <t>S010508: Lane Full</t>
  </si>
  <si>
    <t>S010508: Lane Non-Operational</t>
  </si>
  <si>
    <t>S010508: Throughput Limit</t>
  </si>
  <si>
    <t>S010508: Failed to Divert</t>
  </si>
  <si>
    <t>S010508: Tracking Error</t>
  </si>
  <si>
    <t>S010508: Gap Error</t>
  </si>
  <si>
    <t>S010508: No Destination Received</t>
  </si>
  <si>
    <t>S010510: Success</t>
  </si>
  <si>
    <t>S010510: Lane Full</t>
  </si>
  <si>
    <t>S010510: Lane Non-Operational</t>
  </si>
  <si>
    <t>S010510: Throughput Limit</t>
  </si>
  <si>
    <t>S010510: Failed to Divert</t>
  </si>
  <si>
    <t>S010510: Tracking Error</t>
  </si>
  <si>
    <t>S010510: Gap Error</t>
  </si>
  <si>
    <t>S010510: No Destination Received</t>
  </si>
  <si>
    <t>S010512: Success</t>
  </si>
  <si>
    <t>S010512: Lane Full</t>
  </si>
  <si>
    <t>S010512: Lane Non-Operational</t>
  </si>
  <si>
    <t>S010512: Throughput Limit</t>
  </si>
  <si>
    <t>S010512: Failed to Divert</t>
  </si>
  <si>
    <t>S010512: Tracking Error</t>
  </si>
  <si>
    <t>S010512: Gap Error</t>
  </si>
  <si>
    <t>S010512: No Destination Received</t>
  </si>
  <si>
    <t>S010514: Success</t>
  </si>
  <si>
    <t>S010514: Lane Full</t>
  </si>
  <si>
    <t>S010514: Lane Non-Operational</t>
  </si>
  <si>
    <t>S010514: Throughput Limit</t>
  </si>
  <si>
    <t>S010514: Failed to Divert</t>
  </si>
  <si>
    <t>S010514: Tracking Error</t>
  </si>
  <si>
    <t>S010514: Gap Error</t>
  </si>
  <si>
    <t>S010514: No Destination Received</t>
  </si>
  <si>
    <t>S010518: Success</t>
  </si>
  <si>
    <t>S010518: Lane Full</t>
  </si>
  <si>
    <t>S010518: Lane Non-Operational</t>
  </si>
  <si>
    <t>S010518: Throughput Limit</t>
  </si>
  <si>
    <t>S010518: Failed to Divert</t>
  </si>
  <si>
    <t>S010518: Tracking Error</t>
  </si>
  <si>
    <t>S010518: Gap Error</t>
  </si>
  <si>
    <t>S010518: No Destination Received</t>
  </si>
  <si>
    <t>S010520: Success</t>
  </si>
  <si>
    <t>S010520: Lane Full</t>
  </si>
  <si>
    <t>S010520: Lane Non-Operational</t>
  </si>
  <si>
    <t>S010520: Throughput Limit</t>
  </si>
  <si>
    <t>S010520: Failed to Divert</t>
  </si>
  <si>
    <t>S010520: Tracking Error</t>
  </si>
  <si>
    <t>S010520: Gap Error</t>
  </si>
  <si>
    <t>S010520: No Destination Received</t>
  </si>
  <si>
    <t>S010532: Success</t>
  </si>
  <si>
    <t>S010533: Success</t>
  </si>
  <si>
    <t>S010533: Lane Full</t>
  </si>
  <si>
    <t>S010533: Lane Non-Operational</t>
  </si>
  <si>
    <t>S010533: Throughput Limit</t>
  </si>
  <si>
    <t>S010533: Failed to Divert</t>
  </si>
  <si>
    <t>S010533: Tracking Error</t>
  </si>
  <si>
    <t>S010533: Gap Error</t>
  </si>
  <si>
    <t>S010533: No Destination Received</t>
  </si>
  <si>
    <t>S010538: Success</t>
  </si>
  <si>
    <t>S010538: Lane Full</t>
  </si>
  <si>
    <t>S010538: Lane Non-Operational</t>
  </si>
  <si>
    <t>S010538: Throughput Limit</t>
  </si>
  <si>
    <t>S010538: Failed to Divert</t>
  </si>
  <si>
    <t>S010538: Tracking Error</t>
  </si>
  <si>
    <t>S010538: Gap Error</t>
  </si>
  <si>
    <t>S010538: No Destination Received</t>
  </si>
  <si>
    <t>S010539: Success</t>
  </si>
  <si>
    <t>S010539: Lane Full</t>
  </si>
  <si>
    <t>S010539: Lane Non-Operational</t>
  </si>
  <si>
    <t>S010539: Throughput Limit</t>
  </si>
  <si>
    <t>S010539: Failed to Divert</t>
  </si>
  <si>
    <t>S010539: Tracking Error</t>
  </si>
  <si>
    <t>S010539: Gap Error</t>
  </si>
  <si>
    <t>S010539: No Destination Received</t>
  </si>
  <si>
    <t>S010540: Success</t>
  </si>
  <si>
    <t>S010540: Lane Full</t>
  </si>
  <si>
    <t>S010540: Lane Non-Operational</t>
  </si>
  <si>
    <t>S010540: Throughput Limit</t>
  </si>
  <si>
    <t>S010540: Failed to Divert</t>
  </si>
  <si>
    <t>S010540: Tracking Error</t>
  </si>
  <si>
    <t>S010540: Gap Error</t>
  </si>
  <si>
    <t>S010540: No Destination Received</t>
  </si>
  <si>
    <t>S010542: Success</t>
  </si>
  <si>
    <t>S010542: Lane Full</t>
  </si>
  <si>
    <t>S010542: Lane Non-Operational</t>
  </si>
  <si>
    <t>S010542: Throughput Limit</t>
  </si>
  <si>
    <t>S010542: Failed to Divert</t>
  </si>
  <si>
    <t>S010542: Tracking Error</t>
  </si>
  <si>
    <t>S010542: Gap Error</t>
  </si>
  <si>
    <t>S010542: No Destination Received</t>
  </si>
  <si>
    <t>S010543: Success</t>
  </si>
  <si>
    <t>S010543: Lane Full</t>
  </si>
  <si>
    <t>S010543: Lane Non-Operational</t>
  </si>
  <si>
    <t>S010543: Throughput Limit</t>
  </si>
  <si>
    <t>S010543: Failed to Divert</t>
  </si>
  <si>
    <t>S010543: Tracking Error</t>
  </si>
  <si>
    <t>S010543: Gap Error</t>
  </si>
  <si>
    <t>S010543: No Destination Received</t>
  </si>
  <si>
    <t>S010544: Success</t>
  </si>
  <si>
    <t>S010544: Lane Full</t>
  </si>
  <si>
    <t>S010544: Lane Non-Operational</t>
  </si>
  <si>
    <t>S010544: Throughput Limit</t>
  </si>
  <si>
    <t>S010544: Failed to Divert</t>
  </si>
  <si>
    <t>S010544: Tracking Error</t>
  </si>
  <si>
    <t>S010544: Gap Error</t>
  </si>
  <si>
    <t>S010544: No Destination Received</t>
  </si>
  <si>
    <t>S010546: Success</t>
  </si>
  <si>
    <t>S010547: Success</t>
  </si>
  <si>
    <t>S010547: Lane Full</t>
  </si>
  <si>
    <t>S010547: Lane Non-Operational</t>
  </si>
  <si>
    <t>S010547: Throughput Limit</t>
  </si>
  <si>
    <t>S010547: Failed to Divert</t>
  </si>
  <si>
    <t>S010547: Tracking Error</t>
  </si>
  <si>
    <t>S010547: Gap Error</t>
  </si>
  <si>
    <t>S010547: No Destination Received</t>
  </si>
  <si>
    <t>S010548: Success</t>
  </si>
  <si>
    <t>S010548: Lane Full</t>
  </si>
  <si>
    <t>S010548: Lane Non-Operational</t>
  </si>
  <si>
    <t>S010548: Throughput Limit</t>
  </si>
  <si>
    <t>S010548: Failed to Divert</t>
  </si>
  <si>
    <t>S010548: Tracking Error</t>
  </si>
  <si>
    <t>S010548: Gap Error</t>
  </si>
  <si>
    <t>S010548: No Destination Received</t>
  </si>
  <si>
    <t>S010550: Success</t>
  </si>
  <si>
    <t>S010550: Lane Full</t>
  </si>
  <si>
    <t>S010550: Lane Non-Operational</t>
  </si>
  <si>
    <t>S010550: Throughput Limit</t>
  </si>
  <si>
    <t>S010550: Failed to Divert</t>
  </si>
  <si>
    <t>S010550: Tracking Error</t>
  </si>
  <si>
    <t>S010550: Gap Error</t>
  </si>
  <si>
    <t>S010550: No Destination Received</t>
  </si>
  <si>
    <t>S010551: Success</t>
  </si>
  <si>
    <t>S010551: Lane Full</t>
  </si>
  <si>
    <t>S010551: Lane Non-Operational</t>
  </si>
  <si>
    <t>S010551: Throughput Limit</t>
  </si>
  <si>
    <t>S010551: Failed to Divert</t>
  </si>
  <si>
    <t>S010551: Tracking Error</t>
  </si>
  <si>
    <t>S010551: Gap Error</t>
  </si>
  <si>
    <t>S010551: No Destination Received</t>
  </si>
  <si>
    <t>S010552: Success</t>
  </si>
  <si>
    <t>S010552: Lane Full</t>
  </si>
  <si>
    <t>S010552: Lane Non-Operational</t>
  </si>
  <si>
    <t>S010552: Throughput Limit</t>
  </si>
  <si>
    <t>S010552: Failed to Divert</t>
  </si>
  <si>
    <t>S010552: Tracking Error</t>
  </si>
  <si>
    <t>S010552: Gap Error</t>
  </si>
  <si>
    <t>S010552: No Destination Received</t>
  </si>
  <si>
    <t>S010601: Success</t>
  </si>
  <si>
    <t>S010601: Lane Full</t>
  </si>
  <si>
    <t>S010601: Lane Non-Operational</t>
  </si>
  <si>
    <t>S010601: Throughput Limit</t>
  </si>
  <si>
    <t>S010601: Failed to Divert</t>
  </si>
  <si>
    <t>S010601: Tracking Error</t>
  </si>
  <si>
    <t>S010601: Gap Error</t>
  </si>
  <si>
    <t>S010601: No Destination Received</t>
  </si>
  <si>
    <t>S010602: Success</t>
  </si>
  <si>
    <t>S010602: Lane Full</t>
  </si>
  <si>
    <t>S010602: Lane Non-Operational</t>
  </si>
  <si>
    <t>S010602: Throughput Limit</t>
  </si>
  <si>
    <t>S010602: Failed to Divert</t>
  </si>
  <si>
    <t>S010602: Tracking Error</t>
  </si>
  <si>
    <t>S010602: Gap Error</t>
  </si>
  <si>
    <t>S010602: No Destination Received</t>
  </si>
  <si>
    <t>S010603: Success</t>
  </si>
  <si>
    <t>S010604: Success</t>
  </si>
  <si>
    <t>S010604: Lane Full</t>
  </si>
  <si>
    <t>S010604: Lane Non-Operational</t>
  </si>
  <si>
    <t>S010604: Throughput Limit</t>
  </si>
  <si>
    <t>S010604: Failed to Divert</t>
  </si>
  <si>
    <t>S010604: Tracking Error</t>
  </si>
  <si>
    <t>S010604: Gap Error</t>
  </si>
  <si>
    <t>S010604: No Destination Received</t>
  </si>
  <si>
    <t>S010605: Success</t>
  </si>
  <si>
    <t>S010605: Lane Full</t>
  </si>
  <si>
    <t>S010605: Lane Non-Operational</t>
  </si>
  <si>
    <t>S010605: Throughput Limit</t>
  </si>
  <si>
    <t>S010605: Failed to Divert</t>
  </si>
  <si>
    <t>S010605: Tracking Error</t>
  </si>
  <si>
    <t>S010605: Gap Error</t>
  </si>
  <si>
    <t>S010605: No Destination Received</t>
  </si>
  <si>
    <t>S010606: Success</t>
  </si>
  <si>
    <t>S010606: Lane Full</t>
  </si>
  <si>
    <t>S010606: Lane Non-Operational</t>
  </si>
  <si>
    <t>S010606: Throughput Limit</t>
  </si>
  <si>
    <t>S010606: Failed to Divert</t>
  </si>
  <si>
    <t>S010606: Tracking Error</t>
  </si>
  <si>
    <t>S010606: Gap Error</t>
  </si>
  <si>
    <t>S010606: No Destination Received</t>
  </si>
  <si>
    <t>S010608: Success</t>
  </si>
  <si>
    <t>S010608: Lane Full</t>
  </si>
  <si>
    <t>S010608: Lane Non-Operational</t>
  </si>
  <si>
    <t>S010608: Throughput Limit</t>
  </si>
  <si>
    <t>S010608: Failed to Divert</t>
  </si>
  <si>
    <t>S010608: Tracking Error</t>
  </si>
  <si>
    <t>S010608: Gap Error</t>
  </si>
  <si>
    <t>S010608: No Destination Received</t>
  </si>
  <si>
    <t>S010609: Success</t>
  </si>
  <si>
    <t>S010611: Success</t>
  </si>
  <si>
    <t>S010612: Success</t>
  </si>
  <si>
    <t>S010613: Success</t>
  </si>
  <si>
    <t>S010613: Lane Full</t>
  </si>
  <si>
    <t>S010613: Lane Non-Operational</t>
  </si>
  <si>
    <t>S010613: Throughput Limit</t>
  </si>
  <si>
    <t>S010613: Failed to Divert</t>
  </si>
  <si>
    <t>S010613: Tracking Error</t>
  </si>
  <si>
    <t>S010613: Gap Error</t>
  </si>
  <si>
    <t>S010613: No Destination Received</t>
  </si>
  <si>
    <t>S010614: Success</t>
  </si>
  <si>
    <t>S010616: Success</t>
  </si>
  <si>
    <t>S010617: Success</t>
  </si>
  <si>
    <t>S010617: Lane Full</t>
  </si>
  <si>
    <t>S010617: Lane Non-Operational</t>
  </si>
  <si>
    <t>S010617: Throughput Limit</t>
  </si>
  <si>
    <t>S010617: Failed to Divert</t>
  </si>
  <si>
    <t>S010617: Tracking Error</t>
  </si>
  <si>
    <t>S010617: Gap Error</t>
  </si>
  <si>
    <t>S010617: No Destination Received</t>
  </si>
  <si>
    <t>S010618: Success</t>
  </si>
  <si>
    <t>S010619: Success</t>
  </si>
  <si>
    <t>S010619: Lane Full</t>
  </si>
  <si>
    <t>S010619: Lane Non-Operational</t>
  </si>
  <si>
    <t>S010619: Throughput Limit</t>
  </si>
  <si>
    <t>S010619: Failed to Divert</t>
  </si>
  <si>
    <t>S010619: Tracking Error</t>
  </si>
  <si>
    <t>S010619: Gap Error</t>
  </si>
  <si>
    <t>S010619: No Destination Received</t>
  </si>
  <si>
    <t>S010620: Success</t>
  </si>
  <si>
    <t>S010621: Success</t>
  </si>
  <si>
    <t>S010621: Lane Full</t>
  </si>
  <si>
    <t>S010621: Lane Non-Operational</t>
  </si>
  <si>
    <t>S010621: Throughput Limit</t>
  </si>
  <si>
    <t>S010621: Failed to Divert</t>
  </si>
  <si>
    <t>S010621: Tracking Error</t>
  </si>
  <si>
    <t>S010621: Gap Error</t>
  </si>
  <si>
    <t>S010621: No Destination Received</t>
  </si>
  <si>
    <t>S010622: Success</t>
  </si>
  <si>
    <t>S010623: Success</t>
  </si>
  <si>
    <t>S010623: Lane Full</t>
  </si>
  <si>
    <t>S010623: Lane Non-Operational</t>
  </si>
  <si>
    <t>S010623: Throughput Limit</t>
  </si>
  <si>
    <t>S010623: Failed to Divert</t>
  </si>
  <si>
    <t>S010623: Tracking Error</t>
  </si>
  <si>
    <t>S010623: Gap Error</t>
  </si>
  <si>
    <t>S010623: No Destination Received</t>
  </si>
  <si>
    <t>S010624: Success</t>
  </si>
  <si>
    <t>S010625: Success</t>
  </si>
  <si>
    <t>S010625: Lane Full</t>
  </si>
  <si>
    <t>S010625: Lane Non-Operational</t>
  </si>
  <si>
    <t>S010625: Throughput Limit</t>
  </si>
  <si>
    <t>S010625: Failed to Divert</t>
  </si>
  <si>
    <t>S010625: Tracking Error</t>
  </si>
  <si>
    <t>S010625: Gap Error</t>
  </si>
  <si>
    <t>S010625: No Destination Received</t>
  </si>
  <si>
    <t>S010626: Success</t>
  </si>
  <si>
    <t>S010627: Success</t>
  </si>
  <si>
    <t>S010627: Lane Full</t>
  </si>
  <si>
    <t>S010627: Lane Non-Operational</t>
  </si>
  <si>
    <t>S010627: Throughput Limit</t>
  </si>
  <si>
    <t>S010627: Failed to Divert</t>
  </si>
  <si>
    <t>S010627: Tracking Error</t>
  </si>
  <si>
    <t>S010627: Gap Error</t>
  </si>
  <si>
    <t>S010627: No Destination Received</t>
  </si>
  <si>
    <t>S010630: Success</t>
  </si>
  <si>
    <t>S010701: Success</t>
  </si>
  <si>
    <t>S010701: Lane Full</t>
  </si>
  <si>
    <t>S010701: Lane Non-Operational</t>
  </si>
  <si>
    <t>S010701: Throughput Limit</t>
  </si>
  <si>
    <t>S010701: Failed to Divert</t>
  </si>
  <si>
    <t>S010701: Tracking Error</t>
  </si>
  <si>
    <t>S010701: Gap Error</t>
  </si>
  <si>
    <t>S010701: No Destination Received</t>
  </si>
  <si>
    <t>S010702: Success</t>
  </si>
  <si>
    <t>S010703: Success</t>
  </si>
  <si>
    <t>S010703: Lane Full</t>
  </si>
  <si>
    <t>S010703: Lane Non-Operational</t>
  </si>
  <si>
    <t>S010703: Throughput Limit</t>
  </si>
  <si>
    <t>S010703: Failed to Divert</t>
  </si>
  <si>
    <t>S010703: Tracking Error</t>
  </si>
  <si>
    <t>S010703: Gap Error</t>
  </si>
  <si>
    <t>S010703: No Destination Received</t>
  </si>
  <si>
    <t>S010704: Success</t>
  </si>
  <si>
    <t>S010705: Success</t>
  </si>
  <si>
    <t>S010705: Lane Full</t>
  </si>
  <si>
    <t>S010705: Lane Non-Operational</t>
  </si>
  <si>
    <t>S010705: Throughput Limit</t>
  </si>
  <si>
    <t>S010705: Failed to Divert</t>
  </si>
  <si>
    <t>S010705: Tracking Error</t>
  </si>
  <si>
    <t>S010705: Gap Error</t>
  </si>
  <si>
    <t>S010705: No Destination Received</t>
  </si>
  <si>
    <t>S010706: Success</t>
  </si>
  <si>
    <t>S010707: Success</t>
  </si>
  <si>
    <t>S010707: Lane Full</t>
  </si>
  <si>
    <t>S010707: Lane Non-Operational</t>
  </si>
  <si>
    <t>S010707: Throughput Limit</t>
  </si>
  <si>
    <t>S010707: Failed to Divert</t>
  </si>
  <si>
    <t>S010707: Tracking Error</t>
  </si>
  <si>
    <t>S010707: Gap Error</t>
  </si>
  <si>
    <t>S010707: No Destination Received</t>
  </si>
  <si>
    <t>S010708: Success</t>
  </si>
  <si>
    <t>S010709: Success</t>
  </si>
  <si>
    <t>S010709: Lane Full</t>
  </si>
  <si>
    <t>S010709: Lane Non-Operational</t>
  </si>
  <si>
    <t>S010709: Throughput Limit</t>
  </si>
  <si>
    <t>S010709: Failed to Divert</t>
  </si>
  <si>
    <t>S010709: Tracking Error</t>
  </si>
  <si>
    <t>S010709: Gap Error</t>
  </si>
  <si>
    <t>S010709: No Destination Received</t>
  </si>
  <si>
    <t>S010710: Success</t>
  </si>
  <si>
    <t>S010711: Success</t>
  </si>
  <si>
    <t>S010711: Lane Full</t>
  </si>
  <si>
    <t>S010711: Lane Non-Operational</t>
  </si>
  <si>
    <t>S010711: Throughput Limit</t>
  </si>
  <si>
    <t>S010711: Failed to Divert</t>
  </si>
  <si>
    <t>S010711: Tracking Error</t>
  </si>
  <si>
    <t>S010711: Gap Error</t>
  </si>
  <si>
    <t>S010711: No Destination Received</t>
  </si>
  <si>
    <t>S010712: Success</t>
  </si>
  <si>
    <t>S010713: Success</t>
  </si>
  <si>
    <t>S010714: Success</t>
  </si>
  <si>
    <t>S010714: Lane Full</t>
  </si>
  <si>
    <t>S010714: Lane Non-Operational</t>
  </si>
  <si>
    <t>S010714: Throughput Limit</t>
  </si>
  <si>
    <t>S010714: Failed to Divert</t>
  </si>
  <si>
    <t>S010714: Tracking Error</t>
  </si>
  <si>
    <t>S010714: Gap Error</t>
  </si>
  <si>
    <t>S010714: No Destination Received</t>
  </si>
  <si>
    <t>S010715: Success</t>
  </si>
  <si>
    <t>S010715: Lane Full</t>
  </si>
  <si>
    <t>S010715: Lane Non-Operational</t>
  </si>
  <si>
    <t>S010715: Throughput Limit</t>
  </si>
  <si>
    <t>S010715: Failed to Divert</t>
  </si>
  <si>
    <t>S010715: Tracking Error</t>
  </si>
  <si>
    <t>S010715: Gap Error</t>
  </si>
  <si>
    <t>S010715: No Destination Received</t>
  </si>
  <si>
    <t>S010716: Success</t>
  </si>
  <si>
    <t>S010716: Lane Full</t>
  </si>
  <si>
    <t>S010716: Lane Non-Operational</t>
  </si>
  <si>
    <t>S010716: Throughput Limit</t>
  </si>
  <si>
    <t>S010716: Failed to Divert</t>
  </si>
  <si>
    <t>S010716: Tracking Error</t>
  </si>
  <si>
    <t>S010716: Gap Error</t>
  </si>
  <si>
    <t>S010716: No Destination Received</t>
  </si>
  <si>
    <t>S010717: Success</t>
  </si>
  <si>
    <t>S010717: Lane Full</t>
  </si>
  <si>
    <t>S010717: Lane Non-Operational</t>
  </si>
  <si>
    <t>S010717: Throughput Limit</t>
  </si>
  <si>
    <t>S010717: Failed to Divert</t>
  </si>
  <si>
    <t>S010717: Tracking Error</t>
  </si>
  <si>
    <t>S010717: Gap Error</t>
  </si>
  <si>
    <t>S010717: No Destination Received</t>
  </si>
  <si>
    <t>S010718: Success</t>
  </si>
  <si>
    <t>S010718: Lane Full</t>
  </si>
  <si>
    <t>S010718: Lane Non-Operational</t>
  </si>
  <si>
    <t>S010718: Throughput Limit</t>
  </si>
  <si>
    <t>S010718: Failed to Divert</t>
  </si>
  <si>
    <t>S010718: Tracking Error</t>
  </si>
  <si>
    <t>S010718: Gap Error</t>
  </si>
  <si>
    <t>S010718: No Destination Received</t>
  </si>
  <si>
    <t>S010719: Success</t>
  </si>
  <si>
    <t>S010719: Lane Full</t>
  </si>
  <si>
    <t>S010719: Lane Non-Operational</t>
  </si>
  <si>
    <t>S010719: Throughput Limit</t>
  </si>
  <si>
    <t>S010719: Failed to Divert</t>
  </si>
  <si>
    <t>S010719: Tracking Error</t>
  </si>
  <si>
    <t>S010719: Gap Error</t>
  </si>
  <si>
    <t>S010719: No Destination Received</t>
  </si>
  <si>
    <t>S010720: Success</t>
  </si>
  <si>
    <t>S010720: Lane Full</t>
  </si>
  <si>
    <t>S010720: Lane Non-Operational</t>
  </si>
  <si>
    <t>S010720: Throughput Limit</t>
  </si>
  <si>
    <t>S010720: Failed to Divert</t>
  </si>
  <si>
    <t>S010720: Tracking Error</t>
  </si>
  <si>
    <t>S010720: Gap Error</t>
  </si>
  <si>
    <t>S010720: No Destination Received</t>
  </si>
  <si>
    <t>S010721: Success</t>
  </si>
  <si>
    <t>S010721: Lane Full</t>
  </si>
  <si>
    <t>S010721: Lane Non-Operational</t>
  </si>
  <si>
    <t>S010721: Throughput Limit</t>
  </si>
  <si>
    <t>S010721: Failed to Divert</t>
  </si>
  <si>
    <t>S010721: Tracking Error</t>
  </si>
  <si>
    <t>S010721: Gap Error</t>
  </si>
  <si>
    <t>S010721: No Destination Received</t>
  </si>
  <si>
    <t>S010722: Success</t>
  </si>
  <si>
    <t>S010722: Lane Full</t>
  </si>
  <si>
    <t>S010722: Lane Non-Operational</t>
  </si>
  <si>
    <t>S010722: Throughput Limit</t>
  </si>
  <si>
    <t>S010722: Failed to Divert</t>
  </si>
  <si>
    <t>S010722: Tracking Error</t>
  </si>
  <si>
    <t>S010722: Gap Error</t>
  </si>
  <si>
    <t>S010722: No Destination Received</t>
  </si>
  <si>
    <t>S010723: Success</t>
  </si>
  <si>
    <t>S010723: Lane Full</t>
  </si>
  <si>
    <t>S010723: Lane Non-Operational</t>
  </si>
  <si>
    <t>S010723: Throughput Limit</t>
  </si>
  <si>
    <t>S010723: Failed to Divert</t>
  </si>
  <si>
    <t>S010723: Tracking Error</t>
  </si>
  <si>
    <t>S010723: Gap Error</t>
  </si>
  <si>
    <t>S010723: No Destination Received</t>
  </si>
  <si>
    <t>S010724: Success</t>
  </si>
  <si>
    <t>S010725: Success</t>
  </si>
  <si>
    <t>S010725: Lane Full</t>
  </si>
  <si>
    <t>S010725: Lane Non-Operational</t>
  </si>
  <si>
    <t>S010725: Throughput Limit</t>
  </si>
  <si>
    <t>S010725: Failed to Divert</t>
  </si>
  <si>
    <t>S010725: Tracking Error</t>
  </si>
  <si>
    <t>S010725: Gap Error</t>
  </si>
  <si>
    <t>S010725: No Destination Received</t>
  </si>
  <si>
    <t>S010726: Success</t>
  </si>
  <si>
    <t>S010726: Lane Full</t>
  </si>
  <si>
    <t>S010726: Lane Non-Operational</t>
  </si>
  <si>
    <t>S010726: Throughput Limit</t>
  </si>
  <si>
    <t>S010726: Failed to Divert</t>
  </si>
  <si>
    <t>S010726: Tracking Error</t>
  </si>
  <si>
    <t>S010726: Gap Error</t>
  </si>
  <si>
    <t>S010726: No Destination Received</t>
  </si>
  <si>
    <t>S010803: Success</t>
  </si>
  <si>
    <t>S010803: Lane Full</t>
  </si>
  <si>
    <t>S010803: Lane Non-Operational</t>
  </si>
  <si>
    <t>S010803: Throughput Limit</t>
  </si>
  <si>
    <t>S010803: Failed to Divert</t>
  </si>
  <si>
    <t>S010803: Tracking Error</t>
  </si>
  <si>
    <t>S010803: Gap Error</t>
  </si>
  <si>
    <t>S010803: No Destination Received</t>
  </si>
  <si>
    <t>S010804: Success</t>
  </si>
  <si>
    <t>S010804: Lane Full</t>
  </si>
  <si>
    <t>S010804: Lane Non-Operational</t>
  </si>
  <si>
    <t>S010804: Throughput Limit</t>
  </si>
  <si>
    <t>S010804: Failed to Divert</t>
  </si>
  <si>
    <t>S010804: Tracking Error</t>
  </si>
  <si>
    <t>S010804: Gap Error</t>
  </si>
  <si>
    <t>S010804: No Destination Received</t>
  </si>
  <si>
    <t>S010809: Success</t>
  </si>
  <si>
    <t>S010809: Lane Full</t>
  </si>
  <si>
    <t>S010809: Lane Non-Operational</t>
  </si>
  <si>
    <t>S010809: Throughput Limit</t>
  </si>
  <si>
    <t>S010809: Failed to Divert</t>
  </si>
  <si>
    <t>S010809: Tracking Error</t>
  </si>
  <si>
    <t>S010809: Gap Error</t>
  </si>
  <si>
    <t>S010809: No Destination Received</t>
  </si>
  <si>
    <t>S010810: Success</t>
  </si>
  <si>
    <t>S010810: Lane Full</t>
  </si>
  <si>
    <t>S010810: Lane Non-Operational</t>
  </si>
  <si>
    <t>S010810: Throughput Limit</t>
  </si>
  <si>
    <t>S010810: Failed to Divert</t>
  </si>
  <si>
    <t>S010810: Tracking Error</t>
  </si>
  <si>
    <t>S010810: Gap Error</t>
  </si>
  <si>
    <t>S010810: No Destination Received</t>
  </si>
  <si>
    <t>S010815: Success</t>
  </si>
  <si>
    <t>S010816: Success</t>
  </si>
  <si>
    <t>S010816: Lane Full</t>
  </si>
  <si>
    <t>S010816: Lane Non-Operational</t>
  </si>
  <si>
    <t>S010816: Throughput Limit</t>
  </si>
  <si>
    <t>S010816: Failed to Divert</t>
  </si>
  <si>
    <t>S010816: Tracking Error</t>
  </si>
  <si>
    <t>S010816: Gap Error</t>
  </si>
  <si>
    <t>S010816: No Destination Received</t>
  </si>
  <si>
    <t>S010821: Success</t>
  </si>
  <si>
    <t>S010822: Success</t>
  </si>
  <si>
    <t>S010822: Lane Full</t>
  </si>
  <si>
    <t>S010822: Lane Non-Operational</t>
  </si>
  <si>
    <t>S010822: Throughput Limit</t>
  </si>
  <si>
    <t>S010822: Failed to Divert</t>
  </si>
  <si>
    <t>S010822: Tracking Error</t>
  </si>
  <si>
    <t>S010822: Gap Error</t>
  </si>
  <si>
    <t>S010822: No Destination Received</t>
  </si>
  <si>
    <t>S010831: Success</t>
  </si>
  <si>
    <t>S010833: Success</t>
  </si>
  <si>
    <t>S010834: Success</t>
  </si>
  <si>
    <t>S010837: Success</t>
  </si>
  <si>
    <t>S010840: Success</t>
  </si>
  <si>
    <t>S010852: Success</t>
  </si>
  <si>
    <t>S010855: Success</t>
  </si>
  <si>
    <t>S010858: Success</t>
  </si>
  <si>
    <t>S010861: Success</t>
  </si>
  <si>
    <t>S010864: Success</t>
  </si>
  <si>
    <t>S010873: Success</t>
  </si>
  <si>
    <t>S010876: Success</t>
  </si>
  <si>
    <t>S010879: Success</t>
  </si>
  <si>
    <t>S010882: Success</t>
  </si>
  <si>
    <t>S010885: Success</t>
  </si>
  <si>
    <t>S010888: Success</t>
  </si>
  <si>
    <t>S010891: Success</t>
  </si>
  <si>
    <t>S010894: Success</t>
  </si>
  <si>
    <t>S010903: Success</t>
  </si>
  <si>
    <t>S010906: Success</t>
  </si>
  <si>
    <t>S010909: Success</t>
  </si>
  <si>
    <t>S010912: Success</t>
  </si>
  <si>
    <t>S010915: Success</t>
  </si>
  <si>
    <t>S010918: Success</t>
  </si>
  <si>
    <t>S010942: Success</t>
  </si>
  <si>
    <t>S010942: Lane Full</t>
  </si>
  <si>
    <t>S010942: Lane Non-Operational</t>
  </si>
  <si>
    <t>S010942: Throughput Limit</t>
  </si>
  <si>
    <t>S010942: Failed to Divert</t>
  </si>
  <si>
    <t>S010942: Tracking Error</t>
  </si>
  <si>
    <t>S010942: Gap Error</t>
  </si>
  <si>
    <t>S010942: No Destination Received</t>
  </si>
  <si>
    <t>S011002: Success</t>
  </si>
  <si>
    <t>S011005: Success</t>
  </si>
  <si>
    <t>S011011: Success</t>
  </si>
  <si>
    <t>S011017: Success</t>
  </si>
  <si>
    <t>S011020: Success</t>
  </si>
  <si>
    <t>S011023: Success</t>
  </si>
  <si>
    <t>S011026: Success</t>
  </si>
  <si>
    <t>S011029: Success</t>
  </si>
  <si>
    <t>S011032: Success</t>
  </si>
  <si>
    <t>S011035: Success</t>
  </si>
  <si>
    <t>S011038: Success</t>
  </si>
  <si>
    <t>S011044: Success</t>
  </si>
  <si>
    <t>S011050: Success</t>
  </si>
  <si>
    <t>S011056: Success</t>
  </si>
  <si>
    <t>S011062: Success</t>
  </si>
  <si>
    <t>S011103: Success</t>
  </si>
  <si>
    <t>S011103: Lane Full</t>
  </si>
  <si>
    <t>S011103: Lane Non-Operational</t>
  </si>
  <si>
    <t>S011103: Throughput Limit</t>
  </si>
  <si>
    <t>S011103: Failed to Divert</t>
  </si>
  <si>
    <t>S011103: Tracking Error</t>
  </si>
  <si>
    <t>S011103: Gap Error</t>
  </si>
  <si>
    <t>S011103: No Destination Received</t>
  </si>
  <si>
    <t>S011110: Success</t>
  </si>
  <si>
    <t>S011116: Success</t>
  </si>
  <si>
    <t>S011122: Success</t>
  </si>
  <si>
    <t>S011128: Success</t>
  </si>
  <si>
    <t>S011134: Success</t>
  </si>
  <si>
    <t>S011140: Success</t>
  </si>
  <si>
    <t>S011146: Success</t>
  </si>
  <si>
    <t>S011152: Success</t>
  </si>
  <si>
    <t>S011158: Success</t>
  </si>
  <si>
    <t>S011164: Success</t>
  </si>
  <si>
    <t>S011188: Success</t>
  </si>
  <si>
    <t>S011194: Success</t>
  </si>
  <si>
    <t>S011200: Success</t>
  </si>
  <si>
    <t>S011206: Success</t>
  </si>
  <si>
    <t>S011212: Success</t>
  </si>
  <si>
    <t>S011224: Success</t>
  </si>
  <si>
    <t>S011229: Success</t>
  </si>
  <si>
    <t>S011229: Lane Full</t>
  </si>
  <si>
    <t>S011229: Lane Non-Operational</t>
  </si>
  <si>
    <t>S011229: Throughput Limit</t>
  </si>
  <si>
    <t>S011229: Failed to Divert</t>
  </si>
  <si>
    <t>S011229: Tracking Error</t>
  </si>
  <si>
    <t>S011229: Gap Error</t>
  </si>
  <si>
    <t>S011229: No Destination Received</t>
  </si>
  <si>
    <t>S011230: Success</t>
  </si>
  <si>
    <t>S011235: Success</t>
  </si>
  <si>
    <t>S011236: Success</t>
  </si>
  <si>
    <t>S011241: Success</t>
  </si>
  <si>
    <t>S011247: Success</t>
  </si>
  <si>
    <t>S011248: Success</t>
  </si>
  <si>
    <t>S011253: Success</t>
  </si>
  <si>
    <t>S011254: Success</t>
  </si>
  <si>
    <t>S011259: Success</t>
  </si>
  <si>
    <t>S011259: Lane Full</t>
  </si>
  <si>
    <t>S011259: Lane Non-Operational</t>
  </si>
  <si>
    <t>S011259: Throughput Limit</t>
  </si>
  <si>
    <t>S011259: Failed to Divert</t>
  </si>
  <si>
    <t>S011259: Tracking Error</t>
  </si>
  <si>
    <t>S011259: Gap Error</t>
  </si>
  <si>
    <t>S011259: No Destination Received</t>
  </si>
  <si>
    <t>S011260: Success</t>
  </si>
  <si>
    <t>S011266: Success</t>
  </si>
  <si>
    <t>S011283: Success</t>
  </si>
  <si>
    <t>S011284: Success</t>
  </si>
  <si>
    <t>S011284: Lane Full</t>
  </si>
  <si>
    <t>S011284: Lane Non-Operational</t>
  </si>
  <si>
    <t>S011284: Throughput Limit</t>
  </si>
  <si>
    <t>S011284: Failed to Divert</t>
  </si>
  <si>
    <t>S011284: Tracking Error</t>
  </si>
  <si>
    <t>S011284: Gap Error</t>
  </si>
  <si>
    <t>S011284: No Destination Received</t>
  </si>
  <si>
    <t>S011289: Success</t>
  </si>
  <si>
    <t>S011295: Success</t>
  </si>
  <si>
    <t>S011296: Success</t>
  </si>
  <si>
    <t>S011296: Lane Full</t>
  </si>
  <si>
    <t>S011296: Lane Non-Operational</t>
  </si>
  <si>
    <t>S011296: Throughput Limit</t>
  </si>
  <si>
    <t>S011296: Failed to Divert</t>
  </si>
  <si>
    <t>S011296: Tracking Error</t>
  </si>
  <si>
    <t>S011296: Gap Error</t>
  </si>
  <si>
    <t>S011296: No Destination Received</t>
  </si>
  <si>
    <t>S011301: Success</t>
  </si>
  <si>
    <t>S011302: Success</t>
  </si>
  <si>
    <t>S011308: Success</t>
  </si>
  <si>
    <t>S011314: Success</t>
  </si>
  <si>
    <t>S011320: Success</t>
  </si>
  <si>
    <t>S011320: Lane Full</t>
  </si>
  <si>
    <t>S011320: Lane Non-Operational</t>
  </si>
  <si>
    <t>S011320: Throughput Limit</t>
  </si>
  <si>
    <t>S011320: Failed to Divert</t>
  </si>
  <si>
    <t>S011320: Tracking Error</t>
  </si>
  <si>
    <t>S011320: Gap Error</t>
  </si>
  <si>
    <t>S011320: No Destination Received</t>
  </si>
  <si>
    <t>S011326: Success</t>
  </si>
  <si>
    <t>S011326: Lane Full</t>
  </si>
  <si>
    <t>S011326: Lane Non-Operational</t>
  </si>
  <si>
    <t>S011326: Throughput Limit</t>
  </si>
  <si>
    <t>S011326: Failed to Divert</t>
  </si>
  <si>
    <t>S011326: Tracking Error</t>
  </si>
  <si>
    <t>S011326: Gap Error</t>
  </si>
  <si>
    <t>S011326: No Destination Received</t>
  </si>
  <si>
    <t>Fluid Load Volume</t>
  </si>
  <si>
    <t>Palletize Volume</t>
  </si>
  <si>
    <t>Per Diverts in AWCS</t>
  </si>
  <si>
    <t>Flats Volume</t>
  </si>
  <si>
    <t>nodeId</t>
  </si>
  <si>
    <t>sorterId</t>
  </si>
  <si>
    <t>chuteId</t>
  </si>
  <si>
    <t>resourceLabel</t>
  </si>
  <si>
    <t>action</t>
  </si>
  <si>
    <t>NO_CHANGE</t>
  </si>
  <si>
    <t>FR-0626</t>
  </si>
  <si>
    <t>FR-0628</t>
  </si>
  <si>
    <t>FR-1103</t>
  </si>
  <si>
    <t>FR-1109</t>
  </si>
  <si>
    <t>FR-1115</t>
  </si>
  <si>
    <t>FR-1121</t>
  </si>
  <si>
    <t>FR-1127</t>
  </si>
  <si>
    <t>FR-1133</t>
  </si>
  <si>
    <t>FR-1139</t>
  </si>
  <si>
    <t>FR-1145</t>
  </si>
  <si>
    <t>FR-1151</t>
  </si>
  <si>
    <t>FR-1157</t>
  </si>
  <si>
    <t>FR-1163</t>
  </si>
  <si>
    <t>FR-1169</t>
  </si>
  <si>
    <t>FR-1175</t>
  </si>
  <si>
    <t>FR-1181</t>
  </si>
  <si>
    <t>FR-1187</t>
  </si>
  <si>
    <t>FR-1193</t>
  </si>
  <si>
    <t>FR-1199</t>
  </si>
  <si>
    <t>FR-1205</t>
  </si>
  <si>
    <t>FR-1211</t>
  </si>
  <si>
    <t>FR-1217</t>
  </si>
  <si>
    <t>FR-1223</t>
  </si>
  <si>
    <t>FR-1229</t>
  </si>
  <si>
    <t>FR-1235</t>
  </si>
  <si>
    <t>FR-1241</t>
  </si>
  <si>
    <t>FR-1247</t>
  </si>
  <si>
    <t>FR-1253</t>
  </si>
  <si>
    <t>FR-1259</t>
  </si>
  <si>
    <t>FR-1265</t>
  </si>
  <si>
    <t>FR-1284</t>
  </si>
  <si>
    <t>FR-1290</t>
  </si>
  <si>
    <t>FR-1296</t>
  </si>
  <si>
    <t>FR-1302</t>
  </si>
  <si>
    <t>FR-1308</t>
  </si>
  <si>
    <t>FR-1314</t>
  </si>
  <si>
    <t>FR-1320</t>
  </si>
  <si>
    <t>FR-1326</t>
  </si>
  <si>
    <t>SR-0218-A</t>
  </si>
  <si>
    <t>S010801: Success</t>
  </si>
  <si>
    <t>S010805: Success</t>
  </si>
  <si>
    <t>S010802: Success</t>
  </si>
  <si>
    <t>S010806: Success</t>
  </si>
  <si>
    <t>S010807: Success</t>
  </si>
  <si>
    <t>S010811: Success</t>
  </si>
  <si>
    <t>S010808: Success</t>
  </si>
  <si>
    <t>S010812: Success</t>
  </si>
  <si>
    <t>S010813: Success</t>
  </si>
  <si>
    <t>S010817: Success</t>
  </si>
  <si>
    <t>S010814: Success</t>
  </si>
  <si>
    <t>S010818: Success</t>
  </si>
  <si>
    <t>S010819: Success</t>
  </si>
  <si>
    <t>S010823: Success</t>
  </si>
  <si>
    <t>S010820: Success</t>
  </si>
  <si>
    <t>S010824: Success</t>
  </si>
  <si>
    <t>S010832: Success</t>
  </si>
  <si>
    <t>S010836: Success</t>
  </si>
  <si>
    <t>S010835: Success</t>
  </si>
  <si>
    <t>S010839: Success</t>
  </si>
  <si>
    <t>S010838: Success</t>
  </si>
  <si>
    <t>S010851: Success</t>
  </si>
  <si>
    <t>S010854: Success</t>
  </si>
  <si>
    <t>S010853: Success</t>
  </si>
  <si>
    <t>S010857: Success</t>
  </si>
  <si>
    <t>S010856: Success</t>
  </si>
  <si>
    <t>S010860: Success</t>
  </si>
  <si>
    <t>S010859: Success</t>
  </si>
  <si>
    <t>S010863: Success</t>
  </si>
  <si>
    <t>S010862: Success</t>
  </si>
  <si>
    <t>S010872: Success</t>
  </si>
  <si>
    <t>S010871: Success</t>
  </si>
  <si>
    <t>S010875: Success</t>
  </si>
  <si>
    <t>S010874: Success</t>
  </si>
  <si>
    <t>S010878: Success</t>
  </si>
  <si>
    <t>S010877: Success</t>
  </si>
  <si>
    <t>S010881: Success</t>
  </si>
  <si>
    <t>S010880: Success</t>
  </si>
  <si>
    <t>S010884: Success</t>
  </si>
  <si>
    <t>S010883: Success</t>
  </si>
  <si>
    <t>S010887: Success</t>
  </si>
  <si>
    <t>S010886: Success</t>
  </si>
  <si>
    <t>S010890: Success</t>
  </si>
  <si>
    <t>S010889: Success</t>
  </si>
  <si>
    <t>S010893: Success</t>
  </si>
  <si>
    <t>S010892: Success</t>
  </si>
  <si>
    <t>S010896: Success</t>
  </si>
  <si>
    <t>S010895: Success</t>
  </si>
  <si>
    <t>S010902: Success</t>
  </si>
  <si>
    <t>S010901: Success</t>
  </si>
  <si>
    <t>S010905: Success</t>
  </si>
  <si>
    <t>S010904: Success</t>
  </si>
  <si>
    <t>S010908: Success</t>
  </si>
  <si>
    <t>S010907: Success</t>
  </si>
  <si>
    <t>S010911: Success</t>
  </si>
  <si>
    <t>S010910: Success</t>
  </si>
  <si>
    <t>S010914: Success</t>
  </si>
  <si>
    <t>S010913: Success</t>
  </si>
  <si>
    <t>S010917: Success</t>
  </si>
  <si>
    <t>S010916: Success</t>
  </si>
  <si>
    <t>S010920: Success</t>
  </si>
  <si>
    <t>S010919: Success</t>
  </si>
  <si>
    <t>S011001: Success</t>
  </si>
  <si>
    <t>S011004: Success</t>
  </si>
  <si>
    <t>S011003: Success</t>
  </si>
  <si>
    <t>S011006: Success</t>
  </si>
  <si>
    <t>S011010: Success</t>
  </si>
  <si>
    <t>S011012: Success</t>
  </si>
  <si>
    <t>S011016: Success</t>
  </si>
  <si>
    <t>S011019: Success</t>
  </si>
  <si>
    <t>S011018: Success</t>
  </si>
  <si>
    <t>S011022: Success</t>
  </si>
  <si>
    <t>S011021: Success</t>
  </si>
  <si>
    <t>S011025: Success</t>
  </si>
  <si>
    <t>S011024: Success</t>
  </si>
  <si>
    <t>S011028: Success</t>
  </si>
  <si>
    <t>S011027: Success</t>
  </si>
  <si>
    <t>S011031: Success</t>
  </si>
  <si>
    <t>S011030: Success</t>
  </si>
  <si>
    <t>S011034: Success</t>
  </si>
  <si>
    <t>S011033: Success</t>
  </si>
  <si>
    <t>S011037: Success</t>
  </si>
  <si>
    <t>S011036: Success</t>
  </si>
  <si>
    <t>S011040: Success</t>
  </si>
  <si>
    <t>S011042: Success</t>
  </si>
  <si>
    <t>S011046: Success</t>
  </si>
  <si>
    <t>S011048: Success</t>
  </si>
  <si>
    <t>S011052: Success</t>
  </si>
  <si>
    <t>S011054: Success</t>
  </si>
  <si>
    <t>S011058: Success</t>
  </si>
  <si>
    <t>S011060: Success</t>
  </si>
  <si>
    <t>S011064: Success</t>
  </si>
  <si>
    <t>S011066: Success</t>
  </si>
  <si>
    <t>S011070: Success</t>
  </si>
  <si>
    <t>S011072: Success</t>
  </si>
  <si>
    <t>S011076: Success</t>
  </si>
  <si>
    <t>S011078: Success</t>
  </si>
  <si>
    <t>S011082: Success</t>
  </si>
  <si>
    <t>S011101: Success</t>
  </si>
  <si>
    <t>S011105: Success</t>
  </si>
  <si>
    <t>S011102: Success</t>
  </si>
  <si>
    <t>S011106: Success</t>
  </si>
  <si>
    <t>S011107: Success</t>
  </si>
  <si>
    <t>S011111: Success</t>
  </si>
  <si>
    <t>S011108: Success</t>
  </si>
  <si>
    <t>S011112: Success</t>
  </si>
  <si>
    <t>S011113: Success</t>
  </si>
  <si>
    <t>S011117: Success</t>
  </si>
  <si>
    <t>S011114: Success</t>
  </si>
  <si>
    <t>S011118: Success</t>
  </si>
  <si>
    <t>S011119: Success</t>
  </si>
  <si>
    <t>S011123: Success</t>
  </si>
  <si>
    <t>S011120: Success</t>
  </si>
  <si>
    <t>S011124: Success</t>
  </si>
  <si>
    <t>S011125: Success</t>
  </si>
  <si>
    <t>S011129: Success</t>
  </si>
  <si>
    <t>S011126: Success</t>
  </si>
  <si>
    <t>S011130: Success</t>
  </si>
  <si>
    <t>S011131: Success</t>
  </si>
  <si>
    <t>S011135: Success</t>
  </si>
  <si>
    <t>S011132: Success</t>
  </si>
  <si>
    <t>S011136: Success</t>
  </si>
  <si>
    <t>S011137: Success</t>
  </si>
  <si>
    <t>S011141: Success</t>
  </si>
  <si>
    <t>S011138: Success</t>
  </si>
  <si>
    <t>S011142: Success</t>
  </si>
  <si>
    <t>S011143: Success</t>
  </si>
  <si>
    <t>S011147: Success</t>
  </si>
  <si>
    <t>S011144: Success</t>
  </si>
  <si>
    <t>S011148: Success</t>
  </si>
  <si>
    <t>S011149: Success</t>
  </si>
  <si>
    <t>S011153: Success</t>
  </si>
  <si>
    <t>S011150: Success</t>
  </si>
  <si>
    <t>S011154: Success</t>
  </si>
  <si>
    <t>S011155: Success</t>
  </si>
  <si>
    <t>S011159: Success</t>
  </si>
  <si>
    <t>S011156: Success</t>
  </si>
  <si>
    <t>S011160: Success</t>
  </si>
  <si>
    <t>S011161: Success</t>
  </si>
  <si>
    <t>S011165: Success</t>
  </si>
  <si>
    <t>S011162: Success</t>
  </si>
  <si>
    <t>S011166: Success</t>
  </si>
  <si>
    <t>S011167: Success</t>
  </si>
  <si>
    <t>S011171: Success</t>
  </si>
  <si>
    <t>S011168: Success</t>
  </si>
  <si>
    <t>S011172: Success</t>
  </si>
  <si>
    <t>S011173: Success</t>
  </si>
  <si>
    <t>S011177: Success</t>
  </si>
  <si>
    <t>S011174: Success</t>
  </si>
  <si>
    <t>S011178: Success</t>
  </si>
  <si>
    <t>S011179: Success</t>
  </si>
  <si>
    <t>S011183: Success</t>
  </si>
  <si>
    <t>S011180: Success</t>
  </si>
  <si>
    <t>S011184: Success</t>
  </si>
  <si>
    <t>S011185: Success</t>
  </si>
  <si>
    <t>S011189: Success</t>
  </si>
  <si>
    <t>S011186: Success</t>
  </si>
  <si>
    <t>S011190: Success</t>
  </si>
  <si>
    <t>S011191: Success</t>
  </si>
  <si>
    <t>S011195: Success</t>
  </si>
  <si>
    <t>S011192: Success</t>
  </si>
  <si>
    <t>S011196: Success</t>
  </si>
  <si>
    <t>S011197: Success</t>
  </si>
  <si>
    <t>S011201: Success</t>
  </si>
  <si>
    <t>S011198: Success</t>
  </si>
  <si>
    <t>S011202: Success</t>
  </si>
  <si>
    <t>S011203: Success</t>
  </si>
  <si>
    <t>S011207: Success</t>
  </si>
  <si>
    <t>S011204: Success</t>
  </si>
  <si>
    <t>S011208: Success</t>
  </si>
  <si>
    <t>S011209: Success</t>
  </si>
  <si>
    <t>S011213: Success</t>
  </si>
  <si>
    <t>S011210: Success</t>
  </si>
  <si>
    <t>S011214: Success</t>
  </si>
  <si>
    <t>S011215: Success</t>
  </si>
  <si>
    <t>S011219: Success</t>
  </si>
  <si>
    <t>S011216: Success</t>
  </si>
  <si>
    <t>S011220: Success</t>
  </si>
  <si>
    <t>S011221: Success</t>
  </si>
  <si>
    <t>S011225: Success</t>
  </si>
  <si>
    <t>S011222: Success</t>
  </si>
  <si>
    <t>S011226: Success</t>
  </si>
  <si>
    <t>S011227: Success</t>
  </si>
  <si>
    <t>S011231: Success</t>
  </si>
  <si>
    <t>S011228: Success</t>
  </si>
  <si>
    <t>S011232: Success</t>
  </si>
  <si>
    <t>S011233: Success</t>
  </si>
  <si>
    <t>S011237: Success</t>
  </si>
  <si>
    <t>S011234: Success</t>
  </si>
  <si>
    <t>S011238: Success</t>
  </si>
  <si>
    <t>S011239: Success</t>
  </si>
  <si>
    <t>S011243: Success</t>
  </si>
  <si>
    <t>S011240: Success</t>
  </si>
  <si>
    <t>S011244: Success</t>
  </si>
  <si>
    <t>S011245: Success</t>
  </si>
  <si>
    <t>S011249: Success</t>
  </si>
  <si>
    <t>S011246: Success</t>
  </si>
  <si>
    <t>S011250: Success</t>
  </si>
  <si>
    <t>S011251: Success</t>
  </si>
  <si>
    <t>S011255: Success</t>
  </si>
  <si>
    <t>S011252: Success</t>
  </si>
  <si>
    <t>S011256: Success</t>
  </si>
  <si>
    <t>S011257: Success</t>
  </si>
  <si>
    <t>S011261: Success</t>
  </si>
  <si>
    <t>S011258: Success</t>
  </si>
  <si>
    <t>S011262: Success</t>
  </si>
  <si>
    <t>S011263: Success</t>
  </si>
  <si>
    <t>S011267: Success</t>
  </si>
  <si>
    <t>S011264: Success</t>
  </si>
  <si>
    <t>S011268: Success</t>
  </si>
  <si>
    <t>S011269: Success</t>
  </si>
  <si>
    <t>S011270: Success</t>
  </si>
  <si>
    <t>S011281: Success</t>
  </si>
  <si>
    <t>S011285: Success</t>
  </si>
  <si>
    <t>S011282: Success</t>
  </si>
  <si>
    <t>S011286: Success</t>
  </si>
  <si>
    <t>S011287: Success</t>
  </si>
  <si>
    <t>S011291: Success</t>
  </si>
  <si>
    <t>S011288: Success</t>
  </si>
  <si>
    <t>S011292: Success</t>
  </si>
  <si>
    <t>S011293: Success</t>
  </si>
  <si>
    <t>S011297: Success</t>
  </si>
  <si>
    <t>S011294: Success</t>
  </si>
  <si>
    <t>S011298: Success</t>
  </si>
  <si>
    <t>S011299: Success</t>
  </si>
  <si>
    <t>S011303: Success</t>
  </si>
  <si>
    <t>S011300: Success</t>
  </si>
  <si>
    <t>S011304: Success</t>
  </si>
  <si>
    <t>S011305: Success</t>
  </si>
  <si>
    <t>S011309: Success</t>
  </si>
  <si>
    <t>S011306: Success</t>
  </si>
  <si>
    <t>S011310: Success</t>
  </si>
  <si>
    <t>S011312: Success</t>
  </si>
  <si>
    <t>S011316: Success</t>
  </si>
  <si>
    <t>S011318: Success</t>
  </si>
  <si>
    <t>S011322: Success</t>
  </si>
  <si>
    <t>S011324: Success</t>
  </si>
  <si>
    <t>S011328: Success</t>
  </si>
  <si>
    <t>BR</t>
  </si>
  <si>
    <t>DD</t>
  </si>
  <si>
    <t>FR</t>
  </si>
  <si>
    <t>SR</t>
  </si>
  <si>
    <t>S010220: Success</t>
  </si>
  <si>
    <t>S010534: Success</t>
  </si>
  <si>
    <t>S010103: Success</t>
  </si>
  <si>
    <t>S010109: Success</t>
  </si>
  <si>
    <t>S010610: Success</t>
  </si>
  <si>
    <t>S010628: Success</t>
  </si>
  <si>
    <t>S011068: Success</t>
  </si>
  <si>
    <t>S011074: Success</t>
  </si>
  <si>
    <t>S011080: Success</t>
  </si>
  <si>
    <t>S011104: Success</t>
  </si>
  <si>
    <t>S011109: Success</t>
  </si>
  <si>
    <t>S011115: Success</t>
  </si>
  <si>
    <t>S011121: Success</t>
  </si>
  <si>
    <t>S011127: Success</t>
  </si>
  <si>
    <t>S011133: Success</t>
  </si>
  <si>
    <t>S011139: Success</t>
  </si>
  <si>
    <t>S011145: Success</t>
  </si>
  <si>
    <t>S011151: Success</t>
  </si>
  <si>
    <t>S011157: Success</t>
  </si>
  <si>
    <t>S011163: Success</t>
  </si>
  <si>
    <t>S011169: Success</t>
  </si>
  <si>
    <t>S011170: Success</t>
  </si>
  <si>
    <t>S011175: Success</t>
  </si>
  <si>
    <t>S011176: Success</t>
  </si>
  <si>
    <t>S011181: Success</t>
  </si>
  <si>
    <t>S011182: Success</t>
  </si>
  <si>
    <t>S011187: Success</t>
  </si>
  <si>
    <t>S011193: Success</t>
  </si>
  <si>
    <t>S011199: Success</t>
  </si>
  <si>
    <t>S011205: Success</t>
  </si>
  <si>
    <t>S011211: Success</t>
  </si>
  <si>
    <t>S011217: Success</t>
  </si>
  <si>
    <t>S011218: Success</t>
  </si>
  <si>
    <t>S011223: Success</t>
  </si>
  <si>
    <t>S011242: Success</t>
  </si>
  <si>
    <t>S011265: Success</t>
  </si>
  <si>
    <t>S011290: Success</t>
  </si>
  <si>
    <t>S011307: Success</t>
  </si>
  <si>
    <t>S010202: Success</t>
  </si>
  <si>
    <t>S010218: Success</t>
  </si>
  <si>
    <t>S010536: Success</t>
  </si>
  <si>
    <t>S010516: Success</t>
  </si>
  <si>
    <t>PSP1</t>
  </si>
  <si>
    <t>PSP1-ShippingSorter1</t>
  </si>
  <si>
    <t>SR-0001-A</t>
  </si>
  <si>
    <t>SR-0002-A</t>
  </si>
  <si>
    <t>SR-0003-A</t>
  </si>
  <si>
    <t>SR-0004-A</t>
  </si>
  <si>
    <t>SR-0005-A</t>
  </si>
  <si>
    <t>SR-0006-A</t>
  </si>
  <si>
    <t>SR-0007-A</t>
  </si>
  <si>
    <t>SR-0008-A</t>
  </si>
  <si>
    <t>SR-0009-A</t>
  </si>
  <si>
    <t>SR-0010-A</t>
  </si>
  <si>
    <t>SR-0011-A</t>
  </si>
  <si>
    <t>SR-0012-A</t>
  </si>
  <si>
    <t>SR-0013-A</t>
  </si>
  <si>
    <t>SR-0014-A</t>
  </si>
  <si>
    <t>SR-0015-A</t>
  </si>
  <si>
    <t>SR-0016-A</t>
  </si>
  <si>
    <t>SR-0017-A</t>
  </si>
  <si>
    <t>SR-0018-A</t>
  </si>
  <si>
    <t>SR-0019-A</t>
  </si>
  <si>
    <t>SR-0020-A</t>
  </si>
  <si>
    <t>SR-0031-A</t>
  </si>
  <si>
    <t>SR-0032-A</t>
  </si>
  <si>
    <t>SR-0033-A</t>
  </si>
  <si>
    <t>SR-0034-A</t>
  </si>
  <si>
    <t>SR-0035-A</t>
  </si>
  <si>
    <t>SR-0036-A</t>
  </si>
  <si>
    <t>SR-0037-A</t>
  </si>
  <si>
    <t>SR-0038-A</t>
  </si>
  <si>
    <t>SR-0039-A</t>
  </si>
  <si>
    <t>SR-0040-A</t>
  </si>
  <si>
    <t>SR-0041-A</t>
  </si>
  <si>
    <t>SR-0042-A</t>
  </si>
  <si>
    <t>SR-0043-A</t>
  </si>
  <si>
    <t>SR-0044-A</t>
  </si>
  <si>
    <t>SR-0045-A</t>
  </si>
  <si>
    <t>SR-0046-A</t>
  </si>
  <si>
    <t>SR-0047-A</t>
  </si>
  <si>
    <t>SR-0048-A</t>
  </si>
  <si>
    <t>SR-0049-A</t>
  </si>
  <si>
    <t>SR-0050-A</t>
  </si>
  <si>
    <t>SR-0051-A</t>
  </si>
  <si>
    <t>SR-0052-A</t>
  </si>
  <si>
    <t>SR-0053-A</t>
  </si>
  <si>
    <t>SR-0054-A</t>
  </si>
  <si>
    <t>SR-0055-A</t>
  </si>
  <si>
    <t>SR-0056-A</t>
  </si>
  <si>
    <t>SR-0061-A</t>
  </si>
  <si>
    <t>SR-0062-A</t>
  </si>
  <si>
    <t>SR-0063-A</t>
  </si>
  <si>
    <t>SR-0064-A</t>
  </si>
  <si>
    <t>SR-0065-A</t>
  </si>
  <si>
    <t>SR-0066-A</t>
  </si>
  <si>
    <t>SR-0067-A</t>
  </si>
  <si>
    <t>SR-0068-A</t>
  </si>
  <si>
    <t>SR-0069-A</t>
  </si>
  <si>
    <t>SR-0070-A</t>
  </si>
  <si>
    <t>SR-0071-A</t>
  </si>
  <si>
    <t>SR-0072-A</t>
  </si>
  <si>
    <t>SR-0073-A</t>
  </si>
  <si>
    <t>SR-0074-A</t>
  </si>
  <si>
    <t>SR-0081-A</t>
  </si>
  <si>
    <t>SR-0082-A</t>
  </si>
  <si>
    <t>SR-0083-A</t>
  </si>
  <si>
    <t>SR-0084-A</t>
  </si>
  <si>
    <t>SR-0085-A</t>
  </si>
  <si>
    <t>SR-0086-A</t>
  </si>
  <si>
    <t>SR-0087-A</t>
  </si>
  <si>
    <t>SR-0088-A</t>
  </si>
  <si>
    <t>SR-0089-A</t>
  </si>
  <si>
    <t>SR-0090-A</t>
  </si>
  <si>
    <t>SR-0101-A</t>
  </si>
  <si>
    <t>SR-0102-A</t>
  </si>
  <si>
    <t>SR-0103-A</t>
  </si>
  <si>
    <t>SR-0104-A</t>
  </si>
  <si>
    <t>SR-0105-A</t>
  </si>
  <si>
    <t>SR-0106-A</t>
  </si>
  <si>
    <t>SR-0107-A</t>
  </si>
  <si>
    <t>SR-0108-A</t>
  </si>
  <si>
    <t>SR-0109-A</t>
  </si>
  <si>
    <t>SR-0110-A</t>
  </si>
  <si>
    <t>SR-0111-A</t>
  </si>
  <si>
    <t>SR-0112-A</t>
  </si>
  <si>
    <t>SR-0113-A</t>
  </si>
  <si>
    <t>SR-0114-A</t>
  </si>
  <si>
    <t>SR-0115-A</t>
  </si>
  <si>
    <t>SR-0116-A</t>
  </si>
  <si>
    <t>SR-0117-A</t>
  </si>
  <si>
    <t>SR-0118-A</t>
  </si>
  <si>
    <t>SR-0119-A</t>
  </si>
  <si>
    <t>SR-0120-A</t>
  </si>
  <si>
    <t>SR-0121-A</t>
  </si>
  <si>
    <t>SR-0122-A</t>
  </si>
  <si>
    <t>SR-0123-A</t>
  </si>
  <si>
    <t>SR-0124-A</t>
  </si>
  <si>
    <t>SR-0125-A</t>
  </si>
  <si>
    <t>SR-0126-A</t>
  </si>
  <si>
    <t>SR-0127-A</t>
  </si>
  <si>
    <t>SR-0128-A</t>
  </si>
  <si>
    <t>SR-0129-A</t>
  </si>
  <si>
    <t>SR-0130-A</t>
  </si>
  <si>
    <t>SR-0131-A</t>
  </si>
  <si>
    <t>SR-0132-A</t>
  </si>
  <si>
    <t>SR-0133-A</t>
  </si>
  <si>
    <t>SR-0134-A</t>
  </si>
  <si>
    <t>SR-0141-A</t>
  </si>
  <si>
    <t>SR-0142-A</t>
  </si>
  <si>
    <t>SR-0143-A</t>
  </si>
  <si>
    <t>SR-0144-A</t>
  </si>
  <si>
    <t>SR-0145-A</t>
  </si>
  <si>
    <t>SR-0146-A</t>
  </si>
  <si>
    <t>SR-0147-A</t>
  </si>
  <si>
    <t>SR-0148-A</t>
  </si>
  <si>
    <t>SR-0149-A</t>
  </si>
  <si>
    <t>SR-0150-A</t>
  </si>
  <si>
    <t>SR-0151-A</t>
  </si>
  <si>
    <t>SR-0152-A</t>
  </si>
  <si>
    <t>SR-0153-A</t>
  </si>
  <si>
    <t>SR-0154-A</t>
  </si>
  <si>
    <t>SR-0155-A</t>
  </si>
  <si>
    <t>SR-0156-A</t>
  </si>
  <si>
    <t>SR-0157-A</t>
  </si>
  <si>
    <t>SR-0158-A</t>
  </si>
  <si>
    <t>SR-0159-A</t>
  </si>
  <si>
    <t>SR-0160-A</t>
  </si>
  <si>
    <t>SR-0161-A</t>
  </si>
  <si>
    <t>SR-0162-A</t>
  </si>
  <si>
    <t>SR-0163-A</t>
  </si>
  <si>
    <t>SR-0164-A</t>
  </si>
  <si>
    <t>SR-0165-A</t>
  </si>
  <si>
    <t>SR-0166-A</t>
  </si>
  <si>
    <t>SR-0167-A</t>
  </si>
  <si>
    <t>SR-0168-A</t>
  </si>
  <si>
    <t>SR-0171-A</t>
  </si>
  <si>
    <t>SR-0172-A</t>
  </si>
  <si>
    <t>SR-0173-A</t>
  </si>
  <si>
    <t>SR-0174-A</t>
  </si>
  <si>
    <t>SR-0175-A</t>
  </si>
  <si>
    <t>SR-0176-A</t>
  </si>
  <si>
    <t>SR-0177-A</t>
  </si>
  <si>
    <t>SR-0178-A</t>
  </si>
  <si>
    <t>SR-0179-A</t>
  </si>
  <si>
    <t>SR-0180-A</t>
  </si>
  <si>
    <t>SR-0181-A</t>
  </si>
  <si>
    <t>SR-0182-A</t>
  </si>
  <si>
    <t>SR-0183-A</t>
  </si>
  <si>
    <t>SR-0184-A</t>
  </si>
  <si>
    <t>SR-0185-A</t>
  </si>
  <si>
    <t>SR-0186-A</t>
  </si>
  <si>
    <t>SR-0187-A</t>
  </si>
  <si>
    <t>SR-0188-A</t>
  </si>
  <si>
    <t>SR-0189-A</t>
  </si>
  <si>
    <t>SR-0190-A</t>
  </si>
  <si>
    <t>SR-0191-A</t>
  </si>
  <si>
    <t>SR-0192-A</t>
  </si>
  <si>
    <t>SR-0193-A</t>
  </si>
  <si>
    <t>SR-0194-A</t>
  </si>
  <si>
    <t>SR-0195-A</t>
  </si>
  <si>
    <t>SR-0196-A</t>
  </si>
  <si>
    <t>SR-0197-A</t>
  </si>
  <si>
    <t>SR-0198-A</t>
  </si>
  <si>
    <t>SR-0199-A</t>
  </si>
  <si>
    <t>SR-0200-A</t>
  </si>
  <si>
    <t>SR-0201-A</t>
  </si>
  <si>
    <t>SR-0202-A</t>
  </si>
  <si>
    <t>SR-0203-A</t>
  </si>
  <si>
    <t>SR-0204-A</t>
  </si>
  <si>
    <t>SR-0205-A</t>
  </si>
  <si>
    <t>SR-0206-A</t>
  </si>
  <si>
    <t>SR-0207-A</t>
  </si>
  <si>
    <t>SR-0208-A</t>
  </si>
  <si>
    <t>SR-0209-A</t>
  </si>
  <si>
    <t>SR-0210-A</t>
  </si>
  <si>
    <t>SR-0211-A</t>
  </si>
  <si>
    <t>SR-0212-A</t>
  </si>
  <si>
    <t>SR-0213-A</t>
  </si>
  <si>
    <t>SR-0214-A</t>
  </si>
  <si>
    <t>SR-0215-A</t>
  </si>
  <si>
    <t>SR-0216-A</t>
  </si>
  <si>
    <t>SR-0217-A</t>
  </si>
  <si>
    <t>SR-0219-A</t>
  </si>
  <si>
    <t>SR-0220-A</t>
  </si>
  <si>
    <t>SR-0221-A</t>
  </si>
  <si>
    <t>SR-0222-A</t>
  </si>
  <si>
    <t>SR-0223-A</t>
  </si>
  <si>
    <t>SR-0224-A</t>
  </si>
  <si>
    <t>FR-0301</t>
  </si>
  <si>
    <t>FR-0303</t>
  </si>
  <si>
    <t>SR-0304-A</t>
  </si>
  <si>
    <t>FR-0305</t>
  </si>
  <si>
    <t>SR-0306-A</t>
  </si>
  <si>
    <t>FR-0307</t>
  </si>
  <si>
    <t>SR-0308-A</t>
  </si>
  <si>
    <t>FR-0309</t>
  </si>
  <si>
    <t>SR-0310-A</t>
  </si>
  <si>
    <t>FR-0311</t>
  </si>
  <si>
    <t>SR-0312-A</t>
  </si>
  <si>
    <t>FR-0313</t>
  </si>
  <si>
    <t>SR-0314-A</t>
  </si>
  <si>
    <t>FR-0315</t>
  </si>
  <si>
    <t>FR-0317</t>
  </si>
  <si>
    <t>SR-0318-A</t>
  </si>
  <si>
    <t>FR-0319</t>
  </si>
  <si>
    <t>SR-0320-A</t>
  </si>
  <si>
    <t>FR-0321</t>
  </si>
  <si>
    <t>SR-0322-A</t>
  </si>
  <si>
    <t>FR-0323</t>
  </si>
  <si>
    <t>FR-0325</t>
  </si>
  <si>
    <t>SR-0326-A</t>
  </si>
  <si>
    <t>FR-0327</t>
  </si>
  <si>
    <t>SR-0328-A</t>
  </si>
  <si>
    <t>FR-0329</t>
  </si>
  <si>
    <t>SR-0330-A</t>
  </si>
  <si>
    <t>FR-0341</t>
  </si>
  <si>
    <t>FR-0343</t>
  </si>
  <si>
    <t>FR-0345</t>
  </si>
  <si>
    <t>DD209</t>
  </si>
  <si>
    <t>FR-0347</t>
  </si>
  <si>
    <t>FR-0349</t>
  </si>
  <si>
    <t>FR-0351</t>
  </si>
  <si>
    <t>DD210</t>
  </si>
  <si>
    <t>FR-0353</t>
  </si>
  <si>
    <t>FR-0355</t>
  </si>
  <si>
    <t>DD211</t>
  </si>
  <si>
    <t>FR-0357</t>
  </si>
  <si>
    <t>FR-0359</t>
  </si>
  <si>
    <t>DD212</t>
  </si>
  <si>
    <t>FR-0361</t>
  </si>
  <si>
    <t>FR-0363</t>
  </si>
  <si>
    <t>DD213</t>
  </si>
  <si>
    <t>FR-0365</t>
  </si>
  <si>
    <t>FR-0367</t>
  </si>
  <si>
    <t>FR-0369</t>
  </si>
  <si>
    <t>FR-0381</t>
  </si>
  <si>
    <t>DD214</t>
  </si>
  <si>
    <t>FR-0383</t>
  </si>
  <si>
    <t>FR-0385</t>
  </si>
  <si>
    <t>DD215</t>
  </si>
  <si>
    <t>FR-0387</t>
  </si>
  <si>
    <t>FR-0389</t>
  </si>
  <si>
    <t>DD216</t>
  </si>
  <si>
    <t>FR-0391</t>
  </si>
  <si>
    <t>FR-0393</t>
  </si>
  <si>
    <t>DD217</t>
  </si>
  <si>
    <t>FR-0395</t>
  </si>
  <si>
    <t>FR-0397</t>
  </si>
  <si>
    <t>FR-0399</t>
  </si>
  <si>
    <t>DD218</t>
  </si>
  <si>
    <t>FR-0401</t>
  </si>
  <si>
    <t>FR-0411</t>
  </si>
  <si>
    <t>FR-0413</t>
  </si>
  <si>
    <t>FR-0415</t>
  </si>
  <si>
    <t>FR-0417</t>
  </si>
  <si>
    <t>FR-0419</t>
  </si>
  <si>
    <t>FR-0421</t>
  </si>
  <si>
    <t>FR-0423</t>
  </si>
  <si>
    <t>FR-0425</t>
  </si>
  <si>
    <t>FR-0427</t>
  </si>
  <si>
    <t>FR-0429</t>
  </si>
  <si>
    <t>FR-1001</t>
  </si>
  <si>
    <t>BR-1002</t>
  </si>
  <si>
    <t>BR-1003</t>
  </si>
  <si>
    <t>FR-1004</t>
  </si>
  <si>
    <t>BR-1005</t>
  </si>
  <si>
    <t>BR-1006</t>
  </si>
  <si>
    <t>FR-1010</t>
  </si>
  <si>
    <t>BR-1011</t>
  </si>
  <si>
    <t>BR-1012</t>
  </si>
  <si>
    <t>FR-1016</t>
  </si>
  <si>
    <t>BR-1017</t>
  </si>
  <si>
    <t>BR-1018</t>
  </si>
  <si>
    <t>FR-1019</t>
  </si>
  <si>
    <t>BR-1020</t>
  </si>
  <si>
    <t>BR-1021</t>
  </si>
  <si>
    <t>FR-1022</t>
  </si>
  <si>
    <t>BR-1023</t>
  </si>
  <si>
    <t>BR-1024</t>
  </si>
  <si>
    <t>FR-1025</t>
  </si>
  <si>
    <t>BR-1026</t>
  </si>
  <si>
    <t>BR-1027</t>
  </si>
  <si>
    <t>FR-1028</t>
  </si>
  <si>
    <t>BR-1029</t>
  </si>
  <si>
    <t>BR-1030</t>
  </si>
  <si>
    <t>FR-1031</t>
  </si>
  <si>
    <t>BR-1032</t>
  </si>
  <si>
    <t>BR-1033</t>
  </si>
  <si>
    <t>FR-1034</t>
  </si>
  <si>
    <t>BR-1035</t>
  </si>
  <si>
    <t>BR-1036</t>
  </si>
  <si>
    <t>FR-1037</t>
  </si>
  <si>
    <t>BR-1038</t>
  </si>
  <si>
    <t>BR-1039</t>
  </si>
  <si>
    <t>FR-1040</t>
  </si>
  <si>
    <t>BR-1041</t>
  </si>
  <si>
    <t>BR-1042</t>
  </si>
  <si>
    <t>FR-1043</t>
  </si>
  <si>
    <t>BR-1044</t>
  </si>
  <si>
    <t>BR-1045</t>
  </si>
  <si>
    <t>FR-1046</t>
  </si>
  <si>
    <t>BR-1047</t>
  </si>
  <si>
    <t>BR-1048</t>
  </si>
  <si>
    <t>FR-1049</t>
  </si>
  <si>
    <t>BR-1050</t>
  </si>
  <si>
    <t>BR-1051</t>
  </si>
  <si>
    <t>FR-1052</t>
  </si>
  <si>
    <t>BR-1053</t>
  </si>
  <si>
    <t>BR-1054</t>
  </si>
  <si>
    <t>FR-1055</t>
  </si>
  <si>
    <t>BR-1056</t>
  </si>
  <si>
    <t>BR-1057</t>
  </si>
  <si>
    <t>FR-1058</t>
  </si>
  <si>
    <t>BR-1059</t>
  </si>
  <si>
    <t>BR-1060</t>
  </si>
  <si>
    <t>FR-1061</t>
  </si>
  <si>
    <t>BR-1062</t>
  </si>
  <si>
    <t>BR-1063</t>
  </si>
  <si>
    <t>FR-1064</t>
  </si>
  <si>
    <t>BR-1065</t>
  </si>
  <si>
    <t>BR-1066</t>
  </si>
  <si>
    <t>FR-1067</t>
  </si>
  <si>
    <t>BR-1068</t>
  </si>
  <si>
    <t>BR-1069</t>
  </si>
  <si>
    <t>FR-1070</t>
  </si>
  <si>
    <t>BR-1071</t>
  </si>
  <si>
    <t>BR-1072</t>
  </si>
  <si>
    <t>FR-1073</t>
  </si>
  <si>
    <t>BR-1074</t>
  </si>
  <si>
    <t>BR-1075</t>
  </si>
  <si>
    <t>FR-1076</t>
  </si>
  <si>
    <t>BR-1077</t>
  </si>
  <si>
    <t>BR-1078</t>
  </si>
  <si>
    <t>FR-1079</t>
  </si>
  <si>
    <t>BR-1080</t>
  </si>
  <si>
    <t>BR-1081</t>
  </si>
  <si>
    <t>FR-1082</t>
  </si>
  <si>
    <t>BR-1083</t>
  </si>
  <si>
    <t>BR-1084</t>
  </si>
  <si>
    <t>FR-1085</t>
  </si>
  <si>
    <t>BR-1086</t>
  </si>
  <si>
    <t>BR-1087</t>
  </si>
  <si>
    <t>FR-1088</t>
  </si>
  <si>
    <t>BR-1089</t>
  </si>
  <si>
    <t>BR-1090</t>
  </si>
  <si>
    <t>FR-1091</t>
  </si>
  <si>
    <t>BR-1092</t>
  </si>
  <si>
    <t>BR-1093</t>
  </si>
  <si>
    <t>FR-1094</t>
  </si>
  <si>
    <t>BR-1095</t>
  </si>
  <si>
    <t>BR-1096</t>
  </si>
  <si>
    <t>FR-1097</t>
  </si>
  <si>
    <t>BR-1098</t>
  </si>
  <si>
    <t>BR-1099</t>
  </si>
  <si>
    <t>FR-1100</t>
  </si>
  <si>
    <t>BR-1101</t>
  </si>
  <si>
    <t>BR-1102</t>
  </si>
  <si>
    <t>BR-1104</t>
  </si>
  <si>
    <t>BR-1105</t>
  </si>
  <si>
    <t>FR-1106</t>
  </si>
  <si>
    <t>BR-1107</t>
  </si>
  <si>
    <t>BR-1108</t>
  </si>
  <si>
    <t>BR-1110</t>
  </si>
  <si>
    <t>BR-1111</t>
  </si>
  <si>
    <t>FR-1112</t>
  </si>
  <si>
    <t>BR-1113</t>
  </si>
  <si>
    <t>BR-1114</t>
  </si>
  <si>
    <t>BR-1116</t>
  </si>
  <si>
    <t>BR-1117</t>
  </si>
  <si>
    <t>FR-1118</t>
  </si>
  <si>
    <t>BR-1119</t>
  </si>
  <si>
    <t>BR-1120</t>
  </si>
  <si>
    <t>BR-1122</t>
  </si>
  <si>
    <t>BR-1123</t>
  </si>
  <si>
    <t>FR-1124</t>
  </si>
  <si>
    <t>BR-1125</t>
  </si>
  <si>
    <t>BR-1126</t>
  </si>
  <si>
    <t>BR-1128</t>
  </si>
  <si>
    <t>BR-1129</t>
  </si>
  <si>
    <t>FR-1130</t>
  </si>
  <si>
    <t>BR-1131</t>
  </si>
  <si>
    <t>BR-1132</t>
  </si>
  <si>
    <t>BR-1134</t>
  </si>
  <si>
    <t>BR-1135</t>
  </si>
  <si>
    <t>FR-1136</t>
  </si>
  <si>
    <t>BR-1137</t>
  </si>
  <si>
    <t>BR-1138</t>
  </si>
  <si>
    <t>BR-1140</t>
  </si>
  <si>
    <t>BR-1141</t>
  </si>
  <si>
    <t>FR-1142</t>
  </si>
  <si>
    <t>BR-1143</t>
  </si>
  <si>
    <t>BR-1144</t>
  </si>
  <si>
    <t>BR-1146</t>
  </si>
  <si>
    <t>BR-1147</t>
  </si>
  <si>
    <t>FR-1148</t>
  </si>
  <si>
    <t>BR-1149</t>
  </si>
  <si>
    <t>BR-1150</t>
  </si>
  <si>
    <t>BR-1152</t>
  </si>
  <si>
    <t>BR-1153</t>
  </si>
  <si>
    <t>FR-1154</t>
  </si>
  <si>
    <t>BR-1155</t>
  </si>
  <si>
    <t>BR-1156</t>
  </si>
  <si>
    <t>BR-1158</t>
  </si>
  <si>
    <t>BR-1159</t>
  </si>
  <si>
    <t>FR-1160</t>
  </si>
  <si>
    <t>BR-1161</t>
  </si>
  <si>
    <t>BR-1162</t>
  </si>
  <si>
    <t>BR-1164</t>
  </si>
  <si>
    <t>BR-1165</t>
  </si>
  <si>
    <t>FR-1166</t>
  </si>
  <si>
    <t>BR-1167</t>
  </si>
  <si>
    <t>BR-1168</t>
  </si>
  <si>
    <t>BR-1170</t>
  </si>
  <si>
    <t>BR-1171</t>
  </si>
  <si>
    <t>FR-1172</t>
  </si>
  <si>
    <t>BR-1173</t>
  </si>
  <si>
    <t>BR-1174</t>
  </si>
  <si>
    <t>BR-1176</t>
  </si>
  <si>
    <t>BR-1177</t>
  </si>
  <si>
    <t>FR-1178</t>
  </si>
  <si>
    <t>BR-1179</t>
  </si>
  <si>
    <t>BR-1180</t>
  </si>
  <si>
    <t>BR-1182</t>
  </si>
  <si>
    <t>BR-1183</t>
  </si>
  <si>
    <t>FR-1184</t>
  </si>
  <si>
    <t>BR-1185</t>
  </si>
  <si>
    <t>BR-1186</t>
  </si>
  <si>
    <t>BR-1188</t>
  </si>
  <si>
    <t>BR-1189</t>
  </si>
  <si>
    <t>FR-1190</t>
  </si>
  <si>
    <t>BR-1191</t>
  </si>
  <si>
    <t>BR-1192</t>
  </si>
  <si>
    <t>BR-1194</t>
  </si>
  <si>
    <t>BR-1195</t>
  </si>
  <si>
    <t>FR-1196</t>
  </si>
  <si>
    <t>BR-1197</t>
  </si>
  <si>
    <t>BR-1198</t>
  </si>
  <si>
    <t>BR-1200</t>
  </si>
  <si>
    <t>BR-1201</t>
  </si>
  <si>
    <t>FR-1202</t>
  </si>
  <si>
    <t>BR-1203</t>
  </si>
  <si>
    <t>BR-1204</t>
  </si>
  <si>
    <t>BR-1206</t>
  </si>
  <si>
    <t>BR-1207</t>
  </si>
  <si>
    <t>FR-1208</t>
  </si>
  <si>
    <t>BR-1209</t>
  </si>
  <si>
    <t>BR-1210</t>
  </si>
  <si>
    <t>BR-1212</t>
  </si>
  <si>
    <t>BR-1213</t>
  </si>
  <si>
    <t>FR-1214</t>
  </si>
  <si>
    <t>BR-1215</t>
  </si>
  <si>
    <t>BR-1216</t>
  </si>
  <si>
    <t>BR-1218</t>
  </si>
  <si>
    <t>BR-1219</t>
  </si>
  <si>
    <t>FR-1220</t>
  </si>
  <si>
    <t>BR-1221</t>
  </si>
  <si>
    <t>BR-1222</t>
  </si>
  <si>
    <t>BR-1224</t>
  </si>
  <si>
    <t>BR-1225</t>
  </si>
  <si>
    <t>FR-1226</t>
  </si>
  <si>
    <t>BR-1227</t>
  </si>
  <si>
    <t>BR-1228</t>
  </si>
  <si>
    <t>BR-1230</t>
  </si>
  <si>
    <t>BR-1231</t>
  </si>
  <si>
    <t>FR-1232</t>
  </si>
  <si>
    <t>BR-1233</t>
  </si>
  <si>
    <t>BR-1234</t>
  </si>
  <si>
    <t>BR-1236</t>
  </si>
  <si>
    <t>BR-1237</t>
  </si>
  <si>
    <t>FR-1238</t>
  </si>
  <si>
    <t>BR-1239</t>
  </si>
  <si>
    <t>BR-1240</t>
  </si>
  <si>
    <t>BR-1242</t>
  </si>
  <si>
    <t>BR-1243</t>
  </si>
  <si>
    <t>FR-1244</t>
  </si>
  <si>
    <t>BR-1245</t>
  </si>
  <si>
    <t>BR-1246</t>
  </si>
  <si>
    <t>BR-1248</t>
  </si>
  <si>
    <t>BR-1249</t>
  </si>
  <si>
    <t>FR-1250</t>
  </si>
  <si>
    <t>BR-1251</t>
  </si>
  <si>
    <t>BR-1252</t>
  </si>
  <si>
    <t>BR-1254</t>
  </si>
  <si>
    <t>BR-1255</t>
  </si>
  <si>
    <t>FR-1256</t>
  </si>
  <si>
    <t>BR-1257</t>
  </si>
  <si>
    <t>BR-1258</t>
  </si>
  <si>
    <t>BR-1260</t>
  </si>
  <si>
    <t>BR-1261</t>
  </si>
  <si>
    <t>FR-1262</t>
  </si>
  <si>
    <t>BR-1263</t>
  </si>
  <si>
    <t>BR-1264</t>
  </si>
  <si>
    <t>BR-1266</t>
  </si>
  <si>
    <t>BR-1267</t>
  </si>
  <si>
    <t>FR-1268</t>
  </si>
  <si>
    <t>BR-1269</t>
  </si>
  <si>
    <t>BR-1270</t>
  </si>
  <si>
    <t>FR-1281</t>
  </si>
  <si>
    <t>BR-1282</t>
  </si>
  <si>
    <t>BR-1283</t>
  </si>
  <si>
    <t>BR-1285</t>
  </si>
  <si>
    <t>BR-1286</t>
  </si>
  <si>
    <t>FR-1287</t>
  </si>
  <si>
    <t>BR-1288</t>
  </si>
  <si>
    <t>BR-1289</t>
  </si>
  <si>
    <t>BR-1291</t>
  </si>
  <si>
    <t>BR-1292</t>
  </si>
  <si>
    <t>FR-1293</t>
  </si>
  <si>
    <t>BR-1294</t>
  </si>
  <si>
    <t>BR-1295</t>
  </si>
  <si>
    <t>BR-1297</t>
  </si>
  <si>
    <t>BR-1298</t>
  </si>
  <si>
    <t>FR-1299</t>
  </si>
  <si>
    <t>BR-1300</t>
  </si>
  <si>
    <t>BR-1301</t>
  </si>
  <si>
    <t>BR-1303</t>
  </si>
  <si>
    <t>BR-1304</t>
  </si>
  <si>
    <t>FR-1305</t>
  </si>
  <si>
    <t>BR-1306</t>
  </si>
  <si>
    <t>BR-1307</t>
  </si>
  <si>
    <t>BR-1309</t>
  </si>
  <si>
    <t>BR-1310</t>
  </si>
  <si>
    <t>FR-1311</t>
  </si>
  <si>
    <t>BR-1312</t>
  </si>
  <si>
    <t>BR-1313</t>
  </si>
  <si>
    <t>BR-1315</t>
  </si>
  <si>
    <t>BR-1316</t>
  </si>
  <si>
    <t>FR-1317</t>
  </si>
  <si>
    <t>BR-1318</t>
  </si>
  <si>
    <t>BR-1319</t>
  </si>
  <si>
    <t>BR-1321</t>
  </si>
  <si>
    <t>BR-1322</t>
  </si>
  <si>
    <t>FR-1323</t>
  </si>
  <si>
    <t>BR-1324</t>
  </si>
  <si>
    <t>BR-1325</t>
  </si>
  <si>
    <t>BR-1327</t>
  </si>
  <si>
    <t>BR-1328</t>
  </si>
  <si>
    <t>FR-1329</t>
  </si>
  <si>
    <t>BR-1330</t>
  </si>
  <si>
    <t>BR-1331</t>
  </si>
  <si>
    <t>FR-1332</t>
  </si>
  <si>
    <t>BR-1333</t>
  </si>
  <si>
    <t>BR-1334</t>
  </si>
  <si>
    <t>FR-1335</t>
  </si>
  <si>
    <t>BR-1336</t>
  </si>
  <si>
    <t>BR-1337</t>
  </si>
  <si>
    <t>FR-1338</t>
  </si>
  <si>
    <t>BR-1339</t>
  </si>
  <si>
    <t>BR-1340</t>
  </si>
  <si>
    <t>FR-1341</t>
  </si>
  <si>
    <t>BR-1342</t>
  </si>
  <si>
    <t>BR-1343</t>
  </si>
  <si>
    <t>FR-1344</t>
  </si>
  <si>
    <t>BR-1345</t>
  </si>
  <si>
    <t>BR-1346</t>
  </si>
  <si>
    <t>FR-1347</t>
  </si>
  <si>
    <t>BR-1348</t>
  </si>
  <si>
    <t>BR-1349</t>
  </si>
  <si>
    <t>FR-1350</t>
  </si>
  <si>
    <t>BR-1351</t>
  </si>
  <si>
    <t>BR-1352</t>
  </si>
  <si>
    <t>FR-1353</t>
  </si>
  <si>
    <t>BR-1354</t>
  </si>
  <si>
    <t>BR-1355</t>
  </si>
  <si>
    <t>FR-1356</t>
  </si>
  <si>
    <t>BR-1357</t>
  </si>
  <si>
    <t>BR-1358</t>
  </si>
  <si>
    <t>FR-1359</t>
  </si>
  <si>
    <t>BR-1360</t>
  </si>
  <si>
    <t>BR-1361</t>
  </si>
  <si>
    <t>FR-1362</t>
  </si>
  <si>
    <t>BR-1363</t>
  </si>
  <si>
    <t>BR-1364</t>
  </si>
  <si>
    <t>FR-1365</t>
  </si>
  <si>
    <t>BR-1366</t>
  </si>
  <si>
    <t>BR-1367</t>
  </si>
  <si>
    <t>FR-1368</t>
  </si>
  <si>
    <t>BR-1369</t>
  </si>
  <si>
    <t>BR-1370</t>
  </si>
  <si>
    <t>FR-1371</t>
  </si>
  <si>
    <t>BR-1372</t>
  </si>
  <si>
    <t>BR-1373</t>
  </si>
  <si>
    <t>FR-1374</t>
  </si>
  <si>
    <t>BR-1375</t>
  </si>
  <si>
    <t>BR-1376</t>
  </si>
  <si>
    <t>FR-1377</t>
  </si>
  <si>
    <t>BR-1378</t>
  </si>
  <si>
    <t>BR-1379</t>
  </si>
  <si>
    <t>FR-1380</t>
  </si>
  <si>
    <t>BR-1381</t>
  </si>
  <si>
    <t>BR-1382</t>
  </si>
  <si>
    <t>FR-1383</t>
  </si>
  <si>
    <t>BR-1384</t>
  </si>
  <si>
    <t>BR-1385</t>
  </si>
  <si>
    <t>FR-1386</t>
  </si>
  <si>
    <t>BR-1387</t>
  </si>
  <si>
    <t>BR-1388</t>
  </si>
  <si>
    <t>FR-1389</t>
  </si>
  <si>
    <t>BR-1390</t>
  </si>
  <si>
    <t>BR-1391</t>
  </si>
  <si>
    <t>FR-1392</t>
  </si>
  <si>
    <t>BR-1393</t>
  </si>
  <si>
    <t>BR-1394</t>
  </si>
  <si>
    <t>FR-1395</t>
  </si>
  <si>
    <t>BR-1396</t>
  </si>
  <si>
    <t>BR-1397</t>
  </si>
  <si>
    <t>FR-1398</t>
  </si>
  <si>
    <t>BR-1399</t>
  </si>
  <si>
    <t>BR-1400</t>
  </si>
  <si>
    <t>FR-1401</t>
  </si>
  <si>
    <t>BR-1402</t>
  </si>
  <si>
    <t>BR-1403</t>
  </si>
  <si>
    <t>FR-1404</t>
  </si>
  <si>
    <t>BR-1405</t>
  </si>
  <si>
    <t>BR-1406</t>
  </si>
  <si>
    <t>FR-1407</t>
  </si>
  <si>
    <t>BR-1408</t>
  </si>
  <si>
    <t>BR-1409</t>
  </si>
  <si>
    <t>FR-1410</t>
  </si>
  <si>
    <t>BR-1411</t>
  </si>
  <si>
    <t>BR-1412</t>
  </si>
  <si>
    <t>FR-1413</t>
  </si>
  <si>
    <t>BR-1414</t>
  </si>
  <si>
    <t>BR-1415</t>
  </si>
  <si>
    <t>FR-1416</t>
  </si>
  <si>
    <t>BR-1417</t>
  </si>
  <si>
    <t>BR-1418</t>
  </si>
  <si>
    <t>FR-1419</t>
  </si>
  <si>
    <t>BR-1420</t>
  </si>
  <si>
    <t>BR-1421</t>
  </si>
  <si>
    <t>FR-1422</t>
  </si>
  <si>
    <t>BR-1423</t>
  </si>
  <si>
    <t>BR-1424</t>
  </si>
  <si>
    <t>FR-1425</t>
  </si>
  <si>
    <t>BR-1426</t>
  </si>
  <si>
    <t>BR-1427</t>
  </si>
  <si>
    <t>FR-1428</t>
  </si>
  <si>
    <t>BR-1429</t>
  </si>
  <si>
    <t>BR-1430</t>
  </si>
  <si>
    <t>FR-1431</t>
  </si>
  <si>
    <t>BR-1432</t>
  </si>
  <si>
    <t>BR-1433</t>
  </si>
  <si>
    <t>FR-1434</t>
  </si>
  <si>
    <t>BR-1435</t>
  </si>
  <si>
    <t>BR-1436</t>
  </si>
  <si>
    <t>FR-1437</t>
  </si>
  <si>
    <t>BR-1438</t>
  </si>
  <si>
    <t>BR-1439</t>
  </si>
  <si>
    <t>FR-1440</t>
  </si>
  <si>
    <t>BR-1441</t>
  </si>
  <si>
    <t>BR-1442</t>
  </si>
  <si>
    <t>FR-1443</t>
  </si>
  <si>
    <t>BR-1444</t>
  </si>
  <si>
    <t>BR-1445</t>
  </si>
  <si>
    <t>FR-1446</t>
  </si>
  <si>
    <t>BR-1447</t>
  </si>
  <si>
    <t>BR-1448</t>
  </si>
  <si>
    <t>FR-1449</t>
  </si>
  <si>
    <t>BR-1450</t>
  </si>
  <si>
    <t>BR-1451</t>
  </si>
  <si>
    <t>FR-1452</t>
  </si>
  <si>
    <t>BR-1453</t>
  </si>
  <si>
    <t>BR-1454</t>
  </si>
  <si>
    <t>FR-1455</t>
  </si>
  <si>
    <t>BR-1456</t>
  </si>
  <si>
    <t>BR-1457</t>
  </si>
  <si>
    <t>FR-1458</t>
  </si>
  <si>
    <t>BR-1459</t>
  </si>
  <si>
    <t>BR-1460</t>
  </si>
  <si>
    <t>FR-1461</t>
  </si>
  <si>
    <t>BR-1462</t>
  </si>
  <si>
    <t>BR-1463</t>
  </si>
  <si>
    <t>FR-1464</t>
  </si>
  <si>
    <t>BR-1465</t>
  </si>
  <si>
    <t>BR-1466</t>
  </si>
  <si>
    <t>FR-1467</t>
  </si>
  <si>
    <t>BR-1468</t>
  </si>
  <si>
    <t>BR-1469</t>
  </si>
  <si>
    <t>FR-1470</t>
  </si>
  <si>
    <t>BR-1471</t>
  </si>
  <si>
    <t>BR-1472</t>
  </si>
  <si>
    <t>FR-1473</t>
  </si>
  <si>
    <t>BR-1474</t>
  </si>
  <si>
    <t>BR-1475</t>
  </si>
  <si>
    <t>FR-1476</t>
  </si>
  <si>
    <t>BR-1477</t>
  </si>
  <si>
    <t>BR-1478</t>
  </si>
  <si>
    <t>FR-1479</t>
  </si>
  <si>
    <t>BR-1480</t>
  </si>
  <si>
    <t>BR-1481</t>
  </si>
  <si>
    <t>FR-1482</t>
  </si>
  <si>
    <t>BR-1483</t>
  </si>
  <si>
    <t>BR-1484</t>
  </si>
  <si>
    <t>FR-1485</t>
  </si>
  <si>
    <t>BR-1486</t>
  </si>
  <si>
    <t>BR-1487</t>
  </si>
  <si>
    <t>FR-1488</t>
  </si>
  <si>
    <t>BR-1489</t>
  </si>
  <si>
    <t>BR-1490</t>
  </si>
  <si>
    <t>FR-1491</t>
  </si>
  <si>
    <t>BR-1492</t>
  </si>
  <si>
    <t>BR-1493</t>
  </si>
  <si>
    <t>FR-1494</t>
  </si>
  <si>
    <t>BR-1495</t>
  </si>
  <si>
    <t>BR-1496</t>
  </si>
  <si>
    <t>S011039: Success</t>
  </si>
  <si>
    <t>S011041: Success</t>
  </si>
  <si>
    <t>S011045: Success</t>
  </si>
  <si>
    <t>S011047: Success</t>
  </si>
  <si>
    <t>S011051: Success</t>
  </si>
  <si>
    <t>S011053: Success</t>
  </si>
  <si>
    <t>S011057: Success</t>
  </si>
  <si>
    <t>S011059: Success</t>
  </si>
  <si>
    <t>S011063: Success</t>
  </si>
  <si>
    <t>S011065: Success</t>
  </si>
  <si>
    <t>S011069: Success</t>
  </si>
  <si>
    <t>S011071: Success</t>
  </si>
  <si>
    <t>S011075: Success</t>
  </si>
  <si>
    <t>S011077: Success</t>
  </si>
  <si>
    <t>S011081: Success</t>
  </si>
  <si>
    <t>S011083: Success</t>
  </si>
  <si>
    <t>S011084: Success</t>
  </si>
  <si>
    <t>S011086: Success</t>
  </si>
  <si>
    <t>S011087: Success</t>
  </si>
  <si>
    <t>S011089: Success</t>
  </si>
  <si>
    <t>S011090: Success</t>
  </si>
  <si>
    <t>S011092: Success</t>
  </si>
  <si>
    <t>S011093: Success</t>
  </si>
  <si>
    <t>S011095: Success</t>
  </si>
  <si>
    <t>S011096: Success</t>
  </si>
  <si>
    <t>S011098: Success</t>
  </si>
  <si>
    <t>S011099: Success</t>
  </si>
  <si>
    <t>S011313: Success</t>
  </si>
  <si>
    <t>S011315: Success</t>
  </si>
  <si>
    <t>S011319: Success</t>
  </si>
  <si>
    <t>S011321: Success</t>
  </si>
  <si>
    <t>S011325: Success</t>
  </si>
  <si>
    <t>S011327: Success</t>
  </si>
  <si>
    <t>S011330: Success</t>
  </si>
  <si>
    <t>S011331: Success</t>
  </si>
  <si>
    <t>S011333: Success</t>
  </si>
  <si>
    <t>S011334: Success</t>
  </si>
  <si>
    <t>S011336: Success</t>
  </si>
  <si>
    <t>S011337: Success</t>
  </si>
  <si>
    <t>S011339: Success</t>
  </si>
  <si>
    <t>S011340: Success</t>
  </si>
  <si>
    <t>S011342: Success</t>
  </si>
  <si>
    <t>S011343: Success</t>
  </si>
  <si>
    <t>S011345: Success</t>
  </si>
  <si>
    <t>S011346: Success</t>
  </si>
  <si>
    <t>S011348: Success</t>
  </si>
  <si>
    <t>S011349: Success</t>
  </si>
  <si>
    <t>S011351: Success</t>
  </si>
  <si>
    <t>S011352: Success</t>
  </si>
  <si>
    <t>S011354: Success</t>
  </si>
  <si>
    <t>S011355: Success</t>
  </si>
  <si>
    <t>S011357: Success</t>
  </si>
  <si>
    <t>S011358: Success</t>
  </si>
  <si>
    <t>S011360: Success</t>
  </si>
  <si>
    <t>S011361: Success</t>
  </si>
  <si>
    <t>S011363: Success</t>
  </si>
  <si>
    <t>S011364: Success</t>
  </si>
  <si>
    <t>S011366: Success</t>
  </si>
  <si>
    <t>S011367: Success</t>
  </si>
  <si>
    <t>S011369: Success</t>
  </si>
  <si>
    <t>S011370: Success</t>
  </si>
  <si>
    <t>S011372: Success</t>
  </si>
  <si>
    <t>S011373: Success</t>
  </si>
  <si>
    <t>S011375: Success</t>
  </si>
  <si>
    <t>S011376: Success</t>
  </si>
  <si>
    <t>S011378: Success</t>
  </si>
  <si>
    <t>S011379: Success</t>
  </si>
  <si>
    <t>S011381: Success</t>
  </si>
  <si>
    <t>S011382: Success</t>
  </si>
  <si>
    <t>S011384: Success</t>
  </si>
  <si>
    <t>S011385: Success</t>
  </si>
  <si>
    <t>S011387: Success</t>
  </si>
  <si>
    <t>S011388: Success</t>
  </si>
  <si>
    <t>S011390: Success</t>
  </si>
  <si>
    <t>S011391: Success</t>
  </si>
  <si>
    <t>S011393: Success</t>
  </si>
  <si>
    <t>S011394: Success</t>
  </si>
  <si>
    <t>S011396: Success</t>
  </si>
  <si>
    <t>S011397: Success</t>
  </si>
  <si>
    <t>S011399: Success</t>
  </si>
  <si>
    <t>S011400: Success</t>
  </si>
  <si>
    <t>S011402: Success</t>
  </si>
  <si>
    <t>S011403: Success</t>
  </si>
  <si>
    <t>S011405: Success</t>
  </si>
  <si>
    <t>S011406: Success</t>
  </si>
  <si>
    <t>S011408: Success</t>
  </si>
  <si>
    <t>S011409: Success</t>
  </si>
  <si>
    <t>S011411: Success</t>
  </si>
  <si>
    <t>S011412: Success</t>
  </si>
  <si>
    <t>S011414: Success</t>
  </si>
  <si>
    <t>S011415: Success</t>
  </si>
  <si>
    <t>S011417: Success</t>
  </si>
  <si>
    <t>S011418: Success</t>
  </si>
  <si>
    <t>S011420: Success</t>
  </si>
  <si>
    <t>S011421: Success</t>
  </si>
  <si>
    <t>S011423: Success</t>
  </si>
  <si>
    <t>S011424: Success</t>
  </si>
  <si>
    <t>S011426: Success</t>
  </si>
  <si>
    <t>S011427: Success</t>
  </si>
  <si>
    <t>S011429: Success</t>
  </si>
  <si>
    <t>S011430: Success</t>
  </si>
  <si>
    <t>S011432: Success</t>
  </si>
  <si>
    <t>S011433: Success</t>
  </si>
  <si>
    <t>S011435: Success</t>
  </si>
  <si>
    <t>S011436: Success</t>
  </si>
  <si>
    <t>S011438: Success</t>
  </si>
  <si>
    <t>S011439: Success</t>
  </si>
  <si>
    <t>S011441: Success</t>
  </si>
  <si>
    <t>S011442: Success</t>
  </si>
  <si>
    <t>S011444: Success</t>
  </si>
  <si>
    <t>S011445: Success</t>
  </si>
  <si>
    <t>S011447: Success</t>
  </si>
  <si>
    <t>S011448: Success</t>
  </si>
  <si>
    <t>S011450: Success</t>
  </si>
  <si>
    <t>S011451: Success</t>
  </si>
  <si>
    <t>S011453: Success</t>
  </si>
  <si>
    <t>S011454: Success</t>
  </si>
  <si>
    <t>S011456: Success</t>
  </si>
  <si>
    <t>S011457: Success</t>
  </si>
  <si>
    <t>S011459: Success</t>
  </si>
  <si>
    <t>S011460: Success</t>
  </si>
  <si>
    <t>S011462: Success</t>
  </si>
  <si>
    <t>S011463: Success</t>
  </si>
  <si>
    <t>S011465: Success</t>
  </si>
  <si>
    <t>S011466: Success</t>
  </si>
  <si>
    <t>S011468: Success</t>
  </si>
  <si>
    <t>S011469: Success</t>
  </si>
  <si>
    <t>S011471: Success</t>
  </si>
  <si>
    <t>S011472: Success</t>
  </si>
  <si>
    <t>S011474: Success</t>
  </si>
  <si>
    <t>S011475: Success</t>
  </si>
  <si>
    <t>S011477: Success</t>
  </si>
  <si>
    <t>S011478: Success</t>
  </si>
  <si>
    <t>S011480: Success</t>
  </si>
  <si>
    <t>S011481: Success</t>
  </si>
  <si>
    <t>S011483: Success</t>
  </si>
  <si>
    <t>S011484: Success</t>
  </si>
  <si>
    <t>S011486: Success</t>
  </si>
  <si>
    <t>S011487: Success</t>
  </si>
  <si>
    <t>S011489: Success</t>
  </si>
  <si>
    <t>S011490: Success</t>
  </si>
  <si>
    <t>S011492: Success</t>
  </si>
  <si>
    <t>S011493: Success</t>
  </si>
  <si>
    <t>S011495: Success</t>
  </si>
  <si>
    <t>S011496: Success</t>
  </si>
  <si>
    <t>S010346: Success</t>
  </si>
  <si>
    <t>S010352: Success</t>
  </si>
  <si>
    <t>S010356: Success</t>
  </si>
  <si>
    <t>S010360: Success</t>
  </si>
  <si>
    <t>S010364: Success</t>
  </si>
  <si>
    <t>S010382: Success</t>
  </si>
  <si>
    <t>S010386: Success</t>
  </si>
  <si>
    <t>S010390: Success</t>
  </si>
  <si>
    <t>S010394: Success</t>
  </si>
  <si>
    <t>S010400: Success</t>
  </si>
  <si>
    <t>S010567: Success</t>
  </si>
  <si>
    <t>S010571: Success</t>
  </si>
  <si>
    <t>S010575: Success</t>
  </si>
  <si>
    <t>S010579: Success</t>
  </si>
  <si>
    <t>S010585: Success</t>
  </si>
  <si>
    <t>S010343: Success</t>
  </si>
  <si>
    <t>S010345: Success</t>
  </si>
  <si>
    <t>S010347: Success</t>
  </si>
  <si>
    <t>S010349: Success</t>
  </si>
  <si>
    <t>S010351: Success</t>
  </si>
  <si>
    <t>S010353: Success</t>
  </si>
  <si>
    <t>S010355: Success</t>
  </si>
  <si>
    <t>S010357: Success</t>
  </si>
  <si>
    <t>S010359: Success</t>
  </si>
  <si>
    <t>S010361: Success</t>
  </si>
  <si>
    <t>S010363: Success</t>
  </si>
  <si>
    <t>S010365: Success</t>
  </si>
  <si>
    <t>S010367: Success</t>
  </si>
  <si>
    <t>S010369: Success</t>
  </si>
  <si>
    <t>S010381: Success</t>
  </si>
  <si>
    <t>S010383: Success</t>
  </si>
  <si>
    <t>S010385: Success</t>
  </si>
  <si>
    <t>S010387: Success</t>
  </si>
  <si>
    <t>S010389: Success</t>
  </si>
  <si>
    <t>S010391: Success</t>
  </si>
  <si>
    <t>S010393: Success</t>
  </si>
  <si>
    <t>S010395: Success</t>
  </si>
  <si>
    <t>S010397: Success</t>
  </si>
  <si>
    <t>S010399: Success</t>
  </si>
  <si>
    <t>S010562: Success</t>
  </si>
  <si>
    <t>S010564: Success</t>
  </si>
  <si>
    <t>S010566: Success</t>
  </si>
  <si>
    <t>S010568: Success</t>
  </si>
  <si>
    <t>S010570: Success</t>
  </si>
  <si>
    <t>S010572: Success</t>
  </si>
  <si>
    <t>S010574: Success</t>
  </si>
  <si>
    <t>S010576: Success</t>
  </si>
  <si>
    <t>S010578: Success</t>
  </si>
  <si>
    <t>S010580: Success</t>
  </si>
  <si>
    <t>S010582: Success</t>
  </si>
  <si>
    <t>S010584: Success</t>
  </si>
  <si>
    <t>S010586: Success</t>
  </si>
  <si>
    <t>S010588: Success</t>
  </si>
  <si>
    <t>S010590: Success</t>
  </si>
  <si>
    <t>S011043: Success</t>
  </si>
  <si>
    <t>S011049: Success</t>
  </si>
  <si>
    <t>S011055: Success</t>
  </si>
  <si>
    <t>S011061: Success</t>
  </si>
  <si>
    <t>S011067: Success</t>
  </si>
  <si>
    <t>S011073: Success</t>
  </si>
  <si>
    <t>S011079: Success</t>
  </si>
  <si>
    <t>S011085: Success</t>
  </si>
  <si>
    <t>S011088: Success</t>
  </si>
  <si>
    <t>S011091: Success</t>
  </si>
  <si>
    <t>S011094: Success</t>
  </si>
  <si>
    <t>S011097: Success</t>
  </si>
  <si>
    <t>S011100: Success</t>
  </si>
  <si>
    <t>S011311: Success</t>
  </si>
  <si>
    <t>S011317: Success</t>
  </si>
  <si>
    <t>S011323: Success</t>
  </si>
  <si>
    <t>S011329: Success</t>
  </si>
  <si>
    <t>S011332: Success</t>
  </si>
  <si>
    <t>S011335: Success</t>
  </si>
  <si>
    <t>S011338: Success</t>
  </si>
  <si>
    <t>S011341: Success</t>
  </si>
  <si>
    <t>S011344: Success</t>
  </si>
  <si>
    <t>S011347: Success</t>
  </si>
  <si>
    <t>S011350: Success</t>
  </si>
  <si>
    <t>S011353: Success</t>
  </si>
  <si>
    <t>S011356: Success</t>
  </si>
  <si>
    <t>S011359: Success</t>
  </si>
  <si>
    <t>S011362: Success</t>
  </si>
  <si>
    <t>S011365: Success</t>
  </si>
  <si>
    <t>S011368: Success</t>
  </si>
  <si>
    <t>S011371: Success</t>
  </si>
  <si>
    <t>S011374: Success</t>
  </si>
  <si>
    <t>S011377: Success</t>
  </si>
  <si>
    <t>S011380: Success</t>
  </si>
  <si>
    <t>S011383: Success</t>
  </si>
  <si>
    <t>S011386: Success</t>
  </si>
  <si>
    <t>S011389: Success</t>
  </si>
  <si>
    <t>S011392: Success</t>
  </si>
  <si>
    <t>S011395: Success</t>
  </si>
  <si>
    <t>S011398: Success</t>
  </si>
  <si>
    <t>S011401: Success</t>
  </si>
  <si>
    <t>S011404: Success</t>
  </si>
  <si>
    <t>S011407: Success</t>
  </si>
  <si>
    <t>S011410: Success</t>
  </si>
  <si>
    <t>S011413: Success</t>
  </si>
  <si>
    <t>S011416: Success</t>
  </si>
  <si>
    <t>S011419: Success</t>
  </si>
  <si>
    <t>S011422: Success</t>
  </si>
  <si>
    <t>S011425: Success</t>
  </si>
  <si>
    <t>S011428: Success</t>
  </si>
  <si>
    <t>S011431: Success</t>
  </si>
  <si>
    <t>S011434: Success</t>
  </si>
  <si>
    <t>S011437: Success</t>
  </si>
  <si>
    <t>S011440: Success</t>
  </si>
  <si>
    <t>S011443: Success</t>
  </si>
  <si>
    <t>S011446: Success</t>
  </si>
  <si>
    <t>S011449: Success</t>
  </si>
  <si>
    <t>S011452: Success</t>
  </si>
  <si>
    <t>S011455: Success</t>
  </si>
  <si>
    <t>S011458: Success</t>
  </si>
  <si>
    <t>S011461: Success</t>
  </si>
  <si>
    <t>S011464: Success</t>
  </si>
  <si>
    <t>S011467: Success</t>
  </si>
  <si>
    <t>S011470: Success</t>
  </si>
  <si>
    <t>S011473: Success</t>
  </si>
  <si>
    <t>S011476: Success</t>
  </si>
  <si>
    <t>S011479: Success</t>
  </si>
  <si>
    <t>S011482: Success</t>
  </si>
  <si>
    <t>S011485: Success</t>
  </si>
  <si>
    <t>S011488: Success</t>
  </si>
  <si>
    <t>S011491: Success</t>
  </si>
  <si>
    <t>S011494: Success</t>
  </si>
  <si>
    <t>S010001: Success</t>
  </si>
  <si>
    <t>S010002: Success</t>
  </si>
  <si>
    <t>S010003: Success</t>
  </si>
  <si>
    <t>S010004: Success</t>
  </si>
  <si>
    <t>S010005: Success</t>
  </si>
  <si>
    <t>S010006: Success</t>
  </si>
  <si>
    <t>S010007: Success</t>
  </si>
  <si>
    <t>S010008: Success</t>
  </si>
  <si>
    <t>S010009: Success</t>
  </si>
  <si>
    <t>S010010: Success</t>
  </si>
  <si>
    <t>S010011: Success</t>
  </si>
  <si>
    <t>S010012: Success</t>
  </si>
  <si>
    <t>S010013: Success</t>
  </si>
  <si>
    <t>S010014: Success</t>
  </si>
  <si>
    <t>S010015: Success</t>
  </si>
  <si>
    <t>S010016: Success</t>
  </si>
  <si>
    <t>S010017: Success</t>
  </si>
  <si>
    <t>S010018: Success</t>
  </si>
  <si>
    <t>S010019: Success</t>
  </si>
  <si>
    <t>S010020: Success</t>
  </si>
  <si>
    <t>S010031: Success</t>
  </si>
  <si>
    <t>S010032: Success</t>
  </si>
  <si>
    <t>S010033: Success</t>
  </si>
  <si>
    <t>S010034: Success</t>
  </si>
  <si>
    <t>S010035: Success</t>
  </si>
  <si>
    <t>S010036: Success</t>
  </si>
  <si>
    <t>S010037: Success</t>
  </si>
  <si>
    <t>S010038: Success</t>
  </si>
  <si>
    <t>S010039: Success</t>
  </si>
  <si>
    <t>S010040: Success</t>
  </si>
  <si>
    <t>S010041: Success</t>
  </si>
  <si>
    <t>S010042: Success</t>
  </si>
  <si>
    <t>S010043: Success</t>
  </si>
  <si>
    <t>S010044: Success</t>
  </si>
  <si>
    <t>S010045: Success</t>
  </si>
  <si>
    <t>S010046: Success</t>
  </si>
  <si>
    <t>S010047: Success</t>
  </si>
  <si>
    <t>S010048: Success</t>
  </si>
  <si>
    <t>S010049: Success</t>
  </si>
  <si>
    <t>S010050: Success</t>
  </si>
  <si>
    <t>S010051: Success</t>
  </si>
  <si>
    <t>S010052: Success</t>
  </si>
  <si>
    <t>S010053: Success</t>
  </si>
  <si>
    <t>S010054: Success</t>
  </si>
  <si>
    <t>S010055: Success</t>
  </si>
  <si>
    <t>S010056: Success</t>
  </si>
  <si>
    <t>S010061: Success</t>
  </si>
  <si>
    <t>S010062: Success</t>
  </si>
  <si>
    <t>S010063: Success</t>
  </si>
  <si>
    <t>S010064: Success</t>
  </si>
  <si>
    <t>S010065: Success</t>
  </si>
  <si>
    <t>S010066: Success</t>
  </si>
  <si>
    <t>S010067: Success</t>
  </si>
  <si>
    <t>S010068: Success</t>
  </si>
  <si>
    <t>S010069: Success</t>
  </si>
  <si>
    <t>S010070: Success</t>
  </si>
  <si>
    <t>S010071: Success</t>
  </si>
  <si>
    <t>S010072: Success</t>
  </si>
  <si>
    <t>S010073: Success</t>
  </si>
  <si>
    <t>S010074: Success</t>
  </si>
  <si>
    <t>S010081: Success</t>
  </si>
  <si>
    <t>S010082: Success</t>
  </si>
  <si>
    <t>S010083: Success</t>
  </si>
  <si>
    <t>S010084: Success</t>
  </si>
  <si>
    <t>S010085: Success</t>
  </si>
  <si>
    <t>S010086: Success</t>
  </si>
  <si>
    <t>S010087: Success</t>
  </si>
  <si>
    <t>S010088: Success</t>
  </si>
  <si>
    <t>S010089: Success</t>
  </si>
  <si>
    <t>S010090: Success</t>
  </si>
  <si>
    <t>S010141: Success</t>
  </si>
  <si>
    <t>S010142: Success</t>
  </si>
  <si>
    <t>S010143: Success</t>
  </si>
  <si>
    <t>S010144: Success</t>
  </si>
  <si>
    <t>S010145: Success</t>
  </si>
  <si>
    <t>S010146: Success</t>
  </si>
  <si>
    <t>S010147: Success</t>
  </si>
  <si>
    <t>S010148: Success</t>
  </si>
  <si>
    <t>S010149: Success</t>
  </si>
  <si>
    <t>S010150: Success</t>
  </si>
  <si>
    <t>S010151: Success</t>
  </si>
  <si>
    <t>S010152: Success</t>
  </si>
  <si>
    <t>S010153: Success</t>
  </si>
  <si>
    <t>S010154: Success</t>
  </si>
  <si>
    <t>S010155: Success</t>
  </si>
  <si>
    <t>S010156: Success</t>
  </si>
  <si>
    <t>S010157: Success</t>
  </si>
  <si>
    <t>S010158: Success</t>
  </si>
  <si>
    <t>S010159: Success</t>
  </si>
  <si>
    <t>S010160: Success</t>
  </si>
  <si>
    <t>S010161: Success</t>
  </si>
  <si>
    <t>S010162: Success</t>
  </si>
  <si>
    <t>S010163: Success</t>
  </si>
  <si>
    <t>S010164: Success</t>
  </si>
  <si>
    <t>S010165: Success</t>
  </si>
  <si>
    <t>S010166: Success</t>
  </si>
  <si>
    <t>S010167: Success</t>
  </si>
  <si>
    <t>S010168: Success</t>
  </si>
  <si>
    <t>S010171: Success</t>
  </si>
  <si>
    <t>S010172: Success</t>
  </si>
  <si>
    <t>S010173: Success</t>
  </si>
  <si>
    <t>S010174: Success</t>
  </si>
  <si>
    <t>S010175: Success</t>
  </si>
  <si>
    <t>S010176: Success</t>
  </si>
  <si>
    <t>S010177: Success</t>
  </si>
  <si>
    <t>S010178: Success</t>
  </si>
  <si>
    <t>S010179: Success</t>
  </si>
  <si>
    <t>S010180: Success</t>
  </si>
  <si>
    <t>S010181: Success</t>
  </si>
  <si>
    <t>S010182: Success</t>
  </si>
  <si>
    <t>S010183: Success</t>
  </si>
  <si>
    <t>S010184: Success</t>
  </si>
  <si>
    <t>S010185: Success</t>
  </si>
  <si>
    <t>S010186: Success</t>
  </si>
  <si>
    <t>S010187: Success</t>
  </si>
  <si>
    <t>S010188: Success</t>
  </si>
  <si>
    <t>S010189: Success</t>
  </si>
  <si>
    <t>S010190: Success</t>
  </si>
  <si>
    <t>S010191: Success</t>
  </si>
  <si>
    <t>S010192: Success</t>
  </si>
  <si>
    <t>S010193: Success</t>
  </si>
  <si>
    <t>S010194: Success</t>
  </si>
  <si>
    <t>S010195: Success</t>
  </si>
  <si>
    <t>S010196: Success</t>
  </si>
  <si>
    <t>S010197: Success</t>
  </si>
  <si>
    <t>S010198: Success</t>
  </si>
  <si>
    <t>S010199: Success</t>
  </si>
  <si>
    <t>S010200: Success</t>
  </si>
  <si>
    <t>S010330: Success</t>
  </si>
  <si>
    <t>S010727: Success</t>
  </si>
  <si>
    <t>S010728: Success</t>
  </si>
  <si>
    <t>S010729: Success</t>
  </si>
  <si>
    <t>S010730: Success</t>
  </si>
  <si>
    <t>S010731: Success</t>
  </si>
  <si>
    <t>S010732: Success</t>
  </si>
  <si>
    <t>S010733: Success</t>
  </si>
  <si>
    <t>S010734: Success</t>
  </si>
  <si>
    <t>S010735: Success</t>
  </si>
  <si>
    <t>S010736: Success</t>
  </si>
  <si>
    <t>S010737: Success</t>
  </si>
  <si>
    <t>S010738: Success</t>
  </si>
  <si>
    <t>S010739: Success</t>
  </si>
  <si>
    <t>S010740: Success</t>
  </si>
  <si>
    <t>S010741: Success</t>
  </si>
  <si>
    <t>S010742: Success</t>
  </si>
  <si>
    <t>S010743: Success</t>
  </si>
  <si>
    <t>S010744: Success</t>
  </si>
  <si>
    <t>S010745: Success</t>
  </si>
  <si>
    <t>S010746: Success</t>
  </si>
  <si>
    <t>S010747: Success</t>
  </si>
  <si>
    <t>S010748: Success</t>
  </si>
  <si>
    <t>S010749: Success</t>
  </si>
  <si>
    <t>S010750: Success</t>
  </si>
  <si>
    <t>S010751: Success</t>
  </si>
  <si>
    <t>S010752: Success</t>
  </si>
  <si>
    <t>S010753: Success</t>
  </si>
  <si>
    <t>S010754: Success</t>
  </si>
  <si>
    <t>S010761: Success</t>
  </si>
  <si>
    <t>S010762: Success</t>
  </si>
  <si>
    <t>S010763: Success</t>
  </si>
  <si>
    <t>S010764: Success</t>
  </si>
  <si>
    <t>S010765: Success</t>
  </si>
  <si>
    <t>S010766: Success</t>
  </si>
  <si>
    <t>S010767: Success</t>
  </si>
  <si>
    <t>S010768: Success</t>
  </si>
  <si>
    <t>S010769: Success</t>
  </si>
  <si>
    <t>S010770: Success</t>
  </si>
  <si>
    <t>S010771: Success</t>
  </si>
  <si>
    <t>S010772: Success</t>
  </si>
  <si>
    <t>S010773: Success</t>
  </si>
  <si>
    <t>S010774: Success</t>
  </si>
  <si>
    <t>S010775: Success</t>
  </si>
  <si>
    <t>S010776: Success</t>
  </si>
  <si>
    <t>S010777: Success</t>
  </si>
  <si>
    <t>S010778: Success</t>
  </si>
  <si>
    <t>S010779: Success</t>
  </si>
  <si>
    <t>S010780: Success</t>
  </si>
  <si>
    <t>S010781: Success</t>
  </si>
  <si>
    <t>S010782: Success</t>
  </si>
  <si>
    <t>S010783: Success</t>
  </si>
  <si>
    <t>S010784: Success</t>
  </si>
  <si>
    <t>S010785: Success</t>
  </si>
  <si>
    <t>S010786: Success</t>
  </si>
  <si>
    <t>S010787: Success</t>
  </si>
  <si>
    <t>S010788: Success</t>
  </si>
  <si>
    <t>S010791: Success</t>
  </si>
  <si>
    <t>S010792: Success</t>
  </si>
  <si>
    <t>S010793: Success</t>
  </si>
  <si>
    <t>S010794: Success</t>
  </si>
  <si>
    <t>S010795: Success</t>
  </si>
  <si>
    <t>S010796: Success</t>
  </si>
  <si>
    <t>S010797: Success</t>
  </si>
  <si>
    <t>S010798: Success</t>
  </si>
  <si>
    <t>S010799: Success</t>
  </si>
  <si>
    <t>S010800: Success</t>
  </si>
  <si>
    <t>ShippingSorter1Controller</t>
  </si>
  <si>
    <t>S010103: Lane Full</t>
  </si>
  <si>
    <t>S010103: Lane Non-Operational</t>
  </si>
  <si>
    <t>S010103: Throughput Limit</t>
  </si>
  <si>
    <t>S010103: Failed to Divert</t>
  </si>
  <si>
    <t>S010103: Tracking Error</t>
  </si>
  <si>
    <t>S010103: Gap Error</t>
  </si>
  <si>
    <t>S010103: No Destination Received</t>
  </si>
  <si>
    <t>S010109: Lane Full</t>
  </si>
  <si>
    <t>S010109: Lane Non-Operational</t>
  </si>
  <si>
    <t>S010109: Throughput Limit</t>
  </si>
  <si>
    <t>S010109: Failed to Divert</t>
  </si>
  <si>
    <t>S010109: Tracking Error</t>
  </si>
  <si>
    <t>S010109: Gap Error</t>
  </si>
  <si>
    <t>S010109: No Destination Received</t>
  </si>
  <si>
    <t>S010142: Lane Full</t>
  </si>
  <si>
    <t>S010142: Lane Non-Operational</t>
  </si>
  <si>
    <t>S010142: Throughput Limit</t>
  </si>
  <si>
    <t>S010142: Failed to Divert</t>
  </si>
  <si>
    <t>S010142: Tracking Error</t>
  </si>
  <si>
    <t>S010142: Gap Error</t>
  </si>
  <si>
    <t>S010142: No Destination Received</t>
  </si>
  <si>
    <t>S010144: Lane Full</t>
  </si>
  <si>
    <t>S010144: Lane Non-Operational</t>
  </si>
  <si>
    <t>S010144: Throughput Limit</t>
  </si>
  <si>
    <t>S010144: Failed to Divert</t>
  </si>
  <si>
    <t>S010144: Tracking Error</t>
  </si>
  <si>
    <t>S010144: Gap Error</t>
  </si>
  <si>
    <t>S010144: No Destination Received</t>
  </si>
  <si>
    <t>S010146: Lane Full</t>
  </si>
  <si>
    <t>S010146: Lane Non-Operational</t>
  </si>
  <si>
    <t>S010146: Throughput Limit</t>
  </si>
  <si>
    <t>S010146: Failed to Divert</t>
  </si>
  <si>
    <t>S010146: Tracking Error</t>
  </si>
  <si>
    <t>S010146: Gap Error</t>
  </si>
  <si>
    <t>S010146: No Destination Received</t>
  </si>
  <si>
    <t>S010150: Lane Full</t>
  </si>
  <si>
    <t>S010150: Lane Non-Operational</t>
  </si>
  <si>
    <t>S010150: Throughput Limit</t>
  </si>
  <si>
    <t>S010150: Failed to Divert</t>
  </si>
  <si>
    <t>S010150: Tracking Error</t>
  </si>
  <si>
    <t>S010150: Gap Error</t>
  </si>
  <si>
    <t>S010150: No Destination Received</t>
  </si>
  <si>
    <t>S010151: Lane Full</t>
  </si>
  <si>
    <t>S010151: Lane Non-Operational</t>
  </si>
  <si>
    <t>S010151: Throughput Limit</t>
  </si>
  <si>
    <t>S010151: Failed to Divert</t>
  </si>
  <si>
    <t>S010151: Tracking Error</t>
  </si>
  <si>
    <t>S010151: Gap Error</t>
  </si>
  <si>
    <t>S010151: No Destination Received</t>
  </si>
  <si>
    <t>S010152: Lane Full</t>
  </si>
  <si>
    <t>S010152: Lane Non-Operational</t>
  </si>
  <si>
    <t>S010152: Throughput Limit</t>
  </si>
  <si>
    <t>S010152: Failed to Divert</t>
  </si>
  <si>
    <t>S010152: Tracking Error</t>
  </si>
  <si>
    <t>S010152: Gap Error</t>
  </si>
  <si>
    <t>S010152: No Destination Received</t>
  </si>
  <si>
    <t>S010153: Lane Full</t>
  </si>
  <si>
    <t>S010153: Lane Non-Operational</t>
  </si>
  <si>
    <t>S010153: Throughput Limit</t>
  </si>
  <si>
    <t>S010153: Failed to Divert</t>
  </si>
  <si>
    <t>S010153: Tracking Error</t>
  </si>
  <si>
    <t>S010153: Gap Error</t>
  </si>
  <si>
    <t>S010153: No Destination Received</t>
  </si>
  <si>
    <t>S010154: Lane Full</t>
  </si>
  <si>
    <t>S010154: Lane Non-Operational</t>
  </si>
  <si>
    <t>S010154: Throughput Limit</t>
  </si>
  <si>
    <t>S010154: Failed to Divert</t>
  </si>
  <si>
    <t>S010154: Tracking Error</t>
  </si>
  <si>
    <t>S010154: Gap Error</t>
  </si>
  <si>
    <t>S010154: No Destination Received</t>
  </si>
  <si>
    <t>S010156: Lane Full</t>
  </si>
  <si>
    <t>S010156: Lane Non-Operational</t>
  </si>
  <si>
    <t>S010156: Throughput Limit</t>
  </si>
  <si>
    <t>S010156: Failed to Divert</t>
  </si>
  <si>
    <t>S010156: Tracking Error</t>
  </si>
  <si>
    <t>S010156: Gap Error</t>
  </si>
  <si>
    <t>S010156: No Destination Received</t>
  </si>
  <si>
    <t>S010157: Lane Full</t>
  </si>
  <si>
    <t>S010157: Lane Non-Operational</t>
  </si>
  <si>
    <t>S010157: Throughput Limit</t>
  </si>
  <si>
    <t>S010157: Failed to Divert</t>
  </si>
  <si>
    <t>S010157: Tracking Error</t>
  </si>
  <si>
    <t>S010157: Gap Error</t>
  </si>
  <si>
    <t>S010157: No Destination Received</t>
  </si>
  <si>
    <t>S010158: Lane Full</t>
  </si>
  <si>
    <t>S010158: Lane Non-Operational</t>
  </si>
  <si>
    <t>S010158: Throughput Limit</t>
  </si>
  <si>
    <t>S010158: Failed to Divert</t>
  </si>
  <si>
    <t>S010158: Tracking Error</t>
  </si>
  <si>
    <t>S010158: Gap Error</t>
  </si>
  <si>
    <t>S010158: No Destination Received</t>
  </si>
  <si>
    <t>S010159: Lane Full</t>
  </si>
  <si>
    <t>S010159: Lane Non-Operational</t>
  </si>
  <si>
    <t>S010159: Throughput Limit</t>
  </si>
  <si>
    <t>S010159: Failed to Divert</t>
  </si>
  <si>
    <t>S010159: Tracking Error</t>
  </si>
  <si>
    <t>S010159: Gap Error</t>
  </si>
  <si>
    <t>S010159: No Destination Received</t>
  </si>
  <si>
    <t>S010160: Lane Full</t>
  </si>
  <si>
    <t>S010160: Lane Non-Operational</t>
  </si>
  <si>
    <t>S010160: Throughput Limit</t>
  </si>
  <si>
    <t>S010160: Failed to Divert</t>
  </si>
  <si>
    <t>S010160: Tracking Error</t>
  </si>
  <si>
    <t>S010160: Gap Error</t>
  </si>
  <si>
    <t>S010160: No Destination Received</t>
  </si>
  <si>
    <t>S010162: Lane Full</t>
  </si>
  <si>
    <t>S010162: Lane Non-Operational</t>
  </si>
  <si>
    <t>S010162: Throughput Limit</t>
  </si>
  <si>
    <t>S010162: Failed to Divert</t>
  </si>
  <si>
    <t>S010162: Tracking Error</t>
  </si>
  <si>
    <t>S010162: Gap Error</t>
  </si>
  <si>
    <t>S010162: No Destination Received</t>
  </si>
  <si>
    <t>S010164: Lane Full</t>
  </si>
  <si>
    <t>S010164: Lane Non-Operational</t>
  </si>
  <si>
    <t>S010164: Throughput Limit</t>
  </si>
  <si>
    <t>S010164: Failed to Divert</t>
  </si>
  <si>
    <t>S010164: Tracking Error</t>
  </si>
  <si>
    <t>S010164: Gap Error</t>
  </si>
  <si>
    <t>S010164: No Destination Received</t>
  </si>
  <si>
    <t>S010165: Lane Full</t>
  </si>
  <si>
    <t>S010165: Lane Non-Operational</t>
  </si>
  <si>
    <t>S010165: Throughput Limit</t>
  </si>
  <si>
    <t>S010165: Failed to Divert</t>
  </si>
  <si>
    <t>S010165: Tracking Error</t>
  </si>
  <si>
    <t>S010165: Gap Error</t>
  </si>
  <si>
    <t>S010165: No Destination Received</t>
  </si>
  <si>
    <t>S010167: Lane Full</t>
  </si>
  <si>
    <t>S010167: Lane Non-Operational</t>
  </si>
  <si>
    <t>S010167: Throughput Limit</t>
  </si>
  <si>
    <t>S010167: Failed to Divert</t>
  </si>
  <si>
    <t>S010167: Tracking Error</t>
  </si>
  <si>
    <t>S010167: Gap Error</t>
  </si>
  <si>
    <t>S010167: No Destination Received</t>
  </si>
  <si>
    <t>S010168: Lane Full</t>
  </si>
  <si>
    <t>S010168: Lane Non-Operational</t>
  </si>
  <si>
    <t>S010168: Throughput Limit</t>
  </si>
  <si>
    <t>S010168: Failed to Divert</t>
  </si>
  <si>
    <t>S010168: Tracking Error</t>
  </si>
  <si>
    <t>S010168: Gap Error</t>
  </si>
  <si>
    <t>S010168: No Destination Received</t>
  </si>
  <si>
    <t>S010171: Lane Full</t>
  </si>
  <si>
    <t>S010171: Lane Non-Operational</t>
  </si>
  <si>
    <t>S010171: Throughput Limit</t>
  </si>
  <si>
    <t>S010171: Failed to Divert</t>
  </si>
  <si>
    <t>S010171: Tracking Error</t>
  </si>
  <si>
    <t>S010171: Gap Error</t>
  </si>
  <si>
    <t>S010171: No Destination Received</t>
  </si>
  <si>
    <t>S010172: Lane Full</t>
  </si>
  <si>
    <t>S010172: Lane Non-Operational</t>
  </si>
  <si>
    <t>S010172: Throughput Limit</t>
  </si>
  <si>
    <t>S010172: Failed to Divert</t>
  </si>
  <si>
    <t>S010172: Tracking Error</t>
  </si>
  <si>
    <t>S010172: Gap Error</t>
  </si>
  <si>
    <t>S010172: No Destination Received</t>
  </si>
  <si>
    <t>S010173: Lane Full</t>
  </si>
  <si>
    <t>S010173: Lane Non-Operational</t>
  </si>
  <si>
    <t>S010173: Throughput Limit</t>
  </si>
  <si>
    <t>S010173: Failed to Divert</t>
  </si>
  <si>
    <t>S010173: Tracking Error</t>
  </si>
  <si>
    <t>S010173: Gap Error</t>
  </si>
  <si>
    <t>S010173: No Destination Received</t>
  </si>
  <si>
    <t>S010174: Lane Full</t>
  </si>
  <si>
    <t>S010174: Lane Non-Operational</t>
  </si>
  <si>
    <t>S010174: Throughput Limit</t>
  </si>
  <si>
    <t>S010174: Failed to Divert</t>
  </si>
  <si>
    <t>S010174: Tracking Error</t>
  </si>
  <si>
    <t>S010174: Gap Error</t>
  </si>
  <si>
    <t>S010174: No Destination Received</t>
  </si>
  <si>
    <t>S010175: Lane Full</t>
  </si>
  <si>
    <t>S010175: Lane Non-Operational</t>
  </si>
  <si>
    <t>S010175: Throughput Limit</t>
  </si>
  <si>
    <t>S010175: Failed to Divert</t>
  </si>
  <si>
    <t>S010175: Tracking Error</t>
  </si>
  <si>
    <t>S010175: Gap Error</t>
  </si>
  <si>
    <t>S010175: No Destination Received</t>
  </si>
  <si>
    <t>S010176: Lane Full</t>
  </si>
  <si>
    <t>S010176: Lane Non-Operational</t>
  </si>
  <si>
    <t>S010176: Throughput Limit</t>
  </si>
  <si>
    <t>S010176: Failed to Divert</t>
  </si>
  <si>
    <t>S010176: Tracking Error</t>
  </si>
  <si>
    <t>S010176: Gap Error</t>
  </si>
  <si>
    <t>S010176: No Destination Received</t>
  </si>
  <si>
    <t>S010178: Lane Full</t>
  </si>
  <si>
    <t>S010178: Lane Non-Operational</t>
  </si>
  <si>
    <t>S010178: Throughput Limit</t>
  </si>
  <si>
    <t>S010178: Failed to Divert</t>
  </si>
  <si>
    <t>S010178: Tracking Error</t>
  </si>
  <si>
    <t>S010178: Gap Error</t>
  </si>
  <si>
    <t>S010178: No Destination Received</t>
  </si>
  <si>
    <t>S010179: Lane Full</t>
  </si>
  <si>
    <t>S010179: Lane Non-Operational</t>
  </si>
  <si>
    <t>S010179: Throughput Limit</t>
  </si>
  <si>
    <t>S010179: Failed to Divert</t>
  </si>
  <si>
    <t>S010179: Tracking Error</t>
  </si>
  <si>
    <t>S010179: Gap Error</t>
  </si>
  <si>
    <t>S010179: No Destination Received</t>
  </si>
  <si>
    <t>S010180: Lane Full</t>
  </si>
  <si>
    <t>S010180: Lane Non-Operational</t>
  </si>
  <si>
    <t>S010180: Throughput Limit</t>
  </si>
  <si>
    <t>S010180: Failed to Divert</t>
  </si>
  <si>
    <t>S010180: Tracking Error</t>
  </si>
  <si>
    <t>S010180: Gap Error</t>
  </si>
  <si>
    <t>S010180: No Destination Received</t>
  </si>
  <si>
    <t>S010182: Lane Full</t>
  </si>
  <si>
    <t>S010182: Lane Non-Operational</t>
  </si>
  <si>
    <t>S010182: Throughput Limit</t>
  </si>
  <si>
    <t>S010182: Failed to Divert</t>
  </si>
  <si>
    <t>S010182: Tracking Error</t>
  </si>
  <si>
    <t>S010182: Gap Error</t>
  </si>
  <si>
    <t>S010182: No Destination Received</t>
  </si>
  <si>
    <t>S010183: Lane Full</t>
  </si>
  <si>
    <t>S010183: Lane Non-Operational</t>
  </si>
  <si>
    <t>S010183: Throughput Limit</t>
  </si>
  <si>
    <t>S010183: Failed to Divert</t>
  </si>
  <si>
    <t>S010183: Tracking Error</t>
  </si>
  <si>
    <t>S010183: Gap Error</t>
  </si>
  <si>
    <t>S010183: No Destination Received</t>
  </si>
  <si>
    <t>S010184: Lane Full</t>
  </si>
  <si>
    <t>S010184: Lane Non-Operational</t>
  </si>
  <si>
    <t>S010184: Throughput Limit</t>
  </si>
  <si>
    <t>S010184: Failed to Divert</t>
  </si>
  <si>
    <t>S010184: Tracking Error</t>
  </si>
  <si>
    <t>S010184: Gap Error</t>
  </si>
  <si>
    <t>S010184: No Destination Received</t>
  </si>
  <si>
    <t>S010185: Lane Full</t>
  </si>
  <si>
    <t>S010185: Lane Non-Operational</t>
  </si>
  <si>
    <t>S010185: Throughput Limit</t>
  </si>
  <si>
    <t>S010185: Failed to Divert</t>
  </si>
  <si>
    <t>S010185: Tracking Error</t>
  </si>
  <si>
    <t>S010185: Gap Error</t>
  </si>
  <si>
    <t>S010185: No Destination Received</t>
  </si>
  <si>
    <t>S010186: Lane Full</t>
  </si>
  <si>
    <t>S010186: Lane Non-Operational</t>
  </si>
  <si>
    <t>S010186: Throughput Limit</t>
  </si>
  <si>
    <t>S010186: Failed to Divert</t>
  </si>
  <si>
    <t>S010186: Tracking Error</t>
  </si>
  <si>
    <t>S010186: Gap Error</t>
  </si>
  <si>
    <t>S010186: No Destination Received</t>
  </si>
  <si>
    <t>S010187: Lane Full</t>
  </si>
  <si>
    <t>S010187: Lane Non-Operational</t>
  </si>
  <si>
    <t>S010187: Throughput Limit</t>
  </si>
  <si>
    <t>S010187: Failed to Divert</t>
  </si>
  <si>
    <t>S010187: Tracking Error</t>
  </si>
  <si>
    <t>S010187: Gap Error</t>
  </si>
  <si>
    <t>S010187: No Destination Received</t>
  </si>
  <si>
    <t>S010188: Lane Full</t>
  </si>
  <si>
    <t>S010188: Lane Non-Operational</t>
  </si>
  <si>
    <t>S010188: Throughput Limit</t>
  </si>
  <si>
    <t>S010188: Failed to Divert</t>
  </si>
  <si>
    <t>S010188: Tracking Error</t>
  </si>
  <si>
    <t>S010188: Gap Error</t>
  </si>
  <si>
    <t>S010188: No Destination Received</t>
  </si>
  <si>
    <t>S010190: Lane Full</t>
  </si>
  <si>
    <t>S010190: Lane Non-Operational</t>
  </si>
  <si>
    <t>S010190: Throughput Limit</t>
  </si>
  <si>
    <t>S010190: Failed to Divert</t>
  </si>
  <si>
    <t>S010190: Tracking Error</t>
  </si>
  <si>
    <t>S010190: Gap Error</t>
  </si>
  <si>
    <t>S010190: No Destination Received</t>
  </si>
  <si>
    <t>S010191: Lane Full</t>
  </si>
  <si>
    <t>S010191: Lane Non-Operational</t>
  </si>
  <si>
    <t>S010191: Throughput Limit</t>
  </si>
  <si>
    <t>S010191: Failed to Divert</t>
  </si>
  <si>
    <t>S010191: Tracking Error</t>
  </si>
  <si>
    <t>S010191: Gap Error</t>
  </si>
  <si>
    <t>S010191: No Destination Received</t>
  </si>
  <si>
    <t>S010194: Lane Full</t>
  </si>
  <si>
    <t>S010194: Lane Non-Operational</t>
  </si>
  <si>
    <t>S010194: Throughput Limit</t>
  </si>
  <si>
    <t>S010194: Failed to Divert</t>
  </si>
  <si>
    <t>S010194: Tracking Error</t>
  </si>
  <si>
    <t>S010194: Gap Error</t>
  </si>
  <si>
    <t>S010194: No Destination Received</t>
  </si>
  <si>
    <t>S010196: Lane Full</t>
  </si>
  <si>
    <t>S010196: Lane Non-Operational</t>
  </si>
  <si>
    <t>S010196: Throughput Limit</t>
  </si>
  <si>
    <t>S010196: Failed to Divert</t>
  </si>
  <si>
    <t>S010196: Tracking Error</t>
  </si>
  <si>
    <t>S010196: Gap Error</t>
  </si>
  <si>
    <t>S010196: No Destination Received</t>
  </si>
  <si>
    <t>S010198: Lane Full</t>
  </si>
  <si>
    <t>S010198: Lane Non-Operational</t>
  </si>
  <si>
    <t>S010198: Throughput Limit</t>
  </si>
  <si>
    <t>S010198: Failed to Divert</t>
  </si>
  <si>
    <t>S010198: Tracking Error</t>
  </si>
  <si>
    <t>S010198: Gap Error</t>
  </si>
  <si>
    <t>S010198: No Destination Received</t>
  </si>
  <si>
    <t>S010199: Lane Full</t>
  </si>
  <si>
    <t>S010199: Lane Non-Operational</t>
  </si>
  <si>
    <t>S010199: Throughput Limit</t>
  </si>
  <si>
    <t>S010199: Failed to Divert</t>
  </si>
  <si>
    <t>S010199: Tracking Error</t>
  </si>
  <si>
    <t>S010199: Gap Error</t>
  </si>
  <si>
    <t>S010199: No Destination Received</t>
  </si>
  <si>
    <t>S010200: Lane Full</t>
  </si>
  <si>
    <t>S010200: Lane Non-Operational</t>
  </si>
  <si>
    <t>S010200: Throughput Limit</t>
  </si>
  <si>
    <t>S010200: Failed to Divert</t>
  </si>
  <si>
    <t>S010200: Tracking Error</t>
  </si>
  <si>
    <t>S010200: Gap Error</t>
  </si>
  <si>
    <t>S010200: No Destination Received</t>
  </si>
  <si>
    <t>S010202: Lane Full</t>
  </si>
  <si>
    <t>S010202: Lane Non-Operational</t>
  </si>
  <si>
    <t>S010202: Throughput Limit</t>
  </si>
  <si>
    <t>S010202: Failed to Divert</t>
  </si>
  <si>
    <t>S010202: Tracking Error</t>
  </si>
  <si>
    <t>S010202: Gap Error</t>
  </si>
  <si>
    <t>S010202: No Destination Received</t>
  </si>
  <si>
    <t>S010218: Lane Full</t>
  </si>
  <si>
    <t>S010218: Lane Non-Operational</t>
  </si>
  <si>
    <t>S010218: Throughput Limit</t>
  </si>
  <si>
    <t>S010218: Failed to Divert</t>
  </si>
  <si>
    <t>S010218: Tracking Error</t>
  </si>
  <si>
    <t>S010218: Gap Error</t>
  </si>
  <si>
    <t>S010218: No Destination Received</t>
  </si>
  <si>
    <t>S010220: Lane Full</t>
  </si>
  <si>
    <t>S010220: Lane Non-Operational</t>
  </si>
  <si>
    <t>S010220: Throughput Limit</t>
  </si>
  <si>
    <t>S010220: Failed to Divert</t>
  </si>
  <si>
    <t>S010220: Tracking Error</t>
  </si>
  <si>
    <t>S010220: Gap Error</t>
  </si>
  <si>
    <t>S010220: No Destination Received</t>
  </si>
  <si>
    <t>S010330: Lane Full</t>
  </si>
  <si>
    <t>S010330: Lane Non-Operational</t>
  </si>
  <si>
    <t>S010330: Throughput Limit</t>
  </si>
  <si>
    <t>S010330: Failed to Divert</t>
  </si>
  <si>
    <t>S010330: Tracking Error</t>
  </si>
  <si>
    <t>S010330: Gap Error</t>
  </si>
  <si>
    <t>S010330: No Destination Received</t>
  </si>
  <si>
    <t>S010343: Lane Full</t>
  </si>
  <si>
    <t>S010343: Lane Non-Operational</t>
  </si>
  <si>
    <t>S010343: Throughput Limit</t>
  </si>
  <si>
    <t>S010343: Failed to Divert</t>
  </si>
  <si>
    <t>S010343: Tracking Error</t>
  </si>
  <si>
    <t>S010343: Gap Error</t>
  </si>
  <si>
    <t>S010343: No Destination Received</t>
  </si>
  <si>
    <t>S010345: Lane Full</t>
  </si>
  <si>
    <t>S010345: Lane Non-Operational</t>
  </si>
  <si>
    <t>S010345: Throughput Limit</t>
  </si>
  <si>
    <t>S010345: Failed to Divert</t>
  </si>
  <si>
    <t>S010345: Tracking Error</t>
  </si>
  <si>
    <t>S010345: Gap Error</t>
  </si>
  <si>
    <t>S010345: No Destination Received</t>
  </si>
  <si>
    <t>S010347: Lane Full</t>
  </si>
  <si>
    <t>S010347: Lane Non-Operational</t>
  </si>
  <si>
    <t>S010347: Throughput Limit</t>
  </si>
  <si>
    <t>S010347: Failed to Divert</t>
  </si>
  <si>
    <t>S010347: Tracking Error</t>
  </si>
  <si>
    <t>S010347: Gap Error</t>
  </si>
  <si>
    <t>S010347: No Destination Received</t>
  </si>
  <si>
    <t>S010349: Lane Full</t>
  </si>
  <si>
    <t>S010349: Lane Non-Operational</t>
  </si>
  <si>
    <t>S010349: Throughput Limit</t>
  </si>
  <si>
    <t>S010349: Failed to Divert</t>
  </si>
  <si>
    <t>S010349: Tracking Error</t>
  </si>
  <si>
    <t>S010349: Gap Error</t>
  </si>
  <si>
    <t>S010349: No Destination Received</t>
  </si>
  <si>
    <t>S010351: Lane Full</t>
  </si>
  <si>
    <t>S010351: Lane Non-Operational</t>
  </si>
  <si>
    <t>S010351: Throughput Limit</t>
  </si>
  <si>
    <t>S010351: Failed to Divert</t>
  </si>
  <si>
    <t>S010351: Tracking Error</t>
  </si>
  <si>
    <t>S010351: Gap Error</t>
  </si>
  <si>
    <t>S010351: No Destination Received</t>
  </si>
  <si>
    <t>S010352: Lane Full</t>
  </si>
  <si>
    <t>S010352: Lane Non-Operational</t>
  </si>
  <si>
    <t>S010352: Throughput Limit</t>
  </si>
  <si>
    <t>S010352: Failed to Divert</t>
  </si>
  <si>
    <t>S010352: Tracking Error</t>
  </si>
  <si>
    <t>S010352: Gap Error</t>
  </si>
  <si>
    <t>S010352: No Destination Received</t>
  </si>
  <si>
    <t>S010353: Lane Full</t>
  </si>
  <si>
    <t>S010353: Lane Non-Operational</t>
  </si>
  <si>
    <t>S010353: Throughput Limit</t>
  </si>
  <si>
    <t>S010353: Failed to Divert</t>
  </si>
  <si>
    <t>S010353: Tracking Error</t>
  </si>
  <si>
    <t>S010353: Gap Error</t>
  </si>
  <si>
    <t>S010353: No Destination Received</t>
  </si>
  <si>
    <t>S010355: Lane Full</t>
  </si>
  <si>
    <t>S010355: Lane Non-Operational</t>
  </si>
  <si>
    <t>S010355: Throughput Limit</t>
  </si>
  <si>
    <t>S010355: Failed to Divert</t>
  </si>
  <si>
    <t>S010355: Tracking Error</t>
  </si>
  <si>
    <t>S010355: Gap Error</t>
  </si>
  <si>
    <t>S010355: No Destination Received</t>
  </si>
  <si>
    <t>S010356: Lane Full</t>
  </si>
  <si>
    <t>S010356: Lane Non-Operational</t>
  </si>
  <si>
    <t>S010356: Throughput Limit</t>
  </si>
  <si>
    <t>S010356: Failed to Divert</t>
  </si>
  <si>
    <t>S010356: Tracking Error</t>
  </si>
  <si>
    <t>S010356: Gap Error</t>
  </si>
  <si>
    <t>S010356: No Destination Received</t>
  </si>
  <si>
    <t>S010357: Lane Full</t>
  </si>
  <si>
    <t>S010357: Lane Non-Operational</t>
  </si>
  <si>
    <t>S010357: Throughput Limit</t>
  </si>
  <si>
    <t>S010357: Failed to Divert</t>
  </si>
  <si>
    <t>S010357: Tracking Error</t>
  </si>
  <si>
    <t>S010357: Gap Error</t>
  </si>
  <si>
    <t>S010357: No Destination Received</t>
  </si>
  <si>
    <t>S010359: Lane Full</t>
  </si>
  <si>
    <t>S010359: Lane Non-Operational</t>
  </si>
  <si>
    <t>S010359: Throughput Limit</t>
  </si>
  <si>
    <t>S010359: Failed to Divert</t>
  </si>
  <si>
    <t>S010359: Tracking Error</t>
  </si>
  <si>
    <t>S010359: Gap Error</t>
  </si>
  <si>
    <t>S010359: No Destination Received</t>
  </si>
  <si>
    <t>S010360: Lane Full</t>
  </si>
  <si>
    <t>S010360: Lane Non-Operational</t>
  </si>
  <si>
    <t>S010360: Throughput Limit</t>
  </si>
  <si>
    <t>S010360: Failed to Divert</t>
  </si>
  <si>
    <t>S010360: Tracking Error</t>
  </si>
  <si>
    <t>S010360: Gap Error</t>
  </si>
  <si>
    <t>S010360: No Destination Received</t>
  </si>
  <si>
    <t>S010361: Lane Full</t>
  </si>
  <si>
    <t>S010361: Lane Non-Operational</t>
  </si>
  <si>
    <t>S010361: Throughput Limit</t>
  </si>
  <si>
    <t>S010361: Failed to Divert</t>
  </si>
  <si>
    <t>S010361: Tracking Error</t>
  </si>
  <si>
    <t>S010361: Gap Error</t>
  </si>
  <si>
    <t>S010361: No Destination Received</t>
  </si>
  <si>
    <t>S010363: Lane Full</t>
  </si>
  <si>
    <t>S010363: Lane Non-Operational</t>
  </si>
  <si>
    <t>S010363: Throughput Limit</t>
  </si>
  <si>
    <t>S010363: Failed to Divert</t>
  </si>
  <si>
    <t>S010363: Tracking Error</t>
  </si>
  <si>
    <t>S010363: Gap Error</t>
  </si>
  <si>
    <t>S010363: No Destination Received</t>
  </si>
  <si>
    <t>S010364: Lane Full</t>
  </si>
  <si>
    <t>S010364: Lane Non-Operational</t>
  </si>
  <si>
    <t>S010364: Throughput Limit</t>
  </si>
  <si>
    <t>S010364: Failed to Divert</t>
  </si>
  <si>
    <t>S010364: Tracking Error</t>
  </si>
  <si>
    <t>S010364: Gap Error</t>
  </si>
  <si>
    <t>S010364: No Destination Received</t>
  </si>
  <si>
    <t>S010365: Lane Full</t>
  </si>
  <si>
    <t>S010365: Lane Non-Operational</t>
  </si>
  <si>
    <t>S010365: Throughput Limit</t>
  </si>
  <si>
    <t>S010365: Failed to Divert</t>
  </si>
  <si>
    <t>S010365: Tracking Error</t>
  </si>
  <si>
    <t>S010365: Gap Error</t>
  </si>
  <si>
    <t>S010365: No Destination Received</t>
  </si>
  <si>
    <t>S010367: Lane Full</t>
  </si>
  <si>
    <t>S010367: Lane Non-Operational</t>
  </si>
  <si>
    <t>S010367: Throughput Limit</t>
  </si>
  <si>
    <t>S010367: Failed to Divert</t>
  </si>
  <si>
    <t>S010367: Tracking Error</t>
  </si>
  <si>
    <t>S010367: Gap Error</t>
  </si>
  <si>
    <t>S010367: No Destination Received</t>
  </si>
  <si>
    <t>S010369: Lane Full</t>
  </si>
  <si>
    <t>S010369: Lane Non-Operational</t>
  </si>
  <si>
    <t>S010369: Throughput Limit</t>
  </si>
  <si>
    <t>S010369: Failed to Divert</t>
  </si>
  <si>
    <t>S010369: Tracking Error</t>
  </si>
  <si>
    <t>S010369: Gap Error</t>
  </si>
  <si>
    <t>S010369: No Destination Received</t>
  </si>
  <si>
    <t>S010381: Lane Full</t>
  </si>
  <si>
    <t>S010381: Lane Non-Operational</t>
  </si>
  <si>
    <t>S010381: Throughput Limit</t>
  </si>
  <si>
    <t>S010381: Failed to Divert</t>
  </si>
  <si>
    <t>S010381: Tracking Error</t>
  </si>
  <si>
    <t>S010381: Gap Error</t>
  </si>
  <si>
    <t>S010381: No Destination Received</t>
  </si>
  <si>
    <t>S010382: Lane Full</t>
  </si>
  <si>
    <t>S010382: Lane Non-Operational</t>
  </si>
  <si>
    <t>S010382: Throughput Limit</t>
  </si>
  <si>
    <t>S010382: Failed to Divert</t>
  </si>
  <si>
    <t>S010382: Tracking Error</t>
  </si>
  <si>
    <t>S010382: Gap Error</t>
  </si>
  <si>
    <t>S010382: No Destination Received</t>
  </si>
  <si>
    <t>S010383: Lane Full</t>
  </si>
  <si>
    <t>S010383: Lane Non-Operational</t>
  </si>
  <si>
    <t>S010383: Throughput Limit</t>
  </si>
  <si>
    <t>S010383: Failed to Divert</t>
  </si>
  <si>
    <t>S010383: Tracking Error</t>
  </si>
  <si>
    <t>S010383: Gap Error</t>
  </si>
  <si>
    <t>S010383: No Destination Received</t>
  </si>
  <si>
    <t>S010385: Lane Full</t>
  </si>
  <si>
    <t>S010385: Lane Non-Operational</t>
  </si>
  <si>
    <t>S010385: Throughput Limit</t>
  </si>
  <si>
    <t>S010385: Failed to Divert</t>
  </si>
  <si>
    <t>S010385: Tracking Error</t>
  </si>
  <si>
    <t>S010385: Gap Error</t>
  </si>
  <si>
    <t>S010385: No Destination Received</t>
  </si>
  <si>
    <t>S010386: Lane Full</t>
  </si>
  <si>
    <t>S010386: Lane Non-Operational</t>
  </si>
  <si>
    <t>S010386: Throughput Limit</t>
  </si>
  <si>
    <t>S010386: Failed to Divert</t>
  </si>
  <si>
    <t>S010386: Tracking Error</t>
  </si>
  <si>
    <t>S010386: Gap Error</t>
  </si>
  <si>
    <t>S010386: No Destination Received</t>
  </si>
  <si>
    <t>S010389: Lane Full</t>
  </si>
  <si>
    <t>S010389: Lane Non-Operational</t>
  </si>
  <si>
    <t>S010389: Throughput Limit</t>
  </si>
  <si>
    <t>S010389: Failed to Divert</t>
  </si>
  <si>
    <t>S010389: Tracking Error</t>
  </si>
  <si>
    <t>S010389: Gap Error</t>
  </si>
  <si>
    <t>S010389: No Destination Received</t>
  </si>
  <si>
    <t>S010390: Lane Full</t>
  </si>
  <si>
    <t>S010390: Lane Non-Operational</t>
  </si>
  <si>
    <t>S010390: Throughput Limit</t>
  </si>
  <si>
    <t>S010390: Failed to Divert</t>
  </si>
  <si>
    <t>S010390: Tracking Error</t>
  </si>
  <si>
    <t>S010390: Gap Error</t>
  </si>
  <si>
    <t>S010390: No Destination Received</t>
  </si>
  <si>
    <t>S010391: Lane Full</t>
  </si>
  <si>
    <t>S010391: Lane Non-Operational</t>
  </si>
  <si>
    <t>S010391: Throughput Limit</t>
  </si>
  <si>
    <t>S010391: Failed to Divert</t>
  </si>
  <si>
    <t>S010391: Tracking Error</t>
  </si>
  <si>
    <t>S010391: Gap Error</t>
  </si>
  <si>
    <t>S010391: No Destination Received</t>
  </si>
  <si>
    <t>S010393: Lane Full</t>
  </si>
  <si>
    <t>S010393: Lane Non-Operational</t>
  </si>
  <si>
    <t>S010393: Throughput Limit</t>
  </si>
  <si>
    <t>S010393: Failed to Divert</t>
  </si>
  <si>
    <t>S010393: Tracking Error</t>
  </si>
  <si>
    <t>S010393: Gap Error</t>
  </si>
  <si>
    <t>S010393: No Destination Received</t>
  </si>
  <si>
    <t>S010394: Lane Full</t>
  </si>
  <si>
    <t>S010394: Lane Non-Operational</t>
  </si>
  <si>
    <t>S010394: Throughput Limit</t>
  </si>
  <si>
    <t>S010394: Failed to Divert</t>
  </si>
  <si>
    <t>S010394: Tracking Error</t>
  </si>
  <si>
    <t>S010394: Gap Error</t>
  </si>
  <si>
    <t>S010394: No Destination Received</t>
  </si>
  <si>
    <t>S010395: Lane Full</t>
  </si>
  <si>
    <t>S010395: Lane Non-Operational</t>
  </si>
  <si>
    <t>S010395: Throughput Limit</t>
  </si>
  <si>
    <t>S010395: Failed to Divert</t>
  </si>
  <si>
    <t>S010395: Tracking Error</t>
  </si>
  <si>
    <t>S010395: Gap Error</t>
  </si>
  <si>
    <t>S010395: No Destination Received</t>
  </si>
  <si>
    <t>S010397: Lane Full</t>
  </si>
  <si>
    <t>S010397: Lane Non-Operational</t>
  </si>
  <si>
    <t>S010397: Throughput Limit</t>
  </si>
  <si>
    <t>S010397: Failed to Divert</t>
  </si>
  <si>
    <t>S010397: Tracking Error</t>
  </si>
  <si>
    <t>S010397: Gap Error</t>
  </si>
  <si>
    <t>S010397: No Destination Received</t>
  </si>
  <si>
    <t>S010399: Lane Full</t>
  </si>
  <si>
    <t>S010399: Lane Non-Operational</t>
  </si>
  <si>
    <t>S010399: Throughput Limit</t>
  </si>
  <si>
    <t>S010399: Failed to Divert</t>
  </si>
  <si>
    <t>S010399: Tracking Error</t>
  </si>
  <si>
    <t>S010399: Gap Error</t>
  </si>
  <si>
    <t>S010399: No Destination Received</t>
  </si>
  <si>
    <t>S010400: Lane Full</t>
  </si>
  <si>
    <t>S010400: Lane Non-Operational</t>
  </si>
  <si>
    <t>S010400: Throughput Limit</t>
  </si>
  <si>
    <t>S010400: Failed to Divert</t>
  </si>
  <si>
    <t>S010400: Tracking Error</t>
  </si>
  <si>
    <t>S010400: Gap Error</t>
  </si>
  <si>
    <t>S010400: No Destination Received</t>
  </si>
  <si>
    <t>S010516: Lane Full</t>
  </si>
  <si>
    <t>S010516: Lane Non-Operational</t>
  </si>
  <si>
    <t>S010516: Throughput Limit</t>
  </si>
  <si>
    <t>S010516: Failed to Divert</t>
  </si>
  <si>
    <t>S010516: Tracking Error</t>
  </si>
  <si>
    <t>S010516: Gap Error</t>
  </si>
  <si>
    <t>S010516: No Destination Received</t>
  </si>
  <si>
    <t>S010536: Lane Full</t>
  </si>
  <si>
    <t>S010536: Lane Non-Operational</t>
  </si>
  <si>
    <t>S010536: Throughput Limit</t>
  </si>
  <si>
    <t>S010536: Failed to Divert</t>
  </si>
  <si>
    <t>S010536: Tracking Error</t>
  </si>
  <si>
    <t>S010536: Gap Error</t>
  </si>
  <si>
    <t>S010536: No Destination Received</t>
  </si>
  <si>
    <t>S010562: Lane Full</t>
  </si>
  <si>
    <t>S010562: Lane Non-Operational</t>
  </si>
  <si>
    <t>S010562: Throughput Limit</t>
  </si>
  <si>
    <t>S010562: Failed to Divert</t>
  </si>
  <si>
    <t>S010562: Tracking Error</t>
  </si>
  <si>
    <t>S010562: Gap Error</t>
  </si>
  <si>
    <t>S010562: No Destination Received</t>
  </si>
  <si>
    <t>S010564: Lane Full</t>
  </si>
  <si>
    <t>S010564: Lane Non-Operational</t>
  </si>
  <si>
    <t>S010564: Throughput Limit</t>
  </si>
  <si>
    <t>S010564: Failed to Divert</t>
  </si>
  <si>
    <t>S010564: Tracking Error</t>
  </si>
  <si>
    <t>S010564: Gap Error</t>
  </si>
  <si>
    <t>S010564: No Destination Received</t>
  </si>
  <si>
    <t>S010566: Lane Full</t>
  </si>
  <si>
    <t>S010566: Lane Non-Operational</t>
  </si>
  <si>
    <t>S010566: Throughput Limit</t>
  </si>
  <si>
    <t>S010566: Failed to Divert</t>
  </si>
  <si>
    <t>S010566: Tracking Error</t>
  </si>
  <si>
    <t>S010566: Gap Error</t>
  </si>
  <si>
    <t>S010566: No Destination Received</t>
  </si>
  <si>
    <t>S010567: Lane Full</t>
  </si>
  <si>
    <t>S010567: Lane Non-Operational</t>
  </si>
  <si>
    <t>S010567: Throughput Limit</t>
  </si>
  <si>
    <t>S010567: Failed to Divert</t>
  </si>
  <si>
    <t>S010567: Tracking Error</t>
  </si>
  <si>
    <t>S010567: Gap Error</t>
  </si>
  <si>
    <t>S010567: No Destination Received</t>
  </si>
  <si>
    <t>S010568: Lane Full</t>
  </si>
  <si>
    <t>S010568: Lane Non-Operational</t>
  </si>
  <si>
    <t>S010568: Throughput Limit</t>
  </si>
  <si>
    <t>S010568: Failed to Divert</t>
  </si>
  <si>
    <t>S010568: Tracking Error</t>
  </si>
  <si>
    <t>S010568: Gap Error</t>
  </si>
  <si>
    <t>S010568: No Destination Received</t>
  </si>
  <si>
    <t>S010570: Lane Full</t>
  </si>
  <si>
    <t>S010570: Lane Non-Operational</t>
  </si>
  <si>
    <t>S010570: Throughput Limit</t>
  </si>
  <si>
    <t>S010570: Failed to Divert</t>
  </si>
  <si>
    <t>S010570: Tracking Error</t>
  </si>
  <si>
    <t>S010570: Gap Error</t>
  </si>
  <si>
    <t>S010570: No Destination Received</t>
  </si>
  <si>
    <t>S010571: Lane Full</t>
  </si>
  <si>
    <t>S010571: Lane Non-Operational</t>
  </si>
  <si>
    <t>S010571: Throughput Limit</t>
  </si>
  <si>
    <t>S010571: Failed to Divert</t>
  </si>
  <si>
    <t>S010571: Tracking Error</t>
  </si>
  <si>
    <t>S010571: Gap Error</t>
  </si>
  <si>
    <t>S010571: No Destination Received</t>
  </si>
  <si>
    <t>S010572: Lane Full</t>
  </si>
  <si>
    <t>S010572: Lane Non-Operational</t>
  </si>
  <si>
    <t>S010572: Throughput Limit</t>
  </si>
  <si>
    <t>S010572: Failed to Divert</t>
  </si>
  <si>
    <t>S010572: Tracking Error</t>
  </si>
  <si>
    <t>S010572: Gap Error</t>
  </si>
  <si>
    <t>S010572: No Destination Received</t>
  </si>
  <si>
    <t>S010574: Lane Full</t>
  </si>
  <si>
    <t>S010574: Lane Non-Operational</t>
  </si>
  <si>
    <t>S010574: Throughput Limit</t>
  </si>
  <si>
    <t>S010574: Failed to Divert</t>
  </si>
  <si>
    <t>S010574: Tracking Error</t>
  </si>
  <si>
    <t>S010574: Gap Error</t>
  </si>
  <si>
    <t>S010574: No Destination Received</t>
  </si>
  <si>
    <t>S010575: Lane Full</t>
  </si>
  <si>
    <t>S010575: Lane Non-Operational</t>
  </si>
  <si>
    <t>S010575: Throughput Limit</t>
  </si>
  <si>
    <t>S010575: Failed to Divert</t>
  </si>
  <si>
    <t>S010575: Tracking Error</t>
  </si>
  <si>
    <t>S010575: Gap Error</t>
  </si>
  <si>
    <t>S010575: No Destination Received</t>
  </si>
  <si>
    <t>S010576: Lane Full</t>
  </si>
  <si>
    <t>S010576: Lane Non-Operational</t>
  </si>
  <si>
    <t>S010576: Throughput Limit</t>
  </si>
  <si>
    <t>S010576: Failed to Divert</t>
  </si>
  <si>
    <t>S010576: Tracking Error</t>
  </si>
  <si>
    <t>S010576: Gap Error</t>
  </si>
  <si>
    <t>S010576: No Destination Received</t>
  </si>
  <si>
    <t>S010578: Lane Full</t>
  </si>
  <si>
    <t>S010578: Lane Non-Operational</t>
  </si>
  <si>
    <t>S010578: Throughput Limit</t>
  </si>
  <si>
    <t>S010578: Failed to Divert</t>
  </si>
  <si>
    <t>S010578: Tracking Error</t>
  </si>
  <si>
    <t>S010578: Gap Error</t>
  </si>
  <si>
    <t>S010578: No Destination Received</t>
  </si>
  <si>
    <t>S010579: Lane Full</t>
  </si>
  <si>
    <t>S010579: Lane Non-Operational</t>
  </si>
  <si>
    <t>S010579: Throughput Limit</t>
  </si>
  <si>
    <t>S010579: Failed to Divert</t>
  </si>
  <si>
    <t>S010579: Tracking Error</t>
  </si>
  <si>
    <t>S010579: Gap Error</t>
  </si>
  <si>
    <t>S010579: No Destination Received</t>
  </si>
  <si>
    <t>S010580: Lane Full</t>
  </si>
  <si>
    <t>S010580: Lane Non-Operational</t>
  </si>
  <si>
    <t>S010580: Throughput Limit</t>
  </si>
  <si>
    <t>S010580: Failed to Divert</t>
  </si>
  <si>
    <t>S010580: Tracking Error</t>
  </si>
  <si>
    <t>S010580: Gap Error</t>
  </si>
  <si>
    <t>S010580: No Destination Received</t>
  </si>
  <si>
    <t>S010582: Lane Full</t>
  </si>
  <si>
    <t>S010582: Lane Non-Operational</t>
  </si>
  <si>
    <t>S010582: Throughput Limit</t>
  </si>
  <si>
    <t>S010582: Failed to Divert</t>
  </si>
  <si>
    <t>S010582: Tracking Error</t>
  </si>
  <si>
    <t>S010582: Gap Error</t>
  </si>
  <si>
    <t>S010582: No Destination Received</t>
  </si>
  <si>
    <t>S010584: Lane Full</t>
  </si>
  <si>
    <t>S010584: Lane Non-Operational</t>
  </si>
  <si>
    <t>S010584: Throughput Limit</t>
  </si>
  <si>
    <t>S010584: Failed to Divert</t>
  </si>
  <si>
    <t>S010584: Tracking Error</t>
  </si>
  <si>
    <t>S010584: Gap Error</t>
  </si>
  <si>
    <t>S010584: No Destination Received</t>
  </si>
  <si>
    <t>S010586: Lane Full</t>
  </si>
  <si>
    <t>S010586: Lane Non-Operational</t>
  </si>
  <si>
    <t>S010586: Throughput Limit</t>
  </si>
  <si>
    <t>S010586: Failed to Divert</t>
  </si>
  <si>
    <t>S010586: Tracking Error</t>
  </si>
  <si>
    <t>S010586: Gap Error</t>
  </si>
  <si>
    <t>S010586: No Destination Received</t>
  </si>
  <si>
    <t>S010588: Lane Full</t>
  </si>
  <si>
    <t>S010588: Lane Non-Operational</t>
  </si>
  <si>
    <t>S010588: Throughput Limit</t>
  </si>
  <si>
    <t>S010588: Failed to Divert</t>
  </si>
  <si>
    <t>S010588: Tracking Error</t>
  </si>
  <si>
    <t>S010588: Gap Error</t>
  </si>
  <si>
    <t>S010588: No Destination Received</t>
  </si>
  <si>
    <t>S010590: Lane Full</t>
  </si>
  <si>
    <t>S010590: Lane Non-Operational</t>
  </si>
  <si>
    <t>S010590: Throughput Limit</t>
  </si>
  <si>
    <t>S010590: Failed to Divert</t>
  </si>
  <si>
    <t>S010590: Tracking Error</t>
  </si>
  <si>
    <t>S010590: Gap Error</t>
  </si>
  <si>
    <t>S010590: No Destination Received</t>
  </si>
  <si>
    <t>S010727: Lane Full</t>
  </si>
  <si>
    <t>S010727: Lane Non-Operational</t>
  </si>
  <si>
    <t>S010727: Throughput Limit</t>
  </si>
  <si>
    <t>S010727: Failed to Divert</t>
  </si>
  <si>
    <t>S010727: Tracking Error</t>
  </si>
  <si>
    <t>S010727: Gap Error</t>
  </si>
  <si>
    <t>S010727: No Destination Received</t>
  </si>
  <si>
    <t>S010729: Lane Full</t>
  </si>
  <si>
    <t>S010729: Lane Non-Operational</t>
  </si>
  <si>
    <t>S010729: Throughput Limit</t>
  </si>
  <si>
    <t>S010729: Failed to Divert</t>
  </si>
  <si>
    <t>S010729: Tracking Error</t>
  </si>
  <si>
    <t>S010729: Gap Error</t>
  </si>
  <si>
    <t>S010729: No Destination Received</t>
  </si>
  <si>
    <t>S010731: Lane Full</t>
  </si>
  <si>
    <t>S010731: Lane Non-Operational</t>
  </si>
  <si>
    <t>S010731: Throughput Limit</t>
  </si>
  <si>
    <t>S010731: Failed to Divert</t>
  </si>
  <si>
    <t>S010731: Tracking Error</t>
  </si>
  <si>
    <t>S010731: Gap Error</t>
  </si>
  <si>
    <t>S010731: No Destination Received</t>
  </si>
  <si>
    <t>S010734: Lane Full</t>
  </si>
  <si>
    <t>S010734: Lane Non-Operational</t>
  </si>
  <si>
    <t>S010734: Throughput Limit</t>
  </si>
  <si>
    <t>S010734: Failed to Divert</t>
  </si>
  <si>
    <t>S010734: Tracking Error</t>
  </si>
  <si>
    <t>S010734: Gap Error</t>
  </si>
  <si>
    <t>S010734: No Destination Received</t>
  </si>
  <si>
    <t>S010735: Lane Full</t>
  </si>
  <si>
    <t>S010735: Lane Non-Operational</t>
  </si>
  <si>
    <t>S010735: Throughput Limit</t>
  </si>
  <si>
    <t>S010735: Failed to Divert</t>
  </si>
  <si>
    <t>S010735: Tracking Error</t>
  </si>
  <si>
    <t>S010735: Gap Error</t>
  </si>
  <si>
    <t>S010735: No Destination Received</t>
  </si>
  <si>
    <t>S010737: Lane Full</t>
  </si>
  <si>
    <t>S010737: Lane Non-Operational</t>
  </si>
  <si>
    <t>S010737: Throughput Limit</t>
  </si>
  <si>
    <t>S010737: Failed to Divert</t>
  </si>
  <si>
    <t>S010737: Tracking Error</t>
  </si>
  <si>
    <t>S010737: Gap Error</t>
  </si>
  <si>
    <t>S010737: No Destination Received</t>
  </si>
  <si>
    <t>S010738: Lane Full</t>
  </si>
  <si>
    <t>S010738: Lane Non-Operational</t>
  </si>
  <si>
    <t>S010738: Throughput Limit</t>
  </si>
  <si>
    <t>S010738: Failed to Divert</t>
  </si>
  <si>
    <t>S010738: Tracking Error</t>
  </si>
  <si>
    <t>S010738: Gap Error</t>
  </si>
  <si>
    <t>S010738: No Destination Received</t>
  </si>
  <si>
    <t>S010739: Lane Full</t>
  </si>
  <si>
    <t>S010739: Lane Non-Operational</t>
  </si>
  <si>
    <t>S010739: Throughput Limit</t>
  </si>
  <si>
    <t>S010739: Failed to Divert</t>
  </si>
  <si>
    <t>S010739: Tracking Error</t>
  </si>
  <si>
    <t>S010739: Gap Error</t>
  </si>
  <si>
    <t>S010739: No Destination Received</t>
  </si>
  <si>
    <t>S010740: Lane Full</t>
  </si>
  <si>
    <t>S010740: Lane Non-Operational</t>
  </si>
  <si>
    <t>S010740: Throughput Limit</t>
  </si>
  <si>
    <t>S010740: Failed to Divert</t>
  </si>
  <si>
    <t>S010740: Tracking Error</t>
  </si>
  <si>
    <t>S010740: Gap Error</t>
  </si>
  <si>
    <t>S010740: No Destination Received</t>
  </si>
  <si>
    <t>S010741: Lane Full</t>
  </si>
  <si>
    <t>S010741: Lane Non-Operational</t>
  </si>
  <si>
    <t>S010741: Throughput Limit</t>
  </si>
  <si>
    <t>S010741: Failed to Divert</t>
  </si>
  <si>
    <t>S010741: Tracking Error</t>
  </si>
  <si>
    <t>S010741: Gap Error</t>
  </si>
  <si>
    <t>S010741: No Destination Received</t>
  </si>
  <si>
    <t>S010742: Lane Full</t>
  </si>
  <si>
    <t>S010742: Lane Non-Operational</t>
  </si>
  <si>
    <t>S010742: Throughput Limit</t>
  </si>
  <si>
    <t>S010742: Failed to Divert</t>
  </si>
  <si>
    <t>S010742: Tracking Error</t>
  </si>
  <si>
    <t>S010742: Gap Error</t>
  </si>
  <si>
    <t>S010742: No Destination Received</t>
  </si>
  <si>
    <t>S010743: Lane Full</t>
  </si>
  <si>
    <t>S010743: Lane Non-Operational</t>
  </si>
  <si>
    <t>S010743: Throughput Limit</t>
  </si>
  <si>
    <t>S010743: Failed to Divert</t>
  </si>
  <si>
    <t>S010743: Tracking Error</t>
  </si>
  <si>
    <t>S010743: Gap Error</t>
  </si>
  <si>
    <t>S010743: No Destination Received</t>
  </si>
  <si>
    <t>S010745: Lane Full</t>
  </si>
  <si>
    <t>S010745: Lane Non-Operational</t>
  </si>
  <si>
    <t>S010745: Throughput Limit</t>
  </si>
  <si>
    <t>S010745: Failed to Divert</t>
  </si>
  <si>
    <t>S010745: Tracking Error</t>
  </si>
  <si>
    <t>S010745: Gap Error</t>
  </si>
  <si>
    <t>S010745: No Destination Received</t>
  </si>
  <si>
    <t>S010746: Lane Full</t>
  </si>
  <si>
    <t>S010746: Lane Non-Operational</t>
  </si>
  <si>
    <t>S010746: Throughput Limit</t>
  </si>
  <si>
    <t>S010746: Failed to Divert</t>
  </si>
  <si>
    <t>S010746: Tracking Error</t>
  </si>
  <si>
    <t>S010746: Gap Error</t>
  </si>
  <si>
    <t>S010746: No Destination Received</t>
  </si>
  <si>
    <t>S010747: Lane Full</t>
  </si>
  <si>
    <t>S010747: Lane Non-Operational</t>
  </si>
  <si>
    <t>S010747: Throughput Limit</t>
  </si>
  <si>
    <t>S010747: Failed to Divert</t>
  </si>
  <si>
    <t>S010747: Tracking Error</t>
  </si>
  <si>
    <t>S010747: Gap Error</t>
  </si>
  <si>
    <t>S010747: No Destination Received</t>
  </si>
  <si>
    <t>S010749: Lane Full</t>
  </si>
  <si>
    <t>S010749: Lane Non-Operational</t>
  </si>
  <si>
    <t>S010749: Throughput Limit</t>
  </si>
  <si>
    <t>S010749: Failed to Divert</t>
  </si>
  <si>
    <t>S010749: Tracking Error</t>
  </si>
  <si>
    <t>S010749: Gap Error</t>
  </si>
  <si>
    <t>S010749: No Destination Received</t>
  </si>
  <si>
    <t>S010750: Lane Full</t>
  </si>
  <si>
    <t>S010750: Lane Non-Operational</t>
  </si>
  <si>
    <t>S010750: Throughput Limit</t>
  </si>
  <si>
    <t>S010750: Failed to Divert</t>
  </si>
  <si>
    <t>S010750: Tracking Error</t>
  </si>
  <si>
    <t>S010750: Gap Error</t>
  </si>
  <si>
    <t>S010750: No Destination Received</t>
  </si>
  <si>
    <t>S010751: Lane Full</t>
  </si>
  <si>
    <t>S010751: Lane Non-Operational</t>
  </si>
  <si>
    <t>S010751: Throughput Limit</t>
  </si>
  <si>
    <t>S010751: Failed to Divert</t>
  </si>
  <si>
    <t>S010751: Tracking Error</t>
  </si>
  <si>
    <t>S010751: Gap Error</t>
  </si>
  <si>
    <t>S010751: No Destination Received</t>
  </si>
  <si>
    <t>S010752: Lane Full</t>
  </si>
  <si>
    <t>S010752: Lane Non-Operational</t>
  </si>
  <si>
    <t>S010752: Throughput Limit</t>
  </si>
  <si>
    <t>S010752: Failed to Divert</t>
  </si>
  <si>
    <t>S010752: Tracking Error</t>
  </si>
  <si>
    <t>S010752: Gap Error</t>
  </si>
  <si>
    <t>S010752: No Destination Received</t>
  </si>
  <si>
    <t>S010753: Lane Full</t>
  </si>
  <si>
    <t>S010753: Lane Non-Operational</t>
  </si>
  <si>
    <t>S010753: Throughput Limit</t>
  </si>
  <si>
    <t>S010753: Failed to Divert</t>
  </si>
  <si>
    <t>S010753: Tracking Error</t>
  </si>
  <si>
    <t>S010753: Gap Error</t>
  </si>
  <si>
    <t>S010753: No Destination Received</t>
  </si>
  <si>
    <t>S010754: Lane Full</t>
  </si>
  <si>
    <t>S010754: Lane Non-Operational</t>
  </si>
  <si>
    <t>S010754: Throughput Limit</t>
  </si>
  <si>
    <t>S010754: Failed to Divert</t>
  </si>
  <si>
    <t>S010754: Tracking Error</t>
  </si>
  <si>
    <t>S010754: Gap Error</t>
  </si>
  <si>
    <t>S010754: No Destination Received</t>
  </si>
  <si>
    <t>S010761: Lane Full</t>
  </si>
  <si>
    <t>S010761: Lane Non-Operational</t>
  </si>
  <si>
    <t>S010761: Throughput Limit</t>
  </si>
  <si>
    <t>S010761: Failed to Divert</t>
  </si>
  <si>
    <t>S010761: Tracking Error</t>
  </si>
  <si>
    <t>S010761: Gap Error</t>
  </si>
  <si>
    <t>S010761: No Destination Received</t>
  </si>
  <si>
    <t>S010762: Lane Full</t>
  </si>
  <si>
    <t>S010762: Lane Non-Operational</t>
  </si>
  <si>
    <t>S010762: Throughput Limit</t>
  </si>
  <si>
    <t>S010762: Failed to Divert</t>
  </si>
  <si>
    <t>S010762: Tracking Error</t>
  </si>
  <si>
    <t>S010762: Gap Error</t>
  </si>
  <si>
    <t>S010762: No Destination Received</t>
  </si>
  <si>
    <t>S010764: Lane Full</t>
  </si>
  <si>
    <t>S010764: Lane Non-Operational</t>
  </si>
  <si>
    <t>S010764: Throughput Limit</t>
  </si>
  <si>
    <t>S010764: Failed to Divert</t>
  </si>
  <si>
    <t>S010764: Tracking Error</t>
  </si>
  <si>
    <t>S010764: Gap Error</t>
  </si>
  <si>
    <t>S010764: No Destination Received</t>
  </si>
  <si>
    <t>S010765: Lane Full</t>
  </si>
  <si>
    <t>S010765: Lane Non-Operational</t>
  </si>
  <si>
    <t>S010765: Throughput Limit</t>
  </si>
  <si>
    <t>S010765: Failed to Divert</t>
  </si>
  <si>
    <t>S010765: Tracking Error</t>
  </si>
  <si>
    <t>S010765: Gap Error</t>
  </si>
  <si>
    <t>S010765: No Destination Received</t>
  </si>
  <si>
    <t>S010767: Lane Full</t>
  </si>
  <si>
    <t>S010767: Lane Non-Operational</t>
  </si>
  <si>
    <t>S010767: Throughput Limit</t>
  </si>
  <si>
    <t>S010767: Failed to Divert</t>
  </si>
  <si>
    <t>S010767: Tracking Error</t>
  </si>
  <si>
    <t>S010767: Gap Error</t>
  </si>
  <si>
    <t>S010767: No Destination Received</t>
  </si>
  <si>
    <t>S010769: Lane Full</t>
  </si>
  <si>
    <t>S010769: Lane Non-Operational</t>
  </si>
  <si>
    <t>S010769: Throughput Limit</t>
  </si>
  <si>
    <t>S010769: Failed to Divert</t>
  </si>
  <si>
    <t>S010769: Tracking Error</t>
  </si>
  <si>
    <t>S010769: Gap Error</t>
  </si>
  <si>
    <t>S010769: No Destination Received</t>
  </si>
  <si>
    <t>S010770: Lane Full</t>
  </si>
  <si>
    <t>S010770: Lane Non-Operational</t>
  </si>
  <si>
    <t>S010770: Throughput Limit</t>
  </si>
  <si>
    <t>S010770: Failed to Divert</t>
  </si>
  <si>
    <t>S010770: Tracking Error</t>
  </si>
  <si>
    <t>S010770: Gap Error</t>
  </si>
  <si>
    <t>S010770: No Destination Received</t>
  </si>
  <si>
    <t>S010771: Lane Full</t>
  </si>
  <si>
    <t>S010771: Lane Non-Operational</t>
  </si>
  <si>
    <t>S010771: Throughput Limit</t>
  </si>
  <si>
    <t>S010771: Failed to Divert</t>
  </si>
  <si>
    <t>S010771: Tracking Error</t>
  </si>
  <si>
    <t>S010771: Gap Error</t>
  </si>
  <si>
    <t>S010771: No Destination Received</t>
  </si>
  <si>
    <t>S010772: Lane Full</t>
  </si>
  <si>
    <t>S010772: Lane Non-Operational</t>
  </si>
  <si>
    <t>S010772: Throughput Limit</t>
  </si>
  <si>
    <t>S010772: Failed to Divert</t>
  </si>
  <si>
    <t>S010772: Tracking Error</t>
  </si>
  <si>
    <t>S010772: Gap Error</t>
  </si>
  <si>
    <t>S010772: No Destination Received</t>
  </si>
  <si>
    <t>S010773: Lane Full</t>
  </si>
  <si>
    <t>S010773: Lane Non-Operational</t>
  </si>
  <si>
    <t>S010773: Throughput Limit</t>
  </si>
  <si>
    <t>S010773: Failed to Divert</t>
  </si>
  <si>
    <t>S010773: Tracking Error</t>
  </si>
  <si>
    <t>S010773: Gap Error</t>
  </si>
  <si>
    <t>S010773: No Destination Received</t>
  </si>
  <si>
    <t>S010775: Lane Full</t>
  </si>
  <si>
    <t>S010775: Lane Non-Operational</t>
  </si>
  <si>
    <t>S010775: Throughput Limit</t>
  </si>
  <si>
    <t>S010775: Failed to Divert</t>
  </si>
  <si>
    <t>S010775: Tracking Error</t>
  </si>
  <si>
    <t>S010775: Gap Error</t>
  </si>
  <si>
    <t>S010775: No Destination Received</t>
  </si>
  <si>
    <t>S010776: Lane Full</t>
  </si>
  <si>
    <t>S010776: Lane Non-Operational</t>
  </si>
  <si>
    <t>S010776: Throughput Limit</t>
  </si>
  <si>
    <t>S010776: Failed to Divert</t>
  </si>
  <si>
    <t>S010776: Tracking Error</t>
  </si>
  <si>
    <t>S010776: Gap Error</t>
  </si>
  <si>
    <t>S010776: No Destination Received</t>
  </si>
  <si>
    <t>S010777: Lane Full</t>
  </si>
  <si>
    <t>S010777: Lane Non-Operational</t>
  </si>
  <si>
    <t>S010777: Throughput Limit</t>
  </si>
  <si>
    <t>S010777: Failed to Divert</t>
  </si>
  <si>
    <t>S010777: Tracking Error</t>
  </si>
  <si>
    <t>S010777: Gap Error</t>
  </si>
  <si>
    <t>S010777: No Destination Received</t>
  </si>
  <si>
    <t>S010778: Lane Full</t>
  </si>
  <si>
    <t>S010778: Lane Non-Operational</t>
  </si>
  <si>
    <t>S010778: Throughput Limit</t>
  </si>
  <si>
    <t>S010778: Failed to Divert</t>
  </si>
  <si>
    <t>S010778: Tracking Error</t>
  </si>
  <si>
    <t>S010778: Gap Error</t>
  </si>
  <si>
    <t>S010778: No Destination Received</t>
  </si>
  <si>
    <t>S010779: Lane Full</t>
  </si>
  <si>
    <t>S010779: Lane Non-Operational</t>
  </si>
  <si>
    <t>S010779: Throughput Limit</t>
  </si>
  <si>
    <t>S010779: Failed to Divert</t>
  </si>
  <si>
    <t>S010779: Tracking Error</t>
  </si>
  <si>
    <t>S010779: Gap Error</t>
  </si>
  <si>
    <t>S010779: No Destination Received</t>
  </si>
  <si>
    <t>S010783: Lane Full</t>
  </si>
  <si>
    <t>S010783: Lane Non-Operational</t>
  </si>
  <si>
    <t>S010783: Throughput Limit</t>
  </si>
  <si>
    <t>S010783: Failed to Divert</t>
  </si>
  <si>
    <t>S010783: Tracking Error</t>
  </si>
  <si>
    <t>S010783: Gap Error</t>
  </si>
  <si>
    <t>S010783: No Destination Received</t>
  </si>
  <si>
    <t>S010785: Lane Full</t>
  </si>
  <si>
    <t>S010785: Lane Non-Operational</t>
  </si>
  <si>
    <t>S010785: Throughput Limit</t>
  </si>
  <si>
    <t>S010785: Failed to Divert</t>
  </si>
  <si>
    <t>S010785: Tracking Error</t>
  </si>
  <si>
    <t>S010785: Gap Error</t>
  </si>
  <si>
    <t>S010785: No Destination Received</t>
  </si>
  <si>
    <t>S010787: Lane Full</t>
  </si>
  <si>
    <t>S010787: Lane Non-Operational</t>
  </si>
  <si>
    <t>S010787: Throughput Limit</t>
  </si>
  <si>
    <t>S010787: Failed to Divert</t>
  </si>
  <si>
    <t>S010787: Tracking Error</t>
  </si>
  <si>
    <t>S010787: Gap Error</t>
  </si>
  <si>
    <t>S010787: No Destination Received</t>
  </si>
  <si>
    <t>S010791: Lane Full</t>
  </si>
  <si>
    <t>S010791: Lane Non-Operational</t>
  </si>
  <si>
    <t>S010791: Throughput Limit</t>
  </si>
  <si>
    <t>S010791: Failed to Divert</t>
  </si>
  <si>
    <t>S010791: Tracking Error</t>
  </si>
  <si>
    <t>S010791: Gap Error</t>
  </si>
  <si>
    <t>S010791: No Destination Received</t>
  </si>
  <si>
    <t>S010795: Lane Full</t>
  </si>
  <si>
    <t>S010795: Lane Non-Operational</t>
  </si>
  <si>
    <t>S010795: Throughput Limit</t>
  </si>
  <si>
    <t>S010795: Failed to Divert</t>
  </si>
  <si>
    <t>S010795: Tracking Error</t>
  </si>
  <si>
    <t>S010795: Gap Error</t>
  </si>
  <si>
    <t>S010795: No Destination Received</t>
  </si>
  <si>
    <t>S010796: Lane Full</t>
  </si>
  <si>
    <t>S010796: Lane Non-Operational</t>
  </si>
  <si>
    <t>S010796: Throughput Limit</t>
  </si>
  <si>
    <t>S010796: Failed to Divert</t>
  </si>
  <si>
    <t>S010796: Tracking Error</t>
  </si>
  <si>
    <t>S010796: Gap Error</t>
  </si>
  <si>
    <t>S010796: No Destination Received</t>
  </si>
  <si>
    <t>S010799: Lane Full</t>
  </si>
  <si>
    <t>S010799: Lane Non-Operational</t>
  </si>
  <si>
    <t>S010799: Throughput Limit</t>
  </si>
  <si>
    <t>S010799: Failed to Divert</t>
  </si>
  <si>
    <t>S010799: Tracking Error</t>
  </si>
  <si>
    <t>S010799: Gap Error</t>
  </si>
  <si>
    <t>S010799: No Destination Received</t>
  </si>
  <si>
    <t>S010800: Lane Full</t>
  </si>
  <si>
    <t>S010800: Lane Non-Operational</t>
  </si>
  <si>
    <t>S010800: Throughput Limit</t>
  </si>
  <si>
    <t>S010800: Failed to Divert</t>
  </si>
  <si>
    <t>S010800: Tracking Error</t>
  </si>
  <si>
    <t>S010800: Gap Error</t>
  </si>
  <si>
    <t>S010800: No Destination Received</t>
  </si>
  <si>
    <t>S010801: Lane Full</t>
  </si>
  <si>
    <t>S010801: Lane Non-Operational</t>
  </si>
  <si>
    <t>S010801: Throughput Limit</t>
  </si>
  <si>
    <t>S010801: Failed to Divert</t>
  </si>
  <si>
    <t>S010801: Tracking Error</t>
  </si>
  <si>
    <t>S010801: Gap Error</t>
  </si>
  <si>
    <t>S010801: No Destination Received</t>
  </si>
  <si>
    <t>S010802: Lane Full</t>
  </si>
  <si>
    <t>S010802: Lane Non-Operational</t>
  </si>
  <si>
    <t>S010802: Throughput Limit</t>
  </si>
  <si>
    <t>S010802: Failed to Divert</t>
  </si>
  <si>
    <t>S010802: Tracking Error</t>
  </si>
  <si>
    <t>S010802: Gap Error</t>
  </si>
  <si>
    <t>S010802: No Destination Received</t>
  </si>
  <si>
    <t>S010805: Lane Full</t>
  </si>
  <si>
    <t>S010805: Lane Non-Operational</t>
  </si>
  <si>
    <t>S010805: Throughput Limit</t>
  </si>
  <si>
    <t>S010805: Failed to Divert</t>
  </si>
  <si>
    <t>S010805: Tracking Error</t>
  </si>
  <si>
    <t>S010805: Gap Error</t>
  </si>
  <si>
    <t>S010805: No Destination Received</t>
  </si>
  <si>
    <t>S010806: Lane Full</t>
  </si>
  <si>
    <t>S010806: Lane Non-Operational</t>
  </si>
  <si>
    <t>S010806: Throughput Limit</t>
  </si>
  <si>
    <t>S010806: Failed to Divert</t>
  </si>
  <si>
    <t>S010806: Tracking Error</t>
  </si>
  <si>
    <t>S010806: Gap Error</t>
  </si>
  <si>
    <t>S010806: No Destination Received</t>
  </si>
  <si>
    <t>S010807: Lane Full</t>
  </si>
  <si>
    <t>S010807: Lane Non-Operational</t>
  </si>
  <si>
    <t>S010807: Throughput Limit</t>
  </si>
  <si>
    <t>S010807: Failed to Divert</t>
  </si>
  <si>
    <t>S010807: Tracking Error</t>
  </si>
  <si>
    <t>S010807: Gap Error</t>
  </si>
  <si>
    <t>S010807: No Destination Received</t>
  </si>
  <si>
    <t>S010808: Lane Full</t>
  </si>
  <si>
    <t>S010808: Lane Non-Operational</t>
  </si>
  <si>
    <t>S010808: Throughput Limit</t>
  </si>
  <si>
    <t>S010808: Failed to Divert</t>
  </si>
  <si>
    <t>S010808: Tracking Error</t>
  </si>
  <si>
    <t>S010808: Gap Error</t>
  </si>
  <si>
    <t>S010808: No Destination Received</t>
  </si>
  <si>
    <t>S010811: Lane Full</t>
  </si>
  <si>
    <t>S010811: Lane Non-Operational</t>
  </si>
  <si>
    <t>S010811: Throughput Limit</t>
  </si>
  <si>
    <t>S010811: Failed to Divert</t>
  </si>
  <si>
    <t>S010811: Tracking Error</t>
  </si>
  <si>
    <t>S010811: Gap Error</t>
  </si>
  <si>
    <t>S010811: No Destination Received</t>
  </si>
  <si>
    <t>S010812: Lane Full</t>
  </si>
  <si>
    <t>S010812: Lane Non-Operational</t>
  </si>
  <si>
    <t>S010812: Throughput Limit</t>
  </si>
  <si>
    <t>S010812: Failed to Divert</t>
  </si>
  <si>
    <t>S010812: Tracking Error</t>
  </si>
  <si>
    <t>S010812: Gap Error</t>
  </si>
  <si>
    <t>S010812: No Destination Received</t>
  </si>
  <si>
    <t>S010813: Lane Full</t>
  </si>
  <si>
    <t>S010813: Lane Non-Operational</t>
  </si>
  <si>
    <t>S010813: Throughput Limit</t>
  </si>
  <si>
    <t>S010813: Failed to Divert</t>
  </si>
  <si>
    <t>S010813: Tracking Error</t>
  </si>
  <si>
    <t>S010813: Gap Error</t>
  </si>
  <si>
    <t>S010813: No Destination Received</t>
  </si>
  <si>
    <t>S010818: Lane Full</t>
  </si>
  <si>
    <t>S010818: Lane Non-Operational</t>
  </si>
  <si>
    <t>S010818: Throughput Limit</t>
  </si>
  <si>
    <t>S010818: Failed to Divert</t>
  </si>
  <si>
    <t>S010818: Tracking Error</t>
  </si>
  <si>
    <t>S010818: Gap Error</t>
  </si>
  <si>
    <t>S010818: No Destination Received</t>
  </si>
  <si>
    <t>S011001: Lane Full</t>
  </si>
  <si>
    <t>S011001: Lane Non-Operational</t>
  </si>
  <si>
    <t>S011001: Throughput Limit</t>
  </si>
  <si>
    <t>S011001: Failed to Divert</t>
  </si>
  <si>
    <t>S011001: Tracking Error</t>
  </si>
  <si>
    <t>S011001: Gap Error</t>
  </si>
  <si>
    <t>S011001: No Destination Received</t>
  </si>
  <si>
    <t>S011010: Lane Full</t>
  </si>
  <si>
    <t>S011010: Lane Non-Operational</t>
  </si>
  <si>
    <t>S011010: Throughput Limit</t>
  </si>
  <si>
    <t>S011010: Failed to Divert</t>
  </si>
  <si>
    <t>S011010: Tracking Error</t>
  </si>
  <si>
    <t>S011010: Gap Error</t>
  </si>
  <si>
    <t>S011010: No Destination Received</t>
  </si>
  <si>
    <t>S011016: Lane Full</t>
  </si>
  <si>
    <t>S011016: Lane Non-Operational</t>
  </si>
  <si>
    <t>S011016: Throughput Limit</t>
  </si>
  <si>
    <t>S011016: Failed to Divert</t>
  </si>
  <si>
    <t>S011016: Tracking Error</t>
  </si>
  <si>
    <t>S011016: Gap Error</t>
  </si>
  <si>
    <t>S011016: No Destination Received</t>
  </si>
  <si>
    <t>S011019: Lane Full</t>
  </si>
  <si>
    <t>S011019: Lane Non-Operational</t>
  </si>
  <si>
    <t>S011019: Throughput Limit</t>
  </si>
  <si>
    <t>S011019: Failed to Divert</t>
  </si>
  <si>
    <t>S011019: Tracking Error</t>
  </si>
  <si>
    <t>S011019: Gap Error</t>
  </si>
  <si>
    <t>S011019: No Destination Received</t>
  </si>
  <si>
    <t>S011022: Lane Full</t>
  </si>
  <si>
    <t>S011022: Lane Non-Operational</t>
  </si>
  <si>
    <t>S011022: Throughput Limit</t>
  </si>
  <si>
    <t>S011022: Failed to Divert</t>
  </si>
  <si>
    <t>S011022: Tracking Error</t>
  </si>
  <si>
    <t>S011022: Gap Error</t>
  </si>
  <si>
    <t>S011022: No Destination Received</t>
  </si>
  <si>
    <t>S011025: Lane Full</t>
  </si>
  <si>
    <t>S011025: Lane Non-Operational</t>
  </si>
  <si>
    <t>S011025: Throughput Limit</t>
  </si>
  <si>
    <t>S011025: Failed to Divert</t>
  </si>
  <si>
    <t>S011025: Tracking Error</t>
  </si>
  <si>
    <t>S011025: Gap Error</t>
  </si>
  <si>
    <t>S011025: No Destination Received</t>
  </si>
  <si>
    <t>S011028: Lane Full</t>
  </si>
  <si>
    <t>S011028: Lane Non-Operational</t>
  </si>
  <si>
    <t>S011028: Throughput Limit</t>
  </si>
  <si>
    <t>S011028: Failed to Divert</t>
  </si>
  <si>
    <t>S011028: Tracking Error</t>
  </si>
  <si>
    <t>S011028: Gap Error</t>
  </si>
  <si>
    <t>S011028: No Destination Received</t>
  </si>
  <si>
    <t>S011031: Lane Full</t>
  </si>
  <si>
    <t>S011031: Lane Non-Operational</t>
  </si>
  <si>
    <t>S011031: Throughput Limit</t>
  </si>
  <si>
    <t>S011031: Failed to Divert</t>
  </si>
  <si>
    <t>S011031: Tracking Error</t>
  </si>
  <si>
    <t>S011031: Gap Error</t>
  </si>
  <si>
    <t>S011031: No Destination Received</t>
  </si>
  <si>
    <t>S011034: Lane Full</t>
  </si>
  <si>
    <t>S011034: Lane Non-Operational</t>
  </si>
  <si>
    <t>S011034: Throughput Limit</t>
  </si>
  <si>
    <t>S011034: Failed to Divert</t>
  </si>
  <si>
    <t>S011034: Tracking Error</t>
  </si>
  <si>
    <t>S011034: Gap Error</t>
  </si>
  <si>
    <t>S011034: No Destination Received</t>
  </si>
  <si>
    <t>S011037: Lane Full</t>
  </si>
  <si>
    <t>S011037: Lane Non-Operational</t>
  </si>
  <si>
    <t>S011037: Throughput Limit</t>
  </si>
  <si>
    <t>S011037: Failed to Divert</t>
  </si>
  <si>
    <t>S011037: Tracking Error</t>
  </si>
  <si>
    <t>S011037: Gap Error</t>
  </si>
  <si>
    <t>S011037: No Destination Received</t>
  </si>
  <si>
    <t>S011040: Lane Full</t>
  </si>
  <si>
    <t>S011040: Lane Non-Operational</t>
  </si>
  <si>
    <t>S011040: Throughput Limit</t>
  </si>
  <si>
    <t>S011040: Failed to Divert</t>
  </si>
  <si>
    <t>S011040: Tracking Error</t>
  </si>
  <si>
    <t>S011040: Gap Error</t>
  </si>
  <si>
    <t>S011040: No Destination Received</t>
  </si>
  <si>
    <t>S011043: Lane Full</t>
  </si>
  <si>
    <t>S011043: Lane Non-Operational</t>
  </si>
  <si>
    <t>S011043: Throughput Limit</t>
  </si>
  <si>
    <t>S011043: Failed to Divert</t>
  </si>
  <si>
    <t>S011043: Tracking Error</t>
  </si>
  <si>
    <t>S011043: Gap Error</t>
  </si>
  <si>
    <t>S011043: No Destination Received</t>
  </si>
  <si>
    <t>S011046: Lane Full</t>
  </si>
  <si>
    <t>S011046: Lane Non-Operational</t>
  </si>
  <si>
    <t>S011046: Throughput Limit</t>
  </si>
  <si>
    <t>S011046: Failed to Divert</t>
  </si>
  <si>
    <t>S011046: Tracking Error</t>
  </si>
  <si>
    <t>S011046: Gap Error</t>
  </si>
  <si>
    <t>S011046: No Destination Received</t>
  </si>
  <si>
    <t>S011049: Lane Full</t>
  </si>
  <si>
    <t>S011049: Lane Non-Operational</t>
  </si>
  <si>
    <t>S011049: Throughput Limit</t>
  </si>
  <si>
    <t>S011049: Failed to Divert</t>
  </si>
  <si>
    <t>S011049: Tracking Error</t>
  </si>
  <si>
    <t>S011049: Gap Error</t>
  </si>
  <si>
    <t>S011049: No Destination Received</t>
  </si>
  <si>
    <t>S011052: Lane Full</t>
  </si>
  <si>
    <t>S011052: Lane Non-Operational</t>
  </si>
  <si>
    <t>S011052: Throughput Limit</t>
  </si>
  <si>
    <t>S011052: Failed to Divert</t>
  </si>
  <si>
    <t>S011052: Tracking Error</t>
  </si>
  <si>
    <t>S011052: Gap Error</t>
  </si>
  <si>
    <t>S011052: No Destination Received</t>
  </si>
  <si>
    <t>S011055: Lane Full</t>
  </si>
  <si>
    <t>S011055: Lane Non-Operational</t>
  </si>
  <si>
    <t>S011055: Throughput Limit</t>
  </si>
  <si>
    <t>S011055: Failed to Divert</t>
  </si>
  <si>
    <t>S011055: Tracking Error</t>
  </si>
  <si>
    <t>S011055: Gap Error</t>
  </si>
  <si>
    <t>S011055: No Destination Received</t>
  </si>
  <si>
    <t>S011061: Lane Full</t>
  </si>
  <si>
    <t>S011061: Lane Non-Operational</t>
  </si>
  <si>
    <t>S011061: Throughput Limit</t>
  </si>
  <si>
    <t>S011061: Failed to Divert</t>
  </si>
  <si>
    <t>S011061: Tracking Error</t>
  </si>
  <si>
    <t>S011061: Gap Error</t>
  </si>
  <si>
    <t>S011061: No Destination Received</t>
  </si>
  <si>
    <t>S011064: Lane Full</t>
  </si>
  <si>
    <t>S011064: Lane Non-Operational</t>
  </si>
  <si>
    <t>S011064: Throughput Limit</t>
  </si>
  <si>
    <t>S011064: Failed to Divert</t>
  </si>
  <si>
    <t>S011064: Tracking Error</t>
  </si>
  <si>
    <t>S011064: Gap Error</t>
  </si>
  <si>
    <t>S011064: No Destination Received</t>
  </si>
  <si>
    <t>S011067: Lane Full</t>
  </si>
  <si>
    <t>S011067: Lane Non-Operational</t>
  </si>
  <si>
    <t>S011067: Throughput Limit</t>
  </si>
  <si>
    <t>S011067: Failed to Divert</t>
  </si>
  <si>
    <t>S011067: Tracking Error</t>
  </si>
  <si>
    <t>S011067: Gap Error</t>
  </si>
  <si>
    <t>S011067: No Destination Received</t>
  </si>
  <si>
    <t>S011070: Lane Full</t>
  </si>
  <si>
    <t>S011070: Lane Non-Operational</t>
  </si>
  <si>
    <t>S011070: Throughput Limit</t>
  </si>
  <si>
    <t>S011070: Failed to Divert</t>
  </si>
  <si>
    <t>S011070: Tracking Error</t>
  </si>
  <si>
    <t>S011070: Gap Error</t>
  </si>
  <si>
    <t>S011070: No Destination Received</t>
  </si>
  <si>
    <t>S011073: Lane Full</t>
  </si>
  <si>
    <t>S011073: Lane Non-Operational</t>
  </si>
  <si>
    <t>S011073: Throughput Limit</t>
  </si>
  <si>
    <t>S011073: Failed to Divert</t>
  </si>
  <si>
    <t>S011073: Tracking Error</t>
  </si>
  <si>
    <t>S011073: Gap Error</t>
  </si>
  <si>
    <t>S011073: No Destination Received</t>
  </si>
  <si>
    <t>S011076: Lane Full</t>
  </si>
  <si>
    <t>S011076: Lane Non-Operational</t>
  </si>
  <si>
    <t>S011076: Throughput Limit</t>
  </si>
  <si>
    <t>S011076: Failed to Divert</t>
  </si>
  <si>
    <t>S011076: Tracking Error</t>
  </si>
  <si>
    <t>S011076: Gap Error</t>
  </si>
  <si>
    <t>S011076: No Destination Received</t>
  </si>
  <si>
    <t>S011079: Lane Full</t>
  </si>
  <si>
    <t>S011079: Lane Non-Operational</t>
  </si>
  <si>
    <t>S011079: Throughput Limit</t>
  </si>
  <si>
    <t>S011079: Failed to Divert</t>
  </si>
  <si>
    <t>S011079: Tracking Error</t>
  </si>
  <si>
    <t>S011079: Gap Error</t>
  </si>
  <si>
    <t>S011079: No Destination Received</t>
  </si>
  <si>
    <t>S011082: Lane Full</t>
  </si>
  <si>
    <t>S011082: Lane Non-Operational</t>
  </si>
  <si>
    <t>S011082: Throughput Limit</t>
  </si>
  <si>
    <t>S011082: Failed to Divert</t>
  </si>
  <si>
    <t>S011082: Tracking Error</t>
  </si>
  <si>
    <t>S011082: Gap Error</t>
  </si>
  <si>
    <t>S011082: No Destination Received</t>
  </si>
  <si>
    <t>S011085: Lane Full</t>
  </si>
  <si>
    <t>S011085: Lane Non-Operational</t>
  </si>
  <si>
    <t>S011085: Throughput Limit</t>
  </si>
  <si>
    <t>S011085: Failed to Divert</t>
  </si>
  <si>
    <t>S011085: Tracking Error</t>
  </si>
  <si>
    <t>S011085: Gap Error</t>
  </si>
  <si>
    <t>S011085: No Destination Received</t>
  </si>
  <si>
    <t>S011088: Lane Full</t>
  </si>
  <si>
    <t>S011088: Lane Non-Operational</t>
  </si>
  <si>
    <t>S011088: Throughput Limit</t>
  </si>
  <si>
    <t>S011088: Failed to Divert</t>
  </si>
  <si>
    <t>S011088: Tracking Error</t>
  </si>
  <si>
    <t>S011088: Gap Error</t>
  </si>
  <si>
    <t>S011088: No Destination Received</t>
  </si>
  <si>
    <t>S011091: Lane Full</t>
  </si>
  <si>
    <t>S011091: Lane Non-Operational</t>
  </si>
  <si>
    <t>S011091: Throughput Limit</t>
  </si>
  <si>
    <t>S011091: Failed to Divert</t>
  </si>
  <si>
    <t>S011091: Tracking Error</t>
  </si>
  <si>
    <t>S011091: Gap Error</t>
  </si>
  <si>
    <t>S011091: No Destination Received</t>
  </si>
  <si>
    <t>S011094: Lane Full</t>
  </si>
  <si>
    <t>S011094: Lane Non-Operational</t>
  </si>
  <si>
    <t>S011094: Throughput Limit</t>
  </si>
  <si>
    <t>S011094: Failed to Divert</t>
  </si>
  <si>
    <t>S011094: Tracking Error</t>
  </si>
  <si>
    <t>S011094: Gap Error</t>
  </si>
  <si>
    <t>S011094: No Destination Received</t>
  </si>
  <si>
    <t>S011097: Lane Full</t>
  </si>
  <si>
    <t>S011097: Lane Non-Operational</t>
  </si>
  <si>
    <t>S011097: Throughput Limit</t>
  </si>
  <si>
    <t>S011097: Failed to Divert</t>
  </si>
  <si>
    <t>S011097: Tracking Error</t>
  </si>
  <si>
    <t>S011097: Gap Error</t>
  </si>
  <si>
    <t>S011097: No Destination Received</t>
  </si>
  <si>
    <t>S011100: Lane Full</t>
  </si>
  <si>
    <t>S011100: Lane Non-Operational</t>
  </si>
  <si>
    <t>S011100: Throughput Limit</t>
  </si>
  <si>
    <t>S011100: Failed to Divert</t>
  </si>
  <si>
    <t>S011100: Tracking Error</t>
  </si>
  <si>
    <t>S011100: Gap Error</t>
  </si>
  <si>
    <t>S011100: No Destination Received</t>
  </si>
  <si>
    <t>S011106: Lane Full</t>
  </si>
  <si>
    <t>S011106: Lane Non-Operational</t>
  </si>
  <si>
    <t>S011106: Throughput Limit</t>
  </si>
  <si>
    <t>S011106: Failed to Divert</t>
  </si>
  <si>
    <t>S011106: Tracking Error</t>
  </si>
  <si>
    <t>S011106: Gap Error</t>
  </si>
  <si>
    <t>S011106: No Destination Received</t>
  </si>
  <si>
    <t>S011109: Lane Full</t>
  </si>
  <si>
    <t>S011109: Lane Non-Operational</t>
  </si>
  <si>
    <t>S011109: Throughput Limit</t>
  </si>
  <si>
    <t>S011109: Failed to Divert</t>
  </si>
  <si>
    <t>S011109: Tracking Error</t>
  </si>
  <si>
    <t>S011109: Gap Error</t>
  </si>
  <si>
    <t>S011109: No Destination Received</t>
  </si>
  <si>
    <t>S011112: Lane Full</t>
  </si>
  <si>
    <t>S011112: Lane Non-Operational</t>
  </si>
  <si>
    <t>S011112: Throughput Limit</t>
  </si>
  <si>
    <t>S011112: Failed to Divert</t>
  </si>
  <si>
    <t>S011112: Tracking Error</t>
  </si>
  <si>
    <t>S011112: Gap Error</t>
  </si>
  <si>
    <t>S011112: No Destination Received</t>
  </si>
  <si>
    <t>S011118: Lane Full</t>
  </si>
  <si>
    <t>S011118: Lane Non-Operational</t>
  </si>
  <si>
    <t>S011118: Throughput Limit</t>
  </si>
  <si>
    <t>S011118: Failed to Divert</t>
  </si>
  <si>
    <t>S011118: Tracking Error</t>
  </si>
  <si>
    <t>S011118: Gap Error</t>
  </si>
  <si>
    <t>S011118: No Destination Received</t>
  </si>
  <si>
    <t>S011121: Lane Full</t>
  </si>
  <si>
    <t>S011121: Lane Non-Operational</t>
  </si>
  <si>
    <t>S011121: Throughput Limit</t>
  </si>
  <si>
    <t>S011121: Failed to Divert</t>
  </si>
  <si>
    <t>S011121: Tracking Error</t>
  </si>
  <si>
    <t>S011121: Gap Error</t>
  </si>
  <si>
    <t>S011121: No Destination Received</t>
  </si>
  <si>
    <t>S011124: Lane Full</t>
  </si>
  <si>
    <t>S011124: Lane Non-Operational</t>
  </si>
  <si>
    <t>S011124: Throughput Limit</t>
  </si>
  <si>
    <t>S011124: Failed to Divert</t>
  </si>
  <si>
    <t>S011124: Tracking Error</t>
  </si>
  <si>
    <t>S011124: Gap Error</t>
  </si>
  <si>
    <t>S011124: No Destination Received</t>
  </si>
  <si>
    <t>S011127: Lane Full</t>
  </si>
  <si>
    <t>S011127: Lane Non-Operational</t>
  </si>
  <si>
    <t>S011127: Throughput Limit</t>
  </si>
  <si>
    <t>S011127: Failed to Divert</t>
  </si>
  <si>
    <t>S011127: Tracking Error</t>
  </si>
  <si>
    <t>S011127: Gap Error</t>
  </si>
  <si>
    <t>S011127: No Destination Received</t>
  </si>
  <si>
    <t>S011130: Lane Full</t>
  </si>
  <si>
    <t>S011130: Lane Non-Operational</t>
  </si>
  <si>
    <t>S011130: Throughput Limit</t>
  </si>
  <si>
    <t>S011130: Failed to Divert</t>
  </si>
  <si>
    <t>S011130: Tracking Error</t>
  </si>
  <si>
    <t>S011130: Gap Error</t>
  </si>
  <si>
    <t>S011130: No Destination Received</t>
  </si>
  <si>
    <t>S011133: Lane Full</t>
  </si>
  <si>
    <t>S011133: Lane Non-Operational</t>
  </si>
  <si>
    <t>S011133: Throughput Limit</t>
  </si>
  <si>
    <t>S011133: Failed to Divert</t>
  </si>
  <si>
    <t>S011133: Tracking Error</t>
  </si>
  <si>
    <t>S011133: Gap Error</t>
  </si>
  <si>
    <t>S011133: No Destination Received</t>
  </si>
  <si>
    <t>S011142: Lane Full</t>
  </si>
  <si>
    <t>S011142: Lane Non-Operational</t>
  </si>
  <si>
    <t>S011142: Throughput Limit</t>
  </si>
  <si>
    <t>S011142: Failed to Divert</t>
  </si>
  <si>
    <t>S011142: Tracking Error</t>
  </si>
  <si>
    <t>S011142: Gap Error</t>
  </si>
  <si>
    <t>S011142: No Destination Received</t>
  </si>
  <si>
    <t>S011145: Lane Full</t>
  </si>
  <si>
    <t>S011145: Lane Non-Operational</t>
  </si>
  <si>
    <t>S011145: Throughput Limit</t>
  </si>
  <si>
    <t>S011145: Failed to Divert</t>
  </si>
  <si>
    <t>S011145: Tracking Error</t>
  </si>
  <si>
    <t>S011145: Gap Error</t>
  </si>
  <si>
    <t>S011145: No Destination Received</t>
  </si>
  <si>
    <t>S011148: Lane Full</t>
  </si>
  <si>
    <t>S011148: Lane Non-Operational</t>
  </si>
  <si>
    <t>S011148: Throughput Limit</t>
  </si>
  <si>
    <t>S011148: Failed to Divert</t>
  </si>
  <si>
    <t>S011148: Tracking Error</t>
  </si>
  <si>
    <t>S011148: Gap Error</t>
  </si>
  <si>
    <t>S011148: No Destination Received</t>
  </si>
  <si>
    <t>S011151: Lane Full</t>
  </si>
  <si>
    <t>S011151: Lane Non-Operational</t>
  </si>
  <si>
    <t>S011151: Throughput Limit</t>
  </si>
  <si>
    <t>S011151: Failed to Divert</t>
  </si>
  <si>
    <t>S011151: Tracking Error</t>
  </si>
  <si>
    <t>S011151: Gap Error</t>
  </si>
  <si>
    <t>S011151: No Destination Received</t>
  </si>
  <si>
    <t>S011154: Lane Full</t>
  </si>
  <si>
    <t>S011154: Lane Non-Operational</t>
  </si>
  <si>
    <t>S011154: Throughput Limit</t>
  </si>
  <si>
    <t>S011154: Failed to Divert</t>
  </si>
  <si>
    <t>S011154: Tracking Error</t>
  </si>
  <si>
    <t>S011154: Gap Error</t>
  </si>
  <si>
    <t>S011154: No Destination Received</t>
  </si>
  <si>
    <t>S011157: Lane Full</t>
  </si>
  <si>
    <t>S011157: Lane Non-Operational</t>
  </si>
  <si>
    <t>S011157: Throughput Limit</t>
  </si>
  <si>
    <t>S011157: Failed to Divert</t>
  </si>
  <si>
    <t>S011157: Tracking Error</t>
  </si>
  <si>
    <t>S011157: Gap Error</t>
  </si>
  <si>
    <t>S011157: No Destination Received</t>
  </si>
  <si>
    <t>S011160: Lane Full</t>
  </si>
  <si>
    <t>S011160: Lane Non-Operational</t>
  </si>
  <si>
    <t>S011160: Throughput Limit</t>
  </si>
  <si>
    <t>S011160: Failed to Divert</t>
  </si>
  <si>
    <t>S011160: Tracking Error</t>
  </si>
  <si>
    <t>S011160: Gap Error</t>
  </si>
  <si>
    <t>S011160: No Destination Received</t>
  </si>
  <si>
    <t>S011166: Lane Full</t>
  </si>
  <si>
    <t>S011166: Lane Non-Operational</t>
  </si>
  <si>
    <t>S011166: Throughput Limit</t>
  </si>
  <si>
    <t>S011166: Failed to Divert</t>
  </si>
  <si>
    <t>S011166: Tracking Error</t>
  </si>
  <si>
    <t>S011166: Gap Error</t>
  </si>
  <si>
    <t>S011166: No Destination Received</t>
  </si>
  <si>
    <t>S011169: Lane Full</t>
  </si>
  <si>
    <t>S011169: Lane Non-Operational</t>
  </si>
  <si>
    <t>S011169: Throughput Limit</t>
  </si>
  <si>
    <t>S011169: Failed to Divert</t>
  </si>
  <si>
    <t>S011169: Tracking Error</t>
  </si>
  <si>
    <t>S011169: Gap Error</t>
  </si>
  <si>
    <t>S011169: No Destination Received</t>
  </si>
  <si>
    <t>S011172: Lane Full</t>
  </si>
  <si>
    <t>S011172: Lane Non-Operational</t>
  </si>
  <si>
    <t>S011172: Throughput Limit</t>
  </si>
  <si>
    <t>S011172: Failed to Divert</t>
  </si>
  <si>
    <t>S011172: Tracking Error</t>
  </si>
  <si>
    <t>S011172: Gap Error</t>
  </si>
  <si>
    <t>S011172: No Destination Received</t>
  </si>
  <si>
    <t>S011175: Lane Full</t>
  </si>
  <si>
    <t>S011175: Lane Non-Operational</t>
  </si>
  <si>
    <t>S011175: Throughput Limit</t>
  </si>
  <si>
    <t>S011175: Failed to Divert</t>
  </si>
  <si>
    <t>S011175: Tracking Error</t>
  </si>
  <si>
    <t>S011175: Gap Error</t>
  </si>
  <si>
    <t>S011175: No Destination Received</t>
  </si>
  <si>
    <t>S011178: Lane Full</t>
  </si>
  <si>
    <t>S011178: Lane Non-Operational</t>
  </si>
  <si>
    <t>S011178: Throughput Limit</t>
  </si>
  <si>
    <t>S011178: Failed to Divert</t>
  </si>
  <si>
    <t>S011178: Tracking Error</t>
  </si>
  <si>
    <t>S011178: Gap Error</t>
  </si>
  <si>
    <t>S011178: No Destination Received</t>
  </si>
  <si>
    <t>S011184: Lane Full</t>
  </si>
  <si>
    <t>S011184: Lane Non-Operational</t>
  </si>
  <si>
    <t>S011184: Throughput Limit</t>
  </si>
  <si>
    <t>S011184: Failed to Divert</t>
  </si>
  <si>
    <t>S011184: Tracking Error</t>
  </si>
  <si>
    <t>S011184: Gap Error</t>
  </si>
  <si>
    <t>S011184: No Destination Received</t>
  </si>
  <si>
    <t>S011187: Lane Full</t>
  </si>
  <si>
    <t>S011187: Lane Non-Operational</t>
  </si>
  <si>
    <t>S011187: Throughput Limit</t>
  </si>
  <si>
    <t>S011187: Failed to Divert</t>
  </si>
  <si>
    <t>S011187: Tracking Error</t>
  </si>
  <si>
    <t>S011187: Gap Error</t>
  </si>
  <si>
    <t>S011187: No Destination Received</t>
  </si>
  <si>
    <t>S011193: Lane Full</t>
  </si>
  <si>
    <t>S011193: Lane Non-Operational</t>
  </si>
  <si>
    <t>S011193: Throughput Limit</t>
  </si>
  <si>
    <t>S011193: Failed to Divert</t>
  </si>
  <si>
    <t>S011193: Tracking Error</t>
  </si>
  <si>
    <t>S011193: Gap Error</t>
  </si>
  <si>
    <t>S011193: No Destination Received</t>
  </si>
  <si>
    <t>S011196: Lane Full</t>
  </si>
  <si>
    <t>S011196: Lane Non-Operational</t>
  </si>
  <si>
    <t>S011196: Throughput Limit</t>
  </si>
  <si>
    <t>S011196: Failed to Divert</t>
  </si>
  <si>
    <t>S011196: Tracking Error</t>
  </si>
  <si>
    <t>S011196: Gap Error</t>
  </si>
  <si>
    <t>S011196: No Destination Received</t>
  </si>
  <si>
    <t>S011202: Lane Full</t>
  </si>
  <si>
    <t>S011202: Lane Non-Operational</t>
  </si>
  <si>
    <t>S011202: Throughput Limit</t>
  </si>
  <si>
    <t>S011202: Failed to Divert</t>
  </si>
  <si>
    <t>S011202: Tracking Error</t>
  </si>
  <si>
    <t>S011202: Gap Error</t>
  </si>
  <si>
    <t>S011202: No Destination Received</t>
  </si>
  <si>
    <t>S011205: Lane Full</t>
  </si>
  <si>
    <t>S011205: Lane Non-Operational</t>
  </si>
  <si>
    <t>S011205: Throughput Limit</t>
  </si>
  <si>
    <t>S011205: Failed to Divert</t>
  </si>
  <si>
    <t>S011205: Tracking Error</t>
  </si>
  <si>
    <t>S011205: Gap Error</t>
  </si>
  <si>
    <t>S011205: No Destination Received</t>
  </si>
  <si>
    <t>S011208: Lane Full</t>
  </si>
  <si>
    <t>S011208: Lane Non-Operational</t>
  </si>
  <si>
    <t>S011208: Throughput Limit</t>
  </si>
  <si>
    <t>S011208: Failed to Divert</t>
  </si>
  <si>
    <t>S011208: Tracking Error</t>
  </si>
  <si>
    <t>S011208: Gap Error</t>
  </si>
  <si>
    <t>S011208: No Destination Received</t>
  </si>
  <si>
    <t>S011211: Lane Full</t>
  </si>
  <si>
    <t>S011211: Lane Non-Operational</t>
  </si>
  <si>
    <t>S011211: Throughput Limit</t>
  </si>
  <si>
    <t>S011211: Failed to Divert</t>
  </si>
  <si>
    <t>S011211: Tracking Error</t>
  </si>
  <si>
    <t>S011211: Gap Error</t>
  </si>
  <si>
    <t>S011211: No Destination Received</t>
  </si>
  <si>
    <t>S011214: Lane Full</t>
  </si>
  <si>
    <t>S011214: Lane Non-Operational</t>
  </si>
  <si>
    <t>S011214: Throughput Limit</t>
  </si>
  <si>
    <t>S011214: Failed to Divert</t>
  </si>
  <si>
    <t>S011214: Tracking Error</t>
  </si>
  <si>
    <t>S011214: Gap Error</t>
  </si>
  <si>
    <t>S011214: No Destination Received</t>
  </si>
  <si>
    <t>S011220: Lane Full</t>
  </si>
  <si>
    <t>S011220: Lane Non-Operational</t>
  </si>
  <si>
    <t>S011220: Throughput Limit</t>
  </si>
  <si>
    <t>S011220: Failed to Divert</t>
  </si>
  <si>
    <t>S011220: Tracking Error</t>
  </si>
  <si>
    <t>S011220: Gap Error</t>
  </si>
  <si>
    <t>S011220: No Destination Received</t>
  </si>
  <si>
    <t>S011226: Lane Full</t>
  </si>
  <si>
    <t>S011226: Lane Non-Operational</t>
  </si>
  <si>
    <t>S011226: Throughput Limit</t>
  </si>
  <si>
    <t>S011226: Failed to Divert</t>
  </si>
  <si>
    <t>S011226: Tracking Error</t>
  </si>
  <si>
    <t>S011226: Gap Error</t>
  </si>
  <si>
    <t>S011226: No Destination Received</t>
  </si>
  <si>
    <t>S011238: Lane Full</t>
  </si>
  <si>
    <t>S011238: Lane Non-Operational</t>
  </si>
  <si>
    <t>S011238: Throughput Limit</t>
  </si>
  <si>
    <t>S011238: Failed to Divert</t>
  </si>
  <si>
    <t>S011238: Tracking Error</t>
  </si>
  <si>
    <t>S011238: Gap Error</t>
  </si>
  <si>
    <t>S011238: No Destination Received</t>
  </si>
  <si>
    <t>S011244: Lane Full</t>
  </si>
  <si>
    <t>S011244: Lane Non-Operational</t>
  </si>
  <si>
    <t>S011244: Throughput Limit</t>
  </si>
  <si>
    <t>S011244: Failed to Divert</t>
  </si>
  <si>
    <t>S011244: Tracking Error</t>
  </si>
  <si>
    <t>S011244: Gap Error</t>
  </si>
  <si>
    <t>S011244: No Destination Received</t>
  </si>
  <si>
    <t>S011281: Lane Full</t>
  </si>
  <si>
    <t>S011281: Lane Non-Operational</t>
  </si>
  <si>
    <t>S011281: Throughput Limit</t>
  </si>
  <si>
    <t>S011281: Failed to Divert</t>
  </si>
  <si>
    <t>S011281: Tracking Error</t>
  </si>
  <si>
    <t>S011281: Gap Error</t>
  </si>
  <si>
    <t>S011281: No Destination Received</t>
  </si>
  <si>
    <t>S011290: Lane Full</t>
  </si>
  <si>
    <t>S011290: Lane Non-Operational</t>
  </si>
  <si>
    <t>S011290: Throughput Limit</t>
  </si>
  <si>
    <t>S011290: Failed to Divert</t>
  </si>
  <si>
    <t>S011290: Tracking Error</t>
  </si>
  <si>
    <t>S011290: Gap Error</t>
  </si>
  <si>
    <t>S011290: No Destination Received</t>
  </si>
  <si>
    <t>S011293: Lane Full</t>
  </si>
  <si>
    <t>S011293: Lane Non-Operational</t>
  </si>
  <si>
    <t>S011293: Throughput Limit</t>
  </si>
  <si>
    <t>S011293: Failed to Divert</t>
  </si>
  <si>
    <t>S011293: Tracking Error</t>
  </si>
  <si>
    <t>S011293: Gap Error</t>
  </si>
  <si>
    <t>S011293: No Destination Received</t>
  </si>
  <si>
    <t>S011305: Lane Full</t>
  </si>
  <si>
    <t>S011305: Lane Non-Operational</t>
  </si>
  <si>
    <t>S011305: Throughput Limit</t>
  </si>
  <si>
    <t>S011305: Failed to Divert</t>
  </si>
  <si>
    <t>S011305: Tracking Error</t>
  </si>
  <si>
    <t>S011305: Gap Error</t>
  </si>
  <si>
    <t>S011305: No Destination Received</t>
  </si>
  <si>
    <t>S011311: Lane Full</t>
  </si>
  <si>
    <t>S011311: Lane Non-Operational</t>
  </si>
  <si>
    <t>S011311: Throughput Limit</t>
  </si>
  <si>
    <t>S011311: Failed to Divert</t>
  </si>
  <si>
    <t>S011311: Tracking Error</t>
  </si>
  <si>
    <t>S011311: Gap Error</t>
  </si>
  <si>
    <t>S011311: No Destination Received</t>
  </si>
  <si>
    <t>S011323: Lane Full</t>
  </si>
  <si>
    <t>S011323: Lane Non-Operational</t>
  </si>
  <si>
    <t>S011323: Throughput Limit</t>
  </si>
  <si>
    <t>S011323: Failed to Divert</t>
  </si>
  <si>
    <t>S011323: Tracking Error</t>
  </si>
  <si>
    <t>S011323: Gap Error</t>
  </si>
  <si>
    <t>S011323: No Destination Received</t>
  </si>
  <si>
    <t>S011329: Lane Full</t>
  </si>
  <si>
    <t>S011329: Lane Non-Operational</t>
  </si>
  <si>
    <t>S011329: Throughput Limit</t>
  </si>
  <si>
    <t>S011329: Failed to Divert</t>
  </si>
  <si>
    <t>S011329: Tracking Error</t>
  </si>
  <si>
    <t>S011329: Gap Error</t>
  </si>
  <si>
    <t>S011329: No Destination Received</t>
  </si>
  <si>
    <t>S011332: Lane Full</t>
  </si>
  <si>
    <t>S011332: Lane Non-Operational</t>
  </si>
  <si>
    <t>S011332: Throughput Limit</t>
  </si>
  <si>
    <t>S011332: Failed to Divert</t>
  </si>
  <si>
    <t>S011332: Tracking Error</t>
  </si>
  <si>
    <t>S011332: Gap Error</t>
  </si>
  <si>
    <t>S011332: No Destination Received</t>
  </si>
  <si>
    <t>S011335: Lane Full</t>
  </si>
  <si>
    <t>S011335: Lane Non-Operational</t>
  </si>
  <si>
    <t>S011335: Throughput Limit</t>
  </si>
  <si>
    <t>S011335: Failed to Divert</t>
  </si>
  <si>
    <t>S011335: Tracking Error</t>
  </si>
  <si>
    <t>S011335: Gap Error</t>
  </si>
  <si>
    <t>S011335: No Destination Received</t>
  </si>
  <si>
    <t>S011341: Lane Full</t>
  </si>
  <si>
    <t>S011341: Lane Non-Operational</t>
  </si>
  <si>
    <t>S011341: Throughput Limit</t>
  </si>
  <si>
    <t>S011341: Failed to Divert</t>
  </si>
  <si>
    <t>S011341: Tracking Error</t>
  </si>
  <si>
    <t>S011341: Gap Error</t>
  </si>
  <si>
    <t>S011341: No Destination Received</t>
  </si>
  <si>
    <t>S011344: Lane Full</t>
  </si>
  <si>
    <t>S011344: Lane Non-Operational</t>
  </si>
  <si>
    <t>S011344: Throughput Limit</t>
  </si>
  <si>
    <t>S011344: Failed to Divert</t>
  </si>
  <si>
    <t>S011344: Tracking Error</t>
  </si>
  <si>
    <t>S011344: Gap Error</t>
  </si>
  <si>
    <t>S011344: No Destination Received</t>
  </si>
  <si>
    <t>S011347: Lane Full</t>
  </si>
  <si>
    <t>S011347: Lane Non-Operational</t>
  </si>
  <si>
    <t>S011347: Throughput Limit</t>
  </si>
  <si>
    <t>S011347: Failed to Divert</t>
  </si>
  <si>
    <t>S011347: Tracking Error</t>
  </si>
  <si>
    <t>S011347: Gap Error</t>
  </si>
  <si>
    <t>S011347: No Destination Received</t>
  </si>
  <si>
    <t>S011353: Lane Full</t>
  </si>
  <si>
    <t>S011353: Lane Non-Operational</t>
  </si>
  <si>
    <t>S011353: Throughput Limit</t>
  </si>
  <si>
    <t>S011353: Failed to Divert</t>
  </si>
  <si>
    <t>S011353: Tracking Error</t>
  </si>
  <si>
    <t>S011353: Gap Error</t>
  </si>
  <si>
    <t>S011353: No Destination Received</t>
  </si>
  <si>
    <t>S011356: Lane Full</t>
  </si>
  <si>
    <t>S011356: Lane Non-Operational</t>
  </si>
  <si>
    <t>S011356: Throughput Limit</t>
  </si>
  <si>
    <t>S011356: Failed to Divert</t>
  </si>
  <si>
    <t>S011356: Tracking Error</t>
  </si>
  <si>
    <t>S011356: Gap Error</t>
  </si>
  <si>
    <t>S011356: No Destination Received</t>
  </si>
  <si>
    <t>S011359: Lane Full</t>
  </si>
  <si>
    <t>S011359: Lane Non-Operational</t>
  </si>
  <si>
    <t>S011359: Throughput Limit</t>
  </si>
  <si>
    <t>S011359: Failed to Divert</t>
  </si>
  <si>
    <t>S011359: Tracking Error</t>
  </si>
  <si>
    <t>S011359: Gap Error</t>
  </si>
  <si>
    <t>S011359: No Destination Received</t>
  </si>
  <si>
    <t>S011365: Lane Full</t>
  </si>
  <si>
    <t>S011365: Lane Non-Operational</t>
  </si>
  <si>
    <t>S011365: Throughput Limit</t>
  </si>
  <si>
    <t>S011365: Failed to Divert</t>
  </si>
  <si>
    <t>S011365: Tracking Error</t>
  </si>
  <si>
    <t>S011365: Gap Error</t>
  </si>
  <si>
    <t>S011365: No Destination Received</t>
  </si>
  <si>
    <t>S011368: Lane Full</t>
  </si>
  <si>
    <t>S011368: Lane Non-Operational</t>
  </si>
  <si>
    <t>S011368: Throughput Limit</t>
  </si>
  <si>
    <t>S011368: Failed to Divert</t>
  </si>
  <si>
    <t>S011368: Tracking Error</t>
  </si>
  <si>
    <t>S011368: Gap Error</t>
  </si>
  <si>
    <t>S011368: No Destination Received</t>
  </si>
  <si>
    <t>S011371: Lane Full</t>
  </si>
  <si>
    <t>S011371: Lane Non-Operational</t>
  </si>
  <si>
    <t>S011371: Throughput Limit</t>
  </si>
  <si>
    <t>S011371: Failed to Divert</t>
  </si>
  <si>
    <t>S011371: Tracking Error</t>
  </si>
  <si>
    <t>S011371: Gap Error</t>
  </si>
  <si>
    <t>S011371: No Destination Received</t>
  </si>
  <si>
    <t>S011377: Lane Full</t>
  </si>
  <si>
    <t>S011377: Lane Non-Operational</t>
  </si>
  <si>
    <t>S011377: Throughput Limit</t>
  </si>
  <si>
    <t>S011377: Failed to Divert</t>
  </si>
  <si>
    <t>S011377: Tracking Error</t>
  </si>
  <si>
    <t>S011377: Gap Error</t>
  </si>
  <si>
    <t>S011377: No Destination Received</t>
  </si>
  <si>
    <t>S011383: Lane Full</t>
  </si>
  <si>
    <t>S011383: Lane Non-Operational</t>
  </si>
  <si>
    <t>S011383: Throughput Limit</t>
  </si>
  <si>
    <t>S011383: Failed to Divert</t>
  </si>
  <si>
    <t>S011383: Tracking Error</t>
  </si>
  <si>
    <t>S011383: Gap Error</t>
  </si>
  <si>
    <t>S011383: No Destination Received</t>
  </si>
  <si>
    <t>S011386: Lane Full</t>
  </si>
  <si>
    <t>S011386: Lane Non-Operational</t>
  </si>
  <si>
    <t>S011386: Throughput Limit</t>
  </si>
  <si>
    <t>S011386: Failed to Divert</t>
  </si>
  <si>
    <t>S011386: Tracking Error</t>
  </si>
  <si>
    <t>S011386: Gap Error</t>
  </si>
  <si>
    <t>S011386: No Destination Received</t>
  </si>
  <si>
    <t>S011389: Lane Full</t>
  </si>
  <si>
    <t>S011389: Lane Non-Operational</t>
  </si>
  <si>
    <t>S011389: Throughput Limit</t>
  </si>
  <si>
    <t>S011389: Failed to Divert</t>
  </si>
  <si>
    <t>S011389: Tracking Error</t>
  </si>
  <si>
    <t>S011389: Gap Error</t>
  </si>
  <si>
    <t>S011389: No Destination Received</t>
  </si>
  <si>
    <t>S011392: Lane Full</t>
  </si>
  <si>
    <t>S011392: Lane Non-Operational</t>
  </si>
  <si>
    <t>S011392: Throughput Limit</t>
  </si>
  <si>
    <t>S011392: Failed to Divert</t>
  </si>
  <si>
    <t>S011392: Tracking Error</t>
  </si>
  <si>
    <t>S011392: Gap Error</t>
  </si>
  <si>
    <t>S011392: No Destination Received</t>
  </si>
  <si>
    <t>S011395: Lane Full</t>
  </si>
  <si>
    <t>S011395: Lane Non-Operational</t>
  </si>
  <si>
    <t>S011395: Throughput Limit</t>
  </si>
  <si>
    <t>S011395: Failed to Divert</t>
  </si>
  <si>
    <t>S011395: Tracking Error</t>
  </si>
  <si>
    <t>S011395: Gap Error</t>
  </si>
  <si>
    <t>S011395: No Destination Received</t>
  </si>
  <si>
    <t>S011398: Lane Full</t>
  </si>
  <si>
    <t>S011398: Lane Non-Operational</t>
  </si>
  <si>
    <t>S011398: Throughput Limit</t>
  </si>
  <si>
    <t>S011398: Failed to Divert</t>
  </si>
  <si>
    <t>S011398: Tracking Error</t>
  </si>
  <si>
    <t>S011398: Gap Error</t>
  </si>
  <si>
    <t>S011398: No Destination Received</t>
  </si>
  <si>
    <t>S011401: Lane Full</t>
  </si>
  <si>
    <t>S011401: Lane Non-Operational</t>
  </si>
  <si>
    <t>S011401: Throughput Limit</t>
  </si>
  <si>
    <t>S011401: Failed to Divert</t>
  </si>
  <si>
    <t>S011401: Tracking Error</t>
  </si>
  <si>
    <t>S011401: Gap Error</t>
  </si>
  <si>
    <t>S011401: No Destination Received</t>
  </si>
  <si>
    <t>S011404: Lane Full</t>
  </si>
  <si>
    <t>S011404: Lane Non-Operational</t>
  </si>
  <si>
    <t>S011404: Throughput Limit</t>
  </si>
  <si>
    <t>S011404: Failed to Divert</t>
  </si>
  <si>
    <t>S011404: Tracking Error</t>
  </si>
  <si>
    <t>S011404: Gap Error</t>
  </si>
  <si>
    <t>S011404: No Destination Received</t>
  </si>
  <si>
    <t>S011407: Lane Full</t>
  </si>
  <si>
    <t>S011407: Lane Non-Operational</t>
  </si>
  <si>
    <t>S011407: Throughput Limit</t>
  </si>
  <si>
    <t>S011407: Failed to Divert</t>
  </si>
  <si>
    <t>S011407: Tracking Error</t>
  </si>
  <si>
    <t>S011407: Gap Error</t>
  </si>
  <si>
    <t>S011407: No Destination Received</t>
  </si>
  <si>
    <t>S011410: Lane Full</t>
  </si>
  <si>
    <t>S011410: Lane Non-Operational</t>
  </si>
  <si>
    <t>S011410: Throughput Limit</t>
  </si>
  <si>
    <t>S011410: Failed to Divert</t>
  </si>
  <si>
    <t>S011410: Tracking Error</t>
  </si>
  <si>
    <t>S011410: Gap Error</t>
  </si>
  <si>
    <t>S011410: No Destination Received</t>
  </si>
  <si>
    <t>S011413: Lane Full</t>
  </si>
  <si>
    <t>S011413: Lane Non-Operational</t>
  </si>
  <si>
    <t>S011413: Throughput Limit</t>
  </si>
  <si>
    <t>S011413: Failed to Divert</t>
  </si>
  <si>
    <t>S011413: Tracking Error</t>
  </si>
  <si>
    <t>S011413: Gap Error</t>
  </si>
  <si>
    <t>S011413: No Destination Received</t>
  </si>
  <si>
    <t>S011416: Lane Full</t>
  </si>
  <si>
    <t>S011416: Lane Non-Operational</t>
  </si>
  <si>
    <t>S011416: Throughput Limit</t>
  </si>
  <si>
    <t>S011416: Failed to Divert</t>
  </si>
  <si>
    <t>S011416: Tracking Error</t>
  </si>
  <si>
    <t>S011416: Gap Error</t>
  </si>
  <si>
    <t>S011416: No Destination Received</t>
  </si>
  <si>
    <t>S011419: Lane Full</t>
  </si>
  <si>
    <t>S011419: Lane Non-Operational</t>
  </si>
  <si>
    <t>S011419: Throughput Limit</t>
  </si>
  <si>
    <t>S011419: Failed to Divert</t>
  </si>
  <si>
    <t>S011419: Tracking Error</t>
  </si>
  <si>
    <t>S011419: Gap Error</t>
  </si>
  <si>
    <t>S011419: No Destination Received</t>
  </si>
  <si>
    <t>S011422: Lane Full</t>
  </si>
  <si>
    <t>S011422: Lane Non-Operational</t>
  </si>
  <si>
    <t>S011422: Throughput Limit</t>
  </si>
  <si>
    <t>S011422: Failed to Divert</t>
  </si>
  <si>
    <t>S011422: Tracking Error</t>
  </si>
  <si>
    <t>S011422: Gap Error</t>
  </si>
  <si>
    <t>S011422: No Destination Received</t>
  </si>
  <si>
    <t>S011425: Lane Full</t>
  </si>
  <si>
    <t>S011425: Lane Non-Operational</t>
  </si>
  <si>
    <t>S011425: Throughput Limit</t>
  </si>
  <si>
    <t>S011425: Failed to Divert</t>
  </si>
  <si>
    <t>S011425: Tracking Error</t>
  </si>
  <si>
    <t>S011425: Gap Error</t>
  </si>
  <si>
    <t>S011425: No Destination Received</t>
  </si>
  <si>
    <t>S011431: Lane Full</t>
  </si>
  <si>
    <t>S011431: Lane Non-Operational</t>
  </si>
  <si>
    <t>S011431: Throughput Limit</t>
  </si>
  <si>
    <t>S011431: Failed to Divert</t>
  </si>
  <si>
    <t>S011431: Tracking Error</t>
  </si>
  <si>
    <t>S011431: Gap Error</t>
  </si>
  <si>
    <t>S011431: No Destination Received</t>
  </si>
  <si>
    <t>S011434: Lane Full</t>
  </si>
  <si>
    <t>S011434: Lane Non-Operational</t>
  </si>
  <si>
    <t>S011434: Throughput Limit</t>
  </si>
  <si>
    <t>S011434: Failed to Divert</t>
  </si>
  <si>
    <t>S011434: Tracking Error</t>
  </si>
  <si>
    <t>S011434: Gap Error</t>
  </si>
  <si>
    <t>S011434: No Destination Received</t>
  </si>
  <si>
    <t>S011437: Lane Full</t>
  </si>
  <si>
    <t>S011437: Lane Non-Operational</t>
  </si>
  <si>
    <t>S011437: Throughput Limit</t>
  </si>
  <si>
    <t>S011437: Failed to Divert</t>
  </si>
  <si>
    <t>S011437: Tracking Error</t>
  </si>
  <si>
    <t>S011437: Gap Error</t>
  </si>
  <si>
    <t>S011437: No Destination Received</t>
  </si>
  <si>
    <t>S011440: Lane Full</t>
  </si>
  <si>
    <t>S011440: Lane Non-Operational</t>
  </si>
  <si>
    <t>S011440: Throughput Limit</t>
  </si>
  <si>
    <t>S011440: Failed to Divert</t>
  </si>
  <si>
    <t>S011440: Tracking Error</t>
  </si>
  <si>
    <t>S011440: Gap Error</t>
  </si>
  <si>
    <t>S011440: No Destination Received</t>
  </si>
  <si>
    <t>S011443: Lane Full</t>
  </si>
  <si>
    <t>S011443: Lane Non-Operational</t>
  </si>
  <si>
    <t>S011443: Throughput Limit</t>
  </si>
  <si>
    <t>S011443: Failed to Divert</t>
  </si>
  <si>
    <t>S011443: Tracking Error</t>
  </si>
  <si>
    <t>S011443: Gap Error</t>
  </si>
  <si>
    <t>S011443: No Destination Received</t>
  </si>
  <si>
    <t>S011446: Lane Full</t>
  </si>
  <si>
    <t>S011446: Lane Non-Operational</t>
  </si>
  <si>
    <t>S011446: Throughput Limit</t>
  </si>
  <si>
    <t>S011446: Failed to Divert</t>
  </si>
  <si>
    <t>S011446: Tracking Error</t>
  </si>
  <si>
    <t>S011446: Gap Error</t>
  </si>
  <si>
    <t>S011446: No Destination Received</t>
  </si>
  <si>
    <t>S011452: Lane Full</t>
  </si>
  <si>
    <t>S011452: Lane Non-Operational</t>
  </si>
  <si>
    <t>S011452: Throughput Limit</t>
  </si>
  <si>
    <t>S011452: Failed to Divert</t>
  </si>
  <si>
    <t>S011452: Tracking Error</t>
  </si>
  <si>
    <t>S011452: Gap Error</t>
  </si>
  <si>
    <t>S011452: No Destination Received</t>
  </si>
  <si>
    <t>S011455: Lane Full</t>
  </si>
  <si>
    <t>S011455: Lane Non-Operational</t>
  </si>
  <si>
    <t>S011455: Throughput Limit</t>
  </si>
  <si>
    <t>S011455: Failed to Divert</t>
  </si>
  <si>
    <t>S011455: Tracking Error</t>
  </si>
  <si>
    <t>S011455: Gap Error</t>
  </si>
  <si>
    <t>S011455: No Destination Received</t>
  </si>
  <si>
    <t>S011458: Lane Full</t>
  </si>
  <si>
    <t>S011458: Lane Non-Operational</t>
  </si>
  <si>
    <t>S011458: Throughput Limit</t>
  </si>
  <si>
    <t>S011458: Failed to Divert</t>
  </si>
  <si>
    <t>S011458: Tracking Error</t>
  </si>
  <si>
    <t>S011458: Gap Error</t>
  </si>
  <si>
    <t>S011458: No Destination Received</t>
  </si>
  <si>
    <t>S011461: Lane Full</t>
  </si>
  <si>
    <t>S011461: Lane Non-Operational</t>
  </si>
  <si>
    <t>S011461: Throughput Limit</t>
  </si>
  <si>
    <t>S011461: Failed to Divert</t>
  </si>
  <si>
    <t>S011461: Tracking Error</t>
  </si>
  <si>
    <t>S011461: Gap Error</t>
  </si>
  <si>
    <t>S011461: No Destination Received</t>
  </si>
  <si>
    <t>S011464: Lane Full</t>
  </si>
  <si>
    <t>S011464: Lane Non-Operational</t>
  </si>
  <si>
    <t>S011464: Throughput Limit</t>
  </si>
  <si>
    <t>S011464: Failed to Divert</t>
  </si>
  <si>
    <t>S011464: Tracking Error</t>
  </si>
  <si>
    <t>S011464: Gap Error</t>
  </si>
  <si>
    <t>S011464: No Destination Received</t>
  </si>
  <si>
    <t>S011467: Lane Full</t>
  </si>
  <si>
    <t>S011467: Lane Non-Operational</t>
  </si>
  <si>
    <t>S011467: Throughput Limit</t>
  </si>
  <si>
    <t>S011467: Failed to Divert</t>
  </si>
  <si>
    <t>S011467: Tracking Error</t>
  </si>
  <si>
    <t>S011467: Gap Error</t>
  </si>
  <si>
    <t>S011467: No Destination Received</t>
  </si>
  <si>
    <t>S011476: Lane Full</t>
  </si>
  <si>
    <t>S011476: Lane Non-Operational</t>
  </si>
  <si>
    <t>S011476: Throughput Limit</t>
  </si>
  <si>
    <t>S011476: Failed to Divert</t>
  </si>
  <si>
    <t>S011476: Tracking Error</t>
  </si>
  <si>
    <t>S011476: Gap Error</t>
  </si>
  <si>
    <t>S011476: No Destination Received</t>
  </si>
  <si>
    <t>S011479: Lane Full</t>
  </si>
  <si>
    <t>S011479: Lane Non-Operational</t>
  </si>
  <si>
    <t>S011479: Throughput Limit</t>
  </si>
  <si>
    <t>S011479: Failed to Divert</t>
  </si>
  <si>
    <t>S011479: Tracking Error</t>
  </si>
  <si>
    <t>S011479: Gap Error</t>
  </si>
  <si>
    <t>S011479: No Destination Received</t>
  </si>
  <si>
    <t>S011485: Lane Full</t>
  </si>
  <si>
    <t>S011485: Lane Non-Operational</t>
  </si>
  <si>
    <t>S011485: Throughput Limit</t>
  </si>
  <si>
    <t>S011485: Failed to Divert</t>
  </si>
  <si>
    <t>S011485: Tracking Error</t>
  </si>
  <si>
    <t>S011485: Gap Error</t>
  </si>
  <si>
    <t>S011485: No Destination Received</t>
  </si>
  <si>
    <t>S011488: Lane Full</t>
  </si>
  <si>
    <t>S011488: Lane Non-Operational</t>
  </si>
  <si>
    <t>S011488: Throughput Limit</t>
  </si>
  <si>
    <t>S011488: Failed to Divert</t>
  </si>
  <si>
    <t>S011488: Tracking Error</t>
  </si>
  <si>
    <t>S011488: Gap Error</t>
  </si>
  <si>
    <t>S011488: No Destination Received</t>
  </si>
  <si>
    <t>S011494: Lane Full</t>
  </si>
  <si>
    <t>S011494: Lane Non-Operational</t>
  </si>
  <si>
    <t>S011494: Throughput Limit</t>
  </si>
  <si>
    <t>S011494: Failed to Divert</t>
  </si>
  <si>
    <t>S011494: Tracking Error</t>
  </si>
  <si>
    <t>S011494: Gap Error</t>
  </si>
  <si>
    <t>S011494: No Destination Received</t>
  </si>
  <si>
    <t>S011511: Success</t>
  </si>
  <si>
    <t>S011511: Lane Full</t>
  </si>
  <si>
    <t>S011511: Lane Non-Operational</t>
  </si>
  <si>
    <t>S011511: Throughput Limit</t>
  </si>
  <si>
    <t>S011511: Failed to Divert</t>
  </si>
  <si>
    <t>S011511: Tracking Error</t>
  </si>
  <si>
    <t>S011511: Gap Error</t>
  </si>
  <si>
    <t>S011511: No Destination Received</t>
  </si>
  <si>
    <t>PalletMoved</t>
  </si>
  <si>
    <t>PalletLoaded</t>
  </si>
  <si>
    <t>S010110: Lane Full</t>
  </si>
  <si>
    <t>S010110: Lane Non-Operational</t>
  </si>
  <si>
    <t>S010110: Throughput Limit</t>
  </si>
  <si>
    <t>S010110: Failed to Divert</t>
  </si>
  <si>
    <t>S010110: Tracking Error</t>
  </si>
  <si>
    <t>S010110: Gap Error</t>
  </si>
  <si>
    <t>S010110: No Destination Received</t>
  </si>
  <si>
    <t>S010815: Lane Full</t>
  </si>
  <si>
    <t>S010815: Lane Non-Operational</t>
  </si>
  <si>
    <t>S010815: Throughput Limit</t>
  </si>
  <si>
    <t>S010815: Failed to Divert</t>
  </si>
  <si>
    <t>S010815: Tracking Error</t>
  </si>
  <si>
    <t>S010815: Gap Error</t>
  </si>
  <si>
    <t>S010815: No Destination Received</t>
  </si>
  <si>
    <t>S010090: Lane Full</t>
  </si>
  <si>
    <t>S010090: Lane Non-Operational</t>
  </si>
  <si>
    <t>S010090: Throughput Limit</t>
  </si>
  <si>
    <t>S010090: Failed to Divert</t>
  </si>
  <si>
    <t>S010090: Tracking Error</t>
  </si>
  <si>
    <t>S010090: Gap Error</t>
  </si>
  <si>
    <t>S010090: No Destination Received</t>
  </si>
  <si>
    <t>S010102: Lane Full</t>
  </si>
  <si>
    <t>S010102: Lane Non-Operational</t>
  </si>
  <si>
    <t>S010102: Throughput Limit</t>
  </si>
  <si>
    <t>S010102: Failed to Divert</t>
  </si>
  <si>
    <t>S010102: Tracking Error</t>
  </si>
  <si>
    <t>S010102: Gap Error</t>
  </si>
  <si>
    <t>S010102: No Destination Received</t>
  </si>
  <si>
    <t>S010104: Lane Full</t>
  </si>
  <si>
    <t>S010104: Lane Non-Operational</t>
  </si>
  <si>
    <t>S010104: Throughput Limit</t>
  </si>
  <si>
    <t>S010104: Failed to Divert</t>
  </si>
  <si>
    <t>S010104: Tracking Error</t>
  </si>
  <si>
    <t>S010104: Gap Error</t>
  </si>
  <si>
    <t>S010104: No Destination Received</t>
  </si>
  <si>
    <t>S010106: Lane Full</t>
  </si>
  <si>
    <t>S010106: Lane Non-Operational</t>
  </si>
  <si>
    <t>S010106: Throughput Limit</t>
  </si>
  <si>
    <t>S010106: Failed to Divert</t>
  </si>
  <si>
    <t>S010106: Tracking Error</t>
  </si>
  <si>
    <t>S010106: Gap Error</t>
  </si>
  <si>
    <t>S010106: No Destination Received</t>
  </si>
  <si>
    <t>S010108: Lane Full</t>
  </si>
  <si>
    <t>S010108: Lane Non-Operational</t>
  </si>
  <si>
    <t>S010108: Throughput Limit</t>
  </si>
  <si>
    <t>S010108: Failed to Divert</t>
  </si>
  <si>
    <t>S010108: Tracking Error</t>
  </si>
  <si>
    <t>S010108: Gap Error</t>
  </si>
  <si>
    <t>S010108: No Destination Received</t>
  </si>
  <si>
    <t>S010817: Lane Full</t>
  </si>
  <si>
    <t>S010817: Lane Non-Operational</t>
  </si>
  <si>
    <t>S010817: Throughput Limit</t>
  </si>
  <si>
    <t>S010817: Failed to Divert</t>
  </si>
  <si>
    <t>S010817: Tracking Error</t>
  </si>
  <si>
    <t>S010817: Gap Error</t>
  </si>
  <si>
    <t>S010817: No Destination Received</t>
  </si>
  <si>
    <t>S010821: Lane Full</t>
  </si>
  <si>
    <t>S010821: Lane Non-Operational</t>
  </si>
  <si>
    <t>S010821: Throughput Limit</t>
  </si>
  <si>
    <t>S010821: Failed to Divert</t>
  </si>
  <si>
    <t>S010821: Tracking Error</t>
  </si>
  <si>
    <t>S010821: Gap Error</t>
  </si>
  <si>
    <t>S010821: No Destination Received</t>
  </si>
  <si>
    <t>S010823: Lane Full</t>
  </si>
  <si>
    <t>S010823: Lane Non-Operational</t>
  </si>
  <si>
    <t>S010823: Throughput Limit</t>
  </si>
  <si>
    <t>S010823: Failed to Divert</t>
  </si>
  <si>
    <t>S010823: Tracking Error</t>
  </si>
  <si>
    <t>S010823: Gap Error</t>
  </si>
  <si>
    <t>S010823: No Destination Received</t>
  </si>
  <si>
    <t>S010831: Lane Full</t>
  </si>
  <si>
    <t>S010831: Lane Non-Operational</t>
  </si>
  <si>
    <t>S010831: Throughput Limit</t>
  </si>
  <si>
    <t>S010831: Failed to Divert</t>
  </si>
  <si>
    <t>S010831: Tracking Error</t>
  </si>
  <si>
    <t>S010831: Gap Error</t>
  </si>
  <si>
    <t>S010831: No Destination Received</t>
  </si>
  <si>
    <t>S011241: Lane Full</t>
  </si>
  <si>
    <t>S011241: Lane Non-Operational</t>
  </si>
  <si>
    <t>S011241: Throughput Limit</t>
  </si>
  <si>
    <t>S011241: Failed to Divert</t>
  </si>
  <si>
    <t>S011241: Tracking Error</t>
  </si>
  <si>
    <t>S011241: Gap Error</t>
  </si>
  <si>
    <t>S011241: No Destination Received</t>
  </si>
  <si>
    <t>S011247: Lane Full</t>
  </si>
  <si>
    <t>S011247: Lane Non-Operational</t>
  </si>
  <si>
    <t>S011247: Throughput Limit</t>
  </si>
  <si>
    <t>S011247: Failed to Divert</t>
  </si>
  <si>
    <t>S011247: Tracking Error</t>
  </si>
  <si>
    <t>S011247: Gap Error</t>
  </si>
  <si>
    <t>S011247: No Destination Received</t>
  </si>
  <si>
    <t>S011253: Lane Full</t>
  </si>
  <si>
    <t>S011253: Lane Non-Operational</t>
  </si>
  <si>
    <t>S011253: Throughput Limit</t>
  </si>
  <si>
    <t>S011253: Failed to Divert</t>
  </si>
  <si>
    <t>S011253: Tracking Error</t>
  </si>
  <si>
    <t>S011253: Gap Error</t>
  </si>
  <si>
    <t>S011253: No Destination Received</t>
  </si>
  <si>
    <t>S011287: Lane Full</t>
  </si>
  <si>
    <t>S011287: Lane Non-Operational</t>
  </si>
  <si>
    <t>S011287: Throughput Limit</t>
  </si>
  <si>
    <t>S011287: Failed to Divert</t>
  </si>
  <si>
    <t>S011287: Tracking Error</t>
  </si>
  <si>
    <t>S011287: Gap Error</t>
  </si>
  <si>
    <t>S011287: No Destination Received</t>
  </si>
  <si>
    <t>S011299: Lane Full</t>
  </si>
  <si>
    <t>S011299: Lane Non-Operational</t>
  </si>
  <si>
    <t>S011299: Throughput Limit</t>
  </si>
  <si>
    <t>S011299: Failed to Divert</t>
  </si>
  <si>
    <t>S011299: Tracking Error</t>
  </si>
  <si>
    <t>S011299: Gap Error</t>
  </si>
  <si>
    <t>S011299: No Destination Received</t>
  </si>
  <si>
    <t>S010819: Lane Full</t>
  </si>
  <si>
    <t>S010819: Lane Non-Operational</t>
  </si>
  <si>
    <t>S010819: Throughput Limit</t>
  </si>
  <si>
    <t>S010819: Failed to Divert</t>
  </si>
  <si>
    <t>S010819: Tracking Error</t>
  </si>
  <si>
    <t>S010819: Gap Error</t>
  </si>
  <si>
    <t>S010819: No Destination Received</t>
  </si>
  <si>
    <t>S011262: Lane Full</t>
  </si>
  <si>
    <t>S011262: Lane Non-Operational</t>
  </si>
  <si>
    <t>S011262: Throughput Limit</t>
  </si>
  <si>
    <t>S011262: Failed to Divert</t>
  </si>
  <si>
    <t>S011262: Tracking Error</t>
  </si>
  <si>
    <t>S011262: Gap Error</t>
  </si>
  <si>
    <t>S011262: No Destination Received</t>
  </si>
  <si>
    <t>S011491: Lane Full</t>
  </si>
  <si>
    <t>S011491: Lane Non-Operational</t>
  </si>
  <si>
    <t>S011491: Throughput Limit</t>
  </si>
  <si>
    <t>S011491: Failed to Divert</t>
  </si>
  <si>
    <t>S011491: Tracking Error</t>
  </si>
  <si>
    <t>S011491: Gap Error</t>
  </si>
  <si>
    <t>S011491: No Destination Received</t>
  </si>
  <si>
    <t>S011235: Lane Full</t>
  </si>
  <si>
    <t>S011235: Lane Non-Operational</t>
  </si>
  <si>
    <t>S011235: Throughput Limit</t>
  </si>
  <si>
    <t>S011235: Failed to Divert</t>
  </si>
  <si>
    <t>S011235: Tracking Error</t>
  </si>
  <si>
    <t>S011235: Gap Error</t>
  </si>
  <si>
    <t>S011235: No Destination Received</t>
  </si>
  <si>
    <t>S010088: Lane Full</t>
  </si>
  <si>
    <t>S010088: Lane Non-Operational</t>
  </si>
  <si>
    <t>S010088: Throughput Limit</t>
  </si>
  <si>
    <t>S010088: Failed to Divert</t>
  </si>
  <si>
    <t>S010088: Tracking Error</t>
  </si>
  <si>
    <t>S010088: Gap Error</t>
  </si>
  <si>
    <t>S010088: No Destination Received</t>
  </si>
  <si>
    <t>S010833: Lane Full</t>
  </si>
  <si>
    <t>S010833: Lane Non-Operational</t>
  </si>
  <si>
    <t>S010833: Throughput Limit</t>
  </si>
  <si>
    <t>S010833: Failed to Divert</t>
  </si>
  <si>
    <t>S010833: Tracking Error</t>
  </si>
  <si>
    <t>S010833: Gap Error</t>
  </si>
  <si>
    <t>S010833: No Destination Received</t>
  </si>
  <si>
    <t>S011482: Lane Full</t>
  </si>
  <si>
    <t>S011482: Lane Non-Operational</t>
  </si>
  <si>
    <t>S011482: Throughput Limit</t>
  </si>
  <si>
    <t>S011482: Failed to Divert</t>
  </si>
  <si>
    <t>S011482: Tracking Error</t>
  </si>
  <si>
    <t>S011482: Gap Error</t>
  </si>
  <si>
    <t>S011482: No Destination Received</t>
  </si>
  <si>
    <t>S010084: Lane Full</t>
  </si>
  <si>
    <t>S010084: Lane Non-Operational</t>
  </si>
  <si>
    <t>S010084: Throughput Limit</t>
  </si>
  <si>
    <t>S010084: Failed to Divert</t>
  </si>
  <si>
    <t>S010084: Tracking Error</t>
  </si>
  <si>
    <t>S010084: Gap Error</t>
  </si>
  <si>
    <t>S010084: No Destination Received</t>
  </si>
  <si>
    <t>S010086: Lane Full</t>
  </si>
  <si>
    <t>S010086: Lane Non-Operational</t>
  </si>
  <si>
    <t>S010086: Throughput Limit</t>
  </si>
  <si>
    <t>S010086: Failed to Divert</t>
  </si>
  <si>
    <t>S010086: Tracking Error</t>
  </si>
  <si>
    <t>S010086: Gap Error</t>
  </si>
  <si>
    <t>S010086: No Destination Received</t>
  </si>
  <si>
    <t>S010835: Lane Full</t>
  </si>
  <si>
    <t>S010835: Lane Non-Operational</t>
  </si>
  <si>
    <t>S010835: Throughput Limit</t>
  </si>
  <si>
    <t>S010835: Failed to Divert</t>
  </si>
  <si>
    <t>S010835: Tracking Error</t>
  </si>
  <si>
    <t>S010835: Gap Error</t>
  </si>
  <si>
    <t>S010835: No Destination Received</t>
  </si>
  <si>
    <t>S010837: Lane Full</t>
  </si>
  <si>
    <t>S010837: Lane Non-Operational</t>
  </si>
  <si>
    <t>S010837: Throughput Limit</t>
  </si>
  <si>
    <t>S010837: Failed to Divert</t>
  </si>
  <si>
    <t>S010837: Tracking Error</t>
  </si>
  <si>
    <t>S010837: Gap Error</t>
  </si>
  <si>
    <t>S010837: No Destination Received</t>
  </si>
  <si>
    <t>S010941: Success</t>
  </si>
  <si>
    <t>S010941: Lane Full</t>
  </si>
  <si>
    <t>S010941: Lane Non-Operational</t>
  </si>
  <si>
    <t>S010941: Throughput Limit</t>
  </si>
  <si>
    <t>S010941: Failed to Divert</t>
  </si>
  <si>
    <t>S010941: Tracking Error</t>
  </si>
  <si>
    <t>S010941: Gap Error</t>
  </si>
  <si>
    <t>S010941: No Destination Received</t>
  </si>
  <si>
    <t>S011265: Lane Full</t>
  </si>
  <si>
    <t>S011265: Lane Non-Operational</t>
  </si>
  <si>
    <t>S011265: Throughput Limit</t>
  </si>
  <si>
    <t>S011265: Failed to Divert</t>
  </si>
  <si>
    <t>S011265: Tracking Error</t>
  </si>
  <si>
    <t>S011265: Gap Error</t>
  </si>
  <si>
    <t>S011265: No Destination Received</t>
  </si>
  <si>
    <t>S010931: Success</t>
  </si>
  <si>
    <t>S010931: Lane Full</t>
  </si>
  <si>
    <t>S010931: Lane Non-Operational</t>
  </si>
  <si>
    <t>S010931: Throughput Limit</t>
  </si>
  <si>
    <t>S010931: Failed to Divert</t>
  </si>
  <si>
    <t>S010931: Tracking Error</t>
  </si>
  <si>
    <t>S010931: Gap Error</t>
  </si>
  <si>
    <t>S010931: No Destination Received</t>
  </si>
  <si>
    <t>S010712: Lane Full</t>
  </si>
  <si>
    <t>S010712: Lane Non-Operational</t>
  </si>
  <si>
    <t>S010712: Throughput Limit</t>
  </si>
  <si>
    <t>S010712: Failed to Divert</t>
  </si>
  <si>
    <t>S010712: Tracking Error</t>
  </si>
  <si>
    <t>S010712: Gap Error</t>
  </si>
  <si>
    <t>S010712: No Destination Received</t>
  </si>
  <si>
    <t>S010155: Lane Full</t>
  </si>
  <si>
    <t>S010155: Lane Non-Operational</t>
  </si>
  <si>
    <t>S010155: Throughput Limit</t>
  </si>
  <si>
    <t>S010155: Failed to Divert</t>
  </si>
  <si>
    <t>S010155: Tracking Error</t>
  </si>
  <si>
    <t>S010155: Gap Error</t>
  </si>
  <si>
    <t>S010155: No Destination Received</t>
  </si>
  <si>
    <t>S010774: Lane Full</t>
  </si>
  <si>
    <t>S010774: Lane Non-Operational</t>
  </si>
  <si>
    <t>S010774: Throughput Limit</t>
  </si>
  <si>
    <t>S010774: Failed to Divert</t>
  </si>
  <si>
    <t>S010774: Tracking Error</t>
  </si>
  <si>
    <t>S010774: Gap Error</t>
  </si>
  <si>
    <t>S010774: No Destination Received</t>
  </si>
  <si>
    <t>S011139: Lane Full</t>
  </si>
  <si>
    <t>S011139: Lane Non-Operational</t>
  </si>
  <si>
    <t>S011139: Throughput Limit</t>
  </si>
  <si>
    <t>S011139: Failed to Divert</t>
  </si>
  <si>
    <t>S011139: Tracking Error</t>
  </si>
  <si>
    <t>S011139: Gap Error</t>
  </si>
  <si>
    <t>S011139: No Destination Received</t>
  </si>
  <si>
    <t>S010072: Lane Full</t>
  </si>
  <si>
    <t>S010072: Lane Non-Operational</t>
  </si>
  <si>
    <t>S010072: Throughput Limit</t>
  </si>
  <si>
    <t>S010072: Failed to Divert</t>
  </si>
  <si>
    <t>S010072: Tracking Error</t>
  </si>
  <si>
    <t>S010072: Gap Error</t>
  </si>
  <si>
    <t>S010072: No Destination Received</t>
  </si>
  <si>
    <t>S010074: Lane Full</t>
  </si>
  <si>
    <t>S010074: Lane Non-Operational</t>
  </si>
  <si>
    <t>S010074: Throughput Limit</t>
  </si>
  <si>
    <t>S010074: Failed to Divert</t>
  </si>
  <si>
    <t>S010074: Tracking Error</t>
  </si>
  <si>
    <t>S010074: Gap Error</t>
  </si>
  <si>
    <t>S010074: No Destination Received</t>
  </si>
  <si>
    <t>S010310: Lane Full</t>
  </si>
  <si>
    <t>S010310: Lane Non-Operational</t>
  </si>
  <si>
    <t>S010310: Throughput Limit</t>
  </si>
  <si>
    <t>S010310: Failed to Divert</t>
  </si>
  <si>
    <t>S010310: Tracking Error</t>
  </si>
  <si>
    <t>S010310: Gap Error</t>
  </si>
  <si>
    <t>S010310: No Destination Received</t>
  </si>
  <si>
    <t>S010322: Lane Full</t>
  </si>
  <si>
    <t>S010322: Lane Non-Operational</t>
  </si>
  <si>
    <t>S010322: Throughput Limit</t>
  </si>
  <si>
    <t>S010322: Failed to Divert</t>
  </si>
  <si>
    <t>S010322: Tracking Error</t>
  </si>
  <si>
    <t>S010322: Gap Error</t>
  </si>
  <si>
    <t>S010322: No Destination Received</t>
  </si>
  <si>
    <t>S010609: Lane Full</t>
  </si>
  <si>
    <t>S010609: Lane Non-Operational</t>
  </si>
  <si>
    <t>S010609: Throughput Limit</t>
  </si>
  <si>
    <t>S010609: Failed to Divert</t>
  </si>
  <si>
    <t>S010609: Tracking Error</t>
  </si>
  <si>
    <t>S010609: Gap Error</t>
  </si>
  <si>
    <t>S010609: No Destination Received</t>
  </si>
  <si>
    <t>S010851: Lane Full</t>
  </si>
  <si>
    <t>S010851: Lane Non-Operational</t>
  </si>
  <si>
    <t>S010851: Throughput Limit</t>
  </si>
  <si>
    <t>S010851: Failed to Divert</t>
  </si>
  <si>
    <t>S010851: Tracking Error</t>
  </si>
  <si>
    <t>S010851: Gap Error</t>
  </si>
  <si>
    <t>S010851: No Destination Received</t>
  </si>
  <si>
    <t>S010853: Lane Full</t>
  </si>
  <si>
    <t>S010853: Lane Non-Operational</t>
  </si>
  <si>
    <t>S010853: Throughput Limit</t>
  </si>
  <si>
    <t>S010853: Failed to Divert</t>
  </si>
  <si>
    <t>S010853: Tracking Error</t>
  </si>
  <si>
    <t>S010853: Gap Error</t>
  </si>
  <si>
    <t>S010853: No Destination Received</t>
  </si>
  <si>
    <t>S011256: Lane Full</t>
  </si>
  <si>
    <t>S011256: Lane Non-Operational</t>
  </si>
  <si>
    <t>S011256: Throughput Limit</t>
  </si>
  <si>
    <t>S011256: Failed to Divert</t>
  </si>
  <si>
    <t>S011256: Tracking Error</t>
  </si>
  <si>
    <t>S011256: Gap Error</t>
  </si>
  <si>
    <t>S011256: No Destination Received</t>
  </si>
  <si>
    <t>S011314: Lane Full</t>
  </si>
  <si>
    <t>S011314: Lane Non-Operational</t>
  </si>
  <si>
    <t>S011314: Throughput Limit</t>
  </si>
  <si>
    <t>S011314: Failed to Divert</t>
  </si>
  <si>
    <t>S011314: Tracking Error</t>
  </si>
  <si>
    <t>S011314: Gap Error</t>
  </si>
  <si>
    <t>S011314: No Destination Received</t>
  </si>
  <si>
    <t>S011317: Lane Full</t>
  </si>
  <si>
    <t>S011317: Lane Non-Operational</t>
  </si>
  <si>
    <t>S011317: Throughput Limit</t>
  </si>
  <si>
    <t>S011317: Failed to Divert</t>
  </si>
  <si>
    <t>S011317: Tracking Error</t>
  </si>
  <si>
    <t>S011317: Gap Error</t>
  </si>
  <si>
    <t>S011317: No Destination Received</t>
  </si>
  <si>
    <t>Menaugh,Joshua Christopher</t>
  </si>
  <si>
    <t>S011232: Lane Full</t>
  </si>
  <si>
    <t>S011232: Lane Non-Operational</t>
  </si>
  <si>
    <t>S011232: Throughput Limit</t>
  </si>
  <si>
    <t>S011232: Failed to Divert</t>
  </si>
  <si>
    <t>S011232: Tracking Error</t>
  </si>
  <si>
    <t>S011232: Gap Error</t>
  </si>
  <si>
    <t>S011232: No Destination Received</t>
  </si>
  <si>
    <t>S010082: Lane Full</t>
  </si>
  <si>
    <t>S010082: Lane Non-Operational</t>
  </si>
  <si>
    <t>S010082: Throughput Limit</t>
  </si>
  <si>
    <t>S010082: Failed to Divert</t>
  </si>
  <si>
    <t>S010082: Tracking Error</t>
  </si>
  <si>
    <t>S010082: Gap Error</t>
  </si>
  <si>
    <t>S010082: No Destination Received</t>
  </si>
  <si>
    <t>S010839: Lane Full</t>
  </si>
  <si>
    <t>S010839: Lane Non-Operational</t>
  </si>
  <si>
    <t>S010839: Throughput Limit</t>
  </si>
  <si>
    <t>S010839: Failed to Divert</t>
  </si>
  <si>
    <t>S010839: Tracking Error</t>
  </si>
  <si>
    <t>S010839: Gap Error</t>
  </si>
  <si>
    <t>S010839: No Destination Received</t>
  </si>
  <si>
    <t>S010089: Lane Full</t>
  </si>
  <si>
    <t>S010089: Lane Non-Operational</t>
  </si>
  <si>
    <t>S010089: Throughput Limit</t>
  </si>
  <si>
    <t>S010089: Failed to Divert</t>
  </si>
  <si>
    <t>S010089: Tracking Error</t>
  </si>
  <si>
    <t>S010089: Gap Error</t>
  </si>
  <si>
    <t>S010089: No Destination Received</t>
  </si>
  <si>
    <t>S010832: Lane Full</t>
  </si>
  <si>
    <t>S010832: Lane Non-Operational</t>
  </si>
  <si>
    <t>S010832: Throughput Limit</t>
  </si>
  <si>
    <t>S010832: Failed to Divert</t>
  </si>
  <si>
    <t>S010832: Tracking Error</t>
  </si>
  <si>
    <t>S010832: Gap Error</t>
  </si>
  <si>
    <t>S010832: No Destination Received</t>
  </si>
  <si>
    <t>S011302: Lane Full</t>
  </si>
  <si>
    <t>S011302: Lane Non-Operational</t>
  </si>
  <si>
    <t>S011302: Throughput Limit</t>
  </si>
  <si>
    <t>S011302: Failed to Divert</t>
  </si>
  <si>
    <t>S011302: Tracking Error</t>
  </si>
  <si>
    <t>S011302: Gap Error</t>
  </si>
  <si>
    <t>S011302: No Destination Received</t>
  </si>
  <si>
    <t>S011163: Lane Full</t>
  </si>
  <si>
    <t>S011163: Lane Non-Operational</t>
  </si>
  <si>
    <t>S011163: Throughput Limit</t>
  </si>
  <si>
    <t>S011163: Failed to Divert</t>
  </si>
  <si>
    <t>S011163: Tracking Error</t>
  </si>
  <si>
    <t>S011163: Gap Error</t>
  </si>
  <si>
    <t>S011163: No Destination Received</t>
  </si>
  <si>
    <t>S010064: Lane Full</t>
  </si>
  <si>
    <t>S010064: Lane Non-Operational</t>
  </si>
  <si>
    <t>S010064: Throughput Limit</t>
  </si>
  <si>
    <t>S010064: Failed to Divert</t>
  </si>
  <si>
    <t>S010064: Tracking Error</t>
  </si>
  <si>
    <t>S010064: Gap Error</t>
  </si>
  <si>
    <t>S010064: No Destination Received</t>
  </si>
  <si>
    <t>S010066: Lane Full</t>
  </si>
  <si>
    <t>S010066: Lane Non-Operational</t>
  </si>
  <si>
    <t>S010066: Throughput Limit</t>
  </si>
  <si>
    <t>S010066: Failed to Divert</t>
  </si>
  <si>
    <t>S010066: Tracking Error</t>
  </si>
  <si>
    <t>S010066: Gap Error</t>
  </si>
  <si>
    <t>S010066: No Destination Received</t>
  </si>
  <si>
    <t>S010859: Lane Full</t>
  </si>
  <si>
    <t>S010859: Lane Non-Operational</t>
  </si>
  <si>
    <t>S010859: Throughput Limit</t>
  </si>
  <si>
    <t>S010859: Failed to Divert</t>
  </si>
  <si>
    <t>S010859: Tracking Error</t>
  </si>
  <si>
    <t>S010859: Gap Error</t>
  </si>
  <si>
    <t>S010859: No Destination Received</t>
  </si>
  <si>
    <t>S010861: Lane Full</t>
  </si>
  <si>
    <t>S010861: Lane Non-Operational</t>
  </si>
  <si>
    <t>S010861: Throughput Limit</t>
  </si>
  <si>
    <t>S010861: Failed to Divert</t>
  </si>
  <si>
    <t>S010861: Tracking Error</t>
  </si>
  <si>
    <t>S010861: Gap Error</t>
  </si>
  <si>
    <t>S010861: No Destination Received</t>
  </si>
  <si>
    <t>S010068: Lane Full</t>
  </si>
  <si>
    <t>S010068: Lane Non-Operational</t>
  </si>
  <si>
    <t>S010068: Throughput Limit</t>
  </si>
  <si>
    <t>S010068: Failed to Divert</t>
  </si>
  <si>
    <t>S010068: Tracking Error</t>
  </si>
  <si>
    <t>S010068: Gap Error</t>
  </si>
  <si>
    <t>S010068: No Destination Received</t>
  </si>
  <si>
    <t>S010441: Success</t>
  </si>
  <si>
    <t>S010441: Lane Full</t>
  </si>
  <si>
    <t>S010441: Lane Non-Operational</t>
  </si>
  <si>
    <t>S010441: Throughput Limit</t>
  </si>
  <si>
    <t>S010441: Failed to Divert</t>
  </si>
  <si>
    <t>S010441: Tracking Error</t>
  </si>
  <si>
    <t>S010441: Gap Error</t>
  </si>
  <si>
    <t>S010441: No Destination Received</t>
  </si>
  <si>
    <t>S010857: Lane Full</t>
  </si>
  <si>
    <t>S010857: Lane Non-Operational</t>
  </si>
  <si>
    <t>S010857: Throughput Limit</t>
  </si>
  <si>
    <t>S010857: Failed to Divert</t>
  </si>
  <si>
    <t>S010857: Tracking Error</t>
  </si>
  <si>
    <t>S010857: Gap Error</t>
  </si>
  <si>
    <t>S010857: No Destination Received</t>
  </si>
  <si>
    <t>S010054: Lane Full</t>
  </si>
  <si>
    <t>S010054: Lane Non-Operational</t>
  </si>
  <si>
    <t>S010054: Throughput Limit</t>
  </si>
  <si>
    <t>S010054: Failed to Divert</t>
  </si>
  <si>
    <t>S010054: Tracking Error</t>
  </si>
  <si>
    <t>S010054: Gap Error</t>
  </si>
  <si>
    <t>S010054: No Destination Received</t>
  </si>
  <si>
    <t>S010062: Lane Full</t>
  </si>
  <si>
    <t>S010062: Lane Non-Operational</t>
  </si>
  <si>
    <t>S010062: Throughput Limit</t>
  </si>
  <si>
    <t>S010062: Failed to Divert</t>
  </si>
  <si>
    <t>S010062: Tracking Error</t>
  </si>
  <si>
    <t>S010062: Gap Error</t>
  </si>
  <si>
    <t>S010062: No Destination Received</t>
  </si>
  <si>
    <t>S010863: Lane Full</t>
  </si>
  <si>
    <t>S010863: Lane Non-Operational</t>
  </si>
  <si>
    <t>S010863: Throughput Limit</t>
  </si>
  <si>
    <t>S010863: Failed to Divert</t>
  </si>
  <si>
    <t>S010863: Tracking Error</t>
  </si>
  <si>
    <t>S010863: Gap Error</t>
  </si>
  <si>
    <t>S010863: No Destination Received</t>
  </si>
  <si>
    <t>S010873: Lane Full</t>
  </si>
  <si>
    <t>S010873: Lane Non-Operational</t>
  </si>
  <si>
    <t>S010873: Throughput Limit</t>
  </si>
  <si>
    <t>S010873: Failed to Divert</t>
  </si>
  <si>
    <t>S010873: Tracking Error</t>
  </si>
  <si>
    <t>S010873: Gap Error</t>
  </si>
  <si>
    <t>S010873: No Destination Received</t>
  </si>
  <si>
    <t>S010201: Lane Full</t>
  </si>
  <si>
    <t>S010201: Lane Non-Operational</t>
  </si>
  <si>
    <t>S010201: Throughput Limit</t>
  </si>
  <si>
    <t>S010201: Failed to Divert</t>
  </si>
  <si>
    <t>S010201: Tracking Error</t>
  </si>
  <si>
    <t>S010201: Gap Error</t>
  </si>
  <si>
    <t>S010201: No Destination Received</t>
  </si>
  <si>
    <t>S010401: Lane Full</t>
  </si>
  <si>
    <t>S010401: Lane Non-Operational</t>
  </si>
  <si>
    <t>S010401: Throughput Limit</t>
  </si>
  <si>
    <t>S010401: Failed to Divert</t>
  </si>
  <si>
    <t>S010401: Tracking Error</t>
  </si>
  <si>
    <t>S010401: Gap Error</t>
  </si>
  <si>
    <t>S010401: No Destination Received</t>
  </si>
  <si>
    <t>S010425: Lane Full</t>
  </si>
  <si>
    <t>S010425: Lane Non-Operational</t>
  </si>
  <si>
    <t>S010425: Throughput Limit</t>
  </si>
  <si>
    <t>S010425: Failed to Divert</t>
  </si>
  <si>
    <t>S010425: Tracking Error</t>
  </si>
  <si>
    <t>S010425: Gap Error</t>
  </si>
  <si>
    <t>S010425: No Destination Received</t>
  </si>
  <si>
    <t>S010506: Lane Full</t>
  </si>
  <si>
    <t>S010506: Lane Non-Operational</t>
  </si>
  <si>
    <t>S010506: Throughput Limit</t>
  </si>
  <si>
    <t>S010506: Failed to Divert</t>
  </si>
  <si>
    <t>S010506: Tracking Error</t>
  </si>
  <si>
    <t>S010506: Gap Error</t>
  </si>
  <si>
    <t>S010506: No Destination Received</t>
  </si>
  <si>
    <t>S010532: Lane Full</t>
  </si>
  <si>
    <t>S010532: Lane Non-Operational</t>
  </si>
  <si>
    <t>S010532: Throughput Limit</t>
  </si>
  <si>
    <t>S010532: Failed to Divert</t>
  </si>
  <si>
    <t>S010532: Tracking Error</t>
  </si>
  <si>
    <t>S010532: Gap Error</t>
  </si>
  <si>
    <t>S010532: No Destination Received</t>
  </si>
  <si>
    <t>S010724: Lane Full</t>
  </si>
  <si>
    <t>S010724: Lane Non-Operational</t>
  </si>
  <si>
    <t>S010724: Throughput Limit</t>
  </si>
  <si>
    <t>S010724: Failed to Divert</t>
  </si>
  <si>
    <t>S010724: Tracking Error</t>
  </si>
  <si>
    <t>S010724: Gap Error</t>
  </si>
  <si>
    <t>S010724: No Destination Received</t>
  </si>
  <si>
    <t>S011004: Lane Full</t>
  </si>
  <si>
    <t>S011004: Lane Non-Operational</t>
  </si>
  <si>
    <t>S011004: Throughput Limit</t>
  </si>
  <si>
    <t>S011004: Failed to Divert</t>
  </si>
  <si>
    <t>S011004: Tracking Error</t>
  </si>
  <si>
    <t>S011004: Gap Error</t>
  </si>
  <si>
    <t>S011004: No Destination Received</t>
  </si>
  <si>
    <t>S011268: Lane Full</t>
  </si>
  <si>
    <t>S011268: Lane Non-Operational</t>
  </si>
  <si>
    <t>S011268: Throughput Limit</t>
  </si>
  <si>
    <t>S011268: Failed to Divert</t>
  </si>
  <si>
    <t>S011268: Tracking Error</t>
  </si>
  <si>
    <t>S011268: Gap Error</t>
  </si>
  <si>
    <t>S011268: No Destination Received</t>
  </si>
  <si>
    <t>S010161: Lane Full</t>
  </si>
  <si>
    <t>S010161: Lane Non-Operational</t>
  </si>
  <si>
    <t>S010161: Throughput Limit</t>
  </si>
  <si>
    <t>S010161: Failed to Divert</t>
  </si>
  <si>
    <t>S010161: Tracking Error</t>
  </si>
  <si>
    <t>S010161: Gap Error</t>
  </si>
  <si>
    <t>S010161: No Destination Received</t>
  </si>
  <si>
    <t>S010768: Lane Full</t>
  </si>
  <si>
    <t>S010768: Lane Non-Operational</t>
  </si>
  <si>
    <t>S010768: Throughput Limit</t>
  </si>
  <si>
    <t>S010768: Failed to Divert</t>
  </si>
  <si>
    <t>S010768: Tracking Error</t>
  </si>
  <si>
    <t>S010768: Gap Error</t>
  </si>
  <si>
    <t>S010768: No Destination Received</t>
  </si>
  <si>
    <t>S011306: Lane Full</t>
  </si>
  <si>
    <t>S011306: Lane Non-Operational</t>
  </si>
  <si>
    <t>S011306: Throughput Limit</t>
  </si>
  <si>
    <t>S011306: Failed to Divert</t>
  </si>
  <si>
    <t>S011306: Tracking Error</t>
  </si>
  <si>
    <t>S011306: Gap Error</t>
  </si>
  <si>
    <t>S011306: No Destination Received</t>
  </si>
  <si>
    <t>S011307: Lane Full</t>
  </si>
  <si>
    <t>S011307: Lane Non-Operational</t>
  </si>
  <si>
    <t>S011307: Throughput Limit</t>
  </si>
  <si>
    <t>S011307: Failed to Divert</t>
  </si>
  <si>
    <t>S011307: Tracking Error</t>
  </si>
  <si>
    <t>S011307: Gap Error</t>
  </si>
  <si>
    <t>S011307: No Destination Received</t>
  </si>
  <si>
    <t>S011312: Lane Full</t>
  </si>
  <si>
    <t>S011312: Lane Non-Operational</t>
  </si>
  <si>
    <t>S011312: Throughput Limit</t>
  </si>
  <si>
    <t>S011312: Failed to Divert</t>
  </si>
  <si>
    <t>S011312: Tracking Error</t>
  </si>
  <si>
    <t>S011312: Gap Error</t>
  </si>
  <si>
    <t>S011312: No Destination Received</t>
  </si>
  <si>
    <t>S011313: Lane Full</t>
  </si>
  <si>
    <t>S011313: Lane Non-Operational</t>
  </si>
  <si>
    <t>S011313: Throughput Limit</t>
  </si>
  <si>
    <t>S011313: Failed to Divert</t>
  </si>
  <si>
    <t>S011313: Tracking Error</t>
  </si>
  <si>
    <t>S011313: Gap Error</t>
  </si>
  <si>
    <t>S011313: No Destination Received</t>
  </si>
  <si>
    <t>S011318: Lane Full</t>
  </si>
  <si>
    <t>S011318: Lane Non-Operational</t>
  </si>
  <si>
    <t>S011318: Throughput Limit</t>
  </si>
  <si>
    <t>S011318: Failed to Divert</t>
  </si>
  <si>
    <t>S011318: Tracking Error</t>
  </si>
  <si>
    <t>S011318: Gap Error</t>
  </si>
  <si>
    <t>S011318: No Destination Received</t>
  </si>
  <si>
    <t>S011319: Lane Full</t>
  </si>
  <si>
    <t>S011319: Lane Non-Operational</t>
  </si>
  <si>
    <t>S011319: Throughput Limit</t>
  </si>
  <si>
    <t>S011319: Failed to Divert</t>
  </si>
  <si>
    <t>S011319: Tracking Error</t>
  </si>
  <si>
    <t>S011319: Gap Error</t>
  </si>
  <si>
    <t>S011319: No Destination Received</t>
  </si>
  <si>
    <t>S011324: Lane Full</t>
  </si>
  <si>
    <t>S011324: Lane Non-Operational</t>
  </si>
  <si>
    <t>S011324: Throughput Limit</t>
  </si>
  <si>
    <t>S011324: Failed to Divert</t>
  </si>
  <si>
    <t>S011324: Tracking Error</t>
  </si>
  <si>
    <t>S011324: Gap Error</t>
  </si>
  <si>
    <t>S011324: No Destination Received</t>
  </si>
  <si>
    <t>S011325: Lane Full</t>
  </si>
  <si>
    <t>S011325: Lane Non-Operational</t>
  </si>
  <si>
    <t>S011325: Throughput Limit</t>
  </si>
  <si>
    <t>S011325: Failed to Divert</t>
  </si>
  <si>
    <t>S011325: Tracking Error</t>
  </si>
  <si>
    <t>S011325: Gap Error</t>
  </si>
  <si>
    <t>S011325: No Destination Received</t>
  </si>
  <si>
    <t>S010052: Lane Full</t>
  </si>
  <si>
    <t>S010052: Lane Non-Operational</t>
  </si>
  <si>
    <t>S010052: Throughput Limit</t>
  </si>
  <si>
    <t>S010052: Failed to Divert</t>
  </si>
  <si>
    <t>S010052: Tracking Error</t>
  </si>
  <si>
    <t>S010052: Gap Error</t>
  </si>
  <si>
    <t>S010052: No Destination Received</t>
  </si>
  <si>
    <t>S010141: Lane Full</t>
  </si>
  <si>
    <t>S010141: Lane Non-Operational</t>
  </si>
  <si>
    <t>S010141: Throughput Limit</t>
  </si>
  <si>
    <t>S010141: Failed to Divert</t>
  </si>
  <si>
    <t>S010141: Tracking Error</t>
  </si>
  <si>
    <t>S010141: Gap Error</t>
  </si>
  <si>
    <t>S010141: No Destination Received</t>
  </si>
  <si>
    <t>S010145: Lane Full</t>
  </si>
  <si>
    <t>S010145: Lane Non-Operational</t>
  </si>
  <si>
    <t>S010145: Throughput Limit</t>
  </si>
  <si>
    <t>S010145: Failed to Divert</t>
  </si>
  <si>
    <t>S010145: Tracking Error</t>
  </si>
  <si>
    <t>S010145: Gap Error</t>
  </si>
  <si>
    <t>S010145: No Destination Received</t>
  </si>
  <si>
    <t>S010784: Lane Full</t>
  </si>
  <si>
    <t>S010784: Lane Non-Operational</t>
  </si>
  <si>
    <t>S010784: Throughput Limit</t>
  </si>
  <si>
    <t>S010784: Failed to Divert</t>
  </si>
  <si>
    <t>S010784: Tracking Error</t>
  </si>
  <si>
    <t>S010784: Gap Error</t>
  </si>
  <si>
    <t>S010784: No Destination Received</t>
  </si>
  <si>
    <t>S010788: Lane Full</t>
  </si>
  <si>
    <t>S010788: Lane Non-Operational</t>
  </si>
  <si>
    <t>S010788: Throughput Limit</t>
  </si>
  <si>
    <t>S010788: Failed to Divert</t>
  </si>
  <si>
    <t>S010788: Tracking Error</t>
  </si>
  <si>
    <t>S010788: Gap Error</t>
  </si>
  <si>
    <t>S010788: No Destination Received</t>
  </si>
  <si>
    <t>S010875: Lane Full</t>
  </si>
  <si>
    <t>S010875: Lane Non-Operational</t>
  </si>
  <si>
    <t>S010875: Throughput Limit</t>
  </si>
  <si>
    <t>S010875: Failed to Divert</t>
  </si>
  <si>
    <t>S010875: Tracking Error</t>
  </si>
  <si>
    <t>S010875: Gap Error</t>
  </si>
  <si>
    <t>S010875: No Destination Received</t>
  </si>
  <si>
    <t>S011428: Lane Full</t>
  </si>
  <si>
    <t>S011428: Lane Non-Operational</t>
  </si>
  <si>
    <t>S011428: Throughput Limit</t>
  </si>
  <si>
    <t>S011428: Failed to Divert</t>
  </si>
  <si>
    <t>S011428: Tracking Error</t>
  </si>
  <si>
    <t>S011428: Gap Error</t>
  </si>
  <si>
    <t>S011428: No Destination Received</t>
  </si>
  <si>
    <t>S010002: Lane Full</t>
  </si>
  <si>
    <t>S010002: Lane Non-Operational</t>
  </si>
  <si>
    <t>S010002: Throughput Limit</t>
  </si>
  <si>
    <t>S010002: Failed to Divert</t>
  </si>
  <si>
    <t>S010002: Tracking Error</t>
  </si>
  <si>
    <t>S010002: Gap Error</t>
  </si>
  <si>
    <t>S010002: No Destination Received</t>
  </si>
  <si>
    <t>S010087: Lane Full</t>
  </si>
  <si>
    <t>S010087: Lane Non-Operational</t>
  </si>
  <si>
    <t>S010087: Throughput Limit</t>
  </si>
  <si>
    <t>S010087: Failed to Divert</t>
  </si>
  <si>
    <t>S010087: Tracking Error</t>
  </si>
  <si>
    <t>S010087: Gap Error</t>
  </si>
  <si>
    <t>S010087: No Destination Received</t>
  </si>
  <si>
    <t>S010163: Lane Full</t>
  </si>
  <si>
    <t>S010163: Lane Non-Operational</t>
  </si>
  <si>
    <t>S010163: Throughput Limit</t>
  </si>
  <si>
    <t>S010163: Failed to Divert</t>
  </si>
  <si>
    <t>S010163: Tracking Error</t>
  </si>
  <si>
    <t>S010163: Gap Error</t>
  </si>
  <si>
    <t>S010163: No Destination Received</t>
  </si>
  <si>
    <t>S010189: Lane Full</t>
  </si>
  <si>
    <t>S010189: Lane Non-Operational</t>
  </si>
  <si>
    <t>S010189: Throughput Limit</t>
  </si>
  <si>
    <t>S010189: Failed to Divert</t>
  </si>
  <si>
    <t>S010189: Tracking Error</t>
  </si>
  <si>
    <t>S010189: Gap Error</t>
  </si>
  <si>
    <t>S010189: No Destination Received</t>
  </si>
  <si>
    <t>S010611: Lane Full</t>
  </si>
  <si>
    <t>S010611: Lane Non-Operational</t>
  </si>
  <si>
    <t>S010611: Throughput Limit</t>
  </si>
  <si>
    <t>S010611: Failed to Divert</t>
  </si>
  <si>
    <t>S010611: Tracking Error</t>
  </si>
  <si>
    <t>S010611: Gap Error</t>
  </si>
  <si>
    <t>S010611: No Destination Received</t>
  </si>
  <si>
    <t>S010766: Lane Full</t>
  </si>
  <si>
    <t>S010766: Lane Non-Operational</t>
  </si>
  <si>
    <t>S010766: Throughput Limit</t>
  </si>
  <si>
    <t>S010766: Failed to Divert</t>
  </si>
  <si>
    <t>S010766: Tracking Error</t>
  </si>
  <si>
    <t>S010766: Gap Error</t>
  </si>
  <si>
    <t>S010766: No Destination Received</t>
  </si>
  <si>
    <t>S010834: Lane Full</t>
  </si>
  <si>
    <t>S010834: Lane Non-Operational</t>
  </si>
  <si>
    <t>S010834: Throughput Limit</t>
  </si>
  <si>
    <t>S010834: Failed to Divert</t>
  </si>
  <si>
    <t>S010834: Tracking Error</t>
  </si>
  <si>
    <t>S010834: Gap Error</t>
  </si>
  <si>
    <t>S010834: No Destination Received</t>
  </si>
  <si>
    <t>S010919: Lane Full</t>
  </si>
  <si>
    <t>S010919: Lane Non-Operational</t>
  </si>
  <si>
    <t>S010919: Throughput Limit</t>
  </si>
  <si>
    <t>S010919: Failed to Divert</t>
  </si>
  <si>
    <t>S010919: Tracking Error</t>
  </si>
  <si>
    <t>S010919: Gap Error</t>
  </si>
  <si>
    <t>S010919: No Destination Received</t>
  </si>
  <si>
    <t>S010050: Lane Full</t>
  </si>
  <si>
    <t>S010050: Lane Non-Operational</t>
  </si>
  <si>
    <t>S010050: Throughput Limit</t>
  </si>
  <si>
    <t>S010050: Failed to Divert</t>
  </si>
  <si>
    <t>S010050: Tracking Error</t>
  </si>
  <si>
    <t>S010050: Gap Error</t>
  </si>
  <si>
    <t>S010050: No Destination Received</t>
  </si>
  <si>
    <t>S010219: Lane Full</t>
  </si>
  <si>
    <t>S010219: Lane Non-Operational</t>
  </si>
  <si>
    <t>S010219: Throughput Limit</t>
  </si>
  <si>
    <t>S010219: Failed to Divert</t>
  </si>
  <si>
    <t>S010219: Tracking Error</t>
  </si>
  <si>
    <t>S010219: Gap Error</t>
  </si>
  <si>
    <t>S010219: No Destination Received</t>
  </si>
  <si>
    <t>S010706: Lane Full</t>
  </si>
  <si>
    <t>S010706: Lane Non-Operational</t>
  </si>
  <si>
    <t>S010706: Throughput Limit</t>
  </si>
  <si>
    <t>S010706: Failed to Divert</t>
  </si>
  <si>
    <t>S010706: Tracking Error</t>
  </si>
  <si>
    <t>S010706: Gap Error</t>
  </si>
  <si>
    <t>S010706: No Destination Received</t>
  </si>
  <si>
    <t>S010877: Lane Full</t>
  </si>
  <si>
    <t>S010877: Lane Non-Operational</t>
  </si>
  <si>
    <t>S010877: Throughput Limit</t>
  </si>
  <si>
    <t>S010877: Failed to Divert</t>
  </si>
  <si>
    <t>S010877: Tracking Error</t>
  </si>
  <si>
    <t>S010877: Gap Error</t>
  </si>
  <si>
    <t>S010877: No Destination Received</t>
  </si>
  <si>
    <t>S010736: Lane Full</t>
  </si>
  <si>
    <t>S010736: Lane Non-Operational</t>
  </si>
  <si>
    <t>S010736: Throughput Limit</t>
  </si>
  <si>
    <t>S010736: Failed to Divert</t>
  </si>
  <si>
    <t>S010736: Tracking Error</t>
  </si>
  <si>
    <t>S010736: Gap Error</t>
  </si>
  <si>
    <t>S010736: No Destination Received</t>
  </si>
  <si>
    <t>MENDOZA,Vanessa Ann</t>
  </si>
  <si>
    <t>S010038: Lane Full</t>
  </si>
  <si>
    <t>S010038: Lane Non-Operational</t>
  </si>
  <si>
    <t>S010038: Throughput Limit</t>
  </si>
  <si>
    <t>S010038: Failed to Divert</t>
  </si>
  <si>
    <t>S010038: Tracking Error</t>
  </si>
  <si>
    <t>S010038: Gap Error</t>
  </si>
  <si>
    <t>S010038: No Destination Received</t>
  </si>
  <si>
    <t>S010889: Lane Full</t>
  </si>
  <si>
    <t>S010889: Lane Non-Operational</t>
  </si>
  <si>
    <t>S010889: Throughput Limit</t>
  </si>
  <si>
    <t>S010889: Failed to Divert</t>
  </si>
  <si>
    <t>S010889: Tracking Error</t>
  </si>
  <si>
    <t>S010889: Gap Error</t>
  </si>
  <si>
    <t>S010889: No Destination Received</t>
  </si>
  <si>
    <t>Ware,Jzmarc</t>
  </si>
  <si>
    <t>Brown,Shaequice Branay</t>
  </si>
  <si>
    <t>Estrada,Matthew</t>
  </si>
  <si>
    <t>S010048: Lane Full</t>
  </si>
  <si>
    <t>S010048: Lane Non-Operational</t>
  </si>
  <si>
    <t>S010048: Throughput Limit</t>
  </si>
  <si>
    <t>S010048: Failed to Divert</t>
  </si>
  <si>
    <t>S010048: Tracking Error</t>
  </si>
  <si>
    <t>S010048: Gap Error</t>
  </si>
  <si>
    <t>S010048: No Destination Received</t>
  </si>
  <si>
    <t>S010879: Lane Full</t>
  </si>
  <si>
    <t>S010879: Lane Non-Operational</t>
  </si>
  <si>
    <t>S010879: Throughput Limit</t>
  </si>
  <si>
    <t>S010879: Failed to Divert</t>
  </si>
  <si>
    <t>S010879: Tracking Error</t>
  </si>
  <si>
    <t>S010879: Gap Error</t>
  </si>
  <si>
    <t>S010879: No Destination Received</t>
  </si>
  <si>
    <t>Lukasik,Anthony</t>
  </si>
  <si>
    <t>Ship Ambassador</t>
  </si>
  <si>
    <t>S011473: Lane Full</t>
  </si>
  <si>
    <t>S011473: Lane Non-Operational</t>
  </si>
  <si>
    <t>S011473: Throughput Limit</t>
  </si>
  <si>
    <t>S011473: Failed to Divert</t>
  </si>
  <si>
    <t>S011473: Tracking Error</t>
  </si>
  <si>
    <t>S011473: Gap Error</t>
  </si>
  <si>
    <t>S011473: No Destination Received</t>
  </si>
  <si>
    <t>S011295: Lane Full</t>
  </si>
  <si>
    <t>S011295: Lane Non-Operational</t>
  </si>
  <si>
    <t>S011295: Throughput Limit</t>
  </si>
  <si>
    <t>S011295: Failed to Divert</t>
  </si>
  <si>
    <t>S011295: Tracking Error</t>
  </si>
  <si>
    <t>S011295: Gap Error</t>
  </si>
  <si>
    <t>S011295: No Destination Received</t>
  </si>
  <si>
    <t>S011300: Lane Full</t>
  </si>
  <si>
    <t>S011300: Lane Non-Operational</t>
  </si>
  <si>
    <t>S011300: Throughput Limit</t>
  </si>
  <si>
    <t>S011300: Failed to Divert</t>
  </si>
  <si>
    <t>S011300: Tracking Error</t>
  </si>
  <si>
    <t>S011300: Gap Error</t>
  </si>
  <si>
    <t>S011300: No Destination Received</t>
  </si>
  <si>
    <t>S011301: Lane Full</t>
  </si>
  <si>
    <t>S011301: Lane Non-Operational</t>
  </si>
  <si>
    <t>S011301: Throughput Limit</t>
  </si>
  <si>
    <t>S011301: Failed to Divert</t>
  </si>
  <si>
    <t>S011301: Tracking Error</t>
  </si>
  <si>
    <t>S011301: Gap Error</t>
  </si>
  <si>
    <t>S011301: No Destination Received</t>
  </si>
  <si>
    <t>Arreola,Ruben</t>
  </si>
  <si>
    <t>MILLER,MICHAEL</t>
  </si>
  <si>
    <t>Gutierrez,Omar</t>
  </si>
  <si>
    <t>Olson,Christopher E</t>
  </si>
  <si>
    <t>Sotello,Dustee</t>
  </si>
  <si>
    <t>Kothlow,James M</t>
  </si>
  <si>
    <t>Hess-Naval,Timotaria</t>
  </si>
  <si>
    <t>S010181: Lane Full</t>
  </si>
  <si>
    <t>S010181: Lane Non-Operational</t>
  </si>
  <si>
    <t>S010181: Throughput Limit</t>
  </si>
  <si>
    <t>S010181: Failed to Divert</t>
  </si>
  <si>
    <t>S010181: Tracking Error</t>
  </si>
  <si>
    <t>S010181: Gap Error</t>
  </si>
  <si>
    <t>S010181: No Destination Received</t>
  </si>
  <si>
    <t>S010744: Lane Full</t>
  </si>
  <si>
    <t>S010744: Lane Non-Operational</t>
  </si>
  <si>
    <t>S010744: Throughput Limit</t>
  </si>
  <si>
    <t>S010744: Failed to Divert</t>
  </si>
  <si>
    <t>S010744: Tracking Error</t>
  </si>
  <si>
    <t>S010744: Gap Error</t>
  </si>
  <si>
    <t>S010744: No Destination Received</t>
  </si>
  <si>
    <t>Lance,Courtney</t>
  </si>
  <si>
    <t>Beltran,Brandon</t>
  </si>
  <si>
    <t>S010534: Lane Full</t>
  </si>
  <si>
    <t>S010534: Lane Non-Operational</t>
  </si>
  <si>
    <t>S010534: Throughput Limit</t>
  </si>
  <si>
    <t>S010534: Failed to Divert</t>
  </si>
  <si>
    <t>S010534: Tracking Error</t>
  </si>
  <si>
    <t>S010534: Gap Error</t>
  </si>
  <si>
    <t>S010534: No Destination Received</t>
  </si>
  <si>
    <t>Rodriguez-Slattery,Julissa Icela</t>
  </si>
  <si>
    <t>Nguyen,Henry</t>
  </si>
  <si>
    <t>Schwertfeger,Corey Hsuing</t>
  </si>
  <si>
    <t>May,natalie</t>
  </si>
  <si>
    <t>S010004: Lane Full</t>
  </si>
  <si>
    <t>S010004: Lane Non-Operational</t>
  </si>
  <si>
    <t>S010004: Throughput Limit</t>
  </si>
  <si>
    <t>S010004: Failed to Divert</t>
  </si>
  <si>
    <t>S010004: Tracking Error</t>
  </si>
  <si>
    <t>S010004: Gap Error</t>
  </si>
  <si>
    <t>S010004: No Destination Received</t>
  </si>
  <si>
    <t>S010006: Lane Full</t>
  </si>
  <si>
    <t>S010006: Lane Non-Operational</t>
  </si>
  <si>
    <t>S010006: Throughput Limit</t>
  </si>
  <si>
    <t>S010006: Failed to Divert</t>
  </si>
  <si>
    <t>S010006: Tracking Error</t>
  </si>
  <si>
    <t>S010006: Gap Error</t>
  </si>
  <si>
    <t>S010006: No Destination Received</t>
  </si>
  <si>
    <t>S010008: Lane Full</t>
  </si>
  <si>
    <t>S010008: Lane Non-Operational</t>
  </si>
  <si>
    <t>S010008: Throughput Limit</t>
  </si>
  <si>
    <t>S010008: Failed to Divert</t>
  </si>
  <si>
    <t>S010008: Tracking Error</t>
  </si>
  <si>
    <t>S010008: Gap Error</t>
  </si>
  <si>
    <t>S010008: No Destination Received</t>
  </si>
  <si>
    <t>S010010: Lane Full</t>
  </si>
  <si>
    <t>S010010: Lane Non-Operational</t>
  </si>
  <si>
    <t>S010010: Throughput Limit</t>
  </si>
  <si>
    <t>S010010: Failed to Divert</t>
  </si>
  <si>
    <t>S010010: Tracking Error</t>
  </si>
  <si>
    <t>S010010: Gap Error</t>
  </si>
  <si>
    <t>S010010: No Destination Received</t>
  </si>
  <si>
    <t>S010012: Lane Full</t>
  </si>
  <si>
    <t>S010012: Lane Non-Operational</t>
  </si>
  <si>
    <t>S010012: Throughput Limit</t>
  </si>
  <si>
    <t>S010012: Failed to Divert</t>
  </si>
  <si>
    <t>S010012: Tracking Error</t>
  </si>
  <si>
    <t>S010012: Gap Error</t>
  </si>
  <si>
    <t>S010012: No Destination Received</t>
  </si>
  <si>
    <t>S010014: Lane Full</t>
  </si>
  <si>
    <t>S010014: Lane Non-Operational</t>
  </si>
  <si>
    <t>S010014: Throughput Limit</t>
  </si>
  <si>
    <t>S010014: Failed to Divert</t>
  </si>
  <si>
    <t>S010014: Tracking Error</t>
  </si>
  <si>
    <t>S010014: Gap Error</t>
  </si>
  <si>
    <t>S010014: No Destination Received</t>
  </si>
  <si>
    <t>S010016: Lane Full</t>
  </si>
  <si>
    <t>S010016: Lane Non-Operational</t>
  </si>
  <si>
    <t>S010016: Throughput Limit</t>
  </si>
  <si>
    <t>S010016: Failed to Divert</t>
  </si>
  <si>
    <t>S010016: Tracking Error</t>
  </si>
  <si>
    <t>S010016: Gap Error</t>
  </si>
  <si>
    <t>S010016: No Destination Received</t>
  </si>
  <si>
    <t>S010018: Lane Full</t>
  </si>
  <si>
    <t>S010018: Lane Non-Operational</t>
  </si>
  <si>
    <t>S010018: Throughput Limit</t>
  </si>
  <si>
    <t>S010018: Failed to Divert</t>
  </si>
  <si>
    <t>S010018: Tracking Error</t>
  </si>
  <si>
    <t>S010018: Gap Error</t>
  </si>
  <si>
    <t>S010018: No Destination Received</t>
  </si>
  <si>
    <t>S010020: Lane Full</t>
  </si>
  <si>
    <t>S010020: Lane Non-Operational</t>
  </si>
  <si>
    <t>S010020: Throughput Limit</t>
  </si>
  <si>
    <t>S010020: Failed to Divert</t>
  </si>
  <si>
    <t>S010020: Tracking Error</t>
  </si>
  <si>
    <t>S010020: Gap Error</t>
  </si>
  <si>
    <t>S010020: No Destination Received</t>
  </si>
  <si>
    <t>S010032: Lane Full</t>
  </si>
  <si>
    <t>S010032: Lane Non-Operational</t>
  </si>
  <si>
    <t>S010032: Throughput Limit</t>
  </si>
  <si>
    <t>S010032: Failed to Divert</t>
  </si>
  <si>
    <t>S010032: Tracking Error</t>
  </si>
  <si>
    <t>S010032: Gap Error</t>
  </si>
  <si>
    <t>S010032: No Destination Received</t>
  </si>
  <si>
    <t>S010034: Lane Full</t>
  </si>
  <si>
    <t>S010034: Lane Non-Operational</t>
  </si>
  <si>
    <t>S010034: Throughput Limit</t>
  </si>
  <si>
    <t>S010034: Failed to Divert</t>
  </si>
  <si>
    <t>S010034: Tracking Error</t>
  </si>
  <si>
    <t>S010034: Gap Error</t>
  </si>
  <si>
    <t>S010034: No Destination Received</t>
  </si>
  <si>
    <t>S010036: Lane Full</t>
  </si>
  <si>
    <t>S010036: Lane Non-Operational</t>
  </si>
  <si>
    <t>S010036: Throughput Limit</t>
  </si>
  <si>
    <t>S010036: Failed to Divert</t>
  </si>
  <si>
    <t>S010036: Tracking Error</t>
  </si>
  <si>
    <t>S010036: Gap Error</t>
  </si>
  <si>
    <t>S010036: No Destination Received</t>
  </si>
  <si>
    <t>S010040: Lane Full</t>
  </si>
  <si>
    <t>S010040: Lane Non-Operational</t>
  </si>
  <si>
    <t>S010040: Throughput Limit</t>
  </si>
  <si>
    <t>S010040: Failed to Divert</t>
  </si>
  <si>
    <t>S010040: Tracking Error</t>
  </si>
  <si>
    <t>S010040: Gap Error</t>
  </si>
  <si>
    <t>S010040: No Destination Received</t>
  </si>
  <si>
    <t>S010042: Lane Full</t>
  </si>
  <si>
    <t>S010042: Lane Non-Operational</t>
  </si>
  <si>
    <t>S010042: Throughput Limit</t>
  </si>
  <si>
    <t>S010042: Failed to Divert</t>
  </si>
  <si>
    <t>S010042: Tracking Error</t>
  </si>
  <si>
    <t>S010042: Gap Error</t>
  </si>
  <si>
    <t>S010042: No Destination Received</t>
  </si>
  <si>
    <t>S010044: Lane Full</t>
  </si>
  <si>
    <t>S010044: Lane Non-Operational</t>
  </si>
  <si>
    <t>S010044: Throughput Limit</t>
  </si>
  <si>
    <t>S010044: Failed to Divert</t>
  </si>
  <si>
    <t>S010044: Tracking Error</t>
  </si>
  <si>
    <t>S010044: Gap Error</t>
  </si>
  <si>
    <t>S010044: No Destination Received</t>
  </si>
  <si>
    <t>S010046: Lane Full</t>
  </si>
  <si>
    <t>S010046: Lane Non-Operational</t>
  </si>
  <si>
    <t>S010046: Throughput Limit</t>
  </si>
  <si>
    <t>S010046: Failed to Divert</t>
  </si>
  <si>
    <t>S010046: Tracking Error</t>
  </si>
  <si>
    <t>S010046: Gap Error</t>
  </si>
  <si>
    <t>S010046: No Destination Received</t>
  </si>
  <si>
    <t>S010881: Lane Full</t>
  </si>
  <si>
    <t>S010881: Lane Non-Operational</t>
  </si>
  <si>
    <t>S010881: Throughput Limit</t>
  </si>
  <si>
    <t>S010881: Failed to Divert</t>
  </si>
  <si>
    <t>S010881: Tracking Error</t>
  </si>
  <si>
    <t>S010881: Gap Error</t>
  </si>
  <si>
    <t>S010881: No Destination Received</t>
  </si>
  <si>
    <t>S010883: Lane Full</t>
  </si>
  <si>
    <t>S010883: Lane Non-Operational</t>
  </si>
  <si>
    <t>S010883: Throughput Limit</t>
  </si>
  <si>
    <t>S010883: Failed to Divert</t>
  </si>
  <si>
    <t>S010883: Tracking Error</t>
  </si>
  <si>
    <t>S010883: Gap Error</t>
  </si>
  <si>
    <t>S010883: No Destination Received</t>
  </si>
  <si>
    <t>S010885: Lane Full</t>
  </si>
  <si>
    <t>S010885: Lane Non-Operational</t>
  </si>
  <si>
    <t>S010885: Throughput Limit</t>
  </si>
  <si>
    <t>S010885: Failed to Divert</t>
  </si>
  <si>
    <t>S010885: Tracking Error</t>
  </si>
  <si>
    <t>S010885: Gap Error</t>
  </si>
  <si>
    <t>S010885: No Destination Received</t>
  </si>
  <si>
    <t>S010887: Lane Full</t>
  </si>
  <si>
    <t>S010887: Lane Non-Operational</t>
  </si>
  <si>
    <t>S010887: Throughput Limit</t>
  </si>
  <si>
    <t>S010887: Failed to Divert</t>
  </si>
  <si>
    <t>S010887: Tracking Error</t>
  </si>
  <si>
    <t>S010887: Gap Error</t>
  </si>
  <si>
    <t>S010887: No Destination Received</t>
  </si>
  <si>
    <t>S010891: Lane Full</t>
  </si>
  <si>
    <t>S010891: Lane Non-Operational</t>
  </si>
  <si>
    <t>S010891: Throughput Limit</t>
  </si>
  <si>
    <t>S010891: Failed to Divert</t>
  </si>
  <si>
    <t>S010891: Tracking Error</t>
  </si>
  <si>
    <t>S010891: Gap Error</t>
  </si>
  <si>
    <t>S010891: No Destination Received</t>
  </si>
  <si>
    <t>S010893: Lane Full</t>
  </si>
  <si>
    <t>S010893: Lane Non-Operational</t>
  </si>
  <si>
    <t>S010893: Throughput Limit</t>
  </si>
  <si>
    <t>S010893: Failed to Divert</t>
  </si>
  <si>
    <t>S010893: Tracking Error</t>
  </si>
  <si>
    <t>S010893: Gap Error</t>
  </si>
  <si>
    <t>S010893: No Destination Received</t>
  </si>
  <si>
    <t>S010895: Lane Full</t>
  </si>
  <si>
    <t>S010895: Lane Non-Operational</t>
  </si>
  <si>
    <t>S010895: Throughput Limit</t>
  </si>
  <si>
    <t>S010895: Failed to Divert</t>
  </si>
  <si>
    <t>S010895: Tracking Error</t>
  </si>
  <si>
    <t>S010895: Gap Error</t>
  </si>
  <si>
    <t>S010895: No Destination Received</t>
  </si>
  <si>
    <t>S010901: Lane Full</t>
  </si>
  <si>
    <t>S010901: Lane Non-Operational</t>
  </si>
  <si>
    <t>S010901: Throughput Limit</t>
  </si>
  <si>
    <t>S010901: Failed to Divert</t>
  </si>
  <si>
    <t>S010901: Tracking Error</t>
  </si>
  <si>
    <t>S010901: Gap Error</t>
  </si>
  <si>
    <t>S010901: No Destination Received</t>
  </si>
  <si>
    <t>S010903: Lane Full</t>
  </si>
  <si>
    <t>S010903: Lane Non-Operational</t>
  </si>
  <si>
    <t>S010903: Throughput Limit</t>
  </si>
  <si>
    <t>S010903: Failed to Divert</t>
  </si>
  <si>
    <t>S010903: Tracking Error</t>
  </si>
  <si>
    <t>S010903: Gap Error</t>
  </si>
  <si>
    <t>S010903: No Destination Received</t>
  </si>
  <si>
    <t>S010905: Lane Full</t>
  </si>
  <si>
    <t>S010905: Lane Non-Operational</t>
  </si>
  <si>
    <t>S010905: Throughput Limit</t>
  </si>
  <si>
    <t>S010905: Failed to Divert</t>
  </si>
  <si>
    <t>S010905: Tracking Error</t>
  </si>
  <si>
    <t>S010905: Gap Error</t>
  </si>
  <si>
    <t>S010905: No Destination Received</t>
  </si>
  <si>
    <t>S010907: Lane Full</t>
  </si>
  <si>
    <t>S010907: Lane Non-Operational</t>
  </si>
  <si>
    <t>S010907: Throughput Limit</t>
  </si>
  <si>
    <t>S010907: Failed to Divert</t>
  </si>
  <si>
    <t>S010907: Tracking Error</t>
  </si>
  <si>
    <t>S010907: Gap Error</t>
  </si>
  <si>
    <t>S010907: No Destination Received</t>
  </si>
  <si>
    <t>S010909: Lane Full</t>
  </si>
  <si>
    <t>S010909: Lane Non-Operational</t>
  </si>
  <si>
    <t>S010909: Throughput Limit</t>
  </si>
  <si>
    <t>S010909: Failed to Divert</t>
  </si>
  <si>
    <t>S010909: Tracking Error</t>
  </si>
  <si>
    <t>S010909: Gap Error</t>
  </si>
  <si>
    <t>S010909: No Destination Received</t>
  </si>
  <si>
    <t>S010911: Lane Full</t>
  </si>
  <si>
    <t>S010911: Lane Non-Operational</t>
  </si>
  <si>
    <t>S010911: Throughput Limit</t>
  </si>
  <si>
    <t>S010911: Failed to Divert</t>
  </si>
  <si>
    <t>S010911: Tracking Error</t>
  </si>
  <si>
    <t>S010911: Gap Error</t>
  </si>
  <si>
    <t>S010911: No Destination Received</t>
  </si>
  <si>
    <t>S010913: Lane Full</t>
  </si>
  <si>
    <t>S010913: Lane Non-Operational</t>
  </si>
  <si>
    <t>S010913: Throughput Limit</t>
  </si>
  <si>
    <t>S010913: Failed to Divert</t>
  </si>
  <si>
    <t>S010913: Tracking Error</t>
  </si>
  <si>
    <t>S010913: Gap Error</t>
  </si>
  <si>
    <t>S010913: No Destination Received</t>
  </si>
  <si>
    <t>S010915: Lane Full</t>
  </si>
  <si>
    <t>S010915: Lane Non-Operational</t>
  </si>
  <si>
    <t>S010915: Throughput Limit</t>
  </si>
  <si>
    <t>S010915: Failed to Divert</t>
  </si>
  <si>
    <t>S010915: Tracking Error</t>
  </si>
  <si>
    <t>S010915: Gap Error</t>
  </si>
  <si>
    <t>S010915: No Destination Received</t>
  </si>
  <si>
    <t>S010917: Lane Full</t>
  </si>
  <si>
    <t>S010917: Lane Non-Operational</t>
  </si>
  <si>
    <t>S010917: Throughput Limit</t>
  </si>
  <si>
    <t>S010917: Failed to Divert</t>
  </si>
  <si>
    <t>S010917: Tracking Error</t>
  </si>
  <si>
    <t>S010917: Gap Error</t>
  </si>
  <si>
    <t>S010917: No Destination Received</t>
  </si>
  <si>
    <t>Luquin,Andrew</t>
  </si>
  <si>
    <t>Talley,Michael Anthony</t>
  </si>
  <si>
    <t>McLaughlin,Audra</t>
  </si>
  <si>
    <t>Sasso,Andrea</t>
  </si>
  <si>
    <t>Mulkins,Samantha</t>
  </si>
  <si>
    <t>Chavez,Jasleen Brissell</t>
  </si>
  <si>
    <t>Cuellar,Clarissa</t>
  </si>
  <si>
    <t>Walker,Shaun Thomas</t>
  </si>
  <si>
    <t>Vince,CJ</t>
  </si>
  <si>
    <t>TEMP</t>
  </si>
  <si>
    <t>Smith,Elizabeth</t>
  </si>
  <si>
    <t>Rocha,Rita</t>
  </si>
  <si>
    <t>Martinez,Rocio Nataly</t>
  </si>
  <si>
    <t>S010056: Lane Full</t>
  </si>
  <si>
    <t>S010056: Lane Non-Operational</t>
  </si>
  <si>
    <t>S010056: Throughput Limit</t>
  </si>
  <si>
    <t>S010056: Failed to Divert</t>
  </si>
  <si>
    <t>S010056: Tracking Error</t>
  </si>
  <si>
    <t>S010056: Gap Error</t>
  </si>
  <si>
    <t>S010056: No Destination Received</t>
  </si>
  <si>
    <t>S010871: Lane Full</t>
  </si>
  <si>
    <t>S010871: Lane Non-Operational</t>
  </si>
  <si>
    <t>S010871: Throughput Limit</t>
  </si>
  <si>
    <t>S010871: Failed to Divert</t>
  </si>
  <si>
    <t>S010871: Tracking Error</t>
  </si>
  <si>
    <t>S010871: Gap Error</t>
  </si>
  <si>
    <t>S010871: No Destination Received</t>
  </si>
  <si>
    <t>S011217: Lane Full</t>
  </si>
  <si>
    <t>S011217: Lane Non-Operational</t>
  </si>
  <si>
    <t>S011217: Throughput Limit</t>
  </si>
  <si>
    <t>S011217: Failed to Divert</t>
  </si>
  <si>
    <t>S011217: Tracking Error</t>
  </si>
  <si>
    <t>S011217: Gap Error</t>
  </si>
  <si>
    <t>S011217: No Destination Received</t>
  </si>
  <si>
    <t>Lombrana,Mitzi</t>
  </si>
  <si>
    <t>McElrath,David</t>
  </si>
  <si>
    <t>Hutchison,Vincent john</t>
  </si>
  <si>
    <t>De Los Santos,Liz</t>
  </si>
  <si>
    <t>Hill,Kristina</t>
  </si>
  <si>
    <t>zapata,corazon</t>
  </si>
  <si>
    <t>Munoz,Ricky</t>
  </si>
  <si>
    <t>Willcoxson,Rodney</t>
  </si>
  <si>
    <t>Wilson,Vyla Isabella</t>
  </si>
  <si>
    <t>Medina,Mark</t>
  </si>
  <si>
    <t>3/11/21 6:00 PM to 3/12/21 12:00 AM</t>
  </si>
  <si>
    <t>PSP1 | Intraday 2021/03/11 18:00 - 2021/03/12 00:00</t>
  </si>
  <si>
    <t>Torres,Beatriz</t>
  </si>
  <si>
    <t>Rodriguez,Sebastian</t>
  </si>
  <si>
    <t>Morrison,Kenna Skye</t>
  </si>
  <si>
    <t>Gauthier,Witnie</t>
  </si>
  <si>
    <t>Baudouine,Brady</t>
  </si>
  <si>
    <t>Avila,Noemi</t>
  </si>
  <si>
    <t>Nava,Antonio</t>
  </si>
  <si>
    <t>Origel,Nizza</t>
  </si>
  <si>
    <t>McCollister,Chad</t>
  </si>
  <si>
    <t>Lopez,Alyssa</t>
  </si>
  <si>
    <t>Reyes,Angela</t>
  </si>
  <si>
    <t>Sanchez,Perla</t>
  </si>
  <si>
    <t>LOPEZ,LAURA RAMOS</t>
  </si>
  <si>
    <t>Dizon,Andrew</t>
  </si>
  <si>
    <t>Ruiz,Oscar</t>
  </si>
  <si>
    <t>Lopez,Rene Jaime</t>
  </si>
  <si>
    <t>Ortiz,Julio</t>
  </si>
  <si>
    <t>Jackpot Operator</t>
  </si>
  <si>
    <t>Tembrina,Yoly E.</t>
  </si>
  <si>
    <t>Gwartney,Robert Dean</t>
  </si>
  <si>
    <t>Palletize</t>
  </si>
  <si>
    <t>George,Tabitha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</si>
</sst>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F400]h:mm:ss\ AM/PM"/>
    <numFmt numFmtId="165" formatCode="h:mm;@"/>
    <numFmt numFmtId="166" formatCode="0.0"/>
    <numFmt numFmtId="167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rgb="FF000000"/>
      <name val="Calibri"/>
      <family val="2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/>
  </cellStyleXfs>
  <cellXfs count="119">
    <xf numFmtId="0" fontId="0" fillId="0" borderId="0" xfId="0"/>
    <xf numFmtId="1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0" fillId="2" borderId="0" xfId="0" applyFill="1"/>
    <xf numFmtId="0" fontId="3" fillId="0" borderId="0" xfId="0" applyFont="1" applyFill="1"/>
    <xf numFmtId="0" fontId="0" fillId="0" borderId="0" xfId="0" applyFill="1"/>
    <xf numFmtId="0" fontId="0" fillId="0" borderId="0" xfId="0" applyNumberFormat="1"/>
    <xf numFmtId="0" fontId="3" fillId="0" borderId="0" xfId="0" applyFont="1"/>
    <xf numFmtId="0" fontId="0" fillId="3" borderId="0" xfId="0" applyFill="1"/>
    <xf numFmtId="0" fontId="0" fillId="2" borderId="0" xfId="0" applyNumberFormat="1" applyFill="1"/>
    <xf numFmtId="0" fontId="0" fillId="4" borderId="0" xfId="0" applyFill="1" applyAlignment="1">
      <alignment vertical="center"/>
    </xf>
    <xf numFmtId="0" fontId="0" fillId="4" borderId="0" xfId="0" applyFill="1" applyAlignment="1">
      <alignment horizontal="right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left" vertical="center"/>
    </xf>
    <xf numFmtId="0" fontId="3" fillId="0" borderId="0" xfId="0" applyFont="1" applyFill="1" applyAlignment="1">
      <alignment vertical="center"/>
    </xf>
    <xf numFmtId="19" fontId="3" fillId="0" borderId="0" xfId="0" applyNumberFormat="1" applyFont="1" applyAlignment="1">
      <alignment vertical="center"/>
    </xf>
    <xf numFmtId="164" fontId="3" fillId="0" borderId="0" xfId="0" applyNumberFormat="1" applyFont="1" applyAlignment="1">
      <alignment vertical="center"/>
    </xf>
    <xf numFmtId="22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167" fontId="0" fillId="0" borderId="0" xfId="1" applyNumberFormat="1" applyFont="1" applyAlignment="1">
      <alignment vertical="center"/>
    </xf>
    <xf numFmtId="0" fontId="0" fillId="0" borderId="0" xfId="0" applyFont="1" applyFill="1"/>
    <xf numFmtId="3" fontId="0" fillId="0" borderId="0" xfId="0" applyNumberFormat="1" applyFont="1" applyFill="1"/>
    <xf numFmtId="4" fontId="0" fillId="0" borderId="0" xfId="0" applyNumberFormat="1" applyFont="1" applyFill="1"/>
    <xf numFmtId="9" fontId="0" fillId="0" borderId="0" xfId="0" applyNumberFormat="1" applyFont="1" applyFill="1"/>
    <xf numFmtId="10" fontId="0" fillId="0" borderId="0" xfId="0" applyNumberFormat="1" applyFont="1" applyFill="1"/>
    <xf numFmtId="0" fontId="0" fillId="0" borderId="0" xfId="0" applyBorder="1" applyAlignment="1">
      <alignment vertical="center"/>
    </xf>
    <xf numFmtId="3" fontId="0" fillId="0" borderId="0" xfId="0" applyNumberFormat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0" borderId="26" xfId="0" applyBorder="1" applyAlignment="1">
      <alignment vertical="center"/>
    </xf>
    <xf numFmtId="1" fontId="0" fillId="0" borderId="0" xfId="0" applyNumberFormat="1" applyFont="1" applyFill="1"/>
    <xf numFmtId="0" fontId="6" fillId="0" borderId="0" xfId="2" applyNumberFormat="1"/>
    <xf numFmtId="10" fontId="0" fillId="4" borderId="0" xfId="0" applyNumberFormat="1" applyFill="1" applyAlignment="1">
      <alignment vertical="center"/>
    </xf>
    <xf numFmtId="0" fontId="0" fillId="0" borderId="36" xfId="0" applyFont="1" applyFill="1" applyBorder="1" applyAlignment="1">
      <alignment horizontal="center"/>
    </xf>
    <xf numFmtId="0" fontId="0" fillId="0" borderId="37" xfId="0" applyFont="1" applyFill="1" applyBorder="1" applyAlignment="1">
      <alignment horizontal="center"/>
    </xf>
    <xf numFmtId="0" fontId="0" fillId="4" borderId="40" xfId="0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166" fontId="0" fillId="4" borderId="10" xfId="0" applyNumberFormat="1" applyFill="1" applyBorder="1" applyAlignment="1">
      <alignment horizontal="center" vertical="center"/>
    </xf>
    <xf numFmtId="166" fontId="0" fillId="4" borderId="11" xfId="0" applyNumberFormat="1" applyFill="1" applyBorder="1" applyAlignment="1">
      <alignment horizontal="center" vertical="center"/>
    </xf>
    <xf numFmtId="166" fontId="0" fillId="4" borderId="17" xfId="0" applyNumberFormat="1" applyFill="1" applyBorder="1" applyAlignment="1">
      <alignment horizontal="center" vertical="center"/>
    </xf>
    <xf numFmtId="166" fontId="0" fillId="4" borderId="18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6" fontId="0" fillId="0" borderId="10" xfId="0" applyNumberFormat="1" applyFill="1" applyBorder="1" applyAlignment="1">
      <alignment horizontal="center" vertical="center"/>
    </xf>
    <xf numFmtId="166" fontId="0" fillId="0" borderId="11" xfId="0" applyNumberFormat="1" applyFill="1" applyBorder="1" applyAlignment="1">
      <alignment horizontal="center" vertical="center"/>
    </xf>
    <xf numFmtId="166" fontId="0" fillId="0" borderId="7" xfId="0" applyNumberFormat="1" applyFill="1" applyBorder="1" applyAlignment="1">
      <alignment horizontal="center" vertical="center"/>
    </xf>
    <xf numFmtId="166" fontId="0" fillId="0" borderId="8" xfId="0" applyNumberFormat="1" applyFill="1" applyBorder="1" applyAlignment="1">
      <alignment horizontal="center" vertical="center"/>
    </xf>
    <xf numFmtId="3" fontId="0" fillId="0" borderId="10" xfId="0" applyNumberForma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4" fillId="5" borderId="25" xfId="0" applyFont="1" applyFill="1" applyBorder="1" applyAlignment="1">
      <alignment horizontal="right" vertical="center"/>
    </xf>
    <xf numFmtId="0" fontId="4" fillId="5" borderId="26" xfId="0" applyFont="1" applyFill="1" applyBorder="1" applyAlignment="1">
      <alignment horizontal="right" vertical="center"/>
    </xf>
    <xf numFmtId="0" fontId="4" fillId="5" borderId="20" xfId="0" applyFont="1" applyFill="1" applyBorder="1" applyAlignment="1">
      <alignment horizontal="right" vertical="center"/>
    </xf>
    <xf numFmtId="0" fontId="4" fillId="5" borderId="21" xfId="0" applyFont="1" applyFill="1" applyBorder="1" applyAlignment="1">
      <alignment horizontal="right" vertical="center"/>
    </xf>
    <xf numFmtId="0" fontId="4" fillId="5" borderId="26" xfId="0" applyFont="1" applyFill="1" applyBorder="1" applyAlignment="1">
      <alignment horizontal="left" vertical="center"/>
    </xf>
    <xf numFmtId="0" fontId="4" fillId="5" borderId="29" xfId="0" applyFont="1" applyFill="1" applyBorder="1" applyAlignment="1">
      <alignment horizontal="left" vertical="center"/>
    </xf>
    <xf numFmtId="0" fontId="4" fillId="5" borderId="21" xfId="0" applyFont="1" applyFill="1" applyBorder="1" applyAlignment="1">
      <alignment horizontal="left" vertical="center"/>
    </xf>
    <xf numFmtId="0" fontId="4" fillId="5" borderId="30" xfId="0" applyFont="1" applyFill="1" applyBorder="1" applyAlignment="1">
      <alignment horizontal="left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2" fontId="0" fillId="4" borderId="10" xfId="0" applyNumberFormat="1" applyFill="1" applyBorder="1" applyAlignment="1">
      <alignment horizontal="center" vertical="center"/>
    </xf>
    <xf numFmtId="2" fontId="0" fillId="4" borderId="11" xfId="0" applyNumberFormat="1" applyFill="1" applyBorder="1" applyAlignment="1">
      <alignment horizontal="center" vertical="center"/>
    </xf>
    <xf numFmtId="3" fontId="0" fillId="4" borderId="10" xfId="0" applyNumberFormat="1" applyFill="1" applyBorder="1" applyAlignment="1">
      <alignment horizontal="center" vertical="center"/>
    </xf>
    <xf numFmtId="3" fontId="0" fillId="4" borderId="11" xfId="0" applyNumberForma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2" fontId="0" fillId="4" borderId="17" xfId="0" applyNumberFormat="1" applyFill="1" applyBorder="1" applyAlignment="1">
      <alignment horizontal="center" vertical="center"/>
    </xf>
    <xf numFmtId="2" fontId="0" fillId="4" borderId="18" xfId="0" applyNumberFormat="1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166" fontId="0" fillId="0" borderId="31" xfId="0" applyNumberFormat="1" applyFill="1" applyBorder="1" applyAlignment="1">
      <alignment horizontal="center" vertical="center"/>
    </xf>
    <xf numFmtId="166" fontId="0" fillId="0" borderId="17" xfId="0" applyNumberFormat="1" applyFont="1" applyFill="1" applyBorder="1" applyAlignment="1">
      <alignment horizontal="center" vertical="center"/>
    </xf>
    <xf numFmtId="166" fontId="0" fillId="0" borderId="39" xfId="0" applyNumberFormat="1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166" fontId="0" fillId="4" borderId="7" xfId="0" applyNumberFormat="1" applyFill="1" applyBorder="1" applyAlignment="1">
      <alignment horizontal="center" vertical="center"/>
    </xf>
    <xf numFmtId="166" fontId="0" fillId="4" borderId="8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66" fontId="0" fillId="4" borderId="4" xfId="0" applyNumberFormat="1" applyFill="1" applyBorder="1" applyAlignment="1">
      <alignment horizontal="center" vertical="center"/>
    </xf>
    <xf numFmtId="166" fontId="0" fillId="4" borderId="5" xfId="0" applyNumberFormat="1" applyFill="1" applyBorder="1" applyAlignment="1">
      <alignment horizontal="center" vertical="center"/>
    </xf>
    <xf numFmtId="1" fontId="0" fillId="0" borderId="17" xfId="0" applyNumberFormat="1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2" fontId="0" fillId="4" borderId="7" xfId="0" applyNumberFormat="1" applyFill="1" applyBorder="1" applyAlignment="1">
      <alignment horizontal="center" vertical="center"/>
    </xf>
    <xf numFmtId="2" fontId="0" fillId="4" borderId="8" xfId="0" applyNumberFormat="1" applyFill="1" applyBorder="1" applyAlignment="1">
      <alignment horizontal="center" vertical="center"/>
    </xf>
    <xf numFmtId="3" fontId="0" fillId="4" borderId="7" xfId="0" applyNumberFormat="1" applyFill="1" applyBorder="1" applyAlignment="1">
      <alignment horizontal="center" vertical="center"/>
    </xf>
    <xf numFmtId="3" fontId="0" fillId="4" borderId="8" xfId="0" applyNumberFormat="1" applyFill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</cellXfs>
  <cellStyles count="3">
    <cellStyle name="Normal" xfId="0" builtinId="0"/>
    <cellStyle name="Normal 2" xfId="2"/>
    <cellStyle name="Percent" xfId="1" builtinId="5"/>
  </cellStyles>
  <dxfs count="32">
    <dxf>
      <fill>
        <patternFill>
          <bgColor rgb="FFFF999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</xdr:row>
          <xdr:rowOff>22860</xdr:rowOff>
        </xdr:from>
        <xdr:to>
          <xdr:col>8</xdr:col>
          <xdr:colOff>586740</xdr:colOff>
          <xdr:row>5</xdr:row>
          <xdr:rowOff>160020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638175</xdr:colOff>
      <xdr:row>10</xdr:row>
      <xdr:rowOff>57150</xdr:rowOff>
    </xdr:from>
    <xdr:to>
      <xdr:col>1</xdr:col>
      <xdr:colOff>647700</xdr:colOff>
      <xdr:row>13</xdr:row>
      <xdr:rowOff>85725</xdr:rowOff>
    </xdr:to>
    <xdr:cxnSp macro="">
      <xdr:nvCxnSpPr>
        <xdr:cNvPr id="2" name="Straight Arrow Connector 1"/>
        <xdr:cNvCxnSpPr/>
      </xdr:nvCxnSpPr>
      <xdr:spPr>
        <a:xfrm flipH="1">
          <a:off x="1844675" y="1898650"/>
          <a:ext cx="9525" cy="581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10</xdr:row>
      <xdr:rowOff>38100</xdr:rowOff>
    </xdr:from>
    <xdr:to>
      <xdr:col>2</xdr:col>
      <xdr:colOff>419100</xdr:colOff>
      <xdr:row>13</xdr:row>
      <xdr:rowOff>66675</xdr:rowOff>
    </xdr:to>
    <xdr:cxnSp macro="">
      <xdr:nvCxnSpPr>
        <xdr:cNvPr id="3" name="Straight Arrow Connector 2"/>
        <xdr:cNvCxnSpPr/>
      </xdr:nvCxnSpPr>
      <xdr:spPr>
        <a:xfrm flipH="1">
          <a:off x="2574925" y="1879600"/>
          <a:ext cx="9525" cy="581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.%20Ship%20Dock%20STL/LGB7%20SnapShot%20Wash%20Rev%2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Report"/>
      <sheetName val="EoS Wash"/>
      <sheetName val="TR"/>
      <sheetName val="Palletize"/>
      <sheetName val="Instructions"/>
      <sheetName val="FlatsRecirc"/>
      <sheetName val="Setup"/>
      <sheetName val="Pivots"/>
      <sheetName val="PPR"/>
      <sheetName val="Dock PPR"/>
      <sheetName val="Flats"/>
      <sheetName val="Ship"/>
      <sheetName val="Trans"/>
      <sheetName val="Sheet2"/>
      <sheetName val="Chuting"/>
      <sheetName val="FR"/>
      <sheetName val="Hourly Data"/>
      <sheetName val="Doors"/>
      <sheetName val="Progres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B1" t="str">
            <v>Chute</v>
          </cell>
          <cell r="C1" t="str">
            <v>Result</v>
          </cell>
          <cell r="D1" t="str">
            <v>Numbers</v>
          </cell>
        </row>
        <row r="2">
          <cell r="B2" t="str">
            <v>S0101: Success</v>
          </cell>
          <cell r="C2" t="str">
            <v>Success</v>
          </cell>
          <cell r="D2">
            <v>164</v>
          </cell>
        </row>
        <row r="3">
          <cell r="B3" t="str">
            <v>S0101: Lane Full</v>
          </cell>
          <cell r="C3" t="str">
            <v>Lane Full</v>
          </cell>
          <cell r="D3">
            <v>1786</v>
          </cell>
        </row>
        <row r="4">
          <cell r="B4" t="str">
            <v>S0101: Lane Non-Operational</v>
          </cell>
          <cell r="C4" t="str">
            <v>Lane Non-Operational</v>
          </cell>
          <cell r="D4">
            <v>0</v>
          </cell>
        </row>
        <row r="5">
          <cell r="B5" t="str">
            <v>S0101: Throughput Limit</v>
          </cell>
          <cell r="C5" t="str">
            <v>Throughput Limit</v>
          </cell>
          <cell r="D5">
            <v>0</v>
          </cell>
        </row>
        <row r="6">
          <cell r="B6" t="str">
            <v>S0101: Failed to Divert</v>
          </cell>
          <cell r="C6" t="str">
            <v>Failed to Divert</v>
          </cell>
          <cell r="D6">
            <v>32</v>
          </cell>
        </row>
        <row r="7">
          <cell r="B7" t="str">
            <v>S0101: Tracking Error</v>
          </cell>
          <cell r="C7" t="str">
            <v>Tracking Error</v>
          </cell>
          <cell r="D7">
            <v>9</v>
          </cell>
        </row>
        <row r="8">
          <cell r="B8" t="str">
            <v>S0101: Gap Error</v>
          </cell>
          <cell r="C8" t="str">
            <v>Gap Error</v>
          </cell>
          <cell r="D8">
            <v>6</v>
          </cell>
        </row>
        <row r="9">
          <cell r="B9" t="str">
            <v>S0101: No Destination Received</v>
          </cell>
          <cell r="C9" t="str">
            <v>No Destination Received</v>
          </cell>
          <cell r="D9">
            <v>0</v>
          </cell>
        </row>
        <row r="10">
          <cell r="B10" t="str">
            <v>S0103: Success</v>
          </cell>
          <cell r="C10" t="str">
            <v>Success</v>
          </cell>
          <cell r="D10">
            <v>1597</v>
          </cell>
        </row>
        <row r="11">
          <cell r="B11" t="str">
            <v>S0103: Lane Full</v>
          </cell>
          <cell r="C11" t="str">
            <v>Lane Full</v>
          </cell>
          <cell r="D11">
            <v>207</v>
          </cell>
        </row>
        <row r="12">
          <cell r="B12" t="str">
            <v>S0103: Lane Non-Operational</v>
          </cell>
          <cell r="C12" t="str">
            <v>Lane Non-Operational</v>
          </cell>
          <cell r="D12">
            <v>0</v>
          </cell>
        </row>
        <row r="13">
          <cell r="B13" t="str">
            <v>S0103: Throughput Limit</v>
          </cell>
          <cell r="C13" t="str">
            <v>Throughput Limit</v>
          </cell>
          <cell r="D13">
            <v>0</v>
          </cell>
        </row>
        <row r="14">
          <cell r="B14" t="str">
            <v>S0103: Failed to Divert</v>
          </cell>
          <cell r="C14" t="str">
            <v>Failed to Divert</v>
          </cell>
          <cell r="D14">
            <v>5</v>
          </cell>
        </row>
        <row r="15">
          <cell r="B15" t="str">
            <v>S0103: Tracking Error</v>
          </cell>
          <cell r="C15" t="str">
            <v>Tracking Error</v>
          </cell>
          <cell r="D15">
            <v>27</v>
          </cell>
        </row>
        <row r="16">
          <cell r="B16" t="str">
            <v>S0103: Gap Error</v>
          </cell>
          <cell r="C16" t="str">
            <v>Gap Error</v>
          </cell>
          <cell r="D16">
            <v>3</v>
          </cell>
        </row>
        <row r="17">
          <cell r="B17" t="str">
            <v>S0103: No Destination Received</v>
          </cell>
          <cell r="C17" t="str">
            <v>No Destination Received</v>
          </cell>
          <cell r="D17">
            <v>0</v>
          </cell>
        </row>
        <row r="18">
          <cell r="B18" t="str">
            <v>S0104: Success</v>
          </cell>
          <cell r="C18" t="str">
            <v>Success</v>
          </cell>
          <cell r="D18">
            <v>822</v>
          </cell>
        </row>
        <row r="19">
          <cell r="B19" t="str">
            <v>S0104: Lane Full</v>
          </cell>
          <cell r="C19" t="str">
            <v>Lane Full</v>
          </cell>
          <cell r="D19">
            <v>8</v>
          </cell>
        </row>
        <row r="20">
          <cell r="B20" t="str">
            <v>S0104: Lane Non-Operational</v>
          </cell>
          <cell r="C20" t="str">
            <v>Lane Non-Operational</v>
          </cell>
          <cell r="D20">
            <v>0</v>
          </cell>
        </row>
        <row r="21">
          <cell r="B21" t="str">
            <v>S0104: Throughput Limit</v>
          </cell>
          <cell r="C21" t="str">
            <v>Throughput Limit</v>
          </cell>
          <cell r="D21">
            <v>0</v>
          </cell>
        </row>
        <row r="22">
          <cell r="B22" t="str">
            <v>S0104: Failed to Divert</v>
          </cell>
          <cell r="C22" t="str">
            <v>Failed to Divert</v>
          </cell>
          <cell r="D22">
            <v>4</v>
          </cell>
        </row>
        <row r="23">
          <cell r="B23" t="str">
            <v>S0104: Tracking Error</v>
          </cell>
          <cell r="C23" t="str">
            <v>Tracking Error</v>
          </cell>
          <cell r="D23">
            <v>0</v>
          </cell>
        </row>
        <row r="24">
          <cell r="B24" t="str">
            <v>S0104: Gap Error</v>
          </cell>
          <cell r="C24" t="str">
            <v>Gap Error</v>
          </cell>
          <cell r="D24">
            <v>1</v>
          </cell>
        </row>
        <row r="25">
          <cell r="B25" t="str">
            <v>S0104: No Destination Received</v>
          </cell>
          <cell r="C25" t="str">
            <v>No Destination Received</v>
          </cell>
          <cell r="D25">
            <v>0</v>
          </cell>
        </row>
        <row r="26">
          <cell r="B26" t="str">
            <v>S0105: Success</v>
          </cell>
          <cell r="C26" t="str">
            <v>Success</v>
          </cell>
          <cell r="D26">
            <v>929</v>
          </cell>
        </row>
        <row r="27">
          <cell r="B27" t="str">
            <v>S0105: Lane Full</v>
          </cell>
          <cell r="C27" t="str">
            <v>Lane Full</v>
          </cell>
          <cell r="D27">
            <v>104</v>
          </cell>
        </row>
        <row r="28">
          <cell r="B28" t="str">
            <v>S0105: Lane Non-Operational</v>
          </cell>
          <cell r="C28" t="str">
            <v>Lane Non-Operational</v>
          </cell>
          <cell r="D28">
            <v>0</v>
          </cell>
        </row>
        <row r="29">
          <cell r="B29" t="str">
            <v>S0105: Throughput Limit</v>
          </cell>
          <cell r="C29" t="str">
            <v>Throughput Limit</v>
          </cell>
          <cell r="D29">
            <v>0</v>
          </cell>
        </row>
        <row r="30">
          <cell r="B30" t="str">
            <v>S0105: Failed to Divert</v>
          </cell>
          <cell r="C30" t="str">
            <v>Failed to Divert</v>
          </cell>
          <cell r="D30">
            <v>8</v>
          </cell>
        </row>
        <row r="31">
          <cell r="B31" t="str">
            <v>S0105: Tracking Error</v>
          </cell>
          <cell r="C31" t="str">
            <v>Tracking Error</v>
          </cell>
          <cell r="D31">
            <v>2</v>
          </cell>
        </row>
        <row r="32">
          <cell r="B32" t="str">
            <v>S0105: Gap Error</v>
          </cell>
          <cell r="C32" t="str">
            <v>Gap Error</v>
          </cell>
          <cell r="D32">
            <v>2</v>
          </cell>
        </row>
        <row r="33">
          <cell r="B33" t="str">
            <v>S0105: No Destination Received</v>
          </cell>
          <cell r="C33" t="str">
            <v>No Destination Received</v>
          </cell>
          <cell r="D33">
            <v>0</v>
          </cell>
        </row>
        <row r="34">
          <cell r="B34" t="str">
            <v>S0106: Success</v>
          </cell>
          <cell r="C34" t="str">
            <v>Success</v>
          </cell>
          <cell r="D34">
            <v>1339</v>
          </cell>
        </row>
        <row r="35">
          <cell r="B35" t="str">
            <v>S0106: Lane Full</v>
          </cell>
          <cell r="C35" t="str">
            <v>Lane Full</v>
          </cell>
          <cell r="D35">
            <v>79</v>
          </cell>
        </row>
        <row r="36">
          <cell r="B36" t="str">
            <v>S0106: Lane Non-Operational</v>
          </cell>
          <cell r="C36" t="str">
            <v>Lane Non-Operational</v>
          </cell>
          <cell r="D36">
            <v>0</v>
          </cell>
        </row>
        <row r="37">
          <cell r="B37" t="str">
            <v>S0106: Throughput Limit</v>
          </cell>
          <cell r="C37" t="str">
            <v>Throughput Limit</v>
          </cell>
          <cell r="D37">
            <v>0</v>
          </cell>
        </row>
        <row r="38">
          <cell r="B38" t="str">
            <v>S0106: Failed to Divert</v>
          </cell>
          <cell r="C38" t="str">
            <v>Failed to Divert</v>
          </cell>
          <cell r="D38">
            <v>6</v>
          </cell>
        </row>
        <row r="39">
          <cell r="B39" t="str">
            <v>S0106: Tracking Error</v>
          </cell>
          <cell r="C39" t="str">
            <v>Tracking Error</v>
          </cell>
          <cell r="D39">
            <v>1</v>
          </cell>
        </row>
        <row r="40">
          <cell r="B40" t="str">
            <v>S0106: Gap Error</v>
          </cell>
          <cell r="C40" t="str">
            <v>Gap Error</v>
          </cell>
          <cell r="D40">
            <v>0</v>
          </cell>
        </row>
        <row r="41">
          <cell r="B41" t="str">
            <v>S0106: No Destination Received</v>
          </cell>
          <cell r="C41" t="str">
            <v>No Destination Received</v>
          </cell>
          <cell r="D41">
            <v>0</v>
          </cell>
        </row>
        <row r="42">
          <cell r="B42" t="str">
            <v>S0107: Success</v>
          </cell>
          <cell r="C42" t="str">
            <v>Success</v>
          </cell>
          <cell r="D42">
            <v>279</v>
          </cell>
        </row>
        <row r="43">
          <cell r="B43" t="str">
            <v>S0107: Lane Full</v>
          </cell>
          <cell r="C43" t="str">
            <v>Lane Full</v>
          </cell>
          <cell r="D43">
            <v>78</v>
          </cell>
        </row>
        <row r="44">
          <cell r="B44" t="str">
            <v>S0107: Lane Non-Operational</v>
          </cell>
          <cell r="C44" t="str">
            <v>Lane Non-Operational</v>
          </cell>
          <cell r="D44">
            <v>0</v>
          </cell>
        </row>
        <row r="45">
          <cell r="B45" t="str">
            <v>S0107: Throughput Limit</v>
          </cell>
          <cell r="C45" t="str">
            <v>Throughput Limit</v>
          </cell>
          <cell r="D45">
            <v>0</v>
          </cell>
        </row>
        <row r="46">
          <cell r="B46" t="str">
            <v>S0107: Failed to Divert</v>
          </cell>
          <cell r="C46" t="str">
            <v>Failed to Divert</v>
          </cell>
          <cell r="D46">
            <v>1</v>
          </cell>
        </row>
        <row r="47">
          <cell r="B47" t="str">
            <v>S0107: Tracking Error</v>
          </cell>
          <cell r="C47" t="str">
            <v>Tracking Error</v>
          </cell>
          <cell r="D47">
            <v>0</v>
          </cell>
        </row>
        <row r="48">
          <cell r="B48" t="str">
            <v>S0107: Gap Error</v>
          </cell>
          <cell r="C48" t="str">
            <v>Gap Error</v>
          </cell>
          <cell r="D48">
            <v>0</v>
          </cell>
        </row>
        <row r="49">
          <cell r="B49" t="str">
            <v>S0107: No Destination Received</v>
          </cell>
          <cell r="C49" t="str">
            <v>No Destination Received</v>
          </cell>
          <cell r="D49">
            <v>0</v>
          </cell>
        </row>
        <row r="50">
          <cell r="B50" t="str">
            <v>S0108: Success</v>
          </cell>
          <cell r="C50" t="str">
            <v>Success</v>
          </cell>
          <cell r="D50">
            <v>751</v>
          </cell>
        </row>
        <row r="51">
          <cell r="B51" t="str">
            <v>S0108: Lane Full</v>
          </cell>
          <cell r="C51" t="str">
            <v>Lane Full</v>
          </cell>
          <cell r="D51">
            <v>13</v>
          </cell>
        </row>
        <row r="52">
          <cell r="B52" t="str">
            <v>S0108: Lane Non-Operational</v>
          </cell>
          <cell r="C52" t="str">
            <v>Lane Non-Operational</v>
          </cell>
          <cell r="D52">
            <v>0</v>
          </cell>
        </row>
        <row r="53">
          <cell r="B53" t="str">
            <v>S0108: Throughput Limit</v>
          </cell>
          <cell r="C53" t="str">
            <v>Throughput Limit</v>
          </cell>
          <cell r="D53">
            <v>0</v>
          </cell>
        </row>
        <row r="54">
          <cell r="B54" t="str">
            <v>S0108: Failed to Divert</v>
          </cell>
          <cell r="C54" t="str">
            <v>Failed to Divert</v>
          </cell>
          <cell r="D54">
            <v>7</v>
          </cell>
        </row>
        <row r="55">
          <cell r="B55" t="str">
            <v>S0108: Tracking Error</v>
          </cell>
          <cell r="C55" t="str">
            <v>Tracking Error</v>
          </cell>
          <cell r="D55">
            <v>0</v>
          </cell>
        </row>
        <row r="56">
          <cell r="B56" t="str">
            <v>S0108: Gap Error</v>
          </cell>
          <cell r="C56" t="str">
            <v>Gap Error</v>
          </cell>
          <cell r="D56">
            <v>0</v>
          </cell>
        </row>
        <row r="57">
          <cell r="B57" t="str">
            <v>S0108: No Destination Received</v>
          </cell>
          <cell r="C57" t="str">
            <v>No Destination Received</v>
          </cell>
          <cell r="D57">
            <v>0</v>
          </cell>
        </row>
        <row r="58">
          <cell r="B58" t="str">
            <v>S0109: Success</v>
          </cell>
          <cell r="C58" t="str">
            <v>Success</v>
          </cell>
          <cell r="D58">
            <v>60</v>
          </cell>
        </row>
        <row r="59">
          <cell r="B59" t="str">
            <v>S0109: Lane Full</v>
          </cell>
          <cell r="C59" t="str">
            <v>Lane Full</v>
          </cell>
          <cell r="D59">
            <v>0</v>
          </cell>
        </row>
        <row r="60">
          <cell r="B60" t="str">
            <v>S0109: Lane Non-Operational</v>
          </cell>
          <cell r="C60" t="str">
            <v>Lane Non-Operational</v>
          </cell>
          <cell r="D60">
            <v>0</v>
          </cell>
        </row>
        <row r="61">
          <cell r="B61" t="str">
            <v>S0109: Throughput Limit</v>
          </cell>
          <cell r="C61" t="str">
            <v>Throughput Limit</v>
          </cell>
          <cell r="D61">
            <v>0</v>
          </cell>
        </row>
        <row r="62">
          <cell r="B62" t="str">
            <v>S0109: Failed to Divert</v>
          </cell>
          <cell r="C62" t="str">
            <v>Failed to Divert</v>
          </cell>
          <cell r="D62">
            <v>0</v>
          </cell>
        </row>
        <row r="63">
          <cell r="B63" t="str">
            <v>S0109: Tracking Error</v>
          </cell>
          <cell r="C63" t="str">
            <v>Tracking Error</v>
          </cell>
          <cell r="D63">
            <v>1</v>
          </cell>
        </row>
        <row r="64">
          <cell r="B64" t="str">
            <v>S0109: Gap Error</v>
          </cell>
          <cell r="C64" t="str">
            <v>Gap Error</v>
          </cell>
          <cell r="D64">
            <v>0</v>
          </cell>
        </row>
        <row r="65">
          <cell r="B65" t="str">
            <v>S0109: No Destination Received</v>
          </cell>
          <cell r="C65" t="str">
            <v>No Destination Received</v>
          </cell>
          <cell r="D65">
            <v>0</v>
          </cell>
        </row>
        <row r="66">
          <cell r="B66" t="str">
            <v>S0110: Success</v>
          </cell>
          <cell r="C66" t="str">
            <v>Success</v>
          </cell>
          <cell r="D66">
            <v>138</v>
          </cell>
        </row>
        <row r="67">
          <cell r="B67" t="str">
            <v>S0110: Lane Full</v>
          </cell>
          <cell r="C67" t="str">
            <v>Lane Full</v>
          </cell>
          <cell r="D67">
            <v>0</v>
          </cell>
        </row>
        <row r="68">
          <cell r="B68" t="str">
            <v>S0110: Lane Non-Operational</v>
          </cell>
          <cell r="C68" t="str">
            <v>Lane Non-Operational</v>
          </cell>
          <cell r="D68">
            <v>0</v>
          </cell>
        </row>
        <row r="69">
          <cell r="B69" t="str">
            <v>S0110: Throughput Limit</v>
          </cell>
          <cell r="C69" t="str">
            <v>Throughput Limit</v>
          </cell>
          <cell r="D69">
            <v>0</v>
          </cell>
        </row>
        <row r="70">
          <cell r="B70" t="str">
            <v>S0110: Failed to Divert</v>
          </cell>
          <cell r="C70" t="str">
            <v>Failed to Divert</v>
          </cell>
          <cell r="D70">
            <v>1</v>
          </cell>
        </row>
        <row r="71">
          <cell r="B71" t="str">
            <v>S0110: Tracking Error</v>
          </cell>
          <cell r="C71" t="str">
            <v>Tracking Error</v>
          </cell>
          <cell r="D71">
            <v>0</v>
          </cell>
        </row>
        <row r="72">
          <cell r="B72" t="str">
            <v>S0110: Gap Error</v>
          </cell>
          <cell r="C72" t="str">
            <v>Gap Error</v>
          </cell>
          <cell r="D72">
            <v>1</v>
          </cell>
        </row>
        <row r="73">
          <cell r="B73" t="str">
            <v>S0110: No Destination Received</v>
          </cell>
          <cell r="C73" t="str">
            <v>No Destination Received</v>
          </cell>
          <cell r="D73">
            <v>0</v>
          </cell>
        </row>
        <row r="74">
          <cell r="B74" t="str">
            <v>S0111: Success</v>
          </cell>
          <cell r="C74" t="str">
            <v>Success</v>
          </cell>
          <cell r="D74">
            <v>302</v>
          </cell>
        </row>
        <row r="75">
          <cell r="B75" t="str">
            <v>S0111: Lane Full</v>
          </cell>
          <cell r="C75" t="str">
            <v>Lane Full</v>
          </cell>
          <cell r="D75">
            <v>204</v>
          </cell>
        </row>
        <row r="76">
          <cell r="B76" t="str">
            <v>S0111: Lane Non-Operational</v>
          </cell>
          <cell r="C76" t="str">
            <v>Lane Non-Operational</v>
          </cell>
          <cell r="D76">
            <v>0</v>
          </cell>
        </row>
        <row r="77">
          <cell r="B77" t="str">
            <v>S0111: Throughput Limit</v>
          </cell>
          <cell r="C77" t="str">
            <v>Throughput Limit</v>
          </cell>
          <cell r="D77">
            <v>0</v>
          </cell>
        </row>
        <row r="78">
          <cell r="B78" t="str">
            <v>S0111: Failed to Divert</v>
          </cell>
          <cell r="C78" t="str">
            <v>Failed to Divert</v>
          </cell>
          <cell r="D78">
            <v>4</v>
          </cell>
        </row>
        <row r="79">
          <cell r="B79" t="str">
            <v>S0111: Tracking Error</v>
          </cell>
          <cell r="C79" t="str">
            <v>Tracking Error</v>
          </cell>
          <cell r="D79">
            <v>3</v>
          </cell>
        </row>
        <row r="80">
          <cell r="B80" t="str">
            <v>S0111: Gap Error</v>
          </cell>
          <cell r="C80" t="str">
            <v>Gap Error</v>
          </cell>
          <cell r="D80">
            <v>1</v>
          </cell>
        </row>
        <row r="81">
          <cell r="B81" t="str">
            <v>S0111: No Destination Received</v>
          </cell>
          <cell r="C81" t="str">
            <v>No Destination Received</v>
          </cell>
          <cell r="D81">
            <v>0</v>
          </cell>
        </row>
        <row r="82">
          <cell r="B82" t="str">
            <v>S0112: Success</v>
          </cell>
          <cell r="C82" t="str">
            <v>Success</v>
          </cell>
          <cell r="D82">
            <v>1367</v>
          </cell>
        </row>
        <row r="83">
          <cell r="B83" t="str">
            <v>S0112: Lane Full</v>
          </cell>
          <cell r="C83" t="str">
            <v>Lane Full</v>
          </cell>
          <cell r="D83">
            <v>334</v>
          </cell>
        </row>
        <row r="84">
          <cell r="B84" t="str">
            <v>S0112: Lane Non-Operational</v>
          </cell>
          <cell r="C84" t="str">
            <v>Lane Non-Operational</v>
          </cell>
          <cell r="D84">
            <v>0</v>
          </cell>
        </row>
        <row r="85">
          <cell r="B85" t="str">
            <v>S0112: Throughput Limit</v>
          </cell>
          <cell r="C85" t="str">
            <v>Throughput Limit</v>
          </cell>
          <cell r="D85">
            <v>0</v>
          </cell>
        </row>
        <row r="86">
          <cell r="B86" t="str">
            <v>S0112: Failed to Divert</v>
          </cell>
          <cell r="C86" t="str">
            <v>Failed to Divert</v>
          </cell>
          <cell r="D86">
            <v>9</v>
          </cell>
        </row>
        <row r="87">
          <cell r="B87" t="str">
            <v>S0112: Tracking Error</v>
          </cell>
          <cell r="C87" t="str">
            <v>Tracking Error</v>
          </cell>
          <cell r="D87">
            <v>0</v>
          </cell>
        </row>
        <row r="88">
          <cell r="B88" t="str">
            <v>S0112: Gap Error</v>
          </cell>
          <cell r="C88" t="str">
            <v>Gap Error</v>
          </cell>
          <cell r="D88">
            <v>3</v>
          </cell>
        </row>
        <row r="89">
          <cell r="B89" t="str">
            <v>S0112: No Destination Received</v>
          </cell>
          <cell r="C89" t="str">
            <v>No Destination Received</v>
          </cell>
          <cell r="D89">
            <v>0</v>
          </cell>
        </row>
        <row r="90">
          <cell r="B90" t="str">
            <v>S0113: Success</v>
          </cell>
          <cell r="C90" t="str">
            <v>Success</v>
          </cell>
          <cell r="D90">
            <v>79</v>
          </cell>
        </row>
        <row r="91">
          <cell r="B91" t="str">
            <v>S0113: Lane Full</v>
          </cell>
          <cell r="C91" t="str">
            <v>Lane Full</v>
          </cell>
          <cell r="D91">
            <v>15</v>
          </cell>
        </row>
        <row r="92">
          <cell r="B92" t="str">
            <v>S0113: Lane Non-Operational</v>
          </cell>
          <cell r="C92" t="str">
            <v>Lane Non-Operational</v>
          </cell>
          <cell r="D92">
            <v>0</v>
          </cell>
        </row>
        <row r="93">
          <cell r="B93" t="str">
            <v>S0113: Throughput Limit</v>
          </cell>
          <cell r="C93" t="str">
            <v>Throughput Limit</v>
          </cell>
          <cell r="D93">
            <v>0</v>
          </cell>
        </row>
        <row r="94">
          <cell r="B94" t="str">
            <v>S0113: Failed to Divert</v>
          </cell>
          <cell r="C94" t="str">
            <v>Failed to Divert</v>
          </cell>
          <cell r="D94">
            <v>0</v>
          </cell>
        </row>
        <row r="95">
          <cell r="B95" t="str">
            <v>S0113: Tracking Error</v>
          </cell>
          <cell r="C95" t="str">
            <v>Tracking Error</v>
          </cell>
          <cell r="D95">
            <v>0</v>
          </cell>
        </row>
        <row r="96">
          <cell r="B96" t="str">
            <v>S0113: Gap Error</v>
          </cell>
          <cell r="C96" t="str">
            <v>Gap Error</v>
          </cell>
          <cell r="D96">
            <v>0</v>
          </cell>
        </row>
        <row r="97">
          <cell r="B97" t="str">
            <v>S0113: No Destination Received</v>
          </cell>
          <cell r="C97" t="str">
            <v>No Destination Received</v>
          </cell>
          <cell r="D97">
            <v>0</v>
          </cell>
        </row>
        <row r="98">
          <cell r="B98" t="str">
            <v>S0114: Success</v>
          </cell>
          <cell r="C98" t="str">
            <v>Success</v>
          </cell>
          <cell r="D98">
            <v>990</v>
          </cell>
        </row>
        <row r="99">
          <cell r="B99" t="str">
            <v>S0114: Lane Full</v>
          </cell>
          <cell r="C99" t="str">
            <v>Lane Full</v>
          </cell>
          <cell r="D99">
            <v>379</v>
          </cell>
        </row>
        <row r="100">
          <cell r="B100" t="str">
            <v>S0114: Lane Non-Operational</v>
          </cell>
          <cell r="C100" t="str">
            <v>Lane Non-Operational</v>
          </cell>
          <cell r="D100">
            <v>0</v>
          </cell>
        </row>
        <row r="101">
          <cell r="B101" t="str">
            <v>S0114: Throughput Limit</v>
          </cell>
          <cell r="C101" t="str">
            <v>Throughput Limit</v>
          </cell>
          <cell r="D101">
            <v>0</v>
          </cell>
        </row>
        <row r="102">
          <cell r="B102" t="str">
            <v>S0114: Failed to Divert</v>
          </cell>
          <cell r="C102" t="str">
            <v>Failed to Divert</v>
          </cell>
          <cell r="D102">
            <v>12</v>
          </cell>
        </row>
        <row r="103">
          <cell r="B103" t="str">
            <v>S0114: Tracking Error</v>
          </cell>
          <cell r="C103" t="str">
            <v>Tracking Error</v>
          </cell>
          <cell r="D103">
            <v>0</v>
          </cell>
        </row>
        <row r="104">
          <cell r="B104" t="str">
            <v>S0114: Gap Error</v>
          </cell>
          <cell r="C104" t="str">
            <v>Gap Error</v>
          </cell>
          <cell r="D104">
            <v>0</v>
          </cell>
        </row>
        <row r="105">
          <cell r="B105" t="str">
            <v>S0114: No Destination Received</v>
          </cell>
          <cell r="C105" t="str">
            <v>No Destination Received</v>
          </cell>
          <cell r="D105">
            <v>0</v>
          </cell>
        </row>
        <row r="106">
          <cell r="B106" t="str">
            <v>S0115: Success</v>
          </cell>
          <cell r="C106" t="str">
            <v>Success</v>
          </cell>
          <cell r="D106">
            <v>902</v>
          </cell>
        </row>
        <row r="107">
          <cell r="B107" t="str">
            <v>S0115: Lane Full</v>
          </cell>
          <cell r="C107" t="str">
            <v>Lane Full</v>
          </cell>
          <cell r="D107">
            <v>134</v>
          </cell>
        </row>
        <row r="108">
          <cell r="B108" t="str">
            <v>S0115: Lane Non-Operational</v>
          </cell>
          <cell r="C108" t="str">
            <v>Lane Non-Operational</v>
          </cell>
          <cell r="D108">
            <v>0</v>
          </cell>
        </row>
        <row r="109">
          <cell r="B109" t="str">
            <v>S0115: Throughput Limit</v>
          </cell>
          <cell r="C109" t="str">
            <v>Throughput Limit</v>
          </cell>
          <cell r="D109">
            <v>0</v>
          </cell>
        </row>
        <row r="110">
          <cell r="B110" t="str">
            <v>S0115: Failed to Divert</v>
          </cell>
          <cell r="C110" t="str">
            <v>Failed to Divert</v>
          </cell>
          <cell r="D110">
            <v>5</v>
          </cell>
        </row>
        <row r="111">
          <cell r="B111" t="str">
            <v>S0115: Tracking Error</v>
          </cell>
          <cell r="C111" t="str">
            <v>Tracking Error</v>
          </cell>
          <cell r="D111">
            <v>3</v>
          </cell>
        </row>
        <row r="112">
          <cell r="B112" t="str">
            <v>S0115: Gap Error</v>
          </cell>
          <cell r="C112" t="str">
            <v>Gap Error</v>
          </cell>
          <cell r="D112">
            <v>1</v>
          </cell>
        </row>
        <row r="113">
          <cell r="B113" t="str">
            <v>S0115: No Destination Received</v>
          </cell>
          <cell r="C113" t="str">
            <v>No Destination Received</v>
          </cell>
          <cell r="D113">
            <v>0</v>
          </cell>
        </row>
        <row r="114">
          <cell r="B114" t="str">
            <v>S0116: Success</v>
          </cell>
          <cell r="C114" t="str">
            <v>Success</v>
          </cell>
          <cell r="D114">
            <v>56</v>
          </cell>
        </row>
        <row r="115">
          <cell r="B115" t="str">
            <v>S0116: Lane Full</v>
          </cell>
          <cell r="C115" t="str">
            <v>Lane Full</v>
          </cell>
          <cell r="D115">
            <v>0</v>
          </cell>
        </row>
        <row r="116">
          <cell r="B116" t="str">
            <v>S0116: Lane Non-Operational</v>
          </cell>
          <cell r="C116" t="str">
            <v>Lane Non-Operational</v>
          </cell>
          <cell r="D116">
            <v>0</v>
          </cell>
        </row>
        <row r="117">
          <cell r="B117" t="str">
            <v>S0116: Throughput Limit</v>
          </cell>
          <cell r="C117" t="str">
            <v>Throughput Limit</v>
          </cell>
          <cell r="D117">
            <v>0</v>
          </cell>
        </row>
        <row r="118">
          <cell r="B118" t="str">
            <v>S0116: Failed to Divert</v>
          </cell>
          <cell r="C118" t="str">
            <v>Failed to Divert</v>
          </cell>
          <cell r="D118">
            <v>0</v>
          </cell>
        </row>
        <row r="119">
          <cell r="B119" t="str">
            <v>S0116: Tracking Error</v>
          </cell>
          <cell r="C119" t="str">
            <v>Tracking Error</v>
          </cell>
          <cell r="D119">
            <v>0</v>
          </cell>
        </row>
        <row r="120">
          <cell r="B120" t="str">
            <v>S0116: Gap Error</v>
          </cell>
          <cell r="C120" t="str">
            <v>Gap Error</v>
          </cell>
          <cell r="D120">
            <v>0</v>
          </cell>
        </row>
        <row r="121">
          <cell r="B121" t="str">
            <v>S0116: No Destination Received</v>
          </cell>
          <cell r="C121" t="str">
            <v>No Destination Received</v>
          </cell>
          <cell r="D121">
            <v>0</v>
          </cell>
        </row>
        <row r="122">
          <cell r="B122" t="str">
            <v>S0117: Success</v>
          </cell>
          <cell r="C122" t="str">
            <v>Success</v>
          </cell>
          <cell r="D122">
            <v>1241</v>
          </cell>
        </row>
        <row r="123">
          <cell r="B123" t="str">
            <v>S0117: Lane Full</v>
          </cell>
          <cell r="C123" t="str">
            <v>Lane Full</v>
          </cell>
          <cell r="D123">
            <v>313</v>
          </cell>
        </row>
        <row r="124">
          <cell r="B124" t="str">
            <v>S0117: Lane Non-Operational</v>
          </cell>
          <cell r="C124" t="str">
            <v>Lane Non-Operational</v>
          </cell>
          <cell r="D124">
            <v>0</v>
          </cell>
        </row>
        <row r="125">
          <cell r="B125" t="str">
            <v>S0117: Throughput Limit</v>
          </cell>
          <cell r="C125" t="str">
            <v>Throughput Limit</v>
          </cell>
          <cell r="D125">
            <v>0</v>
          </cell>
        </row>
        <row r="126">
          <cell r="B126" t="str">
            <v>S0117: Failed to Divert</v>
          </cell>
          <cell r="C126" t="str">
            <v>Failed to Divert</v>
          </cell>
          <cell r="D126">
            <v>9</v>
          </cell>
        </row>
        <row r="127">
          <cell r="B127" t="str">
            <v>S0117: Tracking Error</v>
          </cell>
          <cell r="C127" t="str">
            <v>Tracking Error</v>
          </cell>
          <cell r="D127">
            <v>2</v>
          </cell>
        </row>
        <row r="128">
          <cell r="B128" t="str">
            <v>S0117: Gap Error</v>
          </cell>
          <cell r="C128" t="str">
            <v>Gap Error</v>
          </cell>
          <cell r="D128">
            <v>0</v>
          </cell>
        </row>
        <row r="129">
          <cell r="B129" t="str">
            <v>S0117: No Destination Received</v>
          </cell>
          <cell r="C129" t="str">
            <v>No Destination Received</v>
          </cell>
          <cell r="D129">
            <v>0</v>
          </cell>
        </row>
        <row r="130">
          <cell r="B130" t="str">
            <v>S0118: Success</v>
          </cell>
          <cell r="C130" t="str">
            <v>Success</v>
          </cell>
          <cell r="D130">
            <v>133</v>
          </cell>
        </row>
        <row r="131">
          <cell r="B131" t="str">
            <v>S0118: Lane Full</v>
          </cell>
          <cell r="C131" t="str">
            <v>Lane Full</v>
          </cell>
          <cell r="D131">
            <v>63</v>
          </cell>
        </row>
        <row r="132">
          <cell r="B132" t="str">
            <v>S0118: Lane Non-Operational</v>
          </cell>
          <cell r="C132" t="str">
            <v>Lane Non-Operational</v>
          </cell>
          <cell r="D132">
            <v>0</v>
          </cell>
        </row>
        <row r="133">
          <cell r="B133" t="str">
            <v>S0118: Throughput Limit</v>
          </cell>
          <cell r="C133" t="str">
            <v>Throughput Limit</v>
          </cell>
          <cell r="D133">
            <v>0</v>
          </cell>
        </row>
        <row r="134">
          <cell r="B134" t="str">
            <v>S0118: Failed to Divert</v>
          </cell>
          <cell r="C134" t="str">
            <v>Failed to Divert</v>
          </cell>
          <cell r="D134">
            <v>1</v>
          </cell>
        </row>
        <row r="135">
          <cell r="B135" t="str">
            <v>S0118: Tracking Error</v>
          </cell>
          <cell r="C135" t="str">
            <v>Tracking Error</v>
          </cell>
          <cell r="D135">
            <v>0</v>
          </cell>
        </row>
        <row r="136">
          <cell r="B136" t="str">
            <v>S0118: Gap Error</v>
          </cell>
          <cell r="C136" t="str">
            <v>Gap Error</v>
          </cell>
          <cell r="D136">
            <v>0</v>
          </cell>
        </row>
        <row r="137">
          <cell r="B137" t="str">
            <v>S0118: No Destination Received</v>
          </cell>
          <cell r="C137" t="str">
            <v>No Destination Received</v>
          </cell>
          <cell r="D137">
            <v>0</v>
          </cell>
        </row>
        <row r="138">
          <cell r="B138" t="str">
            <v>S0119: Success</v>
          </cell>
          <cell r="C138" t="str">
            <v>Success</v>
          </cell>
          <cell r="D138">
            <v>333</v>
          </cell>
        </row>
        <row r="139">
          <cell r="B139" t="str">
            <v>S0119: Lane Full</v>
          </cell>
          <cell r="C139" t="str">
            <v>Lane Full</v>
          </cell>
          <cell r="D139">
            <v>143</v>
          </cell>
        </row>
        <row r="140">
          <cell r="B140" t="str">
            <v>S0119: Lane Non-Operational</v>
          </cell>
          <cell r="C140" t="str">
            <v>Lane Non-Operational</v>
          </cell>
          <cell r="D140">
            <v>0</v>
          </cell>
        </row>
        <row r="141">
          <cell r="B141" t="str">
            <v>S0119: Throughput Limit</v>
          </cell>
          <cell r="C141" t="str">
            <v>Throughput Limit</v>
          </cell>
          <cell r="D141">
            <v>0</v>
          </cell>
        </row>
        <row r="142">
          <cell r="B142" t="str">
            <v>S0119: Failed to Divert</v>
          </cell>
          <cell r="C142" t="str">
            <v>Failed to Divert</v>
          </cell>
          <cell r="D142">
            <v>4</v>
          </cell>
        </row>
        <row r="143">
          <cell r="B143" t="str">
            <v>S0119: Tracking Error</v>
          </cell>
          <cell r="C143" t="str">
            <v>Tracking Error</v>
          </cell>
          <cell r="D143">
            <v>0</v>
          </cell>
        </row>
        <row r="144">
          <cell r="B144" t="str">
            <v>S0119: Gap Error</v>
          </cell>
          <cell r="C144" t="str">
            <v>Gap Error</v>
          </cell>
          <cell r="D144">
            <v>0</v>
          </cell>
        </row>
        <row r="145">
          <cell r="B145" t="str">
            <v>S0119: No Destination Received</v>
          </cell>
          <cell r="C145" t="str">
            <v>No Destination Received</v>
          </cell>
          <cell r="D145">
            <v>0</v>
          </cell>
        </row>
        <row r="146">
          <cell r="B146" t="str">
            <v>S0120: Success</v>
          </cell>
          <cell r="C146" t="str">
            <v>Success</v>
          </cell>
          <cell r="D146">
            <v>314</v>
          </cell>
        </row>
        <row r="147">
          <cell r="B147" t="str">
            <v>S0120: Lane Full</v>
          </cell>
          <cell r="C147" t="str">
            <v>Lane Full</v>
          </cell>
          <cell r="D147">
            <v>256</v>
          </cell>
        </row>
        <row r="148">
          <cell r="B148" t="str">
            <v>S0120: Lane Non-Operational</v>
          </cell>
          <cell r="C148" t="str">
            <v>Lane Non-Operational</v>
          </cell>
          <cell r="D148">
            <v>0</v>
          </cell>
        </row>
        <row r="149">
          <cell r="B149" t="str">
            <v>S0120: Throughput Limit</v>
          </cell>
          <cell r="C149" t="str">
            <v>Throughput Limit</v>
          </cell>
          <cell r="D149">
            <v>0</v>
          </cell>
        </row>
        <row r="150">
          <cell r="B150" t="str">
            <v>S0120: Failed to Divert</v>
          </cell>
          <cell r="C150" t="str">
            <v>Failed to Divert</v>
          </cell>
          <cell r="D150">
            <v>4</v>
          </cell>
        </row>
        <row r="151">
          <cell r="B151" t="str">
            <v>S0120: Tracking Error</v>
          </cell>
          <cell r="C151" t="str">
            <v>Tracking Error</v>
          </cell>
          <cell r="D151">
            <v>2</v>
          </cell>
        </row>
        <row r="152">
          <cell r="B152" t="str">
            <v>S0120: Gap Error</v>
          </cell>
          <cell r="C152" t="str">
            <v>Gap Error</v>
          </cell>
          <cell r="D152">
            <v>0</v>
          </cell>
        </row>
        <row r="153">
          <cell r="B153" t="str">
            <v>S0120: No Destination Received</v>
          </cell>
          <cell r="C153" t="str">
            <v>No Destination Received</v>
          </cell>
          <cell r="D153">
            <v>0</v>
          </cell>
        </row>
        <row r="154">
          <cell r="B154" t="str">
            <v>S0121: Success</v>
          </cell>
          <cell r="C154" t="str">
            <v>Success</v>
          </cell>
          <cell r="D154">
            <v>1508</v>
          </cell>
        </row>
        <row r="155">
          <cell r="B155" t="str">
            <v>S0121: Lane Full</v>
          </cell>
          <cell r="C155" t="str">
            <v>Lane Full</v>
          </cell>
          <cell r="D155">
            <v>1198</v>
          </cell>
        </row>
        <row r="156">
          <cell r="B156" t="str">
            <v>S0121: Lane Non-Operational</v>
          </cell>
          <cell r="C156" t="str">
            <v>Lane Non-Operational</v>
          </cell>
          <cell r="D156">
            <v>0</v>
          </cell>
        </row>
        <row r="157">
          <cell r="B157" t="str">
            <v>S0121: Throughput Limit</v>
          </cell>
          <cell r="C157" t="str">
            <v>Throughput Limit</v>
          </cell>
          <cell r="D157">
            <v>0</v>
          </cell>
        </row>
        <row r="158">
          <cell r="B158" t="str">
            <v>S0121: Failed to Divert</v>
          </cell>
          <cell r="C158" t="str">
            <v>Failed to Divert</v>
          </cell>
          <cell r="D158">
            <v>14</v>
          </cell>
        </row>
        <row r="159">
          <cell r="B159" t="str">
            <v>S0121: Tracking Error</v>
          </cell>
          <cell r="C159" t="str">
            <v>Tracking Error</v>
          </cell>
          <cell r="D159">
            <v>6</v>
          </cell>
        </row>
        <row r="160">
          <cell r="B160" t="str">
            <v>S0121: Gap Error</v>
          </cell>
          <cell r="C160" t="str">
            <v>Gap Error</v>
          </cell>
          <cell r="D160">
            <v>1</v>
          </cell>
        </row>
        <row r="161">
          <cell r="B161" t="str">
            <v>S0121: No Destination Received</v>
          </cell>
          <cell r="C161" t="str">
            <v>No Destination Received</v>
          </cell>
          <cell r="D161">
            <v>0</v>
          </cell>
        </row>
        <row r="162">
          <cell r="B162" t="str">
            <v>S0122: Success</v>
          </cell>
          <cell r="C162" t="str">
            <v>Success</v>
          </cell>
          <cell r="D162">
            <v>32</v>
          </cell>
        </row>
        <row r="163">
          <cell r="B163" t="str">
            <v>S0122: Lane Full</v>
          </cell>
          <cell r="C163" t="str">
            <v>Lane Full</v>
          </cell>
          <cell r="D163">
            <v>0</v>
          </cell>
        </row>
        <row r="164">
          <cell r="B164" t="str">
            <v>S0122: Lane Non-Operational</v>
          </cell>
          <cell r="C164" t="str">
            <v>Lane Non-Operational</v>
          </cell>
          <cell r="D164">
            <v>0</v>
          </cell>
        </row>
        <row r="165">
          <cell r="B165" t="str">
            <v>S0122: Throughput Limit</v>
          </cell>
          <cell r="C165" t="str">
            <v>Throughput Limit</v>
          </cell>
          <cell r="D165">
            <v>0</v>
          </cell>
        </row>
        <row r="166">
          <cell r="B166" t="str">
            <v>S0122: Failed to Divert</v>
          </cell>
          <cell r="C166" t="str">
            <v>Failed to Divert</v>
          </cell>
          <cell r="D166">
            <v>1</v>
          </cell>
        </row>
        <row r="167">
          <cell r="B167" t="str">
            <v>S0122: Tracking Error</v>
          </cell>
          <cell r="C167" t="str">
            <v>Tracking Error</v>
          </cell>
          <cell r="D167">
            <v>0</v>
          </cell>
        </row>
        <row r="168">
          <cell r="B168" t="str">
            <v>S0122: Gap Error</v>
          </cell>
          <cell r="C168" t="str">
            <v>Gap Error</v>
          </cell>
          <cell r="D168">
            <v>0</v>
          </cell>
        </row>
        <row r="169">
          <cell r="B169" t="str">
            <v>S0122: No Destination Received</v>
          </cell>
          <cell r="C169" t="str">
            <v>No Destination Received</v>
          </cell>
          <cell r="D169">
            <v>0</v>
          </cell>
        </row>
        <row r="170">
          <cell r="B170" t="str">
            <v>S0123: Success</v>
          </cell>
          <cell r="C170" t="str">
            <v>Success</v>
          </cell>
          <cell r="D170">
            <v>59</v>
          </cell>
        </row>
        <row r="171">
          <cell r="B171" t="str">
            <v>S0123: Lane Full</v>
          </cell>
          <cell r="C171" t="str">
            <v>Lane Full</v>
          </cell>
          <cell r="D171">
            <v>0</v>
          </cell>
        </row>
        <row r="172">
          <cell r="B172" t="str">
            <v>S0123: Lane Non-Operational</v>
          </cell>
          <cell r="C172" t="str">
            <v>Lane Non-Operational</v>
          </cell>
          <cell r="D172">
            <v>0</v>
          </cell>
        </row>
        <row r="173">
          <cell r="B173" t="str">
            <v>S0123: Throughput Limit</v>
          </cell>
          <cell r="C173" t="str">
            <v>Throughput Limit</v>
          </cell>
          <cell r="D173">
            <v>0</v>
          </cell>
        </row>
        <row r="174">
          <cell r="B174" t="str">
            <v>S0123: Failed to Divert</v>
          </cell>
          <cell r="C174" t="str">
            <v>Failed to Divert</v>
          </cell>
          <cell r="D174">
            <v>0</v>
          </cell>
        </row>
        <row r="175">
          <cell r="B175" t="str">
            <v>S0123: Tracking Error</v>
          </cell>
          <cell r="C175" t="str">
            <v>Tracking Error</v>
          </cell>
          <cell r="D175">
            <v>0</v>
          </cell>
        </row>
        <row r="176">
          <cell r="B176" t="str">
            <v>S0123: Gap Error</v>
          </cell>
          <cell r="C176" t="str">
            <v>Gap Error</v>
          </cell>
          <cell r="D176">
            <v>0</v>
          </cell>
        </row>
        <row r="177">
          <cell r="B177" t="str">
            <v>S0123: No Destination Received</v>
          </cell>
          <cell r="C177" t="str">
            <v>No Destination Received</v>
          </cell>
          <cell r="D177">
            <v>0</v>
          </cell>
        </row>
        <row r="178">
          <cell r="B178" t="str">
            <v>S0124: Success</v>
          </cell>
          <cell r="C178" t="str">
            <v>Success</v>
          </cell>
          <cell r="D178">
            <v>296</v>
          </cell>
        </row>
        <row r="179">
          <cell r="B179" t="str">
            <v>S0124: Lane Full</v>
          </cell>
          <cell r="C179" t="str">
            <v>Lane Full</v>
          </cell>
          <cell r="D179">
            <v>29</v>
          </cell>
        </row>
        <row r="180">
          <cell r="B180" t="str">
            <v>S0124: Lane Non-Operational</v>
          </cell>
          <cell r="C180" t="str">
            <v>Lane Non-Operational</v>
          </cell>
          <cell r="D180">
            <v>0</v>
          </cell>
        </row>
        <row r="181">
          <cell r="B181" t="str">
            <v>S0124: Throughput Limit</v>
          </cell>
          <cell r="C181" t="str">
            <v>Throughput Limit</v>
          </cell>
          <cell r="D181">
            <v>0</v>
          </cell>
        </row>
        <row r="182">
          <cell r="B182" t="str">
            <v>S0124: Failed to Divert</v>
          </cell>
          <cell r="C182" t="str">
            <v>Failed to Divert</v>
          </cell>
          <cell r="D182">
            <v>1</v>
          </cell>
        </row>
        <row r="183">
          <cell r="B183" t="str">
            <v>S0124: Tracking Error</v>
          </cell>
          <cell r="C183" t="str">
            <v>Tracking Error</v>
          </cell>
          <cell r="D183">
            <v>1</v>
          </cell>
        </row>
        <row r="184">
          <cell r="B184" t="str">
            <v>S0124: Gap Error</v>
          </cell>
          <cell r="C184" t="str">
            <v>Gap Error</v>
          </cell>
          <cell r="D184">
            <v>0</v>
          </cell>
        </row>
        <row r="185">
          <cell r="B185" t="str">
            <v>S0124: No Destination Received</v>
          </cell>
          <cell r="C185" t="str">
            <v>No Destination Received</v>
          </cell>
          <cell r="D185">
            <v>0</v>
          </cell>
        </row>
        <row r="186">
          <cell r="B186" t="str">
            <v>S0125: Success</v>
          </cell>
          <cell r="C186" t="str">
            <v>Success</v>
          </cell>
          <cell r="D186">
            <v>0</v>
          </cell>
        </row>
        <row r="187">
          <cell r="B187" t="str">
            <v>S0125: Lane Full</v>
          </cell>
          <cell r="C187" t="str">
            <v>Lane Full</v>
          </cell>
          <cell r="D187">
            <v>0</v>
          </cell>
        </row>
        <row r="188">
          <cell r="B188" t="str">
            <v>S0125: Lane Non-Operational</v>
          </cell>
          <cell r="C188" t="str">
            <v>Lane Non-Operational</v>
          </cell>
          <cell r="D188">
            <v>0</v>
          </cell>
        </row>
        <row r="189">
          <cell r="B189" t="str">
            <v>S0125: Throughput Limit</v>
          </cell>
          <cell r="C189" t="str">
            <v>Throughput Limit</v>
          </cell>
          <cell r="D189">
            <v>0</v>
          </cell>
        </row>
        <row r="190">
          <cell r="B190" t="str">
            <v>S0125: Failed to Divert</v>
          </cell>
          <cell r="C190" t="str">
            <v>Failed to Divert</v>
          </cell>
          <cell r="D190">
            <v>0</v>
          </cell>
        </row>
        <row r="191">
          <cell r="B191" t="str">
            <v>S0125: Tracking Error</v>
          </cell>
          <cell r="C191" t="str">
            <v>Tracking Error</v>
          </cell>
          <cell r="D191">
            <v>0</v>
          </cell>
        </row>
        <row r="192">
          <cell r="B192" t="str">
            <v>S0125: Gap Error</v>
          </cell>
          <cell r="C192" t="str">
            <v>Gap Error</v>
          </cell>
          <cell r="D192">
            <v>0</v>
          </cell>
        </row>
        <row r="193">
          <cell r="B193" t="str">
            <v>S0125: No Destination Received</v>
          </cell>
          <cell r="C193" t="str">
            <v>No Destination Received</v>
          </cell>
          <cell r="D193">
            <v>0</v>
          </cell>
        </row>
        <row r="194">
          <cell r="B194" t="str">
            <v>S0126: Success</v>
          </cell>
          <cell r="C194" t="str">
            <v>Success</v>
          </cell>
          <cell r="D194">
            <v>150</v>
          </cell>
        </row>
        <row r="195">
          <cell r="B195" t="str">
            <v>S0126: Lane Full</v>
          </cell>
          <cell r="C195" t="str">
            <v>Lane Full</v>
          </cell>
          <cell r="D195">
            <v>63</v>
          </cell>
        </row>
        <row r="196">
          <cell r="B196" t="str">
            <v>S0126: Lane Non-Operational</v>
          </cell>
          <cell r="C196" t="str">
            <v>Lane Non-Operational</v>
          </cell>
          <cell r="D196">
            <v>0</v>
          </cell>
        </row>
        <row r="197">
          <cell r="B197" t="str">
            <v>S0126: Throughput Limit</v>
          </cell>
          <cell r="C197" t="str">
            <v>Throughput Limit</v>
          </cell>
          <cell r="D197">
            <v>0</v>
          </cell>
        </row>
        <row r="198">
          <cell r="B198" t="str">
            <v>S0126: Failed to Divert</v>
          </cell>
          <cell r="C198" t="str">
            <v>Failed to Divert</v>
          </cell>
          <cell r="D198">
            <v>1</v>
          </cell>
        </row>
        <row r="199">
          <cell r="B199" t="str">
            <v>S0126: Tracking Error</v>
          </cell>
          <cell r="C199" t="str">
            <v>Tracking Error</v>
          </cell>
          <cell r="D199">
            <v>0</v>
          </cell>
        </row>
        <row r="200">
          <cell r="B200" t="str">
            <v>S0126: Gap Error</v>
          </cell>
          <cell r="C200" t="str">
            <v>Gap Error</v>
          </cell>
          <cell r="D200">
            <v>1</v>
          </cell>
        </row>
        <row r="201">
          <cell r="B201" t="str">
            <v>S0126: No Destination Received</v>
          </cell>
          <cell r="C201" t="str">
            <v>No Destination Received</v>
          </cell>
          <cell r="D201">
            <v>0</v>
          </cell>
        </row>
        <row r="202">
          <cell r="B202" t="str">
            <v>S0127: Success</v>
          </cell>
          <cell r="C202" t="str">
            <v>Success</v>
          </cell>
          <cell r="D202">
            <v>0</v>
          </cell>
        </row>
        <row r="203">
          <cell r="B203" t="str">
            <v>S0127: Lane Full</v>
          </cell>
          <cell r="C203" t="str">
            <v>Lane Full</v>
          </cell>
          <cell r="D203">
            <v>0</v>
          </cell>
        </row>
        <row r="204">
          <cell r="B204" t="str">
            <v>S0127: Lane Non-Operational</v>
          </cell>
          <cell r="C204" t="str">
            <v>Lane Non-Operational</v>
          </cell>
          <cell r="D204">
            <v>0</v>
          </cell>
        </row>
        <row r="205">
          <cell r="B205" t="str">
            <v>S0127: Throughput Limit</v>
          </cell>
          <cell r="C205" t="str">
            <v>Throughput Limit</v>
          </cell>
          <cell r="D205">
            <v>0</v>
          </cell>
        </row>
        <row r="206">
          <cell r="B206" t="str">
            <v>S0127: Failed to Divert</v>
          </cell>
          <cell r="C206" t="str">
            <v>Failed to Divert</v>
          </cell>
          <cell r="D206">
            <v>0</v>
          </cell>
        </row>
        <row r="207">
          <cell r="B207" t="str">
            <v>S0127: Tracking Error</v>
          </cell>
          <cell r="C207" t="str">
            <v>Tracking Error</v>
          </cell>
          <cell r="D207">
            <v>0</v>
          </cell>
        </row>
        <row r="208">
          <cell r="B208" t="str">
            <v>S0127: Gap Error</v>
          </cell>
          <cell r="C208" t="str">
            <v>Gap Error</v>
          </cell>
          <cell r="D208">
            <v>0</v>
          </cell>
        </row>
        <row r="209">
          <cell r="B209" t="str">
            <v>S0127: No Destination Received</v>
          </cell>
          <cell r="C209" t="str">
            <v>No Destination Received</v>
          </cell>
          <cell r="D209">
            <v>0</v>
          </cell>
        </row>
        <row r="210">
          <cell r="B210" t="str">
            <v>S0128: Success</v>
          </cell>
          <cell r="C210" t="str">
            <v>Success</v>
          </cell>
          <cell r="D210">
            <v>67</v>
          </cell>
        </row>
        <row r="211">
          <cell r="B211" t="str">
            <v>S0128: Lane Full</v>
          </cell>
          <cell r="C211" t="str">
            <v>Lane Full</v>
          </cell>
          <cell r="D211">
            <v>84</v>
          </cell>
        </row>
        <row r="212">
          <cell r="B212" t="str">
            <v>S0128: Lane Non-Operational</v>
          </cell>
          <cell r="C212" t="str">
            <v>Lane Non-Operational</v>
          </cell>
          <cell r="D212">
            <v>1</v>
          </cell>
        </row>
        <row r="213">
          <cell r="B213" t="str">
            <v>S0128: Throughput Limit</v>
          </cell>
          <cell r="C213" t="str">
            <v>Throughput Limit</v>
          </cell>
          <cell r="D213">
            <v>0</v>
          </cell>
        </row>
        <row r="214">
          <cell r="B214" t="str">
            <v>S0128: Failed to Divert</v>
          </cell>
          <cell r="C214" t="str">
            <v>Failed to Divert</v>
          </cell>
          <cell r="D214">
            <v>1</v>
          </cell>
        </row>
        <row r="215">
          <cell r="B215" t="str">
            <v>S0128: Tracking Error</v>
          </cell>
          <cell r="C215" t="str">
            <v>Tracking Error</v>
          </cell>
          <cell r="D215">
            <v>20</v>
          </cell>
        </row>
        <row r="216">
          <cell r="B216" t="str">
            <v>S0128: Gap Error</v>
          </cell>
          <cell r="C216" t="str">
            <v>Gap Error</v>
          </cell>
          <cell r="D216">
            <v>0</v>
          </cell>
        </row>
        <row r="217">
          <cell r="B217" t="str">
            <v>S0128: No Destination Received</v>
          </cell>
          <cell r="C217" t="str">
            <v>No Destination Received</v>
          </cell>
          <cell r="D217">
            <v>0</v>
          </cell>
        </row>
        <row r="218">
          <cell r="B218" t="str">
            <v>S0129: Success</v>
          </cell>
          <cell r="C218" t="str">
            <v>Success</v>
          </cell>
          <cell r="D218">
            <v>0</v>
          </cell>
        </row>
        <row r="219">
          <cell r="B219" t="str">
            <v>S0129: Lane Full</v>
          </cell>
          <cell r="C219" t="str">
            <v>Lane Full</v>
          </cell>
          <cell r="D219">
            <v>0</v>
          </cell>
        </row>
        <row r="220">
          <cell r="B220" t="str">
            <v>S0129: Lane Non-Operational</v>
          </cell>
          <cell r="C220" t="str">
            <v>Lane Non-Operational</v>
          </cell>
          <cell r="D220">
            <v>0</v>
          </cell>
        </row>
        <row r="221">
          <cell r="B221" t="str">
            <v>S0129: Throughput Limit</v>
          </cell>
          <cell r="C221" t="str">
            <v>Throughput Limit</v>
          </cell>
          <cell r="D221">
            <v>0</v>
          </cell>
        </row>
        <row r="222">
          <cell r="B222" t="str">
            <v>S0129: Failed to Divert</v>
          </cell>
          <cell r="C222" t="str">
            <v>Failed to Divert</v>
          </cell>
          <cell r="D222">
            <v>0</v>
          </cell>
        </row>
        <row r="223">
          <cell r="B223" t="str">
            <v>S0129: Tracking Error</v>
          </cell>
          <cell r="C223" t="str">
            <v>Tracking Error</v>
          </cell>
          <cell r="D223">
            <v>0</v>
          </cell>
        </row>
        <row r="224">
          <cell r="B224" t="str">
            <v>S0129: Gap Error</v>
          </cell>
          <cell r="C224" t="str">
            <v>Gap Error</v>
          </cell>
          <cell r="D224">
            <v>0</v>
          </cell>
        </row>
        <row r="225">
          <cell r="B225" t="str">
            <v>S0129: No Destination Received</v>
          </cell>
          <cell r="C225" t="str">
            <v>No Destination Received</v>
          </cell>
          <cell r="D225">
            <v>0</v>
          </cell>
        </row>
        <row r="226">
          <cell r="B226" t="str">
            <v>S0130: Success</v>
          </cell>
          <cell r="C226" t="str">
            <v>Success</v>
          </cell>
          <cell r="D226">
            <v>169</v>
          </cell>
        </row>
        <row r="227">
          <cell r="B227" t="str">
            <v>S0130: Lane Full</v>
          </cell>
          <cell r="C227" t="str">
            <v>Lane Full</v>
          </cell>
          <cell r="D227">
            <v>10</v>
          </cell>
        </row>
        <row r="228">
          <cell r="B228" t="str">
            <v>S0130: Lane Non-Operational</v>
          </cell>
          <cell r="C228" t="str">
            <v>Lane Non-Operational</v>
          </cell>
          <cell r="D228">
            <v>0</v>
          </cell>
        </row>
        <row r="229">
          <cell r="B229" t="str">
            <v>S0130: Throughput Limit</v>
          </cell>
          <cell r="C229" t="str">
            <v>Throughput Limit</v>
          </cell>
          <cell r="D229">
            <v>0</v>
          </cell>
        </row>
        <row r="230">
          <cell r="B230" t="str">
            <v>S0130: Failed to Divert</v>
          </cell>
          <cell r="C230" t="str">
            <v>Failed to Divert</v>
          </cell>
          <cell r="D230">
            <v>1</v>
          </cell>
        </row>
        <row r="231">
          <cell r="B231" t="str">
            <v>S0130: Tracking Error</v>
          </cell>
          <cell r="C231" t="str">
            <v>Tracking Error</v>
          </cell>
          <cell r="D231">
            <v>0</v>
          </cell>
        </row>
        <row r="232">
          <cell r="B232" t="str">
            <v>S0130: Gap Error</v>
          </cell>
          <cell r="C232" t="str">
            <v>Gap Error</v>
          </cell>
          <cell r="D232">
            <v>0</v>
          </cell>
        </row>
        <row r="233">
          <cell r="B233" t="str">
            <v>S0130: No Destination Received</v>
          </cell>
          <cell r="C233" t="str">
            <v>No Destination Received</v>
          </cell>
          <cell r="D233">
            <v>0</v>
          </cell>
        </row>
        <row r="234">
          <cell r="B234" t="str">
            <v>S0131: Success</v>
          </cell>
          <cell r="C234" t="str">
            <v>Success</v>
          </cell>
          <cell r="D234">
            <v>1</v>
          </cell>
        </row>
        <row r="235">
          <cell r="B235" t="str">
            <v>S0131: Lane Full</v>
          </cell>
          <cell r="C235" t="str">
            <v>Lane Full</v>
          </cell>
          <cell r="D235">
            <v>0</v>
          </cell>
        </row>
        <row r="236">
          <cell r="B236" t="str">
            <v>S0131: Lane Non-Operational</v>
          </cell>
          <cell r="C236" t="str">
            <v>Lane Non-Operational</v>
          </cell>
          <cell r="D236">
            <v>0</v>
          </cell>
        </row>
        <row r="237">
          <cell r="B237" t="str">
            <v>S0131: Throughput Limit</v>
          </cell>
          <cell r="C237" t="str">
            <v>Throughput Limit</v>
          </cell>
          <cell r="D237">
            <v>0</v>
          </cell>
        </row>
        <row r="238">
          <cell r="B238" t="str">
            <v>S0131: Failed to Divert</v>
          </cell>
          <cell r="C238" t="str">
            <v>Failed to Divert</v>
          </cell>
          <cell r="D238">
            <v>0</v>
          </cell>
        </row>
        <row r="239">
          <cell r="B239" t="str">
            <v>S0131: Tracking Error</v>
          </cell>
          <cell r="C239" t="str">
            <v>Tracking Error</v>
          </cell>
          <cell r="D239">
            <v>0</v>
          </cell>
        </row>
        <row r="240">
          <cell r="B240" t="str">
            <v>S0131: Gap Error</v>
          </cell>
          <cell r="C240" t="str">
            <v>Gap Error</v>
          </cell>
          <cell r="D240">
            <v>0</v>
          </cell>
        </row>
        <row r="241">
          <cell r="B241" t="str">
            <v>S0131: No Destination Received</v>
          </cell>
          <cell r="C241" t="str">
            <v>No Destination Received</v>
          </cell>
          <cell r="D241">
            <v>0</v>
          </cell>
        </row>
        <row r="242">
          <cell r="B242" t="str">
            <v>S0132: Success</v>
          </cell>
          <cell r="C242" t="str">
            <v>Success</v>
          </cell>
          <cell r="D242">
            <v>182</v>
          </cell>
        </row>
        <row r="243">
          <cell r="B243" t="str">
            <v>S0132: Lane Full</v>
          </cell>
          <cell r="C243" t="str">
            <v>Lane Full</v>
          </cell>
          <cell r="D243">
            <v>110</v>
          </cell>
        </row>
        <row r="244">
          <cell r="B244" t="str">
            <v>S0132: Lane Non-Operational</v>
          </cell>
          <cell r="C244" t="str">
            <v>Lane Non-Operational</v>
          </cell>
          <cell r="D244">
            <v>0</v>
          </cell>
        </row>
        <row r="245">
          <cell r="B245" t="str">
            <v>S0132: Throughput Limit</v>
          </cell>
          <cell r="C245" t="str">
            <v>Throughput Limit</v>
          </cell>
          <cell r="D245">
            <v>0</v>
          </cell>
        </row>
        <row r="246">
          <cell r="B246" t="str">
            <v>S0132: Failed to Divert</v>
          </cell>
          <cell r="C246" t="str">
            <v>Failed to Divert</v>
          </cell>
          <cell r="D246">
            <v>0</v>
          </cell>
        </row>
        <row r="247">
          <cell r="B247" t="str">
            <v>S0132: Tracking Error</v>
          </cell>
          <cell r="C247" t="str">
            <v>Tracking Error</v>
          </cell>
          <cell r="D247">
            <v>1</v>
          </cell>
        </row>
        <row r="248">
          <cell r="B248" t="str">
            <v>S0132: Gap Error</v>
          </cell>
          <cell r="C248" t="str">
            <v>Gap Error</v>
          </cell>
          <cell r="D248">
            <v>1</v>
          </cell>
        </row>
        <row r="249">
          <cell r="B249" t="str">
            <v>S0132: No Destination Received</v>
          </cell>
          <cell r="C249" t="str">
            <v>No Destination Received</v>
          </cell>
          <cell r="D249">
            <v>0</v>
          </cell>
        </row>
        <row r="250">
          <cell r="B250">
            <v>0</v>
          </cell>
          <cell r="C250" t="str">
            <v/>
          </cell>
          <cell r="D250">
            <v>0</v>
          </cell>
        </row>
        <row r="251">
          <cell r="B251">
            <v>0</v>
          </cell>
          <cell r="C251" t="str">
            <v/>
          </cell>
          <cell r="D251">
            <v>0</v>
          </cell>
        </row>
        <row r="252">
          <cell r="B252">
            <v>0</v>
          </cell>
          <cell r="C252" t="str">
            <v/>
          </cell>
          <cell r="D252">
            <v>0</v>
          </cell>
        </row>
        <row r="253">
          <cell r="B253">
            <v>0</v>
          </cell>
          <cell r="C253" t="str">
            <v/>
          </cell>
          <cell r="D253">
            <v>0</v>
          </cell>
        </row>
        <row r="254">
          <cell r="B254">
            <v>0</v>
          </cell>
          <cell r="C254" t="str">
            <v/>
          </cell>
          <cell r="D254">
            <v>0</v>
          </cell>
        </row>
        <row r="255">
          <cell r="B255">
            <v>0</v>
          </cell>
          <cell r="C255" t="str">
            <v/>
          </cell>
          <cell r="D255">
            <v>0</v>
          </cell>
        </row>
        <row r="256">
          <cell r="B256">
            <v>0</v>
          </cell>
          <cell r="C256" t="str">
            <v/>
          </cell>
          <cell r="D256">
            <v>0</v>
          </cell>
        </row>
        <row r="257">
          <cell r="B257">
            <v>0</v>
          </cell>
          <cell r="C257" t="str">
            <v/>
          </cell>
          <cell r="D257">
            <v>0</v>
          </cell>
        </row>
        <row r="258">
          <cell r="B258">
            <v>0</v>
          </cell>
          <cell r="C258" t="str">
            <v/>
          </cell>
          <cell r="D258">
            <v>0</v>
          </cell>
        </row>
        <row r="259">
          <cell r="B259">
            <v>0</v>
          </cell>
          <cell r="C259" t="str">
            <v/>
          </cell>
          <cell r="D259">
            <v>0</v>
          </cell>
        </row>
        <row r="260">
          <cell r="B260">
            <v>0</v>
          </cell>
          <cell r="C260" t="str">
            <v/>
          </cell>
          <cell r="D260">
            <v>0</v>
          </cell>
        </row>
        <row r="261">
          <cell r="B261">
            <v>0</v>
          </cell>
          <cell r="C261" t="str">
            <v/>
          </cell>
          <cell r="D261">
            <v>0</v>
          </cell>
        </row>
        <row r="262">
          <cell r="B262">
            <v>0</v>
          </cell>
          <cell r="C262" t="str">
            <v/>
          </cell>
          <cell r="D262">
            <v>0</v>
          </cell>
        </row>
        <row r="263">
          <cell r="B263">
            <v>0</v>
          </cell>
          <cell r="C263" t="str">
            <v/>
          </cell>
          <cell r="D263">
            <v>0</v>
          </cell>
        </row>
        <row r="264">
          <cell r="B264">
            <v>0</v>
          </cell>
          <cell r="C264" t="str">
            <v/>
          </cell>
          <cell r="D264">
            <v>0</v>
          </cell>
        </row>
        <row r="265">
          <cell r="B265">
            <v>0</v>
          </cell>
          <cell r="C265" t="str">
            <v/>
          </cell>
          <cell r="D265">
            <v>0</v>
          </cell>
        </row>
        <row r="266">
          <cell r="B266">
            <v>0</v>
          </cell>
          <cell r="C266" t="str">
            <v/>
          </cell>
          <cell r="D266">
            <v>0</v>
          </cell>
        </row>
        <row r="267">
          <cell r="B267">
            <v>0</v>
          </cell>
          <cell r="C267" t="str">
            <v/>
          </cell>
          <cell r="D267">
            <v>0</v>
          </cell>
        </row>
        <row r="268">
          <cell r="B268">
            <v>0</v>
          </cell>
          <cell r="C268" t="str">
            <v/>
          </cell>
          <cell r="D268">
            <v>0</v>
          </cell>
        </row>
        <row r="269">
          <cell r="B269">
            <v>0</v>
          </cell>
          <cell r="C269" t="str">
            <v/>
          </cell>
          <cell r="D269">
            <v>0</v>
          </cell>
        </row>
        <row r="270">
          <cell r="B270">
            <v>0</v>
          </cell>
          <cell r="C270" t="str">
            <v/>
          </cell>
          <cell r="D270">
            <v>0</v>
          </cell>
        </row>
        <row r="271">
          <cell r="B271">
            <v>0</v>
          </cell>
          <cell r="C271" t="str">
            <v/>
          </cell>
          <cell r="D271">
            <v>0</v>
          </cell>
        </row>
        <row r="272">
          <cell r="B272">
            <v>0</v>
          </cell>
          <cell r="C272" t="str">
            <v/>
          </cell>
          <cell r="D272">
            <v>0</v>
          </cell>
        </row>
        <row r="273">
          <cell r="B273">
            <v>0</v>
          </cell>
          <cell r="C273" t="str">
            <v/>
          </cell>
          <cell r="D273">
            <v>0</v>
          </cell>
        </row>
        <row r="274">
          <cell r="B274">
            <v>0</v>
          </cell>
          <cell r="C274" t="str">
            <v/>
          </cell>
          <cell r="D274">
            <v>0</v>
          </cell>
        </row>
        <row r="275">
          <cell r="B275">
            <v>0</v>
          </cell>
          <cell r="C275" t="str">
            <v/>
          </cell>
          <cell r="D275">
            <v>0</v>
          </cell>
        </row>
        <row r="276">
          <cell r="B276">
            <v>0</v>
          </cell>
          <cell r="C276" t="str">
            <v/>
          </cell>
          <cell r="D276">
            <v>0</v>
          </cell>
        </row>
        <row r="277">
          <cell r="B277">
            <v>0</v>
          </cell>
          <cell r="C277" t="str">
            <v/>
          </cell>
          <cell r="D277">
            <v>0</v>
          </cell>
        </row>
        <row r="278">
          <cell r="B278">
            <v>0</v>
          </cell>
          <cell r="C278" t="str">
            <v/>
          </cell>
          <cell r="D278">
            <v>0</v>
          </cell>
        </row>
        <row r="279">
          <cell r="B279">
            <v>0</v>
          </cell>
          <cell r="C279" t="str">
            <v/>
          </cell>
          <cell r="D279">
            <v>0</v>
          </cell>
        </row>
        <row r="280">
          <cell r="B280">
            <v>0</v>
          </cell>
          <cell r="C280" t="str">
            <v/>
          </cell>
          <cell r="D280">
            <v>0</v>
          </cell>
        </row>
        <row r="281">
          <cell r="B281">
            <v>0</v>
          </cell>
          <cell r="C281" t="str">
            <v/>
          </cell>
          <cell r="D281">
            <v>0</v>
          </cell>
        </row>
        <row r="282">
          <cell r="B282">
            <v>0</v>
          </cell>
          <cell r="C282" t="str">
            <v/>
          </cell>
          <cell r="D282">
            <v>0</v>
          </cell>
        </row>
        <row r="283">
          <cell r="B283">
            <v>0</v>
          </cell>
          <cell r="C283" t="str">
            <v/>
          </cell>
          <cell r="D283">
            <v>0</v>
          </cell>
        </row>
        <row r="284">
          <cell r="B284">
            <v>0</v>
          </cell>
          <cell r="C284" t="str">
            <v/>
          </cell>
          <cell r="D284">
            <v>0</v>
          </cell>
        </row>
        <row r="285">
          <cell r="B285">
            <v>0</v>
          </cell>
          <cell r="C285" t="str">
            <v/>
          </cell>
          <cell r="D285">
            <v>0</v>
          </cell>
        </row>
        <row r="286">
          <cell r="B286">
            <v>0</v>
          </cell>
          <cell r="C286" t="str">
            <v/>
          </cell>
          <cell r="D286">
            <v>0</v>
          </cell>
        </row>
        <row r="287">
          <cell r="B287">
            <v>0</v>
          </cell>
          <cell r="C287" t="str">
            <v/>
          </cell>
          <cell r="D287">
            <v>0</v>
          </cell>
        </row>
        <row r="288">
          <cell r="B288">
            <v>0</v>
          </cell>
          <cell r="C288" t="str">
            <v/>
          </cell>
          <cell r="D288">
            <v>0</v>
          </cell>
        </row>
        <row r="289">
          <cell r="B289">
            <v>0</v>
          </cell>
          <cell r="C289" t="str">
            <v/>
          </cell>
          <cell r="D289">
            <v>0</v>
          </cell>
        </row>
        <row r="290">
          <cell r="B290">
            <v>0</v>
          </cell>
          <cell r="C290" t="str">
            <v/>
          </cell>
          <cell r="D290">
            <v>0</v>
          </cell>
        </row>
        <row r="291">
          <cell r="B291">
            <v>0</v>
          </cell>
          <cell r="C291" t="str">
            <v/>
          </cell>
          <cell r="D291">
            <v>0</v>
          </cell>
        </row>
        <row r="292">
          <cell r="B292">
            <v>0</v>
          </cell>
          <cell r="C292" t="str">
            <v/>
          </cell>
          <cell r="D292">
            <v>0</v>
          </cell>
        </row>
        <row r="293">
          <cell r="B293">
            <v>0</v>
          </cell>
          <cell r="C293" t="str">
            <v/>
          </cell>
          <cell r="D293">
            <v>0</v>
          </cell>
        </row>
        <row r="294">
          <cell r="B294">
            <v>0</v>
          </cell>
          <cell r="C294" t="str">
            <v/>
          </cell>
          <cell r="D294">
            <v>0</v>
          </cell>
        </row>
        <row r="295">
          <cell r="B295">
            <v>0</v>
          </cell>
          <cell r="C295" t="str">
            <v/>
          </cell>
          <cell r="D295">
            <v>0</v>
          </cell>
        </row>
        <row r="296">
          <cell r="B296">
            <v>0</v>
          </cell>
          <cell r="C296" t="str">
            <v/>
          </cell>
          <cell r="D296">
            <v>0</v>
          </cell>
        </row>
        <row r="297">
          <cell r="B297">
            <v>0</v>
          </cell>
          <cell r="C297" t="str">
            <v/>
          </cell>
          <cell r="D297">
            <v>0</v>
          </cell>
        </row>
        <row r="298">
          <cell r="B298">
            <v>0</v>
          </cell>
          <cell r="C298" t="str">
            <v/>
          </cell>
          <cell r="D298">
            <v>0</v>
          </cell>
        </row>
        <row r="299">
          <cell r="B299">
            <v>0</v>
          </cell>
          <cell r="C299" t="str">
            <v/>
          </cell>
          <cell r="D299">
            <v>0</v>
          </cell>
        </row>
        <row r="300">
          <cell r="B300">
            <v>0</v>
          </cell>
          <cell r="C300" t="str">
            <v/>
          </cell>
          <cell r="D300">
            <v>0</v>
          </cell>
        </row>
        <row r="301">
          <cell r="B301">
            <v>0</v>
          </cell>
          <cell r="C301" t="str">
            <v/>
          </cell>
          <cell r="D301">
            <v>0</v>
          </cell>
        </row>
        <row r="302">
          <cell r="B302">
            <v>0</v>
          </cell>
          <cell r="C302" t="str">
            <v/>
          </cell>
          <cell r="D302">
            <v>0</v>
          </cell>
        </row>
        <row r="303">
          <cell r="B303">
            <v>0</v>
          </cell>
          <cell r="C303" t="str">
            <v/>
          </cell>
          <cell r="D303">
            <v>0</v>
          </cell>
        </row>
        <row r="304">
          <cell r="B304">
            <v>0</v>
          </cell>
          <cell r="C304" t="str">
            <v/>
          </cell>
          <cell r="D304">
            <v>0</v>
          </cell>
        </row>
        <row r="305">
          <cell r="B305">
            <v>0</v>
          </cell>
          <cell r="C305" t="str">
            <v/>
          </cell>
          <cell r="D305">
            <v>0</v>
          </cell>
        </row>
        <row r="306">
          <cell r="B306">
            <v>0</v>
          </cell>
          <cell r="C306" t="str">
            <v/>
          </cell>
          <cell r="D306">
            <v>0</v>
          </cell>
        </row>
        <row r="307">
          <cell r="B307">
            <v>0</v>
          </cell>
          <cell r="C307" t="str">
            <v/>
          </cell>
          <cell r="D307">
            <v>0</v>
          </cell>
        </row>
        <row r="308">
          <cell r="B308">
            <v>0</v>
          </cell>
          <cell r="C308" t="str">
            <v/>
          </cell>
          <cell r="D308">
            <v>0</v>
          </cell>
        </row>
        <row r="309">
          <cell r="B309">
            <v>0</v>
          </cell>
          <cell r="C309" t="str">
            <v/>
          </cell>
          <cell r="D309">
            <v>0</v>
          </cell>
        </row>
        <row r="310">
          <cell r="B310">
            <v>0</v>
          </cell>
          <cell r="C310" t="str">
            <v/>
          </cell>
          <cell r="D310">
            <v>0</v>
          </cell>
        </row>
        <row r="311">
          <cell r="B311">
            <v>0</v>
          </cell>
          <cell r="C311" t="str">
            <v/>
          </cell>
          <cell r="D311">
            <v>0</v>
          </cell>
        </row>
        <row r="312">
          <cell r="B312">
            <v>0</v>
          </cell>
          <cell r="C312" t="str">
            <v/>
          </cell>
          <cell r="D312">
            <v>0</v>
          </cell>
        </row>
        <row r="313">
          <cell r="B313">
            <v>0</v>
          </cell>
          <cell r="C313" t="str">
            <v/>
          </cell>
          <cell r="D313">
            <v>0</v>
          </cell>
        </row>
        <row r="314">
          <cell r="B314">
            <v>0</v>
          </cell>
          <cell r="C314" t="str">
            <v/>
          </cell>
          <cell r="D314">
            <v>0</v>
          </cell>
        </row>
        <row r="315">
          <cell r="B315">
            <v>0</v>
          </cell>
          <cell r="C315" t="str">
            <v/>
          </cell>
          <cell r="D315">
            <v>0</v>
          </cell>
        </row>
        <row r="316">
          <cell r="B316">
            <v>0</v>
          </cell>
          <cell r="C316" t="str">
            <v/>
          </cell>
          <cell r="D316">
            <v>0</v>
          </cell>
        </row>
        <row r="317">
          <cell r="B317">
            <v>0</v>
          </cell>
          <cell r="C317" t="str">
            <v/>
          </cell>
          <cell r="D317">
            <v>0</v>
          </cell>
        </row>
        <row r="318">
          <cell r="B318">
            <v>0</v>
          </cell>
          <cell r="C318" t="str">
            <v/>
          </cell>
          <cell r="D318">
            <v>0</v>
          </cell>
        </row>
        <row r="319">
          <cell r="B319">
            <v>0</v>
          </cell>
          <cell r="C319" t="str">
            <v/>
          </cell>
          <cell r="D319">
            <v>0</v>
          </cell>
        </row>
        <row r="320">
          <cell r="B320">
            <v>0</v>
          </cell>
          <cell r="C320" t="str">
            <v/>
          </cell>
          <cell r="D320">
            <v>0</v>
          </cell>
        </row>
        <row r="321">
          <cell r="B321">
            <v>0</v>
          </cell>
          <cell r="C321" t="str">
            <v/>
          </cell>
          <cell r="D321">
            <v>0</v>
          </cell>
        </row>
        <row r="322">
          <cell r="B322">
            <v>0</v>
          </cell>
          <cell r="C322" t="str">
            <v/>
          </cell>
          <cell r="D322">
            <v>0</v>
          </cell>
        </row>
        <row r="323">
          <cell r="B323">
            <v>0</v>
          </cell>
          <cell r="C323" t="str">
            <v/>
          </cell>
          <cell r="D323">
            <v>0</v>
          </cell>
        </row>
        <row r="324">
          <cell r="B324">
            <v>0</v>
          </cell>
          <cell r="C324" t="str">
            <v/>
          </cell>
          <cell r="D324">
            <v>0</v>
          </cell>
        </row>
        <row r="325">
          <cell r="B325">
            <v>0</v>
          </cell>
          <cell r="C325" t="str">
            <v/>
          </cell>
          <cell r="D325">
            <v>0</v>
          </cell>
        </row>
        <row r="326">
          <cell r="B326">
            <v>0</v>
          </cell>
          <cell r="C326" t="str">
            <v/>
          </cell>
          <cell r="D326">
            <v>0</v>
          </cell>
        </row>
        <row r="327">
          <cell r="B327">
            <v>0</v>
          </cell>
          <cell r="C327" t="str">
            <v/>
          </cell>
          <cell r="D327">
            <v>0</v>
          </cell>
        </row>
        <row r="328">
          <cell r="B328">
            <v>0</v>
          </cell>
          <cell r="C328" t="str">
            <v/>
          </cell>
          <cell r="D328">
            <v>0</v>
          </cell>
        </row>
        <row r="329">
          <cell r="B329">
            <v>0</v>
          </cell>
          <cell r="C329" t="str">
            <v/>
          </cell>
          <cell r="D329">
            <v>0</v>
          </cell>
        </row>
        <row r="330">
          <cell r="B330">
            <v>0</v>
          </cell>
          <cell r="C330" t="str">
            <v/>
          </cell>
          <cell r="D330">
            <v>0</v>
          </cell>
        </row>
        <row r="331">
          <cell r="B331">
            <v>0</v>
          </cell>
          <cell r="C331" t="str">
            <v/>
          </cell>
          <cell r="D331">
            <v>0</v>
          </cell>
        </row>
        <row r="332">
          <cell r="B332">
            <v>0</v>
          </cell>
          <cell r="C332" t="str">
            <v/>
          </cell>
          <cell r="D332">
            <v>0</v>
          </cell>
        </row>
        <row r="333">
          <cell r="B333">
            <v>0</v>
          </cell>
          <cell r="C333" t="str">
            <v/>
          </cell>
          <cell r="D333">
            <v>0</v>
          </cell>
        </row>
        <row r="334">
          <cell r="B334">
            <v>0</v>
          </cell>
          <cell r="C334" t="str">
            <v/>
          </cell>
          <cell r="D334">
            <v>0</v>
          </cell>
        </row>
        <row r="335">
          <cell r="B335">
            <v>0</v>
          </cell>
          <cell r="C335" t="str">
            <v/>
          </cell>
          <cell r="D335">
            <v>0</v>
          </cell>
        </row>
        <row r="336">
          <cell r="B336">
            <v>0</v>
          </cell>
          <cell r="C336" t="str">
            <v/>
          </cell>
          <cell r="D336">
            <v>0</v>
          </cell>
        </row>
        <row r="337">
          <cell r="B337">
            <v>0</v>
          </cell>
          <cell r="C337" t="str">
            <v/>
          </cell>
          <cell r="D337">
            <v>0</v>
          </cell>
        </row>
        <row r="338">
          <cell r="B338">
            <v>0</v>
          </cell>
          <cell r="C338" t="str">
            <v/>
          </cell>
          <cell r="D338">
            <v>0</v>
          </cell>
        </row>
        <row r="339">
          <cell r="B339">
            <v>0</v>
          </cell>
          <cell r="C339" t="str">
            <v/>
          </cell>
          <cell r="D339">
            <v>0</v>
          </cell>
        </row>
        <row r="340">
          <cell r="B340">
            <v>0</v>
          </cell>
          <cell r="C340" t="str">
            <v/>
          </cell>
          <cell r="D340">
            <v>0</v>
          </cell>
        </row>
        <row r="341">
          <cell r="B341">
            <v>0</v>
          </cell>
          <cell r="C341" t="str">
            <v/>
          </cell>
          <cell r="D341">
            <v>0</v>
          </cell>
        </row>
        <row r="342">
          <cell r="B342">
            <v>0</v>
          </cell>
          <cell r="C342" t="str">
            <v/>
          </cell>
          <cell r="D342">
            <v>0</v>
          </cell>
        </row>
        <row r="343">
          <cell r="B343">
            <v>0</v>
          </cell>
          <cell r="C343" t="str">
            <v/>
          </cell>
          <cell r="D343">
            <v>0</v>
          </cell>
        </row>
        <row r="344">
          <cell r="B344">
            <v>0</v>
          </cell>
          <cell r="C344" t="str">
            <v/>
          </cell>
          <cell r="D344">
            <v>0</v>
          </cell>
        </row>
        <row r="345">
          <cell r="B345">
            <v>0</v>
          </cell>
          <cell r="C345" t="str">
            <v/>
          </cell>
          <cell r="D345">
            <v>0</v>
          </cell>
        </row>
        <row r="346">
          <cell r="B346">
            <v>0</v>
          </cell>
          <cell r="C346" t="str">
            <v/>
          </cell>
          <cell r="D346">
            <v>0</v>
          </cell>
        </row>
        <row r="347">
          <cell r="B347">
            <v>0</v>
          </cell>
          <cell r="C347" t="str">
            <v/>
          </cell>
          <cell r="D347">
            <v>0</v>
          </cell>
        </row>
        <row r="348">
          <cell r="B348">
            <v>0</v>
          </cell>
          <cell r="C348" t="str">
            <v/>
          </cell>
          <cell r="D348">
            <v>0</v>
          </cell>
        </row>
        <row r="349">
          <cell r="B349">
            <v>0</v>
          </cell>
          <cell r="C349" t="str">
            <v/>
          </cell>
          <cell r="D349">
            <v>0</v>
          </cell>
        </row>
        <row r="350">
          <cell r="B350">
            <v>0</v>
          </cell>
          <cell r="C350" t="str">
            <v/>
          </cell>
          <cell r="D350">
            <v>0</v>
          </cell>
        </row>
        <row r="351">
          <cell r="B351">
            <v>0</v>
          </cell>
          <cell r="C351" t="str">
            <v/>
          </cell>
          <cell r="D351">
            <v>0</v>
          </cell>
        </row>
        <row r="352">
          <cell r="B352">
            <v>0</v>
          </cell>
          <cell r="C352" t="str">
            <v/>
          </cell>
          <cell r="D352">
            <v>0</v>
          </cell>
        </row>
        <row r="353">
          <cell r="B353">
            <v>0</v>
          </cell>
          <cell r="C353" t="str">
            <v/>
          </cell>
          <cell r="D353">
            <v>0</v>
          </cell>
        </row>
        <row r="354">
          <cell r="B354">
            <v>0</v>
          </cell>
          <cell r="C354" t="str">
            <v/>
          </cell>
          <cell r="D354">
            <v>0</v>
          </cell>
        </row>
        <row r="355">
          <cell r="B355">
            <v>0</v>
          </cell>
          <cell r="C355" t="str">
            <v/>
          </cell>
          <cell r="D355">
            <v>0</v>
          </cell>
        </row>
        <row r="356">
          <cell r="B356">
            <v>0</v>
          </cell>
          <cell r="C356" t="str">
            <v/>
          </cell>
          <cell r="D356">
            <v>0</v>
          </cell>
        </row>
        <row r="357">
          <cell r="B357">
            <v>0</v>
          </cell>
          <cell r="C357" t="str">
            <v/>
          </cell>
          <cell r="D357">
            <v>0</v>
          </cell>
        </row>
        <row r="358">
          <cell r="B358">
            <v>0</v>
          </cell>
          <cell r="C358" t="str">
            <v/>
          </cell>
          <cell r="D358">
            <v>0</v>
          </cell>
        </row>
        <row r="359">
          <cell r="B359">
            <v>0</v>
          </cell>
          <cell r="C359" t="str">
            <v/>
          </cell>
          <cell r="D359">
            <v>0</v>
          </cell>
        </row>
        <row r="360">
          <cell r="B360">
            <v>0</v>
          </cell>
          <cell r="C360" t="str">
            <v/>
          </cell>
          <cell r="D360">
            <v>0</v>
          </cell>
        </row>
        <row r="361">
          <cell r="B361">
            <v>0</v>
          </cell>
          <cell r="C361" t="str">
            <v/>
          </cell>
          <cell r="D361">
            <v>0</v>
          </cell>
        </row>
        <row r="362">
          <cell r="B362">
            <v>0</v>
          </cell>
          <cell r="C362" t="str">
            <v/>
          </cell>
          <cell r="D362">
            <v>0</v>
          </cell>
        </row>
        <row r="363">
          <cell r="B363">
            <v>0</v>
          </cell>
          <cell r="C363" t="str">
            <v/>
          </cell>
          <cell r="D363">
            <v>0</v>
          </cell>
        </row>
        <row r="364">
          <cell r="B364">
            <v>0</v>
          </cell>
          <cell r="C364" t="str">
            <v/>
          </cell>
          <cell r="D364">
            <v>0</v>
          </cell>
        </row>
        <row r="365">
          <cell r="B365">
            <v>0</v>
          </cell>
          <cell r="C365" t="str">
            <v/>
          </cell>
          <cell r="D365">
            <v>0</v>
          </cell>
        </row>
        <row r="366">
          <cell r="B366">
            <v>0</v>
          </cell>
          <cell r="C366" t="str">
            <v/>
          </cell>
          <cell r="D366">
            <v>0</v>
          </cell>
        </row>
        <row r="367">
          <cell r="B367">
            <v>0</v>
          </cell>
          <cell r="C367" t="str">
            <v/>
          </cell>
          <cell r="D367">
            <v>0</v>
          </cell>
        </row>
        <row r="368">
          <cell r="B368">
            <v>0</v>
          </cell>
          <cell r="C368" t="str">
            <v/>
          </cell>
          <cell r="D368">
            <v>0</v>
          </cell>
        </row>
        <row r="369">
          <cell r="B369">
            <v>0</v>
          </cell>
          <cell r="C369" t="str">
            <v/>
          </cell>
          <cell r="D369">
            <v>0</v>
          </cell>
        </row>
        <row r="370">
          <cell r="B370">
            <v>0</v>
          </cell>
          <cell r="C370" t="str">
            <v/>
          </cell>
          <cell r="D370">
            <v>0</v>
          </cell>
        </row>
        <row r="371">
          <cell r="B371">
            <v>0</v>
          </cell>
          <cell r="C371" t="str">
            <v/>
          </cell>
          <cell r="D371">
            <v>0</v>
          </cell>
        </row>
        <row r="372">
          <cell r="B372">
            <v>0</v>
          </cell>
          <cell r="C372" t="str">
            <v/>
          </cell>
          <cell r="D372">
            <v>0</v>
          </cell>
        </row>
        <row r="373">
          <cell r="B373">
            <v>0</v>
          </cell>
          <cell r="C373" t="str">
            <v/>
          </cell>
          <cell r="D373">
            <v>0</v>
          </cell>
        </row>
        <row r="374">
          <cell r="B374">
            <v>0</v>
          </cell>
          <cell r="C374" t="str">
            <v/>
          </cell>
          <cell r="D374">
            <v>0</v>
          </cell>
        </row>
        <row r="375">
          <cell r="B375">
            <v>0</v>
          </cell>
          <cell r="C375" t="str">
            <v/>
          </cell>
          <cell r="D375">
            <v>0</v>
          </cell>
        </row>
        <row r="376">
          <cell r="B376">
            <v>0</v>
          </cell>
          <cell r="C376" t="str">
            <v/>
          </cell>
          <cell r="D376">
            <v>0</v>
          </cell>
        </row>
        <row r="377">
          <cell r="B377">
            <v>0</v>
          </cell>
          <cell r="C377" t="str">
            <v/>
          </cell>
          <cell r="D377">
            <v>0</v>
          </cell>
        </row>
        <row r="378">
          <cell r="B378">
            <v>0</v>
          </cell>
          <cell r="C378" t="str">
            <v/>
          </cell>
          <cell r="D378">
            <v>0</v>
          </cell>
        </row>
        <row r="379">
          <cell r="B379">
            <v>0</v>
          </cell>
          <cell r="C379" t="str">
            <v/>
          </cell>
          <cell r="D379">
            <v>0</v>
          </cell>
        </row>
        <row r="380">
          <cell r="B380">
            <v>0</v>
          </cell>
          <cell r="C380" t="str">
            <v/>
          </cell>
          <cell r="D380">
            <v>0</v>
          </cell>
        </row>
        <row r="381">
          <cell r="B381">
            <v>0</v>
          </cell>
          <cell r="C381" t="str">
            <v/>
          </cell>
          <cell r="D381">
            <v>0</v>
          </cell>
        </row>
        <row r="382">
          <cell r="B382">
            <v>0</v>
          </cell>
          <cell r="C382" t="str">
            <v/>
          </cell>
          <cell r="D382">
            <v>0</v>
          </cell>
        </row>
        <row r="383">
          <cell r="B383">
            <v>0</v>
          </cell>
          <cell r="C383" t="str">
            <v/>
          </cell>
          <cell r="D383">
            <v>0</v>
          </cell>
        </row>
        <row r="384">
          <cell r="B384">
            <v>0</v>
          </cell>
          <cell r="C384" t="str">
            <v/>
          </cell>
          <cell r="D384">
            <v>0</v>
          </cell>
        </row>
        <row r="385">
          <cell r="B385">
            <v>0</v>
          </cell>
          <cell r="C385" t="str">
            <v/>
          </cell>
          <cell r="D385">
            <v>0</v>
          </cell>
        </row>
        <row r="386">
          <cell r="B386">
            <v>0</v>
          </cell>
          <cell r="C386" t="str">
            <v/>
          </cell>
          <cell r="D386">
            <v>0</v>
          </cell>
        </row>
        <row r="387">
          <cell r="B387">
            <v>0</v>
          </cell>
          <cell r="C387" t="str">
            <v/>
          </cell>
          <cell r="D387">
            <v>0</v>
          </cell>
        </row>
        <row r="388">
          <cell r="B388">
            <v>0</v>
          </cell>
          <cell r="C388" t="str">
            <v/>
          </cell>
          <cell r="D388">
            <v>0</v>
          </cell>
        </row>
        <row r="389">
          <cell r="B389">
            <v>0</v>
          </cell>
          <cell r="C389" t="str">
            <v/>
          </cell>
          <cell r="D389">
            <v>0</v>
          </cell>
        </row>
        <row r="390">
          <cell r="B390">
            <v>0</v>
          </cell>
          <cell r="C390" t="str">
            <v/>
          </cell>
          <cell r="D390">
            <v>0</v>
          </cell>
        </row>
        <row r="391">
          <cell r="B391">
            <v>0</v>
          </cell>
          <cell r="C391" t="str">
            <v/>
          </cell>
          <cell r="D391">
            <v>0</v>
          </cell>
        </row>
        <row r="392">
          <cell r="B392">
            <v>0</v>
          </cell>
          <cell r="C392" t="str">
            <v/>
          </cell>
          <cell r="D392">
            <v>0</v>
          </cell>
        </row>
        <row r="393">
          <cell r="B393">
            <v>0</v>
          </cell>
          <cell r="C393" t="str">
            <v/>
          </cell>
          <cell r="D393">
            <v>0</v>
          </cell>
        </row>
        <row r="394">
          <cell r="B394">
            <v>0</v>
          </cell>
          <cell r="C394" t="str">
            <v/>
          </cell>
          <cell r="D394">
            <v>0</v>
          </cell>
        </row>
        <row r="395">
          <cell r="B395">
            <v>0</v>
          </cell>
          <cell r="C395" t="str">
            <v/>
          </cell>
          <cell r="D395">
            <v>0</v>
          </cell>
        </row>
        <row r="396">
          <cell r="B396">
            <v>0</v>
          </cell>
          <cell r="C396" t="str">
            <v/>
          </cell>
          <cell r="D396">
            <v>0</v>
          </cell>
        </row>
        <row r="397">
          <cell r="B397">
            <v>0</v>
          </cell>
          <cell r="C397" t="str">
            <v/>
          </cell>
          <cell r="D397">
            <v>0</v>
          </cell>
        </row>
        <row r="398">
          <cell r="B398">
            <v>0</v>
          </cell>
          <cell r="C398" t="str">
            <v/>
          </cell>
          <cell r="D398">
            <v>0</v>
          </cell>
        </row>
        <row r="399">
          <cell r="B399">
            <v>0</v>
          </cell>
          <cell r="C399" t="str">
            <v/>
          </cell>
          <cell r="D399">
            <v>0</v>
          </cell>
        </row>
        <row r="400">
          <cell r="B400">
            <v>0</v>
          </cell>
          <cell r="C400" t="str">
            <v/>
          </cell>
          <cell r="D400">
            <v>0</v>
          </cell>
        </row>
        <row r="401">
          <cell r="B401">
            <v>0</v>
          </cell>
          <cell r="C401" t="str">
            <v/>
          </cell>
          <cell r="D401">
            <v>0</v>
          </cell>
        </row>
        <row r="402">
          <cell r="B402">
            <v>0</v>
          </cell>
          <cell r="C402" t="str">
            <v/>
          </cell>
          <cell r="D402">
            <v>0</v>
          </cell>
        </row>
        <row r="403">
          <cell r="B403">
            <v>0</v>
          </cell>
          <cell r="C403" t="str">
            <v/>
          </cell>
          <cell r="D403">
            <v>0</v>
          </cell>
        </row>
        <row r="404">
          <cell r="B404">
            <v>0</v>
          </cell>
          <cell r="C404" t="str">
            <v/>
          </cell>
          <cell r="D404">
            <v>0</v>
          </cell>
        </row>
        <row r="405">
          <cell r="B405">
            <v>0</v>
          </cell>
          <cell r="C405" t="str">
            <v/>
          </cell>
          <cell r="D405">
            <v>0</v>
          </cell>
        </row>
        <row r="406">
          <cell r="B406">
            <v>0</v>
          </cell>
          <cell r="C406" t="str">
            <v/>
          </cell>
          <cell r="D406">
            <v>0</v>
          </cell>
        </row>
        <row r="407">
          <cell r="B407">
            <v>0</v>
          </cell>
          <cell r="C407" t="str">
            <v/>
          </cell>
          <cell r="D407">
            <v>0</v>
          </cell>
        </row>
        <row r="408">
          <cell r="B408">
            <v>0</v>
          </cell>
          <cell r="C408" t="str">
            <v/>
          </cell>
          <cell r="D408">
            <v>0</v>
          </cell>
        </row>
        <row r="409">
          <cell r="B409">
            <v>0</v>
          </cell>
          <cell r="C409" t="str">
            <v/>
          </cell>
          <cell r="D409">
            <v>0</v>
          </cell>
        </row>
        <row r="410">
          <cell r="B410">
            <v>0</v>
          </cell>
          <cell r="C410" t="str">
            <v/>
          </cell>
          <cell r="D410">
            <v>0</v>
          </cell>
        </row>
        <row r="411">
          <cell r="B411">
            <v>0</v>
          </cell>
          <cell r="C411" t="str">
            <v/>
          </cell>
          <cell r="D411">
            <v>0</v>
          </cell>
        </row>
        <row r="412">
          <cell r="B412">
            <v>0</v>
          </cell>
          <cell r="C412" t="str">
            <v/>
          </cell>
          <cell r="D412">
            <v>0</v>
          </cell>
        </row>
        <row r="413">
          <cell r="B413">
            <v>0</v>
          </cell>
          <cell r="C413" t="str">
            <v/>
          </cell>
          <cell r="D413">
            <v>0</v>
          </cell>
        </row>
        <row r="414">
          <cell r="B414">
            <v>0</v>
          </cell>
          <cell r="C414" t="str">
            <v/>
          </cell>
          <cell r="D414">
            <v>0</v>
          </cell>
        </row>
        <row r="415">
          <cell r="B415">
            <v>0</v>
          </cell>
          <cell r="C415" t="str">
            <v/>
          </cell>
          <cell r="D415">
            <v>0</v>
          </cell>
        </row>
        <row r="416">
          <cell r="B416">
            <v>0</v>
          </cell>
          <cell r="C416" t="str">
            <v/>
          </cell>
          <cell r="D416">
            <v>0</v>
          </cell>
        </row>
        <row r="417">
          <cell r="B417">
            <v>0</v>
          </cell>
          <cell r="C417" t="str">
            <v/>
          </cell>
          <cell r="D417">
            <v>0</v>
          </cell>
        </row>
        <row r="418">
          <cell r="B418">
            <v>0</v>
          </cell>
          <cell r="C418" t="str">
            <v/>
          </cell>
          <cell r="D418">
            <v>0</v>
          </cell>
        </row>
        <row r="419">
          <cell r="B419">
            <v>0</v>
          </cell>
          <cell r="C419" t="str">
            <v/>
          </cell>
          <cell r="D419">
            <v>0</v>
          </cell>
        </row>
        <row r="420">
          <cell r="B420">
            <v>0</v>
          </cell>
          <cell r="C420" t="str">
            <v/>
          </cell>
          <cell r="D420">
            <v>0</v>
          </cell>
        </row>
        <row r="421">
          <cell r="B421">
            <v>0</v>
          </cell>
          <cell r="C421" t="str">
            <v/>
          </cell>
          <cell r="D421">
            <v>0</v>
          </cell>
        </row>
        <row r="422">
          <cell r="B422">
            <v>0</v>
          </cell>
          <cell r="C422" t="str">
            <v/>
          </cell>
          <cell r="D422">
            <v>0</v>
          </cell>
        </row>
        <row r="423">
          <cell r="B423">
            <v>0</v>
          </cell>
          <cell r="C423" t="str">
            <v/>
          </cell>
          <cell r="D423">
            <v>0</v>
          </cell>
        </row>
        <row r="424">
          <cell r="B424">
            <v>0</v>
          </cell>
          <cell r="C424" t="str">
            <v/>
          </cell>
          <cell r="D424">
            <v>0</v>
          </cell>
        </row>
        <row r="425">
          <cell r="B425">
            <v>0</v>
          </cell>
          <cell r="C425" t="str">
            <v/>
          </cell>
          <cell r="D425">
            <v>0</v>
          </cell>
        </row>
        <row r="426">
          <cell r="B426">
            <v>0</v>
          </cell>
          <cell r="C426" t="str">
            <v/>
          </cell>
          <cell r="D426">
            <v>0</v>
          </cell>
        </row>
        <row r="427">
          <cell r="B427">
            <v>0</v>
          </cell>
          <cell r="C427" t="str">
            <v/>
          </cell>
          <cell r="D427">
            <v>0</v>
          </cell>
        </row>
        <row r="428">
          <cell r="B428">
            <v>0</v>
          </cell>
          <cell r="C428" t="str">
            <v/>
          </cell>
          <cell r="D428">
            <v>0</v>
          </cell>
        </row>
        <row r="429">
          <cell r="B429">
            <v>0</v>
          </cell>
          <cell r="C429" t="str">
            <v/>
          </cell>
          <cell r="D429">
            <v>0</v>
          </cell>
        </row>
        <row r="430">
          <cell r="B430">
            <v>0</v>
          </cell>
          <cell r="C430" t="str">
            <v/>
          </cell>
          <cell r="D430">
            <v>0</v>
          </cell>
        </row>
        <row r="431">
          <cell r="B431">
            <v>0</v>
          </cell>
          <cell r="C431" t="str">
            <v/>
          </cell>
          <cell r="D431">
            <v>0</v>
          </cell>
        </row>
        <row r="432">
          <cell r="B432">
            <v>0</v>
          </cell>
          <cell r="C432" t="str">
            <v/>
          </cell>
          <cell r="D432">
            <v>0</v>
          </cell>
        </row>
        <row r="433">
          <cell r="B433">
            <v>0</v>
          </cell>
          <cell r="C433" t="str">
            <v/>
          </cell>
          <cell r="D433">
            <v>0</v>
          </cell>
        </row>
        <row r="434">
          <cell r="B434">
            <v>0</v>
          </cell>
          <cell r="C434" t="str">
            <v/>
          </cell>
          <cell r="D434">
            <v>0</v>
          </cell>
        </row>
        <row r="435">
          <cell r="B435">
            <v>0</v>
          </cell>
          <cell r="C435" t="str">
            <v/>
          </cell>
          <cell r="D435">
            <v>0</v>
          </cell>
        </row>
        <row r="436">
          <cell r="B436">
            <v>0</v>
          </cell>
          <cell r="C436" t="str">
            <v/>
          </cell>
          <cell r="D436">
            <v>0</v>
          </cell>
        </row>
        <row r="437">
          <cell r="B437">
            <v>0</v>
          </cell>
          <cell r="C437" t="str">
            <v/>
          </cell>
          <cell r="D437">
            <v>0</v>
          </cell>
        </row>
        <row r="438">
          <cell r="B438">
            <v>0</v>
          </cell>
          <cell r="C438" t="str">
            <v/>
          </cell>
          <cell r="D438">
            <v>0</v>
          </cell>
        </row>
        <row r="439">
          <cell r="B439">
            <v>0</v>
          </cell>
          <cell r="C439" t="str">
            <v/>
          </cell>
          <cell r="D439">
            <v>0</v>
          </cell>
        </row>
        <row r="440">
          <cell r="B440">
            <v>0</v>
          </cell>
          <cell r="C440" t="str">
            <v/>
          </cell>
          <cell r="D440">
            <v>0</v>
          </cell>
        </row>
        <row r="441">
          <cell r="B441">
            <v>0</v>
          </cell>
          <cell r="C441" t="str">
            <v/>
          </cell>
          <cell r="D441">
            <v>0</v>
          </cell>
        </row>
        <row r="442">
          <cell r="B442">
            <v>0</v>
          </cell>
          <cell r="C442" t="str">
            <v/>
          </cell>
          <cell r="D442">
            <v>0</v>
          </cell>
        </row>
        <row r="443">
          <cell r="B443">
            <v>0</v>
          </cell>
          <cell r="C443" t="str">
            <v/>
          </cell>
          <cell r="D443">
            <v>0</v>
          </cell>
        </row>
        <row r="444">
          <cell r="B444">
            <v>0</v>
          </cell>
          <cell r="C444" t="str">
            <v/>
          </cell>
          <cell r="D444">
            <v>0</v>
          </cell>
        </row>
        <row r="445">
          <cell r="B445">
            <v>0</v>
          </cell>
          <cell r="C445" t="str">
            <v/>
          </cell>
          <cell r="D445">
            <v>0</v>
          </cell>
        </row>
        <row r="446">
          <cell r="B446">
            <v>0</v>
          </cell>
          <cell r="C446" t="str">
            <v/>
          </cell>
          <cell r="D446">
            <v>0</v>
          </cell>
        </row>
        <row r="447">
          <cell r="B447">
            <v>0</v>
          </cell>
          <cell r="C447" t="str">
            <v/>
          </cell>
          <cell r="D447">
            <v>0</v>
          </cell>
        </row>
        <row r="448">
          <cell r="B448">
            <v>0</v>
          </cell>
          <cell r="C448" t="str">
            <v/>
          </cell>
          <cell r="D448">
            <v>0</v>
          </cell>
        </row>
        <row r="449">
          <cell r="B449">
            <v>0</v>
          </cell>
          <cell r="C449" t="str">
            <v/>
          </cell>
          <cell r="D449">
            <v>0</v>
          </cell>
        </row>
        <row r="450">
          <cell r="B450">
            <v>0</v>
          </cell>
          <cell r="C450" t="str">
            <v/>
          </cell>
          <cell r="D450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queryTables/queryTable1.xml><?xml version="1.0" encoding="utf-8"?>
<queryTable xmlns="http://schemas.openxmlformats.org/spreadsheetml/2006/main" name="PPA_202" preserveFormatting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PA_11" preserveFormatting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PA_129" preserveFormatting="0" connectionId="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PPA_34" preserveFormatting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PPA_135" preserveFormatting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PA_52" preserveFormatting="0" connectionId="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PPA_49" preserveFormatting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PPA_188" preserveFormatting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PPA_76" preserveFormatting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PPA_142" preserveFormatting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PA_149" preserveFormatting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PA_197" preserveFormatting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PPA_203" preserveFormatting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PPA_180" preserveFormatting="0" connectionId="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PPA_99" preserveFormatting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PPA_79" preserveFormatting="0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PPA_108" preserveFormatting="0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PPA_199" preserveFormatting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PPA_75" preserveFormatting="0" connectionId="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PPA_116" preserveFormatting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PPA_12" preserveFormatting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PPA_143" preserveFormatting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PPA_107" preserveFormatting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PPA_65" preserveFormatting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PPA_209" preserveFormatting="0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PPA_141" preserveFormatting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PPA_36" preserveFormatting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PPA_198" preserveFormatting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PPA_155" preserveFormatting="0" connectionId="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PPA_181" preserveFormatting="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PPA_14" preserveFormatting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PPA_213" preserveFormatting="0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PPA_43" preserveFormatting="0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PPA_204" preserveFormatting="0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PPA_22" preserveFormatting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PPA_9" preserveFormatting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PPA_132" preserveFormatting="0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PPA_106" preserveFormatting="0" connectionId="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PPA_175" preserveFormatting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PPA_46" preserveFormatting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PPA_23" preserveFormatting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PPA_125" preserveFormatting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PPA_32" preserveFormatting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PPA_153" preserveFormatting="0" connectionId="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PPA_189" preserveFormatting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PPA_18" preserveFormatting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PPA_152" preserveFormatting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PPA_173" preserveFormatting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PPA_171" preserveFormatting="0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PPA_215" preserveFormatting="0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PPA_167" preserveFormatting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PPA_37" preserveFormatting="0" connectionId="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PPA_124" preserveFormatting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PPA_95" preserveFormatting="0" connectionId="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PPA_44" preserveFormatting="0" connectionId="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PPA_126" preserveFormatting="0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PPA_40" preserveFormatting="0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PPA_115" preserveFormatting="0" connectionId="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PPA_118" preserveFormatting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PPA_186" preserveFormatting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PPA_57" preserveFormatting="0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PPA_84" preserveFormatting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PPA_64" preserveFormatting="0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PPA_78" preserveFormatting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PPA_194" preserveFormatting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PPA_160" preserveFormatting="0" connectionId="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PPA_13" preserveFormatting="0" connectionId="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PPA_147" preserveFormatting="0" connectionId="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PPA_30" preserveFormatting="0" connectionId="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PPA_31" preserveFormatting="0" connectionId="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PPA_28" preserveFormatting="0" connectionId="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PPA_25" preserveFormatting="0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PPA_35" preserveFormatting="0" connectionId="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PPA_45" preserveFormatting="0" connectionId="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PPA_157" preserveFormatting="0" connectionId="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PPA_136" preserveFormatting="0" connectionId="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PPA_85" preserveFormatting="0" connectionId="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PPA_91" preserveFormatting="0" connectionId="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PPA_62" preserveFormatting="0" connectionId="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PPA_80" preserveFormatting="0" connectionId="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PPA_139" preserveFormatting="0" connectionId="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PPA_216" preserveFormatting="0" connectionId="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PPA_19" preserveFormatting="0" connectionId="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PPA_112" preserveFormatting="0" connectionId="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PPA_182" preserveFormatting="0" connectionId="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PPA_74" preserveFormatting="0" connectionId="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PPA_211" preserveFormatting="0" connectionId="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PPA_15" preserveFormatting="0" connectionId="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PPA_177" preserveFormatting="0" connectionId="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PPA_21" preserveFormatting="0" connectionId="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PPA_119" preserveFormatting="0" connectionId="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PPA_134" preserveFormatting="0" connectionId="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PPA_151" preserveFormatting="0" connectionId="2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PPA_90" preserveFormatting="0" connectionId="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PPA_81" preserveFormatting="0" connectionId="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PPA_110" preserveFormatting="0" connectionId="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PPA_103" preserveFormatting="0" connectionId="4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PPA_87" preserveFormatting="0" connectionId="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PPA_109" preserveFormatting="0" connectionId="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PPA_77" preserveFormatting="0" connectionId="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PPA_24" preserveFormatting="0" connectionId="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PPA_208" preserveFormatting="0" connectionId="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PPA_123" preserveFormatting="0" connectionId="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PPA_137" preserveFormatting="0" connectionId="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PPA_148" preserveFormatting="0" connectionId="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PPA_120" preserveFormatting="0" connectionId="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PPA_42" preserveFormatting="0" connectionId="2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PPA_121" preserveFormatting="0" connectionId="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PPA_130" preserveFormatting="0" connectionId="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PPA_93" preserveFormatting="0" connectionId="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PPA_83" preserveFormatting="0" connectionId="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PPA_56" preserveFormatting="0" connectionId="3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PPA_97" preserveFormatting="0" connectionId="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PPA_201" preserveFormatting="0" connectionId="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PPA_53" preserveFormatting="0" connectionId="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PPA_73" preserveFormatting="0" connectionId="3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PPA_89" preserveFormatting="0" connectionId="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PPA_133" preserveFormatting="0" connectionId="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PPA_185" preserveFormatting="0" connectionId="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PPA_217" preserveFormatting="0" connectionId="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PPA_207" preserveFormatting="0" connectionId="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PPA_138" preserveFormatting="0" connectionId="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PPA_122" preserveFormatting="0" connectionId="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PPA_170" preserveFormatting="0" connectionId="3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PPA_59" preserveFormatting="0" connectionId="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PPA_88" preserveFormatting="0" connectionId="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PPA_67" preserveFormatting="0" connectionId="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PPA_10" preserveFormatting="0" connectionId="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PPA_68" preserveFormatting="0" connectionId="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PPA_161" preserveFormatting="0" connectionId="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PPA_183" preserveFormatting="0" connectionId="1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PPA_159" preserveFormatting="0" connectionId="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PPA_164" preserveFormatting="0" connectionId="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PPA_47" preserveFormatting="0" connectionId="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PPA_92" preserveFormatting="0" connectionId="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PPA_39" preserveFormatting="0" connectionId="1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PPA_104" preserveFormatting="0" connectionId="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PPA_96" preserveFormatting="0" connectionId="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PPA_27" preserveFormatting="0" connectionId="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PPA_70" preserveFormatting="0" connectionId="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PPA_200" preserveFormatting="0" connectionId="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PPA_163" preserveFormatting="0" connectionId="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PPA_176" preserveFormatting="0" connectionId="1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PPA_127" preserveFormatting="0" connectionId="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PPA_174" preserveFormatting="0" connectionId="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PPA_98" preserveFormatting="0" connectionId="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PPA_69" preserveFormatting="0" connectionId="1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PPA_26" preserveFormatting="0" connectionId="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PPA_41" preserveFormatting="0" connectionId="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PPA_111" preserveFormatting="0" connectionId="1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PPA_206" preserveFormatting="0" connectionId="2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PPA_172" preserveFormatting="0" connectionId="1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PPA_61" preserveFormatting="0" connectionId="1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PPA_16" preserveFormatting="0" connectionId="1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PPA_94" preserveFormatting="0" connectionId="1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PPA_196" preserveFormatting="0" connectionId="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PPA_145" preserveFormatting="0" connectionId="2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PPA_29" preserveFormatting="0" connectionId="1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PPA_165" preserveFormatting="0" connectionId="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PPA_117" preserveFormatting="0" connectionId="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PPA_190" preserveFormatting="0" connectionId="1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PPA_38" preserveFormatting="0" connectionId="1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PPA_212" preserveFormatting="0" connectionId="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PPA_184" preserveFormatting="0" connectionId="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PPA_187" preserveFormatting="0" connectionId="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PPA_156" preserveFormatting="0" connectionId="1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PPA_162" preserveFormatting="0" connectionId="1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PPA_113" preserveFormatting="0" connectionId="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PPA_58" preserveFormatting="0" connectionId="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PPA_214" preserveFormatting="0" connectionId="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PPA_63" preserveFormatting="0" connectionId="3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PPA_50" preserveFormatting="0" connectionId="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PPA_192" preserveFormatting="0" connectionId="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PPA_48" preserveFormatting="0" connectionId="1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PPA_131" preserveFormatting="0" connectionId="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PPA_166" preserveFormatting="0" connectionId="1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PPA_33" preserveFormatting="0" connectionId="1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PPA_210" preserveFormatting="0" connectionId="1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PPA_195" preserveFormatting="0" connectionId="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PPA_60" preserveFormatting="0" connectionId="1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PPA_140" preserveFormatting="0" connectionId="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PPA_47" preserveFormatting="0" connectionId="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PPA_39" preserveFormatting="0" connectionId="1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PPA_194" preserveFormatting="0" connectionId="1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PPA_130" preserveFormatting="0" connectionId="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PPA_140" preserveFormatting="0" connectionId="1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PPA_86" preserveFormatting="0" connectionId="1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PPA_132" preserveFormatting="0" connectionId="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PPA_116" preserveFormatting="0" connectionId="1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PPA_42" preserveFormatting="0" connectionId="1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PPA_88" preserveFormatting="0" connectionId="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PPA_222" preserveFormatting="0" connectionId="1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PPA_102" preserveFormatting="0" connectionId="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PPA_101" preserveFormatting="0" connectionId="1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PPA_166" preserveFormatting="0" connectionId="1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PPA_20" preserveFormatting="0" connectionId="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PPA_9" preserveFormatting="0" connectionId="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PPA_35" preserveFormatting="0" connectionId="1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PPA_74" preserveFormatting="0" connectionId="1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PPA_95" preserveFormatting="0" connectionId="1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PPA_62" preserveFormatting="0" connectionId="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PPA_14" preserveFormatting="0" connectionId="1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PPA_158" preserveFormatting="0" connectionId="1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PPA_200" preserveFormatting="0" connectionId="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PPA_209" preserveFormatting="0" connectionId="1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PPA_82" preserveFormatting="0" connectionId="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PPA_210" preserveFormatting="0" connectionId="1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PPA_172" preserveFormatting="0" connectionId="1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PPA_178" preserveFormatting="0" connectionId="1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PPA_79" preserveFormatting="0" connectionId="1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PPA_228" preserveFormatting="0" connectionId="1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PPA_21" preserveFormatting="0" connectionId="1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PPA_213" preserveFormatting="0" connectionId="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PPA_83" preserveFormatting="0" connectionId="1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PPA_91" preserveFormatting="0" connectionId="1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PPA_94" preserveFormatting="0" connectionId="1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PPA_85" preserveFormatting="0" connectionId="1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PPA_80" preserveFormatting="0" connectionId="1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PPA_71" preserveFormatting="0" connectionId="1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PPA_179" preserveFormatting="0" connectionId="1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PPA_54" preserveFormatting="0" connectionId="1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PPA_73" preserveFormatting="0" connectionId="1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PPA_199" preserveFormatting="0" connectionId="1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PPA_60" preserveFormatting="0" connectionId="1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PPA_225" preserveFormatting="0" connectionId="1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PPA_24" preserveFormatting="0" connectionId="1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PPA_103" preserveFormatting="0" connectionId="1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PPA_169" preserveFormatting="0" connectionId="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PPA_34" preserveFormatting="0" connectionId="1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PPA_182" preserveFormatting="0" connectionId="1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PPA_154" preserveFormatting="0" connectionId="1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PPA_202" preserveFormatting="0" connectionId="1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PPA_29" preserveFormatting="0" connectionId="1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PPA_229" preserveFormatting="0" connectionId="1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PPA_57" preserveFormatting="0" connectionId="1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PPA_115" preserveFormatting="0" connectionId="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PPA_52" preserveFormatting="0" connectionId="1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PPA_203" preserveFormatting="0" connectionId="1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PPA_55" preserveFormatting="0" connectionId="1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PPA_32" preserveFormatting="0" connectionId="1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PPA_214" preserveFormatting="0" connectionId="1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PPA_63" preserveFormatting="0" connectionId="1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PPA_110" preserveFormatting="0" connectionId="1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PPA_107" preserveFormatting="0" connectionId="1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PPA_89" preserveFormatting="0" connectionId="1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PPA_17" preserveFormatting="0" connectionId="1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PPA_126" preserveFormatting="0" connectionId="1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PPA_139" preserveFormatting="0" connectionId="1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PPA_106" preserveFormatting="0" connectionId="1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PPA_151" preserveFormatting="0" connectionId="1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PPA_118" preserveFormatting="0" connectionId="1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PPA_90" preserveFormatting="0" connectionId="1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PPA_127" preserveFormatting="0" connectionId="1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PPA_78" preserveFormatting="0" connectionId="1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PPA_188" preserveFormatting="0" connectionId="1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PPA_181" preserveFormatting="0" connectionId="1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PPA_36" preserveFormatting="0" connectionId="1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PPA_56" preserveFormatting="0" connectionId="1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PPA_19" preserveFormatting="0" connectionId="1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PPA_67" preserveFormatting="0" connectionId="1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PPA_43" preserveFormatting="0" connectionId="1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PPA_65" preserveFormatting="0" connectionId="1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PPA_165" preserveFormatting="0" connectionId="1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PPA_211" preserveFormatting="0" connectionId="1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PPA_33" preserveFormatting="0" connectionId="1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PPA_120" preserveFormatting="0" connectionId="1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PPA_192" preserveFormatting="0" connectionId="1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PPA_160" preserveFormatting="0" connectionId="1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PPA_219" preserveFormatting="0" connectionId="1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PPA_176" preserveFormatting="0" connectionId="1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PPA_93" preserveFormatting="0" connectionId="1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PPA_195" preserveFormatting="0" connectionId="1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PPA_190" preserveFormatting="0" connectionId="1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PPA_164" preserveFormatting="0" connectionId="1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PPA_174" preserveFormatting="0" connectionId="1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PPA_168" preserveFormatting="0" connectionId="1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PPA_10" preserveFormatting="0" connectionId="1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PPA_226" preserveFormatting="0" connectionId="1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PPA_111" preserveFormatting="0" connectionId="1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PPA_122" preserveFormatting="0" connectionId="1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PPA_183" preserveFormatting="0" connectionId="1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PPA_180" preserveFormatting="0" connectionId="1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PPA_177" preserveFormatting="0" connectionId="1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PPA_142" preserveFormatting="0" connectionId="1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PPA_146" preserveFormatting="0" connectionId="1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PPA_171" preserveFormatting="0" connectionId="1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PPA_186" preserveFormatting="0" connectionId="1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PPA_159" preserveFormatting="0" connectionId="1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PPA_129" preserveFormatting="0" connectionId="1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PPA_77" preserveFormatting="0" connectionId="1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PPA_22" preserveFormatting="0" connectionId="1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PPA_68" preserveFormatting="0" connectionId="1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PPA_11" preserveFormatting="0" connectionId="1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PPA_27" preserveFormatting="0" connectionId="1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PPA_147" preserveFormatting="0" connectionId="1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PPA_218" preserveFormatting="0" connectionId="1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PPA_187" preserveFormatting="0" connectionId="1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PPA_124" preserveFormatting="0" connectionId="1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PPA_173" preserveFormatting="0" connectionId="1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PPA_121" preserveFormatting="0" connectionId="1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PPA_48" preserveFormatting="0" connectionId="1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PPA_114" preserveFormatting="0" connectionId="1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PPA_149" preserveFormatting="0" connectionId="1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PPA_193" preserveFormatting="0" connectionId="1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PPA_163" preserveFormatting="0" connectionId="1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PPA_201" preserveFormatting="0" connectionId="1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PPA_161" preserveFormatting="0" connectionId="1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PPA_72" preserveFormatting="0" connectionId="1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PPA_128" preserveFormatting="0" connectionId="1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PPA_26" preserveFormatting="0" connectionId="1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PPA_38" preserveFormatting="0" connectionId="1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PPA_198" preserveFormatting="0" connectionId="1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PPA_61" preserveFormatting="0" connectionId="1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PPA_125" preserveFormatting="0" connectionId="1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PPA_46" preserveFormatting="0" connectionId="1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PPA_113" preserveFormatting="0" connectionId="1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PPA_41" preserveFormatting="0" connectionId="1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PPA_197" preserveFormatting="0" connectionId="1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PPA_49" preserveFormatting="0" connectionId="1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PPA_108" preserveFormatting="0" connectionId="1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PPA_227" preserveFormatting="0" connectionId="1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PPA_184" preserveFormatting="0" connectionId="1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PPA_18" preserveFormatting="0" connectionId="1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PPA_143" preserveFormatting="0" connectionId="1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PPA_212" preserveFormatting="0" connectionId="1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PPA_112" preserveFormatting="0" connectionId="1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PPA_30" preserveFormatting="0" connectionId="1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PPA_153" preserveFormatting="0" connectionId="1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PPA_189" preserveFormatting="0" connectionId="1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PPA_141" preserveFormatting="0" connectionId="1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PPA_150" preserveFormatting="0" connectionId="1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PPA_13" preserveFormatting="0" connectionId="1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PPA_175" preserveFormatting="0" connectionId="1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PPA_105" preserveFormatting="0" connectionId="1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PPA_31" preserveFormatting="0" connectionId="1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PPA_37" preserveFormatting="0" connectionId="1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PPA_64" preserveFormatting="0" connectionId="1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PPA_216" preserveFormatting="0" connectionId="1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PPA_131" preserveFormatting="0" connectionId="1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PPA_92" preserveFormatting="0" connectionId="1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PPA_69" preserveFormatting="0" connectionId="1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PPA_75" preserveFormatting="0" connectionId="1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PPA_84" preserveFormatting="0" connectionId="1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PPA_138" preserveFormatting="0" connectionId="1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PPA_191" preserveFormatting="0" connectionId="1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PPA_167" preserveFormatting="0" connectionId="1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PPA_152" preserveFormatting="0" connectionId="1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PPA_15" preserveFormatting="0" connectionId="1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PPA_97" preserveFormatting="0" connectionId="1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PPA_117" preserveFormatting="0" connectionId="1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PPA_16" preserveFormatting="0" connectionId="1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PPA_100" preserveFormatting="0" connectionId="1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PPA_51" preserveFormatting="0" connectionId="1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PPA_205" preserveFormatting="0" connectionId="1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PPA_155" preserveFormatting="0" connectionId="1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PPA_70" preserveFormatting="0" connectionId="1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PPA_162" preserveFormatting="0" connectionId="1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PPA_135" preserveFormatting="0" connectionId="1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PPA_136" preserveFormatting="0" connectionId="1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PPA_170" preserveFormatting="0" connectionId="1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PPA_59" preserveFormatting="0" connectionId="1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PPA_145" preserveFormatting="0" connectionId="1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PPA_207" preserveFormatting="0" connectionId="1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PPA_45" preserveFormatting="0" connectionId="1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PPA_223" preserveFormatting="0" connectionId="1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PPA_109" preserveFormatting="0" connectionId="1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PPA_87" preserveFormatting="0" connectionId="1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PPA_196" preserveFormatting="0" connectionId="1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PPA_58" preserveFormatting="0" connectionId="1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PPA_220" preserveFormatting="0" connectionId="1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PPA_12" preserveFormatting="0" connectionId="1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PPA_104" preserveFormatting="0" connectionId="1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PPA_123" preserveFormatting="0" connectionId="1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PPA_96" preserveFormatting="0" connectionId="1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PPA_215" preserveFormatting="0" connectionId="1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PPA_185" preserveFormatting="0" connectionId="1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PPA_156" preserveFormatting="0" connectionId="1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PPA_98" preserveFormatting="0" connectionId="1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PPA_28" preserveFormatting="0" connectionId="1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PPA_99" preserveFormatting="0" connectionId="1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PPA_137" preserveFormatting="0" connectionId="1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PPA_221" preserveFormatting="0" connectionId="1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PPA_66" preserveFormatting="0" connectionId="1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PPA_134" preserveFormatting="0" connectionId="1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PPA_204" preserveFormatting="0" connectionId="1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PPA_23" preserveFormatting="0" connectionId="1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PPA_133" preserveFormatting="0" connectionId="1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PPA_119" preserveFormatting="0" connectionId="1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PPA_50" preserveFormatting="0" connectionId="1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PPA_208" preserveFormatting="0" connectionId="1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PPA_144" preserveFormatting="0" connectionId="1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PPA_157" preserveFormatting="0" connectionId="1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PPA_40" preserveFormatting="0" connectionId="1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PPA_25" preserveFormatting="0" connectionId="1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PPA_148" preserveFormatting="0" connectionId="1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PPA_206" preserveFormatting="0" connectionId="1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PPA_53" preserveFormatting="0" connectionId="1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PPA_224" preserveFormatting="0" connectionId="1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PPA_44" preserveFormatting="0" connectionId="1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PPA_217" preserveFormatting="0" connectionId="1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PPA_72" preserveFormatting="0" connectionId="2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PPA_20" preserveFormatting="0" connectionId="1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PPA_37" preserveFormatting="0" connectionId="1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PPA_166" preserveFormatting="0" connectionId="3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PPA_82" preserveFormatting="0" connectionId="2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PPA_188" preserveFormatting="0" connectionId="2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PPA_73" preserveFormatting="0" connectionId="3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PPA_183" preserveFormatting="0" connectionId="2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PPA_115" preserveFormatting="0" connectionId="3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PPA_168" preserveFormatting="0" connectionId="2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PPA_71" preserveFormatting="0" connectionId="2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PPA_173" preserveFormatting="0" connectionId="3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PPA_42" preserveFormatting="0" connectionId="2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PPA_164" preserveFormatting="0" connectionId="2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PPA_185" preserveFormatting="0" connectionId="4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PPA_148" preserveFormatting="0" connectionId="2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PPA_221" preserveFormatting="0" connectionId="2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PPA_136" preserveFormatting="0" connectionId="2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PPA_182" preserveFormatting="0" connectionId="2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PPA_97" preserveFormatting="0" connectionId="2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PPA_17" preserveFormatting="0" connectionId="1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PPA_83" preserveFormatting="0" connectionId="2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PPA_62" preserveFormatting="0" connectionId="2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PPA_210" preserveFormatting="0" connectionId="2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PPA_110" preserveFormatting="0" connectionId="2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PPA_33" preserveFormatting="0" connectionId="1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PPA_53" preserveFormatting="0" connectionId="2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PPA_193" preserveFormatting="0" connectionId="4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PPA_169" preserveFormatting="0" connectionId="2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PPA_75" preserveFormatting="0" connectionId="2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PPA_212" preserveFormatting="0" connectionId="2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PPA_27" preserveFormatting="0" connectionId="1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PPA_21" preserveFormatting="0" connectionId="1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PPA_34" preserveFormatting="0" connectionId="1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PPA_227" preserveFormatting="0" connectionId="2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PPA_12" preserveFormatting="0" connectionId="1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PPA_141" preserveFormatting="0" connectionId="2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PPA_163" preserveFormatting="0" connectionId="2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PPA_181" preserveFormatting="0" connectionId="2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PPA_113" preserveFormatting="0" connectionId="2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PPA_100" preserveFormatting="0" connectionId="2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PPA_108" preserveFormatting="0" connectionId="2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PPA_154" preserveFormatting="0" connectionId="2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PPA_204" preserveFormatting="0" connectionId="3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PPA_25" preserveFormatting="0" connectionId="1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PPA_49" preserveFormatting="0" connectionId="2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PPA_214" preserveFormatting="0" connectionId="2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PPA_85" preserveFormatting="0" connectionId="2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PPA_126" preserveFormatting="0" connectionId="2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PPA_178" preserveFormatting="0" connectionId="2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PPA_130" preserveFormatting="0" connectionId="3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PPA_201" preserveFormatting="0" connectionId="2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PPA_167" preserveFormatting="0" connectionId="3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PPA_40" preserveFormatting="0" connectionId="2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PPA_44" preserveFormatting="0" connectionId="2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PPA_191" preserveFormatting="0" connectionId="2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PPA_211" preserveFormatting="0" connectionId="2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PPA_91" preserveFormatting="0" connectionId="2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PPA_144" preserveFormatting="0" connectionId="2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PPA_61" preserveFormatting="0" connectionId="2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PPA_202" preserveFormatting="0" connectionId="2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PPA_187" preserveFormatting="0" connectionId="2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PPA_24" preserveFormatting="0" connectionId="1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PPA_159" preserveFormatting="0" connectionId="2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PPA_147" preserveFormatting="0" connectionId="2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PPA_186" preserveFormatting="0" connectionId="2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PPA_39" preserveFormatting="0" connectionId="2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PPA_158" preserveFormatting="0" connectionId="2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PPA_29" preserveFormatting="0" connectionId="1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PPA_13" preserveFormatting="0" connectionId="1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PPA_26" preserveFormatting="0" connectionId="1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PPA_190" preserveFormatting="0" connectionId="2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PPA_174" preserveFormatting="0" connectionId="2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PPA_125" preserveFormatting="0" connectionId="2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PPA_131" preserveFormatting="0" connectionId="2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PPA_197" preserveFormatting="0" connectionId="2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PPA_203" preserveFormatting="0" connectionId="2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PPA_172" preserveFormatting="0" connectionId="2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PPA_111" preserveFormatting="0" connectionId="2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PPA_89" preserveFormatting="0" connectionId="4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PPA_217" preserveFormatting="0" connectionId="2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PPA_208" preserveFormatting="0" connectionId="2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PPA_146" preserveFormatting="0" connectionId="2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PPA_31" preserveFormatting="0" connectionId="1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PPA_145" preserveFormatting="0" connectionId="2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PPA_216" preserveFormatting="0" connectionId="3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PPA_194" preserveFormatting="0" connectionId="2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PPA_189" preserveFormatting="0" connectionId="2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PPA_109" preserveFormatting="0" connectionId="2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PPA_195" preserveFormatting="0" connectionId="2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PPA_79" preserveFormatting="0" connectionId="2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PPA_58" preserveFormatting="0" connectionId="2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PPA_222" preserveFormatting="0" connectionId="2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PPA_184" preserveFormatting="0" connectionId="2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PPA_67" preserveFormatting="0" connectionId="2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PPA_54" preserveFormatting="0" connectionId="2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PPA_93" preserveFormatting="0" connectionId="2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PPA_51" preserveFormatting="0" connectionId="2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PPA_96" preserveFormatting="0" connectionId="4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PPA_19" preserveFormatting="0" connectionId="1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PPA_135" preserveFormatting="0" connectionId="2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PPA_225" preserveFormatting="0" connectionId="2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PPA_196" preserveFormatting="0" connectionId="2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PPA_120" preserveFormatting="0" connectionId="2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PPA_47" preserveFormatting="0" connectionId="2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PPA_81" preserveFormatting="0" connectionId="2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PPA_65" preserveFormatting="0" connectionId="2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PPA_139" preserveFormatting="0" connectionId="2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PPA_142" preserveFormatting="0" connectionId="2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PPA_23" preserveFormatting="0" connectionId="1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PPA_38" preserveFormatting="0" connectionId="2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PPA_114" preserveFormatting="0" connectionId="2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PPA_98" preserveFormatting="0" connectionId="2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PPA_140" preserveFormatting="0" connectionId="2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PPA_155" preserveFormatting="0" connectionId="2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PPA_60" preserveFormatting="0" connectionId="2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PPA_87" preserveFormatting="0" connectionId="3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PPA_50" preserveFormatting="0" connectionId="2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PPA_160" preserveFormatting="0" connectionId="2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PPA_165" preserveFormatting="0" connectionId="2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PPA_99" preserveFormatting="0" connectionId="3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PPA_90" preserveFormatting="0" connectionId="2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PPA_156" preserveFormatting="0" connectionId="2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PPA_102" preserveFormatting="0" connectionId="2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PPA_69" preserveFormatting="0" connectionId="2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PPA_68" preserveFormatting="0" connectionId="2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PPA_121" preserveFormatting="0" connectionId="2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PPA_48" preserveFormatting="0" connectionId="2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PPA_52" preserveFormatting="0" connectionId="2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PPA_55" preserveFormatting="0" connectionId="3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PPA_86" preserveFormatting="0" connectionId="2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PPA_16" preserveFormatting="0" connectionId="1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PPA_78" preserveFormatting="0" connectionId="3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PPA_171" preserveFormatting="0" connectionId="2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PPA_215" preserveFormatting="0" connectionId="2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PPA_153" preserveFormatting="0" connectionId="2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PPA_35" preserveFormatting="0" connectionId="1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PPA_176" preserveFormatting="0" connectionId="3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PPA_36" preserveFormatting="0" connectionId="1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PPA_30" preserveFormatting="0" connectionId="1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PPA_59" preserveFormatting="0" connectionId="2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PPA_88" preserveFormatting="0" connectionId="2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PPA_143" preserveFormatting="0" connectionId="2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PPA_226" preserveFormatting="0" connectionId="2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PPA_124" preserveFormatting="0" connectionId="2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PPA_77" preserveFormatting="0" connectionId="2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PPA_119" preserveFormatting="0" connectionId="2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PPA_151" preserveFormatting="0" connectionId="3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PPA_177" preserveFormatting="0" connectionId="2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PPA_70" preserveFormatting="0" connectionId="2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PPA_218" preserveFormatting="0" connectionId="2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PPA_11" preserveFormatting="0" connectionId="1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PPA_123" preserveFormatting="0" connectionId="2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PPA_14" preserveFormatting="0" connectionId="1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PPA_103" preserveFormatting="0" connectionId="4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PPA_43" preserveFormatting="0" connectionId="2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PPA_101" preserveFormatting="0" connectionId="2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PPA_207" preserveFormatting="0" connectionId="2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PPA_84" preserveFormatting="0" connectionId="2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PPA_92" preserveFormatting="0" connectionId="2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PPA_107" preserveFormatting="0" connectionId="2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PPA_10" preserveFormatting="0" connectionId="1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PPA_206" preserveFormatting="0" connectionId="2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PPA_149" preserveFormatting="0" connectionId="2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PPA_116" preserveFormatting="0" connectionId="2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PPA_57" preserveFormatting="0" connectionId="3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PPA_66" preserveFormatting="0" connectionId="2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PPA_219" preserveFormatting="0" connectionId="2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PPA_64" preserveFormatting="0" connectionId="2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PPA_46" preserveFormatting="0" connectionId="2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PPA_200" preserveFormatting="0" connectionId="2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PPA_205" preserveFormatting="0" connectionId="3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PPA_74" preserveFormatting="0" connectionId="2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PPA_45" preserveFormatting="0" connectionId="2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PPA_157" preserveFormatting="0" connectionId="2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PPA_132" preserveFormatting="0" connectionId="2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PPA_198" preserveFormatting="0" connectionId="2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PPA_105" preserveFormatting="0" connectionId="4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PPA_41" preserveFormatting="0" connectionId="2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PPA_18" preserveFormatting="0" connectionId="1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PPA_134" preserveFormatting="0" connectionId="2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PPA_209" preserveFormatting="0" connectionId="2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PPA_112" preserveFormatting="0" connectionId="3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PPA_56" preserveFormatting="0" connectionId="2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PPA_128" preserveFormatting="0" connectionId="5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PPA_223" preserveFormatting="0" connectionId="2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PPA_175" preserveFormatting="0" connectionId="2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PPA_122" preserveFormatting="0" connectionId="2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PPA_28" preserveFormatting="0" connectionId="1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PPA_162" preserveFormatting="0" connectionId="2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PPA_9" preserveFormatting="0" connectionId="1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PPA_32" preserveFormatting="0" connectionId="1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PPA_106" preserveFormatting="0" connectionId="2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PPA_129" preserveFormatting="0" connectionId="2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PPA_152" preserveFormatting="0" connectionId="2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PPA_22" preserveFormatting="0" connectionId="1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PPA_94" preserveFormatting="0" connectionId="2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PPA_15" preserveFormatting="0" connectionId="1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PPA_179" preserveFormatting="0" connectionId="2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PPA_63" preserveFormatting="0" connectionId="2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PPA_137" preserveFormatting="0" connectionId="2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PPA_170" preserveFormatting="0" connectionId="3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PPA_180" preserveFormatting="0" connectionId="2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PPA_76" preserveFormatting="0" connectionId="2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PPA_127" preserveFormatting="0" connectionId="2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PPA_199" preserveFormatting="0" connectionId="2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PPA_138" preserveFormatting="0" connectionId="3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PPA_213" preserveFormatting="0" connectionId="2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PPA_192" preserveFormatting="0" connectionId="2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PPA_150" preserveFormatting="0" connectionId="2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PPA_220" preserveFormatting="0" connectionId="2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PPA_161" preserveFormatting="0" connectionId="2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PPA_118" preserveFormatting="0" connectionId="2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PPA_224" preserveFormatting="0" connectionId="2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PPA_133" preserveFormatting="0" connectionId="2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PPA_117" preserveFormatting="0" connectionId="2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PPA_80" preserveFormatting="0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63" Type="http://schemas.openxmlformats.org/officeDocument/2006/relationships/queryTable" Target="../queryTables/queryTable62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159" Type="http://schemas.openxmlformats.org/officeDocument/2006/relationships/queryTable" Target="../queryTables/queryTable158.xml"/><Relationship Id="rId170" Type="http://schemas.openxmlformats.org/officeDocument/2006/relationships/queryTable" Target="../queryTables/queryTable169.xml"/><Relationship Id="rId191" Type="http://schemas.openxmlformats.org/officeDocument/2006/relationships/queryTable" Target="../queryTables/queryTable190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53" Type="http://schemas.openxmlformats.org/officeDocument/2006/relationships/queryTable" Target="../queryTables/queryTable52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149" Type="http://schemas.openxmlformats.org/officeDocument/2006/relationships/queryTable" Target="../queryTables/queryTable148.xml"/><Relationship Id="rId5" Type="http://schemas.openxmlformats.org/officeDocument/2006/relationships/queryTable" Target="../queryTables/queryTable4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181" Type="http://schemas.openxmlformats.org/officeDocument/2006/relationships/queryTable" Target="../queryTables/queryTable180.xml"/><Relationship Id="rId22" Type="http://schemas.openxmlformats.org/officeDocument/2006/relationships/queryTable" Target="../queryTables/queryTable21.xml"/><Relationship Id="rId43" Type="http://schemas.openxmlformats.org/officeDocument/2006/relationships/queryTable" Target="../queryTables/queryTable42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139" Type="http://schemas.openxmlformats.org/officeDocument/2006/relationships/queryTable" Target="../queryTables/queryTable13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71" Type="http://schemas.openxmlformats.org/officeDocument/2006/relationships/queryTable" Target="../queryTables/queryTable170.xml"/><Relationship Id="rId12" Type="http://schemas.openxmlformats.org/officeDocument/2006/relationships/queryTable" Target="../queryTables/queryTable11.xml"/><Relationship Id="rId33" Type="http://schemas.openxmlformats.org/officeDocument/2006/relationships/queryTable" Target="../queryTables/queryTable32.xml"/><Relationship Id="rId108" Type="http://schemas.openxmlformats.org/officeDocument/2006/relationships/queryTable" Target="../queryTables/queryTable107.xml"/><Relationship Id="rId129" Type="http://schemas.openxmlformats.org/officeDocument/2006/relationships/queryTable" Target="../queryTables/queryTable128.xml"/><Relationship Id="rId54" Type="http://schemas.openxmlformats.org/officeDocument/2006/relationships/queryTable" Target="../queryTables/queryTable53.xml"/><Relationship Id="rId75" Type="http://schemas.openxmlformats.org/officeDocument/2006/relationships/queryTable" Target="../queryTables/queryTable74.xml"/><Relationship Id="rId96" Type="http://schemas.openxmlformats.org/officeDocument/2006/relationships/queryTable" Target="../queryTables/queryTable95.xml"/><Relationship Id="rId140" Type="http://schemas.openxmlformats.org/officeDocument/2006/relationships/queryTable" Target="../queryTables/queryTable139.xml"/><Relationship Id="rId161" Type="http://schemas.openxmlformats.org/officeDocument/2006/relationships/queryTable" Target="../queryTables/queryTable160.xml"/><Relationship Id="rId182" Type="http://schemas.openxmlformats.org/officeDocument/2006/relationships/queryTable" Target="../queryTables/queryTable181.xml"/><Relationship Id="rId6" Type="http://schemas.openxmlformats.org/officeDocument/2006/relationships/queryTable" Target="../queryTables/queryTable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44" Type="http://schemas.openxmlformats.org/officeDocument/2006/relationships/queryTable" Target="../queryTables/queryTable43.xml"/><Relationship Id="rId65" Type="http://schemas.openxmlformats.org/officeDocument/2006/relationships/queryTable" Target="../queryTables/queryTable64.xml"/><Relationship Id="rId86" Type="http://schemas.openxmlformats.org/officeDocument/2006/relationships/queryTable" Target="../queryTables/queryTable85.xml"/><Relationship Id="rId130" Type="http://schemas.openxmlformats.org/officeDocument/2006/relationships/queryTable" Target="../queryTables/queryTable129.xml"/><Relationship Id="rId151" Type="http://schemas.openxmlformats.org/officeDocument/2006/relationships/queryTable" Target="../queryTables/queryTable150.xml"/><Relationship Id="rId172" Type="http://schemas.openxmlformats.org/officeDocument/2006/relationships/queryTable" Target="../queryTables/queryTable171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141" Type="http://schemas.openxmlformats.org/officeDocument/2006/relationships/queryTable" Target="../queryTables/queryTable140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162" Type="http://schemas.openxmlformats.org/officeDocument/2006/relationships/queryTable" Target="../queryTables/queryTable161.xml"/><Relationship Id="rId183" Type="http://schemas.openxmlformats.org/officeDocument/2006/relationships/queryTable" Target="../queryTables/queryTable182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52" Type="http://schemas.openxmlformats.org/officeDocument/2006/relationships/queryTable" Target="../queryTables/queryTable151.xml"/><Relationship Id="rId173" Type="http://schemas.openxmlformats.org/officeDocument/2006/relationships/queryTable" Target="../queryTables/queryTable172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163" Type="http://schemas.openxmlformats.org/officeDocument/2006/relationships/queryTable" Target="../queryTables/queryTable162.xml"/><Relationship Id="rId184" Type="http://schemas.openxmlformats.org/officeDocument/2006/relationships/queryTable" Target="../queryTables/queryTable183.xml"/><Relationship Id="rId189" Type="http://schemas.openxmlformats.org/officeDocument/2006/relationships/queryTable" Target="../queryTables/queryTable188.xml"/><Relationship Id="rId3" Type="http://schemas.openxmlformats.org/officeDocument/2006/relationships/queryTable" Target="../queryTables/queryTable2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Relationship Id="rId174" Type="http://schemas.openxmlformats.org/officeDocument/2006/relationships/queryTable" Target="../queryTables/queryTable173.xml"/><Relationship Id="rId179" Type="http://schemas.openxmlformats.org/officeDocument/2006/relationships/queryTable" Target="../queryTables/queryTable178.xml"/><Relationship Id="rId190" Type="http://schemas.openxmlformats.org/officeDocument/2006/relationships/queryTable" Target="../queryTables/queryTable189.xml"/><Relationship Id="rId15" Type="http://schemas.openxmlformats.org/officeDocument/2006/relationships/queryTable" Target="../queryTables/queryTable14.xml"/><Relationship Id="rId36" Type="http://schemas.openxmlformats.org/officeDocument/2006/relationships/queryTable" Target="../queryTables/queryTable35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43" Type="http://schemas.openxmlformats.org/officeDocument/2006/relationships/queryTable" Target="../queryTables/queryTable142.xml"/><Relationship Id="rId148" Type="http://schemas.openxmlformats.org/officeDocument/2006/relationships/queryTable" Target="../queryTables/queryTable147.xml"/><Relationship Id="rId164" Type="http://schemas.openxmlformats.org/officeDocument/2006/relationships/queryTable" Target="../queryTables/queryTable163.xml"/><Relationship Id="rId169" Type="http://schemas.openxmlformats.org/officeDocument/2006/relationships/queryTable" Target="../queryTables/queryTable168.xml"/><Relationship Id="rId185" Type="http://schemas.openxmlformats.org/officeDocument/2006/relationships/queryTable" Target="../queryTables/queryTable18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80" Type="http://schemas.openxmlformats.org/officeDocument/2006/relationships/queryTable" Target="../queryTables/queryTable179.xml"/><Relationship Id="rId26" Type="http://schemas.openxmlformats.org/officeDocument/2006/relationships/queryTable" Target="../queryTables/queryTable25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54" Type="http://schemas.openxmlformats.org/officeDocument/2006/relationships/queryTable" Target="../queryTables/queryTable153.xml"/><Relationship Id="rId175" Type="http://schemas.openxmlformats.org/officeDocument/2006/relationships/queryTable" Target="../queryTables/queryTable174.xml"/><Relationship Id="rId16" Type="http://schemas.openxmlformats.org/officeDocument/2006/relationships/queryTable" Target="../queryTables/queryTable15.xml"/><Relationship Id="rId37" Type="http://schemas.openxmlformats.org/officeDocument/2006/relationships/queryTable" Target="../queryTables/queryTable36.xml"/><Relationship Id="rId58" Type="http://schemas.openxmlformats.org/officeDocument/2006/relationships/queryTable" Target="../queryTables/queryTable57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44" Type="http://schemas.openxmlformats.org/officeDocument/2006/relationships/queryTable" Target="../queryTables/queryTable143.xml"/><Relationship Id="rId90" Type="http://schemas.openxmlformats.org/officeDocument/2006/relationships/queryTable" Target="../queryTables/queryTable89.xml"/><Relationship Id="rId165" Type="http://schemas.openxmlformats.org/officeDocument/2006/relationships/queryTable" Target="../queryTables/queryTable164.xml"/><Relationship Id="rId186" Type="http://schemas.openxmlformats.org/officeDocument/2006/relationships/queryTable" Target="../queryTables/queryTable185.xml"/><Relationship Id="rId27" Type="http://schemas.openxmlformats.org/officeDocument/2006/relationships/queryTable" Target="../queryTables/queryTable26.xml"/><Relationship Id="rId48" Type="http://schemas.openxmlformats.org/officeDocument/2006/relationships/queryTable" Target="../queryTables/queryTable47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34" Type="http://schemas.openxmlformats.org/officeDocument/2006/relationships/queryTable" Target="../queryTables/queryTable133.xml"/><Relationship Id="rId80" Type="http://schemas.openxmlformats.org/officeDocument/2006/relationships/queryTable" Target="../queryTables/queryTable79.xml"/><Relationship Id="rId155" Type="http://schemas.openxmlformats.org/officeDocument/2006/relationships/queryTable" Target="../queryTables/queryTable154.xml"/><Relationship Id="rId176" Type="http://schemas.openxmlformats.org/officeDocument/2006/relationships/queryTable" Target="../queryTables/queryTable175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1" Type="http://schemas.openxmlformats.org/officeDocument/2006/relationships/printerSettings" Target="../printerSettings/printerSettings3.bin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07.xml"/><Relationship Id="rId21" Type="http://schemas.openxmlformats.org/officeDocument/2006/relationships/queryTable" Target="../queryTables/queryTable211.xml"/><Relationship Id="rId42" Type="http://schemas.openxmlformats.org/officeDocument/2006/relationships/queryTable" Target="../queryTables/queryTable232.xml"/><Relationship Id="rId63" Type="http://schemas.openxmlformats.org/officeDocument/2006/relationships/queryTable" Target="../queryTables/queryTable253.xml"/><Relationship Id="rId84" Type="http://schemas.openxmlformats.org/officeDocument/2006/relationships/queryTable" Target="../queryTables/queryTable274.xml"/><Relationship Id="rId138" Type="http://schemas.openxmlformats.org/officeDocument/2006/relationships/queryTable" Target="../queryTables/queryTable328.xml"/><Relationship Id="rId159" Type="http://schemas.openxmlformats.org/officeDocument/2006/relationships/queryTable" Target="../queryTables/queryTable349.xml"/><Relationship Id="rId170" Type="http://schemas.openxmlformats.org/officeDocument/2006/relationships/queryTable" Target="../queryTables/queryTable360.xml"/><Relationship Id="rId191" Type="http://schemas.openxmlformats.org/officeDocument/2006/relationships/queryTable" Target="../queryTables/queryTable381.xml"/><Relationship Id="rId205" Type="http://schemas.openxmlformats.org/officeDocument/2006/relationships/queryTable" Target="../queryTables/queryTable395.xml"/><Relationship Id="rId226" Type="http://schemas.openxmlformats.org/officeDocument/2006/relationships/queryTable" Target="../queryTables/queryTable416.xml"/><Relationship Id="rId107" Type="http://schemas.openxmlformats.org/officeDocument/2006/relationships/queryTable" Target="../queryTables/queryTable297.xml"/><Relationship Id="rId11" Type="http://schemas.openxmlformats.org/officeDocument/2006/relationships/queryTable" Target="../queryTables/queryTable201.xml"/><Relationship Id="rId32" Type="http://schemas.openxmlformats.org/officeDocument/2006/relationships/queryTable" Target="../queryTables/queryTable222.xml"/><Relationship Id="rId53" Type="http://schemas.openxmlformats.org/officeDocument/2006/relationships/queryTable" Target="../queryTables/queryTable243.xml"/><Relationship Id="rId74" Type="http://schemas.openxmlformats.org/officeDocument/2006/relationships/queryTable" Target="../queryTables/queryTable264.xml"/><Relationship Id="rId128" Type="http://schemas.openxmlformats.org/officeDocument/2006/relationships/queryTable" Target="../queryTables/queryTable318.xml"/><Relationship Id="rId149" Type="http://schemas.openxmlformats.org/officeDocument/2006/relationships/queryTable" Target="../queryTables/queryTable339.xml"/><Relationship Id="rId5" Type="http://schemas.openxmlformats.org/officeDocument/2006/relationships/queryTable" Target="../queryTables/queryTable195.xml"/><Relationship Id="rId95" Type="http://schemas.openxmlformats.org/officeDocument/2006/relationships/queryTable" Target="../queryTables/queryTable285.xml"/><Relationship Id="rId160" Type="http://schemas.openxmlformats.org/officeDocument/2006/relationships/queryTable" Target="../queryTables/queryTable350.xml"/><Relationship Id="rId181" Type="http://schemas.openxmlformats.org/officeDocument/2006/relationships/queryTable" Target="../queryTables/queryTable371.xml"/><Relationship Id="rId216" Type="http://schemas.openxmlformats.org/officeDocument/2006/relationships/queryTable" Target="../queryTables/queryTable406.xml"/><Relationship Id="rId22" Type="http://schemas.openxmlformats.org/officeDocument/2006/relationships/queryTable" Target="../queryTables/queryTable212.xml"/><Relationship Id="rId43" Type="http://schemas.openxmlformats.org/officeDocument/2006/relationships/queryTable" Target="../queryTables/queryTable233.xml"/><Relationship Id="rId64" Type="http://schemas.openxmlformats.org/officeDocument/2006/relationships/queryTable" Target="../queryTables/queryTable254.xml"/><Relationship Id="rId118" Type="http://schemas.openxmlformats.org/officeDocument/2006/relationships/queryTable" Target="../queryTables/queryTable308.xml"/><Relationship Id="rId139" Type="http://schemas.openxmlformats.org/officeDocument/2006/relationships/queryTable" Target="../queryTables/queryTable329.xml"/><Relationship Id="rId85" Type="http://schemas.openxmlformats.org/officeDocument/2006/relationships/queryTable" Target="../queryTables/queryTable275.xml"/><Relationship Id="rId150" Type="http://schemas.openxmlformats.org/officeDocument/2006/relationships/queryTable" Target="../queryTables/queryTable340.xml"/><Relationship Id="rId171" Type="http://schemas.openxmlformats.org/officeDocument/2006/relationships/queryTable" Target="../queryTables/queryTable361.xml"/><Relationship Id="rId192" Type="http://schemas.openxmlformats.org/officeDocument/2006/relationships/queryTable" Target="../queryTables/queryTable382.xml"/><Relationship Id="rId206" Type="http://schemas.openxmlformats.org/officeDocument/2006/relationships/queryTable" Target="../queryTables/queryTable396.xml"/><Relationship Id="rId227" Type="http://schemas.openxmlformats.org/officeDocument/2006/relationships/queryTable" Target="../queryTables/queryTable417.xml"/><Relationship Id="rId12" Type="http://schemas.openxmlformats.org/officeDocument/2006/relationships/queryTable" Target="../queryTables/queryTable202.xml"/><Relationship Id="rId33" Type="http://schemas.openxmlformats.org/officeDocument/2006/relationships/queryTable" Target="../queryTables/queryTable223.xml"/><Relationship Id="rId108" Type="http://schemas.openxmlformats.org/officeDocument/2006/relationships/queryTable" Target="../queryTables/queryTable298.xml"/><Relationship Id="rId129" Type="http://schemas.openxmlformats.org/officeDocument/2006/relationships/queryTable" Target="../queryTables/queryTable319.xml"/><Relationship Id="rId54" Type="http://schemas.openxmlformats.org/officeDocument/2006/relationships/queryTable" Target="../queryTables/queryTable244.xml"/><Relationship Id="rId75" Type="http://schemas.openxmlformats.org/officeDocument/2006/relationships/queryTable" Target="../queryTables/queryTable265.xml"/><Relationship Id="rId96" Type="http://schemas.openxmlformats.org/officeDocument/2006/relationships/queryTable" Target="../queryTables/queryTable286.xml"/><Relationship Id="rId140" Type="http://schemas.openxmlformats.org/officeDocument/2006/relationships/queryTable" Target="../queryTables/queryTable330.xml"/><Relationship Id="rId161" Type="http://schemas.openxmlformats.org/officeDocument/2006/relationships/queryTable" Target="../queryTables/queryTable351.xml"/><Relationship Id="rId182" Type="http://schemas.openxmlformats.org/officeDocument/2006/relationships/queryTable" Target="../queryTables/queryTable372.xml"/><Relationship Id="rId217" Type="http://schemas.openxmlformats.org/officeDocument/2006/relationships/queryTable" Target="../queryTables/queryTable407.xml"/><Relationship Id="rId6" Type="http://schemas.openxmlformats.org/officeDocument/2006/relationships/queryTable" Target="../queryTables/queryTable196.xml"/><Relationship Id="rId23" Type="http://schemas.openxmlformats.org/officeDocument/2006/relationships/queryTable" Target="../queryTables/queryTable213.xml"/><Relationship Id="rId119" Type="http://schemas.openxmlformats.org/officeDocument/2006/relationships/queryTable" Target="../queryTables/queryTable309.xml"/><Relationship Id="rId44" Type="http://schemas.openxmlformats.org/officeDocument/2006/relationships/queryTable" Target="../queryTables/queryTable234.xml"/><Relationship Id="rId65" Type="http://schemas.openxmlformats.org/officeDocument/2006/relationships/queryTable" Target="../queryTables/queryTable255.xml"/><Relationship Id="rId86" Type="http://schemas.openxmlformats.org/officeDocument/2006/relationships/queryTable" Target="../queryTables/queryTable276.xml"/><Relationship Id="rId130" Type="http://schemas.openxmlformats.org/officeDocument/2006/relationships/queryTable" Target="../queryTables/queryTable320.xml"/><Relationship Id="rId151" Type="http://schemas.openxmlformats.org/officeDocument/2006/relationships/queryTable" Target="../queryTables/queryTable341.xml"/><Relationship Id="rId172" Type="http://schemas.openxmlformats.org/officeDocument/2006/relationships/queryTable" Target="../queryTables/queryTable362.xml"/><Relationship Id="rId193" Type="http://schemas.openxmlformats.org/officeDocument/2006/relationships/queryTable" Target="../queryTables/queryTable383.xml"/><Relationship Id="rId207" Type="http://schemas.openxmlformats.org/officeDocument/2006/relationships/queryTable" Target="../queryTables/queryTable397.xml"/><Relationship Id="rId228" Type="http://schemas.openxmlformats.org/officeDocument/2006/relationships/queryTable" Target="../queryTables/queryTable418.xml"/><Relationship Id="rId13" Type="http://schemas.openxmlformats.org/officeDocument/2006/relationships/queryTable" Target="../queryTables/queryTable203.xml"/><Relationship Id="rId109" Type="http://schemas.openxmlformats.org/officeDocument/2006/relationships/queryTable" Target="../queryTables/queryTable299.xml"/><Relationship Id="rId34" Type="http://schemas.openxmlformats.org/officeDocument/2006/relationships/queryTable" Target="../queryTables/queryTable224.xml"/><Relationship Id="rId55" Type="http://schemas.openxmlformats.org/officeDocument/2006/relationships/queryTable" Target="../queryTables/queryTable245.xml"/><Relationship Id="rId76" Type="http://schemas.openxmlformats.org/officeDocument/2006/relationships/queryTable" Target="../queryTables/queryTable266.xml"/><Relationship Id="rId97" Type="http://schemas.openxmlformats.org/officeDocument/2006/relationships/queryTable" Target="../queryTables/queryTable287.xml"/><Relationship Id="rId120" Type="http://schemas.openxmlformats.org/officeDocument/2006/relationships/queryTable" Target="../queryTables/queryTable310.xml"/><Relationship Id="rId141" Type="http://schemas.openxmlformats.org/officeDocument/2006/relationships/queryTable" Target="../queryTables/queryTable331.xml"/><Relationship Id="rId7" Type="http://schemas.openxmlformats.org/officeDocument/2006/relationships/queryTable" Target="../queryTables/queryTable197.xml"/><Relationship Id="rId162" Type="http://schemas.openxmlformats.org/officeDocument/2006/relationships/queryTable" Target="../queryTables/queryTable352.xml"/><Relationship Id="rId183" Type="http://schemas.openxmlformats.org/officeDocument/2006/relationships/queryTable" Target="../queryTables/queryTable373.xml"/><Relationship Id="rId218" Type="http://schemas.openxmlformats.org/officeDocument/2006/relationships/queryTable" Target="../queryTables/queryTable408.xml"/><Relationship Id="rId24" Type="http://schemas.openxmlformats.org/officeDocument/2006/relationships/queryTable" Target="../queryTables/queryTable214.xml"/><Relationship Id="rId45" Type="http://schemas.openxmlformats.org/officeDocument/2006/relationships/queryTable" Target="../queryTables/queryTable235.xml"/><Relationship Id="rId66" Type="http://schemas.openxmlformats.org/officeDocument/2006/relationships/queryTable" Target="../queryTables/queryTable256.xml"/><Relationship Id="rId87" Type="http://schemas.openxmlformats.org/officeDocument/2006/relationships/queryTable" Target="../queryTables/queryTable277.xml"/><Relationship Id="rId110" Type="http://schemas.openxmlformats.org/officeDocument/2006/relationships/queryTable" Target="../queryTables/queryTable300.xml"/><Relationship Id="rId131" Type="http://schemas.openxmlformats.org/officeDocument/2006/relationships/queryTable" Target="../queryTables/queryTable321.xml"/><Relationship Id="rId152" Type="http://schemas.openxmlformats.org/officeDocument/2006/relationships/queryTable" Target="../queryTables/queryTable342.xml"/><Relationship Id="rId173" Type="http://schemas.openxmlformats.org/officeDocument/2006/relationships/queryTable" Target="../queryTables/queryTable363.xml"/><Relationship Id="rId194" Type="http://schemas.openxmlformats.org/officeDocument/2006/relationships/queryTable" Target="../queryTables/queryTable384.xml"/><Relationship Id="rId208" Type="http://schemas.openxmlformats.org/officeDocument/2006/relationships/queryTable" Target="../queryTables/queryTable398.xml"/><Relationship Id="rId14" Type="http://schemas.openxmlformats.org/officeDocument/2006/relationships/queryTable" Target="../queryTables/queryTable204.xml"/><Relationship Id="rId35" Type="http://schemas.openxmlformats.org/officeDocument/2006/relationships/queryTable" Target="../queryTables/queryTable225.xml"/><Relationship Id="rId56" Type="http://schemas.openxmlformats.org/officeDocument/2006/relationships/queryTable" Target="../queryTables/queryTable246.xml"/><Relationship Id="rId77" Type="http://schemas.openxmlformats.org/officeDocument/2006/relationships/queryTable" Target="../queryTables/queryTable267.xml"/><Relationship Id="rId100" Type="http://schemas.openxmlformats.org/officeDocument/2006/relationships/queryTable" Target="../queryTables/queryTable290.xml"/><Relationship Id="rId8" Type="http://schemas.openxmlformats.org/officeDocument/2006/relationships/queryTable" Target="../queryTables/queryTable198.xml"/><Relationship Id="rId98" Type="http://schemas.openxmlformats.org/officeDocument/2006/relationships/queryTable" Target="../queryTables/queryTable288.xml"/><Relationship Id="rId121" Type="http://schemas.openxmlformats.org/officeDocument/2006/relationships/queryTable" Target="../queryTables/queryTable311.xml"/><Relationship Id="rId142" Type="http://schemas.openxmlformats.org/officeDocument/2006/relationships/queryTable" Target="../queryTables/queryTable332.xml"/><Relationship Id="rId163" Type="http://schemas.openxmlformats.org/officeDocument/2006/relationships/queryTable" Target="../queryTables/queryTable353.xml"/><Relationship Id="rId184" Type="http://schemas.openxmlformats.org/officeDocument/2006/relationships/queryTable" Target="../queryTables/queryTable374.xml"/><Relationship Id="rId219" Type="http://schemas.openxmlformats.org/officeDocument/2006/relationships/queryTable" Target="../queryTables/queryTable409.xml"/><Relationship Id="rId3" Type="http://schemas.openxmlformats.org/officeDocument/2006/relationships/queryTable" Target="../queryTables/queryTable193.xml"/><Relationship Id="rId214" Type="http://schemas.openxmlformats.org/officeDocument/2006/relationships/queryTable" Target="../queryTables/queryTable404.xml"/><Relationship Id="rId25" Type="http://schemas.openxmlformats.org/officeDocument/2006/relationships/queryTable" Target="../queryTables/queryTable215.xml"/><Relationship Id="rId46" Type="http://schemas.openxmlformats.org/officeDocument/2006/relationships/queryTable" Target="../queryTables/queryTable236.xml"/><Relationship Id="rId67" Type="http://schemas.openxmlformats.org/officeDocument/2006/relationships/queryTable" Target="../queryTables/queryTable257.xml"/><Relationship Id="rId116" Type="http://schemas.openxmlformats.org/officeDocument/2006/relationships/queryTable" Target="../queryTables/queryTable306.xml"/><Relationship Id="rId137" Type="http://schemas.openxmlformats.org/officeDocument/2006/relationships/queryTable" Target="../queryTables/queryTable327.xml"/><Relationship Id="rId158" Type="http://schemas.openxmlformats.org/officeDocument/2006/relationships/queryTable" Target="../queryTables/queryTable348.xml"/><Relationship Id="rId20" Type="http://schemas.openxmlformats.org/officeDocument/2006/relationships/queryTable" Target="../queryTables/queryTable210.xml"/><Relationship Id="rId41" Type="http://schemas.openxmlformats.org/officeDocument/2006/relationships/queryTable" Target="../queryTables/queryTable231.xml"/><Relationship Id="rId62" Type="http://schemas.openxmlformats.org/officeDocument/2006/relationships/queryTable" Target="../queryTables/queryTable252.xml"/><Relationship Id="rId83" Type="http://schemas.openxmlformats.org/officeDocument/2006/relationships/queryTable" Target="../queryTables/queryTable273.xml"/><Relationship Id="rId88" Type="http://schemas.openxmlformats.org/officeDocument/2006/relationships/queryTable" Target="../queryTables/queryTable278.xml"/><Relationship Id="rId111" Type="http://schemas.openxmlformats.org/officeDocument/2006/relationships/queryTable" Target="../queryTables/queryTable301.xml"/><Relationship Id="rId132" Type="http://schemas.openxmlformats.org/officeDocument/2006/relationships/queryTable" Target="../queryTables/queryTable322.xml"/><Relationship Id="rId153" Type="http://schemas.openxmlformats.org/officeDocument/2006/relationships/queryTable" Target="../queryTables/queryTable343.xml"/><Relationship Id="rId174" Type="http://schemas.openxmlformats.org/officeDocument/2006/relationships/queryTable" Target="../queryTables/queryTable364.xml"/><Relationship Id="rId179" Type="http://schemas.openxmlformats.org/officeDocument/2006/relationships/queryTable" Target="../queryTables/queryTable369.xml"/><Relationship Id="rId195" Type="http://schemas.openxmlformats.org/officeDocument/2006/relationships/queryTable" Target="../queryTables/queryTable385.xml"/><Relationship Id="rId209" Type="http://schemas.openxmlformats.org/officeDocument/2006/relationships/queryTable" Target="../queryTables/queryTable399.xml"/><Relationship Id="rId190" Type="http://schemas.openxmlformats.org/officeDocument/2006/relationships/queryTable" Target="../queryTables/queryTable380.xml"/><Relationship Id="rId204" Type="http://schemas.openxmlformats.org/officeDocument/2006/relationships/queryTable" Target="../queryTables/queryTable394.xml"/><Relationship Id="rId220" Type="http://schemas.openxmlformats.org/officeDocument/2006/relationships/queryTable" Target="../queryTables/queryTable410.xml"/><Relationship Id="rId225" Type="http://schemas.openxmlformats.org/officeDocument/2006/relationships/queryTable" Target="../queryTables/queryTable415.xml"/><Relationship Id="rId15" Type="http://schemas.openxmlformats.org/officeDocument/2006/relationships/queryTable" Target="../queryTables/queryTable205.xml"/><Relationship Id="rId36" Type="http://schemas.openxmlformats.org/officeDocument/2006/relationships/queryTable" Target="../queryTables/queryTable226.xml"/><Relationship Id="rId57" Type="http://schemas.openxmlformats.org/officeDocument/2006/relationships/queryTable" Target="../queryTables/queryTable247.xml"/><Relationship Id="rId106" Type="http://schemas.openxmlformats.org/officeDocument/2006/relationships/queryTable" Target="../queryTables/queryTable296.xml"/><Relationship Id="rId127" Type="http://schemas.openxmlformats.org/officeDocument/2006/relationships/queryTable" Target="../queryTables/queryTable317.xml"/><Relationship Id="rId10" Type="http://schemas.openxmlformats.org/officeDocument/2006/relationships/queryTable" Target="../queryTables/queryTable200.xml"/><Relationship Id="rId31" Type="http://schemas.openxmlformats.org/officeDocument/2006/relationships/queryTable" Target="../queryTables/queryTable221.xml"/><Relationship Id="rId52" Type="http://schemas.openxmlformats.org/officeDocument/2006/relationships/queryTable" Target="../queryTables/queryTable242.xml"/><Relationship Id="rId73" Type="http://schemas.openxmlformats.org/officeDocument/2006/relationships/queryTable" Target="../queryTables/queryTable263.xml"/><Relationship Id="rId78" Type="http://schemas.openxmlformats.org/officeDocument/2006/relationships/queryTable" Target="../queryTables/queryTable268.xml"/><Relationship Id="rId94" Type="http://schemas.openxmlformats.org/officeDocument/2006/relationships/queryTable" Target="../queryTables/queryTable284.xml"/><Relationship Id="rId99" Type="http://schemas.openxmlformats.org/officeDocument/2006/relationships/queryTable" Target="../queryTables/queryTable289.xml"/><Relationship Id="rId101" Type="http://schemas.openxmlformats.org/officeDocument/2006/relationships/queryTable" Target="../queryTables/queryTable291.xml"/><Relationship Id="rId122" Type="http://schemas.openxmlformats.org/officeDocument/2006/relationships/queryTable" Target="../queryTables/queryTable312.xml"/><Relationship Id="rId143" Type="http://schemas.openxmlformats.org/officeDocument/2006/relationships/queryTable" Target="../queryTables/queryTable333.xml"/><Relationship Id="rId148" Type="http://schemas.openxmlformats.org/officeDocument/2006/relationships/queryTable" Target="../queryTables/queryTable338.xml"/><Relationship Id="rId164" Type="http://schemas.openxmlformats.org/officeDocument/2006/relationships/queryTable" Target="../queryTables/queryTable354.xml"/><Relationship Id="rId169" Type="http://schemas.openxmlformats.org/officeDocument/2006/relationships/queryTable" Target="../queryTables/queryTable359.xml"/><Relationship Id="rId185" Type="http://schemas.openxmlformats.org/officeDocument/2006/relationships/queryTable" Target="../queryTables/queryTable375.xml"/><Relationship Id="rId4" Type="http://schemas.openxmlformats.org/officeDocument/2006/relationships/queryTable" Target="../queryTables/queryTable194.xml"/><Relationship Id="rId9" Type="http://schemas.openxmlformats.org/officeDocument/2006/relationships/queryTable" Target="../queryTables/queryTable199.xml"/><Relationship Id="rId180" Type="http://schemas.openxmlformats.org/officeDocument/2006/relationships/queryTable" Target="../queryTables/queryTable370.xml"/><Relationship Id="rId210" Type="http://schemas.openxmlformats.org/officeDocument/2006/relationships/queryTable" Target="../queryTables/queryTable400.xml"/><Relationship Id="rId215" Type="http://schemas.openxmlformats.org/officeDocument/2006/relationships/queryTable" Target="../queryTables/queryTable405.xml"/><Relationship Id="rId26" Type="http://schemas.openxmlformats.org/officeDocument/2006/relationships/queryTable" Target="../queryTables/queryTable216.xml"/><Relationship Id="rId47" Type="http://schemas.openxmlformats.org/officeDocument/2006/relationships/queryTable" Target="../queryTables/queryTable237.xml"/><Relationship Id="rId68" Type="http://schemas.openxmlformats.org/officeDocument/2006/relationships/queryTable" Target="../queryTables/queryTable258.xml"/><Relationship Id="rId89" Type="http://schemas.openxmlformats.org/officeDocument/2006/relationships/queryTable" Target="../queryTables/queryTable279.xml"/><Relationship Id="rId112" Type="http://schemas.openxmlformats.org/officeDocument/2006/relationships/queryTable" Target="../queryTables/queryTable302.xml"/><Relationship Id="rId133" Type="http://schemas.openxmlformats.org/officeDocument/2006/relationships/queryTable" Target="../queryTables/queryTable323.xml"/><Relationship Id="rId154" Type="http://schemas.openxmlformats.org/officeDocument/2006/relationships/queryTable" Target="../queryTables/queryTable344.xml"/><Relationship Id="rId175" Type="http://schemas.openxmlformats.org/officeDocument/2006/relationships/queryTable" Target="../queryTables/queryTable365.xml"/><Relationship Id="rId196" Type="http://schemas.openxmlformats.org/officeDocument/2006/relationships/queryTable" Target="../queryTables/queryTable386.xml"/><Relationship Id="rId200" Type="http://schemas.openxmlformats.org/officeDocument/2006/relationships/queryTable" Target="../queryTables/queryTable390.xml"/><Relationship Id="rId16" Type="http://schemas.openxmlformats.org/officeDocument/2006/relationships/queryTable" Target="../queryTables/queryTable206.xml"/><Relationship Id="rId221" Type="http://schemas.openxmlformats.org/officeDocument/2006/relationships/queryTable" Target="../queryTables/queryTable411.xml"/><Relationship Id="rId37" Type="http://schemas.openxmlformats.org/officeDocument/2006/relationships/queryTable" Target="../queryTables/queryTable227.xml"/><Relationship Id="rId58" Type="http://schemas.openxmlformats.org/officeDocument/2006/relationships/queryTable" Target="../queryTables/queryTable248.xml"/><Relationship Id="rId79" Type="http://schemas.openxmlformats.org/officeDocument/2006/relationships/queryTable" Target="../queryTables/queryTable269.xml"/><Relationship Id="rId102" Type="http://schemas.openxmlformats.org/officeDocument/2006/relationships/queryTable" Target="../queryTables/queryTable292.xml"/><Relationship Id="rId123" Type="http://schemas.openxmlformats.org/officeDocument/2006/relationships/queryTable" Target="../queryTables/queryTable313.xml"/><Relationship Id="rId144" Type="http://schemas.openxmlformats.org/officeDocument/2006/relationships/queryTable" Target="../queryTables/queryTable334.xml"/><Relationship Id="rId90" Type="http://schemas.openxmlformats.org/officeDocument/2006/relationships/queryTable" Target="../queryTables/queryTable280.xml"/><Relationship Id="rId165" Type="http://schemas.openxmlformats.org/officeDocument/2006/relationships/queryTable" Target="../queryTables/queryTable355.xml"/><Relationship Id="rId186" Type="http://schemas.openxmlformats.org/officeDocument/2006/relationships/queryTable" Target="../queryTables/queryTable376.xml"/><Relationship Id="rId211" Type="http://schemas.openxmlformats.org/officeDocument/2006/relationships/queryTable" Target="../queryTables/queryTable401.xml"/><Relationship Id="rId27" Type="http://schemas.openxmlformats.org/officeDocument/2006/relationships/queryTable" Target="../queryTables/queryTable217.xml"/><Relationship Id="rId48" Type="http://schemas.openxmlformats.org/officeDocument/2006/relationships/queryTable" Target="../queryTables/queryTable238.xml"/><Relationship Id="rId69" Type="http://schemas.openxmlformats.org/officeDocument/2006/relationships/queryTable" Target="../queryTables/queryTable259.xml"/><Relationship Id="rId113" Type="http://schemas.openxmlformats.org/officeDocument/2006/relationships/queryTable" Target="../queryTables/queryTable303.xml"/><Relationship Id="rId134" Type="http://schemas.openxmlformats.org/officeDocument/2006/relationships/queryTable" Target="../queryTables/queryTable324.xml"/><Relationship Id="rId80" Type="http://schemas.openxmlformats.org/officeDocument/2006/relationships/queryTable" Target="../queryTables/queryTable270.xml"/><Relationship Id="rId155" Type="http://schemas.openxmlformats.org/officeDocument/2006/relationships/queryTable" Target="../queryTables/queryTable345.xml"/><Relationship Id="rId176" Type="http://schemas.openxmlformats.org/officeDocument/2006/relationships/queryTable" Target="../queryTables/queryTable366.xml"/><Relationship Id="rId197" Type="http://schemas.openxmlformats.org/officeDocument/2006/relationships/queryTable" Target="../queryTables/queryTable387.xml"/><Relationship Id="rId201" Type="http://schemas.openxmlformats.org/officeDocument/2006/relationships/queryTable" Target="../queryTables/queryTable391.xml"/><Relationship Id="rId222" Type="http://schemas.openxmlformats.org/officeDocument/2006/relationships/queryTable" Target="../queryTables/queryTable412.xml"/><Relationship Id="rId17" Type="http://schemas.openxmlformats.org/officeDocument/2006/relationships/queryTable" Target="../queryTables/queryTable207.xml"/><Relationship Id="rId38" Type="http://schemas.openxmlformats.org/officeDocument/2006/relationships/queryTable" Target="../queryTables/queryTable228.xml"/><Relationship Id="rId59" Type="http://schemas.openxmlformats.org/officeDocument/2006/relationships/queryTable" Target="../queryTables/queryTable249.xml"/><Relationship Id="rId103" Type="http://schemas.openxmlformats.org/officeDocument/2006/relationships/queryTable" Target="../queryTables/queryTable293.xml"/><Relationship Id="rId124" Type="http://schemas.openxmlformats.org/officeDocument/2006/relationships/queryTable" Target="../queryTables/queryTable314.xml"/><Relationship Id="rId70" Type="http://schemas.openxmlformats.org/officeDocument/2006/relationships/queryTable" Target="../queryTables/queryTable260.xml"/><Relationship Id="rId91" Type="http://schemas.openxmlformats.org/officeDocument/2006/relationships/queryTable" Target="../queryTables/queryTable281.xml"/><Relationship Id="rId145" Type="http://schemas.openxmlformats.org/officeDocument/2006/relationships/queryTable" Target="../queryTables/queryTable335.xml"/><Relationship Id="rId166" Type="http://schemas.openxmlformats.org/officeDocument/2006/relationships/queryTable" Target="../queryTables/queryTable356.xml"/><Relationship Id="rId187" Type="http://schemas.openxmlformats.org/officeDocument/2006/relationships/queryTable" Target="../queryTables/queryTable377.xml"/><Relationship Id="rId1" Type="http://schemas.openxmlformats.org/officeDocument/2006/relationships/queryTable" Target="../queryTables/queryTable191.xml"/><Relationship Id="rId212" Type="http://schemas.openxmlformats.org/officeDocument/2006/relationships/queryTable" Target="../queryTables/queryTable402.xml"/><Relationship Id="rId28" Type="http://schemas.openxmlformats.org/officeDocument/2006/relationships/queryTable" Target="../queryTables/queryTable218.xml"/><Relationship Id="rId49" Type="http://schemas.openxmlformats.org/officeDocument/2006/relationships/queryTable" Target="../queryTables/queryTable239.xml"/><Relationship Id="rId114" Type="http://schemas.openxmlformats.org/officeDocument/2006/relationships/queryTable" Target="../queryTables/queryTable304.xml"/><Relationship Id="rId60" Type="http://schemas.openxmlformats.org/officeDocument/2006/relationships/queryTable" Target="../queryTables/queryTable250.xml"/><Relationship Id="rId81" Type="http://schemas.openxmlformats.org/officeDocument/2006/relationships/queryTable" Target="../queryTables/queryTable271.xml"/><Relationship Id="rId135" Type="http://schemas.openxmlformats.org/officeDocument/2006/relationships/queryTable" Target="../queryTables/queryTable325.xml"/><Relationship Id="rId156" Type="http://schemas.openxmlformats.org/officeDocument/2006/relationships/queryTable" Target="../queryTables/queryTable346.xml"/><Relationship Id="rId177" Type="http://schemas.openxmlformats.org/officeDocument/2006/relationships/queryTable" Target="../queryTables/queryTable367.xml"/><Relationship Id="rId198" Type="http://schemas.openxmlformats.org/officeDocument/2006/relationships/queryTable" Target="../queryTables/queryTable388.xml"/><Relationship Id="rId202" Type="http://schemas.openxmlformats.org/officeDocument/2006/relationships/queryTable" Target="../queryTables/queryTable392.xml"/><Relationship Id="rId223" Type="http://schemas.openxmlformats.org/officeDocument/2006/relationships/queryTable" Target="../queryTables/queryTable413.xml"/><Relationship Id="rId18" Type="http://schemas.openxmlformats.org/officeDocument/2006/relationships/queryTable" Target="../queryTables/queryTable208.xml"/><Relationship Id="rId39" Type="http://schemas.openxmlformats.org/officeDocument/2006/relationships/queryTable" Target="../queryTables/queryTable229.xml"/><Relationship Id="rId50" Type="http://schemas.openxmlformats.org/officeDocument/2006/relationships/queryTable" Target="../queryTables/queryTable240.xml"/><Relationship Id="rId104" Type="http://schemas.openxmlformats.org/officeDocument/2006/relationships/queryTable" Target="../queryTables/queryTable294.xml"/><Relationship Id="rId125" Type="http://schemas.openxmlformats.org/officeDocument/2006/relationships/queryTable" Target="../queryTables/queryTable315.xml"/><Relationship Id="rId146" Type="http://schemas.openxmlformats.org/officeDocument/2006/relationships/queryTable" Target="../queryTables/queryTable336.xml"/><Relationship Id="rId167" Type="http://schemas.openxmlformats.org/officeDocument/2006/relationships/queryTable" Target="../queryTables/queryTable357.xml"/><Relationship Id="rId188" Type="http://schemas.openxmlformats.org/officeDocument/2006/relationships/queryTable" Target="../queryTables/queryTable378.xml"/><Relationship Id="rId71" Type="http://schemas.openxmlformats.org/officeDocument/2006/relationships/queryTable" Target="../queryTables/queryTable261.xml"/><Relationship Id="rId92" Type="http://schemas.openxmlformats.org/officeDocument/2006/relationships/queryTable" Target="../queryTables/queryTable282.xml"/><Relationship Id="rId213" Type="http://schemas.openxmlformats.org/officeDocument/2006/relationships/queryTable" Target="../queryTables/queryTable403.xml"/><Relationship Id="rId2" Type="http://schemas.openxmlformats.org/officeDocument/2006/relationships/queryTable" Target="../queryTables/queryTable192.xml"/><Relationship Id="rId29" Type="http://schemas.openxmlformats.org/officeDocument/2006/relationships/queryTable" Target="../queryTables/queryTable219.xml"/><Relationship Id="rId40" Type="http://schemas.openxmlformats.org/officeDocument/2006/relationships/queryTable" Target="../queryTables/queryTable230.xml"/><Relationship Id="rId115" Type="http://schemas.openxmlformats.org/officeDocument/2006/relationships/queryTable" Target="../queryTables/queryTable305.xml"/><Relationship Id="rId136" Type="http://schemas.openxmlformats.org/officeDocument/2006/relationships/queryTable" Target="../queryTables/queryTable326.xml"/><Relationship Id="rId157" Type="http://schemas.openxmlformats.org/officeDocument/2006/relationships/queryTable" Target="../queryTables/queryTable347.xml"/><Relationship Id="rId178" Type="http://schemas.openxmlformats.org/officeDocument/2006/relationships/queryTable" Target="../queryTables/queryTable368.xml"/><Relationship Id="rId61" Type="http://schemas.openxmlformats.org/officeDocument/2006/relationships/queryTable" Target="../queryTables/queryTable251.xml"/><Relationship Id="rId82" Type="http://schemas.openxmlformats.org/officeDocument/2006/relationships/queryTable" Target="../queryTables/queryTable272.xml"/><Relationship Id="rId199" Type="http://schemas.openxmlformats.org/officeDocument/2006/relationships/queryTable" Target="../queryTables/queryTable389.xml"/><Relationship Id="rId203" Type="http://schemas.openxmlformats.org/officeDocument/2006/relationships/queryTable" Target="../queryTables/queryTable393.xml"/><Relationship Id="rId19" Type="http://schemas.openxmlformats.org/officeDocument/2006/relationships/queryTable" Target="../queryTables/queryTable209.xml"/><Relationship Id="rId224" Type="http://schemas.openxmlformats.org/officeDocument/2006/relationships/queryTable" Target="../queryTables/queryTable414.xml"/><Relationship Id="rId30" Type="http://schemas.openxmlformats.org/officeDocument/2006/relationships/queryTable" Target="../queryTables/queryTable220.xml"/><Relationship Id="rId105" Type="http://schemas.openxmlformats.org/officeDocument/2006/relationships/queryTable" Target="../queryTables/queryTable295.xml"/><Relationship Id="rId126" Type="http://schemas.openxmlformats.org/officeDocument/2006/relationships/queryTable" Target="../queryTables/queryTable316.xml"/><Relationship Id="rId147" Type="http://schemas.openxmlformats.org/officeDocument/2006/relationships/queryTable" Target="../queryTables/queryTable337.xml"/><Relationship Id="rId168" Type="http://schemas.openxmlformats.org/officeDocument/2006/relationships/queryTable" Target="../queryTables/queryTable358.xml"/><Relationship Id="rId51" Type="http://schemas.openxmlformats.org/officeDocument/2006/relationships/queryTable" Target="../queryTables/queryTable241.xml"/><Relationship Id="rId72" Type="http://schemas.openxmlformats.org/officeDocument/2006/relationships/queryTable" Target="../queryTables/queryTable262.xml"/><Relationship Id="rId93" Type="http://schemas.openxmlformats.org/officeDocument/2006/relationships/queryTable" Target="../queryTables/queryTable283.xml"/><Relationship Id="rId189" Type="http://schemas.openxmlformats.org/officeDocument/2006/relationships/queryTable" Target="../queryTables/queryTable379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534.xml"/><Relationship Id="rId21" Type="http://schemas.openxmlformats.org/officeDocument/2006/relationships/queryTable" Target="../queryTables/queryTable438.xml"/><Relationship Id="rId42" Type="http://schemas.openxmlformats.org/officeDocument/2006/relationships/queryTable" Target="../queryTables/queryTable459.xml"/><Relationship Id="rId63" Type="http://schemas.openxmlformats.org/officeDocument/2006/relationships/queryTable" Target="../queryTables/queryTable480.xml"/><Relationship Id="rId84" Type="http://schemas.openxmlformats.org/officeDocument/2006/relationships/queryTable" Target="../queryTables/queryTable501.xml"/><Relationship Id="rId138" Type="http://schemas.openxmlformats.org/officeDocument/2006/relationships/queryTable" Target="../queryTables/queryTable555.xml"/><Relationship Id="rId159" Type="http://schemas.openxmlformats.org/officeDocument/2006/relationships/queryTable" Target="../queryTables/queryTable576.xml"/><Relationship Id="rId170" Type="http://schemas.openxmlformats.org/officeDocument/2006/relationships/queryTable" Target="../queryTables/queryTable587.xml"/><Relationship Id="rId191" Type="http://schemas.openxmlformats.org/officeDocument/2006/relationships/queryTable" Target="../queryTables/queryTable608.xml"/><Relationship Id="rId205" Type="http://schemas.openxmlformats.org/officeDocument/2006/relationships/queryTable" Target="../queryTables/queryTable622.xml"/><Relationship Id="rId226" Type="http://schemas.openxmlformats.org/officeDocument/2006/relationships/queryTable" Target="../queryTables/queryTable643.xml"/><Relationship Id="rId107" Type="http://schemas.openxmlformats.org/officeDocument/2006/relationships/queryTable" Target="../queryTables/queryTable524.xml"/><Relationship Id="rId11" Type="http://schemas.openxmlformats.org/officeDocument/2006/relationships/queryTable" Target="../queryTables/queryTable428.xml"/><Relationship Id="rId32" Type="http://schemas.openxmlformats.org/officeDocument/2006/relationships/queryTable" Target="../queryTables/queryTable449.xml"/><Relationship Id="rId53" Type="http://schemas.openxmlformats.org/officeDocument/2006/relationships/queryTable" Target="../queryTables/queryTable470.xml"/><Relationship Id="rId74" Type="http://schemas.openxmlformats.org/officeDocument/2006/relationships/queryTable" Target="../queryTables/queryTable491.xml"/><Relationship Id="rId128" Type="http://schemas.openxmlformats.org/officeDocument/2006/relationships/queryTable" Target="../queryTables/queryTable545.xml"/><Relationship Id="rId149" Type="http://schemas.openxmlformats.org/officeDocument/2006/relationships/queryTable" Target="../queryTables/queryTable566.xml"/><Relationship Id="rId5" Type="http://schemas.openxmlformats.org/officeDocument/2006/relationships/queryTable" Target="../queryTables/queryTable422.xml"/><Relationship Id="rId95" Type="http://schemas.openxmlformats.org/officeDocument/2006/relationships/queryTable" Target="../queryTables/queryTable512.xml"/><Relationship Id="rId160" Type="http://schemas.openxmlformats.org/officeDocument/2006/relationships/queryTable" Target="../queryTables/queryTable577.xml"/><Relationship Id="rId181" Type="http://schemas.openxmlformats.org/officeDocument/2006/relationships/queryTable" Target="../queryTables/queryTable598.xml"/><Relationship Id="rId216" Type="http://schemas.openxmlformats.org/officeDocument/2006/relationships/queryTable" Target="../queryTables/queryTable633.xml"/><Relationship Id="rId22" Type="http://schemas.openxmlformats.org/officeDocument/2006/relationships/queryTable" Target="../queryTables/queryTable439.xml"/><Relationship Id="rId43" Type="http://schemas.openxmlformats.org/officeDocument/2006/relationships/queryTable" Target="../queryTables/queryTable460.xml"/><Relationship Id="rId64" Type="http://schemas.openxmlformats.org/officeDocument/2006/relationships/queryTable" Target="../queryTables/queryTable481.xml"/><Relationship Id="rId118" Type="http://schemas.openxmlformats.org/officeDocument/2006/relationships/queryTable" Target="../queryTables/queryTable535.xml"/><Relationship Id="rId139" Type="http://schemas.openxmlformats.org/officeDocument/2006/relationships/queryTable" Target="../queryTables/queryTable556.xml"/><Relationship Id="rId85" Type="http://schemas.openxmlformats.org/officeDocument/2006/relationships/queryTable" Target="../queryTables/queryTable502.xml"/><Relationship Id="rId150" Type="http://schemas.openxmlformats.org/officeDocument/2006/relationships/queryTable" Target="../queryTables/queryTable567.xml"/><Relationship Id="rId171" Type="http://schemas.openxmlformats.org/officeDocument/2006/relationships/queryTable" Target="../queryTables/queryTable588.xml"/><Relationship Id="rId192" Type="http://schemas.openxmlformats.org/officeDocument/2006/relationships/queryTable" Target="../queryTables/queryTable609.xml"/><Relationship Id="rId206" Type="http://schemas.openxmlformats.org/officeDocument/2006/relationships/queryTable" Target="../queryTables/queryTable623.xml"/><Relationship Id="rId227" Type="http://schemas.openxmlformats.org/officeDocument/2006/relationships/queryTable" Target="../queryTables/queryTable644.xml"/><Relationship Id="rId12" Type="http://schemas.openxmlformats.org/officeDocument/2006/relationships/queryTable" Target="../queryTables/queryTable429.xml"/><Relationship Id="rId33" Type="http://schemas.openxmlformats.org/officeDocument/2006/relationships/queryTable" Target="../queryTables/queryTable450.xml"/><Relationship Id="rId108" Type="http://schemas.openxmlformats.org/officeDocument/2006/relationships/queryTable" Target="../queryTables/queryTable525.xml"/><Relationship Id="rId129" Type="http://schemas.openxmlformats.org/officeDocument/2006/relationships/queryTable" Target="../queryTables/queryTable546.xml"/><Relationship Id="rId54" Type="http://schemas.openxmlformats.org/officeDocument/2006/relationships/queryTable" Target="../queryTables/queryTable471.xml"/><Relationship Id="rId75" Type="http://schemas.openxmlformats.org/officeDocument/2006/relationships/queryTable" Target="../queryTables/queryTable492.xml"/><Relationship Id="rId96" Type="http://schemas.openxmlformats.org/officeDocument/2006/relationships/queryTable" Target="../queryTables/queryTable513.xml"/><Relationship Id="rId140" Type="http://schemas.openxmlformats.org/officeDocument/2006/relationships/queryTable" Target="../queryTables/queryTable557.xml"/><Relationship Id="rId161" Type="http://schemas.openxmlformats.org/officeDocument/2006/relationships/queryTable" Target="../queryTables/queryTable578.xml"/><Relationship Id="rId182" Type="http://schemas.openxmlformats.org/officeDocument/2006/relationships/queryTable" Target="../queryTables/queryTable599.xml"/><Relationship Id="rId217" Type="http://schemas.openxmlformats.org/officeDocument/2006/relationships/queryTable" Target="../queryTables/queryTable634.xml"/><Relationship Id="rId6" Type="http://schemas.openxmlformats.org/officeDocument/2006/relationships/queryTable" Target="../queryTables/queryTable423.xml"/><Relationship Id="rId23" Type="http://schemas.openxmlformats.org/officeDocument/2006/relationships/queryTable" Target="../queryTables/queryTable440.xml"/><Relationship Id="rId119" Type="http://schemas.openxmlformats.org/officeDocument/2006/relationships/queryTable" Target="../queryTables/queryTable536.xml"/><Relationship Id="rId44" Type="http://schemas.openxmlformats.org/officeDocument/2006/relationships/queryTable" Target="../queryTables/queryTable461.xml"/><Relationship Id="rId65" Type="http://schemas.openxmlformats.org/officeDocument/2006/relationships/queryTable" Target="../queryTables/queryTable482.xml"/><Relationship Id="rId86" Type="http://schemas.openxmlformats.org/officeDocument/2006/relationships/queryTable" Target="../queryTables/queryTable503.xml"/><Relationship Id="rId130" Type="http://schemas.openxmlformats.org/officeDocument/2006/relationships/queryTable" Target="../queryTables/queryTable547.xml"/><Relationship Id="rId151" Type="http://schemas.openxmlformats.org/officeDocument/2006/relationships/queryTable" Target="../queryTables/queryTable568.xml"/><Relationship Id="rId172" Type="http://schemas.openxmlformats.org/officeDocument/2006/relationships/queryTable" Target="../queryTables/queryTable589.xml"/><Relationship Id="rId193" Type="http://schemas.openxmlformats.org/officeDocument/2006/relationships/queryTable" Target="../queryTables/queryTable610.xml"/><Relationship Id="rId207" Type="http://schemas.openxmlformats.org/officeDocument/2006/relationships/queryTable" Target="../queryTables/queryTable624.xml"/><Relationship Id="rId13" Type="http://schemas.openxmlformats.org/officeDocument/2006/relationships/queryTable" Target="../queryTables/queryTable430.xml"/><Relationship Id="rId109" Type="http://schemas.openxmlformats.org/officeDocument/2006/relationships/queryTable" Target="../queryTables/queryTable526.xml"/><Relationship Id="rId34" Type="http://schemas.openxmlformats.org/officeDocument/2006/relationships/queryTable" Target="../queryTables/queryTable451.xml"/><Relationship Id="rId55" Type="http://schemas.openxmlformats.org/officeDocument/2006/relationships/queryTable" Target="../queryTables/queryTable472.xml"/><Relationship Id="rId76" Type="http://schemas.openxmlformats.org/officeDocument/2006/relationships/queryTable" Target="../queryTables/queryTable493.xml"/><Relationship Id="rId97" Type="http://schemas.openxmlformats.org/officeDocument/2006/relationships/queryTable" Target="../queryTables/queryTable514.xml"/><Relationship Id="rId120" Type="http://schemas.openxmlformats.org/officeDocument/2006/relationships/queryTable" Target="../queryTables/queryTable537.xml"/><Relationship Id="rId141" Type="http://schemas.openxmlformats.org/officeDocument/2006/relationships/queryTable" Target="../queryTables/queryTable558.xml"/><Relationship Id="rId7" Type="http://schemas.openxmlformats.org/officeDocument/2006/relationships/queryTable" Target="../queryTables/queryTable424.xml"/><Relationship Id="rId162" Type="http://schemas.openxmlformats.org/officeDocument/2006/relationships/queryTable" Target="../queryTables/queryTable579.xml"/><Relationship Id="rId183" Type="http://schemas.openxmlformats.org/officeDocument/2006/relationships/queryTable" Target="../queryTables/queryTable600.xml"/><Relationship Id="rId218" Type="http://schemas.openxmlformats.org/officeDocument/2006/relationships/queryTable" Target="../queryTables/queryTable635.xml"/><Relationship Id="rId24" Type="http://schemas.openxmlformats.org/officeDocument/2006/relationships/queryTable" Target="../queryTables/queryTable441.xml"/><Relationship Id="rId45" Type="http://schemas.openxmlformats.org/officeDocument/2006/relationships/queryTable" Target="../queryTables/queryTable462.xml"/><Relationship Id="rId66" Type="http://schemas.openxmlformats.org/officeDocument/2006/relationships/queryTable" Target="../queryTables/queryTable483.xml"/><Relationship Id="rId87" Type="http://schemas.openxmlformats.org/officeDocument/2006/relationships/queryTable" Target="../queryTables/queryTable504.xml"/><Relationship Id="rId110" Type="http://schemas.openxmlformats.org/officeDocument/2006/relationships/queryTable" Target="../queryTables/queryTable527.xml"/><Relationship Id="rId131" Type="http://schemas.openxmlformats.org/officeDocument/2006/relationships/queryTable" Target="../queryTables/queryTable548.xml"/><Relationship Id="rId152" Type="http://schemas.openxmlformats.org/officeDocument/2006/relationships/queryTable" Target="../queryTables/queryTable569.xml"/><Relationship Id="rId173" Type="http://schemas.openxmlformats.org/officeDocument/2006/relationships/queryTable" Target="../queryTables/queryTable590.xml"/><Relationship Id="rId194" Type="http://schemas.openxmlformats.org/officeDocument/2006/relationships/queryTable" Target="../queryTables/queryTable611.xml"/><Relationship Id="rId208" Type="http://schemas.openxmlformats.org/officeDocument/2006/relationships/queryTable" Target="../queryTables/queryTable625.xml"/><Relationship Id="rId14" Type="http://schemas.openxmlformats.org/officeDocument/2006/relationships/queryTable" Target="../queryTables/queryTable431.xml"/><Relationship Id="rId35" Type="http://schemas.openxmlformats.org/officeDocument/2006/relationships/queryTable" Target="../queryTables/queryTable452.xml"/><Relationship Id="rId56" Type="http://schemas.openxmlformats.org/officeDocument/2006/relationships/queryTable" Target="../queryTables/queryTable473.xml"/><Relationship Id="rId77" Type="http://schemas.openxmlformats.org/officeDocument/2006/relationships/queryTable" Target="../queryTables/queryTable494.xml"/><Relationship Id="rId100" Type="http://schemas.openxmlformats.org/officeDocument/2006/relationships/queryTable" Target="../queryTables/queryTable517.xml"/><Relationship Id="rId8" Type="http://schemas.openxmlformats.org/officeDocument/2006/relationships/queryTable" Target="../queryTables/queryTable425.xml"/><Relationship Id="rId98" Type="http://schemas.openxmlformats.org/officeDocument/2006/relationships/queryTable" Target="../queryTables/queryTable515.xml"/><Relationship Id="rId121" Type="http://schemas.openxmlformats.org/officeDocument/2006/relationships/queryTable" Target="../queryTables/queryTable538.xml"/><Relationship Id="rId142" Type="http://schemas.openxmlformats.org/officeDocument/2006/relationships/queryTable" Target="../queryTables/queryTable559.xml"/><Relationship Id="rId163" Type="http://schemas.openxmlformats.org/officeDocument/2006/relationships/queryTable" Target="../queryTables/queryTable580.xml"/><Relationship Id="rId184" Type="http://schemas.openxmlformats.org/officeDocument/2006/relationships/queryTable" Target="../queryTables/queryTable601.xml"/><Relationship Id="rId219" Type="http://schemas.openxmlformats.org/officeDocument/2006/relationships/queryTable" Target="../queryTables/queryTable636.xml"/><Relationship Id="rId3" Type="http://schemas.openxmlformats.org/officeDocument/2006/relationships/queryTable" Target="../queryTables/queryTable420.xml"/><Relationship Id="rId214" Type="http://schemas.openxmlformats.org/officeDocument/2006/relationships/queryTable" Target="../queryTables/queryTable631.xml"/><Relationship Id="rId25" Type="http://schemas.openxmlformats.org/officeDocument/2006/relationships/queryTable" Target="../queryTables/queryTable442.xml"/><Relationship Id="rId46" Type="http://schemas.openxmlformats.org/officeDocument/2006/relationships/queryTable" Target="../queryTables/queryTable463.xml"/><Relationship Id="rId67" Type="http://schemas.openxmlformats.org/officeDocument/2006/relationships/queryTable" Target="../queryTables/queryTable484.xml"/><Relationship Id="rId116" Type="http://schemas.openxmlformats.org/officeDocument/2006/relationships/queryTable" Target="../queryTables/queryTable533.xml"/><Relationship Id="rId137" Type="http://schemas.openxmlformats.org/officeDocument/2006/relationships/queryTable" Target="../queryTables/queryTable554.xml"/><Relationship Id="rId158" Type="http://schemas.openxmlformats.org/officeDocument/2006/relationships/queryTable" Target="../queryTables/queryTable575.xml"/><Relationship Id="rId20" Type="http://schemas.openxmlformats.org/officeDocument/2006/relationships/queryTable" Target="../queryTables/queryTable437.xml"/><Relationship Id="rId41" Type="http://schemas.openxmlformats.org/officeDocument/2006/relationships/queryTable" Target="../queryTables/queryTable458.xml"/><Relationship Id="rId62" Type="http://schemas.openxmlformats.org/officeDocument/2006/relationships/queryTable" Target="../queryTables/queryTable479.xml"/><Relationship Id="rId83" Type="http://schemas.openxmlformats.org/officeDocument/2006/relationships/queryTable" Target="../queryTables/queryTable500.xml"/><Relationship Id="rId88" Type="http://schemas.openxmlformats.org/officeDocument/2006/relationships/queryTable" Target="../queryTables/queryTable505.xml"/><Relationship Id="rId111" Type="http://schemas.openxmlformats.org/officeDocument/2006/relationships/queryTable" Target="../queryTables/queryTable528.xml"/><Relationship Id="rId132" Type="http://schemas.openxmlformats.org/officeDocument/2006/relationships/queryTable" Target="../queryTables/queryTable549.xml"/><Relationship Id="rId153" Type="http://schemas.openxmlformats.org/officeDocument/2006/relationships/queryTable" Target="../queryTables/queryTable570.xml"/><Relationship Id="rId174" Type="http://schemas.openxmlformats.org/officeDocument/2006/relationships/queryTable" Target="../queryTables/queryTable591.xml"/><Relationship Id="rId179" Type="http://schemas.openxmlformats.org/officeDocument/2006/relationships/queryTable" Target="../queryTables/queryTable596.xml"/><Relationship Id="rId195" Type="http://schemas.openxmlformats.org/officeDocument/2006/relationships/queryTable" Target="../queryTables/queryTable612.xml"/><Relationship Id="rId209" Type="http://schemas.openxmlformats.org/officeDocument/2006/relationships/queryTable" Target="../queryTables/queryTable626.xml"/><Relationship Id="rId190" Type="http://schemas.openxmlformats.org/officeDocument/2006/relationships/queryTable" Target="../queryTables/queryTable607.xml"/><Relationship Id="rId204" Type="http://schemas.openxmlformats.org/officeDocument/2006/relationships/queryTable" Target="../queryTables/queryTable621.xml"/><Relationship Id="rId220" Type="http://schemas.openxmlformats.org/officeDocument/2006/relationships/queryTable" Target="../queryTables/queryTable637.xml"/><Relationship Id="rId225" Type="http://schemas.openxmlformats.org/officeDocument/2006/relationships/queryTable" Target="../queryTables/queryTable642.xml"/><Relationship Id="rId15" Type="http://schemas.openxmlformats.org/officeDocument/2006/relationships/queryTable" Target="../queryTables/queryTable432.xml"/><Relationship Id="rId36" Type="http://schemas.openxmlformats.org/officeDocument/2006/relationships/queryTable" Target="../queryTables/queryTable453.xml"/><Relationship Id="rId57" Type="http://schemas.openxmlformats.org/officeDocument/2006/relationships/queryTable" Target="../queryTables/queryTable474.xml"/><Relationship Id="rId106" Type="http://schemas.openxmlformats.org/officeDocument/2006/relationships/queryTable" Target="../queryTables/queryTable523.xml"/><Relationship Id="rId127" Type="http://schemas.openxmlformats.org/officeDocument/2006/relationships/queryTable" Target="../queryTables/queryTable544.xml"/><Relationship Id="rId10" Type="http://schemas.openxmlformats.org/officeDocument/2006/relationships/queryTable" Target="../queryTables/queryTable427.xml"/><Relationship Id="rId31" Type="http://schemas.openxmlformats.org/officeDocument/2006/relationships/queryTable" Target="../queryTables/queryTable448.xml"/><Relationship Id="rId52" Type="http://schemas.openxmlformats.org/officeDocument/2006/relationships/queryTable" Target="../queryTables/queryTable469.xml"/><Relationship Id="rId73" Type="http://schemas.openxmlformats.org/officeDocument/2006/relationships/queryTable" Target="../queryTables/queryTable490.xml"/><Relationship Id="rId78" Type="http://schemas.openxmlformats.org/officeDocument/2006/relationships/queryTable" Target="../queryTables/queryTable495.xml"/><Relationship Id="rId94" Type="http://schemas.openxmlformats.org/officeDocument/2006/relationships/queryTable" Target="../queryTables/queryTable511.xml"/><Relationship Id="rId99" Type="http://schemas.openxmlformats.org/officeDocument/2006/relationships/queryTable" Target="../queryTables/queryTable516.xml"/><Relationship Id="rId101" Type="http://schemas.openxmlformats.org/officeDocument/2006/relationships/queryTable" Target="../queryTables/queryTable518.xml"/><Relationship Id="rId122" Type="http://schemas.openxmlformats.org/officeDocument/2006/relationships/queryTable" Target="../queryTables/queryTable539.xml"/><Relationship Id="rId143" Type="http://schemas.openxmlformats.org/officeDocument/2006/relationships/queryTable" Target="../queryTables/queryTable560.xml"/><Relationship Id="rId148" Type="http://schemas.openxmlformats.org/officeDocument/2006/relationships/queryTable" Target="../queryTables/queryTable565.xml"/><Relationship Id="rId164" Type="http://schemas.openxmlformats.org/officeDocument/2006/relationships/queryTable" Target="../queryTables/queryTable581.xml"/><Relationship Id="rId169" Type="http://schemas.openxmlformats.org/officeDocument/2006/relationships/queryTable" Target="../queryTables/queryTable586.xml"/><Relationship Id="rId185" Type="http://schemas.openxmlformats.org/officeDocument/2006/relationships/queryTable" Target="../queryTables/queryTable602.xml"/><Relationship Id="rId4" Type="http://schemas.openxmlformats.org/officeDocument/2006/relationships/queryTable" Target="../queryTables/queryTable421.xml"/><Relationship Id="rId9" Type="http://schemas.openxmlformats.org/officeDocument/2006/relationships/queryTable" Target="../queryTables/queryTable426.xml"/><Relationship Id="rId180" Type="http://schemas.openxmlformats.org/officeDocument/2006/relationships/queryTable" Target="../queryTables/queryTable597.xml"/><Relationship Id="rId210" Type="http://schemas.openxmlformats.org/officeDocument/2006/relationships/queryTable" Target="../queryTables/queryTable627.xml"/><Relationship Id="rId215" Type="http://schemas.openxmlformats.org/officeDocument/2006/relationships/queryTable" Target="../queryTables/queryTable632.xml"/><Relationship Id="rId26" Type="http://schemas.openxmlformats.org/officeDocument/2006/relationships/queryTable" Target="../queryTables/queryTable443.xml"/><Relationship Id="rId47" Type="http://schemas.openxmlformats.org/officeDocument/2006/relationships/queryTable" Target="../queryTables/queryTable464.xml"/><Relationship Id="rId68" Type="http://schemas.openxmlformats.org/officeDocument/2006/relationships/queryTable" Target="../queryTables/queryTable485.xml"/><Relationship Id="rId89" Type="http://schemas.openxmlformats.org/officeDocument/2006/relationships/queryTable" Target="../queryTables/queryTable506.xml"/><Relationship Id="rId112" Type="http://schemas.openxmlformats.org/officeDocument/2006/relationships/queryTable" Target="../queryTables/queryTable529.xml"/><Relationship Id="rId133" Type="http://schemas.openxmlformats.org/officeDocument/2006/relationships/queryTable" Target="../queryTables/queryTable550.xml"/><Relationship Id="rId154" Type="http://schemas.openxmlformats.org/officeDocument/2006/relationships/queryTable" Target="../queryTables/queryTable571.xml"/><Relationship Id="rId175" Type="http://schemas.openxmlformats.org/officeDocument/2006/relationships/queryTable" Target="../queryTables/queryTable592.xml"/><Relationship Id="rId196" Type="http://schemas.openxmlformats.org/officeDocument/2006/relationships/queryTable" Target="../queryTables/queryTable613.xml"/><Relationship Id="rId200" Type="http://schemas.openxmlformats.org/officeDocument/2006/relationships/queryTable" Target="../queryTables/queryTable617.xml"/><Relationship Id="rId16" Type="http://schemas.openxmlformats.org/officeDocument/2006/relationships/queryTable" Target="../queryTables/queryTable433.xml"/><Relationship Id="rId221" Type="http://schemas.openxmlformats.org/officeDocument/2006/relationships/queryTable" Target="../queryTables/queryTable638.xml"/><Relationship Id="rId37" Type="http://schemas.openxmlformats.org/officeDocument/2006/relationships/queryTable" Target="../queryTables/queryTable454.xml"/><Relationship Id="rId58" Type="http://schemas.openxmlformats.org/officeDocument/2006/relationships/queryTable" Target="../queryTables/queryTable475.xml"/><Relationship Id="rId79" Type="http://schemas.openxmlformats.org/officeDocument/2006/relationships/queryTable" Target="../queryTables/queryTable496.xml"/><Relationship Id="rId102" Type="http://schemas.openxmlformats.org/officeDocument/2006/relationships/queryTable" Target="../queryTables/queryTable519.xml"/><Relationship Id="rId123" Type="http://schemas.openxmlformats.org/officeDocument/2006/relationships/queryTable" Target="../queryTables/queryTable540.xml"/><Relationship Id="rId144" Type="http://schemas.openxmlformats.org/officeDocument/2006/relationships/queryTable" Target="../queryTables/queryTable561.xml"/><Relationship Id="rId90" Type="http://schemas.openxmlformats.org/officeDocument/2006/relationships/queryTable" Target="../queryTables/queryTable507.xml"/><Relationship Id="rId165" Type="http://schemas.openxmlformats.org/officeDocument/2006/relationships/queryTable" Target="../queryTables/queryTable582.xml"/><Relationship Id="rId186" Type="http://schemas.openxmlformats.org/officeDocument/2006/relationships/queryTable" Target="../queryTables/queryTable603.xml"/><Relationship Id="rId211" Type="http://schemas.openxmlformats.org/officeDocument/2006/relationships/queryTable" Target="../queryTables/queryTable628.xml"/><Relationship Id="rId27" Type="http://schemas.openxmlformats.org/officeDocument/2006/relationships/queryTable" Target="../queryTables/queryTable444.xml"/><Relationship Id="rId48" Type="http://schemas.openxmlformats.org/officeDocument/2006/relationships/queryTable" Target="../queryTables/queryTable465.xml"/><Relationship Id="rId69" Type="http://schemas.openxmlformats.org/officeDocument/2006/relationships/queryTable" Target="../queryTables/queryTable486.xml"/><Relationship Id="rId113" Type="http://schemas.openxmlformats.org/officeDocument/2006/relationships/queryTable" Target="../queryTables/queryTable530.xml"/><Relationship Id="rId134" Type="http://schemas.openxmlformats.org/officeDocument/2006/relationships/queryTable" Target="../queryTables/queryTable551.xml"/><Relationship Id="rId80" Type="http://schemas.openxmlformats.org/officeDocument/2006/relationships/queryTable" Target="../queryTables/queryTable497.xml"/><Relationship Id="rId155" Type="http://schemas.openxmlformats.org/officeDocument/2006/relationships/queryTable" Target="../queryTables/queryTable572.xml"/><Relationship Id="rId176" Type="http://schemas.openxmlformats.org/officeDocument/2006/relationships/queryTable" Target="../queryTables/queryTable593.xml"/><Relationship Id="rId197" Type="http://schemas.openxmlformats.org/officeDocument/2006/relationships/queryTable" Target="../queryTables/queryTable614.xml"/><Relationship Id="rId201" Type="http://schemas.openxmlformats.org/officeDocument/2006/relationships/queryTable" Target="../queryTables/queryTable618.xml"/><Relationship Id="rId222" Type="http://schemas.openxmlformats.org/officeDocument/2006/relationships/queryTable" Target="../queryTables/queryTable639.xml"/><Relationship Id="rId17" Type="http://schemas.openxmlformats.org/officeDocument/2006/relationships/queryTable" Target="../queryTables/queryTable434.xml"/><Relationship Id="rId38" Type="http://schemas.openxmlformats.org/officeDocument/2006/relationships/queryTable" Target="../queryTables/queryTable455.xml"/><Relationship Id="rId59" Type="http://schemas.openxmlformats.org/officeDocument/2006/relationships/queryTable" Target="../queryTables/queryTable476.xml"/><Relationship Id="rId103" Type="http://schemas.openxmlformats.org/officeDocument/2006/relationships/queryTable" Target="../queryTables/queryTable520.xml"/><Relationship Id="rId124" Type="http://schemas.openxmlformats.org/officeDocument/2006/relationships/queryTable" Target="../queryTables/queryTable541.xml"/><Relationship Id="rId70" Type="http://schemas.openxmlformats.org/officeDocument/2006/relationships/queryTable" Target="../queryTables/queryTable487.xml"/><Relationship Id="rId91" Type="http://schemas.openxmlformats.org/officeDocument/2006/relationships/queryTable" Target="../queryTables/queryTable508.xml"/><Relationship Id="rId145" Type="http://schemas.openxmlformats.org/officeDocument/2006/relationships/queryTable" Target="../queryTables/queryTable562.xml"/><Relationship Id="rId166" Type="http://schemas.openxmlformats.org/officeDocument/2006/relationships/queryTable" Target="../queryTables/queryTable583.xml"/><Relationship Id="rId187" Type="http://schemas.openxmlformats.org/officeDocument/2006/relationships/queryTable" Target="../queryTables/queryTable604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629.xml"/><Relationship Id="rId28" Type="http://schemas.openxmlformats.org/officeDocument/2006/relationships/queryTable" Target="../queryTables/queryTable445.xml"/><Relationship Id="rId49" Type="http://schemas.openxmlformats.org/officeDocument/2006/relationships/queryTable" Target="../queryTables/queryTable466.xml"/><Relationship Id="rId114" Type="http://schemas.openxmlformats.org/officeDocument/2006/relationships/queryTable" Target="../queryTables/queryTable531.xml"/><Relationship Id="rId60" Type="http://schemas.openxmlformats.org/officeDocument/2006/relationships/queryTable" Target="../queryTables/queryTable477.xml"/><Relationship Id="rId81" Type="http://schemas.openxmlformats.org/officeDocument/2006/relationships/queryTable" Target="../queryTables/queryTable498.xml"/><Relationship Id="rId135" Type="http://schemas.openxmlformats.org/officeDocument/2006/relationships/queryTable" Target="../queryTables/queryTable552.xml"/><Relationship Id="rId156" Type="http://schemas.openxmlformats.org/officeDocument/2006/relationships/queryTable" Target="../queryTables/queryTable573.xml"/><Relationship Id="rId177" Type="http://schemas.openxmlformats.org/officeDocument/2006/relationships/queryTable" Target="../queryTables/queryTable594.xml"/><Relationship Id="rId198" Type="http://schemas.openxmlformats.org/officeDocument/2006/relationships/queryTable" Target="../queryTables/queryTable615.xml"/><Relationship Id="rId202" Type="http://schemas.openxmlformats.org/officeDocument/2006/relationships/queryTable" Target="../queryTables/queryTable619.xml"/><Relationship Id="rId223" Type="http://schemas.openxmlformats.org/officeDocument/2006/relationships/queryTable" Target="../queryTables/queryTable640.xml"/><Relationship Id="rId18" Type="http://schemas.openxmlformats.org/officeDocument/2006/relationships/queryTable" Target="../queryTables/queryTable435.xml"/><Relationship Id="rId39" Type="http://schemas.openxmlformats.org/officeDocument/2006/relationships/queryTable" Target="../queryTables/queryTable456.xml"/><Relationship Id="rId50" Type="http://schemas.openxmlformats.org/officeDocument/2006/relationships/queryTable" Target="../queryTables/queryTable467.xml"/><Relationship Id="rId104" Type="http://schemas.openxmlformats.org/officeDocument/2006/relationships/queryTable" Target="../queryTables/queryTable521.xml"/><Relationship Id="rId125" Type="http://schemas.openxmlformats.org/officeDocument/2006/relationships/queryTable" Target="../queryTables/queryTable542.xml"/><Relationship Id="rId146" Type="http://schemas.openxmlformats.org/officeDocument/2006/relationships/queryTable" Target="../queryTables/queryTable563.xml"/><Relationship Id="rId167" Type="http://schemas.openxmlformats.org/officeDocument/2006/relationships/queryTable" Target="../queryTables/queryTable584.xml"/><Relationship Id="rId188" Type="http://schemas.openxmlformats.org/officeDocument/2006/relationships/queryTable" Target="../queryTables/queryTable605.xml"/><Relationship Id="rId71" Type="http://schemas.openxmlformats.org/officeDocument/2006/relationships/queryTable" Target="../queryTables/queryTable488.xml"/><Relationship Id="rId92" Type="http://schemas.openxmlformats.org/officeDocument/2006/relationships/queryTable" Target="../queryTables/queryTable509.xml"/><Relationship Id="rId213" Type="http://schemas.openxmlformats.org/officeDocument/2006/relationships/queryTable" Target="../queryTables/queryTable630.xml"/><Relationship Id="rId2" Type="http://schemas.openxmlformats.org/officeDocument/2006/relationships/queryTable" Target="../queryTables/queryTable419.xml"/><Relationship Id="rId29" Type="http://schemas.openxmlformats.org/officeDocument/2006/relationships/queryTable" Target="../queryTables/queryTable446.xml"/><Relationship Id="rId40" Type="http://schemas.openxmlformats.org/officeDocument/2006/relationships/queryTable" Target="../queryTables/queryTable457.xml"/><Relationship Id="rId115" Type="http://schemas.openxmlformats.org/officeDocument/2006/relationships/queryTable" Target="../queryTables/queryTable532.xml"/><Relationship Id="rId136" Type="http://schemas.openxmlformats.org/officeDocument/2006/relationships/queryTable" Target="../queryTables/queryTable553.xml"/><Relationship Id="rId157" Type="http://schemas.openxmlformats.org/officeDocument/2006/relationships/queryTable" Target="../queryTables/queryTable574.xml"/><Relationship Id="rId178" Type="http://schemas.openxmlformats.org/officeDocument/2006/relationships/queryTable" Target="../queryTables/queryTable595.xml"/><Relationship Id="rId61" Type="http://schemas.openxmlformats.org/officeDocument/2006/relationships/queryTable" Target="../queryTables/queryTable478.xml"/><Relationship Id="rId82" Type="http://schemas.openxmlformats.org/officeDocument/2006/relationships/queryTable" Target="../queryTables/queryTable499.xml"/><Relationship Id="rId199" Type="http://schemas.openxmlformats.org/officeDocument/2006/relationships/queryTable" Target="../queryTables/queryTable616.xml"/><Relationship Id="rId203" Type="http://schemas.openxmlformats.org/officeDocument/2006/relationships/queryTable" Target="../queryTables/queryTable620.xml"/><Relationship Id="rId19" Type="http://schemas.openxmlformats.org/officeDocument/2006/relationships/queryTable" Target="../queryTables/queryTable436.xml"/><Relationship Id="rId224" Type="http://schemas.openxmlformats.org/officeDocument/2006/relationships/queryTable" Target="../queryTables/queryTable641.xml"/><Relationship Id="rId30" Type="http://schemas.openxmlformats.org/officeDocument/2006/relationships/queryTable" Target="../queryTables/queryTable447.xml"/><Relationship Id="rId105" Type="http://schemas.openxmlformats.org/officeDocument/2006/relationships/queryTable" Target="../queryTables/queryTable522.xml"/><Relationship Id="rId126" Type="http://schemas.openxmlformats.org/officeDocument/2006/relationships/queryTable" Target="../queryTables/queryTable543.xml"/><Relationship Id="rId147" Type="http://schemas.openxmlformats.org/officeDocument/2006/relationships/queryTable" Target="../queryTables/queryTable564.xml"/><Relationship Id="rId168" Type="http://schemas.openxmlformats.org/officeDocument/2006/relationships/queryTable" Target="../queryTables/queryTable585.xml"/><Relationship Id="rId51" Type="http://schemas.openxmlformats.org/officeDocument/2006/relationships/queryTable" Target="../queryTables/queryTable468.xml"/><Relationship Id="rId72" Type="http://schemas.openxmlformats.org/officeDocument/2006/relationships/queryTable" Target="../queryTables/queryTable489.xml"/><Relationship Id="rId93" Type="http://schemas.openxmlformats.org/officeDocument/2006/relationships/queryTable" Target="../queryTables/queryTable510.xml"/><Relationship Id="rId189" Type="http://schemas.openxmlformats.org/officeDocument/2006/relationships/queryTable" Target="../queryTables/queryTable60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27"/>
  <sheetViews>
    <sheetView showGridLines="0" tabSelected="1" zoomScale="80" zoomScaleNormal="80" workbookViewId="0">
      <selection activeCell="F4" sqref="F4:I6"/>
    </sheetView>
  </sheetViews>
  <sheetFormatPr defaultColWidth="9.21875" defaultRowHeight="14.4" x14ac:dyDescent="0.3"/>
  <cols>
    <col min="1" max="2" width="9.21875" style="13"/>
    <col min="3" max="3" width="13.77734375" style="13" bestFit="1" customWidth="1"/>
    <col min="4" max="4" width="12.77734375" style="13" bestFit="1" customWidth="1"/>
    <col min="5" max="5" width="10.77734375" style="13" customWidth="1"/>
    <col min="6" max="6" width="11.21875" style="13" customWidth="1"/>
    <col min="7" max="7" width="10.5546875" style="13" customWidth="1"/>
    <col min="8" max="8" width="14.21875" style="13" bestFit="1" customWidth="1"/>
    <col min="9" max="10" width="9.21875" style="13"/>
    <col min="11" max="11" width="13.77734375" style="13" customWidth="1"/>
    <col min="12" max="12" width="11" style="13" customWidth="1"/>
    <col min="13" max="13" width="14.21875" style="13" customWidth="1"/>
    <col min="14" max="15" width="9.21875" style="13"/>
    <col min="16" max="16" width="10.5546875" style="13" bestFit="1" customWidth="1"/>
    <col min="17" max="16384" width="9.21875" style="13"/>
  </cols>
  <sheetData>
    <row r="1" spans="1:17" ht="15" thickBot="1" x14ac:dyDescent="0.35">
      <c r="A1" s="11"/>
      <c r="B1" s="11"/>
      <c r="C1" s="11"/>
      <c r="D1" s="11"/>
      <c r="E1" s="11"/>
      <c r="F1" s="11"/>
      <c r="G1" s="11"/>
      <c r="H1" s="12"/>
      <c r="I1" s="16" t="s">
        <v>59</v>
      </c>
      <c r="J1" s="11"/>
    </row>
    <row r="2" spans="1:17" ht="14.55" customHeight="1" x14ac:dyDescent="0.3">
      <c r="A2" s="11"/>
      <c r="B2" s="63" t="s">
        <v>1795</v>
      </c>
      <c r="C2" s="64"/>
      <c r="D2" s="64"/>
      <c r="E2" s="64"/>
      <c r="F2" s="67" t="s">
        <v>357</v>
      </c>
      <c r="G2" s="67"/>
      <c r="H2" s="67"/>
      <c r="I2" s="68"/>
      <c r="J2" s="11"/>
    </row>
    <row r="3" spans="1:17" ht="14.55" customHeight="1" thickBot="1" x14ac:dyDescent="0.35">
      <c r="A3" s="11"/>
      <c r="B3" s="65"/>
      <c r="C3" s="66"/>
      <c r="D3" s="66"/>
      <c r="E3" s="66"/>
      <c r="F3" s="69"/>
      <c r="G3" s="69"/>
      <c r="H3" s="69"/>
      <c r="I3" s="70"/>
      <c r="J3" s="11"/>
      <c r="M3" s="14"/>
    </row>
    <row r="4" spans="1:17" x14ac:dyDescent="0.3">
      <c r="A4" s="11"/>
      <c r="B4" s="105" t="s">
        <v>54</v>
      </c>
      <c r="C4" s="106"/>
      <c r="D4" s="106" t="s">
        <v>55</v>
      </c>
      <c r="E4" s="107"/>
      <c r="F4" s="48"/>
      <c r="G4" s="49"/>
      <c r="H4" s="49"/>
      <c r="I4" s="50"/>
      <c r="J4" s="11"/>
      <c r="M4" s="14"/>
      <c r="P4" s="14"/>
      <c r="Q4" s="14"/>
    </row>
    <row r="5" spans="1:17" x14ac:dyDescent="0.3">
      <c r="A5" s="11"/>
      <c r="B5" s="112">
        <v>44266</v>
      </c>
      <c r="C5" s="113"/>
      <c r="D5" s="114">
        <v>44267</v>
      </c>
      <c r="E5" s="115"/>
      <c r="F5" s="51"/>
      <c r="G5" s="52"/>
      <c r="H5" s="52"/>
      <c r="I5" s="53"/>
      <c r="J5" s="15">
        <f>IFERROR(IF(HOUR(D6-B6)&gt;10,IF(B6=P7,10,IF(B6=P8,10,12)),HOUR(D6-B6)),IF(D6=P7,10,12))</f>
        <v>12</v>
      </c>
      <c r="P5" s="14"/>
      <c r="Q5" s="14"/>
    </row>
    <row r="6" spans="1:17" ht="15" thickBot="1" x14ac:dyDescent="0.35">
      <c r="A6" s="11"/>
      <c r="B6" s="116">
        <v>0.75</v>
      </c>
      <c r="C6" s="117"/>
      <c r="D6" s="117">
        <v>0</v>
      </c>
      <c r="E6" s="118"/>
      <c r="F6" s="54"/>
      <c r="G6" s="55"/>
      <c r="H6" s="55"/>
      <c r="I6" s="56"/>
      <c r="J6" s="11"/>
      <c r="M6" s="14"/>
      <c r="P6" s="14"/>
      <c r="Q6" s="14"/>
    </row>
    <row r="7" spans="1:17" x14ac:dyDescent="0.3">
      <c r="A7" s="11"/>
      <c r="B7" s="105" t="s">
        <v>56</v>
      </c>
      <c r="C7" s="106"/>
      <c r="D7" s="106"/>
      <c r="E7" s="107"/>
      <c r="F7" s="105" t="s">
        <v>57</v>
      </c>
      <c r="G7" s="106"/>
      <c r="H7" s="106"/>
      <c r="I7" s="107"/>
      <c r="J7" s="11"/>
      <c r="P7" s="17">
        <v>0.25</v>
      </c>
      <c r="Q7" s="14"/>
    </row>
    <row r="8" spans="1:17" x14ac:dyDescent="0.3">
      <c r="A8" s="11"/>
      <c r="B8" s="93" t="s">
        <v>58</v>
      </c>
      <c r="C8" s="94"/>
      <c r="D8" s="110">
        <f>IF(PPR!A3="Warehouse ",VLOOKUP(I1,PPR!$C$1:$H$195,3,FALSE),PPR!H121)</f>
        <v>74093</v>
      </c>
      <c r="E8" s="111"/>
      <c r="F8" s="93" t="s">
        <v>58</v>
      </c>
      <c r="G8" s="94"/>
      <c r="H8" s="61">
        <f>D8</f>
        <v>74093</v>
      </c>
      <c r="I8" s="62"/>
      <c r="J8" s="11"/>
      <c r="P8" s="18">
        <v>0.29166666666666669</v>
      </c>
      <c r="Q8" s="14"/>
    </row>
    <row r="9" spans="1:17" x14ac:dyDescent="0.3">
      <c r="A9" s="11"/>
      <c r="B9" s="93" t="s">
        <v>60</v>
      </c>
      <c r="C9" s="94"/>
      <c r="D9" s="108">
        <f>IF(PPR!A3="Warehouse ",VLOOKUP(I1,PPR!$C$1:$H$195,4,FALSE),PPR!I120)</f>
        <v>182.82</v>
      </c>
      <c r="E9" s="109"/>
      <c r="F9" s="93" t="s">
        <v>61</v>
      </c>
      <c r="G9" s="94"/>
      <c r="H9" s="57">
        <f>PPR!I128</f>
        <v>164.89</v>
      </c>
      <c r="I9" s="58"/>
      <c r="J9" s="11"/>
      <c r="P9" s="17"/>
      <c r="Q9" s="14"/>
    </row>
    <row r="10" spans="1:17" ht="15" thickBot="1" x14ac:dyDescent="0.35">
      <c r="A10" s="11"/>
      <c r="B10" s="99" t="s">
        <v>62</v>
      </c>
      <c r="C10" s="100"/>
      <c r="D10" s="101">
        <f>IF(PPR!A3="Warehouse ",VLOOKUP(I1,PPR!$C$1:$H$195,5,FALSE),PPR!J120)</f>
        <v>405.28</v>
      </c>
      <c r="E10" s="102"/>
      <c r="F10" s="99" t="s">
        <v>62</v>
      </c>
      <c r="G10" s="100"/>
      <c r="H10" s="103">
        <f>H8/H9</f>
        <v>449.34805021529507</v>
      </c>
      <c r="I10" s="104"/>
      <c r="J10" s="11"/>
      <c r="P10" s="14">
        <f>IF(D6=P8,1,0)</f>
        <v>0</v>
      </c>
      <c r="Q10" s="14"/>
    </row>
    <row r="11" spans="1:17" x14ac:dyDescent="0.3">
      <c r="A11" s="11"/>
      <c r="B11" s="105" t="s">
        <v>63</v>
      </c>
      <c r="C11" s="106"/>
      <c r="D11" s="106"/>
      <c r="E11" s="107"/>
      <c r="F11" s="105" t="s">
        <v>64</v>
      </c>
      <c r="G11" s="106"/>
      <c r="H11" s="106"/>
      <c r="I11" s="107"/>
      <c r="J11" s="11"/>
      <c r="P11" s="14"/>
      <c r="Q11" s="14"/>
    </row>
    <row r="12" spans="1:17" x14ac:dyDescent="0.3">
      <c r="A12" s="11"/>
      <c r="B12" s="93" t="s">
        <v>65</v>
      </c>
      <c r="C12" s="94"/>
      <c r="D12" s="95">
        <f>SUMIFS('Dock PPR'!K:K,'Dock PPR'!B:B,Report!B12)</f>
        <v>4.5999999999999996</v>
      </c>
      <c r="E12" s="96"/>
      <c r="F12" s="93" t="s">
        <v>65</v>
      </c>
      <c r="G12" s="94"/>
      <c r="H12" s="59">
        <f>24*(D6-B6)*2</f>
        <v>-36</v>
      </c>
      <c r="I12" s="60"/>
      <c r="J12" s="11"/>
      <c r="P12" s="14"/>
      <c r="Q12" s="14"/>
    </row>
    <row r="13" spans="1:17" x14ac:dyDescent="0.3">
      <c r="A13" s="11"/>
      <c r="B13" s="93" t="s">
        <v>66</v>
      </c>
      <c r="C13" s="94"/>
      <c r="D13" s="95">
        <f>SUMIFS('Dock PPR'!K:K,'Dock PPR'!B:B,Report!B13,'Dock PPR'!O:O,"Package")</f>
        <v>70.489999999999995</v>
      </c>
      <c r="E13" s="96"/>
      <c r="F13" s="93" t="s">
        <v>66</v>
      </c>
      <c r="G13" s="94"/>
      <c r="H13" s="59">
        <f>J23/H22</f>
        <v>17.170312500000001</v>
      </c>
      <c r="I13" s="60"/>
      <c r="M13" s="19"/>
      <c r="P13" s="14"/>
      <c r="Q13" s="14"/>
    </row>
    <row r="14" spans="1:17" x14ac:dyDescent="0.3">
      <c r="A14" s="11"/>
      <c r="B14" s="93" t="s">
        <v>67</v>
      </c>
      <c r="C14" s="94"/>
      <c r="D14" s="95">
        <f>SUMIFS('Dock PPR'!K:K,'Dock PPR'!B:B,Report!B14)</f>
        <v>21</v>
      </c>
      <c r="E14" s="96"/>
      <c r="F14" s="93" t="s">
        <v>67</v>
      </c>
      <c r="G14" s="94"/>
      <c r="H14" s="59">
        <f>J21/H23</f>
        <v>27.478000000000002</v>
      </c>
      <c r="I14" s="60"/>
      <c r="M14" s="20"/>
      <c r="P14" s="14"/>
      <c r="Q14" s="14"/>
    </row>
    <row r="15" spans="1:17" x14ac:dyDescent="0.3">
      <c r="A15" s="11"/>
      <c r="B15" s="93" t="s">
        <v>68</v>
      </c>
      <c r="C15" s="94"/>
      <c r="D15" s="95">
        <f>SUMIFS('Dock PPR'!K:K,'Dock PPR'!B:B,Report!B15,'Dock PPR'!L:L,"PalletMoved")</f>
        <v>18.379999999999995</v>
      </c>
      <c r="E15" s="96"/>
      <c r="F15" s="93" t="s">
        <v>68</v>
      </c>
      <c r="G15" s="94"/>
      <c r="H15" s="59">
        <f>H13/2+(H14/2)</f>
        <v>22.324156250000001</v>
      </c>
      <c r="I15" s="60"/>
    </row>
    <row r="16" spans="1:17" x14ac:dyDescent="0.3">
      <c r="A16" s="11"/>
      <c r="B16" s="93" t="s">
        <v>69</v>
      </c>
      <c r="C16" s="94"/>
      <c r="D16" s="95">
        <f>SUMIFS('Dock PPR'!K:K,'Dock PPR'!B:B,Report!B16,'Dock PPR'!L:L,"PalletLoaded")</f>
        <v>45.870000000000005</v>
      </c>
      <c r="E16" s="96"/>
      <c r="F16" s="93" t="s">
        <v>69</v>
      </c>
      <c r="G16" s="94"/>
      <c r="H16" s="59">
        <f>(J21+J23+J25)/3750</f>
        <v>14.192266666666667</v>
      </c>
      <c r="I16" s="60"/>
      <c r="J16" s="11"/>
    </row>
    <row r="17" spans="1:13" x14ac:dyDescent="0.3">
      <c r="A17" s="11"/>
      <c r="B17" s="93" t="s">
        <v>70</v>
      </c>
      <c r="C17" s="94"/>
      <c r="D17" s="95">
        <f>SUMIFS('Dock PPR'!K:K,'Dock PPR'!B:B,Report!B17)</f>
        <v>5.12</v>
      </c>
      <c r="E17" s="96"/>
      <c r="F17" s="93" t="s">
        <v>70</v>
      </c>
      <c r="G17" s="94"/>
      <c r="H17" s="59">
        <f>J25/H24</f>
        <v>1.5859375</v>
      </c>
      <c r="I17" s="60"/>
    </row>
    <row r="18" spans="1:13" ht="15" thickBot="1" x14ac:dyDescent="0.35">
      <c r="A18" s="11"/>
      <c r="B18" s="97" t="s">
        <v>71</v>
      </c>
      <c r="C18" s="98"/>
      <c r="D18" s="95">
        <f>SUMIFS('Dock PPR'!K:K,'Dock PPR'!B:B,Report!B18)</f>
        <v>0</v>
      </c>
      <c r="E18" s="96"/>
      <c r="F18" s="97" t="s">
        <v>71</v>
      </c>
      <c r="G18" s="98"/>
      <c r="H18" s="57">
        <v>0</v>
      </c>
      <c r="I18" s="58"/>
    </row>
    <row r="19" spans="1:13" ht="15.6" thickTop="1" thickBot="1" x14ac:dyDescent="0.35">
      <c r="A19" s="11"/>
      <c r="B19" s="74" t="s">
        <v>72</v>
      </c>
      <c r="C19" s="75"/>
      <c r="D19" s="44">
        <f>SUMIF('Dock PPR'!B:B,Report!B19,'Dock PPR'!K:K)</f>
        <v>0</v>
      </c>
      <c r="E19" s="45"/>
      <c r="F19" s="74" t="s">
        <v>72</v>
      </c>
      <c r="G19" s="75"/>
      <c r="H19" s="57">
        <f>24*(D6-B6)*2</f>
        <v>-36</v>
      </c>
      <c r="I19" s="90"/>
      <c r="J19" s="42" t="s">
        <v>1464</v>
      </c>
      <c r="K19" s="43"/>
    </row>
    <row r="20" spans="1:13" ht="15.6" thickTop="1" thickBot="1" x14ac:dyDescent="0.35">
      <c r="A20" s="33">
        <f>(D9-D13-D14-D15-D16-D17)/D9</f>
        <v>0.12011814899901542</v>
      </c>
      <c r="B20" s="82" t="s">
        <v>73</v>
      </c>
      <c r="C20" s="83"/>
      <c r="D20" s="46">
        <f>SUM(D12:E19)</f>
        <v>165.45999999999998</v>
      </c>
      <c r="E20" s="47"/>
      <c r="F20" s="82" t="s">
        <v>73</v>
      </c>
      <c r="G20" s="83"/>
      <c r="H20" s="91">
        <f>SUM(H12:I19)</f>
        <v>10.750672916666673</v>
      </c>
      <c r="I20" s="92"/>
      <c r="J20" s="36" t="s">
        <v>1465</v>
      </c>
      <c r="K20" s="37"/>
    </row>
    <row r="21" spans="1:13" ht="15" thickBot="1" x14ac:dyDescent="0.35">
      <c r="A21" s="11"/>
      <c r="B21" s="71" t="s">
        <v>75</v>
      </c>
      <c r="C21" s="72"/>
      <c r="D21" s="72"/>
      <c r="E21" s="73"/>
      <c r="F21" s="71" t="s">
        <v>76</v>
      </c>
      <c r="G21" s="72"/>
      <c r="H21" s="72"/>
      <c r="I21" s="72"/>
      <c r="J21" s="34">
        <f>SUMIFS(Chute!G:G,Chute!F:F,"FR")+SUMIFS(Chute!G:G,Chute!F:F,"BR")</f>
        <v>41217</v>
      </c>
      <c r="K21" s="35"/>
    </row>
    <row r="22" spans="1:13" ht="15" thickTop="1" x14ac:dyDescent="0.3">
      <c r="A22" s="11"/>
      <c r="B22" s="74" t="s">
        <v>66</v>
      </c>
      <c r="C22" s="75"/>
      <c r="D22" s="78">
        <f>J23/D13</f>
        <v>155.89445311391688</v>
      </c>
      <c r="E22" s="79"/>
      <c r="F22" s="74" t="s">
        <v>66</v>
      </c>
      <c r="G22" s="75"/>
      <c r="H22" s="80">
        <v>640</v>
      </c>
      <c r="I22" s="81"/>
      <c r="J22" s="40" t="s">
        <v>1463</v>
      </c>
      <c r="K22" s="41"/>
    </row>
    <row r="23" spans="1:13" ht="15" thickBot="1" x14ac:dyDescent="0.35">
      <c r="A23" s="11"/>
      <c r="B23" s="74" t="s">
        <v>77</v>
      </c>
      <c r="C23" s="75"/>
      <c r="D23" s="78">
        <f>Ship!B24/D14</f>
        <v>1822.2380952380952</v>
      </c>
      <c r="E23" s="79"/>
      <c r="F23" s="74" t="s">
        <v>77</v>
      </c>
      <c r="G23" s="75"/>
      <c r="H23" s="80">
        <v>1500</v>
      </c>
      <c r="I23" s="81"/>
      <c r="J23" s="34">
        <f>SUMIFS(Chute!G:G,Chute!F:F,"SR")</f>
        <v>10989</v>
      </c>
      <c r="K23" s="35"/>
      <c r="L23" s="27"/>
      <c r="M23" s="28"/>
    </row>
    <row r="24" spans="1:13" ht="15" thickTop="1" x14ac:dyDescent="0.3">
      <c r="A24" s="11"/>
      <c r="B24" s="74" t="s">
        <v>70</v>
      </c>
      <c r="C24" s="75"/>
      <c r="D24" s="78">
        <f>J25/D17</f>
        <v>198.2421875</v>
      </c>
      <c r="E24" s="79"/>
      <c r="F24" s="74" t="s">
        <v>70</v>
      </c>
      <c r="G24" s="75"/>
      <c r="H24" s="80">
        <v>640</v>
      </c>
      <c r="I24" s="81"/>
      <c r="J24" s="38" t="s">
        <v>1462</v>
      </c>
      <c r="K24" s="39"/>
      <c r="L24" s="27"/>
      <c r="M24" s="28"/>
    </row>
    <row r="25" spans="1:13" ht="15" thickBot="1" x14ac:dyDescent="0.35">
      <c r="A25" s="11"/>
      <c r="B25" s="74" t="s">
        <v>68</v>
      </c>
      <c r="C25" s="75"/>
      <c r="D25" s="76">
        <f>IFERROR((SUMIFS('Dock PPR'!Q:Q,'Dock PPR'!B:B,"Flat Waterspider"))/D15,"--")</f>
        <v>7.7801958650707306</v>
      </c>
      <c r="E25" s="77"/>
      <c r="F25" s="74" t="s">
        <v>68</v>
      </c>
      <c r="G25" s="75"/>
      <c r="H25" s="80">
        <v>9</v>
      </c>
      <c r="I25" s="81"/>
      <c r="J25" s="34">
        <f>SUMIFS(Chute!G:G,Chute!F:F,"DD")</f>
        <v>1015</v>
      </c>
      <c r="K25" s="35"/>
      <c r="M25" s="21"/>
    </row>
    <row r="26" spans="1:13" ht="15.6" thickTop="1" thickBot="1" x14ac:dyDescent="0.35">
      <c r="A26" s="11"/>
      <c r="B26" s="84" t="s">
        <v>69</v>
      </c>
      <c r="C26" s="85"/>
      <c r="D26" s="86">
        <f>IFERROR((SUMIFS('Dock PPR'!Q:Q,'Dock PPR'!B:B,"Pallet Loader"))/D16,"--")</f>
        <v>7.3904512753433611</v>
      </c>
      <c r="E26" s="87"/>
      <c r="F26" s="84" t="s">
        <v>78</v>
      </c>
      <c r="G26" s="85"/>
      <c r="H26" s="88">
        <v>12</v>
      </c>
      <c r="I26" s="89"/>
      <c r="J26" s="11"/>
    </row>
    <row r="27" spans="1:13" x14ac:dyDescent="0.3">
      <c r="A27" s="11"/>
      <c r="I27" s="30"/>
      <c r="J27" s="29"/>
    </row>
  </sheetData>
  <mergeCells count="90">
    <mergeCell ref="B4:C4"/>
    <mergeCell ref="D4:E4"/>
    <mergeCell ref="B7:E7"/>
    <mergeCell ref="F7:I7"/>
    <mergeCell ref="B5:C5"/>
    <mergeCell ref="D5:E5"/>
    <mergeCell ref="B6:C6"/>
    <mergeCell ref="D6:E6"/>
    <mergeCell ref="B9:C9"/>
    <mergeCell ref="D9:E9"/>
    <mergeCell ref="F9:G9"/>
    <mergeCell ref="B8:C8"/>
    <mergeCell ref="D8:E8"/>
    <mergeCell ref="F8:G8"/>
    <mergeCell ref="B10:C10"/>
    <mergeCell ref="D10:E10"/>
    <mergeCell ref="F10:G10"/>
    <mergeCell ref="H10:I10"/>
    <mergeCell ref="B11:E11"/>
    <mergeCell ref="F11:I11"/>
    <mergeCell ref="B14:C14"/>
    <mergeCell ref="D14:E14"/>
    <mergeCell ref="F14:G14"/>
    <mergeCell ref="H14:I14"/>
    <mergeCell ref="B12:C12"/>
    <mergeCell ref="D12:E12"/>
    <mergeCell ref="F12:G12"/>
    <mergeCell ref="H12:I12"/>
    <mergeCell ref="B13:C13"/>
    <mergeCell ref="D13:E13"/>
    <mergeCell ref="F13:G13"/>
    <mergeCell ref="B16:C16"/>
    <mergeCell ref="D16:E16"/>
    <mergeCell ref="F16:G16"/>
    <mergeCell ref="H16:I16"/>
    <mergeCell ref="B15:C15"/>
    <mergeCell ref="D15:E15"/>
    <mergeCell ref="F15:G15"/>
    <mergeCell ref="H15:I15"/>
    <mergeCell ref="B17:C17"/>
    <mergeCell ref="D17:E17"/>
    <mergeCell ref="F17:G17"/>
    <mergeCell ref="H17:I17"/>
    <mergeCell ref="B18:C18"/>
    <mergeCell ref="D18:E18"/>
    <mergeCell ref="F18:G18"/>
    <mergeCell ref="F23:G23"/>
    <mergeCell ref="H23:I23"/>
    <mergeCell ref="F19:G19"/>
    <mergeCell ref="H19:I19"/>
    <mergeCell ref="F20:G20"/>
    <mergeCell ref="H20:I20"/>
    <mergeCell ref="F22:G22"/>
    <mergeCell ref="H22:I22"/>
    <mergeCell ref="B26:C26"/>
    <mergeCell ref="D26:E26"/>
    <mergeCell ref="F26:G26"/>
    <mergeCell ref="H26:I26"/>
    <mergeCell ref="H25:I25"/>
    <mergeCell ref="F25:G25"/>
    <mergeCell ref="B2:E3"/>
    <mergeCell ref="F2:I3"/>
    <mergeCell ref="B21:E21"/>
    <mergeCell ref="F21:I21"/>
    <mergeCell ref="B25:C25"/>
    <mergeCell ref="D25:E25"/>
    <mergeCell ref="B24:C24"/>
    <mergeCell ref="D24:E24"/>
    <mergeCell ref="F24:G24"/>
    <mergeCell ref="H24:I24"/>
    <mergeCell ref="B22:C22"/>
    <mergeCell ref="D22:E22"/>
    <mergeCell ref="B19:C19"/>
    <mergeCell ref="B20:C20"/>
    <mergeCell ref="B23:C23"/>
    <mergeCell ref="D23:E23"/>
    <mergeCell ref="J19:K19"/>
    <mergeCell ref="D19:E19"/>
    <mergeCell ref="D20:E20"/>
    <mergeCell ref="F4:I6"/>
    <mergeCell ref="H18:I18"/>
    <mergeCell ref="H13:I13"/>
    <mergeCell ref="H8:I8"/>
    <mergeCell ref="H9:I9"/>
    <mergeCell ref="J21:K21"/>
    <mergeCell ref="J20:K20"/>
    <mergeCell ref="J24:K24"/>
    <mergeCell ref="J25:K25"/>
    <mergeCell ref="J22:K22"/>
    <mergeCell ref="J23:K23"/>
  </mergeCells>
  <conditionalFormatting sqref="D10:E10">
    <cfRule type="cellIs" dxfId="31" priority="76" operator="lessThan">
      <formula>470</formula>
    </cfRule>
    <cfRule type="cellIs" dxfId="30" priority="77" operator="greaterThanOrEqual">
      <formula>470</formula>
    </cfRule>
  </conditionalFormatting>
  <conditionalFormatting sqref="D26:E26 D22:D23 D25">
    <cfRule type="containsText" dxfId="29" priority="73" operator="containsText" text="&quot;--&quot;">
      <formula>NOT(ISERROR(SEARCH("""--""",D22)))</formula>
    </cfRule>
  </conditionalFormatting>
  <conditionalFormatting sqref="D24">
    <cfRule type="containsText" dxfId="28" priority="3" operator="containsText" text="&quot;--&quot;">
      <formula>NOT(ISERROR(SEARCH("""--""",D24)))</formula>
    </cfRule>
    <cfRule type="cellIs" dxfId="27" priority="114" operator="lessThan">
      <formula>$H$24</formula>
    </cfRule>
    <cfRule type="cellIs" dxfId="26" priority="115" operator="greaterThanOrEqual">
      <formula>$H$24</formula>
    </cfRule>
  </conditionalFormatting>
  <conditionalFormatting sqref="D23">
    <cfRule type="cellIs" dxfId="25" priority="84" operator="greaterThan">
      <formula>$H$23</formula>
    </cfRule>
    <cfRule type="cellIs" dxfId="24" priority="85" operator="lessThan">
      <formula>$H$23</formula>
    </cfRule>
  </conditionalFormatting>
  <conditionalFormatting sqref="D25 D23">
    <cfRule type="cellIs" dxfId="23" priority="86" operator="greaterThan">
      <formula>$H$25</formula>
    </cfRule>
    <cfRule type="cellIs" dxfId="22" priority="87" operator="lessThan">
      <formula>$H$25</formula>
    </cfRule>
  </conditionalFormatting>
  <conditionalFormatting sqref="D26:E26">
    <cfRule type="cellIs" dxfId="21" priority="90" operator="greaterThan">
      <formula>$H$26</formula>
    </cfRule>
    <cfRule type="cellIs" dxfId="20" priority="91" operator="lessThan">
      <formula>$H$26</formula>
    </cfRule>
  </conditionalFormatting>
  <conditionalFormatting sqref="D9:E9">
    <cfRule type="cellIs" dxfId="19" priority="92" operator="lessThan">
      <formula>$H$9</formula>
    </cfRule>
    <cfRule type="cellIs" dxfId="18" priority="93" operator="greaterThan">
      <formula>$H$9</formula>
    </cfRule>
  </conditionalFormatting>
  <conditionalFormatting sqref="D13:E13">
    <cfRule type="cellIs" dxfId="17" priority="94" operator="lessThan">
      <formula>$H$13</formula>
    </cfRule>
    <cfRule type="cellIs" dxfId="16" priority="95" operator="greaterThan">
      <formula>$H$13</formula>
    </cfRule>
  </conditionalFormatting>
  <conditionalFormatting sqref="D14:E14">
    <cfRule type="cellIs" dxfId="15" priority="96" operator="lessThan">
      <formula>$H$14</formula>
    </cfRule>
    <cfRule type="cellIs" dxfId="14" priority="97" operator="greaterThan">
      <formula>$H$14</formula>
    </cfRule>
  </conditionalFormatting>
  <conditionalFormatting sqref="D15:E15">
    <cfRule type="cellIs" dxfId="13" priority="98" operator="lessThan">
      <formula>$H$15</formula>
    </cfRule>
    <cfRule type="cellIs" dxfId="12" priority="99" operator="greaterThan">
      <formula>$H$15</formula>
    </cfRule>
  </conditionalFormatting>
  <conditionalFormatting sqref="D16:E16">
    <cfRule type="cellIs" dxfId="11" priority="100" operator="lessThan">
      <formula>$H$16</formula>
    </cfRule>
    <cfRule type="cellIs" dxfId="10" priority="101" operator="greaterThan">
      <formula>$H$16</formula>
    </cfRule>
  </conditionalFormatting>
  <conditionalFormatting sqref="D17:E18">
    <cfRule type="cellIs" dxfId="9" priority="102" operator="lessThan">
      <formula>$H$17</formula>
    </cfRule>
    <cfRule type="cellIs" dxfId="8" priority="103" operator="greaterThan">
      <formula>$H$17</formula>
    </cfRule>
  </conditionalFormatting>
  <conditionalFormatting sqref="D19">
    <cfRule type="cellIs" dxfId="7" priority="104" operator="lessThan">
      <formula>$H$19</formula>
    </cfRule>
    <cfRule type="cellIs" dxfId="6" priority="105" operator="greaterThan">
      <formula>$H$19</formula>
    </cfRule>
  </conditionalFormatting>
  <conditionalFormatting sqref="D20">
    <cfRule type="cellIs" dxfId="5" priority="106" operator="lessThan">
      <formula>$H$20</formula>
    </cfRule>
    <cfRule type="cellIs" dxfId="4" priority="107" operator="greaterThan">
      <formula>$H$20</formula>
    </cfRule>
  </conditionalFormatting>
  <conditionalFormatting sqref="D12:E12">
    <cfRule type="cellIs" dxfId="3" priority="112" operator="lessThan">
      <formula>$H$12</formula>
    </cfRule>
    <cfRule type="cellIs" dxfId="2" priority="113" operator="greaterThan">
      <formula>$H$12</formula>
    </cfRule>
  </conditionalFormatting>
  <conditionalFormatting sqref="D22:E22">
    <cfRule type="cellIs" dxfId="1" priority="1" operator="greaterThanOrEqual">
      <formula>$H$22</formula>
    </cfRule>
    <cfRule type="cellIs" dxfId="0" priority="2" operator="lessThan">
      <formula>$H$22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Update">
                <anchor moveWithCells="1" sizeWithCells="1">
                  <from>
                    <xdr:col>5</xdr:col>
                    <xdr:colOff>60960</xdr:colOff>
                    <xdr:row>3</xdr:row>
                    <xdr:rowOff>22860</xdr:rowOff>
                  </from>
                  <to>
                    <xdr:col>8</xdr:col>
                    <xdr:colOff>586740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"/>
  <sheetViews>
    <sheetView workbookViewId="0">
      <selection activeCell="A21" sqref="A21"/>
    </sheetView>
  </sheetViews>
  <sheetFormatPr defaultRowHeight="14.4" x14ac:dyDescent="0.3"/>
  <cols>
    <col min="1" max="1" width="17.21875" customWidth="1"/>
    <col min="2" max="2" width="13.77734375" bestFit="1" customWidth="1"/>
    <col min="3" max="3" width="10.21875" bestFit="1" customWidth="1"/>
    <col min="4" max="4" width="15.77734375" bestFit="1" customWidth="1"/>
    <col min="5" max="5" width="10.77734375" customWidth="1"/>
    <col min="6" max="6" width="10.5546875" customWidth="1"/>
  </cols>
  <sheetData>
    <row r="1" spans="1:9" x14ac:dyDescent="0.3">
      <c r="A1" t="s">
        <v>0</v>
      </c>
      <c r="B1" t="str">
        <f>"http://awcsmetrics-iad.iad.proxy.amazon.com/reports/"&amp;B9&amp;"/"&amp;B9&amp;"-"&amp;A22&amp;"/"&amp;C3&amp;"T"&amp;C5&amp;":00.000Z/"&amp;C4&amp;"T"&amp;C6&amp;":00.000Z/-28800"</f>
        <v>http://awcsmetrics-iad.iad.proxy.amazon.com/reports/PSP1/PSP1-FlatsRouterController/2021-03-12T02:00:00.000Z/2021-03-12T08:00:00.000Z/-28800</v>
      </c>
    </row>
    <row r="2" spans="1:9" x14ac:dyDescent="0.3">
      <c r="A2" t="s">
        <v>1</v>
      </c>
      <c r="B2" t="str">
        <f>"http://awcsmetrics-iad.iad.proxy.amazon.com/reports/"&amp;B9&amp;"/"&amp;B9&amp;"-"&amp;A21&amp;"/"&amp;C3&amp;"T"&amp;C5&amp;":00.000Z/"&amp;C4&amp;"T"&amp;C6&amp;":00.000Z/-28800"</f>
        <v>http://awcsmetrics-iad.iad.proxy.amazon.com/reports/PSP1/PSP1-ShippingSorter1Controller/2021-03-12T02:00:00.000Z/2021-03-12T08:00:00.000Z/-28800</v>
      </c>
    </row>
    <row r="3" spans="1:9" x14ac:dyDescent="0.3">
      <c r="A3" t="s">
        <v>2</v>
      </c>
      <c r="B3" s="1">
        <f>(Report!B5)</f>
        <v>44266</v>
      </c>
      <c r="C3" t="str">
        <f>IF(HOUR(C5)&lt;HOUR(B5),TEXT(DATE(YEAR(B3),MONTH(B3),DAY(B3))+1,"yyyy-mm-dd"),TEXT(DATE(YEAR(B3),MONTH(B3),DAY(B3)),"yyyy-mm-dd"))</f>
        <v>2021-03-12</v>
      </c>
      <c r="D3" t="str">
        <f>YEAR(E3)&amp;"%2F"&amp;TEXT(MONTH(E3),"00")&amp;"%2F"&amp;TEXT(DAY(E3),"00")</f>
        <v>2021%2F03%2F11</v>
      </c>
      <c r="E3" s="1">
        <f>Report!B5</f>
        <v>44266</v>
      </c>
    </row>
    <row r="4" spans="1:9" x14ac:dyDescent="0.3">
      <c r="A4" t="s">
        <v>3</v>
      </c>
      <c r="B4" s="1">
        <f>(Report!D5)</f>
        <v>44267</v>
      </c>
      <c r="C4" t="str">
        <f>IF(HOUR(C6)&lt;HOUR(B6),TEXT(DATE(YEAR(B4),MONTH(B4),DAY(B4))+1,"yyyy-mm-dd"),TEXT(DATE(YEAR(B4),MONTH(B4),DAY(B4)),"yyyy-mm-dd"))</f>
        <v>2021-03-12</v>
      </c>
      <c r="D4" t="str">
        <f>YEAR(E4)&amp;"%2F"&amp;TEXT(MONTH(E4),"00")&amp;"%2F"&amp;TEXT(DAY(E4),"00")</f>
        <v>2021%2F03%2F12</v>
      </c>
      <c r="E4" s="1">
        <f>Report!D5</f>
        <v>44267</v>
      </c>
    </row>
    <row r="5" spans="1:9" x14ac:dyDescent="0.3">
      <c r="A5" t="s">
        <v>4</v>
      </c>
      <c r="B5" s="2">
        <f>Report!B6</f>
        <v>0.75</v>
      </c>
      <c r="C5" s="3" t="str">
        <f>TEXT(HOUR(B5+B11),"00")&amp;":"&amp;TEXT(MINUTE(B5),"00")</f>
        <v>02:00</v>
      </c>
      <c r="D5" t="str">
        <f>TEXT(B5,"hh")</f>
        <v>18</v>
      </c>
      <c r="E5" t="str">
        <f>RIGHT(C5,2)</f>
        <v>00</v>
      </c>
    </row>
    <row r="6" spans="1:9" x14ac:dyDescent="0.3">
      <c r="A6" t="s">
        <v>5</v>
      </c>
      <c r="B6" s="2">
        <f>Report!D6</f>
        <v>0</v>
      </c>
      <c r="C6" s="3" t="str">
        <f>TEXT(HOUR(B6+B11),"00")&amp;":"&amp;TEXT(MINUTE(B6),"00")</f>
        <v>08:00</v>
      </c>
      <c r="D6" t="str">
        <f>TEXT(B6,"hh")</f>
        <v>00</v>
      </c>
      <c r="E6" t="str">
        <f>RIGHT(C6,2)</f>
        <v>00</v>
      </c>
    </row>
    <row r="7" spans="1:9" x14ac:dyDescent="0.3">
      <c r="A7" t="s">
        <v>6</v>
      </c>
      <c r="B7" t="str">
        <f>"https://fclm-portal.amazon.com/reports/processPathRollup?reportFormat=HTML&amp;warehouseId="&amp;B9&amp;"&amp;startDateDay="&amp;D3&amp;"&amp;maxIntradayDays=1&amp;spanType=Intraday&amp;startDateIntraday="&amp;D3&amp;"&amp;startHourIntraday="&amp;D5&amp;"&amp;startMinuteIntraday="&amp;E5&amp;"&amp;endDateIntraday="&amp;D4&amp;"&amp;endHourIntraday="&amp;D6&amp;"&amp;endMinuteIntraday="&amp;E6&amp;"&amp;_adjustPlanHours=on&amp;_hideEmptyLineItems=on&amp;employmentType=AllEmployees"</f>
        <v>https://fclm-portal.amazon.com/reports/processPathRollup?reportFormat=HTML&amp;warehouseId=PSP1&amp;startDateDay=2021%2F03%2F11&amp;maxIntradayDays=1&amp;spanType=Intraday&amp;startDateIntraday=2021%2F03%2F11&amp;startHourIntraday=18&amp;startMinuteIntraday=00&amp;endDateIntraday=2021%2F03%2F12&amp;endHourIntraday=00&amp;endMinuteIntraday=00&amp;_adjustPlanHours=on&amp;_hideEmptyLineItems=on&amp;employmentType=AllEmployees</v>
      </c>
      <c r="C7" s="3"/>
    </row>
    <row r="8" spans="1:9" x14ac:dyDescent="0.3">
      <c r="A8" t="s">
        <v>7</v>
      </c>
      <c r="B8" t="str">
        <f>"https://fclm-portal.amazon.com/reports/functionRollup?reportFormat=CSV&amp;warehouseId="&amp;B9&amp;"&amp;processId=1003014&amp;maxIntradayDays=1&amp;spanType=Intraday&amp;startDateIntraday="&amp;D3&amp;"&amp;startHourIntraday="&amp;D5&amp;"&amp;startMinuteIntraday="&amp;E5&amp;"&amp;endDateIntraday="&amp;D4&amp;"&amp;endHourIntraday="&amp;D6&amp;"&amp;endMinuteIntraday="&amp;E6&amp;""</f>
        <v>https://fclm-portal.amazon.com/reports/functionRollup?reportFormat=CSV&amp;warehouseId=PSP1&amp;processId=1003014&amp;maxIntradayDays=1&amp;spanType=Intraday&amp;startDateIntraday=2021%2F03%2F11&amp;startHourIntraday=18&amp;startMinuteIntraday=00&amp;endDateIntraday=2021%2F03%2F12&amp;endHourIntraday=00&amp;endMinuteIntraday=00</v>
      </c>
    </row>
    <row r="9" spans="1:9" x14ac:dyDescent="0.3">
      <c r="A9" t="s">
        <v>8</v>
      </c>
      <c r="B9" s="4" t="str">
        <f>Report!B2</f>
        <v>PSP1</v>
      </c>
    </row>
    <row r="10" spans="1:9" x14ac:dyDescent="0.3">
      <c r="A10" t="s">
        <v>9</v>
      </c>
      <c r="B10" s="4">
        <v>8</v>
      </c>
      <c r="C10" s="4">
        <v>17</v>
      </c>
    </row>
    <row r="11" spans="1:9" x14ac:dyDescent="0.3">
      <c r="B11" s="5">
        <f>B10/24</f>
        <v>0.33333333333333331</v>
      </c>
      <c r="C11" s="5">
        <f>C10/24</f>
        <v>0.70833333333333337</v>
      </c>
      <c r="D11">
        <f>14/24</f>
        <v>0.58333333333333337</v>
      </c>
    </row>
    <row r="14" spans="1:9" x14ac:dyDescent="0.3">
      <c r="A14" t="s">
        <v>10</v>
      </c>
      <c r="F14" t="s">
        <v>11</v>
      </c>
      <c r="H14" t="s">
        <v>12</v>
      </c>
    </row>
    <row r="15" spans="1:9" x14ac:dyDescent="0.3">
      <c r="A15" t="s">
        <v>13</v>
      </c>
      <c r="B15">
        <v>4</v>
      </c>
      <c r="C15">
        <v>13</v>
      </c>
      <c r="F15" s="4" t="s">
        <v>14</v>
      </c>
      <c r="G15" s="6">
        <f>IFERROR(VLOOKUP(F15,([1]Pivots!$B:$D),3,FALSE),0)</f>
        <v>164</v>
      </c>
      <c r="H15" s="7" t="s">
        <v>15</v>
      </c>
      <c r="I15" s="6">
        <f>IFERROR(VLOOKUP(H15,[1]Pivots!$B:$D,3,FALSE),0)</f>
        <v>60</v>
      </c>
    </row>
    <row r="16" spans="1:9" x14ac:dyDescent="0.3">
      <c r="A16" t="s">
        <v>16</v>
      </c>
      <c r="B16">
        <v>5</v>
      </c>
      <c r="C16">
        <v>14</v>
      </c>
      <c r="F16" s="4" t="s">
        <v>17</v>
      </c>
      <c r="G16" s="6">
        <f>IFERROR(VLOOKUP(F16,([1]Pivots!$B:$D),3,FALSE),0)</f>
        <v>0</v>
      </c>
      <c r="H16" s="7" t="s">
        <v>18</v>
      </c>
      <c r="I16" s="6">
        <f>IFERROR(VLOOKUP(H16,[1]Pivots!$B:$D,3,FALSE),0)</f>
        <v>138</v>
      </c>
    </row>
    <row r="17" spans="1:11" x14ac:dyDescent="0.3">
      <c r="A17" t="s">
        <v>19</v>
      </c>
      <c r="B17">
        <v>6</v>
      </c>
      <c r="C17">
        <v>15</v>
      </c>
      <c r="F17" s="4" t="s">
        <v>20</v>
      </c>
      <c r="G17" s="6">
        <f>IFERROR(VLOOKUP(F17,([1]Pivots!$B:$D),3,FALSE),0)</f>
        <v>1597</v>
      </c>
      <c r="H17" s="7" t="s">
        <v>21</v>
      </c>
      <c r="I17" s="6">
        <f>IFERROR(VLOOKUP(H17,[1]Pivots!$B:$D,3,FALSE),0)</f>
        <v>79</v>
      </c>
    </row>
    <row r="18" spans="1:11" x14ac:dyDescent="0.3">
      <c r="A18" t="s">
        <v>22</v>
      </c>
      <c r="B18">
        <v>7</v>
      </c>
      <c r="C18">
        <v>16</v>
      </c>
      <c r="F18" s="4" t="s">
        <v>23</v>
      </c>
      <c r="G18" s="6">
        <f>IFERROR(VLOOKUP(F18,([1]Pivots!$B:$D),3,FALSE),0)</f>
        <v>822</v>
      </c>
      <c r="H18" s="7" t="s">
        <v>24</v>
      </c>
      <c r="I18" s="6">
        <f>IFERROR(VLOOKUP(H18,[1]Pivots!$B:$D,3,FALSE),0)</f>
        <v>990</v>
      </c>
    </row>
    <row r="19" spans="1:11" x14ac:dyDescent="0.3">
      <c r="F19" s="4" t="s">
        <v>25</v>
      </c>
      <c r="G19" s="6">
        <f>IFERROR(VLOOKUP(F19,([1]Pivots!$B:$D),3,FALSE),0)</f>
        <v>929</v>
      </c>
      <c r="H19" s="7" t="s">
        <v>26</v>
      </c>
      <c r="I19" s="6">
        <f>IFERROR(VLOOKUP(H19,[1]Pivots!$B:$D,3,FALSE),0)</f>
        <v>32</v>
      </c>
    </row>
    <row r="20" spans="1:11" x14ac:dyDescent="0.3">
      <c r="A20" t="s">
        <v>27</v>
      </c>
      <c r="F20" s="4" t="s">
        <v>28</v>
      </c>
      <c r="G20" s="6">
        <f>IFERROR(VLOOKUP(F20,([1]Pivots!$B:$D),3,FALSE),0)</f>
        <v>1339</v>
      </c>
      <c r="H20" s="7" t="s">
        <v>29</v>
      </c>
      <c r="I20" s="6">
        <f>IFERROR(VLOOKUP(H20,[1]Pivots!$B:$D,3,FALSE),0)</f>
        <v>59</v>
      </c>
    </row>
    <row r="21" spans="1:11" x14ac:dyDescent="0.3">
      <c r="A21" s="4" t="s">
        <v>2965</v>
      </c>
      <c r="F21" s="4" t="s">
        <v>31</v>
      </c>
      <c r="G21" s="6">
        <f>IFERROR(VLOOKUP(F21,([1]Pivots!$B:$D),3,FALSE),0)</f>
        <v>279</v>
      </c>
      <c r="H21" s="7" t="s">
        <v>32</v>
      </c>
      <c r="I21" s="6">
        <f>IFERROR(VLOOKUP(H21,[1]Pivots!$B:$D,3,FALSE),0)</f>
        <v>0</v>
      </c>
      <c r="K21" s="8" t="s">
        <v>30</v>
      </c>
    </row>
    <row r="22" spans="1:11" x14ac:dyDescent="0.3">
      <c r="A22" s="4" t="s">
        <v>33</v>
      </c>
      <c r="F22" s="4" t="s">
        <v>34</v>
      </c>
      <c r="G22" s="6">
        <f>IFERROR(VLOOKUP(F22,([1]Pivots!$B:$D),3,FALSE),0)</f>
        <v>751</v>
      </c>
      <c r="H22" s="7" t="s">
        <v>35</v>
      </c>
      <c r="I22" s="6">
        <f>IFERROR(VLOOKUP(H22,[1]Pivots!$B:$D,3,FALSE),0)</f>
        <v>0</v>
      </c>
      <c r="K22" s="8" t="s">
        <v>36</v>
      </c>
    </row>
    <row r="23" spans="1:11" x14ac:dyDescent="0.3">
      <c r="F23" s="4" t="s">
        <v>37</v>
      </c>
      <c r="G23" s="6">
        <f>IFERROR(VLOOKUP(F23,([1]Pivots!$B:$D),3,FALSE),0)</f>
        <v>302</v>
      </c>
      <c r="H23" s="7" t="s">
        <v>38</v>
      </c>
      <c r="I23" s="6">
        <f>IFERROR(VLOOKUP(H23,[1]Pivots!$B:$D,3,FALSE),0)</f>
        <v>0</v>
      </c>
      <c r="K23" t="s">
        <v>2965</v>
      </c>
    </row>
    <row r="24" spans="1:11" x14ac:dyDescent="0.3">
      <c r="F24" s="4" t="s">
        <v>39</v>
      </c>
      <c r="G24" s="6">
        <f>IFERROR(VLOOKUP(F24,([1]Pivots!$B:$D),3,FALSE),0)</f>
        <v>1367</v>
      </c>
      <c r="H24" s="7" t="s">
        <v>40</v>
      </c>
      <c r="I24" s="6">
        <f>IFERROR(VLOOKUP(H24,[1]Pivots!$B:$D,3,FALSE),0)</f>
        <v>169</v>
      </c>
      <c r="K24" t="s">
        <v>41</v>
      </c>
    </row>
    <row r="25" spans="1:11" x14ac:dyDescent="0.3">
      <c r="F25" s="4" t="s">
        <v>42</v>
      </c>
      <c r="G25" s="6">
        <f>IFERROR(VLOOKUP(F25,([1]Pivots!$B:$D),3,FALSE),0)</f>
        <v>902</v>
      </c>
      <c r="H25" s="7" t="s">
        <v>43</v>
      </c>
      <c r="I25" s="6">
        <f>IFERROR(VLOOKUP(H25,[1]Pivots!$B:$D,3,FALSE),0)</f>
        <v>1</v>
      </c>
      <c r="K25" t="s">
        <v>33</v>
      </c>
    </row>
    <row r="26" spans="1:11" x14ac:dyDescent="0.3">
      <c r="F26" s="4" t="s">
        <v>44</v>
      </c>
      <c r="G26" s="6">
        <f>IFERROR(VLOOKUP(F26,([1]Pivots!$B:$D),3,FALSE),0)</f>
        <v>56</v>
      </c>
      <c r="H26" s="7" t="s">
        <v>45</v>
      </c>
      <c r="I26" s="6">
        <f>IFERROR(VLOOKUP(H26,[1]Pivots!$B:$D,3,FALSE),0)</f>
        <v>182</v>
      </c>
    </row>
    <row r="27" spans="1:11" x14ac:dyDescent="0.3">
      <c r="F27" s="4" t="s">
        <v>46</v>
      </c>
      <c r="G27" s="6">
        <f>IFERROR(VLOOKUP(F27,([1]Pivots!$B:$D),3,FALSE),0)</f>
        <v>1241</v>
      </c>
      <c r="H27" s="7"/>
      <c r="I27" s="6"/>
    </row>
    <row r="28" spans="1:11" x14ac:dyDescent="0.3">
      <c r="F28" s="4" t="s">
        <v>47</v>
      </c>
      <c r="G28" s="6">
        <f>IFERROR(VLOOKUP(F28,([1]Pivots!$B:$D),3,FALSE),0)</f>
        <v>133</v>
      </c>
      <c r="H28" s="7"/>
      <c r="I28" s="6"/>
      <c r="K28" s="9">
        <f>IFERROR(VLOOKUP(F26,[1]Pivots!$B$2:$D$159,3,FALSE),0)</f>
        <v>56</v>
      </c>
    </row>
    <row r="29" spans="1:11" x14ac:dyDescent="0.3">
      <c r="F29" s="4" t="s">
        <v>48</v>
      </c>
      <c r="G29" s="6">
        <f>IFERROR(VLOOKUP(F29,([1]Pivots!$B:$D),3,FALSE),0)</f>
        <v>333</v>
      </c>
      <c r="H29" s="7"/>
      <c r="I29" s="6"/>
      <c r="K29" s="9"/>
    </row>
    <row r="30" spans="1:11" x14ac:dyDescent="0.3">
      <c r="F30" s="4" t="s">
        <v>49</v>
      </c>
      <c r="G30" s="6">
        <f>IFERROR(VLOOKUP(F30,([1]Pivots!$B:$D),3,FALSE),0)</f>
        <v>314</v>
      </c>
      <c r="H30" s="7"/>
      <c r="I30" s="6"/>
      <c r="K30" s="9"/>
    </row>
    <row r="31" spans="1:11" x14ac:dyDescent="0.3">
      <c r="F31" s="4" t="s">
        <v>50</v>
      </c>
      <c r="G31" s="6">
        <f>IFERROR(VLOOKUP(F31,([1]Pivots!$B:$D),3,FALSE),0)</f>
        <v>1508</v>
      </c>
      <c r="H31" s="7"/>
      <c r="I31" s="6"/>
      <c r="K31" s="9"/>
    </row>
    <row r="32" spans="1:11" x14ac:dyDescent="0.3">
      <c r="F32" s="10" t="s">
        <v>51</v>
      </c>
      <c r="G32" s="6">
        <f>IFERROR(VLOOKUP(F32,([1]Pivots!$B:$D),3,FALSE),0)</f>
        <v>296</v>
      </c>
      <c r="H32" s="7"/>
      <c r="I32" s="6"/>
    </row>
    <row r="33" spans="6:10" x14ac:dyDescent="0.3">
      <c r="F33" s="10" t="s">
        <v>52</v>
      </c>
      <c r="G33" s="6">
        <f>IFERROR(VLOOKUP(F33,([1]Pivots!$B:$D),3,FALSE),0)</f>
        <v>150</v>
      </c>
      <c r="H33" s="7"/>
      <c r="I33" s="6"/>
    </row>
    <row r="34" spans="6:10" x14ac:dyDescent="0.3">
      <c r="F34" s="4" t="s">
        <v>53</v>
      </c>
      <c r="G34" s="6">
        <f>IFERROR(VLOOKUP(F34,([1]Pivots!$B:$D),3,FALSE),0)</f>
        <v>67</v>
      </c>
      <c r="H34" s="7"/>
      <c r="I34" s="6"/>
    </row>
    <row r="35" spans="6:10" x14ac:dyDescent="0.3">
      <c r="H35" s="7"/>
      <c r="I35" s="6"/>
    </row>
    <row r="36" spans="6:10" x14ac:dyDescent="0.3">
      <c r="H36" s="7"/>
      <c r="I36" s="6"/>
    </row>
    <row r="37" spans="6:10" x14ac:dyDescent="0.3">
      <c r="H37" s="6"/>
      <c r="I37" s="6"/>
      <c r="J37" s="6"/>
    </row>
    <row r="38" spans="6:10" x14ac:dyDescent="0.3">
      <c r="H38" s="6"/>
      <c r="I38" s="6"/>
      <c r="J38" s="6"/>
    </row>
    <row r="39" spans="6:10" x14ac:dyDescent="0.3">
      <c r="H39" s="6"/>
      <c r="I39" s="6"/>
      <c r="J39" s="6"/>
    </row>
    <row r="40" spans="6:10" x14ac:dyDescent="0.3">
      <c r="H40" s="6"/>
      <c r="I40" s="6"/>
      <c r="J40" s="6"/>
    </row>
    <row r="41" spans="6:10" x14ac:dyDescent="0.3">
      <c r="H41" s="6"/>
      <c r="I41" s="6"/>
      <c r="J41" s="6"/>
    </row>
    <row r="42" spans="6:10" x14ac:dyDescent="0.3">
      <c r="H42" s="6"/>
      <c r="I42" s="6"/>
      <c r="J42" s="6"/>
    </row>
    <row r="43" spans="6:10" x14ac:dyDescent="0.3">
      <c r="H43" s="6"/>
      <c r="I43" s="6"/>
      <c r="J43" s="6"/>
    </row>
    <row r="44" spans="6:10" x14ac:dyDescent="0.3">
      <c r="H44" s="6"/>
      <c r="I44" s="6"/>
      <c r="J44" s="6"/>
    </row>
    <row r="45" spans="6:10" x14ac:dyDescent="0.3">
      <c r="H45" s="6"/>
      <c r="I45" s="6"/>
      <c r="J45" s="6"/>
    </row>
    <row r="46" spans="6:10" x14ac:dyDescent="0.3">
      <c r="H46" s="6"/>
      <c r="I46" s="6"/>
      <c r="J46" s="6"/>
    </row>
    <row r="47" spans="6:10" x14ac:dyDescent="0.3">
      <c r="H47" s="6"/>
      <c r="I47" s="6"/>
      <c r="J47" s="6"/>
    </row>
    <row r="48" spans="6:10" x14ac:dyDescent="0.3">
      <c r="H48" s="6"/>
      <c r="I48" s="6"/>
      <c r="J48" s="6"/>
    </row>
    <row r="49" spans="8:10" x14ac:dyDescent="0.3">
      <c r="H49" s="6"/>
      <c r="I49" s="6"/>
      <c r="J49" s="6"/>
    </row>
    <row r="50" spans="8:10" x14ac:dyDescent="0.3">
      <c r="H50" s="6"/>
      <c r="I50" s="6"/>
      <c r="J50" s="6"/>
    </row>
  </sheetData>
  <dataValidations count="2">
    <dataValidation type="list" allowBlank="1" showInputMessage="1" showErrorMessage="1" sqref="A22">
      <formula1>$K$24:$K$25</formula1>
    </dataValidation>
    <dataValidation type="list" allowBlank="1" showInputMessage="1" showErrorMessage="1" sqref="A21">
      <formula1>$K$21:$K$23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4302"/>
  <sheetViews>
    <sheetView workbookViewId="0">
      <selection sqref="A1:P4500"/>
    </sheetView>
  </sheetViews>
  <sheetFormatPr defaultRowHeight="14.4" x14ac:dyDescent="0.3"/>
  <cols>
    <col min="1" max="1" width="29.33203125" customWidth="1"/>
    <col min="2" max="2" width="32.77734375" customWidth="1"/>
    <col min="3" max="3" width="29.33203125" bestFit="1" customWidth="1"/>
    <col min="4" max="4" width="31.77734375" bestFit="1" customWidth="1"/>
    <col min="5" max="5" width="29.33203125" bestFit="1" customWidth="1"/>
    <col min="6" max="6" width="31.77734375" bestFit="1" customWidth="1"/>
    <col min="7" max="7" width="29.33203125" bestFit="1" customWidth="1"/>
    <col min="8" max="8" width="31.77734375" bestFit="1" customWidth="1"/>
    <col min="9" max="9" width="29.33203125" bestFit="1" customWidth="1"/>
    <col min="10" max="10" width="34" bestFit="1" customWidth="1"/>
    <col min="11" max="11" width="29.33203125" bestFit="1" customWidth="1"/>
    <col min="12" max="12" width="34" bestFit="1" customWidth="1"/>
    <col min="13" max="13" width="29.33203125" bestFit="1" customWidth="1"/>
    <col min="14" max="14" width="34" bestFit="1" customWidth="1"/>
    <col min="15" max="15" width="9.5546875" bestFit="1" customWidth="1"/>
    <col min="16" max="16" width="13.33203125" bestFit="1" customWidth="1"/>
    <col min="17" max="17" width="12.88671875" bestFit="1" customWidth="1"/>
  </cols>
  <sheetData>
    <row r="1" spans="1:14" x14ac:dyDescent="0.3">
      <c r="A1" s="22"/>
      <c r="B1" s="22" t="s">
        <v>5927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</row>
    <row r="2" spans="1:14" x14ac:dyDescent="0.3">
      <c r="A2" s="22" t="s">
        <v>358</v>
      </c>
      <c r="B2" s="22">
        <v>78724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</row>
    <row r="3" spans="1:14" x14ac:dyDescent="0.3">
      <c r="A3" s="22" t="s">
        <v>359</v>
      </c>
      <c r="B3" s="22">
        <v>2882</v>
      </c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</row>
    <row r="4" spans="1:14" x14ac:dyDescent="0.3">
      <c r="A4" s="22" t="s">
        <v>360</v>
      </c>
      <c r="B4" s="22">
        <v>76957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</row>
    <row r="5" spans="1:14" x14ac:dyDescent="0.3">
      <c r="A5" s="22" t="s">
        <v>361</v>
      </c>
      <c r="B5" s="22">
        <v>66116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</row>
    <row r="6" spans="1:14" x14ac:dyDescent="0.3">
      <c r="A6" s="22" t="s">
        <v>362</v>
      </c>
      <c r="B6" s="22">
        <v>4840</v>
      </c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</row>
    <row r="7" spans="1:14" x14ac:dyDescent="0.3">
      <c r="A7" s="22" t="s">
        <v>363</v>
      </c>
      <c r="B7" s="22">
        <v>1533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</row>
    <row r="8" spans="1:14" x14ac:dyDescent="0.3">
      <c r="A8" s="22" t="s">
        <v>364</v>
      </c>
      <c r="B8" s="22">
        <v>121</v>
      </c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</row>
    <row r="9" spans="1:14" x14ac:dyDescent="0.3">
      <c r="A9" s="22" t="s">
        <v>365</v>
      </c>
      <c r="B9" s="22">
        <v>115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</row>
    <row r="10" spans="1:14" x14ac:dyDescent="0.3">
      <c r="A10" s="22" t="s">
        <v>366</v>
      </c>
      <c r="B10" s="22">
        <v>0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</row>
    <row r="11" spans="1:14" x14ac:dyDescent="0.3">
      <c r="A11" s="22" t="s">
        <v>367</v>
      </c>
      <c r="B11" s="22">
        <v>0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</row>
    <row r="12" spans="1:14" x14ac:dyDescent="0.3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</row>
    <row r="13" spans="1:14" x14ac:dyDescent="0.3">
      <c r="A13" s="22"/>
      <c r="B13" s="22" t="s">
        <v>5927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</row>
    <row r="14" spans="1:14" x14ac:dyDescent="0.3">
      <c r="A14" s="22" t="s">
        <v>368</v>
      </c>
      <c r="B14" s="22">
        <v>21322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</row>
    <row r="15" spans="1:14" x14ac:dyDescent="0.3">
      <c r="A15" s="22" t="s">
        <v>369</v>
      </c>
      <c r="B15" s="22">
        <v>683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</row>
    <row r="16" spans="1:14" x14ac:dyDescent="0.3">
      <c r="A16" s="22" t="s">
        <v>370</v>
      </c>
      <c r="B16" s="26">
        <v>3.2000000000000001E-2</v>
      </c>
      <c r="C16" s="22"/>
      <c r="D16" s="26"/>
      <c r="E16" s="22"/>
      <c r="F16" s="26"/>
      <c r="G16" s="22"/>
      <c r="H16" s="26"/>
      <c r="I16" s="22"/>
      <c r="J16" s="26"/>
      <c r="K16" s="22"/>
      <c r="L16" s="26"/>
      <c r="M16" s="22"/>
      <c r="N16" s="31"/>
    </row>
    <row r="17" spans="1:14" x14ac:dyDescent="0.3">
      <c r="A17" s="22" t="s">
        <v>371</v>
      </c>
      <c r="B17" s="22">
        <v>0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</row>
    <row r="18" spans="1:14" x14ac:dyDescent="0.3">
      <c r="A18" s="22" t="s">
        <v>372</v>
      </c>
      <c r="B18" s="26">
        <v>0</v>
      </c>
      <c r="C18" s="22"/>
      <c r="D18" s="26"/>
      <c r="E18" s="22"/>
      <c r="F18" s="26"/>
      <c r="G18" s="22"/>
      <c r="H18" s="26"/>
      <c r="I18" s="22"/>
      <c r="J18" s="26"/>
      <c r="K18" s="22"/>
      <c r="L18" s="26"/>
      <c r="M18" s="22"/>
      <c r="N18" s="26"/>
    </row>
    <row r="19" spans="1:14" x14ac:dyDescent="0.3">
      <c r="A19" s="22" t="s">
        <v>373</v>
      </c>
      <c r="B19" s="22">
        <v>19135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</row>
    <row r="20" spans="1:14" x14ac:dyDescent="0.3">
      <c r="A20" s="22" t="s">
        <v>374</v>
      </c>
      <c r="B20" s="22">
        <v>889</v>
      </c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</row>
    <row r="21" spans="1:14" x14ac:dyDescent="0.3">
      <c r="A21" s="22" t="s">
        <v>375</v>
      </c>
      <c r="B21" s="26">
        <v>4.65E-2</v>
      </c>
      <c r="C21" s="22"/>
      <c r="D21" s="26"/>
      <c r="E21" s="22"/>
      <c r="F21" s="26"/>
      <c r="G21" s="22"/>
      <c r="H21" s="26"/>
      <c r="I21" s="22"/>
      <c r="J21" s="26"/>
      <c r="K21" s="22"/>
      <c r="L21" s="26"/>
      <c r="M21" s="22"/>
      <c r="N21" s="26"/>
    </row>
    <row r="22" spans="1:14" x14ac:dyDescent="0.3">
      <c r="A22" s="22" t="s">
        <v>376</v>
      </c>
      <c r="B22" s="22">
        <v>0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</row>
    <row r="23" spans="1:14" x14ac:dyDescent="0.3">
      <c r="A23" s="22" t="s">
        <v>377</v>
      </c>
      <c r="B23" s="26">
        <v>0</v>
      </c>
      <c r="C23" s="22"/>
      <c r="D23" s="26"/>
      <c r="E23" s="22"/>
      <c r="F23" s="26"/>
      <c r="G23" s="22"/>
      <c r="H23" s="26"/>
      <c r="I23" s="22"/>
      <c r="J23" s="26"/>
      <c r="K23" s="22"/>
      <c r="L23" s="26"/>
      <c r="M23" s="22"/>
      <c r="N23" s="26"/>
    </row>
    <row r="24" spans="1:14" x14ac:dyDescent="0.3">
      <c r="A24" s="22" t="s">
        <v>378</v>
      </c>
      <c r="B24" s="22">
        <v>38267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</row>
    <row r="25" spans="1:14" x14ac:dyDescent="0.3">
      <c r="A25" s="22" t="s">
        <v>379</v>
      </c>
      <c r="B25" s="22">
        <v>1310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</row>
    <row r="26" spans="1:14" x14ac:dyDescent="0.3">
      <c r="A26" s="22" t="s">
        <v>380</v>
      </c>
      <c r="B26" s="26">
        <v>3.4200000000000001E-2</v>
      </c>
      <c r="C26" s="22"/>
      <c r="D26" s="26"/>
      <c r="E26" s="22"/>
      <c r="F26" s="26"/>
      <c r="G26" s="22"/>
      <c r="H26" s="26"/>
      <c r="I26" s="22"/>
      <c r="J26" s="26"/>
      <c r="K26" s="22"/>
      <c r="L26" s="26"/>
      <c r="M26" s="22"/>
      <c r="N26" s="26"/>
    </row>
    <row r="27" spans="1:14" x14ac:dyDescent="0.3">
      <c r="A27" s="22" t="s">
        <v>381</v>
      </c>
      <c r="B27" s="22">
        <v>0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</row>
    <row r="28" spans="1:14" x14ac:dyDescent="0.3">
      <c r="A28" s="22" t="s">
        <v>382</v>
      </c>
      <c r="B28" s="26">
        <v>0</v>
      </c>
      <c r="C28" s="22"/>
      <c r="D28" s="26"/>
      <c r="E28" s="22"/>
      <c r="F28" s="26"/>
      <c r="G28" s="22"/>
      <c r="H28" s="26"/>
      <c r="I28" s="22"/>
      <c r="J28" s="26"/>
      <c r="K28" s="22"/>
      <c r="L28" s="26"/>
      <c r="M28" s="22"/>
      <c r="N28" s="26"/>
    </row>
    <row r="29" spans="1:14" x14ac:dyDescent="0.3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</row>
    <row r="30" spans="1:14" x14ac:dyDescent="0.3">
      <c r="A30" s="22"/>
      <c r="B30" s="22" t="s">
        <v>5927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</row>
    <row r="31" spans="1:14" x14ac:dyDescent="0.3">
      <c r="A31" s="22" t="s">
        <v>2771</v>
      </c>
      <c r="B31" s="22">
        <v>119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</row>
    <row r="32" spans="1:14" x14ac:dyDescent="0.3">
      <c r="A32" s="22" t="s">
        <v>5472</v>
      </c>
      <c r="B32" s="22">
        <v>24</v>
      </c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</row>
    <row r="33" spans="1:14" x14ac:dyDescent="0.3">
      <c r="A33" s="22" t="s">
        <v>5473</v>
      </c>
      <c r="B33" s="22">
        <v>0</v>
      </c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</row>
    <row r="34" spans="1:14" x14ac:dyDescent="0.3">
      <c r="A34" s="22" t="s">
        <v>5474</v>
      </c>
      <c r="B34" s="22">
        <v>0</v>
      </c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</row>
    <row r="35" spans="1:14" x14ac:dyDescent="0.3">
      <c r="A35" s="22" t="s">
        <v>5475</v>
      </c>
      <c r="B35" s="22">
        <v>0</v>
      </c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</row>
    <row r="36" spans="1:14" x14ac:dyDescent="0.3">
      <c r="A36" s="22" t="s">
        <v>5476</v>
      </c>
      <c r="B36" s="22">
        <v>0</v>
      </c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</row>
    <row r="37" spans="1:14" x14ac:dyDescent="0.3">
      <c r="A37" s="22" t="s">
        <v>5477</v>
      </c>
      <c r="B37" s="22">
        <v>0</v>
      </c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</row>
    <row r="38" spans="1:14" x14ac:dyDescent="0.3">
      <c r="A38" s="22" t="s">
        <v>5478</v>
      </c>
      <c r="B38" s="22">
        <v>0</v>
      </c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</row>
    <row r="39" spans="1:14" x14ac:dyDescent="0.3">
      <c r="A39" s="22" t="s">
        <v>2773</v>
      </c>
      <c r="B39" s="22">
        <v>178</v>
      </c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</row>
    <row r="40" spans="1:14" x14ac:dyDescent="0.3">
      <c r="A40" s="22" t="s">
        <v>5659</v>
      </c>
      <c r="B40" s="22">
        <v>0</v>
      </c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</row>
    <row r="41" spans="1:14" x14ac:dyDescent="0.3">
      <c r="A41" s="22" t="s">
        <v>5660</v>
      </c>
      <c r="B41" s="22">
        <v>0</v>
      </c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</row>
    <row r="42" spans="1:14" x14ac:dyDescent="0.3">
      <c r="A42" s="22" t="s">
        <v>5661</v>
      </c>
      <c r="B42" s="22">
        <v>0</v>
      </c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</row>
    <row r="43" spans="1:14" x14ac:dyDescent="0.3">
      <c r="A43" s="22" t="s">
        <v>5662</v>
      </c>
      <c r="B43" s="22">
        <v>0</v>
      </c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</row>
    <row r="44" spans="1:14" x14ac:dyDescent="0.3">
      <c r="A44" s="22" t="s">
        <v>5663</v>
      </c>
      <c r="B44" s="22">
        <v>0</v>
      </c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</row>
    <row r="45" spans="1:14" x14ac:dyDescent="0.3">
      <c r="A45" s="22" t="s">
        <v>5664</v>
      </c>
      <c r="B45" s="22">
        <v>0</v>
      </c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</row>
    <row r="46" spans="1:14" x14ac:dyDescent="0.3">
      <c r="A46" s="22" t="s">
        <v>5665</v>
      </c>
      <c r="B46" s="22">
        <v>0</v>
      </c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</row>
    <row r="47" spans="1:14" x14ac:dyDescent="0.3">
      <c r="A47" s="22" t="s">
        <v>2775</v>
      </c>
      <c r="B47" s="22">
        <v>82</v>
      </c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</row>
    <row r="48" spans="1:14" x14ac:dyDescent="0.3">
      <c r="A48" s="22" t="s">
        <v>5666</v>
      </c>
      <c r="B48" s="22">
        <v>0</v>
      </c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</row>
    <row r="49" spans="1:14" x14ac:dyDescent="0.3">
      <c r="A49" s="22" t="s">
        <v>5667</v>
      </c>
      <c r="B49" s="22">
        <v>0</v>
      </c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</row>
    <row r="50" spans="1:14" x14ac:dyDescent="0.3">
      <c r="A50" s="22" t="s">
        <v>5668</v>
      </c>
      <c r="B50" s="22">
        <v>1</v>
      </c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</row>
    <row r="51" spans="1:14" x14ac:dyDescent="0.3">
      <c r="A51" s="22" t="s">
        <v>5669</v>
      </c>
      <c r="B51" s="22">
        <v>0</v>
      </c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</row>
    <row r="52" spans="1:14" x14ac:dyDescent="0.3">
      <c r="A52" s="22" t="s">
        <v>5670</v>
      </c>
      <c r="B52" s="22">
        <v>0</v>
      </c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</row>
    <row r="53" spans="1:14" x14ac:dyDescent="0.3">
      <c r="A53" s="22" t="s">
        <v>5671</v>
      </c>
      <c r="B53" s="22">
        <v>0</v>
      </c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</row>
    <row r="54" spans="1:14" x14ac:dyDescent="0.3">
      <c r="A54" s="22" t="s">
        <v>5672</v>
      </c>
      <c r="B54" s="22">
        <v>0</v>
      </c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</row>
    <row r="55" spans="1:14" x14ac:dyDescent="0.3">
      <c r="A55" s="22" t="s">
        <v>2777</v>
      </c>
      <c r="B55" s="22">
        <v>344</v>
      </c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</row>
    <row r="56" spans="1:14" x14ac:dyDescent="0.3">
      <c r="A56" s="22" t="s">
        <v>5673</v>
      </c>
      <c r="B56" s="22">
        <v>0</v>
      </c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</row>
    <row r="57" spans="1:14" x14ac:dyDescent="0.3">
      <c r="A57" s="22" t="s">
        <v>5674</v>
      </c>
      <c r="B57" s="22">
        <v>0</v>
      </c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</row>
    <row r="58" spans="1:14" x14ac:dyDescent="0.3">
      <c r="A58" s="22" t="s">
        <v>5675</v>
      </c>
      <c r="B58" s="22">
        <v>0</v>
      </c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</row>
    <row r="59" spans="1:14" x14ac:dyDescent="0.3">
      <c r="A59" s="22" t="s">
        <v>5676</v>
      </c>
      <c r="B59" s="22">
        <v>1</v>
      </c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</row>
    <row r="60" spans="1:14" x14ac:dyDescent="0.3">
      <c r="A60" s="22" t="s">
        <v>5677</v>
      </c>
      <c r="B60" s="22">
        <v>0</v>
      </c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</row>
    <row r="61" spans="1:14" x14ac:dyDescent="0.3">
      <c r="A61" s="22" t="s">
        <v>5678</v>
      </c>
      <c r="B61" s="22">
        <v>0</v>
      </c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</row>
    <row r="62" spans="1:14" x14ac:dyDescent="0.3">
      <c r="A62" s="22" t="s">
        <v>5679</v>
      </c>
      <c r="B62" s="22">
        <v>0</v>
      </c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</row>
    <row r="63" spans="1:14" x14ac:dyDescent="0.3">
      <c r="A63" s="22" t="s">
        <v>2779</v>
      </c>
      <c r="B63" s="22">
        <v>280</v>
      </c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</row>
    <row r="64" spans="1:14" x14ac:dyDescent="0.3">
      <c r="A64" s="22" t="s">
        <v>5680</v>
      </c>
      <c r="B64" s="22">
        <v>103</v>
      </c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</row>
    <row r="65" spans="1:14" x14ac:dyDescent="0.3">
      <c r="A65" s="22" t="s">
        <v>5681</v>
      </c>
      <c r="B65" s="22">
        <v>0</v>
      </c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</row>
    <row r="66" spans="1:14" x14ac:dyDescent="0.3">
      <c r="A66" s="22" t="s">
        <v>5682</v>
      </c>
      <c r="B66" s="22">
        <v>0</v>
      </c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</row>
    <row r="67" spans="1:14" x14ac:dyDescent="0.3">
      <c r="A67" s="22" t="s">
        <v>5683</v>
      </c>
      <c r="B67" s="22">
        <v>0</v>
      </c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</row>
    <row r="68" spans="1:14" x14ac:dyDescent="0.3">
      <c r="A68" s="22" t="s">
        <v>5684</v>
      </c>
      <c r="B68" s="22">
        <v>0</v>
      </c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</row>
    <row r="69" spans="1:14" x14ac:dyDescent="0.3">
      <c r="A69" s="22" t="s">
        <v>5685</v>
      </c>
      <c r="B69" s="22">
        <v>0</v>
      </c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</row>
    <row r="70" spans="1:14" x14ac:dyDescent="0.3">
      <c r="A70" s="22" t="s">
        <v>5686</v>
      </c>
      <c r="B70" s="22">
        <v>0</v>
      </c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</row>
    <row r="71" spans="1:14" x14ac:dyDescent="0.3">
      <c r="A71" s="22" t="s">
        <v>2781</v>
      </c>
      <c r="B71" s="22">
        <v>112</v>
      </c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</row>
    <row r="72" spans="1:14" x14ac:dyDescent="0.3">
      <c r="A72" s="22" t="s">
        <v>5687</v>
      </c>
      <c r="B72" s="22">
        <v>0</v>
      </c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</row>
    <row r="73" spans="1:14" x14ac:dyDescent="0.3">
      <c r="A73" s="22" t="s">
        <v>5688</v>
      </c>
      <c r="B73" s="22">
        <v>0</v>
      </c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</row>
    <row r="74" spans="1:14" x14ac:dyDescent="0.3">
      <c r="A74" s="22" t="s">
        <v>5689</v>
      </c>
      <c r="B74" s="22">
        <v>0</v>
      </c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</row>
    <row r="75" spans="1:14" x14ac:dyDescent="0.3">
      <c r="A75" s="22" t="s">
        <v>5690</v>
      </c>
      <c r="B75" s="22">
        <v>0</v>
      </c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</row>
    <row r="76" spans="1:14" x14ac:dyDescent="0.3">
      <c r="A76" s="22" t="s">
        <v>5691</v>
      </c>
      <c r="B76" s="22">
        <v>0</v>
      </c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</row>
    <row r="77" spans="1:14" x14ac:dyDescent="0.3">
      <c r="A77" s="22" t="s">
        <v>5692</v>
      </c>
      <c r="B77" s="22">
        <v>0</v>
      </c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</row>
    <row r="78" spans="1:14" x14ac:dyDescent="0.3">
      <c r="A78" s="22" t="s">
        <v>5693</v>
      </c>
      <c r="B78" s="22">
        <v>0</v>
      </c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</row>
    <row r="79" spans="1:14" x14ac:dyDescent="0.3">
      <c r="A79" s="22" t="s">
        <v>2783</v>
      </c>
      <c r="B79" s="22">
        <v>18</v>
      </c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</row>
    <row r="80" spans="1:14" x14ac:dyDescent="0.3">
      <c r="A80" s="22" t="s">
        <v>5694</v>
      </c>
      <c r="B80" s="22">
        <v>0</v>
      </c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</row>
    <row r="81" spans="1:14" x14ac:dyDescent="0.3">
      <c r="A81" s="22" t="s">
        <v>5695</v>
      </c>
      <c r="B81" s="22">
        <v>0</v>
      </c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</row>
    <row r="82" spans="1:14" x14ac:dyDescent="0.3">
      <c r="A82" s="22" t="s">
        <v>5696</v>
      </c>
      <c r="B82" s="22">
        <v>0</v>
      </c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</row>
    <row r="83" spans="1:14" x14ac:dyDescent="0.3">
      <c r="A83" s="22" t="s">
        <v>5697</v>
      </c>
      <c r="B83" s="22">
        <v>0</v>
      </c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</row>
    <row r="84" spans="1:14" x14ac:dyDescent="0.3">
      <c r="A84" s="22" t="s">
        <v>5698</v>
      </c>
      <c r="B84" s="22">
        <v>0</v>
      </c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</row>
    <row r="85" spans="1:14" x14ac:dyDescent="0.3">
      <c r="A85" s="22" t="s">
        <v>5699</v>
      </c>
      <c r="B85" s="22">
        <v>0</v>
      </c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</row>
    <row r="86" spans="1:14" x14ac:dyDescent="0.3">
      <c r="A86" s="22" t="s">
        <v>5700</v>
      </c>
      <c r="B86" s="22">
        <v>0</v>
      </c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</row>
    <row r="87" spans="1:14" x14ac:dyDescent="0.3">
      <c r="A87" s="22" t="s">
        <v>2785</v>
      </c>
      <c r="B87" s="22">
        <v>384</v>
      </c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</row>
    <row r="88" spans="1:14" x14ac:dyDescent="0.3">
      <c r="A88" s="22" t="s">
        <v>5701</v>
      </c>
      <c r="B88" s="22">
        <v>0</v>
      </c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</row>
    <row r="89" spans="1:14" x14ac:dyDescent="0.3">
      <c r="A89" s="22" t="s">
        <v>5702</v>
      </c>
      <c r="B89" s="22">
        <v>0</v>
      </c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</row>
    <row r="90" spans="1:14" x14ac:dyDescent="0.3">
      <c r="A90" s="22" t="s">
        <v>5703</v>
      </c>
      <c r="B90" s="22">
        <v>0</v>
      </c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</row>
    <row r="91" spans="1:14" x14ac:dyDescent="0.3">
      <c r="A91" s="22" t="s">
        <v>5704</v>
      </c>
      <c r="B91" s="22">
        <v>0</v>
      </c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</row>
    <row r="92" spans="1:14" x14ac:dyDescent="0.3">
      <c r="A92" s="22" t="s">
        <v>5705</v>
      </c>
      <c r="B92" s="22">
        <v>0</v>
      </c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</row>
    <row r="93" spans="1:14" x14ac:dyDescent="0.3">
      <c r="A93" s="22" t="s">
        <v>5706</v>
      </c>
      <c r="B93" s="22">
        <v>0</v>
      </c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</row>
    <row r="94" spans="1:14" x14ac:dyDescent="0.3">
      <c r="A94" s="22" t="s">
        <v>5707</v>
      </c>
      <c r="B94" s="22">
        <v>0</v>
      </c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</row>
    <row r="95" spans="1:14" x14ac:dyDescent="0.3">
      <c r="A95" s="22" t="s">
        <v>2787</v>
      </c>
      <c r="B95" s="22">
        <v>146</v>
      </c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</row>
    <row r="96" spans="1:14" x14ac:dyDescent="0.3">
      <c r="A96" s="22" t="s">
        <v>5708</v>
      </c>
      <c r="B96" s="22">
        <v>14</v>
      </c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</row>
    <row r="97" spans="1:14" x14ac:dyDescent="0.3">
      <c r="A97" s="22" t="s">
        <v>5709</v>
      </c>
      <c r="B97" s="22">
        <v>97</v>
      </c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</row>
    <row r="98" spans="1:14" x14ac:dyDescent="0.3">
      <c r="A98" s="22" t="s">
        <v>5710</v>
      </c>
      <c r="B98" s="22">
        <v>2</v>
      </c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</row>
    <row r="99" spans="1:14" x14ac:dyDescent="0.3">
      <c r="A99" s="22" t="s">
        <v>5711</v>
      </c>
      <c r="B99" s="22">
        <v>0</v>
      </c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</row>
    <row r="100" spans="1:14" x14ac:dyDescent="0.3">
      <c r="A100" s="22" t="s">
        <v>5712</v>
      </c>
      <c r="B100" s="22">
        <v>0</v>
      </c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</row>
    <row r="101" spans="1:14" x14ac:dyDescent="0.3">
      <c r="A101" s="22" t="s">
        <v>5713</v>
      </c>
      <c r="B101" s="22">
        <v>0</v>
      </c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</row>
    <row r="102" spans="1:14" x14ac:dyDescent="0.3">
      <c r="A102" s="22" t="s">
        <v>5714</v>
      </c>
      <c r="B102" s="22">
        <v>0</v>
      </c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</row>
    <row r="103" spans="1:14" x14ac:dyDescent="0.3">
      <c r="A103" s="22" t="s">
        <v>2789</v>
      </c>
      <c r="B103" s="22">
        <v>115</v>
      </c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</row>
    <row r="104" spans="1:14" x14ac:dyDescent="0.3">
      <c r="A104" s="22" t="s">
        <v>5715</v>
      </c>
      <c r="B104" s="22">
        <v>0</v>
      </c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</row>
    <row r="105" spans="1:14" x14ac:dyDescent="0.3">
      <c r="A105" s="22" t="s">
        <v>5716</v>
      </c>
      <c r="B105" s="22">
        <v>0</v>
      </c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</row>
    <row r="106" spans="1:14" x14ac:dyDescent="0.3">
      <c r="A106" s="22" t="s">
        <v>5717</v>
      </c>
      <c r="B106" s="22">
        <v>0</v>
      </c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</row>
    <row r="107" spans="1:14" x14ac:dyDescent="0.3">
      <c r="A107" s="22" t="s">
        <v>5718</v>
      </c>
      <c r="B107" s="22">
        <v>0</v>
      </c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</row>
    <row r="108" spans="1:14" x14ac:dyDescent="0.3">
      <c r="A108" s="22" t="s">
        <v>5719</v>
      </c>
      <c r="B108" s="22">
        <v>0</v>
      </c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</row>
    <row r="109" spans="1:14" x14ac:dyDescent="0.3">
      <c r="A109" s="22" t="s">
        <v>5720</v>
      </c>
      <c r="B109" s="22">
        <v>0</v>
      </c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</row>
    <row r="110" spans="1:14" x14ac:dyDescent="0.3">
      <c r="A110" s="22" t="s">
        <v>5721</v>
      </c>
      <c r="B110" s="22">
        <v>0</v>
      </c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</row>
    <row r="111" spans="1:14" x14ac:dyDescent="0.3">
      <c r="A111" s="22" t="s">
        <v>2791</v>
      </c>
      <c r="B111" s="22">
        <v>204</v>
      </c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</row>
    <row r="112" spans="1:14" x14ac:dyDescent="0.3">
      <c r="A112" s="22" t="s">
        <v>5722</v>
      </c>
      <c r="B112" s="22">
        <v>44</v>
      </c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</row>
    <row r="113" spans="1:14" x14ac:dyDescent="0.3">
      <c r="A113" s="22" t="s">
        <v>5723</v>
      </c>
      <c r="B113" s="22">
        <v>0</v>
      </c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</row>
    <row r="114" spans="1:14" x14ac:dyDescent="0.3">
      <c r="A114" s="22" t="s">
        <v>5724</v>
      </c>
      <c r="B114" s="22">
        <v>0</v>
      </c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</row>
    <row r="115" spans="1:14" x14ac:dyDescent="0.3">
      <c r="A115" s="22" t="s">
        <v>5725</v>
      </c>
      <c r="B115" s="22">
        <v>0</v>
      </c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</row>
    <row r="116" spans="1:14" x14ac:dyDescent="0.3">
      <c r="A116" s="22" t="s">
        <v>5726</v>
      </c>
      <c r="B116" s="22">
        <v>0</v>
      </c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</row>
    <row r="117" spans="1:14" x14ac:dyDescent="0.3">
      <c r="A117" s="22" t="s">
        <v>5727</v>
      </c>
      <c r="B117" s="22">
        <v>0</v>
      </c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</row>
    <row r="118" spans="1:14" x14ac:dyDescent="0.3">
      <c r="A118" s="22" t="s">
        <v>5728</v>
      </c>
      <c r="B118" s="22">
        <v>0</v>
      </c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</row>
    <row r="119" spans="1:14" x14ac:dyDescent="0.3">
      <c r="A119" s="22" t="s">
        <v>2793</v>
      </c>
      <c r="B119" s="22">
        <v>23</v>
      </c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</row>
    <row r="120" spans="1:14" x14ac:dyDescent="0.3">
      <c r="A120" s="22" t="s">
        <v>5729</v>
      </c>
      <c r="B120" s="22">
        <v>0</v>
      </c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</row>
    <row r="121" spans="1:14" x14ac:dyDescent="0.3">
      <c r="A121" s="22" t="s">
        <v>5730</v>
      </c>
      <c r="B121" s="22">
        <v>0</v>
      </c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</row>
    <row r="122" spans="1:14" x14ac:dyDescent="0.3">
      <c r="A122" s="22" t="s">
        <v>5731</v>
      </c>
      <c r="B122" s="22">
        <v>0</v>
      </c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</row>
    <row r="123" spans="1:14" x14ac:dyDescent="0.3">
      <c r="A123" s="22" t="s">
        <v>5732</v>
      </c>
      <c r="B123" s="22">
        <v>0</v>
      </c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</row>
    <row r="124" spans="1:14" x14ac:dyDescent="0.3">
      <c r="A124" s="22" t="s">
        <v>5733</v>
      </c>
      <c r="B124" s="22">
        <v>0</v>
      </c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</row>
    <row r="125" spans="1:14" x14ac:dyDescent="0.3">
      <c r="A125" s="22" t="s">
        <v>5734</v>
      </c>
      <c r="B125" s="22">
        <v>0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</row>
    <row r="126" spans="1:14" x14ac:dyDescent="0.3">
      <c r="A126" s="22" t="s">
        <v>5735</v>
      </c>
      <c r="B126" s="22">
        <v>0</v>
      </c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</row>
    <row r="127" spans="1:14" x14ac:dyDescent="0.3">
      <c r="A127" s="22" t="s">
        <v>2795</v>
      </c>
      <c r="B127" s="22">
        <v>0</v>
      </c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</row>
    <row r="128" spans="1:14" x14ac:dyDescent="0.3">
      <c r="A128" s="22" t="s">
        <v>5736</v>
      </c>
      <c r="B128" s="22">
        <v>0</v>
      </c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</row>
    <row r="129" spans="1:14" x14ac:dyDescent="0.3">
      <c r="A129" s="22" t="s">
        <v>5737</v>
      </c>
      <c r="B129" s="22">
        <v>0</v>
      </c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</row>
    <row r="130" spans="1:14" x14ac:dyDescent="0.3">
      <c r="A130" s="22" t="s">
        <v>5738</v>
      </c>
      <c r="B130" s="22">
        <v>0</v>
      </c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</row>
    <row r="131" spans="1:14" x14ac:dyDescent="0.3">
      <c r="A131" s="22" t="s">
        <v>5739</v>
      </c>
      <c r="B131" s="22">
        <v>0</v>
      </c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</row>
    <row r="132" spans="1:14" x14ac:dyDescent="0.3">
      <c r="A132" s="22" t="s">
        <v>5740</v>
      </c>
      <c r="B132" s="22">
        <v>0</v>
      </c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</row>
    <row r="133" spans="1:14" x14ac:dyDescent="0.3">
      <c r="A133" s="22" t="s">
        <v>5741</v>
      </c>
      <c r="B133" s="22">
        <v>0</v>
      </c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</row>
    <row r="134" spans="1:14" x14ac:dyDescent="0.3">
      <c r="A134" s="22" t="s">
        <v>5742</v>
      </c>
      <c r="B134" s="22">
        <v>0</v>
      </c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</row>
    <row r="135" spans="1:14" x14ac:dyDescent="0.3">
      <c r="A135" s="22" t="s">
        <v>2797</v>
      </c>
      <c r="B135" s="22">
        <v>94</v>
      </c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</row>
    <row r="136" spans="1:14" x14ac:dyDescent="0.3">
      <c r="A136" s="22" t="s">
        <v>5564</v>
      </c>
      <c r="B136" s="22">
        <v>0</v>
      </c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</row>
    <row r="137" spans="1:14" x14ac:dyDescent="0.3">
      <c r="A137" s="22" t="s">
        <v>5565</v>
      </c>
      <c r="B137" s="22">
        <v>0</v>
      </c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</row>
    <row r="138" spans="1:14" x14ac:dyDescent="0.3">
      <c r="A138" s="22" t="s">
        <v>5566</v>
      </c>
      <c r="B138" s="22">
        <v>0</v>
      </c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</row>
    <row r="139" spans="1:14" x14ac:dyDescent="0.3">
      <c r="A139" s="22" t="s">
        <v>5567</v>
      </c>
      <c r="B139" s="22">
        <v>0</v>
      </c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</row>
    <row r="140" spans="1:14" x14ac:dyDescent="0.3">
      <c r="A140" s="22" t="s">
        <v>5568</v>
      </c>
      <c r="B140" s="22">
        <v>0</v>
      </c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</row>
    <row r="141" spans="1:14" x14ac:dyDescent="0.3">
      <c r="A141" s="22" t="s">
        <v>5569</v>
      </c>
      <c r="B141" s="22">
        <v>0</v>
      </c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</row>
    <row r="142" spans="1:14" x14ac:dyDescent="0.3">
      <c r="A142" s="22" t="s">
        <v>5570</v>
      </c>
      <c r="B142" s="22">
        <v>0</v>
      </c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</row>
    <row r="143" spans="1:14" x14ac:dyDescent="0.3">
      <c r="A143" s="22" t="s">
        <v>2799</v>
      </c>
      <c r="B143" s="22">
        <v>288</v>
      </c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</row>
    <row r="144" spans="1:14" x14ac:dyDescent="0.3">
      <c r="A144" s="22" t="s">
        <v>5743</v>
      </c>
      <c r="B144" s="22">
        <v>30</v>
      </c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</row>
    <row r="145" spans="1:14" x14ac:dyDescent="0.3">
      <c r="A145" s="22" t="s">
        <v>5744</v>
      </c>
      <c r="B145" s="22">
        <v>0</v>
      </c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</row>
    <row r="146" spans="1:14" x14ac:dyDescent="0.3">
      <c r="A146" s="22" t="s">
        <v>5745</v>
      </c>
      <c r="B146" s="22">
        <v>1</v>
      </c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</row>
    <row r="147" spans="1:14" x14ac:dyDescent="0.3">
      <c r="A147" s="22" t="s">
        <v>5746</v>
      </c>
      <c r="B147" s="22">
        <v>0</v>
      </c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</row>
    <row r="148" spans="1:14" x14ac:dyDescent="0.3">
      <c r="A148" s="22" t="s">
        <v>5747</v>
      </c>
      <c r="B148" s="22">
        <v>0</v>
      </c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</row>
    <row r="149" spans="1:14" x14ac:dyDescent="0.3">
      <c r="A149" s="22" t="s">
        <v>5748</v>
      </c>
      <c r="B149" s="22">
        <v>0</v>
      </c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</row>
    <row r="150" spans="1:14" x14ac:dyDescent="0.3">
      <c r="A150" s="22" t="s">
        <v>5749</v>
      </c>
      <c r="B150" s="22">
        <v>0</v>
      </c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</row>
    <row r="151" spans="1:14" x14ac:dyDescent="0.3">
      <c r="A151" s="22" t="s">
        <v>2801</v>
      </c>
      <c r="B151" s="22">
        <v>66</v>
      </c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</row>
    <row r="152" spans="1:14" x14ac:dyDescent="0.3">
      <c r="A152" s="22" t="s">
        <v>5750</v>
      </c>
      <c r="B152" s="22">
        <v>0</v>
      </c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</row>
    <row r="153" spans="1:14" x14ac:dyDescent="0.3">
      <c r="A153" s="22" t="s">
        <v>5751</v>
      </c>
      <c r="B153" s="22">
        <v>0</v>
      </c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</row>
    <row r="154" spans="1:14" x14ac:dyDescent="0.3">
      <c r="A154" s="22" t="s">
        <v>5752</v>
      </c>
      <c r="B154" s="22">
        <v>0</v>
      </c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</row>
    <row r="155" spans="1:14" x14ac:dyDescent="0.3">
      <c r="A155" s="22" t="s">
        <v>5753</v>
      </c>
      <c r="B155" s="22">
        <v>0</v>
      </c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</row>
    <row r="156" spans="1:14" x14ac:dyDescent="0.3">
      <c r="A156" s="22" t="s">
        <v>5754</v>
      </c>
      <c r="B156" s="22">
        <v>0</v>
      </c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</row>
    <row r="157" spans="1:14" x14ac:dyDescent="0.3">
      <c r="A157" s="22" t="s">
        <v>5755</v>
      </c>
      <c r="B157" s="22">
        <v>0</v>
      </c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</row>
    <row r="158" spans="1:14" x14ac:dyDescent="0.3">
      <c r="A158" s="22" t="s">
        <v>5756</v>
      </c>
      <c r="B158" s="22">
        <v>0</v>
      </c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</row>
    <row r="159" spans="1:14" x14ac:dyDescent="0.3">
      <c r="A159" s="22" t="s">
        <v>2803</v>
      </c>
      <c r="B159" s="22">
        <v>168</v>
      </c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</row>
    <row r="160" spans="1:14" x14ac:dyDescent="0.3">
      <c r="A160" s="22" t="s">
        <v>5757</v>
      </c>
      <c r="B160" s="22">
        <v>0</v>
      </c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</row>
    <row r="161" spans="1:14" x14ac:dyDescent="0.3">
      <c r="A161" s="22" t="s">
        <v>5758</v>
      </c>
      <c r="B161" s="22">
        <v>0</v>
      </c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</row>
    <row r="162" spans="1:14" x14ac:dyDescent="0.3">
      <c r="A162" s="22" t="s">
        <v>5759</v>
      </c>
      <c r="B162" s="22">
        <v>0</v>
      </c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</row>
    <row r="163" spans="1:14" x14ac:dyDescent="0.3">
      <c r="A163" s="22" t="s">
        <v>5760</v>
      </c>
      <c r="B163" s="22">
        <v>0</v>
      </c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</row>
    <row r="164" spans="1:14" x14ac:dyDescent="0.3">
      <c r="A164" s="22" t="s">
        <v>5761</v>
      </c>
      <c r="B164" s="22">
        <v>0</v>
      </c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</row>
    <row r="165" spans="1:14" x14ac:dyDescent="0.3">
      <c r="A165" s="22" t="s">
        <v>5762</v>
      </c>
      <c r="B165" s="22">
        <v>0</v>
      </c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</row>
    <row r="166" spans="1:14" x14ac:dyDescent="0.3">
      <c r="A166" s="22" t="s">
        <v>5763</v>
      </c>
      <c r="B166" s="22">
        <v>0</v>
      </c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</row>
    <row r="167" spans="1:14" x14ac:dyDescent="0.3">
      <c r="A167" s="22" t="s">
        <v>2805</v>
      </c>
      <c r="B167" s="22">
        <v>44</v>
      </c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</row>
    <row r="168" spans="1:14" x14ac:dyDescent="0.3">
      <c r="A168" s="22" t="s">
        <v>5764</v>
      </c>
      <c r="B168" s="22">
        <v>0</v>
      </c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</row>
    <row r="169" spans="1:14" x14ac:dyDescent="0.3">
      <c r="A169" s="22" t="s">
        <v>5765</v>
      </c>
      <c r="B169" s="22">
        <v>0</v>
      </c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</row>
    <row r="170" spans="1:14" x14ac:dyDescent="0.3">
      <c r="A170" s="22" t="s">
        <v>5766</v>
      </c>
      <c r="B170" s="22">
        <v>0</v>
      </c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</row>
    <row r="171" spans="1:14" x14ac:dyDescent="0.3">
      <c r="A171" s="22" t="s">
        <v>5767</v>
      </c>
      <c r="B171" s="22">
        <v>0</v>
      </c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</row>
    <row r="172" spans="1:14" x14ac:dyDescent="0.3">
      <c r="A172" s="22" t="s">
        <v>5768</v>
      </c>
      <c r="B172" s="22">
        <v>0</v>
      </c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</row>
    <row r="173" spans="1:14" x14ac:dyDescent="0.3">
      <c r="A173" s="22" t="s">
        <v>5769</v>
      </c>
      <c r="B173" s="22">
        <v>0</v>
      </c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</row>
    <row r="174" spans="1:14" x14ac:dyDescent="0.3">
      <c r="A174" s="22" t="s">
        <v>5770</v>
      </c>
      <c r="B174" s="22">
        <v>0</v>
      </c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</row>
    <row r="175" spans="1:14" x14ac:dyDescent="0.3">
      <c r="A175" s="22" t="s">
        <v>2807</v>
      </c>
      <c r="B175" s="22">
        <v>2</v>
      </c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</row>
    <row r="176" spans="1:14" x14ac:dyDescent="0.3">
      <c r="A176" s="22" t="s">
        <v>5581</v>
      </c>
      <c r="B176" s="22">
        <v>0</v>
      </c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</row>
    <row r="177" spans="1:14" x14ac:dyDescent="0.3">
      <c r="A177" s="22" t="s">
        <v>5582</v>
      </c>
      <c r="B177" s="22">
        <v>0</v>
      </c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</row>
    <row r="178" spans="1:14" x14ac:dyDescent="0.3">
      <c r="A178" s="22" t="s">
        <v>5583</v>
      </c>
      <c r="B178" s="22">
        <v>0</v>
      </c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</row>
    <row r="179" spans="1:14" x14ac:dyDescent="0.3">
      <c r="A179" s="22" t="s">
        <v>5584</v>
      </c>
      <c r="B179" s="22">
        <v>0</v>
      </c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</row>
    <row r="180" spans="1:14" x14ac:dyDescent="0.3">
      <c r="A180" s="22" t="s">
        <v>5585</v>
      </c>
      <c r="B180" s="22">
        <v>0</v>
      </c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</row>
    <row r="181" spans="1:14" x14ac:dyDescent="0.3">
      <c r="A181" s="22" t="s">
        <v>5586</v>
      </c>
      <c r="B181" s="22">
        <v>0</v>
      </c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</row>
    <row r="182" spans="1:14" x14ac:dyDescent="0.3">
      <c r="A182" s="22" t="s">
        <v>5587</v>
      </c>
      <c r="B182" s="22">
        <v>0</v>
      </c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</row>
    <row r="183" spans="1:14" x14ac:dyDescent="0.3">
      <c r="A183" s="22" t="s">
        <v>2809</v>
      </c>
      <c r="B183" s="22">
        <v>26</v>
      </c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</row>
    <row r="184" spans="1:14" x14ac:dyDescent="0.3">
      <c r="A184" s="22" t="s">
        <v>5528</v>
      </c>
      <c r="B184" s="22">
        <v>0</v>
      </c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</row>
    <row r="185" spans="1:14" x14ac:dyDescent="0.3">
      <c r="A185" s="22" t="s">
        <v>5529</v>
      </c>
      <c r="B185" s="22">
        <v>0</v>
      </c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</row>
    <row r="186" spans="1:14" x14ac:dyDescent="0.3">
      <c r="A186" s="22" t="s">
        <v>5530</v>
      </c>
      <c r="B186" s="22">
        <v>0</v>
      </c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</row>
    <row r="187" spans="1:14" x14ac:dyDescent="0.3">
      <c r="A187" s="22" t="s">
        <v>5531</v>
      </c>
      <c r="B187" s="22">
        <v>0</v>
      </c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</row>
    <row r="188" spans="1:14" x14ac:dyDescent="0.3">
      <c r="A188" s="22" t="s">
        <v>5532</v>
      </c>
      <c r="B188" s="22">
        <v>0</v>
      </c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</row>
    <row r="189" spans="1:14" x14ac:dyDescent="0.3">
      <c r="A189" s="22" t="s">
        <v>5533</v>
      </c>
      <c r="B189" s="22">
        <v>0</v>
      </c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</row>
    <row r="190" spans="1:14" x14ac:dyDescent="0.3">
      <c r="A190" s="22" t="s">
        <v>5534</v>
      </c>
      <c r="B190" s="22">
        <v>0</v>
      </c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</row>
    <row r="191" spans="1:14" x14ac:dyDescent="0.3">
      <c r="A191" s="22" t="s">
        <v>2811</v>
      </c>
      <c r="B191" s="22">
        <v>3</v>
      </c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</row>
    <row r="192" spans="1:14" x14ac:dyDescent="0.3">
      <c r="A192" s="22" t="s">
        <v>5423</v>
      </c>
      <c r="B192" s="22">
        <v>0</v>
      </c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</row>
    <row r="193" spans="1:14" x14ac:dyDescent="0.3">
      <c r="A193" s="22" t="s">
        <v>5424</v>
      </c>
      <c r="B193" s="22">
        <v>0</v>
      </c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</row>
    <row r="194" spans="1:14" x14ac:dyDescent="0.3">
      <c r="A194" s="22" t="s">
        <v>5425</v>
      </c>
      <c r="B194" s="22">
        <v>0</v>
      </c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</row>
    <row r="195" spans="1:14" x14ac:dyDescent="0.3">
      <c r="A195" s="22" t="s">
        <v>5426</v>
      </c>
      <c r="B195" s="22">
        <v>0</v>
      </c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</row>
    <row r="196" spans="1:14" x14ac:dyDescent="0.3">
      <c r="A196" s="22" t="s">
        <v>5427</v>
      </c>
      <c r="B196" s="22">
        <v>0</v>
      </c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</row>
    <row r="197" spans="1:14" x14ac:dyDescent="0.3">
      <c r="A197" s="22" t="s">
        <v>5428</v>
      </c>
      <c r="B197" s="22">
        <v>0</v>
      </c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</row>
    <row r="198" spans="1:14" x14ac:dyDescent="0.3">
      <c r="A198" s="22" t="s">
        <v>5429</v>
      </c>
      <c r="B198" s="22">
        <v>0</v>
      </c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</row>
    <row r="199" spans="1:14" x14ac:dyDescent="0.3">
      <c r="A199" s="22" t="s">
        <v>2813</v>
      </c>
      <c r="B199" s="22">
        <v>8</v>
      </c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</row>
    <row r="200" spans="1:14" x14ac:dyDescent="0.3">
      <c r="A200" s="22" t="s">
        <v>5269</v>
      </c>
      <c r="B200" s="22">
        <v>0</v>
      </c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</row>
    <row r="201" spans="1:14" x14ac:dyDescent="0.3">
      <c r="A201" s="22" t="s">
        <v>5270</v>
      </c>
      <c r="B201" s="22">
        <v>0</v>
      </c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</row>
    <row r="202" spans="1:14" x14ac:dyDescent="0.3">
      <c r="A202" s="22" t="s">
        <v>5271</v>
      </c>
      <c r="B202" s="22">
        <v>0</v>
      </c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</row>
    <row r="203" spans="1:14" x14ac:dyDescent="0.3">
      <c r="A203" s="22" t="s">
        <v>5272</v>
      </c>
      <c r="B203" s="22">
        <v>0</v>
      </c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</row>
    <row r="204" spans="1:14" x14ac:dyDescent="0.3">
      <c r="A204" s="22" t="s">
        <v>5273</v>
      </c>
      <c r="B204" s="22">
        <v>0</v>
      </c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</row>
    <row r="205" spans="1:14" x14ac:dyDescent="0.3">
      <c r="A205" s="22" t="s">
        <v>5274</v>
      </c>
      <c r="B205" s="22">
        <v>0</v>
      </c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</row>
    <row r="206" spans="1:14" x14ac:dyDescent="0.3">
      <c r="A206" s="22" t="s">
        <v>5275</v>
      </c>
      <c r="B206" s="22">
        <v>0</v>
      </c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</row>
    <row r="207" spans="1:14" x14ac:dyDescent="0.3">
      <c r="A207" s="22" t="s">
        <v>2815</v>
      </c>
      <c r="B207" s="22">
        <v>97</v>
      </c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</row>
    <row r="208" spans="1:14" x14ac:dyDescent="0.3">
      <c r="A208" s="22" t="s">
        <v>5896</v>
      </c>
      <c r="B208" s="22">
        <v>0</v>
      </c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</row>
    <row r="209" spans="1:14" x14ac:dyDescent="0.3">
      <c r="A209" s="22" t="s">
        <v>5897</v>
      </c>
      <c r="B209" s="22">
        <v>0</v>
      </c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</row>
    <row r="210" spans="1:14" x14ac:dyDescent="0.3">
      <c r="A210" s="22" t="s">
        <v>5898</v>
      </c>
      <c r="B210" s="22">
        <v>0</v>
      </c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</row>
    <row r="211" spans="1:14" x14ac:dyDescent="0.3">
      <c r="A211" s="22" t="s">
        <v>5899</v>
      </c>
      <c r="B211" s="22">
        <v>0</v>
      </c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</row>
    <row r="212" spans="1:14" x14ac:dyDescent="0.3">
      <c r="A212" s="22" t="s">
        <v>5900</v>
      </c>
      <c r="B212" s="22">
        <v>0</v>
      </c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</row>
    <row r="213" spans="1:14" x14ac:dyDescent="0.3">
      <c r="A213" s="22" t="s">
        <v>5901</v>
      </c>
      <c r="B213" s="22">
        <v>0</v>
      </c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</row>
    <row r="214" spans="1:14" x14ac:dyDescent="0.3">
      <c r="A214" s="22" t="s">
        <v>5902</v>
      </c>
      <c r="B214" s="22">
        <v>0</v>
      </c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</row>
    <row r="215" spans="1:14" x14ac:dyDescent="0.3">
      <c r="A215" s="22" t="s">
        <v>2817</v>
      </c>
      <c r="B215" s="22">
        <v>1</v>
      </c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</row>
    <row r="216" spans="1:14" x14ac:dyDescent="0.3">
      <c r="A216" s="22" t="s">
        <v>5276</v>
      </c>
      <c r="B216" s="22">
        <v>0</v>
      </c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</row>
    <row r="217" spans="1:14" x14ac:dyDescent="0.3">
      <c r="A217" s="22" t="s">
        <v>5277</v>
      </c>
      <c r="B217" s="22">
        <v>0</v>
      </c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</row>
    <row r="218" spans="1:14" x14ac:dyDescent="0.3">
      <c r="A218" s="22" t="s">
        <v>5278</v>
      </c>
      <c r="B218" s="22">
        <v>0</v>
      </c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</row>
    <row r="219" spans="1:14" x14ac:dyDescent="0.3">
      <c r="A219" s="22" t="s">
        <v>5279</v>
      </c>
      <c r="B219" s="22">
        <v>0</v>
      </c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</row>
    <row r="220" spans="1:14" x14ac:dyDescent="0.3">
      <c r="A220" s="22" t="s">
        <v>5280</v>
      </c>
      <c r="B220" s="22">
        <v>0</v>
      </c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</row>
    <row r="221" spans="1:14" x14ac:dyDescent="0.3">
      <c r="A221" s="22" t="s">
        <v>5281</v>
      </c>
      <c r="B221" s="22">
        <v>0</v>
      </c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</row>
    <row r="222" spans="1:14" x14ac:dyDescent="0.3">
      <c r="A222" s="22" t="s">
        <v>5282</v>
      </c>
      <c r="B222" s="22">
        <v>0</v>
      </c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</row>
    <row r="223" spans="1:14" x14ac:dyDescent="0.3">
      <c r="A223" s="22" t="s">
        <v>2819</v>
      </c>
      <c r="B223" s="22">
        <v>161</v>
      </c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</row>
    <row r="224" spans="1:14" x14ac:dyDescent="0.3">
      <c r="A224" s="22" t="s">
        <v>5219</v>
      </c>
      <c r="B224" s="22">
        <v>0</v>
      </c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</row>
    <row r="225" spans="1:14" x14ac:dyDescent="0.3">
      <c r="A225" s="22" t="s">
        <v>5220</v>
      </c>
      <c r="B225" s="22">
        <v>0</v>
      </c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</row>
    <row r="226" spans="1:14" x14ac:dyDescent="0.3">
      <c r="A226" s="22" t="s">
        <v>5221</v>
      </c>
      <c r="B226" s="22">
        <v>0</v>
      </c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</row>
    <row r="227" spans="1:14" x14ac:dyDescent="0.3">
      <c r="A227" s="22" t="s">
        <v>5222</v>
      </c>
      <c r="B227" s="22">
        <v>0</v>
      </c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</row>
    <row r="228" spans="1:14" x14ac:dyDescent="0.3">
      <c r="A228" s="22" t="s">
        <v>5223</v>
      </c>
      <c r="B228" s="22">
        <v>0</v>
      </c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</row>
    <row r="229" spans="1:14" x14ac:dyDescent="0.3">
      <c r="A229" s="22" t="s">
        <v>5224</v>
      </c>
      <c r="B229" s="22">
        <v>0</v>
      </c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</row>
    <row r="230" spans="1:14" x14ac:dyDescent="0.3">
      <c r="A230" s="22" t="s">
        <v>5225</v>
      </c>
      <c r="B230" s="22">
        <v>0</v>
      </c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</row>
    <row r="231" spans="1:14" x14ac:dyDescent="0.3">
      <c r="A231" s="22" t="s">
        <v>2821</v>
      </c>
      <c r="B231" s="22">
        <v>223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</row>
    <row r="232" spans="1:14" x14ac:dyDescent="0.3">
      <c r="A232" s="22" t="s">
        <v>5226</v>
      </c>
      <c r="B232" s="22">
        <v>0</v>
      </c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</row>
    <row r="233" spans="1:14" x14ac:dyDescent="0.3">
      <c r="A233" s="22" t="s">
        <v>5227</v>
      </c>
      <c r="B233" s="22">
        <v>0</v>
      </c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</row>
    <row r="234" spans="1:14" x14ac:dyDescent="0.3">
      <c r="A234" s="22" t="s">
        <v>5228</v>
      </c>
      <c r="B234" s="22">
        <v>0</v>
      </c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</row>
    <row r="235" spans="1:14" x14ac:dyDescent="0.3">
      <c r="A235" s="22" t="s">
        <v>5229</v>
      </c>
      <c r="B235" s="22">
        <v>0</v>
      </c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</row>
    <row r="236" spans="1:14" x14ac:dyDescent="0.3">
      <c r="A236" s="22" t="s">
        <v>5230</v>
      </c>
      <c r="B236" s="22">
        <v>0</v>
      </c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</row>
    <row r="237" spans="1:14" x14ac:dyDescent="0.3">
      <c r="A237" s="22" t="s">
        <v>5231</v>
      </c>
      <c r="B237" s="22">
        <v>0</v>
      </c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</row>
    <row r="238" spans="1:14" x14ac:dyDescent="0.3">
      <c r="A238" s="22" t="s">
        <v>5232</v>
      </c>
      <c r="B238" s="22">
        <v>0</v>
      </c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</row>
    <row r="239" spans="1:14" x14ac:dyDescent="0.3">
      <c r="A239" s="22" t="s">
        <v>2823</v>
      </c>
      <c r="B239" s="22">
        <v>21</v>
      </c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</row>
    <row r="240" spans="1:14" x14ac:dyDescent="0.3">
      <c r="A240" s="22" t="s">
        <v>5247</v>
      </c>
      <c r="B240" s="22">
        <v>0</v>
      </c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</row>
    <row r="241" spans="1:14" x14ac:dyDescent="0.3">
      <c r="A241" s="22" t="s">
        <v>5248</v>
      </c>
      <c r="B241" s="22">
        <v>0</v>
      </c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</row>
    <row r="242" spans="1:14" x14ac:dyDescent="0.3">
      <c r="A242" s="22" t="s">
        <v>5249</v>
      </c>
      <c r="B242" s="22">
        <v>0</v>
      </c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</row>
    <row r="243" spans="1:14" x14ac:dyDescent="0.3">
      <c r="A243" s="22" t="s">
        <v>5250</v>
      </c>
      <c r="B243" s="22">
        <v>0</v>
      </c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</row>
    <row r="244" spans="1:14" x14ac:dyDescent="0.3">
      <c r="A244" s="22" t="s">
        <v>5251</v>
      </c>
      <c r="B244" s="22">
        <v>0</v>
      </c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</row>
    <row r="245" spans="1:14" x14ac:dyDescent="0.3">
      <c r="A245" s="22" t="s">
        <v>5252</v>
      </c>
      <c r="B245" s="22">
        <v>0</v>
      </c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</row>
    <row r="246" spans="1:14" x14ac:dyDescent="0.3">
      <c r="A246" s="22" t="s">
        <v>5253</v>
      </c>
      <c r="B246" s="22">
        <v>0</v>
      </c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</row>
    <row r="247" spans="1:14" x14ac:dyDescent="0.3">
      <c r="A247" s="22" t="s">
        <v>2827</v>
      </c>
      <c r="B247" s="22">
        <v>0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</row>
    <row r="248" spans="1:14" x14ac:dyDescent="0.3">
      <c r="A248" s="22" t="s">
        <v>5099</v>
      </c>
      <c r="B248" s="22">
        <v>0</v>
      </c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</row>
    <row r="249" spans="1:14" x14ac:dyDescent="0.3">
      <c r="A249" s="22" t="s">
        <v>5100</v>
      </c>
      <c r="B249" s="22">
        <v>0</v>
      </c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</row>
    <row r="250" spans="1:14" x14ac:dyDescent="0.3">
      <c r="A250" s="22" t="s">
        <v>5101</v>
      </c>
      <c r="B250" s="22">
        <v>0</v>
      </c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</row>
    <row r="251" spans="1:14" x14ac:dyDescent="0.3">
      <c r="A251" s="22" t="s">
        <v>5102</v>
      </c>
      <c r="B251" s="22">
        <v>0</v>
      </c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</row>
    <row r="252" spans="1:14" x14ac:dyDescent="0.3">
      <c r="A252" s="22" t="s">
        <v>5103</v>
      </c>
      <c r="B252" s="22">
        <v>0</v>
      </c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</row>
    <row r="253" spans="1:14" x14ac:dyDescent="0.3">
      <c r="A253" s="22" t="s">
        <v>5104</v>
      </c>
      <c r="B253" s="22">
        <v>0</v>
      </c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</row>
    <row r="254" spans="1:14" x14ac:dyDescent="0.3">
      <c r="A254" s="22" t="s">
        <v>5105</v>
      </c>
      <c r="B254" s="22">
        <v>0</v>
      </c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</row>
    <row r="255" spans="1:14" x14ac:dyDescent="0.3">
      <c r="A255" s="22" t="s">
        <v>2829</v>
      </c>
      <c r="B255" s="22">
        <v>0</v>
      </c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</row>
    <row r="256" spans="1:14" x14ac:dyDescent="0.3">
      <c r="A256" s="22" t="s">
        <v>5106</v>
      </c>
      <c r="B256" s="22">
        <v>0</v>
      </c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</row>
    <row r="257" spans="1:14" x14ac:dyDescent="0.3">
      <c r="A257" s="22" t="s">
        <v>5107</v>
      </c>
      <c r="B257" s="22">
        <v>0</v>
      </c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</row>
    <row r="258" spans="1:14" x14ac:dyDescent="0.3">
      <c r="A258" s="22" t="s">
        <v>5108</v>
      </c>
      <c r="B258" s="22">
        <v>0</v>
      </c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</row>
    <row r="259" spans="1:14" x14ac:dyDescent="0.3">
      <c r="A259" s="22" t="s">
        <v>5109</v>
      </c>
      <c r="B259" s="22">
        <v>0</v>
      </c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</row>
    <row r="260" spans="1:14" x14ac:dyDescent="0.3">
      <c r="A260" s="22" t="s">
        <v>5110</v>
      </c>
      <c r="B260" s="22">
        <v>0</v>
      </c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</row>
    <row r="261" spans="1:14" x14ac:dyDescent="0.3">
      <c r="A261" s="22" t="s">
        <v>5111</v>
      </c>
      <c r="B261" s="22">
        <v>0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</row>
    <row r="262" spans="1:14" x14ac:dyDescent="0.3">
      <c r="A262" s="22" t="s">
        <v>5112</v>
      </c>
      <c r="B262" s="22">
        <v>0</v>
      </c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</row>
    <row r="263" spans="1:14" x14ac:dyDescent="0.3">
      <c r="A263" s="22" t="s">
        <v>2831</v>
      </c>
      <c r="B263" s="22">
        <v>0</v>
      </c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</row>
    <row r="264" spans="1:14" x14ac:dyDescent="0.3">
      <c r="A264" s="22" t="s">
        <v>5177</v>
      </c>
      <c r="B264" s="22">
        <v>0</v>
      </c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</row>
    <row r="265" spans="1:14" x14ac:dyDescent="0.3">
      <c r="A265" s="22" t="s">
        <v>5178</v>
      </c>
      <c r="B265" s="22">
        <v>0</v>
      </c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</row>
    <row r="266" spans="1:14" x14ac:dyDescent="0.3">
      <c r="A266" s="22" t="s">
        <v>5179</v>
      </c>
      <c r="B266" s="22">
        <v>0</v>
      </c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</row>
    <row r="267" spans="1:14" x14ac:dyDescent="0.3">
      <c r="A267" s="22" t="s">
        <v>5180</v>
      </c>
      <c r="B267" s="22">
        <v>0</v>
      </c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</row>
    <row r="268" spans="1:14" x14ac:dyDescent="0.3">
      <c r="A268" s="22" t="s">
        <v>5181</v>
      </c>
      <c r="B268" s="22">
        <v>0</v>
      </c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</row>
    <row r="269" spans="1:14" x14ac:dyDescent="0.3">
      <c r="A269" s="22" t="s">
        <v>5182</v>
      </c>
      <c r="B269" s="22">
        <v>0</v>
      </c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</row>
    <row r="270" spans="1:14" x14ac:dyDescent="0.3">
      <c r="A270" s="22" t="s">
        <v>5183</v>
      </c>
      <c r="B270" s="22">
        <v>0</v>
      </c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</row>
    <row r="271" spans="1:14" x14ac:dyDescent="0.3">
      <c r="A271" s="22" t="s">
        <v>2833</v>
      </c>
      <c r="B271" s="22">
        <v>56</v>
      </c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</row>
    <row r="272" spans="1:14" x14ac:dyDescent="0.3">
      <c r="A272" s="22" t="s">
        <v>5020</v>
      </c>
      <c r="B272" s="22">
        <v>0</v>
      </c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</row>
    <row r="273" spans="1:14" x14ac:dyDescent="0.3">
      <c r="A273" s="22" t="s">
        <v>5021</v>
      </c>
      <c r="B273" s="22">
        <v>0</v>
      </c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</row>
    <row r="274" spans="1:14" x14ac:dyDescent="0.3">
      <c r="A274" s="22" t="s">
        <v>5022</v>
      </c>
      <c r="B274" s="22">
        <v>0</v>
      </c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</row>
    <row r="275" spans="1:14" x14ac:dyDescent="0.3">
      <c r="A275" s="22" t="s">
        <v>5023</v>
      </c>
      <c r="B275" s="22">
        <v>0</v>
      </c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</row>
    <row r="276" spans="1:14" x14ac:dyDescent="0.3">
      <c r="A276" s="22" t="s">
        <v>5024</v>
      </c>
      <c r="B276" s="22">
        <v>0</v>
      </c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</row>
    <row r="277" spans="1:14" x14ac:dyDescent="0.3">
      <c r="A277" s="22" t="s">
        <v>5025</v>
      </c>
      <c r="B277" s="22">
        <v>0</v>
      </c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</row>
    <row r="278" spans="1:14" x14ac:dyDescent="0.3">
      <c r="A278" s="22" t="s">
        <v>5026</v>
      </c>
      <c r="B278" s="22">
        <v>0</v>
      </c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</row>
    <row r="279" spans="1:14" x14ac:dyDescent="0.3">
      <c r="A279" s="22" t="s">
        <v>2835</v>
      </c>
      <c r="B279" s="22">
        <v>0</v>
      </c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</row>
    <row r="280" spans="1:14" x14ac:dyDescent="0.3">
      <c r="A280" s="22" t="s">
        <v>5027</v>
      </c>
      <c r="B280" s="22">
        <v>0</v>
      </c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</row>
    <row r="281" spans="1:14" x14ac:dyDescent="0.3">
      <c r="A281" s="22" t="s">
        <v>5028</v>
      </c>
      <c r="B281" s="22">
        <v>0</v>
      </c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</row>
    <row r="282" spans="1:14" x14ac:dyDescent="0.3">
      <c r="A282" s="22" t="s">
        <v>5029</v>
      </c>
      <c r="B282" s="22">
        <v>0</v>
      </c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</row>
    <row r="283" spans="1:14" x14ac:dyDescent="0.3">
      <c r="A283" s="22" t="s">
        <v>5030</v>
      </c>
      <c r="B283" s="22">
        <v>0</v>
      </c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</row>
    <row r="284" spans="1:14" x14ac:dyDescent="0.3">
      <c r="A284" s="22" t="s">
        <v>5031</v>
      </c>
      <c r="B284" s="22">
        <v>0</v>
      </c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</row>
    <row r="285" spans="1:14" x14ac:dyDescent="0.3">
      <c r="A285" s="22" t="s">
        <v>5032</v>
      </c>
      <c r="B285" s="22">
        <v>0</v>
      </c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</row>
    <row r="286" spans="1:14" x14ac:dyDescent="0.3">
      <c r="A286" s="22" t="s">
        <v>5033</v>
      </c>
      <c r="B286" s="22">
        <v>0</v>
      </c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</row>
    <row r="287" spans="1:14" x14ac:dyDescent="0.3">
      <c r="A287" s="22" t="s">
        <v>2836</v>
      </c>
      <c r="B287" s="22">
        <v>142</v>
      </c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</row>
    <row r="288" spans="1:14" x14ac:dyDescent="0.3">
      <c r="A288" s="22" t="s">
        <v>5479</v>
      </c>
      <c r="B288" s="22">
        <v>0</v>
      </c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</row>
    <row r="289" spans="1:14" x14ac:dyDescent="0.3">
      <c r="A289" s="22" t="s">
        <v>5480</v>
      </c>
      <c r="B289" s="22">
        <v>0</v>
      </c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</row>
    <row r="290" spans="1:14" x14ac:dyDescent="0.3">
      <c r="A290" s="22" t="s">
        <v>5481</v>
      </c>
      <c r="B290" s="22">
        <v>0</v>
      </c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</row>
    <row r="291" spans="1:14" x14ac:dyDescent="0.3">
      <c r="A291" s="22" t="s">
        <v>5482</v>
      </c>
      <c r="B291" s="22">
        <v>0</v>
      </c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</row>
    <row r="292" spans="1:14" x14ac:dyDescent="0.3">
      <c r="A292" s="22" t="s">
        <v>5483</v>
      </c>
      <c r="B292" s="22">
        <v>0</v>
      </c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</row>
    <row r="293" spans="1:14" x14ac:dyDescent="0.3">
      <c r="A293" s="22" t="s">
        <v>5484</v>
      </c>
      <c r="B293" s="22">
        <v>0</v>
      </c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</row>
    <row r="294" spans="1:14" x14ac:dyDescent="0.3">
      <c r="A294" s="22" t="s">
        <v>5485</v>
      </c>
      <c r="B294" s="22">
        <v>0</v>
      </c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</row>
    <row r="295" spans="1:14" x14ac:dyDescent="0.3">
      <c r="A295" s="22" t="s">
        <v>2837</v>
      </c>
      <c r="B295" s="22">
        <v>135</v>
      </c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</row>
    <row r="296" spans="1:14" x14ac:dyDescent="0.3">
      <c r="A296" s="22" t="s">
        <v>4999</v>
      </c>
      <c r="B296" s="22">
        <v>5</v>
      </c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</row>
    <row r="297" spans="1:14" x14ac:dyDescent="0.3">
      <c r="A297" s="22" t="s">
        <v>5000</v>
      </c>
      <c r="B297" s="22">
        <v>0</v>
      </c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</row>
    <row r="298" spans="1:14" x14ac:dyDescent="0.3">
      <c r="A298" s="22" t="s">
        <v>5001</v>
      </c>
      <c r="B298" s="22">
        <v>0</v>
      </c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</row>
    <row r="299" spans="1:14" x14ac:dyDescent="0.3">
      <c r="A299" s="22" t="s">
        <v>5002</v>
      </c>
      <c r="B299" s="22">
        <v>0</v>
      </c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</row>
    <row r="300" spans="1:14" x14ac:dyDescent="0.3">
      <c r="A300" s="22" t="s">
        <v>5003</v>
      </c>
      <c r="B300" s="22">
        <v>0</v>
      </c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</row>
    <row r="301" spans="1:14" x14ac:dyDescent="0.3">
      <c r="A301" s="22" t="s">
        <v>5004</v>
      </c>
      <c r="B301" s="22">
        <v>0</v>
      </c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</row>
    <row r="302" spans="1:14" x14ac:dyDescent="0.3">
      <c r="A302" s="22" t="s">
        <v>5005</v>
      </c>
      <c r="B302" s="22">
        <v>0</v>
      </c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</row>
    <row r="303" spans="1:14" x14ac:dyDescent="0.3">
      <c r="A303" s="22" t="s">
        <v>2838</v>
      </c>
      <c r="B303" s="22">
        <v>163</v>
      </c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</row>
    <row r="304" spans="1:14" x14ac:dyDescent="0.3">
      <c r="A304" s="22" t="s">
        <v>5191</v>
      </c>
      <c r="B304" s="22">
        <v>51</v>
      </c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</row>
    <row r="305" spans="1:14" x14ac:dyDescent="0.3">
      <c r="A305" s="22" t="s">
        <v>5192</v>
      </c>
      <c r="B305" s="22">
        <v>0</v>
      </c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</row>
    <row r="306" spans="1:14" x14ac:dyDescent="0.3">
      <c r="A306" s="22" t="s">
        <v>5193</v>
      </c>
      <c r="B306" s="22">
        <v>0</v>
      </c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</row>
    <row r="307" spans="1:14" x14ac:dyDescent="0.3">
      <c r="A307" s="22" t="s">
        <v>5194</v>
      </c>
      <c r="B307" s="22">
        <v>2</v>
      </c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</row>
    <row r="308" spans="1:14" x14ac:dyDescent="0.3">
      <c r="A308" s="22" t="s">
        <v>5195</v>
      </c>
      <c r="B308" s="22">
        <v>0</v>
      </c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</row>
    <row r="309" spans="1:14" x14ac:dyDescent="0.3">
      <c r="A309" s="22" t="s">
        <v>5196</v>
      </c>
      <c r="B309" s="22">
        <v>0</v>
      </c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</row>
    <row r="310" spans="1:14" x14ac:dyDescent="0.3">
      <c r="A310" s="22" t="s">
        <v>5197</v>
      </c>
      <c r="B310" s="22">
        <v>0</v>
      </c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</row>
    <row r="311" spans="1:14" x14ac:dyDescent="0.3">
      <c r="A311" s="22" t="s">
        <v>2839</v>
      </c>
      <c r="B311" s="22">
        <v>0</v>
      </c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</row>
    <row r="312" spans="1:14" x14ac:dyDescent="0.3">
      <c r="A312" s="22" t="s">
        <v>4873</v>
      </c>
      <c r="B312" s="22">
        <v>0</v>
      </c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</row>
    <row r="313" spans="1:14" x14ac:dyDescent="0.3">
      <c r="A313" s="22" t="s">
        <v>4874</v>
      </c>
      <c r="B313" s="22">
        <v>0</v>
      </c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</row>
    <row r="314" spans="1:14" x14ac:dyDescent="0.3">
      <c r="A314" s="22" t="s">
        <v>4875</v>
      </c>
      <c r="B314" s="22">
        <v>0</v>
      </c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</row>
    <row r="315" spans="1:14" x14ac:dyDescent="0.3">
      <c r="A315" s="22" t="s">
        <v>4876</v>
      </c>
      <c r="B315" s="22">
        <v>0</v>
      </c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</row>
    <row r="316" spans="1:14" x14ac:dyDescent="0.3">
      <c r="A316" s="22" t="s">
        <v>4877</v>
      </c>
      <c r="B316" s="22">
        <v>0</v>
      </c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</row>
    <row r="317" spans="1:14" x14ac:dyDescent="0.3">
      <c r="A317" s="22" t="s">
        <v>4878</v>
      </c>
      <c r="B317" s="22">
        <v>0</v>
      </c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</row>
    <row r="318" spans="1:14" x14ac:dyDescent="0.3">
      <c r="A318" s="22" t="s">
        <v>4879</v>
      </c>
      <c r="B318" s="22">
        <v>0</v>
      </c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</row>
    <row r="319" spans="1:14" x14ac:dyDescent="0.3">
      <c r="A319" s="22" t="s">
        <v>384</v>
      </c>
      <c r="B319" s="22">
        <v>116</v>
      </c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</row>
    <row r="320" spans="1:14" x14ac:dyDescent="0.3">
      <c r="A320" s="22" t="s">
        <v>4880</v>
      </c>
      <c r="B320" s="22">
        <v>0</v>
      </c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</row>
    <row r="321" spans="1:14" x14ac:dyDescent="0.3">
      <c r="A321" s="22" t="s">
        <v>4881</v>
      </c>
      <c r="B321" s="22">
        <v>0</v>
      </c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</row>
    <row r="322" spans="1:14" x14ac:dyDescent="0.3">
      <c r="A322" s="22" t="s">
        <v>4882</v>
      </c>
      <c r="B322" s="22">
        <v>0</v>
      </c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</row>
    <row r="323" spans="1:14" x14ac:dyDescent="0.3">
      <c r="A323" s="22" t="s">
        <v>4883</v>
      </c>
      <c r="B323" s="22">
        <v>0</v>
      </c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</row>
    <row r="324" spans="1:14" x14ac:dyDescent="0.3">
      <c r="A324" s="22" t="s">
        <v>4884</v>
      </c>
      <c r="B324" s="22">
        <v>0</v>
      </c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</row>
    <row r="325" spans="1:14" x14ac:dyDescent="0.3">
      <c r="A325" s="22" t="s">
        <v>4885</v>
      </c>
      <c r="B325" s="22">
        <v>0</v>
      </c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</row>
    <row r="326" spans="1:14" x14ac:dyDescent="0.3">
      <c r="A326" s="22" t="s">
        <v>4886</v>
      </c>
      <c r="B326" s="22">
        <v>0</v>
      </c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</row>
    <row r="327" spans="1:14" x14ac:dyDescent="0.3">
      <c r="A327" s="22" t="s">
        <v>1755</v>
      </c>
      <c r="B327" s="22">
        <v>3</v>
      </c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</row>
    <row r="328" spans="1:14" x14ac:dyDescent="0.3">
      <c r="A328" s="22" t="s">
        <v>2966</v>
      </c>
      <c r="B328" s="22">
        <v>0</v>
      </c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</row>
    <row r="329" spans="1:14" x14ac:dyDescent="0.3">
      <c r="A329" s="22" t="s">
        <v>2967</v>
      </c>
      <c r="B329" s="22">
        <v>0</v>
      </c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</row>
    <row r="330" spans="1:14" x14ac:dyDescent="0.3">
      <c r="A330" s="22" t="s">
        <v>2968</v>
      </c>
      <c r="B330" s="22">
        <v>0</v>
      </c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</row>
    <row r="331" spans="1:14" x14ac:dyDescent="0.3">
      <c r="A331" s="22" t="s">
        <v>2969</v>
      </c>
      <c r="B331" s="22">
        <v>0</v>
      </c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</row>
    <row r="332" spans="1:14" x14ac:dyDescent="0.3">
      <c r="A332" s="22" t="s">
        <v>2970</v>
      </c>
      <c r="B332" s="22">
        <v>0</v>
      </c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</row>
    <row r="333" spans="1:14" x14ac:dyDescent="0.3">
      <c r="A333" s="22" t="s">
        <v>2971</v>
      </c>
      <c r="B333" s="22">
        <v>0</v>
      </c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</row>
    <row r="334" spans="1:14" x14ac:dyDescent="0.3">
      <c r="A334" s="22" t="s">
        <v>2972</v>
      </c>
      <c r="B334" s="22">
        <v>0</v>
      </c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</row>
    <row r="335" spans="1:14" x14ac:dyDescent="0.3">
      <c r="A335" s="22" t="s">
        <v>385</v>
      </c>
      <c r="B335" s="22">
        <v>6</v>
      </c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</row>
    <row r="336" spans="1:14" x14ac:dyDescent="0.3">
      <c r="A336" s="22" t="s">
        <v>4887</v>
      </c>
      <c r="B336" s="22">
        <v>0</v>
      </c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</row>
    <row r="337" spans="1:14" x14ac:dyDescent="0.3">
      <c r="A337" s="22" t="s">
        <v>4888</v>
      </c>
      <c r="B337" s="22">
        <v>0</v>
      </c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</row>
    <row r="338" spans="1:14" x14ac:dyDescent="0.3">
      <c r="A338" s="22" t="s">
        <v>4889</v>
      </c>
      <c r="B338" s="22">
        <v>0</v>
      </c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</row>
    <row r="339" spans="1:14" x14ac:dyDescent="0.3">
      <c r="A339" s="22" t="s">
        <v>4890</v>
      </c>
      <c r="B339" s="22">
        <v>0</v>
      </c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</row>
    <row r="340" spans="1:14" x14ac:dyDescent="0.3">
      <c r="A340" s="22" t="s">
        <v>4891</v>
      </c>
      <c r="B340" s="22">
        <v>0</v>
      </c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</row>
    <row r="341" spans="1:14" x14ac:dyDescent="0.3">
      <c r="A341" s="22" t="s">
        <v>4892</v>
      </c>
      <c r="B341" s="22">
        <v>0</v>
      </c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</row>
    <row r="342" spans="1:14" x14ac:dyDescent="0.3">
      <c r="A342" s="22" t="s">
        <v>4893</v>
      </c>
      <c r="B342" s="22">
        <v>0</v>
      </c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</row>
    <row r="343" spans="1:14" x14ac:dyDescent="0.3">
      <c r="A343" s="22" t="s">
        <v>387</v>
      </c>
      <c r="B343" s="22">
        <v>2</v>
      </c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</row>
    <row r="344" spans="1:14" x14ac:dyDescent="0.3">
      <c r="A344" s="22" t="s">
        <v>4894</v>
      </c>
      <c r="B344" s="22">
        <v>0</v>
      </c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</row>
    <row r="345" spans="1:14" x14ac:dyDescent="0.3">
      <c r="A345" s="22" t="s">
        <v>4895</v>
      </c>
      <c r="B345" s="22">
        <v>0</v>
      </c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</row>
    <row r="346" spans="1:14" x14ac:dyDescent="0.3">
      <c r="A346" s="22" t="s">
        <v>4896</v>
      </c>
      <c r="B346" s="22">
        <v>0</v>
      </c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</row>
    <row r="347" spans="1:14" x14ac:dyDescent="0.3">
      <c r="A347" s="22" t="s">
        <v>4897</v>
      </c>
      <c r="B347" s="22">
        <v>0</v>
      </c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</row>
    <row r="348" spans="1:14" x14ac:dyDescent="0.3">
      <c r="A348" s="22" t="s">
        <v>4898</v>
      </c>
      <c r="B348" s="22">
        <v>0</v>
      </c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</row>
    <row r="349" spans="1:14" x14ac:dyDescent="0.3">
      <c r="A349" s="22" t="s">
        <v>4899</v>
      </c>
      <c r="B349" s="22">
        <v>0</v>
      </c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</row>
    <row r="350" spans="1:14" x14ac:dyDescent="0.3">
      <c r="A350" s="22" t="s">
        <v>4900</v>
      </c>
      <c r="B350" s="22">
        <v>0</v>
      </c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</row>
    <row r="351" spans="1:14" x14ac:dyDescent="0.3">
      <c r="A351" s="22" t="s">
        <v>388</v>
      </c>
      <c r="B351" s="22">
        <v>0</v>
      </c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</row>
    <row r="352" spans="1:14" x14ac:dyDescent="0.3">
      <c r="A352" s="22" t="s">
        <v>389</v>
      </c>
      <c r="B352" s="22">
        <v>0</v>
      </c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</row>
    <row r="353" spans="1:14" x14ac:dyDescent="0.3">
      <c r="A353" s="22" t="s">
        <v>390</v>
      </c>
      <c r="B353" s="22">
        <v>0</v>
      </c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</row>
    <row r="354" spans="1:14" x14ac:dyDescent="0.3">
      <c r="A354" s="22" t="s">
        <v>391</v>
      </c>
      <c r="B354" s="22">
        <v>0</v>
      </c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</row>
    <row r="355" spans="1:14" x14ac:dyDescent="0.3">
      <c r="A355" s="22" t="s">
        <v>392</v>
      </c>
      <c r="B355" s="22">
        <v>0</v>
      </c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</row>
    <row r="356" spans="1:14" x14ac:dyDescent="0.3">
      <c r="A356" s="22" t="s">
        <v>393</v>
      </c>
      <c r="B356" s="22">
        <v>0</v>
      </c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</row>
    <row r="357" spans="1:14" x14ac:dyDescent="0.3">
      <c r="A357" s="22" t="s">
        <v>394</v>
      </c>
      <c r="B357" s="22">
        <v>0</v>
      </c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</row>
    <row r="358" spans="1:14" x14ac:dyDescent="0.3">
      <c r="A358" s="22" t="s">
        <v>395</v>
      </c>
      <c r="B358" s="22">
        <v>0</v>
      </c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</row>
    <row r="359" spans="1:14" x14ac:dyDescent="0.3">
      <c r="A359" s="22" t="s">
        <v>396</v>
      </c>
      <c r="B359" s="22">
        <v>11</v>
      </c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</row>
    <row r="360" spans="1:14" x14ac:dyDescent="0.3">
      <c r="A360" s="22" t="s">
        <v>4901</v>
      </c>
      <c r="B360" s="22">
        <v>0</v>
      </c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</row>
    <row r="361" spans="1:14" x14ac:dyDescent="0.3">
      <c r="A361" s="22" t="s">
        <v>4902</v>
      </c>
      <c r="B361" s="22">
        <v>0</v>
      </c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</row>
    <row r="362" spans="1:14" x14ac:dyDescent="0.3">
      <c r="A362" s="22" t="s">
        <v>4903</v>
      </c>
      <c r="B362" s="22">
        <v>0</v>
      </c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</row>
    <row r="363" spans="1:14" x14ac:dyDescent="0.3">
      <c r="A363" s="22" t="s">
        <v>4904</v>
      </c>
      <c r="B363" s="22">
        <v>0</v>
      </c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</row>
    <row r="364" spans="1:14" x14ac:dyDescent="0.3">
      <c r="A364" s="22" t="s">
        <v>4905</v>
      </c>
      <c r="B364" s="22">
        <v>0</v>
      </c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</row>
    <row r="365" spans="1:14" x14ac:dyDescent="0.3">
      <c r="A365" s="22" t="s">
        <v>4906</v>
      </c>
      <c r="B365" s="22">
        <v>0</v>
      </c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</row>
    <row r="366" spans="1:14" x14ac:dyDescent="0.3">
      <c r="A366" s="22" t="s">
        <v>4907</v>
      </c>
      <c r="B366" s="22">
        <v>0</v>
      </c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</row>
    <row r="367" spans="1:14" x14ac:dyDescent="0.3">
      <c r="A367" s="22" t="s">
        <v>1756</v>
      </c>
      <c r="B367" s="22">
        <v>1</v>
      </c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</row>
    <row r="368" spans="1:14" x14ac:dyDescent="0.3">
      <c r="A368" s="22" t="s">
        <v>2973</v>
      </c>
      <c r="B368" s="22">
        <v>0</v>
      </c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</row>
    <row r="369" spans="1:14" x14ac:dyDescent="0.3">
      <c r="A369" s="22" t="s">
        <v>2974</v>
      </c>
      <c r="B369" s="22">
        <v>0</v>
      </c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</row>
    <row r="370" spans="1:14" x14ac:dyDescent="0.3">
      <c r="A370" s="22" t="s">
        <v>2975</v>
      </c>
      <c r="B370" s="22">
        <v>0</v>
      </c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</row>
    <row r="371" spans="1:14" x14ac:dyDescent="0.3">
      <c r="A371" s="22" t="s">
        <v>2976</v>
      </c>
      <c r="B371" s="22">
        <v>0</v>
      </c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</row>
    <row r="372" spans="1:14" x14ac:dyDescent="0.3">
      <c r="A372" s="22" t="s">
        <v>2977</v>
      </c>
      <c r="B372" s="22">
        <v>0</v>
      </c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</row>
    <row r="373" spans="1:14" x14ac:dyDescent="0.3">
      <c r="A373" s="22" t="s">
        <v>2978</v>
      </c>
      <c r="B373" s="22">
        <v>0</v>
      </c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</row>
    <row r="374" spans="1:14" x14ac:dyDescent="0.3">
      <c r="A374" s="22" t="s">
        <v>2979</v>
      </c>
      <c r="B374" s="22">
        <v>0</v>
      </c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</row>
    <row r="375" spans="1:14" x14ac:dyDescent="0.3">
      <c r="A375" s="22" t="s">
        <v>397</v>
      </c>
      <c r="B375" s="22">
        <v>89</v>
      </c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</row>
    <row r="376" spans="1:14" x14ac:dyDescent="0.3">
      <c r="A376" s="22" t="s">
        <v>4859</v>
      </c>
      <c r="B376" s="22">
        <v>0</v>
      </c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</row>
    <row r="377" spans="1:14" x14ac:dyDescent="0.3">
      <c r="A377" s="22" t="s">
        <v>4860</v>
      </c>
      <c r="B377" s="22">
        <v>0</v>
      </c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</row>
    <row r="378" spans="1:14" x14ac:dyDescent="0.3">
      <c r="A378" s="22" t="s">
        <v>4861</v>
      </c>
      <c r="B378" s="22">
        <v>0</v>
      </c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</row>
    <row r="379" spans="1:14" x14ac:dyDescent="0.3">
      <c r="A379" s="22" t="s">
        <v>4862</v>
      </c>
      <c r="B379" s="22">
        <v>0</v>
      </c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</row>
    <row r="380" spans="1:14" x14ac:dyDescent="0.3">
      <c r="A380" s="22" t="s">
        <v>4863</v>
      </c>
      <c r="B380" s="22">
        <v>0</v>
      </c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</row>
    <row r="381" spans="1:14" x14ac:dyDescent="0.3">
      <c r="A381" s="22" t="s">
        <v>4864</v>
      </c>
      <c r="B381" s="22">
        <v>0</v>
      </c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</row>
    <row r="382" spans="1:14" x14ac:dyDescent="0.3">
      <c r="A382" s="22" t="s">
        <v>4865</v>
      </c>
      <c r="B382" s="22">
        <v>0</v>
      </c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</row>
    <row r="383" spans="1:14" x14ac:dyDescent="0.3">
      <c r="A383" s="22" t="s">
        <v>399</v>
      </c>
      <c r="B383" s="22">
        <v>1</v>
      </c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</row>
    <row r="384" spans="1:14" x14ac:dyDescent="0.3">
      <c r="A384" s="22" t="s">
        <v>400</v>
      </c>
      <c r="B384" s="22">
        <v>0</v>
      </c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</row>
    <row r="385" spans="1:14" x14ac:dyDescent="0.3">
      <c r="A385" s="22" t="s">
        <v>401</v>
      </c>
      <c r="B385" s="22">
        <v>0</v>
      </c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</row>
    <row r="386" spans="1:14" x14ac:dyDescent="0.3">
      <c r="A386" s="22" t="s">
        <v>402</v>
      </c>
      <c r="B386" s="22">
        <v>0</v>
      </c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</row>
    <row r="387" spans="1:14" x14ac:dyDescent="0.3">
      <c r="A387" s="22" t="s">
        <v>403</v>
      </c>
      <c r="B387" s="22">
        <v>0</v>
      </c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</row>
    <row r="388" spans="1:14" x14ac:dyDescent="0.3">
      <c r="A388" s="22" t="s">
        <v>404</v>
      </c>
      <c r="B388" s="22">
        <v>0</v>
      </c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</row>
    <row r="389" spans="1:14" x14ac:dyDescent="0.3">
      <c r="A389" s="22" t="s">
        <v>405</v>
      </c>
      <c r="B389" s="22">
        <v>0</v>
      </c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</row>
    <row r="390" spans="1:14" x14ac:dyDescent="0.3">
      <c r="A390" s="22" t="s">
        <v>406</v>
      </c>
      <c r="B390" s="22">
        <v>0</v>
      </c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</row>
    <row r="391" spans="1:14" x14ac:dyDescent="0.3">
      <c r="A391" s="22" t="s">
        <v>407</v>
      </c>
      <c r="B391" s="22">
        <v>64</v>
      </c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</row>
    <row r="392" spans="1:14" x14ac:dyDescent="0.3">
      <c r="A392" s="22" t="s">
        <v>408</v>
      </c>
      <c r="B392" s="22">
        <v>0</v>
      </c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</row>
    <row r="393" spans="1:14" x14ac:dyDescent="0.3">
      <c r="A393" s="22" t="s">
        <v>409</v>
      </c>
      <c r="B393" s="22">
        <v>1</v>
      </c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</row>
    <row r="394" spans="1:14" x14ac:dyDescent="0.3">
      <c r="A394" s="22" t="s">
        <v>410</v>
      </c>
      <c r="B394" s="22">
        <v>0</v>
      </c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</row>
    <row r="395" spans="1:14" x14ac:dyDescent="0.3">
      <c r="A395" s="22" t="s">
        <v>411</v>
      </c>
      <c r="B395" s="22">
        <v>0</v>
      </c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</row>
    <row r="396" spans="1:14" x14ac:dyDescent="0.3">
      <c r="A396" s="22" t="s">
        <v>412</v>
      </c>
      <c r="B396" s="22">
        <v>0</v>
      </c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</row>
    <row r="397" spans="1:14" x14ac:dyDescent="0.3">
      <c r="A397" s="22" t="s">
        <v>413</v>
      </c>
      <c r="B397" s="22">
        <v>0</v>
      </c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</row>
    <row r="398" spans="1:14" x14ac:dyDescent="0.3">
      <c r="A398" s="22" t="s">
        <v>414</v>
      </c>
      <c r="B398" s="22">
        <v>0</v>
      </c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</row>
    <row r="399" spans="1:14" x14ac:dyDescent="0.3">
      <c r="A399" s="22" t="s">
        <v>415</v>
      </c>
      <c r="B399" s="22">
        <v>0</v>
      </c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</row>
    <row r="400" spans="1:14" x14ac:dyDescent="0.3">
      <c r="A400" s="22" t="s">
        <v>416</v>
      </c>
      <c r="B400" s="22">
        <v>0</v>
      </c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</row>
    <row r="401" spans="1:14" x14ac:dyDescent="0.3">
      <c r="A401" s="22" t="s">
        <v>417</v>
      </c>
      <c r="B401" s="22">
        <v>0</v>
      </c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</row>
    <row r="402" spans="1:14" x14ac:dyDescent="0.3">
      <c r="A402" s="22" t="s">
        <v>418</v>
      </c>
      <c r="B402" s="22">
        <v>0</v>
      </c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</row>
    <row r="403" spans="1:14" x14ac:dyDescent="0.3">
      <c r="A403" s="22" t="s">
        <v>419</v>
      </c>
      <c r="B403" s="22">
        <v>0</v>
      </c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</row>
    <row r="404" spans="1:14" x14ac:dyDescent="0.3">
      <c r="A404" s="22" t="s">
        <v>420</v>
      </c>
      <c r="B404" s="22">
        <v>0</v>
      </c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</row>
    <row r="405" spans="1:14" x14ac:dyDescent="0.3">
      <c r="A405" s="22" t="s">
        <v>421</v>
      </c>
      <c r="B405" s="22">
        <v>0</v>
      </c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</row>
    <row r="406" spans="1:14" x14ac:dyDescent="0.3">
      <c r="A406" s="22" t="s">
        <v>422</v>
      </c>
      <c r="B406" s="22">
        <v>0</v>
      </c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</row>
    <row r="407" spans="1:14" x14ac:dyDescent="0.3">
      <c r="A407" s="22" t="s">
        <v>423</v>
      </c>
      <c r="B407" s="22">
        <v>1</v>
      </c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</row>
    <row r="408" spans="1:14" x14ac:dyDescent="0.3">
      <c r="A408" s="22" t="s">
        <v>424</v>
      </c>
      <c r="B408" s="22">
        <v>0</v>
      </c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</row>
    <row r="409" spans="1:14" x14ac:dyDescent="0.3">
      <c r="A409" s="22" t="s">
        <v>425</v>
      </c>
      <c r="B409" s="22">
        <v>0</v>
      </c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</row>
    <row r="410" spans="1:14" x14ac:dyDescent="0.3">
      <c r="A410" s="22" t="s">
        <v>426</v>
      </c>
      <c r="B410" s="22">
        <v>0</v>
      </c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</row>
    <row r="411" spans="1:14" x14ac:dyDescent="0.3">
      <c r="A411" s="22" t="s">
        <v>427</v>
      </c>
      <c r="B411" s="22">
        <v>0</v>
      </c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</row>
    <row r="412" spans="1:14" x14ac:dyDescent="0.3">
      <c r="A412" s="22" t="s">
        <v>428</v>
      </c>
      <c r="B412" s="22">
        <v>0</v>
      </c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</row>
    <row r="413" spans="1:14" x14ac:dyDescent="0.3">
      <c r="A413" s="22" t="s">
        <v>429</v>
      </c>
      <c r="B413" s="22">
        <v>0</v>
      </c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</row>
    <row r="414" spans="1:14" x14ac:dyDescent="0.3">
      <c r="A414" s="22" t="s">
        <v>430</v>
      </c>
      <c r="B414" s="22">
        <v>0</v>
      </c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</row>
    <row r="415" spans="1:14" x14ac:dyDescent="0.3">
      <c r="A415" s="22" t="s">
        <v>431</v>
      </c>
      <c r="B415" s="22">
        <v>0</v>
      </c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</row>
    <row r="416" spans="1:14" x14ac:dyDescent="0.3">
      <c r="A416" s="22" t="s">
        <v>432</v>
      </c>
      <c r="B416" s="22">
        <v>0</v>
      </c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</row>
    <row r="417" spans="1:14" x14ac:dyDescent="0.3">
      <c r="A417" s="22" t="s">
        <v>433</v>
      </c>
      <c r="B417" s="22">
        <v>0</v>
      </c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</row>
    <row r="418" spans="1:14" x14ac:dyDescent="0.3">
      <c r="A418" s="22" t="s">
        <v>434</v>
      </c>
      <c r="B418" s="22">
        <v>0</v>
      </c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</row>
    <row r="419" spans="1:14" x14ac:dyDescent="0.3">
      <c r="A419" s="22" t="s">
        <v>435</v>
      </c>
      <c r="B419" s="22">
        <v>0</v>
      </c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</row>
    <row r="420" spans="1:14" x14ac:dyDescent="0.3">
      <c r="A420" s="22" t="s">
        <v>436</v>
      </c>
      <c r="B420" s="22">
        <v>0</v>
      </c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</row>
    <row r="421" spans="1:14" x14ac:dyDescent="0.3">
      <c r="A421" s="22" t="s">
        <v>437</v>
      </c>
      <c r="B421" s="22">
        <v>0</v>
      </c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</row>
    <row r="422" spans="1:14" x14ac:dyDescent="0.3">
      <c r="A422" s="22" t="s">
        <v>438</v>
      </c>
      <c r="B422" s="22">
        <v>0</v>
      </c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</row>
    <row r="423" spans="1:14" x14ac:dyDescent="0.3">
      <c r="A423" s="22" t="s">
        <v>439</v>
      </c>
      <c r="B423" s="22">
        <v>1</v>
      </c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</row>
    <row r="424" spans="1:14" x14ac:dyDescent="0.3">
      <c r="A424" s="22" t="s">
        <v>440</v>
      </c>
      <c r="B424" s="22">
        <v>0</v>
      </c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</row>
    <row r="425" spans="1:14" x14ac:dyDescent="0.3">
      <c r="A425" s="22" t="s">
        <v>441</v>
      </c>
      <c r="B425" s="22">
        <v>0</v>
      </c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</row>
    <row r="426" spans="1:14" x14ac:dyDescent="0.3">
      <c r="A426" s="22" t="s">
        <v>442</v>
      </c>
      <c r="B426" s="22">
        <v>0</v>
      </c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</row>
    <row r="427" spans="1:14" x14ac:dyDescent="0.3">
      <c r="A427" s="22" t="s">
        <v>443</v>
      </c>
      <c r="B427" s="22">
        <v>0</v>
      </c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</row>
    <row r="428" spans="1:14" x14ac:dyDescent="0.3">
      <c r="A428" s="22" t="s">
        <v>444</v>
      </c>
      <c r="B428" s="22">
        <v>0</v>
      </c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</row>
    <row r="429" spans="1:14" x14ac:dyDescent="0.3">
      <c r="A429" s="22" t="s">
        <v>445</v>
      </c>
      <c r="B429" s="22">
        <v>0</v>
      </c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</row>
    <row r="430" spans="1:14" x14ac:dyDescent="0.3">
      <c r="A430" s="22" t="s">
        <v>446</v>
      </c>
      <c r="B430" s="22">
        <v>0</v>
      </c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</row>
    <row r="431" spans="1:14" x14ac:dyDescent="0.3">
      <c r="A431" s="22" t="s">
        <v>447</v>
      </c>
      <c r="B431" s="22">
        <v>83</v>
      </c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</row>
    <row r="432" spans="1:14" x14ac:dyDescent="0.3">
      <c r="A432" s="22" t="s">
        <v>448</v>
      </c>
      <c r="B432" s="22">
        <v>0</v>
      </c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</row>
    <row r="433" spans="1:14" x14ac:dyDescent="0.3">
      <c r="A433" s="22" t="s">
        <v>449</v>
      </c>
      <c r="B433" s="22">
        <v>0</v>
      </c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</row>
    <row r="434" spans="1:14" x14ac:dyDescent="0.3">
      <c r="A434" s="22" t="s">
        <v>450</v>
      </c>
      <c r="B434" s="22">
        <v>0</v>
      </c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</row>
    <row r="435" spans="1:14" x14ac:dyDescent="0.3">
      <c r="A435" s="22" t="s">
        <v>451</v>
      </c>
      <c r="B435" s="22">
        <v>0</v>
      </c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</row>
    <row r="436" spans="1:14" x14ac:dyDescent="0.3">
      <c r="A436" s="22" t="s">
        <v>452</v>
      </c>
      <c r="B436" s="22">
        <v>0</v>
      </c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</row>
    <row r="437" spans="1:14" x14ac:dyDescent="0.3">
      <c r="A437" s="22" t="s">
        <v>453</v>
      </c>
      <c r="B437" s="22">
        <v>0</v>
      </c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</row>
    <row r="438" spans="1:14" x14ac:dyDescent="0.3">
      <c r="A438" s="22" t="s">
        <v>454</v>
      </c>
      <c r="B438" s="22">
        <v>0</v>
      </c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</row>
    <row r="439" spans="1:14" x14ac:dyDescent="0.3">
      <c r="A439" s="22" t="s">
        <v>455</v>
      </c>
      <c r="B439" s="22">
        <v>2</v>
      </c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</row>
    <row r="440" spans="1:14" x14ac:dyDescent="0.3">
      <c r="A440" s="22" t="s">
        <v>456</v>
      </c>
      <c r="B440" s="22">
        <v>0</v>
      </c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</row>
    <row r="441" spans="1:14" x14ac:dyDescent="0.3">
      <c r="A441" s="22" t="s">
        <v>457</v>
      </c>
      <c r="B441" s="22">
        <v>0</v>
      </c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</row>
    <row r="442" spans="1:14" x14ac:dyDescent="0.3">
      <c r="A442" s="22" t="s">
        <v>458</v>
      </c>
      <c r="B442" s="22">
        <v>0</v>
      </c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</row>
    <row r="443" spans="1:14" x14ac:dyDescent="0.3">
      <c r="A443" s="22" t="s">
        <v>459</v>
      </c>
      <c r="B443" s="22">
        <v>0</v>
      </c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</row>
    <row r="444" spans="1:14" x14ac:dyDescent="0.3">
      <c r="A444" s="22" t="s">
        <v>460</v>
      </c>
      <c r="B444" s="22">
        <v>0</v>
      </c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</row>
    <row r="445" spans="1:14" x14ac:dyDescent="0.3">
      <c r="A445" s="22" t="s">
        <v>461</v>
      </c>
      <c r="B445" s="22">
        <v>0</v>
      </c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</row>
    <row r="446" spans="1:14" x14ac:dyDescent="0.3">
      <c r="A446" s="22" t="s">
        <v>462</v>
      </c>
      <c r="B446" s="22">
        <v>0</v>
      </c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</row>
    <row r="447" spans="1:14" x14ac:dyDescent="0.3">
      <c r="A447" s="22" t="s">
        <v>463</v>
      </c>
      <c r="B447" s="22">
        <v>5</v>
      </c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</row>
    <row r="448" spans="1:14" x14ac:dyDescent="0.3">
      <c r="A448" s="22" t="s">
        <v>464</v>
      </c>
      <c r="B448" s="22">
        <v>0</v>
      </c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</row>
    <row r="449" spans="1:14" x14ac:dyDescent="0.3">
      <c r="A449" s="22" t="s">
        <v>465</v>
      </c>
      <c r="B449" s="22">
        <v>0</v>
      </c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</row>
    <row r="450" spans="1:14" x14ac:dyDescent="0.3">
      <c r="A450" s="22" t="s">
        <v>466</v>
      </c>
      <c r="B450" s="22">
        <v>0</v>
      </c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</row>
    <row r="451" spans="1:14" x14ac:dyDescent="0.3">
      <c r="A451" s="22" t="s">
        <v>467</v>
      </c>
      <c r="B451" s="22">
        <v>0</v>
      </c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</row>
    <row r="452" spans="1:14" x14ac:dyDescent="0.3">
      <c r="A452" s="22" t="s">
        <v>468</v>
      </c>
      <c r="B452" s="22">
        <v>0</v>
      </c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</row>
    <row r="453" spans="1:14" x14ac:dyDescent="0.3">
      <c r="A453" s="22" t="s">
        <v>469</v>
      </c>
      <c r="B453" s="22">
        <v>0</v>
      </c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</row>
    <row r="454" spans="1:14" x14ac:dyDescent="0.3">
      <c r="A454" s="22" t="s">
        <v>470</v>
      </c>
      <c r="B454" s="22">
        <v>0</v>
      </c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</row>
    <row r="455" spans="1:14" x14ac:dyDescent="0.3">
      <c r="A455" s="22" t="s">
        <v>471</v>
      </c>
      <c r="B455" s="22">
        <v>0</v>
      </c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</row>
    <row r="456" spans="1:14" x14ac:dyDescent="0.3">
      <c r="A456" s="22" t="s">
        <v>472</v>
      </c>
      <c r="B456" s="22">
        <v>0</v>
      </c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</row>
    <row r="457" spans="1:14" x14ac:dyDescent="0.3">
      <c r="A457" s="22" t="s">
        <v>473</v>
      </c>
      <c r="B457" s="22">
        <v>0</v>
      </c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</row>
    <row r="458" spans="1:14" x14ac:dyDescent="0.3">
      <c r="A458" s="22" t="s">
        <v>474</v>
      </c>
      <c r="B458" s="22">
        <v>0</v>
      </c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</row>
    <row r="459" spans="1:14" x14ac:dyDescent="0.3">
      <c r="A459" s="22" t="s">
        <v>475</v>
      </c>
      <c r="B459" s="22">
        <v>0</v>
      </c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</row>
    <row r="460" spans="1:14" x14ac:dyDescent="0.3">
      <c r="A460" s="22" t="s">
        <v>476</v>
      </c>
      <c r="B460" s="22">
        <v>0</v>
      </c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</row>
    <row r="461" spans="1:14" x14ac:dyDescent="0.3">
      <c r="A461" s="22" t="s">
        <v>477</v>
      </c>
      <c r="B461" s="22">
        <v>0</v>
      </c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</row>
    <row r="462" spans="1:14" x14ac:dyDescent="0.3">
      <c r="A462" s="22" t="s">
        <v>478</v>
      </c>
      <c r="B462" s="22">
        <v>0</v>
      </c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</row>
    <row r="463" spans="1:14" x14ac:dyDescent="0.3">
      <c r="A463" s="22" t="s">
        <v>479</v>
      </c>
      <c r="B463" s="22">
        <v>0</v>
      </c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</row>
    <row r="464" spans="1:14" x14ac:dyDescent="0.3">
      <c r="A464" s="22" t="s">
        <v>480</v>
      </c>
      <c r="B464" s="22">
        <v>0</v>
      </c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</row>
    <row r="465" spans="1:14" x14ac:dyDescent="0.3">
      <c r="A465" s="22" t="s">
        <v>481</v>
      </c>
      <c r="B465" s="22">
        <v>0</v>
      </c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</row>
    <row r="466" spans="1:14" x14ac:dyDescent="0.3">
      <c r="A466" s="22" t="s">
        <v>482</v>
      </c>
      <c r="B466" s="22">
        <v>0</v>
      </c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</row>
    <row r="467" spans="1:14" x14ac:dyDescent="0.3">
      <c r="A467" s="22" t="s">
        <v>483</v>
      </c>
      <c r="B467" s="22">
        <v>0</v>
      </c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</row>
    <row r="468" spans="1:14" x14ac:dyDescent="0.3">
      <c r="A468" s="22" t="s">
        <v>484</v>
      </c>
      <c r="B468" s="22">
        <v>0</v>
      </c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</row>
    <row r="469" spans="1:14" x14ac:dyDescent="0.3">
      <c r="A469" s="22" t="s">
        <v>485</v>
      </c>
      <c r="B469" s="22">
        <v>0</v>
      </c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</row>
    <row r="470" spans="1:14" x14ac:dyDescent="0.3">
      <c r="A470" s="22" t="s">
        <v>486</v>
      </c>
      <c r="B470" s="22">
        <v>0</v>
      </c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</row>
    <row r="471" spans="1:14" x14ac:dyDescent="0.3">
      <c r="A471" s="22" t="s">
        <v>487</v>
      </c>
      <c r="B471" s="22">
        <v>0</v>
      </c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</row>
    <row r="472" spans="1:14" x14ac:dyDescent="0.3">
      <c r="A472" s="22" t="s">
        <v>488</v>
      </c>
      <c r="B472" s="22">
        <v>0</v>
      </c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</row>
    <row r="473" spans="1:14" x14ac:dyDescent="0.3">
      <c r="A473" s="22" t="s">
        <v>489</v>
      </c>
      <c r="B473" s="22">
        <v>0</v>
      </c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</row>
    <row r="474" spans="1:14" x14ac:dyDescent="0.3">
      <c r="A474" s="22" t="s">
        <v>490</v>
      </c>
      <c r="B474" s="22">
        <v>0</v>
      </c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</row>
    <row r="475" spans="1:14" x14ac:dyDescent="0.3">
      <c r="A475" s="22" t="s">
        <v>491</v>
      </c>
      <c r="B475" s="22">
        <v>0</v>
      </c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</row>
    <row r="476" spans="1:14" x14ac:dyDescent="0.3">
      <c r="A476" s="22" t="s">
        <v>492</v>
      </c>
      <c r="B476" s="22">
        <v>0</v>
      </c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</row>
    <row r="477" spans="1:14" x14ac:dyDescent="0.3">
      <c r="A477" s="22" t="s">
        <v>493</v>
      </c>
      <c r="B477" s="22">
        <v>0</v>
      </c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</row>
    <row r="478" spans="1:14" x14ac:dyDescent="0.3">
      <c r="A478" s="22" t="s">
        <v>494</v>
      </c>
      <c r="B478" s="22">
        <v>0</v>
      </c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</row>
    <row r="479" spans="1:14" x14ac:dyDescent="0.3">
      <c r="A479" s="22" t="s">
        <v>495</v>
      </c>
      <c r="B479" s="22">
        <v>85</v>
      </c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</row>
    <row r="480" spans="1:14" x14ac:dyDescent="0.3">
      <c r="A480" s="22" t="s">
        <v>496</v>
      </c>
      <c r="B480" s="22">
        <v>0</v>
      </c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</row>
    <row r="481" spans="1:14" x14ac:dyDescent="0.3">
      <c r="A481" s="22" t="s">
        <v>497</v>
      </c>
      <c r="B481" s="22">
        <v>0</v>
      </c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</row>
    <row r="482" spans="1:14" x14ac:dyDescent="0.3">
      <c r="A482" s="22" t="s">
        <v>498</v>
      </c>
      <c r="B482" s="22">
        <v>0</v>
      </c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</row>
    <row r="483" spans="1:14" x14ac:dyDescent="0.3">
      <c r="A483" s="22" t="s">
        <v>499</v>
      </c>
      <c r="B483" s="22">
        <v>0</v>
      </c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</row>
    <row r="484" spans="1:14" x14ac:dyDescent="0.3">
      <c r="A484" s="22" t="s">
        <v>500</v>
      </c>
      <c r="B484" s="22">
        <v>0</v>
      </c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</row>
    <row r="485" spans="1:14" x14ac:dyDescent="0.3">
      <c r="A485" s="22" t="s">
        <v>501</v>
      </c>
      <c r="B485" s="22">
        <v>0</v>
      </c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</row>
    <row r="486" spans="1:14" x14ac:dyDescent="0.3">
      <c r="A486" s="22" t="s">
        <v>502</v>
      </c>
      <c r="B486" s="22">
        <v>0</v>
      </c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</row>
    <row r="487" spans="1:14" x14ac:dyDescent="0.3">
      <c r="A487" s="22" t="s">
        <v>503</v>
      </c>
      <c r="B487" s="22">
        <v>1</v>
      </c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</row>
    <row r="488" spans="1:14" x14ac:dyDescent="0.3">
      <c r="A488" s="22" t="s">
        <v>504</v>
      </c>
      <c r="B488" s="22">
        <v>0</v>
      </c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</row>
    <row r="489" spans="1:14" x14ac:dyDescent="0.3">
      <c r="A489" s="22" t="s">
        <v>505</v>
      </c>
      <c r="B489" s="22">
        <v>0</v>
      </c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</row>
    <row r="490" spans="1:14" x14ac:dyDescent="0.3">
      <c r="A490" s="22" t="s">
        <v>506</v>
      </c>
      <c r="B490" s="22">
        <v>0</v>
      </c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</row>
    <row r="491" spans="1:14" x14ac:dyDescent="0.3">
      <c r="A491" s="22" t="s">
        <v>507</v>
      </c>
      <c r="B491" s="22">
        <v>0</v>
      </c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</row>
    <row r="492" spans="1:14" x14ac:dyDescent="0.3">
      <c r="A492" s="22" t="s">
        <v>508</v>
      </c>
      <c r="B492" s="22">
        <v>0</v>
      </c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</row>
    <row r="493" spans="1:14" x14ac:dyDescent="0.3">
      <c r="A493" s="22" t="s">
        <v>509</v>
      </c>
      <c r="B493" s="22">
        <v>0</v>
      </c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</row>
    <row r="494" spans="1:14" x14ac:dyDescent="0.3">
      <c r="A494" s="22" t="s">
        <v>510</v>
      </c>
      <c r="B494" s="22">
        <v>0</v>
      </c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</row>
    <row r="495" spans="1:14" x14ac:dyDescent="0.3">
      <c r="A495" s="22" t="s">
        <v>511</v>
      </c>
      <c r="B495" s="22">
        <v>7</v>
      </c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</row>
    <row r="496" spans="1:14" x14ac:dyDescent="0.3">
      <c r="A496" s="22" t="s">
        <v>512</v>
      </c>
      <c r="B496" s="22">
        <v>0</v>
      </c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</row>
    <row r="497" spans="1:14" x14ac:dyDescent="0.3">
      <c r="A497" s="22" t="s">
        <v>513</v>
      </c>
      <c r="B497" s="22">
        <v>0</v>
      </c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</row>
    <row r="498" spans="1:14" x14ac:dyDescent="0.3">
      <c r="A498" s="22" t="s">
        <v>514</v>
      </c>
      <c r="B498" s="22">
        <v>0</v>
      </c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</row>
    <row r="499" spans="1:14" x14ac:dyDescent="0.3">
      <c r="A499" s="22" t="s">
        <v>515</v>
      </c>
      <c r="B499" s="22">
        <v>0</v>
      </c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</row>
    <row r="500" spans="1:14" x14ac:dyDescent="0.3">
      <c r="A500" s="22" t="s">
        <v>516</v>
      </c>
      <c r="B500" s="22">
        <v>0</v>
      </c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</row>
    <row r="501" spans="1:14" x14ac:dyDescent="0.3">
      <c r="A501" s="22" t="s">
        <v>517</v>
      </c>
      <c r="B501" s="22">
        <v>0</v>
      </c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</row>
    <row r="502" spans="1:14" x14ac:dyDescent="0.3">
      <c r="A502" s="22" t="s">
        <v>518</v>
      </c>
      <c r="B502" s="22">
        <v>0</v>
      </c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</row>
    <row r="503" spans="1:14" x14ac:dyDescent="0.3">
      <c r="A503" s="22" t="s">
        <v>521</v>
      </c>
      <c r="B503" s="22">
        <v>1</v>
      </c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</row>
    <row r="504" spans="1:14" x14ac:dyDescent="0.3">
      <c r="A504" s="22" t="s">
        <v>522</v>
      </c>
      <c r="B504" s="22">
        <v>0</v>
      </c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</row>
    <row r="505" spans="1:14" x14ac:dyDescent="0.3">
      <c r="A505" s="22" t="s">
        <v>523</v>
      </c>
      <c r="B505" s="22">
        <v>0</v>
      </c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</row>
    <row r="506" spans="1:14" x14ac:dyDescent="0.3">
      <c r="A506" s="22" t="s">
        <v>524</v>
      </c>
      <c r="B506" s="22">
        <v>0</v>
      </c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</row>
    <row r="507" spans="1:14" x14ac:dyDescent="0.3">
      <c r="A507" s="22" t="s">
        <v>525</v>
      </c>
      <c r="B507" s="22">
        <v>0</v>
      </c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</row>
    <row r="508" spans="1:14" x14ac:dyDescent="0.3">
      <c r="A508" s="22" t="s">
        <v>526</v>
      </c>
      <c r="B508" s="22">
        <v>0</v>
      </c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</row>
    <row r="509" spans="1:14" x14ac:dyDescent="0.3">
      <c r="A509" s="22" t="s">
        <v>527</v>
      </c>
      <c r="B509" s="22">
        <v>0</v>
      </c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</row>
    <row r="510" spans="1:14" x14ac:dyDescent="0.3">
      <c r="A510" s="22" t="s">
        <v>528</v>
      </c>
      <c r="B510" s="22">
        <v>0</v>
      </c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</row>
    <row r="511" spans="1:14" x14ac:dyDescent="0.3">
      <c r="A511" s="22" t="s">
        <v>529</v>
      </c>
      <c r="B511" s="22">
        <v>0</v>
      </c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</row>
    <row r="512" spans="1:14" x14ac:dyDescent="0.3">
      <c r="A512" s="22" t="s">
        <v>530</v>
      </c>
      <c r="B512" s="22">
        <v>0</v>
      </c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</row>
    <row r="513" spans="1:14" x14ac:dyDescent="0.3">
      <c r="A513" s="22" t="s">
        <v>531</v>
      </c>
      <c r="B513" s="22">
        <v>0</v>
      </c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</row>
    <row r="514" spans="1:14" x14ac:dyDescent="0.3">
      <c r="A514" s="22" t="s">
        <v>532</v>
      </c>
      <c r="B514" s="22">
        <v>0</v>
      </c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</row>
    <row r="515" spans="1:14" x14ac:dyDescent="0.3">
      <c r="A515" s="22" t="s">
        <v>533</v>
      </c>
      <c r="B515" s="22">
        <v>0</v>
      </c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</row>
    <row r="516" spans="1:14" x14ac:dyDescent="0.3">
      <c r="A516" s="22" t="s">
        <v>534</v>
      </c>
      <c r="B516" s="22">
        <v>0</v>
      </c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</row>
    <row r="517" spans="1:14" x14ac:dyDescent="0.3">
      <c r="A517" s="22" t="s">
        <v>535</v>
      </c>
      <c r="B517" s="22">
        <v>0</v>
      </c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</row>
    <row r="518" spans="1:14" x14ac:dyDescent="0.3">
      <c r="A518" s="22" t="s">
        <v>536</v>
      </c>
      <c r="B518" s="22">
        <v>0</v>
      </c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</row>
    <row r="519" spans="1:14" x14ac:dyDescent="0.3">
      <c r="A519" s="22" t="s">
        <v>540</v>
      </c>
      <c r="B519" s="22">
        <v>0</v>
      </c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</row>
    <row r="520" spans="1:14" x14ac:dyDescent="0.3">
      <c r="A520" s="22" t="s">
        <v>541</v>
      </c>
      <c r="B520" s="22">
        <v>0</v>
      </c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</row>
    <row r="521" spans="1:14" x14ac:dyDescent="0.3">
      <c r="A521" s="22" t="s">
        <v>542</v>
      </c>
      <c r="B521" s="22">
        <v>0</v>
      </c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</row>
    <row r="522" spans="1:14" x14ac:dyDescent="0.3">
      <c r="A522" s="22" t="s">
        <v>543</v>
      </c>
      <c r="B522" s="22">
        <v>0</v>
      </c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</row>
    <row r="523" spans="1:14" x14ac:dyDescent="0.3">
      <c r="A523" s="22" t="s">
        <v>544</v>
      </c>
      <c r="B523" s="22">
        <v>0</v>
      </c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</row>
    <row r="524" spans="1:14" x14ac:dyDescent="0.3">
      <c r="A524" s="22" t="s">
        <v>545</v>
      </c>
      <c r="B524" s="22">
        <v>0</v>
      </c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</row>
    <row r="525" spans="1:14" x14ac:dyDescent="0.3">
      <c r="A525" s="22" t="s">
        <v>546</v>
      </c>
      <c r="B525" s="22">
        <v>0</v>
      </c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</row>
    <row r="526" spans="1:14" x14ac:dyDescent="0.3">
      <c r="A526" s="22" t="s">
        <v>547</v>
      </c>
      <c r="B526" s="22">
        <v>0</v>
      </c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</row>
    <row r="527" spans="1:14" x14ac:dyDescent="0.3">
      <c r="A527" s="22" t="s">
        <v>2840</v>
      </c>
      <c r="B527" s="22">
        <v>0</v>
      </c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</row>
    <row r="528" spans="1:14" x14ac:dyDescent="0.3">
      <c r="A528" s="22" t="s">
        <v>5430</v>
      </c>
      <c r="B528" s="22">
        <v>0</v>
      </c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</row>
    <row r="529" spans="1:14" x14ac:dyDescent="0.3">
      <c r="A529" s="22" t="s">
        <v>5431</v>
      </c>
      <c r="B529" s="22">
        <v>0</v>
      </c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</row>
    <row r="530" spans="1:14" x14ac:dyDescent="0.3">
      <c r="A530" s="22" t="s">
        <v>5432</v>
      </c>
      <c r="B530" s="22">
        <v>0</v>
      </c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</row>
    <row r="531" spans="1:14" x14ac:dyDescent="0.3">
      <c r="A531" s="22" t="s">
        <v>5433</v>
      </c>
      <c r="B531" s="22">
        <v>0</v>
      </c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</row>
    <row r="532" spans="1:14" x14ac:dyDescent="0.3">
      <c r="A532" s="22" t="s">
        <v>5434</v>
      </c>
      <c r="B532" s="22">
        <v>0</v>
      </c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</row>
    <row r="533" spans="1:14" x14ac:dyDescent="0.3">
      <c r="A533" s="22" t="s">
        <v>5435</v>
      </c>
      <c r="B533" s="22">
        <v>0</v>
      </c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</row>
    <row r="534" spans="1:14" x14ac:dyDescent="0.3">
      <c r="A534" s="22" t="s">
        <v>5436</v>
      </c>
      <c r="B534" s="22">
        <v>0</v>
      </c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</row>
    <row r="535" spans="1:14" x14ac:dyDescent="0.3">
      <c r="A535" s="22" t="s">
        <v>2841</v>
      </c>
      <c r="B535" s="22">
        <v>27</v>
      </c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</row>
    <row r="536" spans="1:14" x14ac:dyDescent="0.3">
      <c r="A536" s="22" t="s">
        <v>2980</v>
      </c>
      <c r="B536" s="22">
        <v>0</v>
      </c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</row>
    <row r="537" spans="1:14" x14ac:dyDescent="0.3">
      <c r="A537" s="22" t="s">
        <v>2981</v>
      </c>
      <c r="B537" s="22">
        <v>0</v>
      </c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</row>
    <row r="538" spans="1:14" x14ac:dyDescent="0.3">
      <c r="A538" s="22" t="s">
        <v>2982</v>
      </c>
      <c r="B538" s="22">
        <v>0</v>
      </c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</row>
    <row r="539" spans="1:14" x14ac:dyDescent="0.3">
      <c r="A539" s="22" t="s">
        <v>2983</v>
      </c>
      <c r="B539" s="22">
        <v>0</v>
      </c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</row>
    <row r="540" spans="1:14" x14ac:dyDescent="0.3">
      <c r="A540" s="22" t="s">
        <v>2984</v>
      </c>
      <c r="B540" s="22">
        <v>0</v>
      </c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</row>
    <row r="541" spans="1:14" x14ac:dyDescent="0.3">
      <c r="A541" s="22" t="s">
        <v>2985</v>
      </c>
      <c r="B541" s="22">
        <v>0</v>
      </c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</row>
    <row r="542" spans="1:14" x14ac:dyDescent="0.3">
      <c r="A542" s="22" t="s">
        <v>2986</v>
      </c>
      <c r="B542" s="22">
        <v>0</v>
      </c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</row>
    <row r="543" spans="1:14" x14ac:dyDescent="0.3">
      <c r="A543" s="22" t="s">
        <v>2843</v>
      </c>
      <c r="B543" s="22">
        <v>0</v>
      </c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</row>
    <row r="544" spans="1:14" x14ac:dyDescent="0.3">
      <c r="A544" s="22" t="s">
        <v>2987</v>
      </c>
      <c r="B544" s="22">
        <v>0</v>
      </c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</row>
    <row r="545" spans="1:14" x14ac:dyDescent="0.3">
      <c r="A545" s="22" t="s">
        <v>2988</v>
      </c>
      <c r="B545" s="22">
        <v>0</v>
      </c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</row>
    <row r="546" spans="1:14" x14ac:dyDescent="0.3">
      <c r="A546" s="22" t="s">
        <v>2989</v>
      </c>
      <c r="B546" s="22">
        <v>0</v>
      </c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</row>
    <row r="547" spans="1:14" x14ac:dyDescent="0.3">
      <c r="A547" s="22" t="s">
        <v>2990</v>
      </c>
      <c r="B547" s="22">
        <v>0</v>
      </c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</row>
    <row r="548" spans="1:14" x14ac:dyDescent="0.3">
      <c r="A548" s="22" t="s">
        <v>2991</v>
      </c>
      <c r="B548" s="22">
        <v>0</v>
      </c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</row>
    <row r="549" spans="1:14" x14ac:dyDescent="0.3">
      <c r="A549" s="22" t="s">
        <v>2992</v>
      </c>
      <c r="B549" s="22">
        <v>0</v>
      </c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</row>
    <row r="550" spans="1:14" x14ac:dyDescent="0.3">
      <c r="A550" s="22" t="s">
        <v>2993</v>
      </c>
      <c r="B550" s="22">
        <v>0</v>
      </c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</row>
    <row r="551" spans="1:14" x14ac:dyDescent="0.3">
      <c r="A551" s="22" t="s">
        <v>2844</v>
      </c>
      <c r="B551" s="22">
        <v>0</v>
      </c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</row>
    <row r="552" spans="1:14" x14ac:dyDescent="0.3">
      <c r="A552" s="22" t="s">
        <v>5437</v>
      </c>
      <c r="B552" s="22">
        <v>0</v>
      </c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</row>
    <row r="553" spans="1:14" x14ac:dyDescent="0.3">
      <c r="A553" s="22" t="s">
        <v>5438</v>
      </c>
      <c r="B553" s="22">
        <v>0</v>
      </c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</row>
    <row r="554" spans="1:14" x14ac:dyDescent="0.3">
      <c r="A554" s="22" t="s">
        <v>5439</v>
      </c>
      <c r="B554" s="22">
        <v>0</v>
      </c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</row>
    <row r="555" spans="1:14" x14ac:dyDescent="0.3">
      <c r="A555" s="22" t="s">
        <v>5440</v>
      </c>
      <c r="B555" s="22">
        <v>0</v>
      </c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</row>
    <row r="556" spans="1:14" x14ac:dyDescent="0.3">
      <c r="A556" s="22" t="s">
        <v>5441</v>
      </c>
      <c r="B556" s="22">
        <v>0</v>
      </c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</row>
    <row r="557" spans="1:14" x14ac:dyDescent="0.3">
      <c r="A557" s="22" t="s">
        <v>5442</v>
      </c>
      <c r="B557" s="22">
        <v>0</v>
      </c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</row>
    <row r="558" spans="1:14" x14ac:dyDescent="0.3">
      <c r="A558" s="22" t="s">
        <v>5443</v>
      </c>
      <c r="B558" s="22">
        <v>0</v>
      </c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</row>
    <row r="559" spans="1:14" x14ac:dyDescent="0.3">
      <c r="A559" s="22" t="s">
        <v>2845</v>
      </c>
      <c r="B559" s="22">
        <v>4</v>
      </c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</row>
    <row r="560" spans="1:14" x14ac:dyDescent="0.3">
      <c r="A560" s="22" t="s">
        <v>2994</v>
      </c>
      <c r="B560" s="22">
        <v>0</v>
      </c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</row>
    <row r="561" spans="1:14" x14ac:dyDescent="0.3">
      <c r="A561" s="22" t="s">
        <v>2995</v>
      </c>
      <c r="B561" s="22">
        <v>0</v>
      </c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</row>
    <row r="562" spans="1:14" x14ac:dyDescent="0.3">
      <c r="A562" s="22" t="s">
        <v>2996</v>
      </c>
      <c r="B562" s="22">
        <v>0</v>
      </c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</row>
    <row r="563" spans="1:14" x14ac:dyDescent="0.3">
      <c r="A563" s="22" t="s">
        <v>2997</v>
      </c>
      <c r="B563" s="22">
        <v>0</v>
      </c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</row>
    <row r="564" spans="1:14" x14ac:dyDescent="0.3">
      <c r="A564" s="22" t="s">
        <v>2998</v>
      </c>
      <c r="B564" s="22">
        <v>0</v>
      </c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</row>
    <row r="565" spans="1:14" x14ac:dyDescent="0.3">
      <c r="A565" s="22" t="s">
        <v>2999</v>
      </c>
      <c r="B565" s="22">
        <v>0</v>
      </c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</row>
    <row r="566" spans="1:14" x14ac:dyDescent="0.3">
      <c r="A566" s="22" t="s">
        <v>3000</v>
      </c>
      <c r="B566" s="22">
        <v>0</v>
      </c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</row>
    <row r="567" spans="1:14" x14ac:dyDescent="0.3">
      <c r="A567" s="22" t="s">
        <v>2849</v>
      </c>
      <c r="B567" s="22">
        <v>52</v>
      </c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</row>
    <row r="568" spans="1:14" x14ac:dyDescent="0.3">
      <c r="A568" s="22" t="s">
        <v>3001</v>
      </c>
      <c r="B568" s="22">
        <v>0</v>
      </c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</row>
    <row r="569" spans="1:14" x14ac:dyDescent="0.3">
      <c r="A569" s="22" t="s">
        <v>3002</v>
      </c>
      <c r="B569" s="22">
        <v>0</v>
      </c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</row>
    <row r="570" spans="1:14" x14ac:dyDescent="0.3">
      <c r="A570" s="22" t="s">
        <v>3003</v>
      </c>
      <c r="B570" s="22">
        <v>0</v>
      </c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</row>
    <row r="571" spans="1:14" x14ac:dyDescent="0.3">
      <c r="A571" s="22" t="s">
        <v>3004</v>
      </c>
      <c r="B571" s="22">
        <v>0</v>
      </c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</row>
    <row r="572" spans="1:14" x14ac:dyDescent="0.3">
      <c r="A572" s="22" t="s">
        <v>3005</v>
      </c>
      <c r="B572" s="22">
        <v>0</v>
      </c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</row>
    <row r="573" spans="1:14" x14ac:dyDescent="0.3">
      <c r="A573" s="22" t="s">
        <v>3006</v>
      </c>
      <c r="B573" s="22">
        <v>0</v>
      </c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</row>
    <row r="574" spans="1:14" x14ac:dyDescent="0.3">
      <c r="A574" s="22" t="s">
        <v>3007</v>
      </c>
      <c r="B574" s="22">
        <v>0</v>
      </c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</row>
    <row r="575" spans="1:14" x14ac:dyDescent="0.3">
      <c r="A575" s="22" t="s">
        <v>2850</v>
      </c>
      <c r="B575" s="22">
        <v>1</v>
      </c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</row>
    <row r="576" spans="1:14" x14ac:dyDescent="0.3">
      <c r="A576" s="22" t="s">
        <v>3008</v>
      </c>
      <c r="B576" s="22">
        <v>0</v>
      </c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</row>
    <row r="577" spans="1:14" x14ac:dyDescent="0.3">
      <c r="A577" s="22" t="s">
        <v>3009</v>
      </c>
      <c r="B577" s="22">
        <v>0</v>
      </c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</row>
    <row r="578" spans="1:14" x14ac:dyDescent="0.3">
      <c r="A578" s="22" t="s">
        <v>3010</v>
      </c>
      <c r="B578" s="22">
        <v>0</v>
      </c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</row>
    <row r="579" spans="1:14" x14ac:dyDescent="0.3">
      <c r="A579" s="22" t="s">
        <v>3011</v>
      </c>
      <c r="B579" s="22">
        <v>0</v>
      </c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</row>
    <row r="580" spans="1:14" x14ac:dyDescent="0.3">
      <c r="A580" s="22" t="s">
        <v>3012</v>
      </c>
      <c r="B580" s="22">
        <v>0</v>
      </c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</row>
    <row r="581" spans="1:14" x14ac:dyDescent="0.3">
      <c r="A581" s="22" t="s">
        <v>3013</v>
      </c>
      <c r="B581" s="22">
        <v>0</v>
      </c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</row>
    <row r="582" spans="1:14" x14ac:dyDescent="0.3">
      <c r="A582" s="22" t="s">
        <v>3014</v>
      </c>
      <c r="B582" s="22">
        <v>0</v>
      </c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</row>
    <row r="583" spans="1:14" x14ac:dyDescent="0.3">
      <c r="A583" s="22" t="s">
        <v>2851</v>
      </c>
      <c r="B583" s="22">
        <v>61</v>
      </c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</row>
    <row r="584" spans="1:14" x14ac:dyDescent="0.3">
      <c r="A584" s="22" t="s">
        <v>3015</v>
      </c>
      <c r="B584" s="22">
        <v>10</v>
      </c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</row>
    <row r="585" spans="1:14" x14ac:dyDescent="0.3">
      <c r="A585" s="22" t="s">
        <v>3016</v>
      </c>
      <c r="B585" s="22">
        <v>0</v>
      </c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</row>
    <row r="586" spans="1:14" x14ac:dyDescent="0.3">
      <c r="A586" s="22" t="s">
        <v>3017</v>
      </c>
      <c r="B586" s="22">
        <v>0</v>
      </c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</row>
    <row r="587" spans="1:14" x14ac:dyDescent="0.3">
      <c r="A587" s="22" t="s">
        <v>3018</v>
      </c>
      <c r="B587" s="22">
        <v>0</v>
      </c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</row>
    <row r="588" spans="1:14" x14ac:dyDescent="0.3">
      <c r="A588" s="22" t="s">
        <v>3019</v>
      </c>
      <c r="B588" s="22">
        <v>0</v>
      </c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</row>
    <row r="589" spans="1:14" x14ac:dyDescent="0.3">
      <c r="A589" s="22" t="s">
        <v>3020</v>
      </c>
      <c r="B589" s="22">
        <v>0</v>
      </c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</row>
    <row r="590" spans="1:14" x14ac:dyDescent="0.3">
      <c r="A590" s="22" t="s">
        <v>3021</v>
      </c>
      <c r="B590" s="22">
        <v>0</v>
      </c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</row>
    <row r="591" spans="1:14" x14ac:dyDescent="0.3">
      <c r="A591" s="22" t="s">
        <v>2852</v>
      </c>
      <c r="B591" s="22">
        <v>0</v>
      </c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</row>
    <row r="592" spans="1:14" x14ac:dyDescent="0.3">
      <c r="A592" s="22" t="s">
        <v>3022</v>
      </c>
      <c r="B592" s="22">
        <v>0</v>
      </c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</row>
    <row r="593" spans="1:14" x14ac:dyDescent="0.3">
      <c r="A593" s="22" t="s">
        <v>3023</v>
      </c>
      <c r="B593" s="22">
        <v>0</v>
      </c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</row>
    <row r="594" spans="1:14" x14ac:dyDescent="0.3">
      <c r="A594" s="22" t="s">
        <v>3024</v>
      </c>
      <c r="B594" s="22">
        <v>0</v>
      </c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</row>
    <row r="595" spans="1:14" x14ac:dyDescent="0.3">
      <c r="A595" s="22" t="s">
        <v>3025</v>
      </c>
      <c r="B595" s="22">
        <v>0</v>
      </c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</row>
    <row r="596" spans="1:14" x14ac:dyDescent="0.3">
      <c r="A596" s="22" t="s">
        <v>3026</v>
      </c>
      <c r="B596" s="22">
        <v>0</v>
      </c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</row>
    <row r="597" spans="1:14" x14ac:dyDescent="0.3">
      <c r="A597" s="22" t="s">
        <v>3027</v>
      </c>
      <c r="B597" s="22">
        <v>0</v>
      </c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</row>
    <row r="598" spans="1:14" x14ac:dyDescent="0.3">
      <c r="A598" s="22" t="s">
        <v>3028</v>
      </c>
      <c r="B598" s="22">
        <v>0</v>
      </c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</row>
    <row r="599" spans="1:14" x14ac:dyDescent="0.3">
      <c r="A599" s="22" t="s">
        <v>2853</v>
      </c>
      <c r="B599" s="22">
        <v>0</v>
      </c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</row>
    <row r="600" spans="1:14" x14ac:dyDescent="0.3">
      <c r="A600" s="22" t="s">
        <v>3029</v>
      </c>
      <c r="B600" s="22">
        <v>0</v>
      </c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</row>
    <row r="601" spans="1:14" x14ac:dyDescent="0.3">
      <c r="A601" s="22" t="s">
        <v>3030</v>
      </c>
      <c r="B601" s="22">
        <v>0</v>
      </c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</row>
    <row r="602" spans="1:14" x14ac:dyDescent="0.3">
      <c r="A602" s="22" t="s">
        <v>3031</v>
      </c>
      <c r="B602" s="22">
        <v>0</v>
      </c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</row>
    <row r="603" spans="1:14" x14ac:dyDescent="0.3">
      <c r="A603" s="22" t="s">
        <v>3032</v>
      </c>
      <c r="B603" s="22">
        <v>0</v>
      </c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</row>
    <row r="604" spans="1:14" x14ac:dyDescent="0.3">
      <c r="A604" s="22" t="s">
        <v>3033</v>
      </c>
      <c r="B604" s="22">
        <v>0</v>
      </c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</row>
    <row r="605" spans="1:14" x14ac:dyDescent="0.3">
      <c r="A605" s="22" t="s">
        <v>3034</v>
      </c>
      <c r="B605" s="22">
        <v>0</v>
      </c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</row>
    <row r="606" spans="1:14" x14ac:dyDescent="0.3">
      <c r="A606" s="22" t="s">
        <v>3035</v>
      </c>
      <c r="B606" s="22">
        <v>0</v>
      </c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</row>
    <row r="607" spans="1:14" x14ac:dyDescent="0.3">
      <c r="A607" s="22" t="s">
        <v>2854</v>
      </c>
      <c r="B607" s="22">
        <v>2</v>
      </c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</row>
    <row r="608" spans="1:14" x14ac:dyDescent="0.3">
      <c r="A608" s="22" t="s">
        <v>5078</v>
      </c>
      <c r="B608" s="22">
        <v>0</v>
      </c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</row>
    <row r="609" spans="1:14" x14ac:dyDescent="0.3">
      <c r="A609" s="22" t="s">
        <v>5079</v>
      </c>
      <c r="B609" s="22">
        <v>0</v>
      </c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</row>
    <row r="610" spans="1:14" x14ac:dyDescent="0.3">
      <c r="A610" s="22" t="s">
        <v>5080</v>
      </c>
      <c r="B610" s="22">
        <v>0</v>
      </c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</row>
    <row r="611" spans="1:14" x14ac:dyDescent="0.3">
      <c r="A611" s="22" t="s">
        <v>5081</v>
      </c>
      <c r="B611" s="22">
        <v>0</v>
      </c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</row>
    <row r="612" spans="1:14" x14ac:dyDescent="0.3">
      <c r="A612" s="22" t="s">
        <v>5082</v>
      </c>
      <c r="B612" s="22">
        <v>0</v>
      </c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</row>
    <row r="613" spans="1:14" x14ac:dyDescent="0.3">
      <c r="A613" s="22" t="s">
        <v>5083</v>
      </c>
      <c r="B613" s="22">
        <v>0</v>
      </c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</row>
    <row r="614" spans="1:14" x14ac:dyDescent="0.3">
      <c r="A614" s="22" t="s">
        <v>5084</v>
      </c>
      <c r="B614" s="22">
        <v>0</v>
      </c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</row>
    <row r="615" spans="1:14" x14ac:dyDescent="0.3">
      <c r="A615" s="22" t="s">
        <v>2855</v>
      </c>
      <c r="B615" s="22">
        <v>0</v>
      </c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</row>
    <row r="616" spans="1:14" x14ac:dyDescent="0.3">
      <c r="A616" s="22" t="s">
        <v>3036</v>
      </c>
      <c r="B616" s="22">
        <v>0</v>
      </c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</row>
    <row r="617" spans="1:14" x14ac:dyDescent="0.3">
      <c r="A617" s="22" t="s">
        <v>3037</v>
      </c>
      <c r="B617" s="22">
        <v>0</v>
      </c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</row>
    <row r="618" spans="1:14" x14ac:dyDescent="0.3">
      <c r="A618" s="22" t="s">
        <v>3038</v>
      </c>
      <c r="B618" s="22">
        <v>0</v>
      </c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</row>
    <row r="619" spans="1:14" x14ac:dyDescent="0.3">
      <c r="A619" s="22" t="s">
        <v>3039</v>
      </c>
      <c r="B619" s="22">
        <v>0</v>
      </c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</row>
    <row r="620" spans="1:14" x14ac:dyDescent="0.3">
      <c r="A620" s="22" t="s">
        <v>3040</v>
      </c>
      <c r="B620" s="22">
        <v>0</v>
      </c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</row>
    <row r="621" spans="1:14" x14ac:dyDescent="0.3">
      <c r="A621" s="22" t="s">
        <v>3041</v>
      </c>
      <c r="B621" s="22">
        <v>0</v>
      </c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</row>
    <row r="622" spans="1:14" x14ac:dyDescent="0.3">
      <c r="A622" s="22" t="s">
        <v>3042</v>
      </c>
      <c r="B622" s="22">
        <v>0</v>
      </c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</row>
    <row r="623" spans="1:14" x14ac:dyDescent="0.3">
      <c r="A623" s="22" t="s">
        <v>2856</v>
      </c>
      <c r="B623" s="22">
        <v>1</v>
      </c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</row>
    <row r="624" spans="1:14" x14ac:dyDescent="0.3">
      <c r="A624" s="22" t="s">
        <v>3043</v>
      </c>
      <c r="B624" s="22">
        <v>0</v>
      </c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</row>
    <row r="625" spans="1:14" x14ac:dyDescent="0.3">
      <c r="A625" s="22" t="s">
        <v>3044</v>
      </c>
      <c r="B625" s="22">
        <v>0</v>
      </c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</row>
    <row r="626" spans="1:14" x14ac:dyDescent="0.3">
      <c r="A626" s="22" t="s">
        <v>3045</v>
      </c>
      <c r="B626" s="22">
        <v>0</v>
      </c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</row>
    <row r="627" spans="1:14" x14ac:dyDescent="0.3">
      <c r="A627" s="22" t="s">
        <v>3046</v>
      </c>
      <c r="B627" s="22">
        <v>0</v>
      </c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</row>
    <row r="628" spans="1:14" x14ac:dyDescent="0.3">
      <c r="A628" s="22" t="s">
        <v>3047</v>
      </c>
      <c r="B628" s="22">
        <v>0</v>
      </c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</row>
    <row r="629" spans="1:14" x14ac:dyDescent="0.3">
      <c r="A629" s="22" t="s">
        <v>3048</v>
      </c>
      <c r="B629" s="22">
        <v>0</v>
      </c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</row>
    <row r="630" spans="1:14" x14ac:dyDescent="0.3">
      <c r="A630" s="22" t="s">
        <v>3049</v>
      </c>
      <c r="B630" s="22">
        <v>0</v>
      </c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</row>
    <row r="631" spans="1:14" x14ac:dyDescent="0.3">
      <c r="A631" s="22" t="s">
        <v>2857</v>
      </c>
      <c r="B631" s="22">
        <v>0</v>
      </c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</row>
    <row r="632" spans="1:14" x14ac:dyDescent="0.3">
      <c r="A632" s="22" t="s">
        <v>3050</v>
      </c>
      <c r="B632" s="22">
        <v>0</v>
      </c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</row>
    <row r="633" spans="1:14" x14ac:dyDescent="0.3">
      <c r="A633" s="22" t="s">
        <v>3051</v>
      </c>
      <c r="B633" s="22">
        <v>0</v>
      </c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</row>
    <row r="634" spans="1:14" x14ac:dyDescent="0.3">
      <c r="A634" s="22" t="s">
        <v>3052</v>
      </c>
      <c r="B634" s="22">
        <v>0</v>
      </c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</row>
    <row r="635" spans="1:14" x14ac:dyDescent="0.3">
      <c r="A635" s="22" t="s">
        <v>3053</v>
      </c>
      <c r="B635" s="22">
        <v>0</v>
      </c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</row>
    <row r="636" spans="1:14" x14ac:dyDescent="0.3">
      <c r="A636" s="22" t="s">
        <v>3054</v>
      </c>
      <c r="B636" s="22">
        <v>0</v>
      </c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</row>
    <row r="637" spans="1:14" x14ac:dyDescent="0.3">
      <c r="A637" s="22" t="s">
        <v>3055</v>
      </c>
      <c r="B637" s="22">
        <v>0</v>
      </c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</row>
    <row r="638" spans="1:14" x14ac:dyDescent="0.3">
      <c r="A638" s="22" t="s">
        <v>3056</v>
      </c>
      <c r="B638" s="22">
        <v>0</v>
      </c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</row>
    <row r="639" spans="1:14" x14ac:dyDescent="0.3">
      <c r="A639" s="22" t="s">
        <v>2858</v>
      </c>
      <c r="B639" s="22">
        <v>3</v>
      </c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</row>
    <row r="640" spans="1:14" x14ac:dyDescent="0.3">
      <c r="A640" s="22" t="s">
        <v>3057</v>
      </c>
      <c r="B640" s="22">
        <v>0</v>
      </c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</row>
    <row r="641" spans="1:14" x14ac:dyDescent="0.3">
      <c r="A641" s="22" t="s">
        <v>3058</v>
      </c>
      <c r="B641" s="22">
        <v>0</v>
      </c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</row>
    <row r="642" spans="1:14" x14ac:dyDescent="0.3">
      <c r="A642" s="22" t="s">
        <v>3059</v>
      </c>
      <c r="B642" s="22">
        <v>0</v>
      </c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</row>
    <row r="643" spans="1:14" x14ac:dyDescent="0.3">
      <c r="A643" s="22" t="s">
        <v>3060</v>
      </c>
      <c r="B643" s="22">
        <v>0</v>
      </c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</row>
    <row r="644" spans="1:14" x14ac:dyDescent="0.3">
      <c r="A644" s="22" t="s">
        <v>3061</v>
      </c>
      <c r="B644" s="22">
        <v>0</v>
      </c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</row>
    <row r="645" spans="1:14" x14ac:dyDescent="0.3">
      <c r="A645" s="22" t="s">
        <v>3062</v>
      </c>
      <c r="B645" s="22">
        <v>0</v>
      </c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</row>
    <row r="646" spans="1:14" x14ac:dyDescent="0.3">
      <c r="A646" s="22" t="s">
        <v>3063</v>
      </c>
      <c r="B646" s="22">
        <v>0</v>
      </c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</row>
    <row r="647" spans="1:14" x14ac:dyDescent="0.3">
      <c r="A647" s="22" t="s">
        <v>2859</v>
      </c>
      <c r="B647" s="22">
        <v>80</v>
      </c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</row>
    <row r="648" spans="1:14" x14ac:dyDescent="0.3">
      <c r="A648" s="22" t="s">
        <v>3064</v>
      </c>
      <c r="B648" s="22">
        <v>0</v>
      </c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</row>
    <row r="649" spans="1:14" x14ac:dyDescent="0.3">
      <c r="A649" s="22" t="s">
        <v>3065</v>
      </c>
      <c r="B649" s="22">
        <v>0</v>
      </c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</row>
    <row r="650" spans="1:14" x14ac:dyDescent="0.3">
      <c r="A650" s="22" t="s">
        <v>3066</v>
      </c>
      <c r="B650" s="22">
        <v>0</v>
      </c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</row>
    <row r="651" spans="1:14" x14ac:dyDescent="0.3">
      <c r="A651" s="22" t="s">
        <v>3067</v>
      </c>
      <c r="B651" s="22">
        <v>0</v>
      </c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</row>
    <row r="652" spans="1:14" x14ac:dyDescent="0.3">
      <c r="A652" s="22" t="s">
        <v>3068</v>
      </c>
      <c r="B652" s="22">
        <v>0</v>
      </c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</row>
    <row r="653" spans="1:14" x14ac:dyDescent="0.3">
      <c r="A653" s="22" t="s">
        <v>3069</v>
      </c>
      <c r="B653" s="22">
        <v>0</v>
      </c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</row>
    <row r="654" spans="1:14" x14ac:dyDescent="0.3">
      <c r="A654" s="22" t="s">
        <v>3070</v>
      </c>
      <c r="B654" s="22">
        <v>0</v>
      </c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</row>
    <row r="655" spans="1:14" x14ac:dyDescent="0.3">
      <c r="A655" s="22" t="s">
        <v>2860</v>
      </c>
      <c r="B655" s="22">
        <v>21</v>
      </c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</row>
    <row r="656" spans="1:14" x14ac:dyDescent="0.3">
      <c r="A656" s="22" t="s">
        <v>5353</v>
      </c>
      <c r="B656" s="22">
        <v>0</v>
      </c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</row>
    <row r="657" spans="1:14" x14ac:dyDescent="0.3">
      <c r="A657" s="22" t="s">
        <v>5354</v>
      </c>
      <c r="B657" s="22">
        <v>0</v>
      </c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</row>
    <row r="658" spans="1:14" x14ac:dyDescent="0.3">
      <c r="A658" s="22" t="s">
        <v>5355</v>
      </c>
      <c r="B658" s="22">
        <v>0</v>
      </c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</row>
    <row r="659" spans="1:14" x14ac:dyDescent="0.3">
      <c r="A659" s="22" t="s">
        <v>5356</v>
      </c>
      <c r="B659" s="22">
        <v>0</v>
      </c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</row>
    <row r="660" spans="1:14" x14ac:dyDescent="0.3">
      <c r="A660" s="22" t="s">
        <v>5357</v>
      </c>
      <c r="B660" s="22">
        <v>0</v>
      </c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</row>
    <row r="661" spans="1:14" x14ac:dyDescent="0.3">
      <c r="A661" s="22" t="s">
        <v>5358</v>
      </c>
      <c r="B661" s="22">
        <v>0</v>
      </c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</row>
    <row r="662" spans="1:14" x14ac:dyDescent="0.3">
      <c r="A662" s="22" t="s">
        <v>5359</v>
      </c>
      <c r="B662" s="22">
        <v>0</v>
      </c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</row>
    <row r="663" spans="1:14" x14ac:dyDescent="0.3">
      <c r="A663" s="22" t="s">
        <v>2861</v>
      </c>
      <c r="B663" s="22">
        <v>137</v>
      </c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</row>
    <row r="664" spans="1:14" x14ac:dyDescent="0.3">
      <c r="A664" s="22" t="s">
        <v>3071</v>
      </c>
      <c r="B664" s="22">
        <v>3</v>
      </c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</row>
    <row r="665" spans="1:14" x14ac:dyDescent="0.3">
      <c r="A665" s="22" t="s">
        <v>3072</v>
      </c>
      <c r="B665" s="22">
        <v>0</v>
      </c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</row>
    <row r="666" spans="1:14" x14ac:dyDescent="0.3">
      <c r="A666" s="22" t="s">
        <v>3073</v>
      </c>
      <c r="B666" s="22">
        <v>0</v>
      </c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</row>
    <row r="667" spans="1:14" x14ac:dyDescent="0.3">
      <c r="A667" s="22" t="s">
        <v>3074</v>
      </c>
      <c r="B667" s="22">
        <v>0</v>
      </c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</row>
    <row r="668" spans="1:14" x14ac:dyDescent="0.3">
      <c r="A668" s="22" t="s">
        <v>3075</v>
      </c>
      <c r="B668" s="22">
        <v>0</v>
      </c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</row>
    <row r="669" spans="1:14" x14ac:dyDescent="0.3">
      <c r="A669" s="22" t="s">
        <v>3076</v>
      </c>
      <c r="B669" s="22">
        <v>0</v>
      </c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</row>
    <row r="670" spans="1:14" x14ac:dyDescent="0.3">
      <c r="A670" s="22" t="s">
        <v>3077</v>
      </c>
      <c r="B670" s="22">
        <v>0</v>
      </c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</row>
    <row r="671" spans="1:14" x14ac:dyDescent="0.3">
      <c r="A671" s="22" t="s">
        <v>2862</v>
      </c>
      <c r="B671" s="22">
        <v>0</v>
      </c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</row>
    <row r="672" spans="1:14" x14ac:dyDescent="0.3">
      <c r="A672" s="22" t="s">
        <v>5486</v>
      </c>
      <c r="B672" s="22">
        <v>0</v>
      </c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</row>
    <row r="673" spans="1:14" x14ac:dyDescent="0.3">
      <c r="A673" s="22" t="s">
        <v>5487</v>
      </c>
      <c r="B673" s="22">
        <v>0</v>
      </c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</row>
    <row r="674" spans="1:14" x14ac:dyDescent="0.3">
      <c r="A674" s="22" t="s">
        <v>5488</v>
      </c>
      <c r="B674" s="22">
        <v>0</v>
      </c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</row>
    <row r="675" spans="1:14" x14ac:dyDescent="0.3">
      <c r="A675" s="22" t="s">
        <v>5489</v>
      </c>
      <c r="B675" s="22">
        <v>0</v>
      </c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</row>
    <row r="676" spans="1:14" x14ac:dyDescent="0.3">
      <c r="A676" s="22" t="s">
        <v>5490</v>
      </c>
      <c r="B676" s="22">
        <v>0</v>
      </c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</row>
    <row r="677" spans="1:14" x14ac:dyDescent="0.3">
      <c r="A677" s="22" t="s">
        <v>5491</v>
      </c>
      <c r="B677" s="22">
        <v>0</v>
      </c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</row>
    <row r="678" spans="1:14" x14ac:dyDescent="0.3">
      <c r="A678" s="22" t="s">
        <v>5492</v>
      </c>
      <c r="B678" s="22">
        <v>0</v>
      </c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</row>
    <row r="679" spans="1:14" x14ac:dyDescent="0.3">
      <c r="A679" s="22" t="s">
        <v>2863</v>
      </c>
      <c r="B679" s="22">
        <v>0</v>
      </c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</row>
    <row r="680" spans="1:14" x14ac:dyDescent="0.3">
      <c r="A680" s="22" t="s">
        <v>3078</v>
      </c>
      <c r="B680" s="22">
        <v>0</v>
      </c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</row>
    <row r="681" spans="1:14" x14ac:dyDescent="0.3">
      <c r="A681" s="22" t="s">
        <v>3079</v>
      </c>
      <c r="B681" s="22">
        <v>0</v>
      </c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</row>
    <row r="682" spans="1:14" x14ac:dyDescent="0.3">
      <c r="A682" s="22" t="s">
        <v>3080</v>
      </c>
      <c r="B682" s="22">
        <v>0</v>
      </c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</row>
    <row r="683" spans="1:14" x14ac:dyDescent="0.3">
      <c r="A683" s="22" t="s">
        <v>3081</v>
      </c>
      <c r="B683" s="22">
        <v>0</v>
      </c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</row>
    <row r="684" spans="1:14" x14ac:dyDescent="0.3">
      <c r="A684" s="22" t="s">
        <v>3082</v>
      </c>
      <c r="B684" s="22">
        <v>0</v>
      </c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</row>
    <row r="685" spans="1:14" x14ac:dyDescent="0.3">
      <c r="A685" s="22" t="s">
        <v>3083</v>
      </c>
      <c r="B685" s="22">
        <v>0</v>
      </c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</row>
    <row r="686" spans="1:14" x14ac:dyDescent="0.3">
      <c r="A686" s="22" t="s">
        <v>3084</v>
      </c>
      <c r="B686" s="22">
        <v>0</v>
      </c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</row>
    <row r="687" spans="1:14" x14ac:dyDescent="0.3">
      <c r="A687" s="22" t="s">
        <v>2864</v>
      </c>
      <c r="B687" s="22">
        <v>3</v>
      </c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</row>
    <row r="688" spans="1:14" x14ac:dyDescent="0.3">
      <c r="A688" s="22" t="s">
        <v>3085</v>
      </c>
      <c r="B688" s="22">
        <v>0</v>
      </c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</row>
    <row r="689" spans="1:14" x14ac:dyDescent="0.3">
      <c r="A689" s="22" t="s">
        <v>3086</v>
      </c>
      <c r="B689" s="22">
        <v>0</v>
      </c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</row>
    <row r="690" spans="1:14" x14ac:dyDescent="0.3">
      <c r="A690" s="22" t="s">
        <v>3087</v>
      </c>
      <c r="B690" s="22">
        <v>0</v>
      </c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</row>
    <row r="691" spans="1:14" x14ac:dyDescent="0.3">
      <c r="A691" s="22" t="s">
        <v>3088</v>
      </c>
      <c r="B691" s="22">
        <v>0</v>
      </c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</row>
    <row r="692" spans="1:14" x14ac:dyDescent="0.3">
      <c r="A692" s="22" t="s">
        <v>3089</v>
      </c>
      <c r="B692" s="22">
        <v>0</v>
      </c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</row>
    <row r="693" spans="1:14" x14ac:dyDescent="0.3">
      <c r="A693" s="22" t="s">
        <v>3090</v>
      </c>
      <c r="B693" s="22">
        <v>0</v>
      </c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</row>
    <row r="694" spans="1:14" x14ac:dyDescent="0.3">
      <c r="A694" s="22" t="s">
        <v>3091</v>
      </c>
      <c r="B694" s="22">
        <v>0</v>
      </c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</row>
    <row r="695" spans="1:14" x14ac:dyDescent="0.3">
      <c r="A695" s="22" t="s">
        <v>2866</v>
      </c>
      <c r="B695" s="22">
        <v>0</v>
      </c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</row>
    <row r="696" spans="1:14" x14ac:dyDescent="0.3">
      <c r="A696" s="22" t="s">
        <v>3092</v>
      </c>
      <c r="B696" s="22">
        <v>0</v>
      </c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</row>
    <row r="697" spans="1:14" x14ac:dyDescent="0.3">
      <c r="A697" s="22" t="s">
        <v>3093</v>
      </c>
      <c r="B697" s="22">
        <v>0</v>
      </c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</row>
    <row r="698" spans="1:14" x14ac:dyDescent="0.3">
      <c r="A698" s="22" t="s">
        <v>3094</v>
      </c>
      <c r="B698" s="22">
        <v>0</v>
      </c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</row>
    <row r="699" spans="1:14" x14ac:dyDescent="0.3">
      <c r="A699" s="22" t="s">
        <v>3095</v>
      </c>
      <c r="B699" s="22">
        <v>0</v>
      </c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</row>
    <row r="700" spans="1:14" x14ac:dyDescent="0.3">
      <c r="A700" s="22" t="s">
        <v>3096</v>
      </c>
      <c r="B700" s="22">
        <v>0</v>
      </c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</row>
    <row r="701" spans="1:14" x14ac:dyDescent="0.3">
      <c r="A701" s="22" t="s">
        <v>3097</v>
      </c>
      <c r="B701" s="22">
        <v>0</v>
      </c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</row>
    <row r="702" spans="1:14" x14ac:dyDescent="0.3">
      <c r="A702" s="22" t="s">
        <v>3098</v>
      </c>
      <c r="B702" s="22">
        <v>0</v>
      </c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</row>
    <row r="703" spans="1:14" x14ac:dyDescent="0.3">
      <c r="A703" s="22" t="s">
        <v>2867</v>
      </c>
      <c r="B703" s="22">
        <v>0</v>
      </c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</row>
    <row r="704" spans="1:14" x14ac:dyDescent="0.3">
      <c r="A704" s="22" t="s">
        <v>3099</v>
      </c>
      <c r="B704" s="22">
        <v>0</v>
      </c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</row>
    <row r="705" spans="1:14" x14ac:dyDescent="0.3">
      <c r="A705" s="22" t="s">
        <v>3100</v>
      </c>
      <c r="B705" s="22">
        <v>0</v>
      </c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</row>
    <row r="706" spans="1:14" x14ac:dyDescent="0.3">
      <c r="A706" s="22" t="s">
        <v>3101</v>
      </c>
      <c r="B706" s="22">
        <v>0</v>
      </c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</row>
    <row r="707" spans="1:14" x14ac:dyDescent="0.3">
      <c r="A707" s="22" t="s">
        <v>3102</v>
      </c>
      <c r="B707" s="22">
        <v>0</v>
      </c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</row>
    <row r="708" spans="1:14" x14ac:dyDescent="0.3">
      <c r="A708" s="22" t="s">
        <v>3103</v>
      </c>
      <c r="B708" s="22">
        <v>0</v>
      </c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</row>
    <row r="709" spans="1:14" x14ac:dyDescent="0.3">
      <c r="A709" s="22" t="s">
        <v>3104</v>
      </c>
      <c r="B709" s="22">
        <v>0</v>
      </c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</row>
    <row r="710" spans="1:14" x14ac:dyDescent="0.3">
      <c r="A710" s="22" t="s">
        <v>3105</v>
      </c>
      <c r="B710" s="22">
        <v>0</v>
      </c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</row>
    <row r="711" spans="1:14" x14ac:dyDescent="0.3">
      <c r="A711" s="22" t="s">
        <v>2868</v>
      </c>
      <c r="B711" s="22">
        <v>4</v>
      </c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</row>
    <row r="712" spans="1:14" x14ac:dyDescent="0.3">
      <c r="A712" s="22" t="s">
        <v>3106</v>
      </c>
      <c r="B712" s="22">
        <v>0</v>
      </c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</row>
    <row r="713" spans="1:14" x14ac:dyDescent="0.3">
      <c r="A713" s="22" t="s">
        <v>3107</v>
      </c>
      <c r="B713" s="22">
        <v>0</v>
      </c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</row>
    <row r="714" spans="1:14" x14ac:dyDescent="0.3">
      <c r="A714" s="22" t="s">
        <v>3108</v>
      </c>
      <c r="B714" s="22">
        <v>0</v>
      </c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</row>
    <row r="715" spans="1:14" x14ac:dyDescent="0.3">
      <c r="A715" s="22" t="s">
        <v>3109</v>
      </c>
      <c r="B715" s="22">
        <v>0</v>
      </c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</row>
    <row r="716" spans="1:14" x14ac:dyDescent="0.3">
      <c r="A716" s="22" t="s">
        <v>3110</v>
      </c>
      <c r="B716" s="22">
        <v>0</v>
      </c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</row>
    <row r="717" spans="1:14" x14ac:dyDescent="0.3">
      <c r="A717" s="22" t="s">
        <v>3111</v>
      </c>
      <c r="B717" s="22">
        <v>0</v>
      </c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</row>
    <row r="718" spans="1:14" x14ac:dyDescent="0.3">
      <c r="A718" s="22" t="s">
        <v>3112</v>
      </c>
      <c r="B718" s="22">
        <v>0</v>
      </c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</row>
    <row r="719" spans="1:14" x14ac:dyDescent="0.3">
      <c r="A719" s="22" t="s">
        <v>2869</v>
      </c>
      <c r="B719" s="22">
        <v>4</v>
      </c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</row>
    <row r="720" spans="1:14" x14ac:dyDescent="0.3">
      <c r="A720" s="22" t="s">
        <v>3113</v>
      </c>
      <c r="B720" s="22">
        <v>0</v>
      </c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</row>
    <row r="721" spans="1:14" x14ac:dyDescent="0.3">
      <c r="A721" s="22" t="s">
        <v>3114</v>
      </c>
      <c r="B721" s="22">
        <v>0</v>
      </c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</row>
    <row r="722" spans="1:14" x14ac:dyDescent="0.3">
      <c r="A722" s="22" t="s">
        <v>3115</v>
      </c>
      <c r="B722" s="22">
        <v>0</v>
      </c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</row>
    <row r="723" spans="1:14" x14ac:dyDescent="0.3">
      <c r="A723" s="22" t="s">
        <v>3116</v>
      </c>
      <c r="B723" s="22">
        <v>0</v>
      </c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</row>
    <row r="724" spans="1:14" x14ac:dyDescent="0.3">
      <c r="A724" s="22" t="s">
        <v>3117</v>
      </c>
      <c r="B724" s="22">
        <v>0</v>
      </c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</row>
    <row r="725" spans="1:14" x14ac:dyDescent="0.3">
      <c r="A725" s="22" t="s">
        <v>3118</v>
      </c>
      <c r="B725" s="22">
        <v>0</v>
      </c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</row>
    <row r="726" spans="1:14" x14ac:dyDescent="0.3">
      <c r="A726" s="22" t="s">
        <v>3119</v>
      </c>
      <c r="B726" s="22">
        <v>0</v>
      </c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</row>
    <row r="727" spans="1:14" x14ac:dyDescent="0.3">
      <c r="A727" s="22" t="s">
        <v>2870</v>
      </c>
      <c r="B727" s="22">
        <v>1</v>
      </c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</row>
    <row r="728" spans="1:14" x14ac:dyDescent="0.3">
      <c r="A728" s="22" t="s">
        <v>3120</v>
      </c>
      <c r="B728" s="22">
        <v>0</v>
      </c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</row>
    <row r="729" spans="1:14" x14ac:dyDescent="0.3">
      <c r="A729" s="22" t="s">
        <v>3121</v>
      </c>
      <c r="B729" s="22">
        <v>0</v>
      </c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</row>
    <row r="730" spans="1:14" x14ac:dyDescent="0.3">
      <c r="A730" s="22" t="s">
        <v>3122</v>
      </c>
      <c r="B730" s="22">
        <v>0</v>
      </c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</row>
    <row r="731" spans="1:14" x14ac:dyDescent="0.3">
      <c r="A731" s="22" t="s">
        <v>3123</v>
      </c>
      <c r="B731" s="22">
        <v>0</v>
      </c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</row>
    <row r="732" spans="1:14" x14ac:dyDescent="0.3">
      <c r="A732" s="22" t="s">
        <v>3124</v>
      </c>
      <c r="B732" s="22">
        <v>0</v>
      </c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</row>
    <row r="733" spans="1:14" x14ac:dyDescent="0.3">
      <c r="A733" s="22" t="s">
        <v>3125</v>
      </c>
      <c r="B733" s="22">
        <v>0</v>
      </c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</row>
    <row r="734" spans="1:14" x14ac:dyDescent="0.3">
      <c r="A734" s="22" t="s">
        <v>3126</v>
      </c>
      <c r="B734" s="22">
        <v>0</v>
      </c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</row>
    <row r="735" spans="1:14" x14ac:dyDescent="0.3">
      <c r="A735" s="22" t="s">
        <v>2871</v>
      </c>
      <c r="B735" s="22">
        <v>0</v>
      </c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</row>
    <row r="736" spans="1:14" x14ac:dyDescent="0.3">
      <c r="A736" s="22" t="s">
        <v>3127</v>
      </c>
      <c r="B736" s="22">
        <v>0</v>
      </c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</row>
    <row r="737" spans="1:14" x14ac:dyDescent="0.3">
      <c r="A737" s="22" t="s">
        <v>3128</v>
      </c>
      <c r="B737" s="22">
        <v>0</v>
      </c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</row>
    <row r="738" spans="1:14" x14ac:dyDescent="0.3">
      <c r="A738" s="22" t="s">
        <v>3129</v>
      </c>
      <c r="B738" s="22">
        <v>0</v>
      </c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</row>
    <row r="739" spans="1:14" x14ac:dyDescent="0.3">
      <c r="A739" s="22" t="s">
        <v>3130</v>
      </c>
      <c r="B739" s="22">
        <v>0</v>
      </c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</row>
    <row r="740" spans="1:14" x14ac:dyDescent="0.3">
      <c r="A740" s="22" t="s">
        <v>3131</v>
      </c>
      <c r="B740" s="22">
        <v>0</v>
      </c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</row>
    <row r="741" spans="1:14" x14ac:dyDescent="0.3">
      <c r="A741" s="22" t="s">
        <v>3132</v>
      </c>
      <c r="B741" s="22">
        <v>0</v>
      </c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</row>
    <row r="742" spans="1:14" x14ac:dyDescent="0.3">
      <c r="A742" s="22" t="s">
        <v>3133</v>
      </c>
      <c r="B742" s="22">
        <v>0</v>
      </c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</row>
    <row r="743" spans="1:14" x14ac:dyDescent="0.3">
      <c r="A743" s="22" t="s">
        <v>2872</v>
      </c>
      <c r="B743" s="22">
        <v>0</v>
      </c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</row>
    <row r="744" spans="1:14" x14ac:dyDescent="0.3">
      <c r="A744" s="22" t="s">
        <v>3134</v>
      </c>
      <c r="B744" s="22">
        <v>0</v>
      </c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</row>
    <row r="745" spans="1:14" x14ac:dyDescent="0.3">
      <c r="A745" s="22" t="s">
        <v>3135</v>
      </c>
      <c r="B745" s="22">
        <v>0</v>
      </c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</row>
    <row r="746" spans="1:14" x14ac:dyDescent="0.3">
      <c r="A746" s="22" t="s">
        <v>3136</v>
      </c>
      <c r="B746" s="22">
        <v>0</v>
      </c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</row>
    <row r="747" spans="1:14" x14ac:dyDescent="0.3">
      <c r="A747" s="22" t="s">
        <v>3137</v>
      </c>
      <c r="B747" s="22">
        <v>0</v>
      </c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</row>
    <row r="748" spans="1:14" x14ac:dyDescent="0.3">
      <c r="A748" s="22" t="s">
        <v>3138</v>
      </c>
      <c r="B748" s="22">
        <v>0</v>
      </c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</row>
    <row r="749" spans="1:14" x14ac:dyDescent="0.3">
      <c r="A749" s="22" t="s">
        <v>3139</v>
      </c>
      <c r="B749" s="22">
        <v>0</v>
      </c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</row>
    <row r="750" spans="1:14" x14ac:dyDescent="0.3">
      <c r="A750" s="22" t="s">
        <v>3140</v>
      </c>
      <c r="B750" s="22">
        <v>0</v>
      </c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</row>
    <row r="751" spans="1:14" x14ac:dyDescent="0.3">
      <c r="A751" s="22" t="s">
        <v>2873</v>
      </c>
      <c r="B751" s="22">
        <v>333</v>
      </c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</row>
    <row r="752" spans="1:14" x14ac:dyDescent="0.3">
      <c r="A752" s="22" t="s">
        <v>3141</v>
      </c>
      <c r="B752" s="22">
        <v>35</v>
      </c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</row>
    <row r="753" spans="1:14" x14ac:dyDescent="0.3">
      <c r="A753" s="22" t="s">
        <v>3142</v>
      </c>
      <c r="B753" s="22">
        <v>0</v>
      </c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</row>
    <row r="754" spans="1:14" x14ac:dyDescent="0.3">
      <c r="A754" s="22" t="s">
        <v>3143</v>
      </c>
      <c r="B754" s="22">
        <v>0</v>
      </c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</row>
    <row r="755" spans="1:14" x14ac:dyDescent="0.3">
      <c r="A755" s="22" t="s">
        <v>3144</v>
      </c>
      <c r="B755" s="22">
        <v>0</v>
      </c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</row>
    <row r="756" spans="1:14" x14ac:dyDescent="0.3">
      <c r="A756" s="22" t="s">
        <v>3145</v>
      </c>
      <c r="B756" s="22">
        <v>0</v>
      </c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</row>
    <row r="757" spans="1:14" x14ac:dyDescent="0.3">
      <c r="A757" s="22" t="s">
        <v>3146</v>
      </c>
      <c r="B757" s="22">
        <v>0</v>
      </c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</row>
    <row r="758" spans="1:14" x14ac:dyDescent="0.3">
      <c r="A758" s="22" t="s">
        <v>3147</v>
      </c>
      <c r="B758" s="22">
        <v>0</v>
      </c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</row>
    <row r="759" spans="1:14" x14ac:dyDescent="0.3">
      <c r="A759" s="22" t="s">
        <v>2875</v>
      </c>
      <c r="B759" s="22">
        <v>0</v>
      </c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</row>
    <row r="760" spans="1:14" x14ac:dyDescent="0.3">
      <c r="A760" s="22" t="s">
        <v>3148</v>
      </c>
      <c r="B760" s="22">
        <v>0</v>
      </c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</row>
    <row r="761" spans="1:14" x14ac:dyDescent="0.3">
      <c r="A761" s="22" t="s">
        <v>3149</v>
      </c>
      <c r="B761" s="22">
        <v>0</v>
      </c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</row>
    <row r="762" spans="1:14" x14ac:dyDescent="0.3">
      <c r="A762" s="22" t="s">
        <v>3150</v>
      </c>
      <c r="B762" s="22">
        <v>0</v>
      </c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</row>
    <row r="763" spans="1:14" x14ac:dyDescent="0.3">
      <c r="A763" s="22" t="s">
        <v>3151</v>
      </c>
      <c r="B763" s="22">
        <v>0</v>
      </c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</row>
    <row r="764" spans="1:14" x14ac:dyDescent="0.3">
      <c r="A764" s="22" t="s">
        <v>3152</v>
      </c>
      <c r="B764" s="22">
        <v>0</v>
      </c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</row>
    <row r="765" spans="1:14" x14ac:dyDescent="0.3">
      <c r="A765" s="22" t="s">
        <v>3153</v>
      </c>
      <c r="B765" s="22">
        <v>0</v>
      </c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</row>
    <row r="766" spans="1:14" x14ac:dyDescent="0.3">
      <c r="A766" s="22" t="s">
        <v>3154</v>
      </c>
      <c r="B766" s="22">
        <v>0</v>
      </c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</row>
    <row r="767" spans="1:14" x14ac:dyDescent="0.3">
      <c r="A767" s="22" t="s">
        <v>2876</v>
      </c>
      <c r="B767" s="22">
        <v>0</v>
      </c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</row>
    <row r="768" spans="1:14" x14ac:dyDescent="0.3">
      <c r="A768" s="22" t="s">
        <v>3155</v>
      </c>
      <c r="B768" s="22">
        <v>0</v>
      </c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</row>
    <row r="769" spans="1:14" x14ac:dyDescent="0.3">
      <c r="A769" s="22" t="s">
        <v>3156</v>
      </c>
      <c r="B769" s="22">
        <v>0</v>
      </c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</row>
    <row r="770" spans="1:14" x14ac:dyDescent="0.3">
      <c r="A770" s="22" t="s">
        <v>3157</v>
      </c>
      <c r="B770" s="22">
        <v>0</v>
      </c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</row>
    <row r="771" spans="1:14" x14ac:dyDescent="0.3">
      <c r="A771" s="22" t="s">
        <v>3158</v>
      </c>
      <c r="B771" s="22">
        <v>0</v>
      </c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</row>
    <row r="772" spans="1:14" x14ac:dyDescent="0.3">
      <c r="A772" s="22" t="s">
        <v>3159</v>
      </c>
      <c r="B772" s="22">
        <v>0</v>
      </c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</row>
    <row r="773" spans="1:14" x14ac:dyDescent="0.3">
      <c r="A773" s="22" t="s">
        <v>3160</v>
      </c>
      <c r="B773" s="22">
        <v>0</v>
      </c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</row>
    <row r="774" spans="1:14" x14ac:dyDescent="0.3">
      <c r="A774" s="22" t="s">
        <v>3161</v>
      </c>
      <c r="B774" s="22">
        <v>0</v>
      </c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</row>
    <row r="775" spans="1:14" x14ac:dyDescent="0.3">
      <c r="A775" s="22" t="s">
        <v>2877</v>
      </c>
      <c r="B775" s="22">
        <v>0</v>
      </c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</row>
    <row r="776" spans="1:14" x14ac:dyDescent="0.3">
      <c r="A776" s="22" t="s">
        <v>3162</v>
      </c>
      <c r="B776" s="22">
        <v>0</v>
      </c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</row>
    <row r="777" spans="1:14" x14ac:dyDescent="0.3">
      <c r="A777" s="22" t="s">
        <v>3163</v>
      </c>
      <c r="B777" s="22">
        <v>0</v>
      </c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</row>
    <row r="778" spans="1:14" x14ac:dyDescent="0.3">
      <c r="A778" s="22" t="s">
        <v>3164</v>
      </c>
      <c r="B778" s="22">
        <v>0</v>
      </c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</row>
    <row r="779" spans="1:14" x14ac:dyDescent="0.3">
      <c r="A779" s="22" t="s">
        <v>3165</v>
      </c>
      <c r="B779" s="22">
        <v>0</v>
      </c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</row>
    <row r="780" spans="1:14" x14ac:dyDescent="0.3">
      <c r="A780" s="22" t="s">
        <v>3166</v>
      </c>
      <c r="B780" s="22">
        <v>0</v>
      </c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</row>
    <row r="781" spans="1:14" x14ac:dyDescent="0.3">
      <c r="A781" s="22" t="s">
        <v>3167</v>
      </c>
      <c r="B781" s="22">
        <v>0</v>
      </c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</row>
    <row r="782" spans="1:14" x14ac:dyDescent="0.3">
      <c r="A782" s="22" t="s">
        <v>3168</v>
      </c>
      <c r="B782" s="22">
        <v>0</v>
      </c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</row>
    <row r="783" spans="1:14" x14ac:dyDescent="0.3">
      <c r="A783" s="22" t="s">
        <v>2878</v>
      </c>
      <c r="B783" s="22">
        <v>0</v>
      </c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</row>
    <row r="784" spans="1:14" x14ac:dyDescent="0.3">
      <c r="A784" s="22" t="s">
        <v>5632</v>
      </c>
      <c r="B784" s="22">
        <v>0</v>
      </c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</row>
    <row r="785" spans="1:14" x14ac:dyDescent="0.3">
      <c r="A785" s="22" t="s">
        <v>5633</v>
      </c>
      <c r="B785" s="22">
        <v>0</v>
      </c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</row>
    <row r="786" spans="1:14" x14ac:dyDescent="0.3">
      <c r="A786" s="22" t="s">
        <v>5634</v>
      </c>
      <c r="B786" s="22">
        <v>0</v>
      </c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</row>
    <row r="787" spans="1:14" x14ac:dyDescent="0.3">
      <c r="A787" s="22" t="s">
        <v>5635</v>
      </c>
      <c r="B787" s="22">
        <v>0</v>
      </c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</row>
    <row r="788" spans="1:14" x14ac:dyDescent="0.3">
      <c r="A788" s="22" t="s">
        <v>5636</v>
      </c>
      <c r="B788" s="22">
        <v>0</v>
      </c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</row>
    <row r="789" spans="1:14" x14ac:dyDescent="0.3">
      <c r="A789" s="22" t="s">
        <v>5637</v>
      </c>
      <c r="B789" s="22">
        <v>0</v>
      </c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</row>
    <row r="790" spans="1:14" x14ac:dyDescent="0.3">
      <c r="A790" s="22" t="s">
        <v>5638</v>
      </c>
      <c r="B790" s="22">
        <v>0</v>
      </c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</row>
    <row r="791" spans="1:14" x14ac:dyDescent="0.3">
      <c r="A791" s="22" t="s">
        <v>2879</v>
      </c>
      <c r="B791" s="22">
        <v>167</v>
      </c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</row>
    <row r="792" spans="1:14" x14ac:dyDescent="0.3">
      <c r="A792" s="22" t="s">
        <v>3169</v>
      </c>
      <c r="B792" s="22">
        <v>0</v>
      </c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</row>
    <row r="793" spans="1:14" x14ac:dyDescent="0.3">
      <c r="A793" s="22" t="s">
        <v>3170</v>
      </c>
      <c r="B793" s="22">
        <v>0</v>
      </c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</row>
    <row r="794" spans="1:14" x14ac:dyDescent="0.3">
      <c r="A794" s="22" t="s">
        <v>3171</v>
      </c>
      <c r="B794" s="22">
        <v>0</v>
      </c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</row>
    <row r="795" spans="1:14" x14ac:dyDescent="0.3">
      <c r="A795" s="22" t="s">
        <v>3172</v>
      </c>
      <c r="B795" s="22">
        <v>0</v>
      </c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</row>
    <row r="796" spans="1:14" x14ac:dyDescent="0.3">
      <c r="A796" s="22" t="s">
        <v>3173</v>
      </c>
      <c r="B796" s="22">
        <v>0</v>
      </c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</row>
    <row r="797" spans="1:14" x14ac:dyDescent="0.3">
      <c r="A797" s="22" t="s">
        <v>3174</v>
      </c>
      <c r="B797" s="22">
        <v>0</v>
      </c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</row>
    <row r="798" spans="1:14" x14ac:dyDescent="0.3">
      <c r="A798" s="22" t="s">
        <v>3175</v>
      </c>
      <c r="B798" s="22">
        <v>0</v>
      </c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</row>
    <row r="799" spans="1:14" x14ac:dyDescent="0.3">
      <c r="A799" s="22" t="s">
        <v>2880</v>
      </c>
      <c r="B799" s="22">
        <v>2</v>
      </c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</row>
    <row r="800" spans="1:14" x14ac:dyDescent="0.3">
      <c r="A800" s="22" t="s">
        <v>3176</v>
      </c>
      <c r="B800" s="22">
        <v>0</v>
      </c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</row>
    <row r="801" spans="1:14" x14ac:dyDescent="0.3">
      <c r="A801" s="22" t="s">
        <v>3177</v>
      </c>
      <c r="B801" s="22">
        <v>0</v>
      </c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</row>
    <row r="802" spans="1:14" x14ac:dyDescent="0.3">
      <c r="A802" s="22" t="s">
        <v>3178</v>
      </c>
      <c r="B802" s="22">
        <v>0</v>
      </c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</row>
    <row r="803" spans="1:14" x14ac:dyDescent="0.3">
      <c r="A803" s="22" t="s">
        <v>3179</v>
      </c>
      <c r="B803" s="22">
        <v>0</v>
      </c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</row>
    <row r="804" spans="1:14" x14ac:dyDescent="0.3">
      <c r="A804" s="22" t="s">
        <v>3180</v>
      </c>
      <c r="B804" s="22">
        <v>0</v>
      </c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</row>
    <row r="805" spans="1:14" x14ac:dyDescent="0.3">
      <c r="A805" s="22" t="s">
        <v>3181</v>
      </c>
      <c r="B805" s="22">
        <v>0</v>
      </c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</row>
    <row r="806" spans="1:14" x14ac:dyDescent="0.3">
      <c r="A806" s="22" t="s">
        <v>3182</v>
      </c>
      <c r="B806" s="22">
        <v>0</v>
      </c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</row>
    <row r="807" spans="1:14" x14ac:dyDescent="0.3">
      <c r="A807" s="22" t="s">
        <v>2881</v>
      </c>
      <c r="B807" s="22">
        <v>6</v>
      </c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</row>
    <row r="808" spans="1:14" x14ac:dyDescent="0.3">
      <c r="A808" s="22" t="s">
        <v>3183</v>
      </c>
      <c r="B808" s="22">
        <v>0</v>
      </c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</row>
    <row r="809" spans="1:14" x14ac:dyDescent="0.3">
      <c r="A809" s="22" t="s">
        <v>3184</v>
      </c>
      <c r="B809" s="22">
        <v>0</v>
      </c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</row>
    <row r="810" spans="1:14" x14ac:dyDescent="0.3">
      <c r="A810" s="22" t="s">
        <v>3185</v>
      </c>
      <c r="B810" s="22">
        <v>0</v>
      </c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</row>
    <row r="811" spans="1:14" x14ac:dyDescent="0.3">
      <c r="A811" s="22" t="s">
        <v>3186</v>
      </c>
      <c r="B811" s="22">
        <v>0</v>
      </c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</row>
    <row r="812" spans="1:14" x14ac:dyDescent="0.3">
      <c r="A812" s="22" t="s">
        <v>3187</v>
      </c>
      <c r="B812" s="22">
        <v>0</v>
      </c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</row>
    <row r="813" spans="1:14" x14ac:dyDescent="0.3">
      <c r="A813" s="22" t="s">
        <v>3188</v>
      </c>
      <c r="B813" s="22">
        <v>0</v>
      </c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</row>
    <row r="814" spans="1:14" x14ac:dyDescent="0.3">
      <c r="A814" s="22" t="s">
        <v>3189</v>
      </c>
      <c r="B814" s="22">
        <v>0</v>
      </c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</row>
    <row r="815" spans="1:14" x14ac:dyDescent="0.3">
      <c r="A815" s="22" t="s">
        <v>2882</v>
      </c>
      <c r="B815" s="22">
        <v>33</v>
      </c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</row>
    <row r="816" spans="1:14" x14ac:dyDescent="0.3">
      <c r="A816" s="22" t="s">
        <v>3190</v>
      </c>
      <c r="B816" s="22">
        <v>0</v>
      </c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</row>
    <row r="817" spans="1:14" x14ac:dyDescent="0.3">
      <c r="A817" s="22" t="s">
        <v>3191</v>
      </c>
      <c r="B817" s="22">
        <v>0</v>
      </c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</row>
    <row r="818" spans="1:14" x14ac:dyDescent="0.3">
      <c r="A818" s="22" t="s">
        <v>3192</v>
      </c>
      <c r="B818" s="22">
        <v>0</v>
      </c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</row>
    <row r="819" spans="1:14" x14ac:dyDescent="0.3">
      <c r="A819" s="22" t="s">
        <v>3193</v>
      </c>
      <c r="B819" s="22">
        <v>0</v>
      </c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</row>
    <row r="820" spans="1:14" x14ac:dyDescent="0.3">
      <c r="A820" s="22" t="s">
        <v>3194</v>
      </c>
      <c r="B820" s="22">
        <v>0</v>
      </c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</row>
    <row r="821" spans="1:14" x14ac:dyDescent="0.3">
      <c r="A821" s="22" t="s">
        <v>3195</v>
      </c>
      <c r="B821" s="22">
        <v>0</v>
      </c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</row>
    <row r="822" spans="1:14" x14ac:dyDescent="0.3">
      <c r="A822" s="22" t="s">
        <v>3196</v>
      </c>
      <c r="B822" s="22">
        <v>0</v>
      </c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</row>
    <row r="823" spans="1:14" x14ac:dyDescent="0.3">
      <c r="A823" s="22" t="s">
        <v>2883</v>
      </c>
      <c r="B823" s="22">
        <v>311</v>
      </c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</row>
    <row r="824" spans="1:14" x14ac:dyDescent="0.3">
      <c r="A824" s="22" t="s">
        <v>3197</v>
      </c>
      <c r="B824" s="22">
        <v>16</v>
      </c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</row>
    <row r="825" spans="1:14" x14ac:dyDescent="0.3">
      <c r="A825" s="22" t="s">
        <v>3198</v>
      </c>
      <c r="B825" s="22">
        <v>10</v>
      </c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</row>
    <row r="826" spans="1:14" x14ac:dyDescent="0.3">
      <c r="A826" s="22" t="s">
        <v>3199</v>
      </c>
      <c r="B826" s="22">
        <v>0</v>
      </c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</row>
    <row r="827" spans="1:14" x14ac:dyDescent="0.3">
      <c r="A827" s="22" t="s">
        <v>3200</v>
      </c>
      <c r="B827" s="22">
        <v>1</v>
      </c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</row>
    <row r="828" spans="1:14" x14ac:dyDescent="0.3">
      <c r="A828" s="22" t="s">
        <v>3201</v>
      </c>
      <c r="B828" s="22">
        <v>0</v>
      </c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</row>
    <row r="829" spans="1:14" x14ac:dyDescent="0.3">
      <c r="A829" s="22" t="s">
        <v>3202</v>
      </c>
      <c r="B829" s="22">
        <v>0</v>
      </c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</row>
    <row r="830" spans="1:14" x14ac:dyDescent="0.3">
      <c r="A830" s="22" t="s">
        <v>3203</v>
      </c>
      <c r="B830" s="22">
        <v>0</v>
      </c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</row>
    <row r="831" spans="1:14" x14ac:dyDescent="0.3">
      <c r="A831" s="22" t="s">
        <v>2884</v>
      </c>
      <c r="B831" s="22">
        <v>6</v>
      </c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</row>
    <row r="832" spans="1:14" x14ac:dyDescent="0.3">
      <c r="A832" s="22" t="s">
        <v>3204</v>
      </c>
      <c r="B832" s="22">
        <v>0</v>
      </c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</row>
    <row r="833" spans="1:14" x14ac:dyDescent="0.3">
      <c r="A833" s="22" t="s">
        <v>3205</v>
      </c>
      <c r="B833" s="22">
        <v>0</v>
      </c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</row>
    <row r="834" spans="1:14" x14ac:dyDescent="0.3">
      <c r="A834" s="22" t="s">
        <v>3206</v>
      </c>
      <c r="B834" s="22">
        <v>0</v>
      </c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</row>
    <row r="835" spans="1:14" x14ac:dyDescent="0.3">
      <c r="A835" s="22" t="s">
        <v>3207</v>
      </c>
      <c r="B835" s="22">
        <v>0</v>
      </c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</row>
    <row r="836" spans="1:14" x14ac:dyDescent="0.3">
      <c r="A836" s="22" t="s">
        <v>3208</v>
      </c>
      <c r="B836" s="22">
        <v>0</v>
      </c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</row>
    <row r="837" spans="1:14" x14ac:dyDescent="0.3">
      <c r="A837" s="22" t="s">
        <v>3209</v>
      </c>
      <c r="B837" s="22">
        <v>0</v>
      </c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</row>
    <row r="838" spans="1:14" x14ac:dyDescent="0.3">
      <c r="A838" s="22" t="s">
        <v>3210</v>
      </c>
      <c r="B838" s="22">
        <v>0</v>
      </c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</row>
    <row r="839" spans="1:14" x14ac:dyDescent="0.3">
      <c r="A839" s="22" t="s">
        <v>2885</v>
      </c>
      <c r="B839" s="22">
        <v>70</v>
      </c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</row>
    <row r="840" spans="1:14" x14ac:dyDescent="0.3">
      <c r="A840" s="22" t="s">
        <v>3211</v>
      </c>
      <c r="B840" s="22">
        <v>0</v>
      </c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</row>
    <row r="841" spans="1:14" x14ac:dyDescent="0.3">
      <c r="A841" s="22" t="s">
        <v>3212</v>
      </c>
      <c r="B841" s="22">
        <v>0</v>
      </c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</row>
    <row r="842" spans="1:14" x14ac:dyDescent="0.3">
      <c r="A842" s="22" t="s">
        <v>3213</v>
      </c>
      <c r="B842" s="22">
        <v>0</v>
      </c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</row>
    <row r="843" spans="1:14" x14ac:dyDescent="0.3">
      <c r="A843" s="22" t="s">
        <v>3214</v>
      </c>
      <c r="B843" s="22">
        <v>0</v>
      </c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</row>
    <row r="844" spans="1:14" x14ac:dyDescent="0.3">
      <c r="A844" s="22" t="s">
        <v>3215</v>
      </c>
      <c r="B844" s="22">
        <v>0</v>
      </c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</row>
    <row r="845" spans="1:14" x14ac:dyDescent="0.3">
      <c r="A845" s="22" t="s">
        <v>3216</v>
      </c>
      <c r="B845" s="22">
        <v>0</v>
      </c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</row>
    <row r="846" spans="1:14" x14ac:dyDescent="0.3">
      <c r="A846" s="22" t="s">
        <v>3217</v>
      </c>
      <c r="B846" s="22">
        <v>0</v>
      </c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</row>
    <row r="847" spans="1:14" x14ac:dyDescent="0.3">
      <c r="A847" s="22" t="s">
        <v>2886</v>
      </c>
      <c r="B847" s="22">
        <v>0</v>
      </c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</row>
    <row r="848" spans="1:14" x14ac:dyDescent="0.3">
      <c r="A848" s="22" t="s">
        <v>5493</v>
      </c>
      <c r="B848" s="22">
        <v>0</v>
      </c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</row>
    <row r="849" spans="1:14" x14ac:dyDescent="0.3">
      <c r="A849" s="22" t="s">
        <v>5494</v>
      </c>
      <c r="B849" s="22">
        <v>0</v>
      </c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</row>
    <row r="850" spans="1:14" x14ac:dyDescent="0.3">
      <c r="A850" s="22" t="s">
        <v>5495</v>
      </c>
      <c r="B850" s="22">
        <v>0</v>
      </c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</row>
    <row r="851" spans="1:14" x14ac:dyDescent="0.3">
      <c r="A851" s="22" t="s">
        <v>5496</v>
      </c>
      <c r="B851" s="22">
        <v>0</v>
      </c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</row>
    <row r="852" spans="1:14" x14ac:dyDescent="0.3">
      <c r="A852" s="22" t="s">
        <v>5497</v>
      </c>
      <c r="B852" s="22">
        <v>0</v>
      </c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</row>
    <row r="853" spans="1:14" x14ac:dyDescent="0.3">
      <c r="A853" s="22" t="s">
        <v>5498</v>
      </c>
      <c r="B853" s="22">
        <v>0</v>
      </c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</row>
    <row r="854" spans="1:14" x14ac:dyDescent="0.3">
      <c r="A854" s="22" t="s">
        <v>5499</v>
      </c>
      <c r="B854" s="22">
        <v>0</v>
      </c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</row>
    <row r="855" spans="1:14" x14ac:dyDescent="0.3">
      <c r="A855" s="22" t="s">
        <v>2887</v>
      </c>
      <c r="B855" s="22">
        <v>0</v>
      </c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</row>
    <row r="856" spans="1:14" x14ac:dyDescent="0.3">
      <c r="A856" s="22" t="s">
        <v>3218</v>
      </c>
      <c r="B856" s="22">
        <v>0</v>
      </c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</row>
    <row r="857" spans="1:14" x14ac:dyDescent="0.3">
      <c r="A857" s="22" t="s">
        <v>3219</v>
      </c>
      <c r="B857" s="22">
        <v>0</v>
      </c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</row>
    <row r="858" spans="1:14" x14ac:dyDescent="0.3">
      <c r="A858" s="22" t="s">
        <v>3220</v>
      </c>
      <c r="B858" s="22">
        <v>0</v>
      </c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</row>
    <row r="859" spans="1:14" x14ac:dyDescent="0.3">
      <c r="A859" s="22" t="s">
        <v>3221</v>
      </c>
      <c r="B859" s="22">
        <v>0</v>
      </c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</row>
    <row r="860" spans="1:14" x14ac:dyDescent="0.3">
      <c r="A860" s="22" t="s">
        <v>3222</v>
      </c>
      <c r="B860" s="22">
        <v>0</v>
      </c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</row>
    <row r="861" spans="1:14" x14ac:dyDescent="0.3">
      <c r="A861" s="22" t="s">
        <v>3223</v>
      </c>
      <c r="B861" s="22">
        <v>0</v>
      </c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</row>
    <row r="862" spans="1:14" x14ac:dyDescent="0.3">
      <c r="A862" s="22" t="s">
        <v>3224</v>
      </c>
      <c r="B862" s="22">
        <v>0</v>
      </c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</row>
    <row r="863" spans="1:14" x14ac:dyDescent="0.3">
      <c r="A863" s="22" t="s">
        <v>2888</v>
      </c>
      <c r="B863" s="22">
        <v>39</v>
      </c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</row>
    <row r="864" spans="1:14" x14ac:dyDescent="0.3">
      <c r="A864" s="22" t="s">
        <v>3225</v>
      </c>
      <c r="B864" s="22">
        <v>0</v>
      </c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</row>
    <row r="865" spans="1:14" x14ac:dyDescent="0.3">
      <c r="A865" s="22" t="s">
        <v>3226</v>
      </c>
      <c r="B865" s="22">
        <v>0</v>
      </c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</row>
    <row r="866" spans="1:14" x14ac:dyDescent="0.3">
      <c r="A866" s="22" t="s">
        <v>3227</v>
      </c>
      <c r="B866" s="22">
        <v>0</v>
      </c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</row>
    <row r="867" spans="1:14" x14ac:dyDescent="0.3">
      <c r="A867" s="22" t="s">
        <v>3228</v>
      </c>
      <c r="B867" s="22">
        <v>0</v>
      </c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</row>
    <row r="868" spans="1:14" x14ac:dyDescent="0.3">
      <c r="A868" s="22" t="s">
        <v>3229</v>
      </c>
      <c r="B868" s="22">
        <v>0</v>
      </c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</row>
    <row r="869" spans="1:14" x14ac:dyDescent="0.3">
      <c r="A869" s="22" t="s">
        <v>3230</v>
      </c>
      <c r="B869" s="22">
        <v>0</v>
      </c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</row>
    <row r="870" spans="1:14" x14ac:dyDescent="0.3">
      <c r="A870" s="22" t="s">
        <v>3231</v>
      </c>
      <c r="B870" s="22">
        <v>0</v>
      </c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</row>
    <row r="871" spans="1:14" x14ac:dyDescent="0.3">
      <c r="A871" s="22" t="s">
        <v>2891</v>
      </c>
      <c r="B871" s="22">
        <v>0</v>
      </c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</row>
    <row r="872" spans="1:14" x14ac:dyDescent="0.3">
      <c r="A872" s="22" t="s">
        <v>3232</v>
      </c>
      <c r="B872" s="22">
        <v>0</v>
      </c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</row>
    <row r="873" spans="1:14" x14ac:dyDescent="0.3">
      <c r="A873" s="22" t="s">
        <v>3233</v>
      </c>
      <c r="B873" s="22">
        <v>0</v>
      </c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</row>
    <row r="874" spans="1:14" x14ac:dyDescent="0.3">
      <c r="A874" s="22" t="s">
        <v>3234</v>
      </c>
      <c r="B874" s="22">
        <v>0</v>
      </c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</row>
    <row r="875" spans="1:14" x14ac:dyDescent="0.3">
      <c r="A875" s="22" t="s">
        <v>3235</v>
      </c>
      <c r="B875" s="22">
        <v>0</v>
      </c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</row>
    <row r="876" spans="1:14" x14ac:dyDescent="0.3">
      <c r="A876" s="22" t="s">
        <v>3236</v>
      </c>
      <c r="B876" s="22">
        <v>0</v>
      </c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</row>
    <row r="877" spans="1:14" x14ac:dyDescent="0.3">
      <c r="A877" s="22" t="s">
        <v>3237</v>
      </c>
      <c r="B877" s="22">
        <v>0</v>
      </c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</row>
    <row r="878" spans="1:14" x14ac:dyDescent="0.3">
      <c r="A878" s="22" t="s">
        <v>3238</v>
      </c>
      <c r="B878" s="22">
        <v>0</v>
      </c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</row>
    <row r="879" spans="1:14" x14ac:dyDescent="0.3">
      <c r="A879" s="22" t="s">
        <v>2893</v>
      </c>
      <c r="B879" s="22">
        <v>0</v>
      </c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</row>
    <row r="880" spans="1:14" x14ac:dyDescent="0.3">
      <c r="A880" s="22" t="s">
        <v>3239</v>
      </c>
      <c r="B880" s="22">
        <v>0</v>
      </c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</row>
    <row r="881" spans="1:14" x14ac:dyDescent="0.3">
      <c r="A881" s="22" t="s">
        <v>3240</v>
      </c>
      <c r="B881" s="22">
        <v>0</v>
      </c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</row>
    <row r="882" spans="1:14" x14ac:dyDescent="0.3">
      <c r="A882" s="22" t="s">
        <v>3241</v>
      </c>
      <c r="B882" s="22">
        <v>0</v>
      </c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</row>
    <row r="883" spans="1:14" x14ac:dyDescent="0.3">
      <c r="A883" s="22" t="s">
        <v>3242</v>
      </c>
      <c r="B883" s="22">
        <v>0</v>
      </c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</row>
    <row r="884" spans="1:14" x14ac:dyDescent="0.3">
      <c r="A884" s="22" t="s">
        <v>3243</v>
      </c>
      <c r="B884" s="22">
        <v>0</v>
      </c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</row>
    <row r="885" spans="1:14" x14ac:dyDescent="0.3">
      <c r="A885" s="22" t="s">
        <v>3244</v>
      </c>
      <c r="B885" s="22">
        <v>0</v>
      </c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</row>
    <row r="886" spans="1:14" x14ac:dyDescent="0.3">
      <c r="A886" s="22" t="s">
        <v>3245</v>
      </c>
      <c r="B886" s="22">
        <v>0</v>
      </c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</row>
    <row r="887" spans="1:14" x14ac:dyDescent="0.3">
      <c r="A887" s="22" t="s">
        <v>2895</v>
      </c>
      <c r="B887" s="22">
        <v>119</v>
      </c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</row>
    <row r="888" spans="1:14" x14ac:dyDescent="0.3">
      <c r="A888" s="22" t="s">
        <v>3246</v>
      </c>
      <c r="B888" s="22">
        <v>0</v>
      </c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</row>
    <row r="889" spans="1:14" x14ac:dyDescent="0.3">
      <c r="A889" s="22" t="s">
        <v>3247</v>
      </c>
      <c r="B889" s="22">
        <v>0</v>
      </c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</row>
    <row r="890" spans="1:14" x14ac:dyDescent="0.3">
      <c r="A890" s="22" t="s">
        <v>3248</v>
      </c>
      <c r="B890" s="22">
        <v>0</v>
      </c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</row>
    <row r="891" spans="1:14" x14ac:dyDescent="0.3">
      <c r="A891" s="22" t="s">
        <v>3249</v>
      </c>
      <c r="B891" s="22">
        <v>0</v>
      </c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</row>
    <row r="892" spans="1:14" x14ac:dyDescent="0.3">
      <c r="A892" s="22" t="s">
        <v>3250</v>
      </c>
      <c r="B892" s="22">
        <v>0</v>
      </c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</row>
    <row r="893" spans="1:14" x14ac:dyDescent="0.3">
      <c r="A893" s="22" t="s">
        <v>3251</v>
      </c>
      <c r="B893" s="22">
        <v>0</v>
      </c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</row>
    <row r="894" spans="1:14" x14ac:dyDescent="0.3">
      <c r="A894" s="22" t="s">
        <v>3252</v>
      </c>
      <c r="B894" s="22">
        <v>0</v>
      </c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</row>
    <row r="895" spans="1:14" x14ac:dyDescent="0.3">
      <c r="A895" s="22" t="s">
        <v>2896</v>
      </c>
      <c r="B895" s="22">
        <v>16</v>
      </c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</row>
    <row r="896" spans="1:14" x14ac:dyDescent="0.3">
      <c r="A896" s="22" t="s">
        <v>3253</v>
      </c>
      <c r="B896" s="22">
        <v>0</v>
      </c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</row>
    <row r="897" spans="1:14" x14ac:dyDescent="0.3">
      <c r="A897" s="22" t="s">
        <v>3254</v>
      </c>
      <c r="B897" s="22">
        <v>0</v>
      </c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</row>
    <row r="898" spans="1:14" x14ac:dyDescent="0.3">
      <c r="A898" s="22" t="s">
        <v>3255</v>
      </c>
      <c r="B898" s="22">
        <v>0</v>
      </c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</row>
    <row r="899" spans="1:14" x14ac:dyDescent="0.3">
      <c r="A899" s="22" t="s">
        <v>3256</v>
      </c>
      <c r="B899" s="22">
        <v>0</v>
      </c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</row>
    <row r="900" spans="1:14" x14ac:dyDescent="0.3">
      <c r="A900" s="22" t="s">
        <v>3257</v>
      </c>
      <c r="B900" s="22">
        <v>0</v>
      </c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</row>
    <row r="901" spans="1:14" x14ac:dyDescent="0.3">
      <c r="A901" s="22" t="s">
        <v>3258</v>
      </c>
      <c r="B901" s="22">
        <v>0</v>
      </c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</row>
    <row r="902" spans="1:14" x14ac:dyDescent="0.3">
      <c r="A902" s="22" t="s">
        <v>3259</v>
      </c>
      <c r="B902" s="22">
        <v>0</v>
      </c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</row>
    <row r="903" spans="1:14" x14ac:dyDescent="0.3">
      <c r="A903" s="22" t="s">
        <v>2897</v>
      </c>
      <c r="B903" s="22">
        <v>62</v>
      </c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</row>
    <row r="904" spans="1:14" x14ac:dyDescent="0.3">
      <c r="A904" s="22" t="s">
        <v>3260</v>
      </c>
      <c r="B904" s="22">
        <v>0</v>
      </c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</row>
    <row r="905" spans="1:14" x14ac:dyDescent="0.3">
      <c r="A905" s="22" t="s">
        <v>3261</v>
      </c>
      <c r="B905" s="22">
        <v>0</v>
      </c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</row>
    <row r="906" spans="1:14" x14ac:dyDescent="0.3">
      <c r="A906" s="22" t="s">
        <v>3262</v>
      </c>
      <c r="B906" s="22">
        <v>0</v>
      </c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</row>
    <row r="907" spans="1:14" x14ac:dyDescent="0.3">
      <c r="A907" s="22" t="s">
        <v>3263</v>
      </c>
      <c r="B907" s="22">
        <v>0</v>
      </c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</row>
    <row r="908" spans="1:14" x14ac:dyDescent="0.3">
      <c r="A908" s="22" t="s">
        <v>3264</v>
      </c>
      <c r="B908" s="22">
        <v>0</v>
      </c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</row>
    <row r="909" spans="1:14" x14ac:dyDescent="0.3">
      <c r="A909" s="22" t="s">
        <v>3265</v>
      </c>
      <c r="B909" s="22">
        <v>0</v>
      </c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</row>
    <row r="910" spans="1:14" x14ac:dyDescent="0.3">
      <c r="A910" s="22" t="s">
        <v>3266</v>
      </c>
      <c r="B910" s="22">
        <v>0</v>
      </c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</row>
    <row r="911" spans="1:14" x14ac:dyDescent="0.3">
      <c r="A911" s="22" t="s">
        <v>548</v>
      </c>
      <c r="B911" s="22">
        <v>129</v>
      </c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</row>
    <row r="912" spans="1:14" x14ac:dyDescent="0.3">
      <c r="A912" s="22" t="s">
        <v>5297</v>
      </c>
      <c r="B912" s="22">
        <v>0</v>
      </c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</row>
    <row r="913" spans="1:14" x14ac:dyDescent="0.3">
      <c r="A913" s="22" t="s">
        <v>5298</v>
      </c>
      <c r="B913" s="22">
        <v>0</v>
      </c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</row>
    <row r="914" spans="1:14" x14ac:dyDescent="0.3">
      <c r="A914" s="22" t="s">
        <v>5299</v>
      </c>
      <c r="B914" s="22">
        <v>0</v>
      </c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</row>
    <row r="915" spans="1:14" x14ac:dyDescent="0.3">
      <c r="A915" s="22" t="s">
        <v>5300</v>
      </c>
      <c r="B915" s="22">
        <v>0</v>
      </c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</row>
    <row r="916" spans="1:14" x14ac:dyDescent="0.3">
      <c r="A916" s="22" t="s">
        <v>5301</v>
      </c>
      <c r="B916" s="22">
        <v>0</v>
      </c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</row>
    <row r="917" spans="1:14" x14ac:dyDescent="0.3">
      <c r="A917" s="22" t="s">
        <v>5302</v>
      </c>
      <c r="B917" s="22">
        <v>0</v>
      </c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</row>
    <row r="918" spans="1:14" x14ac:dyDescent="0.3">
      <c r="A918" s="22" t="s">
        <v>5303</v>
      </c>
      <c r="B918" s="22">
        <v>0</v>
      </c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</row>
    <row r="919" spans="1:14" x14ac:dyDescent="0.3">
      <c r="A919" s="22" t="s">
        <v>1791</v>
      </c>
      <c r="B919" s="22">
        <v>40</v>
      </c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</row>
    <row r="920" spans="1:14" x14ac:dyDescent="0.3">
      <c r="A920" s="22" t="s">
        <v>3267</v>
      </c>
      <c r="B920" s="22">
        <v>0</v>
      </c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</row>
    <row r="921" spans="1:14" x14ac:dyDescent="0.3">
      <c r="A921" s="22" t="s">
        <v>3268</v>
      </c>
      <c r="B921" s="22">
        <v>0</v>
      </c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</row>
    <row r="922" spans="1:14" x14ac:dyDescent="0.3">
      <c r="A922" s="22" t="s">
        <v>3269</v>
      </c>
      <c r="B922" s="22">
        <v>0</v>
      </c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</row>
    <row r="923" spans="1:14" x14ac:dyDescent="0.3">
      <c r="A923" s="22" t="s">
        <v>3270</v>
      </c>
      <c r="B923" s="22">
        <v>0</v>
      </c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</row>
    <row r="924" spans="1:14" x14ac:dyDescent="0.3">
      <c r="A924" s="22" t="s">
        <v>3271</v>
      </c>
      <c r="B924" s="22">
        <v>0</v>
      </c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</row>
    <row r="925" spans="1:14" x14ac:dyDescent="0.3">
      <c r="A925" s="22" t="s">
        <v>3272</v>
      </c>
      <c r="B925" s="22">
        <v>0</v>
      </c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</row>
    <row r="926" spans="1:14" x14ac:dyDescent="0.3">
      <c r="A926" s="22" t="s">
        <v>3273</v>
      </c>
      <c r="B926" s="22">
        <v>0</v>
      </c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</row>
    <row r="927" spans="1:14" x14ac:dyDescent="0.3">
      <c r="A927" s="22" t="s">
        <v>549</v>
      </c>
      <c r="B927" s="22">
        <v>0</v>
      </c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</row>
    <row r="928" spans="1:14" x14ac:dyDescent="0.3">
      <c r="A928" s="22" t="s">
        <v>550</v>
      </c>
      <c r="B928" s="22">
        <v>0</v>
      </c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</row>
    <row r="929" spans="1:14" x14ac:dyDescent="0.3">
      <c r="A929" s="22" t="s">
        <v>551</v>
      </c>
      <c r="B929" s="22">
        <v>0</v>
      </c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</row>
    <row r="930" spans="1:14" x14ac:dyDescent="0.3">
      <c r="A930" s="22" t="s">
        <v>552</v>
      </c>
      <c r="B930" s="22">
        <v>0</v>
      </c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</row>
    <row r="931" spans="1:14" x14ac:dyDescent="0.3">
      <c r="A931" s="22" t="s">
        <v>553</v>
      </c>
      <c r="B931" s="22">
        <v>0</v>
      </c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</row>
    <row r="932" spans="1:14" x14ac:dyDescent="0.3">
      <c r="A932" s="22" t="s">
        <v>554</v>
      </c>
      <c r="B932" s="22">
        <v>0</v>
      </c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</row>
    <row r="933" spans="1:14" x14ac:dyDescent="0.3">
      <c r="A933" s="22" t="s">
        <v>555</v>
      </c>
      <c r="B933" s="22">
        <v>0</v>
      </c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</row>
    <row r="934" spans="1:14" x14ac:dyDescent="0.3">
      <c r="A934" s="22" t="s">
        <v>556</v>
      </c>
      <c r="B934" s="22">
        <v>0</v>
      </c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</row>
    <row r="935" spans="1:14" x14ac:dyDescent="0.3">
      <c r="A935" s="22" t="s">
        <v>557</v>
      </c>
      <c r="B935" s="22">
        <v>165</v>
      </c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</row>
    <row r="936" spans="1:14" x14ac:dyDescent="0.3">
      <c r="A936" s="22" t="s">
        <v>558</v>
      </c>
      <c r="B936" s="22">
        <v>7</v>
      </c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</row>
    <row r="937" spans="1:14" x14ac:dyDescent="0.3">
      <c r="A937" s="22" t="s">
        <v>559</v>
      </c>
      <c r="B937" s="22">
        <v>0</v>
      </c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</row>
    <row r="938" spans="1:14" x14ac:dyDescent="0.3">
      <c r="A938" s="22" t="s">
        <v>560</v>
      </c>
      <c r="B938" s="22">
        <v>0</v>
      </c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</row>
    <row r="939" spans="1:14" x14ac:dyDescent="0.3">
      <c r="A939" s="22" t="s">
        <v>561</v>
      </c>
      <c r="B939" s="22">
        <v>0</v>
      </c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</row>
    <row r="940" spans="1:14" x14ac:dyDescent="0.3">
      <c r="A940" s="22" t="s">
        <v>562</v>
      </c>
      <c r="B940" s="22">
        <v>0</v>
      </c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</row>
    <row r="941" spans="1:14" x14ac:dyDescent="0.3">
      <c r="A941" s="22" t="s">
        <v>563</v>
      </c>
      <c r="B941" s="22">
        <v>0</v>
      </c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</row>
    <row r="942" spans="1:14" x14ac:dyDescent="0.3">
      <c r="A942" s="22" t="s">
        <v>564</v>
      </c>
      <c r="B942" s="22">
        <v>0</v>
      </c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</row>
    <row r="943" spans="1:14" x14ac:dyDescent="0.3">
      <c r="A943" s="22" t="s">
        <v>565</v>
      </c>
      <c r="B943" s="22">
        <v>0</v>
      </c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</row>
    <row r="944" spans="1:14" x14ac:dyDescent="0.3">
      <c r="A944" s="22" t="s">
        <v>566</v>
      </c>
      <c r="B944" s="22">
        <v>0</v>
      </c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</row>
    <row r="945" spans="1:14" x14ac:dyDescent="0.3">
      <c r="A945" s="22" t="s">
        <v>567</v>
      </c>
      <c r="B945" s="22">
        <v>0</v>
      </c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</row>
    <row r="946" spans="1:14" x14ac:dyDescent="0.3">
      <c r="A946" s="22" t="s">
        <v>568</v>
      </c>
      <c r="B946" s="22">
        <v>0</v>
      </c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</row>
    <row r="947" spans="1:14" x14ac:dyDescent="0.3">
      <c r="A947" s="22" t="s">
        <v>569</v>
      </c>
      <c r="B947" s="22">
        <v>0</v>
      </c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</row>
    <row r="948" spans="1:14" x14ac:dyDescent="0.3">
      <c r="A948" s="22" t="s">
        <v>570</v>
      </c>
      <c r="B948" s="22">
        <v>0</v>
      </c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</row>
    <row r="949" spans="1:14" x14ac:dyDescent="0.3">
      <c r="A949" s="22" t="s">
        <v>571</v>
      </c>
      <c r="B949" s="22">
        <v>0</v>
      </c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</row>
    <row r="950" spans="1:14" x14ac:dyDescent="0.3">
      <c r="A950" s="22" t="s">
        <v>572</v>
      </c>
      <c r="B950" s="22">
        <v>0</v>
      </c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</row>
    <row r="951" spans="1:14" x14ac:dyDescent="0.3">
      <c r="A951" s="22" t="s">
        <v>573</v>
      </c>
      <c r="B951" s="22">
        <v>0</v>
      </c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</row>
    <row r="952" spans="1:14" x14ac:dyDescent="0.3">
      <c r="A952" s="22" t="s">
        <v>574</v>
      </c>
      <c r="B952" s="22">
        <v>0</v>
      </c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</row>
    <row r="953" spans="1:14" x14ac:dyDescent="0.3">
      <c r="A953" s="22" t="s">
        <v>575</v>
      </c>
      <c r="B953" s="22">
        <v>0</v>
      </c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</row>
    <row r="954" spans="1:14" x14ac:dyDescent="0.3">
      <c r="A954" s="22" t="s">
        <v>576</v>
      </c>
      <c r="B954" s="22">
        <v>0</v>
      </c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</row>
    <row r="955" spans="1:14" x14ac:dyDescent="0.3">
      <c r="A955" s="22" t="s">
        <v>577</v>
      </c>
      <c r="B955" s="22">
        <v>0</v>
      </c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</row>
    <row r="956" spans="1:14" x14ac:dyDescent="0.3">
      <c r="A956" s="22" t="s">
        <v>578</v>
      </c>
      <c r="B956" s="22">
        <v>0</v>
      </c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</row>
    <row r="957" spans="1:14" x14ac:dyDescent="0.3">
      <c r="A957" s="22" t="s">
        <v>579</v>
      </c>
      <c r="B957" s="22">
        <v>0</v>
      </c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</row>
    <row r="958" spans="1:14" x14ac:dyDescent="0.3">
      <c r="A958" s="22" t="s">
        <v>580</v>
      </c>
      <c r="B958" s="22">
        <v>0</v>
      </c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</row>
    <row r="959" spans="1:14" x14ac:dyDescent="0.3">
      <c r="A959" s="22" t="s">
        <v>581</v>
      </c>
      <c r="B959" s="22">
        <v>0</v>
      </c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</row>
    <row r="960" spans="1:14" x14ac:dyDescent="0.3">
      <c r="A960" s="22" t="s">
        <v>582</v>
      </c>
      <c r="B960" s="22">
        <v>0</v>
      </c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</row>
    <row r="961" spans="1:14" x14ac:dyDescent="0.3">
      <c r="A961" s="22" t="s">
        <v>583</v>
      </c>
      <c r="B961" s="22">
        <v>0</v>
      </c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</row>
    <row r="962" spans="1:14" x14ac:dyDescent="0.3">
      <c r="A962" s="22" t="s">
        <v>584</v>
      </c>
      <c r="B962" s="22">
        <v>0</v>
      </c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</row>
    <row r="963" spans="1:14" x14ac:dyDescent="0.3">
      <c r="A963" s="22" t="s">
        <v>585</v>
      </c>
      <c r="B963" s="22">
        <v>0</v>
      </c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</row>
    <row r="964" spans="1:14" x14ac:dyDescent="0.3">
      <c r="A964" s="22" t="s">
        <v>586</v>
      </c>
      <c r="B964" s="22">
        <v>0</v>
      </c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</row>
    <row r="965" spans="1:14" x14ac:dyDescent="0.3">
      <c r="A965" s="22" t="s">
        <v>587</v>
      </c>
      <c r="B965" s="22">
        <v>0</v>
      </c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</row>
    <row r="966" spans="1:14" x14ac:dyDescent="0.3">
      <c r="A966" s="22" t="s">
        <v>588</v>
      </c>
      <c r="B966" s="22">
        <v>0</v>
      </c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</row>
    <row r="967" spans="1:14" x14ac:dyDescent="0.3">
      <c r="A967" s="22" t="s">
        <v>589</v>
      </c>
      <c r="B967" s="22">
        <v>112</v>
      </c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</row>
    <row r="968" spans="1:14" x14ac:dyDescent="0.3">
      <c r="A968" s="22" t="s">
        <v>590</v>
      </c>
      <c r="B968" s="22">
        <v>0</v>
      </c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</row>
    <row r="969" spans="1:14" x14ac:dyDescent="0.3">
      <c r="A969" s="22" t="s">
        <v>591</v>
      </c>
      <c r="B969" s="22">
        <v>0</v>
      </c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</row>
    <row r="970" spans="1:14" x14ac:dyDescent="0.3">
      <c r="A970" s="22" t="s">
        <v>592</v>
      </c>
      <c r="B970" s="22">
        <v>0</v>
      </c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</row>
    <row r="971" spans="1:14" x14ac:dyDescent="0.3">
      <c r="A971" s="22" t="s">
        <v>593</v>
      </c>
      <c r="B971" s="22">
        <v>0</v>
      </c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</row>
    <row r="972" spans="1:14" x14ac:dyDescent="0.3">
      <c r="A972" s="22" t="s">
        <v>594</v>
      </c>
      <c r="B972" s="22">
        <v>0</v>
      </c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</row>
    <row r="973" spans="1:14" x14ac:dyDescent="0.3">
      <c r="A973" s="22" t="s">
        <v>595</v>
      </c>
      <c r="B973" s="22">
        <v>0</v>
      </c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</row>
    <row r="974" spans="1:14" x14ac:dyDescent="0.3">
      <c r="A974" s="22" t="s">
        <v>596</v>
      </c>
      <c r="B974" s="22">
        <v>0</v>
      </c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</row>
    <row r="975" spans="1:14" x14ac:dyDescent="0.3">
      <c r="A975" s="22" t="s">
        <v>597</v>
      </c>
      <c r="B975" s="22">
        <v>102</v>
      </c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</row>
    <row r="976" spans="1:14" x14ac:dyDescent="0.3">
      <c r="A976" s="22" t="s">
        <v>598</v>
      </c>
      <c r="B976" s="22">
        <v>0</v>
      </c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</row>
    <row r="977" spans="1:14" x14ac:dyDescent="0.3">
      <c r="A977" s="22" t="s">
        <v>599</v>
      </c>
      <c r="B977" s="22">
        <v>0</v>
      </c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</row>
    <row r="978" spans="1:14" x14ac:dyDescent="0.3">
      <c r="A978" s="22" t="s">
        <v>600</v>
      </c>
      <c r="B978" s="22">
        <v>0</v>
      </c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</row>
    <row r="979" spans="1:14" x14ac:dyDescent="0.3">
      <c r="A979" s="22" t="s">
        <v>601</v>
      </c>
      <c r="B979" s="22">
        <v>0</v>
      </c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</row>
    <row r="980" spans="1:14" x14ac:dyDescent="0.3">
      <c r="A980" s="22" t="s">
        <v>602</v>
      </c>
      <c r="B980" s="22">
        <v>0</v>
      </c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</row>
    <row r="981" spans="1:14" x14ac:dyDescent="0.3">
      <c r="A981" s="22" t="s">
        <v>603</v>
      </c>
      <c r="B981" s="22">
        <v>0</v>
      </c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</row>
    <row r="982" spans="1:14" x14ac:dyDescent="0.3">
      <c r="A982" s="22" t="s">
        <v>604</v>
      </c>
      <c r="B982" s="22">
        <v>0</v>
      </c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</row>
    <row r="983" spans="1:14" x14ac:dyDescent="0.3">
      <c r="A983" s="22" t="s">
        <v>605</v>
      </c>
      <c r="B983" s="22">
        <v>0</v>
      </c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</row>
    <row r="984" spans="1:14" x14ac:dyDescent="0.3">
      <c r="A984" s="22" t="s">
        <v>606</v>
      </c>
      <c r="B984" s="22">
        <v>0</v>
      </c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</row>
    <row r="985" spans="1:14" x14ac:dyDescent="0.3">
      <c r="A985" s="22" t="s">
        <v>607</v>
      </c>
      <c r="B985" s="22">
        <v>0</v>
      </c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</row>
    <row r="986" spans="1:14" x14ac:dyDescent="0.3">
      <c r="A986" s="22" t="s">
        <v>608</v>
      </c>
      <c r="B986" s="22">
        <v>0</v>
      </c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</row>
    <row r="987" spans="1:14" x14ac:dyDescent="0.3">
      <c r="A987" s="22" t="s">
        <v>609</v>
      </c>
      <c r="B987" s="22">
        <v>0</v>
      </c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</row>
    <row r="988" spans="1:14" x14ac:dyDescent="0.3">
      <c r="A988" s="22" t="s">
        <v>610</v>
      </c>
      <c r="B988" s="22">
        <v>0</v>
      </c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</row>
    <row r="989" spans="1:14" x14ac:dyDescent="0.3">
      <c r="A989" s="22" t="s">
        <v>611</v>
      </c>
      <c r="B989" s="22">
        <v>0</v>
      </c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</row>
    <row r="990" spans="1:14" x14ac:dyDescent="0.3">
      <c r="A990" s="22" t="s">
        <v>612</v>
      </c>
      <c r="B990" s="22">
        <v>0</v>
      </c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</row>
    <row r="991" spans="1:14" x14ac:dyDescent="0.3">
      <c r="A991" s="22" t="s">
        <v>613</v>
      </c>
      <c r="B991" s="22">
        <v>0</v>
      </c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</row>
    <row r="992" spans="1:14" x14ac:dyDescent="0.3">
      <c r="A992" s="22" t="s">
        <v>614</v>
      </c>
      <c r="B992" s="22">
        <v>0</v>
      </c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</row>
    <row r="993" spans="1:14" x14ac:dyDescent="0.3">
      <c r="A993" s="22" t="s">
        <v>615</v>
      </c>
      <c r="B993" s="22">
        <v>0</v>
      </c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</row>
    <row r="994" spans="1:14" x14ac:dyDescent="0.3">
      <c r="A994" s="22" t="s">
        <v>616</v>
      </c>
      <c r="B994" s="22">
        <v>0</v>
      </c>
      <c r="C994" s="22"/>
      <c r="D994" s="22"/>
      <c r="E994" s="22"/>
      <c r="F994" s="22"/>
      <c r="G994" s="22"/>
      <c r="H994" s="22"/>
      <c r="I994" s="22"/>
      <c r="J994" s="22"/>
      <c r="K994" s="22"/>
      <c r="L994" s="22"/>
      <c r="M994" s="22"/>
      <c r="N994" s="22"/>
    </row>
    <row r="995" spans="1:14" x14ac:dyDescent="0.3">
      <c r="A995" s="22" t="s">
        <v>617</v>
      </c>
      <c r="B995" s="22">
        <v>0</v>
      </c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</row>
    <row r="996" spans="1:14" x14ac:dyDescent="0.3">
      <c r="A996" s="22" t="s">
        <v>618</v>
      </c>
      <c r="B996" s="22">
        <v>0</v>
      </c>
      <c r="C996" s="22"/>
      <c r="D996" s="22"/>
      <c r="E996" s="22"/>
      <c r="F996" s="22"/>
      <c r="G996" s="22"/>
      <c r="H996" s="22"/>
      <c r="I996" s="22"/>
      <c r="J996" s="22"/>
      <c r="K996" s="22"/>
      <c r="L996" s="22"/>
      <c r="M996" s="22"/>
      <c r="N996" s="22"/>
    </row>
    <row r="997" spans="1:14" x14ac:dyDescent="0.3">
      <c r="A997" s="22" t="s">
        <v>619</v>
      </c>
      <c r="B997" s="22">
        <v>0</v>
      </c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</row>
    <row r="998" spans="1:14" x14ac:dyDescent="0.3">
      <c r="A998" s="22" t="s">
        <v>620</v>
      </c>
      <c r="B998" s="22">
        <v>0</v>
      </c>
      <c r="C998" s="22"/>
      <c r="D998" s="22"/>
      <c r="E998" s="22"/>
      <c r="F998" s="22"/>
      <c r="G998" s="22"/>
      <c r="H998" s="22"/>
      <c r="I998" s="22"/>
      <c r="J998" s="22"/>
      <c r="K998" s="22"/>
      <c r="L998" s="22"/>
      <c r="M998" s="22"/>
      <c r="N998" s="22"/>
    </row>
    <row r="999" spans="1:14" x14ac:dyDescent="0.3">
      <c r="A999" s="22" t="s">
        <v>622</v>
      </c>
      <c r="B999" s="22">
        <v>1</v>
      </c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</row>
    <row r="1000" spans="1:14" x14ac:dyDescent="0.3">
      <c r="A1000" s="22" t="s">
        <v>623</v>
      </c>
      <c r="B1000" s="22">
        <v>0</v>
      </c>
      <c r="C1000" s="22"/>
      <c r="D1000" s="22"/>
      <c r="E1000" s="22"/>
      <c r="F1000" s="22"/>
      <c r="G1000" s="22"/>
      <c r="H1000" s="22"/>
      <c r="I1000" s="22"/>
      <c r="J1000" s="22"/>
      <c r="K1000" s="22"/>
      <c r="L1000" s="22"/>
      <c r="M1000" s="22"/>
      <c r="N1000" s="22"/>
    </row>
    <row r="1001" spans="1:14" x14ac:dyDescent="0.3">
      <c r="A1001" s="22" t="s">
        <v>624</v>
      </c>
      <c r="B1001" s="22">
        <v>0</v>
      </c>
      <c r="C1001" s="22"/>
      <c r="D1001" s="22"/>
      <c r="E1001" s="22"/>
      <c r="F1001" s="22"/>
      <c r="G1001" s="22"/>
      <c r="H1001" s="22"/>
      <c r="I1001" s="22"/>
      <c r="J1001" s="22"/>
      <c r="K1001" s="22"/>
      <c r="L1001" s="22"/>
      <c r="M1001" s="22"/>
      <c r="N1001" s="22"/>
    </row>
    <row r="1002" spans="1:14" x14ac:dyDescent="0.3">
      <c r="A1002" s="22" t="s">
        <v>625</v>
      </c>
      <c r="B1002" s="22">
        <v>0</v>
      </c>
      <c r="C1002" s="22"/>
      <c r="D1002" s="22"/>
      <c r="E1002" s="22"/>
      <c r="F1002" s="22"/>
      <c r="G1002" s="22"/>
      <c r="H1002" s="22"/>
      <c r="I1002" s="22"/>
      <c r="J1002" s="22"/>
      <c r="K1002" s="22"/>
      <c r="L1002" s="22"/>
      <c r="M1002" s="22"/>
      <c r="N1002" s="22"/>
    </row>
    <row r="1003" spans="1:14" x14ac:dyDescent="0.3">
      <c r="A1003" s="22" t="s">
        <v>626</v>
      </c>
      <c r="B1003" s="22">
        <v>0</v>
      </c>
      <c r="C1003" s="22"/>
      <c r="D1003" s="22"/>
      <c r="E1003" s="22"/>
      <c r="F1003" s="22"/>
      <c r="G1003" s="22"/>
      <c r="H1003" s="22"/>
      <c r="I1003" s="22"/>
      <c r="J1003" s="22"/>
      <c r="K1003" s="22"/>
      <c r="L1003" s="22"/>
      <c r="M1003" s="22"/>
      <c r="N1003" s="22"/>
    </row>
    <row r="1004" spans="1:14" x14ac:dyDescent="0.3">
      <c r="A1004" s="22" t="s">
        <v>627</v>
      </c>
      <c r="B1004" s="22">
        <v>0</v>
      </c>
      <c r="C1004" s="22"/>
      <c r="D1004" s="22"/>
      <c r="E1004" s="22"/>
      <c r="F1004" s="22"/>
      <c r="G1004" s="22"/>
      <c r="H1004" s="22"/>
      <c r="I1004" s="22"/>
      <c r="J1004" s="22"/>
      <c r="K1004" s="22"/>
      <c r="L1004" s="22"/>
      <c r="M1004" s="22"/>
      <c r="N1004" s="22"/>
    </row>
    <row r="1005" spans="1:14" x14ac:dyDescent="0.3">
      <c r="A1005" s="22" t="s">
        <v>628</v>
      </c>
      <c r="B1005" s="22">
        <v>0</v>
      </c>
      <c r="C1005" s="22"/>
      <c r="D1005" s="22"/>
      <c r="E1005" s="22"/>
      <c r="F1005" s="22"/>
      <c r="G1005" s="22"/>
      <c r="H1005" s="22"/>
      <c r="I1005" s="22"/>
      <c r="J1005" s="22"/>
      <c r="K1005" s="22"/>
      <c r="L1005" s="22"/>
      <c r="M1005" s="22"/>
      <c r="N1005" s="22"/>
    </row>
    <row r="1006" spans="1:14" x14ac:dyDescent="0.3">
      <c r="A1006" s="22" t="s">
        <v>629</v>
      </c>
      <c r="B1006" s="22">
        <v>0</v>
      </c>
      <c r="C1006" s="22"/>
      <c r="D1006" s="22"/>
      <c r="E1006" s="22"/>
      <c r="F1006" s="22"/>
      <c r="G1006" s="22"/>
      <c r="H1006" s="22"/>
      <c r="I1006" s="22"/>
      <c r="J1006" s="22"/>
      <c r="K1006" s="22"/>
      <c r="L1006" s="22"/>
      <c r="M1006" s="22"/>
      <c r="N1006" s="22"/>
    </row>
    <row r="1007" spans="1:14" x14ac:dyDescent="0.3">
      <c r="A1007" s="22" t="s">
        <v>630</v>
      </c>
      <c r="B1007" s="22">
        <v>1</v>
      </c>
      <c r="C1007" s="22"/>
      <c r="D1007" s="22"/>
      <c r="E1007" s="22"/>
      <c r="F1007" s="22"/>
      <c r="G1007" s="22"/>
      <c r="H1007" s="22"/>
      <c r="I1007" s="22"/>
      <c r="J1007" s="22"/>
      <c r="K1007" s="22"/>
      <c r="L1007" s="22"/>
      <c r="M1007" s="22"/>
      <c r="N1007" s="22"/>
    </row>
    <row r="1008" spans="1:14" x14ac:dyDescent="0.3">
      <c r="A1008" s="22" t="s">
        <v>631</v>
      </c>
      <c r="B1008" s="22">
        <v>0</v>
      </c>
      <c r="C1008" s="22"/>
      <c r="D1008" s="22"/>
      <c r="E1008" s="22"/>
      <c r="F1008" s="22"/>
      <c r="G1008" s="22"/>
      <c r="H1008" s="22"/>
      <c r="I1008" s="22"/>
      <c r="J1008" s="22"/>
      <c r="K1008" s="22"/>
      <c r="L1008" s="22"/>
      <c r="M1008" s="22"/>
      <c r="N1008" s="22"/>
    </row>
    <row r="1009" spans="1:14" x14ac:dyDescent="0.3">
      <c r="A1009" s="22" t="s">
        <v>632</v>
      </c>
      <c r="B1009" s="22">
        <v>0</v>
      </c>
      <c r="C1009" s="22"/>
      <c r="D1009" s="22"/>
      <c r="E1009" s="22"/>
      <c r="F1009" s="22"/>
      <c r="G1009" s="22"/>
      <c r="H1009" s="22"/>
      <c r="I1009" s="22"/>
      <c r="J1009" s="22"/>
      <c r="K1009" s="22"/>
      <c r="L1009" s="22"/>
      <c r="M1009" s="22"/>
      <c r="N1009" s="22"/>
    </row>
    <row r="1010" spans="1:14" x14ac:dyDescent="0.3">
      <c r="A1010" s="22" t="s">
        <v>633</v>
      </c>
      <c r="B1010" s="22">
        <v>0</v>
      </c>
      <c r="C1010" s="22"/>
      <c r="D1010" s="22"/>
      <c r="E1010" s="22"/>
      <c r="F1010" s="22"/>
      <c r="G1010" s="22"/>
      <c r="H1010" s="22"/>
      <c r="I1010" s="22"/>
      <c r="J1010" s="22"/>
      <c r="K1010" s="22"/>
      <c r="L1010" s="22"/>
      <c r="M1010" s="22"/>
      <c r="N1010" s="22"/>
    </row>
    <row r="1011" spans="1:14" x14ac:dyDescent="0.3">
      <c r="A1011" s="22" t="s">
        <v>634</v>
      </c>
      <c r="B1011" s="22">
        <v>0</v>
      </c>
      <c r="C1011" s="22"/>
      <c r="D1011" s="22"/>
      <c r="E1011" s="22"/>
      <c r="F1011" s="22"/>
      <c r="G1011" s="22"/>
      <c r="H1011" s="22"/>
      <c r="I1011" s="22"/>
      <c r="J1011" s="22"/>
      <c r="K1011" s="22"/>
      <c r="L1011" s="22"/>
      <c r="M1011" s="22"/>
      <c r="N1011" s="22"/>
    </row>
    <row r="1012" spans="1:14" x14ac:dyDescent="0.3">
      <c r="A1012" s="22" t="s">
        <v>635</v>
      </c>
      <c r="B1012" s="22">
        <v>0</v>
      </c>
      <c r="C1012" s="22"/>
      <c r="D1012" s="22"/>
      <c r="E1012" s="22"/>
      <c r="F1012" s="22"/>
      <c r="G1012" s="22"/>
      <c r="H1012" s="22"/>
      <c r="I1012" s="22"/>
      <c r="J1012" s="22"/>
      <c r="K1012" s="22"/>
      <c r="L1012" s="22"/>
      <c r="M1012" s="22"/>
      <c r="N1012" s="22"/>
    </row>
    <row r="1013" spans="1:14" x14ac:dyDescent="0.3">
      <c r="A1013" s="22" t="s">
        <v>636</v>
      </c>
      <c r="B1013" s="22">
        <v>0</v>
      </c>
      <c r="C1013" s="22"/>
      <c r="D1013" s="22"/>
      <c r="E1013" s="22"/>
      <c r="F1013" s="22"/>
      <c r="G1013" s="22"/>
      <c r="H1013" s="22"/>
      <c r="I1013" s="22"/>
      <c r="J1013" s="22"/>
      <c r="K1013" s="22"/>
      <c r="L1013" s="22"/>
      <c r="M1013" s="22"/>
      <c r="N1013" s="22"/>
    </row>
    <row r="1014" spans="1:14" x14ac:dyDescent="0.3">
      <c r="A1014" s="22" t="s">
        <v>637</v>
      </c>
      <c r="B1014" s="22">
        <v>0</v>
      </c>
      <c r="C1014" s="22"/>
      <c r="D1014" s="22"/>
      <c r="E1014" s="22"/>
      <c r="F1014" s="22"/>
      <c r="G1014" s="22"/>
      <c r="H1014" s="22"/>
      <c r="I1014" s="22"/>
      <c r="J1014" s="22"/>
      <c r="K1014" s="22"/>
      <c r="L1014" s="22"/>
      <c r="M1014" s="22"/>
      <c r="N1014" s="22"/>
    </row>
    <row r="1015" spans="1:14" x14ac:dyDescent="0.3">
      <c r="A1015" s="22" t="s">
        <v>639</v>
      </c>
      <c r="B1015" s="22">
        <v>0</v>
      </c>
      <c r="C1015" s="22"/>
      <c r="D1015" s="22"/>
      <c r="E1015" s="22"/>
      <c r="F1015" s="22"/>
      <c r="G1015" s="22"/>
      <c r="H1015" s="22"/>
      <c r="I1015" s="22"/>
      <c r="J1015" s="22"/>
      <c r="K1015" s="22"/>
      <c r="L1015" s="22"/>
      <c r="M1015" s="22"/>
      <c r="N1015" s="22"/>
    </row>
    <row r="1016" spans="1:14" x14ac:dyDescent="0.3">
      <c r="A1016" s="22" t="s">
        <v>640</v>
      </c>
      <c r="B1016" s="22">
        <v>0</v>
      </c>
      <c r="C1016" s="22"/>
      <c r="D1016" s="22"/>
      <c r="E1016" s="22"/>
      <c r="F1016" s="22"/>
      <c r="G1016" s="22"/>
      <c r="H1016" s="22"/>
      <c r="I1016" s="22"/>
      <c r="J1016" s="22"/>
      <c r="K1016" s="22"/>
      <c r="L1016" s="22"/>
      <c r="M1016" s="22"/>
      <c r="N1016" s="22"/>
    </row>
    <row r="1017" spans="1:14" x14ac:dyDescent="0.3">
      <c r="A1017" s="22" t="s">
        <v>641</v>
      </c>
      <c r="B1017" s="22">
        <v>0</v>
      </c>
      <c r="C1017" s="22"/>
      <c r="D1017" s="22"/>
      <c r="E1017" s="22"/>
      <c r="F1017" s="22"/>
      <c r="G1017" s="22"/>
      <c r="H1017" s="22"/>
      <c r="I1017" s="22"/>
      <c r="J1017" s="22"/>
      <c r="K1017" s="22"/>
      <c r="L1017" s="22"/>
      <c r="M1017" s="22"/>
      <c r="N1017" s="22"/>
    </row>
    <row r="1018" spans="1:14" x14ac:dyDescent="0.3">
      <c r="A1018" s="22" t="s">
        <v>642</v>
      </c>
      <c r="B1018" s="22">
        <v>0</v>
      </c>
      <c r="C1018" s="22"/>
      <c r="D1018" s="22"/>
      <c r="E1018" s="22"/>
      <c r="F1018" s="22"/>
      <c r="G1018" s="22"/>
      <c r="H1018" s="22"/>
      <c r="I1018" s="22"/>
      <c r="J1018" s="22"/>
      <c r="K1018" s="22"/>
      <c r="L1018" s="22"/>
      <c r="M1018" s="22"/>
      <c r="N1018" s="22"/>
    </row>
    <row r="1019" spans="1:14" x14ac:dyDescent="0.3">
      <c r="A1019" s="22" t="s">
        <v>643</v>
      </c>
      <c r="B1019" s="22">
        <v>0</v>
      </c>
      <c r="C1019" s="22"/>
      <c r="D1019" s="22"/>
      <c r="E1019" s="22"/>
      <c r="F1019" s="22"/>
      <c r="G1019" s="22"/>
      <c r="H1019" s="22"/>
      <c r="I1019" s="22"/>
      <c r="J1019" s="22"/>
      <c r="K1019" s="22"/>
      <c r="L1019" s="22"/>
      <c r="M1019" s="22"/>
      <c r="N1019" s="22"/>
    </row>
    <row r="1020" spans="1:14" x14ac:dyDescent="0.3">
      <c r="A1020" s="22" t="s">
        <v>644</v>
      </c>
      <c r="B1020" s="22">
        <v>0</v>
      </c>
      <c r="C1020" s="22"/>
      <c r="D1020" s="22"/>
      <c r="E1020" s="22"/>
      <c r="F1020" s="22"/>
      <c r="G1020" s="22"/>
      <c r="H1020" s="22"/>
      <c r="I1020" s="22"/>
      <c r="J1020" s="22"/>
      <c r="K1020" s="22"/>
      <c r="L1020" s="22"/>
      <c r="M1020" s="22"/>
      <c r="N1020" s="22"/>
    </row>
    <row r="1021" spans="1:14" x14ac:dyDescent="0.3">
      <c r="A1021" s="22" t="s">
        <v>645</v>
      </c>
      <c r="B1021" s="22">
        <v>0</v>
      </c>
      <c r="C1021" s="22"/>
      <c r="D1021" s="22"/>
      <c r="E1021" s="22"/>
      <c r="F1021" s="22"/>
      <c r="G1021" s="22"/>
      <c r="H1021" s="22"/>
      <c r="I1021" s="22"/>
      <c r="J1021" s="22"/>
      <c r="K1021" s="22"/>
      <c r="L1021" s="22"/>
      <c r="M1021" s="22"/>
      <c r="N1021" s="22"/>
    </row>
    <row r="1022" spans="1:14" x14ac:dyDescent="0.3">
      <c r="A1022" s="22" t="s">
        <v>646</v>
      </c>
      <c r="B1022" s="22">
        <v>0</v>
      </c>
      <c r="C1022" s="22"/>
      <c r="D1022" s="22"/>
      <c r="E1022" s="22"/>
      <c r="F1022" s="22"/>
      <c r="G1022" s="22"/>
      <c r="H1022" s="22"/>
      <c r="I1022" s="22"/>
      <c r="J1022" s="22"/>
      <c r="K1022" s="22"/>
      <c r="L1022" s="22"/>
      <c r="M1022" s="22"/>
      <c r="N1022" s="22"/>
    </row>
    <row r="1023" spans="1:14" x14ac:dyDescent="0.3">
      <c r="A1023" s="22" t="s">
        <v>1792</v>
      </c>
      <c r="B1023" s="22">
        <v>0</v>
      </c>
      <c r="C1023" s="22"/>
      <c r="D1023" s="22"/>
      <c r="E1023" s="22"/>
      <c r="F1023" s="22"/>
      <c r="G1023" s="22"/>
      <c r="H1023" s="22"/>
      <c r="I1023" s="22"/>
      <c r="J1023" s="22"/>
      <c r="K1023" s="22"/>
      <c r="L1023" s="22"/>
      <c r="M1023" s="22"/>
      <c r="N1023" s="22"/>
    </row>
    <row r="1024" spans="1:14" x14ac:dyDescent="0.3">
      <c r="A1024" s="22" t="s">
        <v>3274</v>
      </c>
      <c r="B1024" s="22">
        <v>0</v>
      </c>
      <c r="C1024" s="22"/>
      <c r="D1024" s="22"/>
      <c r="E1024" s="22"/>
      <c r="F1024" s="22"/>
      <c r="G1024" s="22"/>
      <c r="H1024" s="22"/>
      <c r="I1024" s="22"/>
      <c r="J1024" s="22"/>
      <c r="K1024" s="22"/>
      <c r="L1024" s="22"/>
      <c r="M1024" s="22"/>
      <c r="N1024" s="22"/>
    </row>
    <row r="1025" spans="1:14" x14ac:dyDescent="0.3">
      <c r="A1025" s="22" t="s">
        <v>3275</v>
      </c>
      <c r="B1025" s="22">
        <v>0</v>
      </c>
      <c r="C1025" s="22"/>
      <c r="D1025" s="22"/>
      <c r="E1025" s="22"/>
      <c r="F1025" s="22"/>
      <c r="G1025" s="22"/>
      <c r="H1025" s="22"/>
      <c r="I1025" s="22"/>
      <c r="J1025" s="22"/>
      <c r="K1025" s="22"/>
      <c r="L1025" s="22"/>
      <c r="M1025" s="22"/>
      <c r="N1025" s="22"/>
    </row>
    <row r="1026" spans="1:14" x14ac:dyDescent="0.3">
      <c r="A1026" s="22" t="s">
        <v>3276</v>
      </c>
      <c r="B1026" s="22">
        <v>0</v>
      </c>
      <c r="C1026" s="22"/>
      <c r="D1026" s="22"/>
      <c r="E1026" s="22"/>
      <c r="F1026" s="22"/>
      <c r="G1026" s="22"/>
      <c r="H1026" s="22"/>
      <c r="I1026" s="22"/>
      <c r="J1026" s="22"/>
      <c r="K1026" s="22"/>
      <c r="L1026" s="22"/>
      <c r="M1026" s="22"/>
      <c r="N1026" s="22"/>
    </row>
    <row r="1027" spans="1:14" x14ac:dyDescent="0.3">
      <c r="A1027" s="22" t="s">
        <v>3277</v>
      </c>
      <c r="B1027" s="22">
        <v>0</v>
      </c>
      <c r="C1027" s="22"/>
      <c r="D1027" s="22"/>
      <c r="E1027" s="22"/>
      <c r="F1027" s="22"/>
      <c r="G1027" s="22"/>
      <c r="H1027" s="22"/>
      <c r="I1027" s="22"/>
      <c r="J1027" s="22"/>
      <c r="K1027" s="22"/>
      <c r="L1027" s="22"/>
      <c r="M1027" s="22"/>
      <c r="N1027" s="22"/>
    </row>
    <row r="1028" spans="1:14" x14ac:dyDescent="0.3">
      <c r="A1028" s="22" t="s">
        <v>3278</v>
      </c>
      <c r="B1028" s="22">
        <v>0</v>
      </c>
      <c r="C1028" s="22"/>
      <c r="D1028" s="22"/>
      <c r="E1028" s="22"/>
      <c r="F1028" s="22"/>
      <c r="G1028" s="22"/>
      <c r="H1028" s="22"/>
      <c r="I1028" s="22"/>
      <c r="J1028" s="22"/>
      <c r="K1028" s="22"/>
      <c r="L1028" s="22"/>
      <c r="M1028" s="22"/>
      <c r="N1028" s="22"/>
    </row>
    <row r="1029" spans="1:14" x14ac:dyDescent="0.3">
      <c r="A1029" s="22" t="s">
        <v>3279</v>
      </c>
      <c r="B1029" s="22">
        <v>0</v>
      </c>
      <c r="C1029" s="22"/>
      <c r="D1029" s="22"/>
      <c r="E1029" s="22"/>
      <c r="F1029" s="22"/>
      <c r="G1029" s="22"/>
      <c r="H1029" s="22"/>
      <c r="I1029" s="22"/>
      <c r="J1029" s="22"/>
      <c r="K1029" s="22"/>
      <c r="L1029" s="22"/>
      <c r="M1029" s="22"/>
      <c r="N1029" s="22"/>
    </row>
    <row r="1030" spans="1:14" x14ac:dyDescent="0.3">
      <c r="A1030" s="22" t="s">
        <v>3280</v>
      </c>
      <c r="B1030" s="22">
        <v>0</v>
      </c>
      <c r="C1030" s="22"/>
      <c r="D1030" s="22"/>
      <c r="E1030" s="22"/>
      <c r="F1030" s="22"/>
      <c r="G1030" s="22"/>
      <c r="H1030" s="22"/>
      <c r="I1030" s="22"/>
      <c r="J1030" s="22"/>
      <c r="K1030" s="22"/>
      <c r="L1030" s="22"/>
      <c r="M1030" s="22"/>
      <c r="N1030" s="22"/>
    </row>
    <row r="1031" spans="1:14" x14ac:dyDescent="0.3">
      <c r="A1031" s="22" t="s">
        <v>648</v>
      </c>
      <c r="B1031" s="22">
        <v>0</v>
      </c>
      <c r="C1031" s="22"/>
      <c r="D1031" s="22"/>
      <c r="E1031" s="22"/>
      <c r="F1031" s="22"/>
      <c r="G1031" s="22"/>
      <c r="H1031" s="22"/>
      <c r="I1031" s="22"/>
      <c r="J1031" s="22"/>
      <c r="K1031" s="22"/>
      <c r="L1031" s="22"/>
      <c r="M1031" s="22"/>
      <c r="N1031" s="22"/>
    </row>
    <row r="1032" spans="1:14" x14ac:dyDescent="0.3">
      <c r="A1032" s="22" t="s">
        <v>5535</v>
      </c>
      <c r="B1032" s="22">
        <v>0</v>
      </c>
      <c r="C1032" s="22"/>
      <c r="D1032" s="22"/>
      <c r="E1032" s="22"/>
      <c r="F1032" s="22"/>
      <c r="G1032" s="22"/>
      <c r="H1032" s="22"/>
      <c r="I1032" s="22"/>
      <c r="J1032" s="22"/>
      <c r="K1032" s="22"/>
      <c r="L1032" s="22"/>
      <c r="M1032" s="22"/>
      <c r="N1032" s="22"/>
    </row>
    <row r="1033" spans="1:14" x14ac:dyDescent="0.3">
      <c r="A1033" s="22" t="s">
        <v>5536</v>
      </c>
      <c r="B1033" s="22">
        <v>0</v>
      </c>
      <c r="C1033" s="22"/>
      <c r="D1033" s="22"/>
      <c r="E1033" s="22"/>
      <c r="F1033" s="22"/>
      <c r="G1033" s="22"/>
      <c r="H1033" s="22"/>
      <c r="I1033" s="22"/>
      <c r="J1033" s="22"/>
      <c r="K1033" s="22"/>
      <c r="L1033" s="22"/>
      <c r="M1033" s="22"/>
      <c r="N1033" s="22"/>
    </row>
    <row r="1034" spans="1:14" x14ac:dyDescent="0.3">
      <c r="A1034" s="22" t="s">
        <v>5537</v>
      </c>
      <c r="B1034" s="22">
        <v>0</v>
      </c>
      <c r="C1034" s="22"/>
      <c r="D1034" s="22"/>
      <c r="E1034" s="22"/>
      <c r="F1034" s="22"/>
      <c r="G1034" s="22"/>
      <c r="H1034" s="22"/>
      <c r="I1034" s="22"/>
      <c r="J1034" s="22"/>
      <c r="K1034" s="22"/>
      <c r="L1034" s="22"/>
      <c r="M1034" s="22"/>
      <c r="N1034" s="22"/>
    </row>
    <row r="1035" spans="1:14" x14ac:dyDescent="0.3">
      <c r="A1035" s="22" t="s">
        <v>5538</v>
      </c>
      <c r="B1035" s="22">
        <v>0</v>
      </c>
      <c r="C1035" s="22"/>
      <c r="D1035" s="22"/>
      <c r="E1035" s="22"/>
      <c r="F1035" s="22"/>
      <c r="G1035" s="22"/>
      <c r="H1035" s="22"/>
      <c r="I1035" s="22"/>
      <c r="J1035" s="22"/>
      <c r="K1035" s="22"/>
      <c r="L1035" s="22"/>
      <c r="M1035" s="22"/>
      <c r="N1035" s="22"/>
    </row>
    <row r="1036" spans="1:14" x14ac:dyDescent="0.3">
      <c r="A1036" s="22" t="s">
        <v>5539</v>
      </c>
      <c r="B1036" s="22">
        <v>0</v>
      </c>
      <c r="C1036" s="22"/>
      <c r="D1036" s="22"/>
      <c r="E1036" s="22"/>
      <c r="F1036" s="22"/>
      <c r="G1036" s="22"/>
      <c r="H1036" s="22"/>
      <c r="I1036" s="22"/>
      <c r="J1036" s="22"/>
      <c r="K1036" s="22"/>
      <c r="L1036" s="22"/>
      <c r="M1036" s="22"/>
      <c r="N1036" s="22"/>
    </row>
    <row r="1037" spans="1:14" x14ac:dyDescent="0.3">
      <c r="A1037" s="22" t="s">
        <v>5540</v>
      </c>
      <c r="B1037" s="22">
        <v>0</v>
      </c>
      <c r="C1037" s="22"/>
      <c r="D1037" s="22"/>
      <c r="E1037" s="22"/>
      <c r="F1037" s="22"/>
      <c r="G1037" s="22"/>
      <c r="H1037" s="22"/>
      <c r="I1037" s="22"/>
      <c r="J1037" s="22"/>
      <c r="K1037" s="22"/>
      <c r="L1037" s="22"/>
      <c r="M1037" s="22"/>
      <c r="N1037" s="22"/>
    </row>
    <row r="1038" spans="1:14" x14ac:dyDescent="0.3">
      <c r="A1038" s="22" t="s">
        <v>5541</v>
      </c>
      <c r="B1038" s="22">
        <v>0</v>
      </c>
      <c r="C1038" s="22"/>
      <c r="D1038" s="22"/>
      <c r="E1038" s="22"/>
      <c r="F1038" s="22"/>
      <c r="G1038" s="22"/>
      <c r="H1038" s="22"/>
      <c r="I1038" s="22"/>
      <c r="J1038" s="22"/>
      <c r="K1038" s="22"/>
      <c r="L1038" s="22"/>
      <c r="M1038" s="22"/>
      <c r="N1038" s="22"/>
    </row>
    <row r="1039" spans="1:14" x14ac:dyDescent="0.3">
      <c r="A1039" s="22" t="s">
        <v>1753</v>
      </c>
      <c r="B1039" s="22">
        <v>0</v>
      </c>
      <c r="C1039" s="22"/>
      <c r="D1039" s="22"/>
      <c r="E1039" s="22"/>
      <c r="F1039" s="22"/>
      <c r="G1039" s="22"/>
      <c r="H1039" s="22"/>
      <c r="I1039" s="22"/>
      <c r="J1039" s="22"/>
      <c r="K1039" s="22"/>
      <c r="L1039" s="22"/>
      <c r="M1039" s="22"/>
      <c r="N1039" s="22"/>
    </row>
    <row r="1040" spans="1:14" x14ac:dyDescent="0.3">
      <c r="A1040" s="22" t="s">
        <v>3281</v>
      </c>
      <c r="B1040" s="22">
        <v>0</v>
      </c>
      <c r="C1040" s="22"/>
      <c r="D1040" s="22"/>
      <c r="E1040" s="22"/>
      <c r="F1040" s="22"/>
      <c r="G1040" s="22"/>
      <c r="H1040" s="22"/>
      <c r="I1040" s="22"/>
      <c r="J1040" s="22"/>
      <c r="K1040" s="22"/>
      <c r="L1040" s="22"/>
      <c r="M1040" s="22"/>
      <c r="N1040" s="22"/>
    </row>
    <row r="1041" spans="1:14" x14ac:dyDescent="0.3">
      <c r="A1041" s="22" t="s">
        <v>3282</v>
      </c>
      <c r="B1041" s="22">
        <v>0</v>
      </c>
      <c r="C1041" s="22"/>
      <c r="D1041" s="22"/>
      <c r="E1041" s="22"/>
      <c r="F1041" s="22"/>
      <c r="G1041" s="22"/>
      <c r="H1041" s="22"/>
      <c r="I1041" s="22"/>
      <c r="J1041" s="22"/>
      <c r="K1041" s="22"/>
      <c r="L1041" s="22"/>
      <c r="M1041" s="22"/>
      <c r="N1041" s="22"/>
    </row>
    <row r="1042" spans="1:14" x14ac:dyDescent="0.3">
      <c r="A1042" s="22" t="s">
        <v>3283</v>
      </c>
      <c r="B1042" s="22">
        <v>0</v>
      </c>
      <c r="C1042" s="22"/>
      <c r="D1042" s="22"/>
      <c r="E1042" s="22"/>
      <c r="F1042" s="22"/>
      <c r="G1042" s="22"/>
      <c r="H1042" s="22"/>
      <c r="I1042" s="22"/>
      <c r="J1042" s="22"/>
      <c r="K1042" s="22"/>
      <c r="L1042" s="22"/>
      <c r="M1042" s="22"/>
      <c r="N1042" s="22"/>
    </row>
    <row r="1043" spans="1:14" x14ac:dyDescent="0.3">
      <c r="A1043" s="22" t="s">
        <v>3284</v>
      </c>
      <c r="B1043" s="22">
        <v>0</v>
      </c>
      <c r="C1043" s="22"/>
      <c r="D1043" s="22"/>
      <c r="E1043" s="22"/>
      <c r="F1043" s="22"/>
      <c r="G1043" s="22"/>
      <c r="H1043" s="22"/>
      <c r="I1043" s="22"/>
      <c r="J1043" s="22"/>
      <c r="K1043" s="22"/>
      <c r="L1043" s="22"/>
      <c r="M1043" s="22"/>
      <c r="N1043" s="22"/>
    </row>
    <row r="1044" spans="1:14" x14ac:dyDescent="0.3">
      <c r="A1044" s="22" t="s">
        <v>3285</v>
      </c>
      <c r="B1044" s="22">
        <v>0</v>
      </c>
      <c r="C1044" s="22"/>
      <c r="D1044" s="22"/>
      <c r="E1044" s="22"/>
      <c r="F1044" s="22"/>
      <c r="G1044" s="22"/>
      <c r="H1044" s="22"/>
      <c r="I1044" s="22"/>
      <c r="J1044" s="22"/>
      <c r="K1044" s="22"/>
      <c r="L1044" s="22"/>
      <c r="M1044" s="22"/>
      <c r="N1044" s="22"/>
    </row>
    <row r="1045" spans="1:14" x14ac:dyDescent="0.3">
      <c r="A1045" s="22" t="s">
        <v>3286</v>
      </c>
      <c r="B1045" s="22">
        <v>0</v>
      </c>
      <c r="C1045" s="22"/>
      <c r="D1045" s="22"/>
      <c r="E1045" s="22"/>
      <c r="F1045" s="22"/>
      <c r="G1045" s="22"/>
      <c r="H1045" s="22"/>
      <c r="I1045" s="22"/>
      <c r="J1045" s="22"/>
      <c r="K1045" s="22"/>
      <c r="L1045" s="22"/>
      <c r="M1045" s="22"/>
      <c r="N1045" s="22"/>
    </row>
    <row r="1046" spans="1:14" x14ac:dyDescent="0.3">
      <c r="A1046" s="22" t="s">
        <v>3287</v>
      </c>
      <c r="B1046" s="22">
        <v>0</v>
      </c>
      <c r="C1046" s="22"/>
      <c r="D1046" s="22"/>
      <c r="E1046" s="22"/>
      <c r="F1046" s="22"/>
      <c r="G1046" s="22"/>
      <c r="H1046" s="22"/>
      <c r="I1046" s="22"/>
      <c r="J1046" s="22"/>
      <c r="K1046" s="22"/>
      <c r="L1046" s="22"/>
      <c r="M1046" s="22"/>
      <c r="N1046" s="22"/>
    </row>
    <row r="1047" spans="1:14" x14ac:dyDescent="0.3">
      <c r="A1047" s="22" t="s">
        <v>650</v>
      </c>
      <c r="B1047" s="22">
        <v>14</v>
      </c>
      <c r="C1047" s="22"/>
      <c r="D1047" s="22"/>
      <c r="E1047" s="22"/>
      <c r="F1047" s="22"/>
      <c r="G1047" s="22"/>
      <c r="H1047" s="22"/>
      <c r="I1047" s="22"/>
      <c r="J1047" s="22"/>
      <c r="K1047" s="22"/>
      <c r="L1047" s="22"/>
      <c r="M1047" s="22"/>
      <c r="N1047" s="22"/>
    </row>
    <row r="1048" spans="1:14" x14ac:dyDescent="0.3">
      <c r="A1048" s="22" t="s">
        <v>651</v>
      </c>
      <c r="B1048" s="22">
        <v>0</v>
      </c>
      <c r="C1048" s="22"/>
      <c r="D1048" s="22"/>
      <c r="E1048" s="22"/>
      <c r="F1048" s="22"/>
      <c r="G1048" s="22"/>
      <c r="H1048" s="22"/>
      <c r="I1048" s="22"/>
      <c r="J1048" s="22"/>
      <c r="K1048" s="22"/>
      <c r="L1048" s="22"/>
      <c r="M1048" s="22"/>
      <c r="N1048" s="22"/>
    </row>
    <row r="1049" spans="1:14" x14ac:dyDescent="0.3">
      <c r="A1049" s="22" t="s">
        <v>652</v>
      </c>
      <c r="B1049" s="22">
        <v>0</v>
      </c>
      <c r="C1049" s="22"/>
      <c r="D1049" s="22"/>
      <c r="E1049" s="22"/>
      <c r="F1049" s="22"/>
      <c r="G1049" s="22"/>
      <c r="H1049" s="22"/>
      <c r="I1049" s="22"/>
      <c r="J1049" s="22"/>
      <c r="K1049" s="22"/>
      <c r="L1049" s="22"/>
      <c r="M1049" s="22"/>
      <c r="N1049" s="22"/>
    </row>
    <row r="1050" spans="1:14" x14ac:dyDescent="0.3">
      <c r="A1050" s="22" t="s">
        <v>653</v>
      </c>
      <c r="B1050" s="22">
        <v>0</v>
      </c>
      <c r="C1050" s="22"/>
      <c r="D1050" s="22"/>
      <c r="E1050" s="22"/>
      <c r="F1050" s="22"/>
      <c r="G1050" s="22"/>
      <c r="H1050" s="22"/>
      <c r="I1050" s="22"/>
      <c r="J1050" s="22"/>
      <c r="K1050" s="22"/>
      <c r="L1050" s="22"/>
      <c r="M1050" s="22"/>
      <c r="N1050" s="22"/>
    </row>
    <row r="1051" spans="1:14" x14ac:dyDescent="0.3">
      <c r="A1051" s="22" t="s">
        <v>654</v>
      </c>
      <c r="B1051" s="22">
        <v>0</v>
      </c>
      <c r="C1051" s="22"/>
      <c r="D1051" s="22"/>
      <c r="E1051" s="22"/>
      <c r="F1051" s="22"/>
      <c r="G1051" s="22"/>
      <c r="H1051" s="22"/>
      <c r="I1051" s="22"/>
      <c r="J1051" s="22"/>
      <c r="K1051" s="22"/>
      <c r="L1051" s="22"/>
      <c r="M1051" s="22"/>
      <c r="N1051" s="22"/>
    </row>
    <row r="1052" spans="1:14" x14ac:dyDescent="0.3">
      <c r="A1052" s="22" t="s">
        <v>655</v>
      </c>
      <c r="B1052" s="22">
        <v>0</v>
      </c>
      <c r="C1052" s="22"/>
      <c r="D1052" s="22"/>
      <c r="E1052" s="22"/>
      <c r="F1052" s="22"/>
      <c r="G1052" s="22"/>
      <c r="H1052" s="22"/>
      <c r="I1052" s="22"/>
      <c r="J1052" s="22"/>
      <c r="K1052" s="22"/>
      <c r="L1052" s="22"/>
      <c r="M1052" s="22"/>
      <c r="N1052" s="22"/>
    </row>
    <row r="1053" spans="1:14" x14ac:dyDescent="0.3">
      <c r="A1053" s="22" t="s">
        <v>656</v>
      </c>
      <c r="B1053" s="22">
        <v>0</v>
      </c>
      <c r="C1053" s="22"/>
      <c r="D1053" s="22"/>
      <c r="E1053" s="22"/>
      <c r="F1053" s="22"/>
      <c r="G1053" s="22"/>
      <c r="H1053" s="22"/>
      <c r="I1053" s="22"/>
      <c r="J1053" s="22"/>
      <c r="K1053" s="22"/>
      <c r="L1053" s="22"/>
      <c r="M1053" s="22"/>
      <c r="N1053" s="22"/>
    </row>
    <row r="1054" spans="1:14" x14ac:dyDescent="0.3">
      <c r="A1054" s="22" t="s">
        <v>657</v>
      </c>
      <c r="B1054" s="22">
        <v>0</v>
      </c>
      <c r="C1054" s="22"/>
      <c r="D1054" s="22"/>
      <c r="E1054" s="22"/>
      <c r="F1054" s="22"/>
      <c r="G1054" s="22"/>
      <c r="H1054" s="22"/>
      <c r="I1054" s="22"/>
      <c r="J1054" s="22"/>
      <c r="K1054" s="22"/>
      <c r="L1054" s="22"/>
      <c r="M1054" s="22"/>
      <c r="N1054" s="22"/>
    </row>
    <row r="1055" spans="1:14" x14ac:dyDescent="0.3">
      <c r="A1055" s="22" t="s">
        <v>659</v>
      </c>
      <c r="B1055" s="22">
        <v>0</v>
      </c>
      <c r="C1055" s="22"/>
      <c r="D1055" s="22"/>
      <c r="E1055" s="22"/>
      <c r="F1055" s="22"/>
      <c r="G1055" s="22"/>
      <c r="H1055" s="22"/>
      <c r="I1055" s="22"/>
      <c r="J1055" s="22"/>
      <c r="K1055" s="22"/>
      <c r="L1055" s="22"/>
      <c r="M1055" s="22"/>
      <c r="N1055" s="22"/>
    </row>
    <row r="1056" spans="1:14" x14ac:dyDescent="0.3">
      <c r="A1056" s="22" t="s">
        <v>660</v>
      </c>
      <c r="B1056" s="22">
        <v>0</v>
      </c>
      <c r="C1056" s="22"/>
      <c r="D1056" s="22"/>
      <c r="E1056" s="22"/>
      <c r="F1056" s="22"/>
      <c r="G1056" s="22"/>
      <c r="H1056" s="22"/>
      <c r="I1056" s="22"/>
      <c r="J1056" s="22"/>
      <c r="K1056" s="22"/>
      <c r="L1056" s="22"/>
      <c r="M1056" s="22"/>
      <c r="N1056" s="22"/>
    </row>
    <row r="1057" spans="1:14" x14ac:dyDescent="0.3">
      <c r="A1057" s="22" t="s">
        <v>661</v>
      </c>
      <c r="B1057" s="22">
        <v>0</v>
      </c>
      <c r="C1057" s="22"/>
      <c r="D1057" s="22"/>
      <c r="E1057" s="22"/>
      <c r="F1057" s="22"/>
      <c r="G1057" s="22"/>
      <c r="H1057" s="22"/>
      <c r="I1057" s="22"/>
      <c r="J1057" s="22"/>
      <c r="K1057" s="22"/>
      <c r="L1057" s="22"/>
      <c r="M1057" s="22"/>
      <c r="N1057" s="22"/>
    </row>
    <row r="1058" spans="1:14" x14ac:dyDescent="0.3">
      <c r="A1058" s="22" t="s">
        <v>662</v>
      </c>
      <c r="B1058" s="22">
        <v>0</v>
      </c>
      <c r="C1058" s="22"/>
      <c r="D1058" s="22"/>
      <c r="E1058" s="22"/>
      <c r="F1058" s="22"/>
      <c r="G1058" s="22"/>
      <c r="H1058" s="22"/>
      <c r="I1058" s="22"/>
      <c r="J1058" s="22"/>
      <c r="K1058" s="22"/>
      <c r="L1058" s="22"/>
      <c r="M1058" s="22"/>
      <c r="N1058" s="22"/>
    </row>
    <row r="1059" spans="1:14" x14ac:dyDescent="0.3">
      <c r="A1059" s="22" t="s">
        <v>663</v>
      </c>
      <c r="B1059" s="22">
        <v>0</v>
      </c>
      <c r="C1059" s="22"/>
      <c r="D1059" s="22"/>
      <c r="E1059" s="22"/>
      <c r="F1059" s="22"/>
      <c r="G1059" s="22"/>
      <c r="H1059" s="22"/>
      <c r="I1059" s="22"/>
      <c r="J1059" s="22"/>
      <c r="K1059" s="22"/>
      <c r="L1059" s="22"/>
      <c r="M1059" s="22"/>
      <c r="N1059" s="22"/>
    </row>
    <row r="1060" spans="1:14" x14ac:dyDescent="0.3">
      <c r="A1060" s="22" t="s">
        <v>664</v>
      </c>
      <c r="B1060" s="22">
        <v>0</v>
      </c>
      <c r="C1060" s="22"/>
      <c r="D1060" s="22"/>
      <c r="E1060" s="22"/>
      <c r="F1060" s="22"/>
      <c r="G1060" s="22"/>
      <c r="H1060" s="22"/>
      <c r="I1060" s="22"/>
      <c r="J1060" s="22"/>
      <c r="K1060" s="22"/>
      <c r="L1060" s="22"/>
      <c r="M1060" s="22"/>
      <c r="N1060" s="22"/>
    </row>
    <row r="1061" spans="1:14" x14ac:dyDescent="0.3">
      <c r="A1061" s="22" t="s">
        <v>665</v>
      </c>
      <c r="B1061" s="22">
        <v>0</v>
      </c>
      <c r="C1061" s="22"/>
      <c r="D1061" s="22"/>
      <c r="E1061" s="22"/>
      <c r="F1061" s="22"/>
      <c r="G1061" s="22"/>
      <c r="H1061" s="22"/>
      <c r="I1061" s="22"/>
      <c r="J1061" s="22"/>
      <c r="K1061" s="22"/>
      <c r="L1061" s="22"/>
      <c r="M1061" s="22"/>
      <c r="N1061" s="22"/>
    </row>
    <row r="1062" spans="1:14" x14ac:dyDescent="0.3">
      <c r="A1062" s="22" t="s">
        <v>666</v>
      </c>
      <c r="B1062" s="22">
        <v>0</v>
      </c>
      <c r="C1062" s="22"/>
      <c r="D1062" s="22"/>
      <c r="E1062" s="22"/>
      <c r="F1062" s="22"/>
      <c r="G1062" s="22"/>
      <c r="H1062" s="22"/>
      <c r="I1062" s="22"/>
      <c r="J1062" s="22"/>
      <c r="K1062" s="22"/>
      <c r="L1062" s="22"/>
      <c r="M1062" s="22"/>
      <c r="N1062" s="22"/>
    </row>
    <row r="1063" spans="1:14" x14ac:dyDescent="0.3">
      <c r="A1063" s="22" t="s">
        <v>669</v>
      </c>
      <c r="B1063" s="22">
        <v>10</v>
      </c>
      <c r="C1063" s="22"/>
      <c r="D1063" s="22"/>
      <c r="E1063" s="22"/>
      <c r="F1063" s="22"/>
      <c r="G1063" s="22"/>
      <c r="H1063" s="22"/>
      <c r="I1063" s="22"/>
      <c r="J1063" s="22"/>
      <c r="K1063" s="22"/>
      <c r="L1063" s="22"/>
      <c r="M1063" s="22"/>
      <c r="N1063" s="22"/>
    </row>
    <row r="1064" spans="1:14" x14ac:dyDescent="0.3">
      <c r="A1064" s="22" t="s">
        <v>670</v>
      </c>
      <c r="B1064" s="22">
        <v>0</v>
      </c>
      <c r="C1064" s="22"/>
      <c r="D1064" s="22"/>
      <c r="E1064" s="22"/>
      <c r="F1064" s="22"/>
      <c r="G1064" s="22"/>
      <c r="H1064" s="22"/>
      <c r="I1064" s="22"/>
      <c r="J1064" s="22"/>
      <c r="K1064" s="22"/>
      <c r="L1064" s="22"/>
      <c r="M1064" s="22"/>
      <c r="N1064" s="22"/>
    </row>
    <row r="1065" spans="1:14" x14ac:dyDescent="0.3">
      <c r="A1065" s="22" t="s">
        <v>671</v>
      </c>
      <c r="B1065" s="22">
        <v>0</v>
      </c>
      <c r="C1065" s="22"/>
      <c r="D1065" s="22"/>
      <c r="E1065" s="22"/>
      <c r="F1065" s="22"/>
      <c r="G1065" s="22"/>
      <c r="H1065" s="22"/>
      <c r="I1065" s="22"/>
      <c r="J1065" s="22"/>
      <c r="K1065" s="22"/>
      <c r="L1065" s="22"/>
      <c r="M1065" s="22"/>
      <c r="N1065" s="22"/>
    </row>
    <row r="1066" spans="1:14" x14ac:dyDescent="0.3">
      <c r="A1066" s="22" t="s">
        <v>672</v>
      </c>
      <c r="B1066" s="22">
        <v>0</v>
      </c>
      <c r="C1066" s="22"/>
      <c r="D1066" s="22"/>
      <c r="E1066" s="22"/>
      <c r="F1066" s="22"/>
      <c r="G1066" s="22"/>
      <c r="H1066" s="22"/>
      <c r="I1066" s="22"/>
      <c r="J1066" s="22"/>
      <c r="K1066" s="22"/>
      <c r="L1066" s="22"/>
      <c r="M1066" s="22"/>
      <c r="N1066" s="22"/>
    </row>
    <row r="1067" spans="1:14" x14ac:dyDescent="0.3">
      <c r="A1067" s="22" t="s">
        <v>673</v>
      </c>
      <c r="B1067" s="22">
        <v>0</v>
      </c>
      <c r="C1067" s="22"/>
      <c r="D1067" s="22"/>
      <c r="E1067" s="22"/>
      <c r="F1067" s="22"/>
      <c r="G1067" s="22"/>
      <c r="H1067" s="22"/>
      <c r="I1067" s="22"/>
      <c r="J1067" s="22"/>
      <c r="K1067" s="22"/>
      <c r="L1067" s="22"/>
      <c r="M1067" s="22"/>
      <c r="N1067" s="22"/>
    </row>
    <row r="1068" spans="1:14" x14ac:dyDescent="0.3">
      <c r="A1068" s="22" t="s">
        <v>674</v>
      </c>
      <c r="B1068" s="22">
        <v>0</v>
      </c>
      <c r="C1068" s="22"/>
      <c r="D1068" s="22"/>
      <c r="E1068" s="22"/>
      <c r="F1068" s="22"/>
      <c r="G1068" s="22"/>
      <c r="H1068" s="22"/>
      <c r="I1068" s="22"/>
      <c r="J1068" s="22"/>
      <c r="K1068" s="22"/>
      <c r="L1068" s="22"/>
      <c r="M1068" s="22"/>
      <c r="N1068" s="22"/>
    </row>
    <row r="1069" spans="1:14" x14ac:dyDescent="0.3">
      <c r="A1069" s="22" t="s">
        <v>675</v>
      </c>
      <c r="B1069" s="22">
        <v>0</v>
      </c>
      <c r="C1069" s="22"/>
      <c r="D1069" s="22"/>
      <c r="E1069" s="22"/>
      <c r="F1069" s="22"/>
      <c r="G1069" s="22"/>
      <c r="H1069" s="22"/>
      <c r="I1069" s="22"/>
      <c r="J1069" s="22"/>
      <c r="K1069" s="22"/>
      <c r="L1069" s="22"/>
      <c r="M1069" s="22"/>
      <c r="N1069" s="22"/>
    </row>
    <row r="1070" spans="1:14" x14ac:dyDescent="0.3">
      <c r="A1070" s="22" t="s">
        <v>676</v>
      </c>
      <c r="B1070" s="22">
        <v>0</v>
      </c>
      <c r="C1070" s="22"/>
      <c r="D1070" s="22"/>
      <c r="E1070" s="22"/>
      <c r="F1070" s="22"/>
      <c r="G1070" s="22"/>
      <c r="H1070" s="22"/>
      <c r="I1070" s="22"/>
      <c r="J1070" s="22"/>
      <c r="K1070" s="22"/>
      <c r="L1070" s="22"/>
      <c r="M1070" s="22"/>
      <c r="N1070" s="22"/>
    </row>
    <row r="1071" spans="1:14" x14ac:dyDescent="0.3">
      <c r="A1071" s="22" t="s">
        <v>678</v>
      </c>
      <c r="B1071" s="22">
        <v>0</v>
      </c>
      <c r="C1071" s="22"/>
      <c r="D1071" s="22"/>
      <c r="E1071" s="22"/>
      <c r="F1071" s="22"/>
      <c r="G1071" s="22"/>
      <c r="H1071" s="22"/>
      <c r="I1071" s="22"/>
      <c r="J1071" s="22"/>
      <c r="K1071" s="22"/>
      <c r="L1071" s="22"/>
      <c r="M1071" s="22"/>
      <c r="N1071" s="22"/>
    </row>
    <row r="1072" spans="1:14" x14ac:dyDescent="0.3">
      <c r="A1072" s="22" t="s">
        <v>679</v>
      </c>
      <c r="B1072" s="22">
        <v>0</v>
      </c>
      <c r="C1072" s="22"/>
      <c r="D1072" s="22"/>
      <c r="E1072" s="22"/>
      <c r="F1072" s="22"/>
      <c r="G1072" s="22"/>
      <c r="H1072" s="22"/>
      <c r="I1072" s="22"/>
      <c r="J1072" s="22"/>
      <c r="K1072" s="22"/>
      <c r="L1072" s="22"/>
      <c r="M1072" s="22"/>
      <c r="N1072" s="22"/>
    </row>
    <row r="1073" spans="1:14" x14ac:dyDescent="0.3">
      <c r="A1073" s="22" t="s">
        <v>680</v>
      </c>
      <c r="B1073" s="22">
        <v>0</v>
      </c>
      <c r="C1073" s="22"/>
      <c r="D1073" s="22"/>
      <c r="E1073" s="22"/>
      <c r="F1073" s="22"/>
      <c r="G1073" s="22"/>
      <c r="H1073" s="22"/>
      <c r="I1073" s="22"/>
      <c r="J1073" s="22"/>
      <c r="K1073" s="22"/>
      <c r="L1073" s="22"/>
      <c r="M1073" s="22"/>
      <c r="N1073" s="22"/>
    </row>
    <row r="1074" spans="1:14" x14ac:dyDescent="0.3">
      <c r="A1074" s="22" t="s">
        <v>681</v>
      </c>
      <c r="B1074" s="22">
        <v>0</v>
      </c>
      <c r="C1074" s="22"/>
      <c r="D1074" s="22"/>
      <c r="E1074" s="22"/>
      <c r="F1074" s="22"/>
      <c r="G1074" s="22"/>
      <c r="H1074" s="22"/>
      <c r="I1074" s="22"/>
      <c r="J1074" s="22"/>
      <c r="K1074" s="22"/>
      <c r="L1074" s="22"/>
      <c r="M1074" s="22"/>
      <c r="N1074" s="22"/>
    </row>
    <row r="1075" spans="1:14" x14ac:dyDescent="0.3">
      <c r="A1075" s="22" t="s">
        <v>682</v>
      </c>
      <c r="B1075" s="22">
        <v>0</v>
      </c>
      <c r="C1075" s="22"/>
      <c r="D1075" s="22"/>
      <c r="E1075" s="22"/>
      <c r="F1075" s="22"/>
      <c r="G1075" s="22"/>
      <c r="H1075" s="22"/>
      <c r="I1075" s="22"/>
      <c r="J1075" s="22"/>
      <c r="K1075" s="22"/>
      <c r="L1075" s="22"/>
      <c r="M1075" s="22"/>
      <c r="N1075" s="22"/>
    </row>
    <row r="1076" spans="1:14" x14ac:dyDescent="0.3">
      <c r="A1076" s="22" t="s">
        <v>683</v>
      </c>
      <c r="B1076" s="22">
        <v>0</v>
      </c>
      <c r="C1076" s="22"/>
      <c r="D1076" s="22"/>
      <c r="E1076" s="22"/>
      <c r="F1076" s="22"/>
      <c r="G1076" s="22"/>
      <c r="H1076" s="22"/>
      <c r="I1076" s="22"/>
      <c r="J1076" s="22"/>
      <c r="K1076" s="22"/>
      <c r="L1076" s="22"/>
      <c r="M1076" s="22"/>
      <c r="N1076" s="22"/>
    </row>
    <row r="1077" spans="1:14" x14ac:dyDescent="0.3">
      <c r="A1077" s="22" t="s">
        <v>684</v>
      </c>
      <c r="B1077" s="22">
        <v>0</v>
      </c>
      <c r="C1077" s="22"/>
      <c r="D1077" s="22"/>
      <c r="E1077" s="22"/>
      <c r="F1077" s="22"/>
      <c r="G1077" s="22"/>
      <c r="H1077" s="22"/>
      <c r="I1077" s="22"/>
      <c r="J1077" s="22"/>
      <c r="K1077" s="22"/>
      <c r="L1077" s="22"/>
      <c r="M1077" s="22"/>
      <c r="N1077" s="22"/>
    </row>
    <row r="1078" spans="1:14" x14ac:dyDescent="0.3">
      <c r="A1078" s="22" t="s">
        <v>685</v>
      </c>
      <c r="B1078" s="22">
        <v>0</v>
      </c>
      <c r="C1078" s="22"/>
      <c r="D1078" s="22"/>
      <c r="E1078" s="22"/>
      <c r="F1078" s="22"/>
      <c r="G1078" s="22"/>
      <c r="H1078" s="22"/>
      <c r="I1078" s="22"/>
      <c r="J1078" s="22"/>
      <c r="K1078" s="22"/>
      <c r="L1078" s="22"/>
      <c r="M1078" s="22"/>
      <c r="N1078" s="22"/>
    </row>
    <row r="1079" spans="1:14" x14ac:dyDescent="0.3">
      <c r="A1079" s="22" t="s">
        <v>687</v>
      </c>
      <c r="B1079" s="22">
        <v>0</v>
      </c>
      <c r="C1079" s="22"/>
      <c r="D1079" s="22"/>
      <c r="E1079" s="22"/>
      <c r="F1079" s="22"/>
      <c r="G1079" s="22"/>
      <c r="H1079" s="22"/>
      <c r="I1079" s="22"/>
      <c r="J1079" s="22"/>
      <c r="K1079" s="22"/>
      <c r="L1079" s="22"/>
      <c r="M1079" s="22"/>
      <c r="N1079" s="22"/>
    </row>
    <row r="1080" spans="1:14" x14ac:dyDescent="0.3">
      <c r="A1080" s="22" t="s">
        <v>688</v>
      </c>
      <c r="B1080" s="22">
        <v>0</v>
      </c>
      <c r="C1080" s="22"/>
      <c r="D1080" s="22"/>
      <c r="E1080" s="22"/>
      <c r="F1080" s="22"/>
      <c r="G1080" s="22"/>
      <c r="H1080" s="22"/>
      <c r="I1080" s="22"/>
      <c r="J1080" s="22"/>
      <c r="K1080" s="22"/>
      <c r="L1080" s="22"/>
      <c r="M1080" s="22"/>
      <c r="N1080" s="22"/>
    </row>
    <row r="1081" spans="1:14" x14ac:dyDescent="0.3">
      <c r="A1081" s="22" t="s">
        <v>689</v>
      </c>
      <c r="B1081" s="22">
        <v>0</v>
      </c>
      <c r="C1081" s="22"/>
      <c r="D1081" s="22"/>
      <c r="E1081" s="22"/>
      <c r="F1081" s="22"/>
      <c r="G1081" s="22"/>
      <c r="H1081" s="22"/>
      <c r="I1081" s="22"/>
      <c r="J1081" s="22"/>
      <c r="K1081" s="22"/>
      <c r="L1081" s="22"/>
      <c r="M1081" s="22"/>
      <c r="N1081" s="22"/>
    </row>
    <row r="1082" spans="1:14" x14ac:dyDescent="0.3">
      <c r="A1082" s="22" t="s">
        <v>690</v>
      </c>
      <c r="B1082" s="22">
        <v>0</v>
      </c>
      <c r="C1082" s="22"/>
      <c r="D1082" s="22"/>
      <c r="E1082" s="22"/>
      <c r="F1082" s="22"/>
      <c r="G1082" s="22"/>
      <c r="H1082" s="22"/>
      <c r="I1082" s="22"/>
      <c r="J1082" s="22"/>
      <c r="K1082" s="22"/>
      <c r="L1082" s="22"/>
      <c r="M1082" s="22"/>
      <c r="N1082" s="22"/>
    </row>
    <row r="1083" spans="1:14" x14ac:dyDescent="0.3">
      <c r="A1083" s="22" t="s">
        <v>691</v>
      </c>
      <c r="B1083" s="22">
        <v>0</v>
      </c>
      <c r="C1083" s="22"/>
      <c r="D1083" s="22"/>
      <c r="E1083" s="22"/>
      <c r="F1083" s="22"/>
      <c r="G1083" s="22"/>
      <c r="H1083" s="22"/>
      <c r="I1083" s="22"/>
      <c r="J1083" s="22"/>
      <c r="K1083" s="22"/>
      <c r="L1083" s="22"/>
      <c r="M1083" s="22"/>
      <c r="N1083" s="22"/>
    </row>
    <row r="1084" spans="1:14" x14ac:dyDescent="0.3">
      <c r="A1084" s="22" t="s">
        <v>692</v>
      </c>
      <c r="B1084" s="22">
        <v>0</v>
      </c>
      <c r="C1084" s="22"/>
      <c r="D1084" s="22"/>
      <c r="E1084" s="22"/>
      <c r="F1084" s="22"/>
      <c r="G1084" s="22"/>
      <c r="H1084" s="22"/>
      <c r="I1084" s="22"/>
      <c r="J1084" s="22"/>
      <c r="K1084" s="22"/>
      <c r="L1084" s="22"/>
      <c r="M1084" s="22"/>
      <c r="N1084" s="22"/>
    </row>
    <row r="1085" spans="1:14" x14ac:dyDescent="0.3">
      <c r="A1085" s="22" t="s">
        <v>693</v>
      </c>
      <c r="B1085" s="22">
        <v>0</v>
      </c>
      <c r="C1085" s="22"/>
      <c r="D1085" s="22"/>
      <c r="E1085" s="22"/>
      <c r="F1085" s="22"/>
      <c r="G1085" s="22"/>
      <c r="H1085" s="22"/>
      <c r="I1085" s="22"/>
      <c r="J1085" s="22"/>
      <c r="K1085" s="22"/>
      <c r="L1085" s="22"/>
      <c r="M1085" s="22"/>
      <c r="N1085" s="22"/>
    </row>
    <row r="1086" spans="1:14" x14ac:dyDescent="0.3">
      <c r="A1086" s="22" t="s">
        <v>694</v>
      </c>
      <c r="B1086" s="22">
        <v>0</v>
      </c>
      <c r="C1086" s="22"/>
      <c r="D1086" s="22"/>
      <c r="E1086" s="22"/>
      <c r="F1086" s="22"/>
      <c r="G1086" s="22"/>
      <c r="H1086" s="22"/>
      <c r="I1086" s="22"/>
      <c r="J1086" s="22"/>
      <c r="K1086" s="22"/>
      <c r="L1086" s="22"/>
      <c r="M1086" s="22"/>
      <c r="N1086" s="22"/>
    </row>
    <row r="1087" spans="1:14" x14ac:dyDescent="0.3">
      <c r="A1087" s="22" t="s">
        <v>696</v>
      </c>
      <c r="B1087" s="22">
        <v>0</v>
      </c>
      <c r="C1087" s="22"/>
      <c r="D1087" s="22"/>
      <c r="E1087" s="22"/>
      <c r="F1087" s="22"/>
      <c r="G1087" s="22"/>
      <c r="H1087" s="22"/>
      <c r="I1087" s="22"/>
      <c r="J1087" s="22"/>
      <c r="K1087" s="22"/>
      <c r="L1087" s="22"/>
      <c r="M1087" s="22"/>
      <c r="N1087" s="22"/>
    </row>
    <row r="1088" spans="1:14" x14ac:dyDescent="0.3">
      <c r="A1088" s="22" t="s">
        <v>5113</v>
      </c>
      <c r="B1088" s="22">
        <v>0</v>
      </c>
      <c r="C1088" s="22"/>
      <c r="D1088" s="22"/>
      <c r="E1088" s="22"/>
      <c r="F1088" s="22"/>
      <c r="G1088" s="22"/>
      <c r="H1088" s="22"/>
      <c r="I1088" s="22"/>
      <c r="J1088" s="22"/>
      <c r="K1088" s="22"/>
      <c r="L1088" s="22"/>
      <c r="M1088" s="22"/>
      <c r="N1088" s="22"/>
    </row>
    <row r="1089" spans="1:14" x14ac:dyDescent="0.3">
      <c r="A1089" s="22" t="s">
        <v>5114</v>
      </c>
      <c r="B1089" s="22">
        <v>0</v>
      </c>
      <c r="C1089" s="22"/>
      <c r="D1089" s="22"/>
      <c r="E1089" s="22"/>
      <c r="F1089" s="22"/>
      <c r="G1089" s="22"/>
      <c r="H1089" s="22"/>
      <c r="I1089" s="22"/>
      <c r="J1089" s="22"/>
      <c r="K1089" s="22"/>
      <c r="L1089" s="22"/>
      <c r="M1089" s="22"/>
      <c r="N1089" s="22"/>
    </row>
    <row r="1090" spans="1:14" x14ac:dyDescent="0.3">
      <c r="A1090" s="22" t="s">
        <v>5115</v>
      </c>
      <c r="B1090" s="22">
        <v>0</v>
      </c>
      <c r="C1090" s="22"/>
      <c r="D1090" s="22"/>
      <c r="E1090" s="22"/>
      <c r="F1090" s="22"/>
      <c r="G1090" s="22"/>
      <c r="H1090" s="22"/>
      <c r="I1090" s="22"/>
      <c r="J1090" s="22"/>
      <c r="K1090" s="22"/>
      <c r="L1090" s="22"/>
      <c r="M1090" s="22"/>
      <c r="N1090" s="22"/>
    </row>
    <row r="1091" spans="1:14" x14ac:dyDescent="0.3">
      <c r="A1091" s="22" t="s">
        <v>5116</v>
      </c>
      <c r="B1091" s="22">
        <v>0</v>
      </c>
      <c r="C1091" s="22"/>
      <c r="D1091" s="22"/>
      <c r="E1091" s="22"/>
      <c r="F1091" s="22"/>
      <c r="G1091" s="22"/>
      <c r="H1091" s="22"/>
      <c r="I1091" s="22"/>
      <c r="J1091" s="22"/>
      <c r="K1091" s="22"/>
      <c r="L1091" s="22"/>
      <c r="M1091" s="22"/>
      <c r="N1091" s="22"/>
    </row>
    <row r="1092" spans="1:14" x14ac:dyDescent="0.3">
      <c r="A1092" s="22" t="s">
        <v>5117</v>
      </c>
      <c r="B1092" s="22">
        <v>0</v>
      </c>
      <c r="C1092" s="22"/>
      <c r="D1092" s="22"/>
      <c r="E1092" s="22"/>
      <c r="F1092" s="22"/>
      <c r="G1092" s="22"/>
      <c r="H1092" s="22"/>
      <c r="I1092" s="22"/>
      <c r="J1092" s="22"/>
      <c r="K1092" s="22"/>
      <c r="L1092" s="22"/>
      <c r="M1092" s="22"/>
      <c r="N1092" s="22"/>
    </row>
    <row r="1093" spans="1:14" x14ac:dyDescent="0.3">
      <c r="A1093" s="22" t="s">
        <v>5118</v>
      </c>
      <c r="B1093" s="22">
        <v>0</v>
      </c>
      <c r="C1093" s="22"/>
      <c r="D1093" s="22"/>
      <c r="E1093" s="22"/>
      <c r="F1093" s="22"/>
      <c r="G1093" s="22"/>
      <c r="H1093" s="22"/>
      <c r="I1093" s="22"/>
      <c r="J1093" s="22"/>
      <c r="K1093" s="22"/>
      <c r="L1093" s="22"/>
      <c r="M1093" s="22"/>
      <c r="N1093" s="22"/>
    </row>
    <row r="1094" spans="1:14" x14ac:dyDescent="0.3">
      <c r="A1094" s="22" t="s">
        <v>5119</v>
      </c>
      <c r="B1094" s="22">
        <v>0</v>
      </c>
      <c r="C1094" s="22"/>
      <c r="D1094" s="22"/>
      <c r="E1094" s="22"/>
      <c r="F1094" s="22"/>
      <c r="G1094" s="22"/>
      <c r="H1094" s="22"/>
      <c r="I1094" s="22"/>
      <c r="J1094" s="22"/>
      <c r="K1094" s="22"/>
      <c r="L1094" s="22"/>
      <c r="M1094" s="22"/>
      <c r="N1094" s="22"/>
    </row>
    <row r="1095" spans="1:14" x14ac:dyDescent="0.3">
      <c r="A1095" s="22" t="s">
        <v>698</v>
      </c>
      <c r="B1095" s="22">
        <v>47</v>
      </c>
      <c r="C1095" s="22"/>
      <c r="D1095" s="22"/>
      <c r="E1095" s="22"/>
      <c r="F1095" s="22"/>
      <c r="G1095" s="22"/>
      <c r="H1095" s="22"/>
      <c r="I1095" s="22"/>
      <c r="J1095" s="22"/>
      <c r="K1095" s="22"/>
      <c r="L1095" s="22"/>
      <c r="M1095" s="22"/>
      <c r="N1095" s="22"/>
    </row>
    <row r="1096" spans="1:14" x14ac:dyDescent="0.3">
      <c r="A1096" s="22" t="s">
        <v>699</v>
      </c>
      <c r="B1096" s="22">
        <v>0</v>
      </c>
      <c r="C1096" s="22"/>
      <c r="D1096" s="22"/>
      <c r="E1096" s="22"/>
      <c r="F1096" s="22"/>
      <c r="G1096" s="22"/>
      <c r="H1096" s="22"/>
      <c r="I1096" s="22"/>
      <c r="J1096" s="22"/>
      <c r="K1096" s="22"/>
      <c r="L1096" s="22"/>
      <c r="M1096" s="22"/>
      <c r="N1096" s="22"/>
    </row>
    <row r="1097" spans="1:14" x14ac:dyDescent="0.3">
      <c r="A1097" s="22" t="s">
        <v>700</v>
      </c>
      <c r="B1097" s="22">
        <v>0</v>
      </c>
      <c r="C1097" s="22"/>
      <c r="D1097" s="22"/>
      <c r="E1097" s="22"/>
      <c r="F1097" s="22"/>
      <c r="G1097" s="22"/>
      <c r="H1097" s="22"/>
      <c r="I1097" s="22"/>
      <c r="J1097" s="22"/>
      <c r="K1097" s="22"/>
      <c r="L1097" s="22"/>
      <c r="M1097" s="22"/>
      <c r="N1097" s="22"/>
    </row>
    <row r="1098" spans="1:14" x14ac:dyDescent="0.3">
      <c r="A1098" s="22" t="s">
        <v>701</v>
      </c>
      <c r="B1098" s="22">
        <v>0</v>
      </c>
      <c r="C1098" s="22"/>
      <c r="D1098" s="22"/>
      <c r="E1098" s="22"/>
      <c r="F1098" s="22"/>
      <c r="G1098" s="22"/>
      <c r="H1098" s="22"/>
      <c r="I1098" s="22"/>
      <c r="J1098" s="22"/>
      <c r="K1098" s="22"/>
      <c r="L1098" s="22"/>
      <c r="M1098" s="22"/>
      <c r="N1098" s="22"/>
    </row>
    <row r="1099" spans="1:14" x14ac:dyDescent="0.3">
      <c r="A1099" s="22" t="s">
        <v>702</v>
      </c>
      <c r="B1099" s="22">
        <v>0</v>
      </c>
      <c r="C1099" s="22"/>
      <c r="D1099" s="22"/>
      <c r="E1099" s="22"/>
      <c r="F1099" s="22"/>
      <c r="G1099" s="22"/>
      <c r="H1099" s="22"/>
      <c r="I1099" s="22"/>
      <c r="J1099" s="22"/>
      <c r="K1099" s="22"/>
      <c r="L1099" s="22"/>
      <c r="M1099" s="22"/>
      <c r="N1099" s="22"/>
    </row>
    <row r="1100" spans="1:14" x14ac:dyDescent="0.3">
      <c r="A1100" s="22" t="s">
        <v>703</v>
      </c>
      <c r="B1100" s="22">
        <v>0</v>
      </c>
      <c r="C1100" s="22"/>
      <c r="D1100" s="22"/>
      <c r="E1100" s="22"/>
      <c r="F1100" s="22"/>
      <c r="G1100" s="22"/>
      <c r="H1100" s="22"/>
      <c r="I1100" s="22"/>
      <c r="J1100" s="22"/>
      <c r="K1100" s="22"/>
      <c r="L1100" s="22"/>
      <c r="M1100" s="22"/>
      <c r="N1100" s="22"/>
    </row>
    <row r="1101" spans="1:14" x14ac:dyDescent="0.3">
      <c r="A1101" s="22" t="s">
        <v>704</v>
      </c>
      <c r="B1101" s="22">
        <v>0</v>
      </c>
      <c r="C1101" s="22"/>
      <c r="D1101" s="22"/>
      <c r="E1101" s="22"/>
      <c r="F1101" s="22"/>
      <c r="G1101" s="22"/>
      <c r="H1101" s="22"/>
      <c r="I1101" s="22"/>
      <c r="J1101" s="22"/>
      <c r="K1101" s="22"/>
      <c r="L1101" s="22"/>
      <c r="M1101" s="22"/>
      <c r="N1101" s="22"/>
    </row>
    <row r="1102" spans="1:14" x14ac:dyDescent="0.3">
      <c r="A1102" s="22" t="s">
        <v>705</v>
      </c>
      <c r="B1102" s="22">
        <v>0</v>
      </c>
      <c r="C1102" s="22"/>
      <c r="D1102" s="22"/>
      <c r="E1102" s="22"/>
      <c r="F1102" s="22"/>
      <c r="G1102" s="22"/>
      <c r="H1102" s="22"/>
      <c r="I1102" s="22"/>
      <c r="J1102" s="22"/>
      <c r="K1102" s="22"/>
      <c r="L1102" s="22"/>
      <c r="M1102" s="22"/>
      <c r="N1102" s="22"/>
    </row>
    <row r="1103" spans="1:14" x14ac:dyDescent="0.3">
      <c r="A1103" s="22" t="s">
        <v>707</v>
      </c>
      <c r="B1103" s="22">
        <v>0</v>
      </c>
      <c r="C1103" s="22"/>
      <c r="D1103" s="22"/>
      <c r="E1103" s="22"/>
      <c r="F1103" s="22"/>
      <c r="G1103" s="22"/>
      <c r="H1103" s="22"/>
      <c r="I1103" s="22"/>
      <c r="J1103" s="22"/>
      <c r="K1103" s="22"/>
      <c r="L1103" s="22"/>
      <c r="M1103" s="22"/>
      <c r="N1103" s="22"/>
    </row>
    <row r="1104" spans="1:14" x14ac:dyDescent="0.3">
      <c r="A1104" s="22" t="s">
        <v>708</v>
      </c>
      <c r="B1104" s="22">
        <v>0</v>
      </c>
      <c r="C1104" s="22"/>
      <c r="D1104" s="22"/>
      <c r="E1104" s="22"/>
      <c r="F1104" s="22"/>
      <c r="G1104" s="22"/>
      <c r="H1104" s="22"/>
      <c r="I1104" s="22"/>
      <c r="J1104" s="22"/>
      <c r="K1104" s="22"/>
      <c r="L1104" s="22"/>
      <c r="M1104" s="22"/>
      <c r="N1104" s="22"/>
    </row>
    <row r="1105" spans="1:14" x14ac:dyDescent="0.3">
      <c r="A1105" s="22" t="s">
        <v>709</v>
      </c>
      <c r="B1105" s="22">
        <v>0</v>
      </c>
      <c r="C1105" s="22"/>
      <c r="D1105" s="22"/>
      <c r="E1105" s="22"/>
      <c r="F1105" s="22"/>
      <c r="G1105" s="22"/>
      <c r="H1105" s="22"/>
      <c r="I1105" s="22"/>
      <c r="J1105" s="22"/>
      <c r="K1105" s="22"/>
      <c r="L1105" s="22"/>
      <c r="M1105" s="22"/>
      <c r="N1105" s="22"/>
    </row>
    <row r="1106" spans="1:14" x14ac:dyDescent="0.3">
      <c r="A1106" s="22" t="s">
        <v>710</v>
      </c>
      <c r="B1106" s="22">
        <v>0</v>
      </c>
      <c r="C1106" s="22"/>
      <c r="D1106" s="22"/>
      <c r="E1106" s="22"/>
      <c r="F1106" s="22"/>
      <c r="G1106" s="22"/>
      <c r="H1106" s="22"/>
      <c r="I1106" s="22"/>
      <c r="J1106" s="22"/>
      <c r="K1106" s="22"/>
      <c r="L1106" s="22"/>
      <c r="M1106" s="22"/>
      <c r="N1106" s="22"/>
    </row>
    <row r="1107" spans="1:14" x14ac:dyDescent="0.3">
      <c r="A1107" s="22" t="s">
        <v>711</v>
      </c>
      <c r="B1107" s="22">
        <v>0</v>
      </c>
      <c r="C1107" s="22"/>
      <c r="D1107" s="22"/>
      <c r="E1107" s="22"/>
      <c r="F1107" s="22"/>
      <c r="G1107" s="22"/>
      <c r="H1107" s="22"/>
      <c r="I1107" s="22"/>
      <c r="J1107" s="22"/>
      <c r="K1107" s="22"/>
      <c r="L1107" s="22"/>
      <c r="M1107" s="22"/>
      <c r="N1107" s="22"/>
    </row>
    <row r="1108" spans="1:14" x14ac:dyDescent="0.3">
      <c r="A1108" s="22" t="s">
        <v>712</v>
      </c>
      <c r="B1108" s="22">
        <v>0</v>
      </c>
      <c r="C1108" s="22"/>
      <c r="D1108" s="22"/>
      <c r="E1108" s="22"/>
      <c r="F1108" s="22"/>
      <c r="G1108" s="22"/>
      <c r="H1108" s="22"/>
      <c r="I1108" s="22"/>
      <c r="J1108" s="22"/>
      <c r="K1108" s="22"/>
      <c r="L1108" s="22"/>
      <c r="M1108" s="22"/>
      <c r="N1108" s="22"/>
    </row>
    <row r="1109" spans="1:14" x14ac:dyDescent="0.3">
      <c r="A1109" s="22" t="s">
        <v>713</v>
      </c>
      <c r="B1109" s="22">
        <v>0</v>
      </c>
      <c r="C1109" s="22"/>
      <c r="D1109" s="22"/>
      <c r="E1109" s="22"/>
      <c r="F1109" s="22"/>
      <c r="G1109" s="22"/>
      <c r="H1109" s="22"/>
      <c r="I1109" s="22"/>
      <c r="J1109" s="22"/>
      <c r="K1109" s="22"/>
      <c r="L1109" s="22"/>
      <c r="M1109" s="22"/>
      <c r="N1109" s="22"/>
    </row>
    <row r="1110" spans="1:14" x14ac:dyDescent="0.3">
      <c r="A1110" s="22" t="s">
        <v>714</v>
      </c>
      <c r="B1110" s="22">
        <v>0</v>
      </c>
      <c r="C1110" s="22"/>
      <c r="D1110" s="22"/>
      <c r="E1110" s="22"/>
      <c r="F1110" s="22"/>
      <c r="G1110" s="22"/>
      <c r="H1110" s="22"/>
      <c r="I1110" s="22"/>
      <c r="J1110" s="22"/>
      <c r="K1110" s="22"/>
      <c r="L1110" s="22"/>
      <c r="M1110" s="22"/>
      <c r="N1110" s="22"/>
    </row>
    <row r="1111" spans="1:14" x14ac:dyDescent="0.3">
      <c r="A1111" s="22" t="s">
        <v>717</v>
      </c>
      <c r="B1111" s="22">
        <v>2</v>
      </c>
      <c r="C1111" s="22"/>
      <c r="D1111" s="22"/>
      <c r="E1111" s="22"/>
      <c r="F1111" s="22"/>
      <c r="G1111" s="22"/>
      <c r="H1111" s="22"/>
      <c r="I1111" s="22"/>
      <c r="J1111" s="22"/>
      <c r="K1111" s="22"/>
      <c r="L1111" s="22"/>
      <c r="M1111" s="22"/>
      <c r="N1111" s="22"/>
    </row>
    <row r="1112" spans="1:14" x14ac:dyDescent="0.3">
      <c r="A1112" s="22" t="s">
        <v>718</v>
      </c>
      <c r="B1112" s="22">
        <v>0</v>
      </c>
      <c r="C1112" s="22"/>
      <c r="D1112" s="22"/>
      <c r="E1112" s="22"/>
      <c r="F1112" s="22"/>
      <c r="G1112" s="22"/>
      <c r="H1112" s="22"/>
      <c r="I1112" s="22"/>
      <c r="J1112" s="22"/>
      <c r="K1112" s="22"/>
      <c r="L1112" s="22"/>
      <c r="M1112" s="22"/>
      <c r="N1112" s="22"/>
    </row>
    <row r="1113" spans="1:14" x14ac:dyDescent="0.3">
      <c r="A1113" s="22" t="s">
        <v>719</v>
      </c>
      <c r="B1113" s="22">
        <v>0</v>
      </c>
      <c r="C1113" s="22"/>
      <c r="D1113" s="22"/>
      <c r="E1113" s="22"/>
      <c r="F1113" s="22"/>
      <c r="G1113" s="22"/>
      <c r="H1113" s="22"/>
      <c r="I1113" s="22"/>
      <c r="J1113" s="22"/>
      <c r="K1113" s="22"/>
      <c r="L1113" s="22"/>
      <c r="M1113" s="22"/>
      <c r="N1113" s="22"/>
    </row>
    <row r="1114" spans="1:14" x14ac:dyDescent="0.3">
      <c r="A1114" s="22" t="s">
        <v>720</v>
      </c>
      <c r="B1114" s="22">
        <v>0</v>
      </c>
      <c r="C1114" s="22"/>
      <c r="D1114" s="22"/>
      <c r="E1114" s="22"/>
      <c r="F1114" s="22"/>
      <c r="G1114" s="22"/>
      <c r="H1114" s="22"/>
      <c r="I1114" s="22"/>
      <c r="J1114" s="22"/>
      <c r="K1114" s="22"/>
      <c r="L1114" s="22"/>
      <c r="M1114" s="22"/>
      <c r="N1114" s="22"/>
    </row>
    <row r="1115" spans="1:14" x14ac:dyDescent="0.3">
      <c r="A1115" s="22" t="s">
        <v>721</v>
      </c>
      <c r="B1115" s="22">
        <v>0</v>
      </c>
      <c r="C1115" s="22"/>
      <c r="D1115" s="22"/>
      <c r="E1115" s="22"/>
      <c r="F1115" s="22"/>
      <c r="G1115" s="22"/>
      <c r="H1115" s="22"/>
      <c r="I1115" s="22"/>
      <c r="J1115" s="22"/>
      <c r="K1115" s="22"/>
      <c r="L1115" s="22"/>
      <c r="M1115" s="22"/>
      <c r="N1115" s="22"/>
    </row>
    <row r="1116" spans="1:14" x14ac:dyDescent="0.3">
      <c r="A1116" s="22" t="s">
        <v>722</v>
      </c>
      <c r="B1116" s="22">
        <v>0</v>
      </c>
      <c r="C1116" s="22"/>
      <c r="D1116" s="22"/>
      <c r="E1116" s="22"/>
      <c r="F1116" s="22"/>
      <c r="G1116" s="22"/>
      <c r="H1116" s="22"/>
      <c r="I1116" s="22"/>
      <c r="J1116" s="22"/>
      <c r="K1116" s="22"/>
      <c r="L1116" s="22"/>
      <c r="M1116" s="22"/>
      <c r="N1116" s="22"/>
    </row>
    <row r="1117" spans="1:14" x14ac:dyDescent="0.3">
      <c r="A1117" s="22" t="s">
        <v>723</v>
      </c>
      <c r="B1117" s="22">
        <v>0</v>
      </c>
      <c r="C1117" s="22"/>
      <c r="D1117" s="22"/>
      <c r="E1117" s="22"/>
      <c r="F1117" s="22"/>
      <c r="G1117" s="22"/>
      <c r="H1117" s="22"/>
      <c r="I1117" s="22"/>
      <c r="J1117" s="22"/>
      <c r="K1117" s="22"/>
      <c r="L1117" s="22"/>
      <c r="M1117" s="22"/>
      <c r="N1117" s="22"/>
    </row>
    <row r="1118" spans="1:14" x14ac:dyDescent="0.3">
      <c r="A1118" s="22" t="s">
        <v>724</v>
      </c>
      <c r="B1118" s="22">
        <v>0</v>
      </c>
      <c r="C1118" s="22"/>
      <c r="D1118" s="22"/>
      <c r="E1118" s="22"/>
      <c r="F1118" s="22"/>
      <c r="G1118" s="22"/>
      <c r="H1118" s="22"/>
      <c r="I1118" s="22"/>
      <c r="J1118" s="22"/>
      <c r="K1118" s="22"/>
      <c r="L1118" s="22"/>
      <c r="M1118" s="22"/>
      <c r="N1118" s="22"/>
    </row>
    <row r="1119" spans="1:14" x14ac:dyDescent="0.3">
      <c r="A1119" s="22" t="s">
        <v>728</v>
      </c>
      <c r="B1119" s="22">
        <v>7</v>
      </c>
      <c r="C1119" s="22"/>
      <c r="D1119" s="22"/>
      <c r="E1119" s="22"/>
      <c r="F1119" s="22"/>
      <c r="G1119" s="22"/>
      <c r="H1119" s="22"/>
      <c r="I1119" s="22"/>
      <c r="J1119" s="22"/>
      <c r="K1119" s="22"/>
      <c r="L1119" s="22"/>
      <c r="M1119" s="22"/>
      <c r="N1119" s="22"/>
    </row>
    <row r="1120" spans="1:14" x14ac:dyDescent="0.3">
      <c r="A1120" s="22" t="s">
        <v>5120</v>
      </c>
      <c r="B1120" s="22">
        <v>0</v>
      </c>
      <c r="C1120" s="22"/>
      <c r="D1120" s="22"/>
      <c r="E1120" s="22"/>
      <c r="F1120" s="22"/>
      <c r="G1120" s="22"/>
      <c r="H1120" s="22"/>
      <c r="I1120" s="22"/>
      <c r="J1120" s="22"/>
      <c r="K1120" s="22"/>
      <c r="L1120" s="22"/>
      <c r="M1120" s="22"/>
      <c r="N1120" s="22"/>
    </row>
    <row r="1121" spans="1:14" x14ac:dyDescent="0.3">
      <c r="A1121" s="22" t="s">
        <v>5121</v>
      </c>
      <c r="B1121" s="22">
        <v>0</v>
      </c>
      <c r="C1121" s="22"/>
      <c r="D1121" s="22"/>
      <c r="E1121" s="22"/>
      <c r="F1121" s="22"/>
      <c r="G1121" s="22"/>
      <c r="H1121" s="22"/>
      <c r="I1121" s="22"/>
      <c r="J1121" s="22"/>
      <c r="K1121" s="22"/>
      <c r="L1121" s="22"/>
      <c r="M1121" s="22"/>
      <c r="N1121" s="22"/>
    </row>
    <row r="1122" spans="1:14" x14ac:dyDescent="0.3">
      <c r="A1122" s="22" t="s">
        <v>5122</v>
      </c>
      <c r="B1122" s="22">
        <v>0</v>
      </c>
      <c r="C1122" s="22"/>
      <c r="D1122" s="22"/>
      <c r="E1122" s="22"/>
      <c r="F1122" s="22"/>
      <c r="G1122" s="22"/>
      <c r="H1122" s="22"/>
      <c r="I1122" s="22"/>
      <c r="J1122" s="22"/>
      <c r="K1122" s="22"/>
      <c r="L1122" s="22"/>
      <c r="M1122" s="22"/>
      <c r="N1122" s="22"/>
    </row>
    <row r="1123" spans="1:14" x14ac:dyDescent="0.3">
      <c r="A1123" s="22" t="s">
        <v>5123</v>
      </c>
      <c r="B1123" s="22">
        <v>0</v>
      </c>
      <c r="C1123" s="22"/>
      <c r="D1123" s="22"/>
      <c r="E1123" s="22"/>
      <c r="F1123" s="22"/>
      <c r="G1123" s="22"/>
      <c r="H1123" s="22"/>
      <c r="I1123" s="22"/>
      <c r="J1123" s="22"/>
      <c r="K1123" s="22"/>
      <c r="L1123" s="22"/>
      <c r="M1123" s="22"/>
      <c r="N1123" s="22"/>
    </row>
    <row r="1124" spans="1:14" x14ac:dyDescent="0.3">
      <c r="A1124" s="22" t="s">
        <v>5124</v>
      </c>
      <c r="B1124" s="22">
        <v>0</v>
      </c>
      <c r="C1124" s="22"/>
      <c r="D1124" s="22"/>
      <c r="E1124" s="22"/>
      <c r="F1124" s="22"/>
      <c r="G1124" s="22"/>
      <c r="H1124" s="22"/>
      <c r="I1124" s="22"/>
      <c r="J1124" s="22"/>
      <c r="K1124" s="22"/>
      <c r="L1124" s="22"/>
      <c r="M1124" s="22"/>
      <c r="N1124" s="22"/>
    </row>
    <row r="1125" spans="1:14" x14ac:dyDescent="0.3">
      <c r="A1125" s="22" t="s">
        <v>5125</v>
      </c>
      <c r="B1125" s="22">
        <v>0</v>
      </c>
      <c r="C1125" s="22"/>
      <c r="D1125" s="22"/>
      <c r="E1125" s="22"/>
      <c r="F1125" s="22"/>
      <c r="G1125" s="22"/>
      <c r="H1125" s="22"/>
      <c r="I1125" s="22"/>
      <c r="J1125" s="22"/>
      <c r="K1125" s="22"/>
      <c r="L1125" s="22"/>
      <c r="M1125" s="22"/>
      <c r="N1125" s="22"/>
    </row>
    <row r="1126" spans="1:14" x14ac:dyDescent="0.3">
      <c r="A1126" s="22" t="s">
        <v>5126</v>
      </c>
      <c r="B1126" s="22">
        <v>0</v>
      </c>
      <c r="C1126" s="22"/>
      <c r="D1126" s="22"/>
      <c r="E1126" s="22"/>
      <c r="F1126" s="22"/>
      <c r="G1126" s="22"/>
      <c r="H1126" s="22"/>
      <c r="I1126" s="22"/>
      <c r="J1126" s="22"/>
      <c r="K1126" s="22"/>
      <c r="L1126" s="22"/>
      <c r="M1126" s="22"/>
      <c r="N1126" s="22"/>
    </row>
    <row r="1127" spans="1:14" x14ac:dyDescent="0.3">
      <c r="A1127" s="22" t="s">
        <v>729</v>
      </c>
      <c r="B1127" s="22">
        <v>99</v>
      </c>
      <c r="C1127" s="22"/>
      <c r="D1127" s="22"/>
      <c r="E1127" s="22"/>
      <c r="F1127" s="22"/>
      <c r="G1127" s="22"/>
      <c r="H1127" s="22"/>
      <c r="I1127" s="22"/>
      <c r="J1127" s="22"/>
      <c r="K1127" s="22"/>
      <c r="L1127" s="22"/>
      <c r="M1127" s="22"/>
      <c r="N1127" s="22"/>
    </row>
    <row r="1128" spans="1:14" x14ac:dyDescent="0.3">
      <c r="A1128" s="22" t="s">
        <v>730</v>
      </c>
      <c r="B1128" s="22">
        <v>23</v>
      </c>
      <c r="C1128" s="22"/>
      <c r="D1128" s="22"/>
      <c r="E1128" s="22"/>
      <c r="F1128" s="22"/>
      <c r="G1128" s="22"/>
      <c r="H1128" s="22"/>
      <c r="I1128" s="22"/>
      <c r="J1128" s="22"/>
      <c r="K1128" s="22"/>
      <c r="L1128" s="22"/>
      <c r="M1128" s="22"/>
      <c r="N1128" s="22"/>
    </row>
    <row r="1129" spans="1:14" x14ac:dyDescent="0.3">
      <c r="A1129" s="22" t="s">
        <v>731</v>
      </c>
      <c r="B1129" s="22">
        <v>0</v>
      </c>
      <c r="C1129" s="22"/>
      <c r="D1129" s="22"/>
      <c r="E1129" s="22"/>
      <c r="F1129" s="22"/>
      <c r="G1129" s="22"/>
      <c r="H1129" s="22"/>
      <c r="I1129" s="22"/>
      <c r="J1129" s="22"/>
      <c r="K1129" s="22"/>
      <c r="L1129" s="22"/>
      <c r="M1129" s="22"/>
      <c r="N1129" s="22"/>
    </row>
    <row r="1130" spans="1:14" x14ac:dyDescent="0.3">
      <c r="A1130" s="22" t="s">
        <v>732</v>
      </c>
      <c r="B1130" s="22">
        <v>0</v>
      </c>
      <c r="C1130" s="22"/>
      <c r="D1130" s="22"/>
      <c r="E1130" s="22"/>
      <c r="F1130" s="22"/>
      <c r="G1130" s="22"/>
      <c r="H1130" s="22"/>
      <c r="I1130" s="22"/>
      <c r="J1130" s="22"/>
      <c r="K1130" s="22"/>
      <c r="L1130" s="22"/>
      <c r="M1130" s="22"/>
      <c r="N1130" s="22"/>
    </row>
    <row r="1131" spans="1:14" x14ac:dyDescent="0.3">
      <c r="A1131" s="22" t="s">
        <v>733</v>
      </c>
      <c r="B1131" s="22">
        <v>0</v>
      </c>
      <c r="C1131" s="22"/>
      <c r="D1131" s="22"/>
      <c r="E1131" s="22"/>
      <c r="F1131" s="22"/>
      <c r="G1131" s="22"/>
      <c r="H1131" s="22"/>
      <c r="I1131" s="22"/>
      <c r="J1131" s="22"/>
      <c r="K1131" s="22"/>
      <c r="L1131" s="22"/>
      <c r="M1131" s="22"/>
      <c r="N1131" s="22"/>
    </row>
    <row r="1132" spans="1:14" x14ac:dyDescent="0.3">
      <c r="A1132" s="22" t="s">
        <v>734</v>
      </c>
      <c r="B1132" s="22">
        <v>0</v>
      </c>
      <c r="C1132" s="22"/>
      <c r="D1132" s="22"/>
      <c r="E1132" s="22"/>
      <c r="F1132" s="22"/>
      <c r="G1132" s="22"/>
      <c r="H1132" s="22"/>
      <c r="I1132" s="22"/>
      <c r="J1132" s="22"/>
      <c r="K1132" s="22"/>
      <c r="L1132" s="22"/>
      <c r="M1132" s="22"/>
      <c r="N1132" s="22"/>
    </row>
    <row r="1133" spans="1:14" x14ac:dyDescent="0.3">
      <c r="A1133" s="22" t="s">
        <v>735</v>
      </c>
      <c r="B1133" s="22">
        <v>0</v>
      </c>
      <c r="C1133" s="22"/>
      <c r="D1133" s="22"/>
      <c r="E1133" s="22"/>
      <c r="F1133" s="22"/>
      <c r="G1133" s="22"/>
      <c r="H1133" s="22"/>
      <c r="I1133" s="22"/>
      <c r="J1133" s="22"/>
      <c r="K1133" s="22"/>
      <c r="L1133" s="22"/>
      <c r="M1133" s="22"/>
      <c r="N1133" s="22"/>
    </row>
    <row r="1134" spans="1:14" x14ac:dyDescent="0.3">
      <c r="A1134" s="22" t="s">
        <v>736</v>
      </c>
      <c r="B1134" s="22">
        <v>0</v>
      </c>
      <c r="C1134" s="22"/>
      <c r="D1134" s="22"/>
      <c r="E1134" s="22"/>
      <c r="F1134" s="22"/>
      <c r="G1134" s="22"/>
      <c r="H1134" s="22"/>
      <c r="I1134" s="22"/>
      <c r="J1134" s="22"/>
      <c r="K1134" s="22"/>
      <c r="L1134" s="22"/>
      <c r="M1134" s="22"/>
      <c r="N1134" s="22"/>
    </row>
    <row r="1135" spans="1:14" x14ac:dyDescent="0.3">
      <c r="A1135" s="22" t="s">
        <v>737</v>
      </c>
      <c r="B1135" s="22">
        <v>276</v>
      </c>
      <c r="C1135" s="22"/>
      <c r="D1135" s="22"/>
      <c r="E1135" s="22"/>
      <c r="F1135" s="22"/>
      <c r="G1135" s="22"/>
      <c r="H1135" s="22"/>
      <c r="I1135" s="22"/>
      <c r="J1135" s="22"/>
      <c r="K1135" s="22"/>
      <c r="L1135" s="22"/>
      <c r="M1135" s="22"/>
      <c r="N1135" s="22"/>
    </row>
    <row r="1136" spans="1:14" x14ac:dyDescent="0.3">
      <c r="A1136" s="22" t="s">
        <v>738</v>
      </c>
      <c r="B1136" s="22">
        <v>69</v>
      </c>
      <c r="C1136" s="22"/>
      <c r="D1136" s="22"/>
      <c r="E1136" s="22"/>
      <c r="F1136" s="22"/>
      <c r="G1136" s="22"/>
      <c r="H1136" s="22"/>
      <c r="I1136" s="22"/>
      <c r="J1136" s="22"/>
      <c r="K1136" s="22"/>
      <c r="L1136" s="22"/>
      <c r="M1136" s="22"/>
      <c r="N1136" s="22"/>
    </row>
    <row r="1137" spans="1:14" x14ac:dyDescent="0.3">
      <c r="A1137" s="22" t="s">
        <v>739</v>
      </c>
      <c r="B1137" s="22">
        <v>32</v>
      </c>
      <c r="C1137" s="22"/>
      <c r="D1137" s="22"/>
      <c r="E1137" s="22"/>
      <c r="F1137" s="22"/>
      <c r="G1137" s="22"/>
      <c r="H1137" s="22"/>
      <c r="I1137" s="22"/>
      <c r="J1137" s="22"/>
      <c r="K1137" s="22"/>
      <c r="L1137" s="22"/>
      <c r="M1137" s="22"/>
      <c r="N1137" s="22"/>
    </row>
    <row r="1138" spans="1:14" x14ac:dyDescent="0.3">
      <c r="A1138" s="22" t="s">
        <v>740</v>
      </c>
      <c r="B1138" s="22">
        <v>0</v>
      </c>
      <c r="C1138" s="22"/>
      <c r="D1138" s="22"/>
      <c r="E1138" s="22"/>
      <c r="F1138" s="22"/>
      <c r="G1138" s="22"/>
      <c r="H1138" s="22"/>
      <c r="I1138" s="22"/>
      <c r="J1138" s="22"/>
      <c r="K1138" s="22"/>
      <c r="L1138" s="22"/>
      <c r="M1138" s="22"/>
      <c r="N1138" s="22"/>
    </row>
    <row r="1139" spans="1:14" x14ac:dyDescent="0.3">
      <c r="A1139" s="22" t="s">
        <v>741</v>
      </c>
      <c r="B1139" s="22">
        <v>0</v>
      </c>
      <c r="C1139" s="22"/>
      <c r="D1139" s="22"/>
      <c r="E1139" s="22"/>
      <c r="F1139" s="22"/>
      <c r="G1139" s="22"/>
      <c r="H1139" s="22"/>
      <c r="I1139" s="22"/>
      <c r="J1139" s="22"/>
      <c r="K1139" s="22"/>
      <c r="L1139" s="22"/>
      <c r="M1139" s="22"/>
      <c r="N1139" s="22"/>
    </row>
    <row r="1140" spans="1:14" x14ac:dyDescent="0.3">
      <c r="A1140" s="22" t="s">
        <v>742</v>
      </c>
      <c r="B1140" s="22">
        <v>0</v>
      </c>
      <c r="C1140" s="22"/>
      <c r="D1140" s="22"/>
      <c r="E1140" s="22"/>
      <c r="F1140" s="22"/>
      <c r="G1140" s="22"/>
      <c r="H1140" s="22"/>
      <c r="I1140" s="22"/>
      <c r="J1140" s="22"/>
      <c r="K1140" s="22"/>
      <c r="L1140" s="22"/>
      <c r="M1140" s="22"/>
      <c r="N1140" s="22"/>
    </row>
    <row r="1141" spans="1:14" x14ac:dyDescent="0.3">
      <c r="A1141" s="22" t="s">
        <v>743</v>
      </c>
      <c r="B1141" s="22">
        <v>0</v>
      </c>
      <c r="C1141" s="22"/>
      <c r="D1141" s="22"/>
      <c r="E1141" s="22"/>
      <c r="F1141" s="22"/>
      <c r="G1141" s="22"/>
      <c r="H1141" s="22"/>
      <c r="I1141" s="22"/>
      <c r="J1141" s="22"/>
      <c r="K1141" s="22"/>
      <c r="L1141" s="22"/>
      <c r="M1141" s="22"/>
      <c r="N1141" s="22"/>
    </row>
    <row r="1142" spans="1:14" x14ac:dyDescent="0.3">
      <c r="A1142" s="22" t="s">
        <v>744</v>
      </c>
      <c r="B1142" s="22">
        <v>0</v>
      </c>
      <c r="C1142" s="22"/>
      <c r="D1142" s="22"/>
      <c r="E1142" s="22"/>
      <c r="F1142" s="22"/>
      <c r="G1142" s="22"/>
      <c r="H1142" s="22"/>
      <c r="I1142" s="22"/>
      <c r="J1142" s="22"/>
      <c r="K1142" s="22"/>
      <c r="L1142" s="22"/>
      <c r="M1142" s="22"/>
      <c r="N1142" s="22"/>
    </row>
    <row r="1143" spans="1:14" x14ac:dyDescent="0.3">
      <c r="A1143" s="22" t="s">
        <v>745</v>
      </c>
      <c r="B1143" s="22">
        <v>0</v>
      </c>
      <c r="C1143" s="22"/>
      <c r="D1143" s="22"/>
      <c r="E1143" s="22"/>
      <c r="F1143" s="22"/>
      <c r="G1143" s="22"/>
      <c r="H1143" s="22"/>
      <c r="I1143" s="22"/>
      <c r="J1143" s="22"/>
      <c r="K1143" s="22"/>
      <c r="L1143" s="22"/>
      <c r="M1143" s="22"/>
      <c r="N1143" s="22"/>
    </row>
    <row r="1144" spans="1:14" x14ac:dyDescent="0.3">
      <c r="A1144" s="22" t="s">
        <v>746</v>
      </c>
      <c r="B1144" s="22">
        <v>0</v>
      </c>
      <c r="C1144" s="22"/>
      <c r="D1144" s="22"/>
      <c r="E1144" s="22"/>
      <c r="F1144" s="22"/>
      <c r="G1144" s="22"/>
      <c r="H1144" s="22"/>
      <c r="I1144" s="22"/>
      <c r="J1144" s="22"/>
      <c r="K1144" s="22"/>
      <c r="L1144" s="22"/>
      <c r="M1144" s="22"/>
      <c r="N1144" s="22"/>
    </row>
    <row r="1145" spans="1:14" x14ac:dyDescent="0.3">
      <c r="A1145" s="22" t="s">
        <v>747</v>
      </c>
      <c r="B1145" s="22">
        <v>0</v>
      </c>
      <c r="C1145" s="22"/>
      <c r="D1145" s="22"/>
      <c r="E1145" s="22"/>
      <c r="F1145" s="22"/>
      <c r="G1145" s="22"/>
      <c r="H1145" s="22"/>
      <c r="I1145" s="22"/>
      <c r="J1145" s="22"/>
      <c r="K1145" s="22"/>
      <c r="L1145" s="22"/>
      <c r="M1145" s="22"/>
      <c r="N1145" s="22"/>
    </row>
    <row r="1146" spans="1:14" x14ac:dyDescent="0.3">
      <c r="A1146" s="22" t="s">
        <v>748</v>
      </c>
      <c r="B1146" s="22">
        <v>0</v>
      </c>
      <c r="C1146" s="22"/>
      <c r="D1146" s="22"/>
      <c r="E1146" s="22"/>
      <c r="F1146" s="22"/>
      <c r="G1146" s="22"/>
      <c r="H1146" s="22"/>
      <c r="I1146" s="22"/>
      <c r="J1146" s="22"/>
      <c r="K1146" s="22"/>
      <c r="L1146" s="22"/>
      <c r="M1146" s="22"/>
      <c r="N1146" s="22"/>
    </row>
    <row r="1147" spans="1:14" x14ac:dyDescent="0.3">
      <c r="A1147" s="22" t="s">
        <v>749</v>
      </c>
      <c r="B1147" s="22">
        <v>0</v>
      </c>
      <c r="C1147" s="22"/>
      <c r="D1147" s="22"/>
      <c r="E1147" s="22"/>
      <c r="F1147" s="22"/>
      <c r="G1147" s="22"/>
      <c r="H1147" s="22"/>
      <c r="I1147" s="22"/>
      <c r="J1147" s="22"/>
      <c r="K1147" s="22"/>
      <c r="L1147" s="22"/>
      <c r="M1147" s="22"/>
      <c r="N1147" s="22"/>
    </row>
    <row r="1148" spans="1:14" x14ac:dyDescent="0.3">
      <c r="A1148" s="22" t="s">
        <v>750</v>
      </c>
      <c r="B1148" s="22">
        <v>0</v>
      </c>
      <c r="C1148" s="22"/>
      <c r="D1148" s="22"/>
      <c r="E1148" s="22"/>
      <c r="F1148" s="22"/>
      <c r="G1148" s="22"/>
      <c r="H1148" s="22"/>
      <c r="I1148" s="22"/>
      <c r="J1148" s="22"/>
      <c r="K1148" s="22"/>
      <c r="L1148" s="22"/>
      <c r="M1148" s="22"/>
      <c r="N1148" s="22"/>
    </row>
    <row r="1149" spans="1:14" x14ac:dyDescent="0.3">
      <c r="A1149" s="22" t="s">
        <v>751</v>
      </c>
      <c r="B1149" s="22">
        <v>0</v>
      </c>
      <c r="C1149" s="22"/>
      <c r="D1149" s="22"/>
      <c r="E1149" s="22"/>
      <c r="F1149" s="22"/>
      <c r="G1149" s="22"/>
      <c r="H1149" s="22"/>
      <c r="I1149" s="22"/>
      <c r="J1149" s="22"/>
      <c r="K1149" s="22"/>
      <c r="L1149" s="22"/>
      <c r="M1149" s="22"/>
      <c r="N1149" s="22"/>
    </row>
    <row r="1150" spans="1:14" x14ac:dyDescent="0.3">
      <c r="A1150" s="22" t="s">
        <v>752</v>
      </c>
      <c r="B1150" s="22">
        <v>0</v>
      </c>
      <c r="C1150" s="22"/>
      <c r="D1150" s="22"/>
      <c r="E1150" s="22"/>
      <c r="F1150" s="22"/>
      <c r="G1150" s="22"/>
      <c r="H1150" s="22"/>
      <c r="I1150" s="22"/>
      <c r="J1150" s="22"/>
      <c r="K1150" s="22"/>
      <c r="L1150" s="22"/>
      <c r="M1150" s="22"/>
      <c r="N1150" s="22"/>
    </row>
    <row r="1151" spans="1:14" x14ac:dyDescent="0.3">
      <c r="A1151" s="22" t="s">
        <v>753</v>
      </c>
      <c r="B1151" s="22">
        <v>0</v>
      </c>
      <c r="C1151" s="22"/>
      <c r="D1151" s="22"/>
      <c r="E1151" s="22"/>
      <c r="F1151" s="22"/>
      <c r="G1151" s="22"/>
      <c r="H1151" s="22"/>
      <c r="I1151" s="22"/>
      <c r="J1151" s="22"/>
      <c r="K1151" s="22"/>
      <c r="L1151" s="22"/>
      <c r="M1151" s="22"/>
      <c r="N1151" s="22"/>
    </row>
    <row r="1152" spans="1:14" x14ac:dyDescent="0.3">
      <c r="A1152" s="22" t="s">
        <v>754</v>
      </c>
      <c r="B1152" s="22">
        <v>0</v>
      </c>
      <c r="C1152" s="22"/>
      <c r="D1152" s="22"/>
      <c r="E1152" s="22"/>
      <c r="F1152" s="22"/>
      <c r="G1152" s="22"/>
      <c r="H1152" s="22"/>
      <c r="I1152" s="22"/>
      <c r="J1152" s="22"/>
      <c r="K1152" s="22"/>
      <c r="L1152" s="22"/>
      <c r="M1152" s="22"/>
      <c r="N1152" s="22"/>
    </row>
    <row r="1153" spans="1:14" x14ac:dyDescent="0.3">
      <c r="A1153" s="22" t="s">
        <v>755</v>
      </c>
      <c r="B1153" s="22">
        <v>0</v>
      </c>
      <c r="C1153" s="22"/>
      <c r="D1153" s="22"/>
      <c r="E1153" s="22"/>
      <c r="F1153" s="22"/>
      <c r="G1153" s="22"/>
      <c r="H1153" s="22"/>
      <c r="I1153" s="22"/>
      <c r="J1153" s="22"/>
      <c r="K1153" s="22"/>
      <c r="L1153" s="22"/>
      <c r="M1153" s="22"/>
      <c r="N1153" s="22"/>
    </row>
    <row r="1154" spans="1:14" x14ac:dyDescent="0.3">
      <c r="A1154" s="22" t="s">
        <v>756</v>
      </c>
      <c r="B1154" s="22">
        <v>0</v>
      </c>
      <c r="C1154" s="22"/>
      <c r="D1154" s="22"/>
      <c r="E1154" s="22"/>
      <c r="F1154" s="22"/>
      <c r="G1154" s="22"/>
      <c r="H1154" s="22"/>
      <c r="I1154" s="22"/>
      <c r="J1154" s="22"/>
      <c r="K1154" s="22"/>
      <c r="L1154" s="22"/>
      <c r="M1154" s="22"/>
      <c r="N1154" s="22"/>
    </row>
    <row r="1155" spans="1:14" x14ac:dyDescent="0.3">
      <c r="A1155" s="22" t="s">
        <v>757</v>
      </c>
      <c r="B1155" s="22">
        <v>0</v>
      </c>
      <c r="C1155" s="22"/>
      <c r="D1155" s="22"/>
      <c r="E1155" s="22"/>
      <c r="F1155" s="22"/>
      <c r="G1155" s="22"/>
      <c r="H1155" s="22"/>
      <c r="I1155" s="22"/>
      <c r="J1155" s="22"/>
      <c r="K1155" s="22"/>
      <c r="L1155" s="22"/>
      <c r="M1155" s="22"/>
      <c r="N1155" s="22"/>
    </row>
    <row r="1156" spans="1:14" x14ac:dyDescent="0.3">
      <c r="A1156" s="22" t="s">
        <v>758</v>
      </c>
      <c r="B1156" s="22">
        <v>0</v>
      </c>
      <c r="C1156" s="22"/>
      <c r="D1156" s="22"/>
      <c r="E1156" s="22"/>
      <c r="F1156" s="22"/>
      <c r="G1156" s="22"/>
      <c r="H1156" s="22"/>
      <c r="I1156" s="22"/>
      <c r="J1156" s="22"/>
      <c r="K1156" s="22"/>
      <c r="L1156" s="22"/>
      <c r="M1156" s="22"/>
      <c r="N1156" s="22"/>
    </row>
    <row r="1157" spans="1:14" x14ac:dyDescent="0.3">
      <c r="A1157" s="22" t="s">
        <v>759</v>
      </c>
      <c r="B1157" s="22">
        <v>0</v>
      </c>
      <c r="C1157" s="22"/>
      <c r="D1157" s="22"/>
      <c r="E1157" s="22"/>
      <c r="F1157" s="22"/>
      <c r="G1157" s="22"/>
      <c r="H1157" s="22"/>
      <c r="I1157" s="22"/>
      <c r="J1157" s="22"/>
      <c r="K1157" s="22"/>
      <c r="L1157" s="22"/>
      <c r="M1157" s="22"/>
      <c r="N1157" s="22"/>
    </row>
    <row r="1158" spans="1:14" x14ac:dyDescent="0.3">
      <c r="A1158" s="22" t="s">
        <v>760</v>
      </c>
      <c r="B1158" s="22">
        <v>0</v>
      </c>
      <c r="C1158" s="22"/>
      <c r="D1158" s="22"/>
      <c r="E1158" s="22"/>
      <c r="F1158" s="22"/>
      <c r="G1158" s="22"/>
      <c r="H1158" s="22"/>
      <c r="I1158" s="22"/>
      <c r="J1158" s="22"/>
      <c r="K1158" s="22"/>
      <c r="L1158" s="22"/>
      <c r="M1158" s="22"/>
      <c r="N1158" s="22"/>
    </row>
    <row r="1159" spans="1:14" x14ac:dyDescent="0.3">
      <c r="A1159" s="22" t="s">
        <v>762</v>
      </c>
      <c r="B1159" s="22">
        <v>4</v>
      </c>
      <c r="C1159" s="22"/>
      <c r="D1159" s="22"/>
      <c r="E1159" s="22"/>
      <c r="F1159" s="22"/>
      <c r="G1159" s="22"/>
      <c r="H1159" s="22"/>
      <c r="I1159" s="22"/>
      <c r="J1159" s="22"/>
      <c r="K1159" s="22"/>
      <c r="L1159" s="22"/>
      <c r="M1159" s="22"/>
      <c r="N1159" s="22"/>
    </row>
    <row r="1160" spans="1:14" x14ac:dyDescent="0.3">
      <c r="A1160" s="22" t="s">
        <v>763</v>
      </c>
      <c r="B1160" s="22">
        <v>0</v>
      </c>
      <c r="C1160" s="22"/>
      <c r="D1160" s="22"/>
      <c r="E1160" s="22"/>
      <c r="F1160" s="22"/>
      <c r="G1160" s="22"/>
      <c r="H1160" s="22"/>
      <c r="I1160" s="22"/>
      <c r="J1160" s="22"/>
      <c r="K1160" s="22"/>
      <c r="L1160" s="22"/>
      <c r="M1160" s="22"/>
      <c r="N1160" s="22"/>
    </row>
    <row r="1161" spans="1:14" x14ac:dyDescent="0.3">
      <c r="A1161" s="22" t="s">
        <v>764</v>
      </c>
      <c r="B1161" s="22">
        <v>0</v>
      </c>
      <c r="C1161" s="22"/>
      <c r="D1161" s="22"/>
      <c r="E1161" s="22"/>
      <c r="F1161" s="22"/>
      <c r="G1161" s="22"/>
      <c r="H1161" s="22"/>
      <c r="I1161" s="22"/>
      <c r="J1161" s="22"/>
      <c r="K1161" s="22"/>
      <c r="L1161" s="22"/>
      <c r="M1161" s="22"/>
      <c r="N1161" s="22"/>
    </row>
    <row r="1162" spans="1:14" x14ac:dyDescent="0.3">
      <c r="A1162" s="22" t="s">
        <v>765</v>
      </c>
      <c r="B1162" s="22">
        <v>0</v>
      </c>
      <c r="C1162" s="22"/>
      <c r="D1162" s="22"/>
      <c r="E1162" s="22"/>
      <c r="F1162" s="22"/>
      <c r="G1162" s="22"/>
      <c r="H1162" s="22"/>
      <c r="I1162" s="22"/>
      <c r="J1162" s="22"/>
      <c r="K1162" s="22"/>
      <c r="L1162" s="22"/>
      <c r="M1162" s="22"/>
      <c r="N1162" s="22"/>
    </row>
    <row r="1163" spans="1:14" x14ac:dyDescent="0.3">
      <c r="A1163" s="22" t="s">
        <v>766</v>
      </c>
      <c r="B1163" s="22">
        <v>0</v>
      </c>
      <c r="C1163" s="22"/>
      <c r="D1163" s="22"/>
      <c r="E1163" s="22"/>
      <c r="F1163" s="22"/>
      <c r="G1163" s="22"/>
      <c r="H1163" s="22"/>
      <c r="I1163" s="22"/>
      <c r="J1163" s="22"/>
      <c r="K1163" s="22"/>
      <c r="L1163" s="22"/>
      <c r="M1163" s="22"/>
      <c r="N1163" s="22"/>
    </row>
    <row r="1164" spans="1:14" x14ac:dyDescent="0.3">
      <c r="A1164" s="22" t="s">
        <v>767</v>
      </c>
      <c r="B1164" s="22">
        <v>0</v>
      </c>
      <c r="C1164" s="22"/>
      <c r="D1164" s="22"/>
      <c r="E1164" s="22"/>
      <c r="F1164" s="22"/>
      <c r="G1164" s="22"/>
      <c r="H1164" s="22"/>
      <c r="I1164" s="22"/>
      <c r="J1164" s="22"/>
      <c r="K1164" s="22"/>
      <c r="L1164" s="22"/>
      <c r="M1164" s="22"/>
      <c r="N1164" s="22"/>
    </row>
    <row r="1165" spans="1:14" x14ac:dyDescent="0.3">
      <c r="A1165" s="22" t="s">
        <v>768</v>
      </c>
      <c r="B1165" s="22">
        <v>0</v>
      </c>
      <c r="C1165" s="22"/>
      <c r="D1165" s="22"/>
      <c r="E1165" s="22"/>
      <c r="F1165" s="22"/>
      <c r="G1165" s="22"/>
      <c r="H1165" s="22"/>
      <c r="I1165" s="22"/>
      <c r="J1165" s="22"/>
      <c r="K1165" s="22"/>
      <c r="L1165" s="22"/>
      <c r="M1165" s="22"/>
      <c r="N1165" s="22"/>
    </row>
    <row r="1166" spans="1:14" x14ac:dyDescent="0.3">
      <c r="A1166" s="22" t="s">
        <v>769</v>
      </c>
      <c r="B1166" s="22">
        <v>0</v>
      </c>
      <c r="C1166" s="22"/>
      <c r="D1166" s="22"/>
      <c r="E1166" s="22"/>
      <c r="F1166" s="22"/>
      <c r="G1166" s="22"/>
      <c r="H1166" s="22"/>
      <c r="I1166" s="22"/>
      <c r="J1166" s="22"/>
      <c r="K1166" s="22"/>
      <c r="L1166" s="22"/>
      <c r="M1166" s="22"/>
      <c r="N1166" s="22"/>
    </row>
    <row r="1167" spans="1:14" x14ac:dyDescent="0.3">
      <c r="A1167" s="22" t="s">
        <v>2898</v>
      </c>
      <c r="B1167" s="22">
        <v>28</v>
      </c>
      <c r="C1167" s="22"/>
      <c r="D1167" s="22"/>
      <c r="E1167" s="22"/>
      <c r="F1167" s="22"/>
      <c r="G1167" s="22"/>
      <c r="H1167" s="22"/>
      <c r="I1167" s="22"/>
      <c r="J1167" s="22"/>
      <c r="K1167" s="22"/>
      <c r="L1167" s="22"/>
      <c r="M1167" s="22"/>
      <c r="N1167" s="22"/>
    </row>
    <row r="1168" spans="1:14" x14ac:dyDescent="0.3">
      <c r="A1168" s="22" t="s">
        <v>3288</v>
      </c>
      <c r="B1168" s="22">
        <v>0</v>
      </c>
      <c r="C1168" s="22"/>
      <c r="D1168" s="22"/>
      <c r="E1168" s="22"/>
      <c r="F1168" s="22"/>
      <c r="G1168" s="22"/>
      <c r="H1168" s="22"/>
      <c r="I1168" s="22"/>
      <c r="J1168" s="22"/>
      <c r="K1168" s="22"/>
      <c r="L1168" s="22"/>
      <c r="M1168" s="22"/>
      <c r="N1168" s="22"/>
    </row>
    <row r="1169" spans="1:14" x14ac:dyDescent="0.3">
      <c r="A1169" s="22" t="s">
        <v>3289</v>
      </c>
      <c r="B1169" s="22">
        <v>0</v>
      </c>
      <c r="C1169" s="22"/>
      <c r="D1169" s="22"/>
      <c r="E1169" s="22"/>
      <c r="F1169" s="22"/>
      <c r="G1169" s="22"/>
      <c r="H1169" s="22"/>
      <c r="I1169" s="22"/>
      <c r="J1169" s="22"/>
      <c r="K1169" s="22"/>
      <c r="L1169" s="22"/>
      <c r="M1169" s="22"/>
      <c r="N1169" s="22"/>
    </row>
    <row r="1170" spans="1:14" x14ac:dyDescent="0.3">
      <c r="A1170" s="22" t="s">
        <v>3290</v>
      </c>
      <c r="B1170" s="22">
        <v>0</v>
      </c>
      <c r="C1170" s="22"/>
      <c r="D1170" s="22"/>
      <c r="E1170" s="22"/>
      <c r="F1170" s="22"/>
      <c r="G1170" s="22"/>
      <c r="H1170" s="22"/>
      <c r="I1170" s="22"/>
      <c r="J1170" s="22"/>
      <c r="K1170" s="22"/>
      <c r="L1170" s="22"/>
      <c r="M1170" s="22"/>
      <c r="N1170" s="22"/>
    </row>
    <row r="1171" spans="1:14" x14ac:dyDescent="0.3">
      <c r="A1171" s="22" t="s">
        <v>3291</v>
      </c>
      <c r="B1171" s="22">
        <v>0</v>
      </c>
      <c r="C1171" s="22"/>
      <c r="D1171" s="22"/>
      <c r="E1171" s="22"/>
      <c r="F1171" s="22"/>
      <c r="G1171" s="22"/>
      <c r="H1171" s="22"/>
      <c r="I1171" s="22"/>
      <c r="J1171" s="22"/>
      <c r="K1171" s="22"/>
      <c r="L1171" s="22"/>
      <c r="M1171" s="22"/>
      <c r="N1171" s="22"/>
    </row>
    <row r="1172" spans="1:14" x14ac:dyDescent="0.3">
      <c r="A1172" s="22" t="s">
        <v>3292</v>
      </c>
      <c r="B1172" s="22">
        <v>0</v>
      </c>
      <c r="C1172" s="22"/>
      <c r="D1172" s="22"/>
      <c r="E1172" s="22"/>
      <c r="F1172" s="22"/>
      <c r="G1172" s="22"/>
      <c r="H1172" s="22"/>
      <c r="I1172" s="22"/>
      <c r="J1172" s="22"/>
      <c r="K1172" s="22"/>
      <c r="L1172" s="22"/>
      <c r="M1172" s="22"/>
      <c r="N1172" s="22"/>
    </row>
    <row r="1173" spans="1:14" x14ac:dyDescent="0.3">
      <c r="A1173" s="22" t="s">
        <v>3293</v>
      </c>
      <c r="B1173" s="22">
        <v>0</v>
      </c>
      <c r="C1173" s="22"/>
      <c r="D1173" s="22"/>
      <c r="E1173" s="22"/>
      <c r="F1173" s="22"/>
      <c r="G1173" s="22"/>
      <c r="H1173" s="22"/>
      <c r="I1173" s="22"/>
      <c r="J1173" s="22"/>
      <c r="K1173" s="22"/>
      <c r="L1173" s="22"/>
      <c r="M1173" s="22"/>
      <c r="N1173" s="22"/>
    </row>
    <row r="1174" spans="1:14" x14ac:dyDescent="0.3">
      <c r="A1174" s="22" t="s">
        <v>3294</v>
      </c>
      <c r="B1174" s="22">
        <v>0</v>
      </c>
      <c r="C1174" s="22"/>
      <c r="D1174" s="22"/>
      <c r="E1174" s="22"/>
      <c r="F1174" s="22"/>
      <c r="G1174" s="22"/>
      <c r="H1174" s="22"/>
      <c r="I1174" s="22"/>
      <c r="J1174" s="22"/>
      <c r="K1174" s="22"/>
      <c r="L1174" s="22"/>
      <c r="M1174" s="22"/>
      <c r="N1174" s="22"/>
    </row>
    <row r="1175" spans="1:14" x14ac:dyDescent="0.3">
      <c r="A1175" s="22" t="s">
        <v>770</v>
      </c>
      <c r="B1175" s="22">
        <v>1</v>
      </c>
      <c r="C1175" s="22"/>
      <c r="D1175" s="22"/>
      <c r="E1175" s="22"/>
      <c r="F1175" s="22"/>
      <c r="G1175" s="22"/>
      <c r="H1175" s="22"/>
      <c r="I1175" s="22"/>
      <c r="J1175" s="22"/>
      <c r="K1175" s="22"/>
      <c r="L1175" s="22"/>
      <c r="M1175" s="22"/>
      <c r="N1175" s="22"/>
    </row>
    <row r="1176" spans="1:14" x14ac:dyDescent="0.3">
      <c r="A1176" s="22" t="s">
        <v>771</v>
      </c>
      <c r="B1176" s="22">
        <v>0</v>
      </c>
      <c r="C1176" s="22"/>
      <c r="D1176" s="22"/>
      <c r="E1176" s="22"/>
      <c r="F1176" s="22"/>
      <c r="G1176" s="22"/>
      <c r="H1176" s="22"/>
      <c r="I1176" s="22"/>
      <c r="J1176" s="22"/>
      <c r="K1176" s="22"/>
      <c r="L1176" s="22"/>
      <c r="M1176" s="22"/>
      <c r="N1176" s="22"/>
    </row>
    <row r="1177" spans="1:14" x14ac:dyDescent="0.3">
      <c r="A1177" s="22" t="s">
        <v>772</v>
      </c>
      <c r="B1177" s="22">
        <v>0</v>
      </c>
      <c r="C1177" s="22"/>
      <c r="D1177" s="22"/>
      <c r="E1177" s="22"/>
      <c r="F1177" s="22"/>
      <c r="G1177" s="22"/>
      <c r="H1177" s="22"/>
      <c r="I1177" s="22"/>
      <c r="J1177" s="22"/>
      <c r="K1177" s="22"/>
      <c r="L1177" s="22"/>
      <c r="M1177" s="22"/>
      <c r="N1177" s="22"/>
    </row>
    <row r="1178" spans="1:14" x14ac:dyDescent="0.3">
      <c r="A1178" s="22" t="s">
        <v>773</v>
      </c>
      <c r="B1178" s="22">
        <v>0</v>
      </c>
      <c r="C1178" s="22"/>
      <c r="D1178" s="22"/>
      <c r="E1178" s="22"/>
      <c r="F1178" s="22"/>
      <c r="G1178" s="22"/>
      <c r="H1178" s="22"/>
      <c r="I1178" s="22"/>
      <c r="J1178" s="22"/>
      <c r="K1178" s="22"/>
      <c r="L1178" s="22"/>
      <c r="M1178" s="22"/>
      <c r="N1178" s="22"/>
    </row>
    <row r="1179" spans="1:14" x14ac:dyDescent="0.3">
      <c r="A1179" s="22" t="s">
        <v>774</v>
      </c>
      <c r="B1179" s="22">
        <v>0</v>
      </c>
      <c r="C1179" s="22"/>
      <c r="D1179" s="22"/>
      <c r="E1179" s="22"/>
      <c r="F1179" s="22"/>
      <c r="G1179" s="22"/>
      <c r="H1179" s="22"/>
      <c r="I1179" s="22"/>
      <c r="J1179" s="22"/>
      <c r="K1179" s="22"/>
      <c r="L1179" s="22"/>
      <c r="M1179" s="22"/>
      <c r="N1179" s="22"/>
    </row>
    <row r="1180" spans="1:14" x14ac:dyDescent="0.3">
      <c r="A1180" s="22" t="s">
        <v>775</v>
      </c>
      <c r="B1180" s="22">
        <v>0</v>
      </c>
      <c r="C1180" s="22"/>
      <c r="D1180" s="22"/>
      <c r="E1180" s="22"/>
      <c r="F1180" s="22"/>
      <c r="G1180" s="22"/>
      <c r="H1180" s="22"/>
      <c r="I1180" s="22"/>
      <c r="J1180" s="22"/>
      <c r="K1180" s="22"/>
      <c r="L1180" s="22"/>
      <c r="M1180" s="22"/>
      <c r="N1180" s="22"/>
    </row>
    <row r="1181" spans="1:14" x14ac:dyDescent="0.3">
      <c r="A1181" s="22" t="s">
        <v>776</v>
      </c>
      <c r="B1181" s="22">
        <v>0</v>
      </c>
      <c r="C1181" s="22"/>
      <c r="D1181" s="22"/>
      <c r="E1181" s="22"/>
      <c r="F1181" s="22"/>
      <c r="G1181" s="22"/>
      <c r="H1181" s="22"/>
      <c r="I1181" s="22"/>
      <c r="J1181" s="22"/>
      <c r="K1181" s="22"/>
      <c r="L1181" s="22"/>
      <c r="M1181" s="22"/>
      <c r="N1181" s="22"/>
    </row>
    <row r="1182" spans="1:14" x14ac:dyDescent="0.3">
      <c r="A1182" s="22" t="s">
        <v>777</v>
      </c>
      <c r="B1182" s="22">
        <v>0</v>
      </c>
      <c r="C1182" s="22"/>
      <c r="D1182" s="22"/>
      <c r="E1182" s="22"/>
      <c r="F1182" s="22"/>
      <c r="G1182" s="22"/>
      <c r="H1182" s="22"/>
      <c r="I1182" s="22"/>
      <c r="J1182" s="22"/>
      <c r="K1182" s="22"/>
      <c r="L1182" s="22"/>
      <c r="M1182" s="22"/>
      <c r="N1182" s="22"/>
    </row>
    <row r="1183" spans="1:14" x14ac:dyDescent="0.3">
      <c r="A1183" s="22" t="s">
        <v>2659</v>
      </c>
      <c r="B1183" s="22">
        <v>717</v>
      </c>
      <c r="C1183" s="22"/>
      <c r="D1183" s="22"/>
      <c r="E1183" s="22"/>
      <c r="F1183" s="22"/>
      <c r="G1183" s="22"/>
      <c r="H1183" s="22"/>
      <c r="I1183" s="22"/>
      <c r="J1183" s="22"/>
      <c r="K1183" s="22"/>
      <c r="L1183" s="22"/>
      <c r="M1183" s="22"/>
      <c r="N1183" s="22"/>
    </row>
    <row r="1184" spans="1:14" x14ac:dyDescent="0.3">
      <c r="A1184" s="22" t="s">
        <v>3295</v>
      </c>
      <c r="B1184" s="22">
        <v>34</v>
      </c>
      <c r="C1184" s="22"/>
      <c r="D1184" s="22"/>
      <c r="E1184" s="22"/>
      <c r="F1184" s="22"/>
      <c r="G1184" s="22"/>
      <c r="H1184" s="22"/>
      <c r="I1184" s="22"/>
      <c r="J1184" s="22"/>
      <c r="K1184" s="22"/>
      <c r="L1184" s="22"/>
      <c r="M1184" s="22"/>
      <c r="N1184" s="22"/>
    </row>
    <row r="1185" spans="1:14" x14ac:dyDescent="0.3">
      <c r="A1185" s="22" t="s">
        <v>3296</v>
      </c>
      <c r="B1185" s="22">
        <v>427</v>
      </c>
      <c r="C1185" s="22"/>
      <c r="D1185" s="22"/>
      <c r="E1185" s="22"/>
      <c r="F1185" s="22"/>
      <c r="G1185" s="22"/>
      <c r="H1185" s="22"/>
      <c r="I1185" s="22"/>
      <c r="J1185" s="22"/>
      <c r="K1185" s="22"/>
      <c r="L1185" s="22"/>
      <c r="M1185" s="22"/>
      <c r="N1185" s="22"/>
    </row>
    <row r="1186" spans="1:14" x14ac:dyDescent="0.3">
      <c r="A1186" s="22" t="s">
        <v>3297</v>
      </c>
      <c r="B1186" s="22">
        <v>1</v>
      </c>
      <c r="C1186" s="22"/>
      <c r="D1186" s="22"/>
      <c r="E1186" s="22"/>
      <c r="F1186" s="22"/>
      <c r="G1186" s="22"/>
      <c r="H1186" s="22"/>
      <c r="I1186" s="22"/>
      <c r="J1186" s="22"/>
      <c r="K1186" s="22"/>
      <c r="L1186" s="22"/>
      <c r="M1186" s="22"/>
      <c r="N1186" s="22"/>
    </row>
    <row r="1187" spans="1:14" x14ac:dyDescent="0.3">
      <c r="A1187" s="22" t="s">
        <v>3298</v>
      </c>
      <c r="B1187" s="22">
        <v>0</v>
      </c>
      <c r="C1187" s="22"/>
      <c r="D1187" s="22"/>
      <c r="E1187" s="22"/>
      <c r="F1187" s="22"/>
      <c r="G1187" s="22"/>
      <c r="H1187" s="22"/>
      <c r="I1187" s="22"/>
      <c r="J1187" s="22"/>
      <c r="K1187" s="22"/>
      <c r="L1187" s="22"/>
      <c r="M1187" s="22"/>
      <c r="N1187" s="22"/>
    </row>
    <row r="1188" spans="1:14" x14ac:dyDescent="0.3">
      <c r="A1188" s="22" t="s">
        <v>3299</v>
      </c>
      <c r="B1188" s="22">
        <v>0</v>
      </c>
      <c r="C1188" s="22"/>
      <c r="D1188" s="22"/>
      <c r="E1188" s="22"/>
      <c r="F1188" s="22"/>
      <c r="G1188" s="22"/>
      <c r="H1188" s="22"/>
      <c r="I1188" s="22"/>
      <c r="J1188" s="22"/>
      <c r="K1188" s="22"/>
      <c r="L1188" s="22"/>
      <c r="M1188" s="22"/>
      <c r="N1188" s="22"/>
    </row>
    <row r="1189" spans="1:14" x14ac:dyDescent="0.3">
      <c r="A1189" s="22" t="s">
        <v>3300</v>
      </c>
      <c r="B1189" s="22">
        <v>0</v>
      </c>
      <c r="C1189" s="22"/>
      <c r="D1189" s="22"/>
      <c r="E1189" s="22"/>
      <c r="F1189" s="22"/>
      <c r="G1189" s="22"/>
      <c r="H1189" s="22"/>
      <c r="I1189" s="22"/>
      <c r="J1189" s="22"/>
      <c r="K1189" s="22"/>
      <c r="L1189" s="22"/>
      <c r="M1189" s="22"/>
      <c r="N1189" s="22"/>
    </row>
    <row r="1190" spans="1:14" x14ac:dyDescent="0.3">
      <c r="A1190" s="22" t="s">
        <v>3301</v>
      </c>
      <c r="B1190" s="22">
        <v>0</v>
      </c>
      <c r="C1190" s="22"/>
      <c r="D1190" s="22"/>
      <c r="E1190" s="22"/>
      <c r="F1190" s="22"/>
      <c r="G1190" s="22"/>
      <c r="H1190" s="22"/>
      <c r="I1190" s="22"/>
      <c r="J1190" s="22"/>
      <c r="K1190" s="22"/>
      <c r="L1190" s="22"/>
      <c r="M1190" s="22"/>
      <c r="N1190" s="22"/>
    </row>
    <row r="1191" spans="1:14" x14ac:dyDescent="0.3">
      <c r="A1191" s="22" t="s">
        <v>2660</v>
      </c>
      <c r="B1191" s="22">
        <v>0</v>
      </c>
      <c r="C1191" s="22"/>
      <c r="D1191" s="22"/>
      <c r="E1191" s="22"/>
      <c r="F1191" s="22"/>
      <c r="G1191" s="22"/>
      <c r="H1191" s="22"/>
      <c r="I1191" s="22"/>
      <c r="J1191" s="22"/>
      <c r="K1191" s="22"/>
      <c r="L1191" s="22"/>
      <c r="M1191" s="22"/>
      <c r="N1191" s="22"/>
    </row>
    <row r="1192" spans="1:14" x14ac:dyDescent="0.3">
      <c r="A1192" s="22" t="s">
        <v>3302</v>
      </c>
      <c r="B1192" s="22">
        <v>0</v>
      </c>
      <c r="C1192" s="22"/>
      <c r="D1192" s="22"/>
      <c r="E1192" s="22"/>
      <c r="F1192" s="22"/>
      <c r="G1192" s="22"/>
      <c r="H1192" s="22"/>
      <c r="I1192" s="22"/>
      <c r="J1192" s="22"/>
      <c r="K1192" s="22"/>
      <c r="L1192" s="22"/>
      <c r="M1192" s="22"/>
      <c r="N1192" s="22"/>
    </row>
    <row r="1193" spans="1:14" x14ac:dyDescent="0.3">
      <c r="A1193" s="22" t="s">
        <v>3303</v>
      </c>
      <c r="B1193" s="22">
        <v>152</v>
      </c>
      <c r="C1193" s="22"/>
      <c r="D1193" s="22"/>
      <c r="E1193" s="22"/>
      <c r="F1193" s="22"/>
      <c r="G1193" s="22"/>
      <c r="H1193" s="22"/>
      <c r="I1193" s="22"/>
      <c r="J1193" s="22"/>
      <c r="K1193" s="22"/>
      <c r="L1193" s="22"/>
      <c r="M1193" s="22"/>
      <c r="N1193" s="22"/>
    </row>
    <row r="1194" spans="1:14" x14ac:dyDescent="0.3">
      <c r="A1194" s="22" t="s">
        <v>3304</v>
      </c>
      <c r="B1194" s="22">
        <v>0</v>
      </c>
      <c r="C1194" s="22"/>
      <c r="D1194" s="22"/>
      <c r="E1194" s="22"/>
      <c r="F1194" s="22"/>
      <c r="G1194" s="22"/>
      <c r="H1194" s="22"/>
      <c r="I1194" s="22"/>
      <c r="J1194" s="22"/>
      <c r="K1194" s="22"/>
      <c r="L1194" s="22"/>
      <c r="M1194" s="22"/>
      <c r="N1194" s="22"/>
    </row>
    <row r="1195" spans="1:14" x14ac:dyDescent="0.3">
      <c r="A1195" s="22" t="s">
        <v>3305</v>
      </c>
      <c r="B1195" s="22">
        <v>0</v>
      </c>
      <c r="C1195" s="22"/>
      <c r="D1195" s="22"/>
      <c r="E1195" s="22"/>
      <c r="F1195" s="22"/>
      <c r="G1195" s="22"/>
      <c r="H1195" s="22"/>
      <c r="I1195" s="22"/>
      <c r="J1195" s="22"/>
      <c r="K1195" s="22"/>
      <c r="L1195" s="22"/>
      <c r="M1195" s="22"/>
      <c r="N1195" s="22"/>
    </row>
    <row r="1196" spans="1:14" x14ac:dyDescent="0.3">
      <c r="A1196" s="22" t="s">
        <v>3306</v>
      </c>
      <c r="B1196" s="22">
        <v>0</v>
      </c>
      <c r="C1196" s="22"/>
      <c r="D1196" s="22"/>
      <c r="E1196" s="22"/>
      <c r="F1196" s="22"/>
      <c r="G1196" s="22"/>
      <c r="H1196" s="22"/>
      <c r="I1196" s="22"/>
      <c r="J1196" s="22"/>
      <c r="K1196" s="22"/>
      <c r="L1196" s="22"/>
      <c r="M1196" s="22"/>
      <c r="N1196" s="22"/>
    </row>
    <row r="1197" spans="1:14" x14ac:dyDescent="0.3">
      <c r="A1197" s="22" t="s">
        <v>3307</v>
      </c>
      <c r="B1197" s="22">
        <v>0</v>
      </c>
      <c r="C1197" s="22"/>
      <c r="D1197" s="22"/>
      <c r="E1197" s="22"/>
      <c r="F1197" s="22"/>
      <c r="G1197" s="22"/>
      <c r="H1197" s="22"/>
      <c r="I1197" s="22"/>
      <c r="J1197" s="22"/>
      <c r="K1197" s="22"/>
      <c r="L1197" s="22"/>
      <c r="M1197" s="22"/>
      <c r="N1197" s="22"/>
    </row>
    <row r="1198" spans="1:14" x14ac:dyDescent="0.3">
      <c r="A1198" s="22" t="s">
        <v>3308</v>
      </c>
      <c r="B1198" s="22">
        <v>0</v>
      </c>
      <c r="C1198" s="22"/>
      <c r="D1198" s="22"/>
      <c r="E1198" s="22"/>
      <c r="F1198" s="22"/>
      <c r="G1198" s="22"/>
      <c r="H1198" s="22"/>
      <c r="I1198" s="22"/>
      <c r="J1198" s="22"/>
      <c r="K1198" s="22"/>
      <c r="L1198" s="22"/>
      <c r="M1198" s="22"/>
      <c r="N1198" s="22"/>
    </row>
    <row r="1199" spans="1:14" x14ac:dyDescent="0.3">
      <c r="A1199" s="22" t="s">
        <v>2661</v>
      </c>
      <c r="B1199" s="22">
        <v>364</v>
      </c>
      <c r="C1199" s="22"/>
      <c r="D1199" s="22"/>
      <c r="E1199" s="22"/>
      <c r="F1199" s="22"/>
      <c r="G1199" s="22"/>
      <c r="H1199" s="22"/>
      <c r="I1199" s="22"/>
      <c r="J1199" s="22"/>
      <c r="K1199" s="22"/>
      <c r="L1199" s="22"/>
      <c r="M1199" s="22"/>
      <c r="N1199" s="22"/>
    </row>
    <row r="1200" spans="1:14" x14ac:dyDescent="0.3">
      <c r="A1200" s="22" t="s">
        <v>3309</v>
      </c>
      <c r="B1200" s="22">
        <v>84</v>
      </c>
      <c r="C1200" s="22"/>
      <c r="D1200" s="22"/>
      <c r="E1200" s="22"/>
      <c r="F1200" s="22"/>
      <c r="G1200" s="22"/>
      <c r="H1200" s="22"/>
      <c r="I1200" s="22"/>
      <c r="J1200" s="22"/>
      <c r="K1200" s="22"/>
      <c r="L1200" s="22"/>
      <c r="M1200" s="22"/>
      <c r="N1200" s="22"/>
    </row>
    <row r="1201" spans="1:14" x14ac:dyDescent="0.3">
      <c r="A1201" s="22" t="s">
        <v>3310</v>
      </c>
      <c r="B1201" s="22">
        <v>99</v>
      </c>
      <c r="C1201" s="22"/>
      <c r="D1201" s="22"/>
      <c r="E1201" s="22"/>
      <c r="F1201" s="22"/>
      <c r="G1201" s="22"/>
      <c r="H1201" s="22"/>
      <c r="I1201" s="22"/>
      <c r="J1201" s="22"/>
      <c r="K1201" s="22"/>
      <c r="L1201" s="22"/>
      <c r="M1201" s="22"/>
      <c r="N1201" s="22"/>
    </row>
    <row r="1202" spans="1:14" x14ac:dyDescent="0.3">
      <c r="A1202" s="22" t="s">
        <v>3311</v>
      </c>
      <c r="B1202" s="22">
        <v>1</v>
      </c>
      <c r="C1202" s="22"/>
      <c r="D1202" s="22"/>
      <c r="E1202" s="22"/>
      <c r="F1202" s="22"/>
      <c r="G1202" s="22"/>
      <c r="H1202" s="22"/>
      <c r="I1202" s="22"/>
      <c r="J1202" s="22"/>
      <c r="K1202" s="22"/>
      <c r="L1202" s="22"/>
      <c r="M1202" s="22"/>
      <c r="N1202" s="22"/>
    </row>
    <row r="1203" spans="1:14" x14ac:dyDescent="0.3">
      <c r="A1203" s="22" t="s">
        <v>3312</v>
      </c>
      <c r="B1203" s="22">
        <v>0</v>
      </c>
      <c r="C1203" s="22"/>
      <c r="D1203" s="22"/>
      <c r="E1203" s="22"/>
      <c r="F1203" s="22"/>
      <c r="G1203" s="22"/>
      <c r="H1203" s="22"/>
      <c r="I1203" s="22"/>
      <c r="J1203" s="22"/>
      <c r="K1203" s="22"/>
      <c r="L1203" s="22"/>
      <c r="M1203" s="22"/>
      <c r="N1203" s="22"/>
    </row>
    <row r="1204" spans="1:14" x14ac:dyDescent="0.3">
      <c r="A1204" s="22" t="s">
        <v>3313</v>
      </c>
      <c r="B1204" s="22">
        <v>0</v>
      </c>
      <c r="C1204" s="22"/>
      <c r="D1204" s="22"/>
      <c r="E1204" s="22"/>
      <c r="F1204" s="22"/>
      <c r="G1204" s="22"/>
      <c r="H1204" s="22"/>
      <c r="I1204" s="22"/>
      <c r="J1204" s="22"/>
      <c r="K1204" s="22"/>
      <c r="L1204" s="22"/>
      <c r="M1204" s="22"/>
      <c r="N1204" s="22"/>
    </row>
    <row r="1205" spans="1:14" x14ac:dyDescent="0.3">
      <c r="A1205" s="22" t="s">
        <v>3314</v>
      </c>
      <c r="B1205" s="22">
        <v>0</v>
      </c>
      <c r="C1205" s="22"/>
      <c r="D1205" s="22"/>
      <c r="E1205" s="22"/>
      <c r="F1205" s="22"/>
      <c r="G1205" s="22"/>
      <c r="H1205" s="22"/>
      <c r="I1205" s="22"/>
      <c r="J1205" s="22"/>
      <c r="K1205" s="22"/>
      <c r="L1205" s="22"/>
      <c r="M1205" s="22"/>
      <c r="N1205" s="22"/>
    </row>
    <row r="1206" spans="1:14" x14ac:dyDescent="0.3">
      <c r="A1206" s="22" t="s">
        <v>3315</v>
      </c>
      <c r="B1206" s="22">
        <v>0</v>
      </c>
      <c r="C1206" s="22"/>
      <c r="D1206" s="22"/>
      <c r="E1206" s="22"/>
      <c r="F1206" s="22"/>
      <c r="G1206" s="22"/>
      <c r="H1206" s="22"/>
      <c r="I1206" s="22"/>
      <c r="J1206" s="22"/>
      <c r="K1206" s="22"/>
      <c r="L1206" s="22"/>
      <c r="M1206" s="22"/>
      <c r="N1206" s="22"/>
    </row>
    <row r="1207" spans="1:14" x14ac:dyDescent="0.3">
      <c r="A1207" s="22" t="s">
        <v>2662</v>
      </c>
      <c r="B1207" s="22">
        <v>149</v>
      </c>
      <c r="C1207" s="22"/>
      <c r="D1207" s="22"/>
      <c r="E1207" s="22"/>
      <c r="F1207" s="22"/>
      <c r="G1207" s="22"/>
      <c r="H1207" s="22"/>
      <c r="I1207" s="22"/>
      <c r="J1207" s="22"/>
      <c r="K1207" s="22"/>
      <c r="L1207" s="22"/>
      <c r="M1207" s="22"/>
      <c r="N1207" s="22"/>
    </row>
    <row r="1208" spans="1:14" x14ac:dyDescent="0.3">
      <c r="A1208" s="22" t="s">
        <v>3316</v>
      </c>
      <c r="B1208" s="22">
        <v>32</v>
      </c>
      <c r="C1208" s="22"/>
      <c r="D1208" s="22"/>
      <c r="E1208" s="22"/>
      <c r="F1208" s="22"/>
      <c r="G1208" s="22"/>
      <c r="H1208" s="22"/>
      <c r="I1208" s="22"/>
      <c r="J1208" s="22"/>
      <c r="K1208" s="22"/>
      <c r="L1208" s="22"/>
      <c r="M1208" s="22"/>
      <c r="N1208" s="22"/>
    </row>
    <row r="1209" spans="1:14" x14ac:dyDescent="0.3">
      <c r="A1209" s="22" t="s">
        <v>3317</v>
      </c>
      <c r="B1209" s="22">
        <v>12</v>
      </c>
      <c r="C1209" s="22"/>
      <c r="D1209" s="22"/>
      <c r="E1209" s="22"/>
      <c r="F1209" s="22"/>
      <c r="G1209" s="22"/>
      <c r="H1209" s="22"/>
      <c r="I1209" s="22"/>
      <c r="J1209" s="22"/>
      <c r="K1209" s="22"/>
      <c r="L1209" s="22"/>
      <c r="M1209" s="22"/>
      <c r="N1209" s="22"/>
    </row>
    <row r="1210" spans="1:14" x14ac:dyDescent="0.3">
      <c r="A1210" s="22" t="s">
        <v>3318</v>
      </c>
      <c r="B1210" s="22">
        <v>0</v>
      </c>
      <c r="C1210" s="22"/>
      <c r="D1210" s="22"/>
      <c r="E1210" s="22"/>
      <c r="F1210" s="22"/>
      <c r="G1210" s="22"/>
      <c r="H1210" s="22"/>
      <c r="I1210" s="22"/>
      <c r="J1210" s="22"/>
      <c r="K1210" s="22"/>
      <c r="L1210" s="22"/>
      <c r="M1210" s="22"/>
      <c r="N1210" s="22"/>
    </row>
    <row r="1211" spans="1:14" x14ac:dyDescent="0.3">
      <c r="A1211" s="22" t="s">
        <v>3319</v>
      </c>
      <c r="B1211" s="22">
        <v>0</v>
      </c>
      <c r="C1211" s="22"/>
      <c r="D1211" s="22"/>
      <c r="E1211" s="22"/>
      <c r="F1211" s="22"/>
      <c r="G1211" s="22"/>
      <c r="H1211" s="22"/>
      <c r="I1211" s="22"/>
      <c r="J1211" s="22"/>
      <c r="K1211" s="22"/>
      <c r="L1211" s="22"/>
      <c r="M1211" s="22"/>
      <c r="N1211" s="22"/>
    </row>
    <row r="1212" spans="1:14" x14ac:dyDescent="0.3">
      <c r="A1212" s="22" t="s">
        <v>3320</v>
      </c>
      <c r="B1212" s="22">
        <v>0</v>
      </c>
      <c r="C1212" s="22"/>
      <c r="D1212" s="22"/>
      <c r="E1212" s="22"/>
      <c r="F1212" s="22"/>
      <c r="G1212" s="22"/>
      <c r="H1212" s="22"/>
      <c r="I1212" s="22"/>
      <c r="J1212" s="22"/>
      <c r="K1212" s="22"/>
      <c r="L1212" s="22"/>
      <c r="M1212" s="22"/>
      <c r="N1212" s="22"/>
    </row>
    <row r="1213" spans="1:14" x14ac:dyDescent="0.3">
      <c r="A1213" s="22" t="s">
        <v>3321</v>
      </c>
      <c r="B1213" s="22">
        <v>0</v>
      </c>
      <c r="C1213" s="22"/>
      <c r="D1213" s="22"/>
      <c r="E1213" s="22"/>
      <c r="F1213" s="22"/>
      <c r="G1213" s="22"/>
      <c r="H1213" s="22"/>
      <c r="I1213" s="22"/>
      <c r="J1213" s="22"/>
      <c r="K1213" s="22"/>
      <c r="L1213" s="22"/>
      <c r="M1213" s="22"/>
      <c r="N1213" s="22"/>
    </row>
    <row r="1214" spans="1:14" x14ac:dyDescent="0.3">
      <c r="A1214" s="22" t="s">
        <v>3322</v>
      </c>
      <c r="B1214" s="22">
        <v>0</v>
      </c>
      <c r="C1214" s="22"/>
      <c r="D1214" s="22"/>
      <c r="E1214" s="22"/>
      <c r="F1214" s="22"/>
      <c r="G1214" s="22"/>
      <c r="H1214" s="22"/>
      <c r="I1214" s="22"/>
      <c r="J1214" s="22"/>
      <c r="K1214" s="22"/>
      <c r="L1214" s="22"/>
      <c r="M1214" s="22"/>
      <c r="N1214" s="22"/>
    </row>
    <row r="1215" spans="1:14" x14ac:dyDescent="0.3">
      <c r="A1215" s="22" t="s">
        <v>2663</v>
      </c>
      <c r="B1215" s="22">
        <v>0</v>
      </c>
      <c r="C1215" s="22"/>
      <c r="D1215" s="22"/>
      <c r="E1215" s="22"/>
      <c r="F1215" s="22"/>
      <c r="G1215" s="22"/>
      <c r="H1215" s="22"/>
      <c r="I1215" s="22"/>
      <c r="J1215" s="22"/>
      <c r="K1215" s="22"/>
      <c r="L1215" s="22"/>
      <c r="M1215" s="22"/>
      <c r="N1215" s="22"/>
    </row>
    <row r="1216" spans="1:14" x14ac:dyDescent="0.3">
      <c r="A1216" s="22" t="s">
        <v>3323</v>
      </c>
      <c r="B1216" s="22">
        <v>0</v>
      </c>
      <c r="C1216" s="22"/>
      <c r="D1216" s="22"/>
      <c r="E1216" s="22"/>
      <c r="F1216" s="22"/>
      <c r="G1216" s="22"/>
      <c r="H1216" s="22"/>
      <c r="I1216" s="22"/>
      <c r="J1216" s="22"/>
      <c r="K1216" s="22"/>
      <c r="L1216" s="22"/>
      <c r="M1216" s="22"/>
      <c r="N1216" s="22"/>
    </row>
    <row r="1217" spans="1:14" x14ac:dyDescent="0.3">
      <c r="A1217" s="22" t="s">
        <v>3324</v>
      </c>
      <c r="B1217" s="22">
        <v>0</v>
      </c>
      <c r="C1217" s="22"/>
      <c r="D1217" s="22"/>
      <c r="E1217" s="22"/>
      <c r="F1217" s="22"/>
      <c r="G1217" s="22"/>
      <c r="H1217" s="22"/>
      <c r="I1217" s="22"/>
      <c r="J1217" s="22"/>
      <c r="K1217" s="22"/>
      <c r="L1217" s="22"/>
      <c r="M1217" s="22"/>
      <c r="N1217" s="22"/>
    </row>
    <row r="1218" spans="1:14" x14ac:dyDescent="0.3">
      <c r="A1218" s="22" t="s">
        <v>3325</v>
      </c>
      <c r="B1218" s="22">
        <v>0</v>
      </c>
      <c r="C1218" s="22"/>
      <c r="D1218" s="22"/>
      <c r="E1218" s="22"/>
      <c r="F1218" s="22"/>
      <c r="G1218" s="22"/>
      <c r="H1218" s="22"/>
      <c r="I1218" s="22"/>
      <c r="J1218" s="22"/>
      <c r="K1218" s="22"/>
      <c r="L1218" s="22"/>
      <c r="M1218" s="22"/>
      <c r="N1218" s="22"/>
    </row>
    <row r="1219" spans="1:14" x14ac:dyDescent="0.3">
      <c r="A1219" s="22" t="s">
        <v>3326</v>
      </c>
      <c r="B1219" s="22">
        <v>0</v>
      </c>
      <c r="C1219" s="22"/>
      <c r="D1219" s="22"/>
      <c r="E1219" s="22"/>
      <c r="F1219" s="22"/>
      <c r="G1219" s="22"/>
      <c r="H1219" s="22"/>
      <c r="I1219" s="22"/>
      <c r="J1219" s="22"/>
      <c r="K1219" s="22"/>
      <c r="L1219" s="22"/>
      <c r="M1219" s="22"/>
      <c r="N1219" s="22"/>
    </row>
    <row r="1220" spans="1:14" x14ac:dyDescent="0.3">
      <c r="A1220" s="22" t="s">
        <v>3327</v>
      </c>
      <c r="B1220" s="22">
        <v>0</v>
      </c>
      <c r="C1220" s="22"/>
      <c r="D1220" s="22"/>
      <c r="E1220" s="22"/>
      <c r="F1220" s="22"/>
      <c r="G1220" s="22"/>
      <c r="H1220" s="22"/>
      <c r="I1220" s="22"/>
      <c r="J1220" s="22"/>
      <c r="K1220" s="22"/>
      <c r="L1220" s="22"/>
      <c r="M1220" s="22"/>
      <c r="N1220" s="22"/>
    </row>
    <row r="1221" spans="1:14" x14ac:dyDescent="0.3">
      <c r="A1221" s="22" t="s">
        <v>3328</v>
      </c>
      <c r="B1221" s="22">
        <v>0</v>
      </c>
      <c r="C1221" s="22"/>
      <c r="D1221" s="22"/>
      <c r="E1221" s="22"/>
      <c r="F1221" s="22"/>
      <c r="G1221" s="22"/>
      <c r="H1221" s="22"/>
      <c r="I1221" s="22"/>
      <c r="J1221" s="22"/>
      <c r="K1221" s="22"/>
      <c r="L1221" s="22"/>
      <c r="M1221" s="22"/>
      <c r="N1221" s="22"/>
    </row>
    <row r="1222" spans="1:14" x14ac:dyDescent="0.3">
      <c r="A1222" s="22" t="s">
        <v>3329</v>
      </c>
      <c r="B1222" s="22">
        <v>0</v>
      </c>
      <c r="C1222" s="22"/>
      <c r="D1222" s="22"/>
      <c r="E1222" s="22"/>
      <c r="F1222" s="22"/>
      <c r="G1222" s="22"/>
      <c r="H1222" s="22"/>
      <c r="I1222" s="22"/>
      <c r="J1222" s="22"/>
      <c r="K1222" s="22"/>
      <c r="L1222" s="22"/>
      <c r="M1222" s="22"/>
      <c r="N1222" s="22"/>
    </row>
    <row r="1223" spans="1:14" x14ac:dyDescent="0.3">
      <c r="A1223" s="22" t="s">
        <v>2645</v>
      </c>
      <c r="B1223" s="22">
        <v>38</v>
      </c>
      <c r="C1223" s="22"/>
      <c r="D1223" s="22"/>
      <c r="E1223" s="22"/>
      <c r="F1223" s="22"/>
      <c r="G1223" s="22"/>
      <c r="H1223" s="22"/>
      <c r="I1223" s="22"/>
      <c r="J1223" s="22"/>
      <c r="K1223" s="22"/>
      <c r="L1223" s="22"/>
      <c r="M1223" s="22"/>
      <c r="N1223" s="22"/>
    </row>
    <row r="1224" spans="1:14" x14ac:dyDescent="0.3">
      <c r="A1224" s="22" t="s">
        <v>3330</v>
      </c>
      <c r="B1224" s="22">
        <v>0</v>
      </c>
      <c r="C1224" s="22"/>
      <c r="D1224" s="22"/>
      <c r="E1224" s="22"/>
      <c r="F1224" s="22"/>
      <c r="G1224" s="22"/>
      <c r="H1224" s="22"/>
      <c r="I1224" s="22"/>
      <c r="J1224" s="22"/>
      <c r="K1224" s="22"/>
      <c r="L1224" s="22"/>
      <c r="M1224" s="22"/>
      <c r="N1224" s="22"/>
    </row>
    <row r="1225" spans="1:14" x14ac:dyDescent="0.3">
      <c r="A1225" s="22" t="s">
        <v>3331</v>
      </c>
      <c r="B1225" s="22">
        <v>0</v>
      </c>
      <c r="C1225" s="22"/>
      <c r="D1225" s="22"/>
      <c r="E1225" s="22"/>
      <c r="F1225" s="22"/>
      <c r="G1225" s="22"/>
      <c r="H1225" s="22"/>
      <c r="I1225" s="22"/>
      <c r="J1225" s="22"/>
      <c r="K1225" s="22"/>
      <c r="L1225" s="22"/>
      <c r="M1225" s="22"/>
      <c r="N1225" s="22"/>
    </row>
    <row r="1226" spans="1:14" x14ac:dyDescent="0.3">
      <c r="A1226" s="22" t="s">
        <v>3332</v>
      </c>
      <c r="B1226" s="22">
        <v>0</v>
      </c>
      <c r="C1226" s="22"/>
      <c r="D1226" s="22"/>
      <c r="E1226" s="22"/>
      <c r="F1226" s="22"/>
      <c r="G1226" s="22"/>
      <c r="H1226" s="22"/>
      <c r="I1226" s="22"/>
      <c r="J1226" s="22"/>
      <c r="K1226" s="22"/>
      <c r="L1226" s="22"/>
      <c r="M1226" s="22"/>
      <c r="N1226" s="22"/>
    </row>
    <row r="1227" spans="1:14" x14ac:dyDescent="0.3">
      <c r="A1227" s="22" t="s">
        <v>3333</v>
      </c>
      <c r="B1227" s="22">
        <v>0</v>
      </c>
      <c r="C1227" s="22"/>
      <c r="D1227" s="22"/>
      <c r="E1227" s="22"/>
      <c r="F1227" s="22"/>
      <c r="G1227" s="22"/>
      <c r="H1227" s="22"/>
      <c r="I1227" s="22"/>
      <c r="J1227" s="22"/>
      <c r="K1227" s="22"/>
      <c r="L1227" s="22"/>
      <c r="M1227" s="22"/>
      <c r="N1227" s="22"/>
    </row>
    <row r="1228" spans="1:14" x14ac:dyDescent="0.3">
      <c r="A1228" s="22" t="s">
        <v>3334</v>
      </c>
      <c r="B1228" s="22">
        <v>0</v>
      </c>
      <c r="C1228" s="22"/>
      <c r="D1228" s="22"/>
      <c r="E1228" s="22"/>
      <c r="F1228" s="22"/>
      <c r="G1228" s="22"/>
      <c r="H1228" s="22"/>
      <c r="I1228" s="22"/>
      <c r="J1228" s="22"/>
      <c r="K1228" s="22"/>
      <c r="L1228" s="22"/>
      <c r="M1228" s="22"/>
      <c r="N1228" s="22"/>
    </row>
    <row r="1229" spans="1:14" x14ac:dyDescent="0.3">
      <c r="A1229" s="22" t="s">
        <v>3335</v>
      </c>
      <c r="B1229" s="22">
        <v>0</v>
      </c>
      <c r="C1229" s="22"/>
      <c r="D1229" s="22"/>
      <c r="E1229" s="22"/>
      <c r="F1229" s="22"/>
      <c r="G1229" s="22"/>
      <c r="H1229" s="22"/>
      <c r="I1229" s="22"/>
      <c r="J1229" s="22"/>
      <c r="K1229" s="22"/>
      <c r="L1229" s="22"/>
      <c r="M1229" s="22"/>
      <c r="N1229" s="22"/>
    </row>
    <row r="1230" spans="1:14" x14ac:dyDescent="0.3">
      <c r="A1230" s="22" t="s">
        <v>3336</v>
      </c>
      <c r="B1230" s="22">
        <v>0</v>
      </c>
      <c r="C1230" s="22"/>
      <c r="D1230" s="22"/>
      <c r="E1230" s="22"/>
      <c r="F1230" s="22"/>
      <c r="G1230" s="22"/>
      <c r="H1230" s="22"/>
      <c r="I1230" s="22"/>
      <c r="J1230" s="22"/>
      <c r="K1230" s="22"/>
      <c r="L1230" s="22"/>
      <c r="M1230" s="22"/>
      <c r="N1230" s="22"/>
    </row>
    <row r="1231" spans="1:14" x14ac:dyDescent="0.3">
      <c r="A1231" s="22" t="s">
        <v>2664</v>
      </c>
      <c r="B1231" s="22">
        <v>90</v>
      </c>
      <c r="C1231" s="22"/>
      <c r="D1231" s="22"/>
      <c r="E1231" s="22"/>
      <c r="F1231" s="22"/>
      <c r="G1231" s="22"/>
      <c r="H1231" s="22"/>
      <c r="I1231" s="22"/>
      <c r="J1231" s="22"/>
      <c r="K1231" s="22"/>
      <c r="L1231" s="22"/>
      <c r="M1231" s="22"/>
      <c r="N1231" s="22"/>
    </row>
    <row r="1232" spans="1:14" x14ac:dyDescent="0.3">
      <c r="A1232" s="22" t="s">
        <v>3337</v>
      </c>
      <c r="B1232" s="22">
        <v>0</v>
      </c>
      <c r="C1232" s="22"/>
      <c r="D1232" s="22"/>
      <c r="E1232" s="22"/>
      <c r="F1232" s="22"/>
      <c r="G1232" s="22"/>
      <c r="H1232" s="22"/>
      <c r="I1232" s="22"/>
      <c r="J1232" s="22"/>
      <c r="K1232" s="22"/>
      <c r="L1232" s="22"/>
      <c r="M1232" s="22"/>
      <c r="N1232" s="22"/>
    </row>
    <row r="1233" spans="1:14" x14ac:dyDescent="0.3">
      <c r="A1233" s="22" t="s">
        <v>3338</v>
      </c>
      <c r="B1233" s="22">
        <v>0</v>
      </c>
      <c r="C1233" s="22"/>
      <c r="D1233" s="22"/>
      <c r="E1233" s="22"/>
      <c r="F1233" s="22"/>
      <c r="G1233" s="22"/>
      <c r="H1233" s="22"/>
      <c r="I1233" s="22"/>
      <c r="J1233" s="22"/>
      <c r="K1233" s="22"/>
      <c r="L1233" s="22"/>
      <c r="M1233" s="22"/>
      <c r="N1233" s="22"/>
    </row>
    <row r="1234" spans="1:14" x14ac:dyDescent="0.3">
      <c r="A1234" s="22" t="s">
        <v>3339</v>
      </c>
      <c r="B1234" s="22">
        <v>0</v>
      </c>
      <c r="C1234" s="22"/>
      <c r="D1234" s="22"/>
      <c r="E1234" s="22"/>
      <c r="F1234" s="22"/>
      <c r="G1234" s="22"/>
      <c r="H1234" s="22"/>
      <c r="I1234" s="22"/>
      <c r="J1234" s="22"/>
      <c r="K1234" s="22"/>
      <c r="L1234" s="22"/>
      <c r="M1234" s="22"/>
      <c r="N1234" s="22"/>
    </row>
    <row r="1235" spans="1:14" x14ac:dyDescent="0.3">
      <c r="A1235" s="22" t="s">
        <v>3340</v>
      </c>
      <c r="B1235" s="22">
        <v>0</v>
      </c>
      <c r="C1235" s="22"/>
      <c r="D1235" s="22"/>
      <c r="E1235" s="22"/>
      <c r="F1235" s="22"/>
      <c r="G1235" s="22"/>
      <c r="H1235" s="22"/>
      <c r="I1235" s="22"/>
      <c r="J1235" s="22"/>
      <c r="K1235" s="22"/>
      <c r="L1235" s="22"/>
      <c r="M1235" s="22"/>
      <c r="N1235" s="22"/>
    </row>
    <row r="1236" spans="1:14" x14ac:dyDescent="0.3">
      <c r="A1236" s="22" t="s">
        <v>3341</v>
      </c>
      <c r="B1236" s="22">
        <v>0</v>
      </c>
      <c r="C1236" s="22"/>
      <c r="D1236" s="22"/>
      <c r="E1236" s="22"/>
      <c r="F1236" s="22"/>
      <c r="G1236" s="22"/>
      <c r="H1236" s="22"/>
      <c r="I1236" s="22"/>
      <c r="J1236" s="22"/>
      <c r="K1236" s="22"/>
      <c r="L1236" s="22"/>
      <c r="M1236" s="22"/>
      <c r="N1236" s="22"/>
    </row>
    <row r="1237" spans="1:14" x14ac:dyDescent="0.3">
      <c r="A1237" s="22" t="s">
        <v>3342</v>
      </c>
      <c r="B1237" s="22">
        <v>0</v>
      </c>
      <c r="C1237" s="22"/>
      <c r="D1237" s="22"/>
      <c r="E1237" s="22"/>
      <c r="F1237" s="22"/>
      <c r="G1237" s="22"/>
      <c r="H1237" s="22"/>
      <c r="I1237" s="22"/>
      <c r="J1237" s="22"/>
      <c r="K1237" s="22"/>
      <c r="L1237" s="22"/>
      <c r="M1237" s="22"/>
      <c r="N1237" s="22"/>
    </row>
    <row r="1238" spans="1:14" x14ac:dyDescent="0.3">
      <c r="A1238" s="22" t="s">
        <v>3343</v>
      </c>
      <c r="B1238" s="22">
        <v>0</v>
      </c>
      <c r="C1238" s="22"/>
      <c r="D1238" s="22"/>
      <c r="E1238" s="22"/>
      <c r="F1238" s="22"/>
      <c r="G1238" s="22"/>
      <c r="H1238" s="22"/>
      <c r="I1238" s="22"/>
      <c r="J1238" s="22"/>
      <c r="K1238" s="22"/>
      <c r="L1238" s="22"/>
      <c r="M1238" s="22"/>
      <c r="N1238" s="22"/>
    </row>
    <row r="1239" spans="1:14" x14ac:dyDescent="0.3">
      <c r="A1239" s="22" t="s">
        <v>2665</v>
      </c>
      <c r="B1239" s="22">
        <v>191</v>
      </c>
      <c r="C1239" s="22"/>
      <c r="D1239" s="22"/>
      <c r="E1239" s="22"/>
      <c r="F1239" s="22"/>
      <c r="G1239" s="22"/>
      <c r="H1239" s="22"/>
      <c r="I1239" s="22"/>
      <c r="J1239" s="22"/>
      <c r="K1239" s="22"/>
      <c r="L1239" s="22"/>
      <c r="M1239" s="22"/>
      <c r="N1239" s="22"/>
    </row>
    <row r="1240" spans="1:14" x14ac:dyDescent="0.3">
      <c r="A1240" s="22" t="s">
        <v>3344</v>
      </c>
      <c r="B1240" s="22">
        <v>30</v>
      </c>
      <c r="C1240" s="22"/>
      <c r="D1240" s="22"/>
      <c r="E1240" s="22"/>
      <c r="F1240" s="22"/>
      <c r="G1240" s="22"/>
      <c r="H1240" s="22"/>
      <c r="I1240" s="22"/>
      <c r="J1240" s="22"/>
      <c r="K1240" s="22"/>
      <c r="L1240" s="22"/>
      <c r="M1240" s="22"/>
      <c r="N1240" s="22"/>
    </row>
    <row r="1241" spans="1:14" x14ac:dyDescent="0.3">
      <c r="A1241" s="22" t="s">
        <v>3345</v>
      </c>
      <c r="B1241" s="22">
        <v>5</v>
      </c>
      <c r="C1241" s="22"/>
      <c r="D1241" s="22"/>
      <c r="E1241" s="22"/>
      <c r="F1241" s="22"/>
      <c r="G1241" s="22"/>
      <c r="H1241" s="22"/>
      <c r="I1241" s="22"/>
      <c r="J1241" s="22"/>
      <c r="K1241" s="22"/>
      <c r="L1241" s="22"/>
      <c r="M1241" s="22"/>
      <c r="N1241" s="22"/>
    </row>
    <row r="1242" spans="1:14" x14ac:dyDescent="0.3">
      <c r="A1242" s="22" t="s">
        <v>3346</v>
      </c>
      <c r="B1242" s="22">
        <v>0</v>
      </c>
      <c r="C1242" s="22"/>
      <c r="D1242" s="22"/>
      <c r="E1242" s="22"/>
      <c r="F1242" s="22"/>
      <c r="G1242" s="22"/>
      <c r="H1242" s="22"/>
      <c r="I1242" s="22"/>
      <c r="J1242" s="22"/>
      <c r="K1242" s="22"/>
      <c r="L1242" s="22"/>
      <c r="M1242" s="22"/>
      <c r="N1242" s="22"/>
    </row>
    <row r="1243" spans="1:14" x14ac:dyDescent="0.3">
      <c r="A1243" s="22" t="s">
        <v>3347</v>
      </c>
      <c r="B1243" s="22">
        <v>0</v>
      </c>
      <c r="C1243" s="22"/>
      <c r="D1243" s="22"/>
      <c r="E1243" s="22"/>
      <c r="F1243" s="22"/>
      <c r="G1243" s="22"/>
      <c r="H1243" s="22"/>
      <c r="I1243" s="22"/>
      <c r="J1243" s="22"/>
      <c r="K1243" s="22"/>
      <c r="L1243" s="22"/>
      <c r="M1243" s="22"/>
      <c r="N1243" s="22"/>
    </row>
    <row r="1244" spans="1:14" x14ac:dyDescent="0.3">
      <c r="A1244" s="22" t="s">
        <v>3348</v>
      </c>
      <c r="B1244" s="22">
        <v>0</v>
      </c>
      <c r="C1244" s="22"/>
      <c r="D1244" s="22"/>
      <c r="E1244" s="22"/>
      <c r="F1244" s="22"/>
      <c r="G1244" s="22"/>
      <c r="H1244" s="22"/>
      <c r="I1244" s="22"/>
      <c r="J1244" s="22"/>
      <c r="K1244" s="22"/>
      <c r="L1244" s="22"/>
      <c r="M1244" s="22"/>
      <c r="N1244" s="22"/>
    </row>
    <row r="1245" spans="1:14" x14ac:dyDescent="0.3">
      <c r="A1245" s="22" t="s">
        <v>3349</v>
      </c>
      <c r="B1245" s="22">
        <v>0</v>
      </c>
      <c r="C1245" s="22"/>
      <c r="D1245" s="22"/>
      <c r="E1245" s="22"/>
      <c r="F1245" s="22"/>
      <c r="G1245" s="22"/>
      <c r="H1245" s="22"/>
      <c r="I1245" s="22"/>
      <c r="J1245" s="22"/>
      <c r="K1245" s="22"/>
      <c r="L1245" s="22"/>
      <c r="M1245" s="22"/>
      <c r="N1245" s="22"/>
    </row>
    <row r="1246" spans="1:14" x14ac:dyDescent="0.3">
      <c r="A1246" s="22" t="s">
        <v>3350</v>
      </c>
      <c r="B1246" s="22">
        <v>0</v>
      </c>
      <c r="C1246" s="22"/>
      <c r="D1246" s="22"/>
      <c r="E1246" s="22"/>
      <c r="F1246" s="22"/>
      <c r="G1246" s="22"/>
      <c r="H1246" s="22"/>
      <c r="I1246" s="22"/>
      <c r="J1246" s="22"/>
      <c r="K1246" s="22"/>
      <c r="L1246" s="22"/>
      <c r="M1246" s="22"/>
      <c r="N1246" s="22"/>
    </row>
    <row r="1247" spans="1:14" x14ac:dyDescent="0.3">
      <c r="A1247" s="22" t="s">
        <v>2646</v>
      </c>
      <c r="B1247" s="22">
        <v>59</v>
      </c>
      <c r="C1247" s="22"/>
      <c r="D1247" s="22"/>
      <c r="E1247" s="22"/>
      <c r="F1247" s="22"/>
      <c r="G1247" s="22"/>
      <c r="H1247" s="22"/>
      <c r="I1247" s="22"/>
      <c r="J1247" s="22"/>
      <c r="K1247" s="22"/>
      <c r="L1247" s="22"/>
      <c r="M1247" s="22"/>
      <c r="N1247" s="22"/>
    </row>
    <row r="1248" spans="1:14" x14ac:dyDescent="0.3">
      <c r="A1248" s="22" t="s">
        <v>3351</v>
      </c>
      <c r="B1248" s="22">
        <v>0</v>
      </c>
      <c r="C1248" s="22"/>
      <c r="D1248" s="22"/>
      <c r="E1248" s="22"/>
      <c r="F1248" s="22"/>
      <c r="G1248" s="22"/>
      <c r="H1248" s="22"/>
      <c r="I1248" s="22"/>
      <c r="J1248" s="22"/>
      <c r="K1248" s="22"/>
      <c r="L1248" s="22"/>
      <c r="M1248" s="22"/>
      <c r="N1248" s="22"/>
    </row>
    <row r="1249" spans="1:14" x14ac:dyDescent="0.3">
      <c r="A1249" s="22" t="s">
        <v>3352</v>
      </c>
      <c r="B1249" s="22">
        <v>0</v>
      </c>
      <c r="C1249" s="22"/>
      <c r="D1249" s="22"/>
      <c r="E1249" s="22"/>
      <c r="F1249" s="22"/>
      <c r="G1249" s="22"/>
      <c r="H1249" s="22"/>
      <c r="I1249" s="22"/>
      <c r="J1249" s="22"/>
      <c r="K1249" s="22"/>
      <c r="L1249" s="22"/>
      <c r="M1249" s="22"/>
      <c r="N1249" s="22"/>
    </row>
    <row r="1250" spans="1:14" x14ac:dyDescent="0.3">
      <c r="A1250" s="22" t="s">
        <v>3353</v>
      </c>
      <c r="B1250" s="22">
        <v>0</v>
      </c>
      <c r="C1250" s="22"/>
      <c r="D1250" s="22"/>
      <c r="E1250" s="22"/>
      <c r="F1250" s="22"/>
      <c r="G1250" s="22"/>
      <c r="H1250" s="22"/>
      <c r="I1250" s="22"/>
      <c r="J1250" s="22"/>
      <c r="K1250" s="22"/>
      <c r="L1250" s="22"/>
      <c r="M1250" s="22"/>
      <c r="N1250" s="22"/>
    </row>
    <row r="1251" spans="1:14" x14ac:dyDescent="0.3">
      <c r="A1251" s="22" t="s">
        <v>3354</v>
      </c>
      <c r="B1251" s="22">
        <v>0</v>
      </c>
      <c r="C1251" s="22"/>
      <c r="D1251" s="22"/>
      <c r="E1251" s="22"/>
      <c r="F1251" s="22"/>
      <c r="G1251" s="22"/>
      <c r="H1251" s="22"/>
      <c r="I1251" s="22"/>
      <c r="J1251" s="22"/>
      <c r="K1251" s="22"/>
      <c r="L1251" s="22"/>
      <c r="M1251" s="22"/>
      <c r="N1251" s="22"/>
    </row>
    <row r="1252" spans="1:14" x14ac:dyDescent="0.3">
      <c r="A1252" s="22" t="s">
        <v>3355</v>
      </c>
      <c r="B1252" s="22">
        <v>0</v>
      </c>
      <c r="C1252" s="22"/>
      <c r="D1252" s="22"/>
      <c r="E1252" s="22"/>
      <c r="F1252" s="22"/>
      <c r="G1252" s="22"/>
      <c r="H1252" s="22"/>
      <c r="I1252" s="22"/>
      <c r="J1252" s="22"/>
      <c r="K1252" s="22"/>
      <c r="L1252" s="22"/>
      <c r="M1252" s="22"/>
      <c r="N1252" s="22"/>
    </row>
    <row r="1253" spans="1:14" x14ac:dyDescent="0.3">
      <c r="A1253" s="22" t="s">
        <v>3356</v>
      </c>
      <c r="B1253" s="22">
        <v>0</v>
      </c>
      <c r="C1253" s="22"/>
      <c r="D1253" s="22"/>
      <c r="E1253" s="22"/>
      <c r="F1253" s="22"/>
      <c r="G1253" s="22"/>
      <c r="H1253" s="22"/>
      <c r="I1253" s="22"/>
      <c r="J1253" s="22"/>
      <c r="K1253" s="22"/>
      <c r="L1253" s="22"/>
      <c r="M1253" s="22"/>
      <c r="N1253" s="22"/>
    </row>
    <row r="1254" spans="1:14" x14ac:dyDescent="0.3">
      <c r="A1254" s="22" t="s">
        <v>3357</v>
      </c>
      <c r="B1254" s="22">
        <v>0</v>
      </c>
      <c r="C1254" s="22"/>
      <c r="D1254" s="22"/>
      <c r="E1254" s="22"/>
      <c r="F1254" s="22"/>
      <c r="G1254" s="22"/>
      <c r="H1254" s="22"/>
      <c r="I1254" s="22"/>
      <c r="J1254" s="22"/>
      <c r="K1254" s="22"/>
      <c r="L1254" s="22"/>
      <c r="M1254" s="22"/>
      <c r="N1254" s="22"/>
    </row>
    <row r="1255" spans="1:14" x14ac:dyDescent="0.3">
      <c r="A1255" s="22" t="s">
        <v>2666</v>
      </c>
      <c r="B1255" s="22">
        <v>155</v>
      </c>
      <c r="C1255" s="22"/>
      <c r="D1255" s="22"/>
      <c r="E1255" s="22"/>
      <c r="F1255" s="22"/>
      <c r="G1255" s="22"/>
      <c r="H1255" s="22"/>
      <c r="I1255" s="22"/>
      <c r="J1255" s="22"/>
      <c r="K1255" s="22"/>
      <c r="L1255" s="22"/>
      <c r="M1255" s="22"/>
      <c r="N1255" s="22"/>
    </row>
    <row r="1256" spans="1:14" x14ac:dyDescent="0.3">
      <c r="A1256" s="22" t="s">
        <v>3358</v>
      </c>
      <c r="B1256" s="22">
        <v>9</v>
      </c>
      <c r="C1256" s="22"/>
      <c r="D1256" s="22"/>
      <c r="E1256" s="22"/>
      <c r="F1256" s="22"/>
      <c r="G1256" s="22"/>
      <c r="H1256" s="22"/>
      <c r="I1256" s="22"/>
      <c r="J1256" s="22"/>
      <c r="K1256" s="22"/>
      <c r="L1256" s="22"/>
      <c r="M1256" s="22"/>
      <c r="N1256" s="22"/>
    </row>
    <row r="1257" spans="1:14" x14ac:dyDescent="0.3">
      <c r="A1257" s="22" t="s">
        <v>3359</v>
      </c>
      <c r="B1257" s="22">
        <v>0</v>
      </c>
      <c r="C1257" s="22"/>
      <c r="D1257" s="22"/>
      <c r="E1257" s="22"/>
      <c r="F1257" s="22"/>
      <c r="G1257" s="22"/>
      <c r="H1257" s="22"/>
      <c r="I1257" s="22"/>
      <c r="J1257" s="22"/>
      <c r="K1257" s="22"/>
      <c r="L1257" s="22"/>
      <c r="M1257" s="22"/>
      <c r="N1257" s="22"/>
    </row>
    <row r="1258" spans="1:14" x14ac:dyDescent="0.3">
      <c r="A1258" s="22" t="s">
        <v>3360</v>
      </c>
      <c r="B1258" s="22">
        <v>0</v>
      </c>
      <c r="C1258" s="22"/>
      <c r="D1258" s="22"/>
      <c r="E1258" s="22"/>
      <c r="F1258" s="22"/>
      <c r="G1258" s="22"/>
      <c r="H1258" s="22"/>
      <c r="I1258" s="22"/>
      <c r="J1258" s="22"/>
      <c r="K1258" s="22"/>
      <c r="L1258" s="22"/>
      <c r="M1258" s="22"/>
      <c r="N1258" s="22"/>
    </row>
    <row r="1259" spans="1:14" x14ac:dyDescent="0.3">
      <c r="A1259" s="22" t="s">
        <v>3361</v>
      </c>
      <c r="B1259" s="22">
        <v>1</v>
      </c>
      <c r="C1259" s="22"/>
      <c r="D1259" s="22"/>
      <c r="E1259" s="22"/>
      <c r="F1259" s="22"/>
      <c r="G1259" s="22"/>
      <c r="H1259" s="22"/>
      <c r="I1259" s="22"/>
      <c r="J1259" s="22"/>
      <c r="K1259" s="22"/>
      <c r="L1259" s="22"/>
      <c r="M1259" s="22"/>
      <c r="N1259" s="22"/>
    </row>
    <row r="1260" spans="1:14" x14ac:dyDescent="0.3">
      <c r="A1260" s="22" t="s">
        <v>3362</v>
      </c>
      <c r="B1260" s="22">
        <v>0</v>
      </c>
      <c r="C1260" s="22"/>
      <c r="D1260" s="22"/>
      <c r="E1260" s="22"/>
      <c r="F1260" s="22"/>
      <c r="G1260" s="22"/>
      <c r="H1260" s="22"/>
      <c r="I1260" s="22"/>
      <c r="J1260" s="22"/>
      <c r="K1260" s="22"/>
      <c r="L1260" s="22"/>
      <c r="M1260" s="22"/>
      <c r="N1260" s="22"/>
    </row>
    <row r="1261" spans="1:14" x14ac:dyDescent="0.3">
      <c r="A1261" s="22" t="s">
        <v>3363</v>
      </c>
      <c r="B1261" s="22">
        <v>0</v>
      </c>
      <c r="C1261" s="22"/>
      <c r="D1261" s="22"/>
      <c r="E1261" s="22"/>
      <c r="F1261" s="22"/>
      <c r="G1261" s="22"/>
      <c r="H1261" s="22"/>
      <c r="I1261" s="22"/>
      <c r="J1261" s="22"/>
      <c r="K1261" s="22"/>
      <c r="L1261" s="22"/>
      <c r="M1261" s="22"/>
      <c r="N1261" s="22"/>
    </row>
    <row r="1262" spans="1:14" x14ac:dyDescent="0.3">
      <c r="A1262" s="22" t="s">
        <v>3364</v>
      </c>
      <c r="B1262" s="22">
        <v>0</v>
      </c>
      <c r="C1262" s="22"/>
      <c r="D1262" s="22"/>
      <c r="E1262" s="22"/>
      <c r="F1262" s="22"/>
      <c r="G1262" s="22"/>
      <c r="H1262" s="22"/>
      <c r="I1262" s="22"/>
      <c r="J1262" s="22"/>
      <c r="K1262" s="22"/>
      <c r="L1262" s="22"/>
      <c r="M1262" s="22"/>
      <c r="N1262" s="22"/>
    </row>
    <row r="1263" spans="1:14" x14ac:dyDescent="0.3">
      <c r="A1263" s="22" t="s">
        <v>2667</v>
      </c>
      <c r="B1263" s="22">
        <v>234</v>
      </c>
      <c r="C1263" s="22"/>
      <c r="D1263" s="22"/>
      <c r="E1263" s="22"/>
      <c r="F1263" s="22"/>
      <c r="G1263" s="22"/>
      <c r="H1263" s="22"/>
      <c r="I1263" s="22"/>
      <c r="J1263" s="22"/>
      <c r="K1263" s="22"/>
      <c r="L1263" s="22"/>
      <c r="M1263" s="22"/>
      <c r="N1263" s="22"/>
    </row>
    <row r="1264" spans="1:14" x14ac:dyDescent="0.3">
      <c r="A1264" s="22" t="s">
        <v>3365</v>
      </c>
      <c r="B1264" s="22">
        <v>51</v>
      </c>
      <c r="C1264" s="22"/>
      <c r="D1264" s="22"/>
      <c r="E1264" s="22"/>
      <c r="F1264" s="22"/>
      <c r="G1264" s="22"/>
      <c r="H1264" s="22"/>
      <c r="I1264" s="22"/>
      <c r="J1264" s="22"/>
      <c r="K1264" s="22"/>
      <c r="L1264" s="22"/>
      <c r="M1264" s="22"/>
      <c r="N1264" s="22"/>
    </row>
    <row r="1265" spans="1:14" x14ac:dyDescent="0.3">
      <c r="A1265" s="22" t="s">
        <v>3366</v>
      </c>
      <c r="B1265" s="22">
        <v>4</v>
      </c>
      <c r="C1265" s="22"/>
      <c r="D1265" s="22"/>
      <c r="E1265" s="22"/>
      <c r="F1265" s="22"/>
      <c r="G1265" s="22"/>
      <c r="H1265" s="22"/>
      <c r="I1265" s="22"/>
      <c r="J1265" s="22"/>
      <c r="K1265" s="22"/>
      <c r="L1265" s="22"/>
      <c r="M1265" s="22"/>
      <c r="N1265" s="22"/>
    </row>
    <row r="1266" spans="1:14" x14ac:dyDescent="0.3">
      <c r="A1266" s="22" t="s">
        <v>3367</v>
      </c>
      <c r="B1266" s="22">
        <v>0</v>
      </c>
      <c r="C1266" s="22"/>
      <c r="D1266" s="22"/>
      <c r="E1266" s="22"/>
      <c r="F1266" s="22"/>
      <c r="G1266" s="22"/>
      <c r="H1266" s="22"/>
      <c r="I1266" s="22"/>
      <c r="J1266" s="22"/>
      <c r="K1266" s="22"/>
      <c r="L1266" s="22"/>
      <c r="M1266" s="22"/>
      <c r="N1266" s="22"/>
    </row>
    <row r="1267" spans="1:14" x14ac:dyDescent="0.3">
      <c r="A1267" s="22" t="s">
        <v>3368</v>
      </c>
      <c r="B1267" s="22">
        <v>0</v>
      </c>
      <c r="C1267" s="22"/>
      <c r="D1267" s="22"/>
      <c r="E1267" s="22"/>
      <c r="F1267" s="22"/>
      <c r="G1267" s="22"/>
      <c r="H1267" s="22"/>
      <c r="I1267" s="22"/>
      <c r="J1267" s="22"/>
      <c r="K1267" s="22"/>
      <c r="L1267" s="22"/>
      <c r="M1267" s="22"/>
      <c r="N1267" s="22"/>
    </row>
    <row r="1268" spans="1:14" x14ac:dyDescent="0.3">
      <c r="A1268" s="22" t="s">
        <v>3369</v>
      </c>
      <c r="B1268" s="22">
        <v>0</v>
      </c>
      <c r="C1268" s="22"/>
      <c r="D1268" s="22"/>
      <c r="E1268" s="22"/>
      <c r="F1268" s="22"/>
      <c r="G1268" s="22"/>
      <c r="H1268" s="22"/>
      <c r="I1268" s="22"/>
      <c r="J1268" s="22"/>
      <c r="K1268" s="22"/>
      <c r="L1268" s="22"/>
      <c r="M1268" s="22"/>
      <c r="N1268" s="22"/>
    </row>
    <row r="1269" spans="1:14" x14ac:dyDescent="0.3">
      <c r="A1269" s="22" t="s">
        <v>3370</v>
      </c>
      <c r="B1269" s="22">
        <v>0</v>
      </c>
      <c r="C1269" s="22"/>
      <c r="D1269" s="22"/>
      <c r="E1269" s="22"/>
      <c r="F1269" s="22"/>
      <c r="G1269" s="22"/>
      <c r="H1269" s="22"/>
      <c r="I1269" s="22"/>
      <c r="J1269" s="22"/>
      <c r="K1269" s="22"/>
      <c r="L1269" s="22"/>
      <c r="M1269" s="22"/>
      <c r="N1269" s="22"/>
    </row>
    <row r="1270" spans="1:14" x14ac:dyDescent="0.3">
      <c r="A1270" s="22" t="s">
        <v>3371</v>
      </c>
      <c r="B1270" s="22">
        <v>0</v>
      </c>
      <c r="C1270" s="22"/>
      <c r="D1270" s="22"/>
      <c r="E1270" s="22"/>
      <c r="F1270" s="22"/>
      <c r="G1270" s="22"/>
      <c r="H1270" s="22"/>
      <c r="I1270" s="22"/>
      <c r="J1270" s="22"/>
      <c r="K1270" s="22"/>
      <c r="L1270" s="22"/>
      <c r="M1270" s="22"/>
      <c r="N1270" s="22"/>
    </row>
    <row r="1271" spans="1:14" x14ac:dyDescent="0.3">
      <c r="A1271" s="22" t="s">
        <v>2647</v>
      </c>
      <c r="B1271" s="22">
        <v>4</v>
      </c>
      <c r="C1271" s="22"/>
      <c r="D1271" s="22"/>
      <c r="E1271" s="22"/>
      <c r="F1271" s="22"/>
      <c r="G1271" s="22"/>
      <c r="H1271" s="22"/>
      <c r="I1271" s="22"/>
      <c r="J1271" s="22"/>
      <c r="K1271" s="22"/>
      <c r="L1271" s="22"/>
      <c r="M1271" s="22"/>
      <c r="N1271" s="22"/>
    </row>
    <row r="1272" spans="1:14" x14ac:dyDescent="0.3">
      <c r="A1272" s="22" t="s">
        <v>3372</v>
      </c>
      <c r="B1272" s="22">
        <v>0</v>
      </c>
      <c r="C1272" s="22"/>
      <c r="D1272" s="22"/>
      <c r="E1272" s="22"/>
      <c r="F1272" s="22"/>
      <c r="G1272" s="22"/>
      <c r="H1272" s="22"/>
      <c r="I1272" s="22"/>
      <c r="J1272" s="22"/>
      <c r="K1272" s="22"/>
      <c r="L1272" s="22"/>
      <c r="M1272" s="22"/>
      <c r="N1272" s="22"/>
    </row>
    <row r="1273" spans="1:14" x14ac:dyDescent="0.3">
      <c r="A1273" s="22" t="s">
        <v>3373</v>
      </c>
      <c r="B1273" s="22">
        <v>0</v>
      </c>
      <c r="C1273" s="22"/>
      <c r="D1273" s="22"/>
      <c r="E1273" s="22"/>
      <c r="F1273" s="22"/>
      <c r="G1273" s="22"/>
      <c r="H1273" s="22"/>
      <c r="I1273" s="22"/>
      <c r="J1273" s="22"/>
      <c r="K1273" s="22"/>
      <c r="L1273" s="22"/>
      <c r="M1273" s="22"/>
      <c r="N1273" s="22"/>
    </row>
    <row r="1274" spans="1:14" x14ac:dyDescent="0.3">
      <c r="A1274" s="22" t="s">
        <v>3374</v>
      </c>
      <c r="B1274" s="22">
        <v>0</v>
      </c>
      <c r="C1274" s="22"/>
      <c r="D1274" s="22"/>
      <c r="E1274" s="22"/>
      <c r="F1274" s="22"/>
      <c r="G1274" s="22"/>
      <c r="H1274" s="22"/>
      <c r="I1274" s="22"/>
      <c r="J1274" s="22"/>
      <c r="K1274" s="22"/>
      <c r="L1274" s="22"/>
      <c r="M1274" s="22"/>
      <c r="N1274" s="22"/>
    </row>
    <row r="1275" spans="1:14" x14ac:dyDescent="0.3">
      <c r="A1275" s="22" t="s">
        <v>3375</v>
      </c>
      <c r="B1275" s="22">
        <v>0</v>
      </c>
      <c r="C1275" s="22"/>
      <c r="D1275" s="22"/>
      <c r="E1275" s="22"/>
      <c r="F1275" s="22"/>
      <c r="G1275" s="22"/>
      <c r="H1275" s="22"/>
      <c r="I1275" s="22"/>
      <c r="J1275" s="22"/>
      <c r="K1275" s="22"/>
      <c r="L1275" s="22"/>
      <c r="M1275" s="22"/>
      <c r="N1275" s="22"/>
    </row>
    <row r="1276" spans="1:14" x14ac:dyDescent="0.3">
      <c r="A1276" s="22" t="s">
        <v>3376</v>
      </c>
      <c r="B1276" s="22">
        <v>0</v>
      </c>
      <c r="C1276" s="22"/>
      <c r="D1276" s="22"/>
      <c r="E1276" s="22"/>
      <c r="F1276" s="22"/>
      <c r="G1276" s="22"/>
      <c r="H1276" s="22"/>
      <c r="I1276" s="22"/>
      <c r="J1276" s="22"/>
      <c r="K1276" s="22"/>
      <c r="L1276" s="22"/>
      <c r="M1276" s="22"/>
      <c r="N1276" s="22"/>
    </row>
    <row r="1277" spans="1:14" x14ac:dyDescent="0.3">
      <c r="A1277" s="22" t="s">
        <v>3377</v>
      </c>
      <c r="B1277" s="22">
        <v>0</v>
      </c>
      <c r="C1277" s="22"/>
      <c r="D1277" s="22"/>
      <c r="E1277" s="22"/>
      <c r="F1277" s="22"/>
      <c r="G1277" s="22"/>
      <c r="H1277" s="22"/>
      <c r="I1277" s="22"/>
      <c r="J1277" s="22"/>
      <c r="K1277" s="22"/>
      <c r="L1277" s="22"/>
      <c r="M1277" s="22"/>
      <c r="N1277" s="22"/>
    </row>
    <row r="1278" spans="1:14" x14ac:dyDescent="0.3">
      <c r="A1278" s="22" t="s">
        <v>3378</v>
      </c>
      <c r="B1278" s="22">
        <v>0</v>
      </c>
      <c r="C1278" s="22"/>
      <c r="D1278" s="22"/>
      <c r="E1278" s="22"/>
      <c r="F1278" s="22"/>
      <c r="G1278" s="22"/>
      <c r="H1278" s="22"/>
      <c r="I1278" s="22"/>
      <c r="J1278" s="22"/>
      <c r="K1278" s="22"/>
      <c r="L1278" s="22"/>
      <c r="M1278" s="22"/>
      <c r="N1278" s="22"/>
    </row>
    <row r="1279" spans="1:14" x14ac:dyDescent="0.3">
      <c r="A1279" s="22" t="s">
        <v>2668</v>
      </c>
      <c r="B1279" s="22">
        <v>0</v>
      </c>
      <c r="C1279" s="22"/>
      <c r="D1279" s="22"/>
      <c r="E1279" s="22"/>
      <c r="F1279" s="22"/>
      <c r="G1279" s="22"/>
      <c r="H1279" s="22"/>
      <c r="I1279" s="22"/>
      <c r="J1279" s="22"/>
      <c r="K1279" s="22"/>
      <c r="L1279" s="22"/>
      <c r="M1279" s="22"/>
      <c r="N1279" s="22"/>
    </row>
    <row r="1280" spans="1:14" x14ac:dyDescent="0.3">
      <c r="A1280" s="22" t="s">
        <v>3379</v>
      </c>
      <c r="B1280" s="22">
        <v>0</v>
      </c>
      <c r="C1280" s="22"/>
      <c r="D1280" s="22"/>
      <c r="E1280" s="22"/>
      <c r="F1280" s="22"/>
      <c r="G1280" s="22"/>
      <c r="H1280" s="22"/>
      <c r="I1280" s="22"/>
      <c r="J1280" s="22"/>
      <c r="K1280" s="22"/>
      <c r="L1280" s="22"/>
      <c r="M1280" s="22"/>
      <c r="N1280" s="22"/>
    </row>
    <row r="1281" spans="1:14" x14ac:dyDescent="0.3">
      <c r="A1281" s="22" t="s">
        <v>3380</v>
      </c>
      <c r="B1281" s="22">
        <v>0</v>
      </c>
      <c r="C1281" s="22"/>
      <c r="D1281" s="22"/>
      <c r="E1281" s="22"/>
      <c r="F1281" s="22"/>
      <c r="G1281" s="22"/>
      <c r="H1281" s="22"/>
      <c r="I1281" s="22"/>
      <c r="J1281" s="22"/>
      <c r="K1281" s="22"/>
      <c r="L1281" s="22"/>
      <c r="M1281" s="22"/>
      <c r="N1281" s="22"/>
    </row>
    <row r="1282" spans="1:14" x14ac:dyDescent="0.3">
      <c r="A1282" s="22" t="s">
        <v>3381</v>
      </c>
      <c r="B1282" s="22">
        <v>0</v>
      </c>
      <c r="C1282" s="22"/>
      <c r="D1282" s="22"/>
      <c r="E1282" s="22"/>
      <c r="F1282" s="22"/>
      <c r="G1282" s="22"/>
      <c r="H1282" s="22"/>
      <c r="I1282" s="22"/>
      <c r="J1282" s="22"/>
      <c r="K1282" s="22"/>
      <c r="L1282" s="22"/>
      <c r="M1282" s="22"/>
      <c r="N1282" s="22"/>
    </row>
    <row r="1283" spans="1:14" x14ac:dyDescent="0.3">
      <c r="A1283" s="22" t="s">
        <v>3382</v>
      </c>
      <c r="B1283" s="22">
        <v>0</v>
      </c>
      <c r="C1283" s="22"/>
      <c r="D1283" s="22"/>
      <c r="E1283" s="22"/>
      <c r="F1283" s="22"/>
      <c r="G1283" s="22"/>
      <c r="H1283" s="22"/>
      <c r="I1283" s="22"/>
      <c r="J1283" s="22"/>
      <c r="K1283" s="22"/>
      <c r="L1283" s="22"/>
      <c r="M1283" s="22"/>
      <c r="N1283" s="22"/>
    </row>
    <row r="1284" spans="1:14" x14ac:dyDescent="0.3">
      <c r="A1284" s="22" t="s">
        <v>3383</v>
      </c>
      <c r="B1284" s="22">
        <v>0</v>
      </c>
      <c r="C1284" s="22"/>
      <c r="D1284" s="22"/>
      <c r="E1284" s="22"/>
      <c r="F1284" s="22"/>
      <c r="G1284" s="22"/>
      <c r="H1284" s="22"/>
      <c r="I1284" s="22"/>
      <c r="J1284" s="22"/>
      <c r="K1284" s="22"/>
      <c r="L1284" s="22"/>
      <c r="M1284" s="22"/>
      <c r="N1284" s="22"/>
    </row>
    <row r="1285" spans="1:14" x14ac:dyDescent="0.3">
      <c r="A1285" s="22" t="s">
        <v>3384</v>
      </c>
      <c r="B1285" s="22">
        <v>0</v>
      </c>
      <c r="C1285" s="22"/>
      <c r="D1285" s="22"/>
      <c r="E1285" s="22"/>
      <c r="F1285" s="22"/>
      <c r="G1285" s="22"/>
      <c r="H1285" s="22"/>
      <c r="I1285" s="22"/>
      <c r="J1285" s="22"/>
      <c r="K1285" s="22"/>
      <c r="L1285" s="22"/>
      <c r="M1285" s="22"/>
      <c r="N1285" s="22"/>
    </row>
    <row r="1286" spans="1:14" x14ac:dyDescent="0.3">
      <c r="A1286" s="22" t="s">
        <v>3385</v>
      </c>
      <c r="B1286" s="22">
        <v>0</v>
      </c>
      <c r="C1286" s="22"/>
      <c r="D1286" s="22"/>
      <c r="E1286" s="22"/>
      <c r="F1286" s="22"/>
      <c r="G1286" s="22"/>
      <c r="H1286" s="22"/>
      <c r="I1286" s="22"/>
      <c r="J1286" s="22"/>
      <c r="K1286" s="22"/>
      <c r="L1286" s="22"/>
      <c r="M1286" s="22"/>
      <c r="N1286" s="22"/>
    </row>
    <row r="1287" spans="1:14" x14ac:dyDescent="0.3">
      <c r="A1287" s="22" t="s">
        <v>2669</v>
      </c>
      <c r="B1287" s="22">
        <v>132</v>
      </c>
      <c r="C1287" s="22"/>
      <c r="D1287" s="22"/>
      <c r="E1287" s="22"/>
      <c r="F1287" s="22"/>
      <c r="G1287" s="22"/>
      <c r="H1287" s="22"/>
      <c r="I1287" s="22"/>
      <c r="J1287" s="22"/>
      <c r="K1287" s="22"/>
      <c r="L1287" s="22"/>
      <c r="M1287" s="22"/>
      <c r="N1287" s="22"/>
    </row>
    <row r="1288" spans="1:14" x14ac:dyDescent="0.3">
      <c r="A1288" s="22" t="s">
        <v>3386</v>
      </c>
      <c r="B1288" s="22">
        <v>71</v>
      </c>
      <c r="C1288" s="22"/>
      <c r="D1288" s="22"/>
      <c r="E1288" s="22"/>
      <c r="F1288" s="22"/>
      <c r="G1288" s="22"/>
      <c r="H1288" s="22"/>
      <c r="I1288" s="22"/>
      <c r="J1288" s="22"/>
      <c r="K1288" s="22"/>
      <c r="L1288" s="22"/>
      <c r="M1288" s="22"/>
      <c r="N1288" s="22"/>
    </row>
    <row r="1289" spans="1:14" x14ac:dyDescent="0.3">
      <c r="A1289" s="22" t="s">
        <v>3387</v>
      </c>
      <c r="B1289" s="22">
        <v>0</v>
      </c>
      <c r="C1289" s="22"/>
      <c r="D1289" s="22"/>
      <c r="E1289" s="22"/>
      <c r="F1289" s="22"/>
      <c r="G1289" s="22"/>
      <c r="H1289" s="22"/>
      <c r="I1289" s="22"/>
      <c r="J1289" s="22"/>
      <c r="K1289" s="22"/>
      <c r="L1289" s="22"/>
      <c r="M1289" s="22"/>
      <c r="N1289" s="22"/>
    </row>
    <row r="1290" spans="1:14" x14ac:dyDescent="0.3">
      <c r="A1290" s="22" t="s">
        <v>3388</v>
      </c>
      <c r="B1290" s="22">
        <v>0</v>
      </c>
      <c r="C1290" s="22"/>
      <c r="D1290" s="22"/>
      <c r="E1290" s="22"/>
      <c r="F1290" s="22"/>
      <c r="G1290" s="22"/>
      <c r="H1290" s="22"/>
      <c r="I1290" s="22"/>
      <c r="J1290" s="22"/>
      <c r="K1290" s="22"/>
      <c r="L1290" s="22"/>
      <c r="M1290" s="22"/>
      <c r="N1290" s="22"/>
    </row>
    <row r="1291" spans="1:14" x14ac:dyDescent="0.3">
      <c r="A1291" s="22" t="s">
        <v>3389</v>
      </c>
      <c r="B1291" s="22">
        <v>0</v>
      </c>
      <c r="C1291" s="22"/>
      <c r="D1291" s="22"/>
      <c r="E1291" s="22"/>
      <c r="F1291" s="22"/>
      <c r="G1291" s="22"/>
      <c r="H1291" s="22"/>
      <c r="I1291" s="22"/>
      <c r="J1291" s="22"/>
      <c r="K1291" s="22"/>
      <c r="L1291" s="22"/>
      <c r="M1291" s="22"/>
      <c r="N1291" s="22"/>
    </row>
    <row r="1292" spans="1:14" x14ac:dyDescent="0.3">
      <c r="A1292" s="22" t="s">
        <v>3390</v>
      </c>
      <c r="B1292" s="22">
        <v>0</v>
      </c>
      <c r="C1292" s="22"/>
      <c r="D1292" s="22"/>
      <c r="E1292" s="22"/>
      <c r="F1292" s="22"/>
      <c r="G1292" s="22"/>
      <c r="H1292" s="22"/>
      <c r="I1292" s="22"/>
      <c r="J1292" s="22"/>
      <c r="K1292" s="22"/>
      <c r="L1292" s="22"/>
      <c r="M1292" s="22"/>
      <c r="N1292" s="22"/>
    </row>
    <row r="1293" spans="1:14" x14ac:dyDescent="0.3">
      <c r="A1293" s="22" t="s">
        <v>3391</v>
      </c>
      <c r="B1293" s="22">
        <v>0</v>
      </c>
      <c r="C1293" s="22"/>
      <c r="D1293" s="22"/>
      <c r="E1293" s="22"/>
      <c r="F1293" s="22"/>
      <c r="G1293" s="22"/>
      <c r="H1293" s="22"/>
      <c r="I1293" s="22"/>
      <c r="J1293" s="22"/>
      <c r="K1293" s="22"/>
      <c r="L1293" s="22"/>
      <c r="M1293" s="22"/>
      <c r="N1293" s="22"/>
    </row>
    <row r="1294" spans="1:14" x14ac:dyDescent="0.3">
      <c r="A1294" s="22" t="s">
        <v>3392</v>
      </c>
      <c r="B1294" s="22">
        <v>0</v>
      </c>
      <c r="C1294" s="22"/>
      <c r="D1294" s="22"/>
      <c r="E1294" s="22"/>
      <c r="F1294" s="22"/>
      <c r="G1294" s="22"/>
      <c r="H1294" s="22"/>
      <c r="I1294" s="22"/>
      <c r="J1294" s="22"/>
      <c r="K1294" s="22"/>
      <c r="L1294" s="22"/>
      <c r="M1294" s="22"/>
      <c r="N1294" s="22"/>
    </row>
    <row r="1295" spans="1:14" x14ac:dyDescent="0.3">
      <c r="A1295" s="22" t="s">
        <v>2648</v>
      </c>
      <c r="B1295" s="22">
        <v>34</v>
      </c>
      <c r="C1295" s="22"/>
      <c r="D1295" s="22"/>
      <c r="E1295" s="22"/>
      <c r="F1295" s="22"/>
      <c r="G1295" s="22"/>
      <c r="H1295" s="22"/>
      <c r="I1295" s="22"/>
      <c r="J1295" s="22"/>
      <c r="K1295" s="22"/>
      <c r="L1295" s="22"/>
      <c r="M1295" s="22"/>
      <c r="N1295" s="22"/>
    </row>
    <row r="1296" spans="1:14" x14ac:dyDescent="0.3">
      <c r="A1296" s="22" t="s">
        <v>3393</v>
      </c>
      <c r="B1296" s="22">
        <v>0</v>
      </c>
      <c r="C1296" s="22"/>
      <c r="D1296" s="22"/>
      <c r="E1296" s="22"/>
      <c r="F1296" s="22"/>
      <c r="G1296" s="22"/>
      <c r="H1296" s="22"/>
      <c r="I1296" s="22"/>
      <c r="J1296" s="22"/>
      <c r="K1296" s="22"/>
      <c r="L1296" s="22"/>
      <c r="M1296" s="22"/>
      <c r="N1296" s="22"/>
    </row>
    <row r="1297" spans="1:14" x14ac:dyDescent="0.3">
      <c r="A1297" s="22" t="s">
        <v>3394</v>
      </c>
      <c r="B1297" s="22">
        <v>0</v>
      </c>
      <c r="C1297" s="22"/>
      <c r="D1297" s="22"/>
      <c r="E1297" s="22"/>
      <c r="F1297" s="22"/>
      <c r="G1297" s="22"/>
      <c r="H1297" s="22"/>
      <c r="I1297" s="22"/>
      <c r="J1297" s="22"/>
      <c r="K1297" s="22"/>
      <c r="L1297" s="22"/>
      <c r="M1297" s="22"/>
      <c r="N1297" s="22"/>
    </row>
    <row r="1298" spans="1:14" x14ac:dyDescent="0.3">
      <c r="A1298" s="22" t="s">
        <v>3395</v>
      </c>
      <c r="B1298" s="22">
        <v>0</v>
      </c>
      <c r="C1298" s="22"/>
      <c r="D1298" s="22"/>
      <c r="E1298" s="22"/>
      <c r="F1298" s="22"/>
      <c r="G1298" s="22"/>
      <c r="H1298" s="22"/>
      <c r="I1298" s="22"/>
      <c r="J1298" s="22"/>
      <c r="K1298" s="22"/>
      <c r="L1298" s="22"/>
      <c r="M1298" s="22"/>
      <c r="N1298" s="22"/>
    </row>
    <row r="1299" spans="1:14" x14ac:dyDescent="0.3">
      <c r="A1299" s="22" t="s">
        <v>3396</v>
      </c>
      <c r="B1299" s="22">
        <v>0</v>
      </c>
      <c r="C1299" s="22"/>
      <c r="D1299" s="22"/>
      <c r="E1299" s="22"/>
      <c r="F1299" s="22"/>
      <c r="G1299" s="22"/>
      <c r="H1299" s="22"/>
      <c r="I1299" s="22"/>
      <c r="J1299" s="22"/>
      <c r="K1299" s="22"/>
      <c r="L1299" s="22"/>
      <c r="M1299" s="22"/>
      <c r="N1299" s="22"/>
    </row>
    <row r="1300" spans="1:14" x14ac:dyDescent="0.3">
      <c r="A1300" s="22" t="s">
        <v>3397</v>
      </c>
      <c r="B1300" s="22">
        <v>0</v>
      </c>
      <c r="C1300" s="22"/>
      <c r="D1300" s="22"/>
      <c r="E1300" s="22"/>
      <c r="F1300" s="22"/>
      <c r="G1300" s="22"/>
      <c r="H1300" s="22"/>
      <c r="I1300" s="22"/>
      <c r="J1300" s="22"/>
      <c r="K1300" s="22"/>
      <c r="L1300" s="22"/>
      <c r="M1300" s="22"/>
      <c r="N1300" s="22"/>
    </row>
    <row r="1301" spans="1:14" x14ac:dyDescent="0.3">
      <c r="A1301" s="22" t="s">
        <v>3398</v>
      </c>
      <c r="B1301" s="22">
        <v>0</v>
      </c>
      <c r="C1301" s="22"/>
      <c r="D1301" s="22"/>
      <c r="E1301" s="22"/>
      <c r="F1301" s="22"/>
      <c r="G1301" s="22"/>
      <c r="H1301" s="22"/>
      <c r="I1301" s="22"/>
      <c r="J1301" s="22"/>
      <c r="K1301" s="22"/>
      <c r="L1301" s="22"/>
      <c r="M1301" s="22"/>
      <c r="N1301" s="22"/>
    </row>
    <row r="1302" spans="1:14" x14ac:dyDescent="0.3">
      <c r="A1302" s="22" t="s">
        <v>3399</v>
      </c>
      <c r="B1302" s="22">
        <v>0</v>
      </c>
      <c r="C1302" s="22"/>
      <c r="D1302" s="22"/>
      <c r="E1302" s="22"/>
      <c r="F1302" s="22"/>
      <c r="G1302" s="22"/>
      <c r="H1302" s="22"/>
      <c r="I1302" s="22"/>
      <c r="J1302" s="22"/>
      <c r="K1302" s="22"/>
      <c r="L1302" s="22"/>
      <c r="M1302" s="22"/>
      <c r="N1302" s="22"/>
    </row>
    <row r="1303" spans="1:14" x14ac:dyDescent="0.3">
      <c r="A1303" s="22" t="s">
        <v>2670</v>
      </c>
      <c r="B1303" s="22">
        <v>185</v>
      </c>
      <c r="C1303" s="22"/>
      <c r="D1303" s="22"/>
      <c r="E1303" s="22"/>
      <c r="F1303" s="22"/>
      <c r="G1303" s="22"/>
      <c r="H1303" s="22"/>
      <c r="I1303" s="22"/>
      <c r="J1303" s="22"/>
      <c r="K1303" s="22"/>
      <c r="L1303" s="22"/>
      <c r="M1303" s="22"/>
      <c r="N1303" s="22"/>
    </row>
    <row r="1304" spans="1:14" x14ac:dyDescent="0.3">
      <c r="A1304" s="22" t="s">
        <v>3400</v>
      </c>
      <c r="B1304" s="22">
        <v>12</v>
      </c>
      <c r="C1304" s="22"/>
      <c r="D1304" s="22"/>
      <c r="E1304" s="22"/>
      <c r="F1304" s="22"/>
      <c r="G1304" s="22"/>
      <c r="H1304" s="22"/>
      <c r="I1304" s="22"/>
      <c r="J1304" s="22"/>
      <c r="K1304" s="22"/>
      <c r="L1304" s="22"/>
      <c r="M1304" s="22"/>
      <c r="N1304" s="22"/>
    </row>
    <row r="1305" spans="1:14" x14ac:dyDescent="0.3">
      <c r="A1305" s="22" t="s">
        <v>3401</v>
      </c>
      <c r="B1305" s="22">
        <v>0</v>
      </c>
      <c r="C1305" s="22"/>
      <c r="D1305" s="22"/>
      <c r="E1305" s="22"/>
      <c r="F1305" s="22"/>
      <c r="G1305" s="22"/>
      <c r="H1305" s="22"/>
      <c r="I1305" s="22"/>
      <c r="J1305" s="22"/>
      <c r="K1305" s="22"/>
      <c r="L1305" s="22"/>
      <c r="M1305" s="22"/>
      <c r="N1305" s="22"/>
    </row>
    <row r="1306" spans="1:14" x14ac:dyDescent="0.3">
      <c r="A1306" s="22" t="s">
        <v>3402</v>
      </c>
      <c r="B1306" s="22">
        <v>0</v>
      </c>
      <c r="C1306" s="22"/>
      <c r="D1306" s="22"/>
      <c r="E1306" s="22"/>
      <c r="F1306" s="22"/>
      <c r="G1306" s="22"/>
      <c r="H1306" s="22"/>
      <c r="I1306" s="22"/>
      <c r="J1306" s="22"/>
      <c r="K1306" s="22"/>
      <c r="L1306" s="22"/>
      <c r="M1306" s="22"/>
      <c r="N1306" s="22"/>
    </row>
    <row r="1307" spans="1:14" x14ac:dyDescent="0.3">
      <c r="A1307" s="22" t="s">
        <v>3403</v>
      </c>
      <c r="B1307" s="22">
        <v>0</v>
      </c>
      <c r="C1307" s="22"/>
      <c r="D1307" s="22"/>
      <c r="E1307" s="22"/>
      <c r="F1307" s="22"/>
      <c r="G1307" s="22"/>
      <c r="H1307" s="22"/>
      <c r="I1307" s="22"/>
      <c r="J1307" s="22"/>
      <c r="K1307" s="22"/>
      <c r="L1307" s="22"/>
      <c r="M1307" s="22"/>
      <c r="N1307" s="22"/>
    </row>
    <row r="1308" spans="1:14" x14ac:dyDescent="0.3">
      <c r="A1308" s="22" t="s">
        <v>3404</v>
      </c>
      <c r="B1308" s="22">
        <v>0</v>
      </c>
      <c r="C1308" s="22"/>
      <c r="D1308" s="22"/>
      <c r="E1308" s="22"/>
      <c r="F1308" s="22"/>
      <c r="G1308" s="22"/>
      <c r="H1308" s="22"/>
      <c r="I1308" s="22"/>
      <c r="J1308" s="22"/>
      <c r="K1308" s="22"/>
      <c r="L1308" s="22"/>
      <c r="M1308" s="22"/>
      <c r="N1308" s="22"/>
    </row>
    <row r="1309" spans="1:14" x14ac:dyDescent="0.3">
      <c r="A1309" s="22" t="s">
        <v>3405</v>
      </c>
      <c r="B1309" s="22">
        <v>0</v>
      </c>
      <c r="C1309" s="22"/>
      <c r="D1309" s="22"/>
      <c r="E1309" s="22"/>
      <c r="F1309" s="22"/>
      <c r="G1309" s="22"/>
      <c r="H1309" s="22"/>
      <c r="I1309" s="22"/>
      <c r="J1309" s="22"/>
      <c r="K1309" s="22"/>
      <c r="L1309" s="22"/>
      <c r="M1309" s="22"/>
      <c r="N1309" s="22"/>
    </row>
    <row r="1310" spans="1:14" x14ac:dyDescent="0.3">
      <c r="A1310" s="22" t="s">
        <v>3406</v>
      </c>
      <c r="B1310" s="22">
        <v>0</v>
      </c>
      <c r="C1310" s="22"/>
      <c r="D1310" s="22"/>
      <c r="E1310" s="22"/>
      <c r="F1310" s="22"/>
      <c r="G1310" s="22"/>
      <c r="H1310" s="22"/>
      <c r="I1310" s="22"/>
      <c r="J1310" s="22"/>
      <c r="K1310" s="22"/>
      <c r="L1310" s="22"/>
      <c r="M1310" s="22"/>
      <c r="N1310" s="22"/>
    </row>
    <row r="1311" spans="1:14" x14ac:dyDescent="0.3">
      <c r="A1311" s="22" t="s">
        <v>2671</v>
      </c>
      <c r="B1311" s="22">
        <v>484</v>
      </c>
      <c r="C1311" s="22"/>
      <c r="D1311" s="22"/>
      <c r="E1311" s="22"/>
      <c r="F1311" s="22"/>
      <c r="G1311" s="22"/>
      <c r="H1311" s="22"/>
      <c r="I1311" s="22"/>
      <c r="J1311" s="22"/>
      <c r="K1311" s="22"/>
      <c r="L1311" s="22"/>
      <c r="M1311" s="22"/>
      <c r="N1311" s="22"/>
    </row>
    <row r="1312" spans="1:14" x14ac:dyDescent="0.3">
      <c r="A1312" s="22" t="s">
        <v>3407</v>
      </c>
      <c r="B1312" s="22">
        <v>100</v>
      </c>
      <c r="C1312" s="22"/>
      <c r="D1312" s="22"/>
      <c r="E1312" s="22"/>
      <c r="F1312" s="22"/>
      <c r="G1312" s="22"/>
      <c r="H1312" s="22"/>
      <c r="I1312" s="22"/>
      <c r="J1312" s="22"/>
      <c r="K1312" s="22"/>
      <c r="L1312" s="22"/>
      <c r="M1312" s="22"/>
      <c r="N1312" s="22"/>
    </row>
    <row r="1313" spans="1:14" x14ac:dyDescent="0.3">
      <c r="A1313" s="22" t="s">
        <v>3408</v>
      </c>
      <c r="B1313" s="22">
        <v>3</v>
      </c>
      <c r="C1313" s="22"/>
      <c r="D1313" s="22"/>
      <c r="E1313" s="22"/>
      <c r="F1313" s="22"/>
      <c r="G1313" s="22"/>
      <c r="H1313" s="22"/>
      <c r="I1313" s="22"/>
      <c r="J1313" s="22"/>
      <c r="K1313" s="22"/>
      <c r="L1313" s="22"/>
      <c r="M1313" s="22"/>
      <c r="N1313" s="22"/>
    </row>
    <row r="1314" spans="1:14" x14ac:dyDescent="0.3">
      <c r="A1314" s="22" t="s">
        <v>3409</v>
      </c>
      <c r="B1314" s="22">
        <v>0</v>
      </c>
      <c r="C1314" s="22"/>
      <c r="D1314" s="22"/>
      <c r="E1314" s="22"/>
      <c r="F1314" s="22"/>
      <c r="G1314" s="22"/>
      <c r="H1314" s="22"/>
      <c r="I1314" s="22"/>
      <c r="J1314" s="22"/>
      <c r="K1314" s="22"/>
      <c r="L1314" s="22"/>
      <c r="M1314" s="22"/>
      <c r="N1314" s="22"/>
    </row>
    <row r="1315" spans="1:14" x14ac:dyDescent="0.3">
      <c r="A1315" s="22" t="s">
        <v>3410</v>
      </c>
      <c r="B1315" s="22">
        <v>0</v>
      </c>
      <c r="C1315" s="22"/>
      <c r="D1315" s="22"/>
      <c r="E1315" s="22"/>
      <c r="F1315" s="22"/>
      <c r="G1315" s="22"/>
      <c r="H1315" s="22"/>
      <c r="I1315" s="22"/>
      <c r="J1315" s="22"/>
      <c r="K1315" s="22"/>
      <c r="L1315" s="22"/>
      <c r="M1315" s="22"/>
      <c r="N1315" s="22"/>
    </row>
    <row r="1316" spans="1:14" x14ac:dyDescent="0.3">
      <c r="A1316" s="22" t="s">
        <v>3411</v>
      </c>
      <c r="B1316" s="22">
        <v>0</v>
      </c>
      <c r="C1316" s="22"/>
      <c r="D1316" s="22"/>
      <c r="E1316" s="22"/>
      <c r="F1316" s="22"/>
      <c r="G1316" s="22"/>
      <c r="H1316" s="22"/>
      <c r="I1316" s="22"/>
      <c r="J1316" s="22"/>
      <c r="K1316" s="22"/>
      <c r="L1316" s="22"/>
      <c r="M1316" s="22"/>
      <c r="N1316" s="22"/>
    </row>
    <row r="1317" spans="1:14" x14ac:dyDescent="0.3">
      <c r="A1317" s="22" t="s">
        <v>3412</v>
      </c>
      <c r="B1317" s="22">
        <v>0</v>
      </c>
      <c r="C1317" s="22"/>
      <c r="D1317" s="22"/>
      <c r="E1317" s="22"/>
      <c r="F1317" s="22"/>
      <c r="G1317" s="22"/>
      <c r="H1317" s="22"/>
      <c r="I1317" s="22"/>
      <c r="J1317" s="22"/>
      <c r="K1317" s="22"/>
      <c r="L1317" s="22"/>
      <c r="M1317" s="22"/>
      <c r="N1317" s="22"/>
    </row>
    <row r="1318" spans="1:14" x14ac:dyDescent="0.3">
      <c r="A1318" s="22" t="s">
        <v>3413</v>
      </c>
      <c r="B1318" s="22">
        <v>0</v>
      </c>
      <c r="C1318" s="22"/>
      <c r="D1318" s="22"/>
      <c r="E1318" s="22"/>
      <c r="F1318" s="22"/>
      <c r="G1318" s="22"/>
      <c r="H1318" s="22"/>
      <c r="I1318" s="22"/>
      <c r="J1318" s="22"/>
      <c r="K1318" s="22"/>
      <c r="L1318" s="22"/>
      <c r="M1318" s="22"/>
      <c r="N1318" s="22"/>
    </row>
    <row r="1319" spans="1:14" x14ac:dyDescent="0.3">
      <c r="A1319" s="22" t="s">
        <v>2672</v>
      </c>
      <c r="B1319" s="22">
        <v>55</v>
      </c>
      <c r="C1319" s="22"/>
      <c r="D1319" s="22"/>
      <c r="E1319" s="22"/>
      <c r="F1319" s="22"/>
      <c r="G1319" s="22"/>
      <c r="H1319" s="22"/>
      <c r="I1319" s="22"/>
      <c r="J1319" s="22"/>
      <c r="K1319" s="22"/>
      <c r="L1319" s="22"/>
      <c r="M1319" s="22"/>
      <c r="N1319" s="22"/>
    </row>
    <row r="1320" spans="1:14" x14ac:dyDescent="0.3">
      <c r="A1320" s="22" t="s">
        <v>3414</v>
      </c>
      <c r="B1320" s="22">
        <v>0</v>
      </c>
      <c r="C1320" s="22"/>
      <c r="D1320" s="22"/>
      <c r="E1320" s="22"/>
      <c r="F1320" s="22"/>
      <c r="G1320" s="22"/>
      <c r="H1320" s="22"/>
      <c r="I1320" s="22"/>
      <c r="J1320" s="22"/>
      <c r="K1320" s="22"/>
      <c r="L1320" s="22"/>
      <c r="M1320" s="22"/>
      <c r="N1320" s="22"/>
    </row>
    <row r="1321" spans="1:14" x14ac:dyDescent="0.3">
      <c r="A1321" s="22" t="s">
        <v>3415</v>
      </c>
      <c r="B1321" s="22">
        <v>0</v>
      </c>
      <c r="C1321" s="22"/>
      <c r="D1321" s="22"/>
      <c r="E1321" s="22"/>
      <c r="F1321" s="22"/>
      <c r="G1321" s="22"/>
      <c r="H1321" s="22"/>
      <c r="I1321" s="22"/>
      <c r="J1321" s="22"/>
      <c r="K1321" s="22"/>
      <c r="L1321" s="22"/>
      <c r="M1321" s="22"/>
      <c r="N1321" s="22"/>
    </row>
    <row r="1322" spans="1:14" x14ac:dyDescent="0.3">
      <c r="A1322" s="22" t="s">
        <v>3416</v>
      </c>
      <c r="B1322" s="22">
        <v>0</v>
      </c>
      <c r="C1322" s="22"/>
      <c r="D1322" s="22"/>
      <c r="E1322" s="22"/>
      <c r="F1322" s="22"/>
      <c r="G1322" s="22"/>
      <c r="H1322" s="22"/>
      <c r="I1322" s="22"/>
      <c r="J1322" s="22"/>
      <c r="K1322" s="22"/>
      <c r="L1322" s="22"/>
      <c r="M1322" s="22"/>
      <c r="N1322" s="22"/>
    </row>
    <row r="1323" spans="1:14" x14ac:dyDescent="0.3">
      <c r="A1323" s="22" t="s">
        <v>3417</v>
      </c>
      <c r="B1323" s="22">
        <v>0</v>
      </c>
      <c r="C1323" s="22"/>
      <c r="D1323" s="22"/>
      <c r="E1323" s="22"/>
      <c r="F1323" s="22"/>
      <c r="G1323" s="22"/>
      <c r="H1323" s="22"/>
      <c r="I1323" s="22"/>
      <c r="J1323" s="22"/>
      <c r="K1323" s="22"/>
      <c r="L1323" s="22"/>
      <c r="M1323" s="22"/>
      <c r="N1323" s="22"/>
    </row>
    <row r="1324" spans="1:14" x14ac:dyDescent="0.3">
      <c r="A1324" s="22" t="s">
        <v>3418</v>
      </c>
      <c r="B1324" s="22">
        <v>0</v>
      </c>
      <c r="C1324" s="22"/>
      <c r="D1324" s="22"/>
      <c r="E1324" s="22"/>
      <c r="F1324" s="22"/>
      <c r="G1324" s="22"/>
      <c r="H1324" s="22"/>
      <c r="I1324" s="22"/>
      <c r="J1324" s="22"/>
      <c r="K1324" s="22"/>
      <c r="L1324" s="22"/>
      <c r="M1324" s="22"/>
      <c r="N1324" s="22"/>
    </row>
    <row r="1325" spans="1:14" x14ac:dyDescent="0.3">
      <c r="A1325" s="22" t="s">
        <v>3419</v>
      </c>
      <c r="B1325" s="22">
        <v>0</v>
      </c>
      <c r="C1325" s="22"/>
      <c r="D1325" s="22"/>
      <c r="E1325" s="22"/>
      <c r="F1325" s="22"/>
      <c r="G1325" s="22"/>
      <c r="H1325" s="22"/>
      <c r="I1325" s="22"/>
      <c r="J1325" s="22"/>
      <c r="K1325" s="22"/>
      <c r="L1325" s="22"/>
      <c r="M1325" s="22"/>
      <c r="N1325" s="22"/>
    </row>
    <row r="1326" spans="1:14" x14ac:dyDescent="0.3">
      <c r="A1326" s="22" t="s">
        <v>3420</v>
      </c>
      <c r="B1326" s="22">
        <v>0</v>
      </c>
      <c r="C1326" s="22"/>
      <c r="D1326" s="22"/>
      <c r="E1326" s="22"/>
      <c r="F1326" s="22"/>
      <c r="G1326" s="22"/>
      <c r="H1326" s="22"/>
      <c r="I1326" s="22"/>
      <c r="J1326" s="22"/>
      <c r="K1326" s="22"/>
      <c r="L1326" s="22"/>
      <c r="M1326" s="22"/>
      <c r="N1326" s="22"/>
    </row>
    <row r="1327" spans="1:14" x14ac:dyDescent="0.3">
      <c r="A1327" s="22" t="s">
        <v>2673</v>
      </c>
      <c r="B1327" s="22">
        <v>651</v>
      </c>
      <c r="C1327" s="22"/>
      <c r="D1327" s="22"/>
      <c r="E1327" s="22"/>
      <c r="F1327" s="22"/>
      <c r="G1327" s="22"/>
      <c r="H1327" s="22"/>
      <c r="I1327" s="22"/>
      <c r="J1327" s="22"/>
      <c r="K1327" s="22"/>
      <c r="L1327" s="22"/>
      <c r="M1327" s="22"/>
      <c r="N1327" s="22"/>
    </row>
    <row r="1328" spans="1:14" x14ac:dyDescent="0.3">
      <c r="A1328" s="22" t="s">
        <v>3421</v>
      </c>
      <c r="B1328" s="22">
        <v>160</v>
      </c>
      <c r="C1328" s="22"/>
      <c r="D1328" s="22"/>
      <c r="E1328" s="22"/>
      <c r="F1328" s="22"/>
      <c r="G1328" s="22"/>
      <c r="H1328" s="22"/>
      <c r="I1328" s="22"/>
      <c r="J1328" s="22"/>
      <c r="K1328" s="22"/>
      <c r="L1328" s="22"/>
      <c r="M1328" s="22"/>
      <c r="N1328" s="22"/>
    </row>
    <row r="1329" spans="1:14" x14ac:dyDescent="0.3">
      <c r="A1329" s="22" t="s">
        <v>3422</v>
      </c>
      <c r="B1329" s="22">
        <v>0</v>
      </c>
      <c r="C1329" s="22"/>
      <c r="D1329" s="22"/>
      <c r="E1329" s="22"/>
      <c r="F1329" s="22"/>
      <c r="G1329" s="22"/>
      <c r="H1329" s="22"/>
      <c r="I1329" s="22"/>
      <c r="J1329" s="22"/>
      <c r="K1329" s="22"/>
      <c r="L1329" s="22"/>
      <c r="M1329" s="22"/>
      <c r="N1329" s="22"/>
    </row>
    <row r="1330" spans="1:14" x14ac:dyDescent="0.3">
      <c r="A1330" s="22" t="s">
        <v>3423</v>
      </c>
      <c r="B1330" s="22">
        <v>3</v>
      </c>
      <c r="C1330" s="22"/>
      <c r="D1330" s="22"/>
      <c r="E1330" s="22"/>
      <c r="F1330" s="22"/>
      <c r="G1330" s="22"/>
      <c r="H1330" s="22"/>
      <c r="I1330" s="22"/>
      <c r="J1330" s="22"/>
      <c r="K1330" s="22"/>
      <c r="L1330" s="22"/>
      <c r="M1330" s="22"/>
      <c r="N1330" s="22"/>
    </row>
    <row r="1331" spans="1:14" x14ac:dyDescent="0.3">
      <c r="A1331" s="22" t="s">
        <v>3424</v>
      </c>
      <c r="B1331" s="22">
        <v>1</v>
      </c>
      <c r="C1331" s="22"/>
      <c r="D1331" s="22"/>
      <c r="E1331" s="22"/>
      <c r="F1331" s="22"/>
      <c r="G1331" s="22"/>
      <c r="H1331" s="22"/>
      <c r="I1331" s="22"/>
      <c r="J1331" s="22"/>
      <c r="K1331" s="22"/>
      <c r="L1331" s="22"/>
      <c r="M1331" s="22"/>
      <c r="N1331" s="22"/>
    </row>
    <row r="1332" spans="1:14" x14ac:dyDescent="0.3">
      <c r="A1332" s="22" t="s">
        <v>3425</v>
      </c>
      <c r="B1332" s="22">
        <v>0</v>
      </c>
      <c r="C1332" s="22"/>
      <c r="D1332" s="22"/>
      <c r="E1332" s="22"/>
      <c r="F1332" s="22"/>
      <c r="G1332" s="22"/>
      <c r="H1332" s="22"/>
      <c r="I1332" s="22"/>
      <c r="J1332" s="22"/>
      <c r="K1332" s="22"/>
      <c r="L1332" s="22"/>
      <c r="M1332" s="22"/>
      <c r="N1332" s="22"/>
    </row>
    <row r="1333" spans="1:14" x14ac:dyDescent="0.3">
      <c r="A1333" s="22" t="s">
        <v>3426</v>
      </c>
      <c r="B1333" s="22">
        <v>0</v>
      </c>
      <c r="C1333" s="22"/>
      <c r="D1333" s="22"/>
      <c r="E1333" s="22"/>
      <c r="F1333" s="22"/>
      <c r="G1333" s="22"/>
      <c r="H1333" s="22"/>
      <c r="I1333" s="22"/>
      <c r="J1333" s="22"/>
      <c r="K1333" s="22"/>
      <c r="L1333" s="22"/>
      <c r="M1333" s="22"/>
      <c r="N1333" s="22"/>
    </row>
    <row r="1334" spans="1:14" x14ac:dyDescent="0.3">
      <c r="A1334" s="22" t="s">
        <v>3427</v>
      </c>
      <c r="B1334" s="22">
        <v>0</v>
      </c>
      <c r="C1334" s="22"/>
      <c r="D1334" s="22"/>
      <c r="E1334" s="22"/>
      <c r="F1334" s="22"/>
      <c r="G1334" s="22"/>
      <c r="H1334" s="22"/>
      <c r="I1334" s="22"/>
      <c r="J1334" s="22"/>
      <c r="K1334" s="22"/>
      <c r="L1334" s="22"/>
      <c r="M1334" s="22"/>
      <c r="N1334" s="22"/>
    </row>
    <row r="1335" spans="1:14" x14ac:dyDescent="0.3">
      <c r="A1335" s="22" t="s">
        <v>2649</v>
      </c>
      <c r="B1335" s="22">
        <v>0</v>
      </c>
      <c r="C1335" s="22"/>
      <c r="D1335" s="22"/>
      <c r="E1335" s="22"/>
      <c r="F1335" s="22"/>
      <c r="G1335" s="22"/>
      <c r="H1335" s="22"/>
      <c r="I1335" s="22"/>
      <c r="J1335" s="22"/>
      <c r="K1335" s="22"/>
      <c r="L1335" s="22"/>
      <c r="M1335" s="22"/>
      <c r="N1335" s="22"/>
    </row>
    <row r="1336" spans="1:14" x14ac:dyDescent="0.3">
      <c r="A1336" s="22" t="s">
        <v>3428</v>
      </c>
      <c r="B1336" s="22">
        <v>0</v>
      </c>
      <c r="C1336" s="22"/>
      <c r="D1336" s="22"/>
      <c r="E1336" s="22"/>
      <c r="F1336" s="22"/>
      <c r="G1336" s="22"/>
      <c r="H1336" s="22"/>
      <c r="I1336" s="22"/>
      <c r="J1336" s="22"/>
      <c r="K1336" s="22"/>
      <c r="L1336" s="22"/>
      <c r="M1336" s="22"/>
      <c r="N1336" s="22"/>
    </row>
    <row r="1337" spans="1:14" x14ac:dyDescent="0.3">
      <c r="A1337" s="22" t="s">
        <v>3429</v>
      </c>
      <c r="B1337" s="22">
        <v>0</v>
      </c>
      <c r="C1337" s="22"/>
      <c r="D1337" s="22"/>
      <c r="E1337" s="22"/>
      <c r="F1337" s="22"/>
      <c r="G1337" s="22"/>
      <c r="H1337" s="22"/>
      <c r="I1337" s="22"/>
      <c r="J1337" s="22"/>
      <c r="K1337" s="22"/>
      <c r="L1337" s="22"/>
      <c r="M1337" s="22"/>
      <c r="N1337" s="22"/>
    </row>
    <row r="1338" spans="1:14" x14ac:dyDescent="0.3">
      <c r="A1338" s="22" t="s">
        <v>3430</v>
      </c>
      <c r="B1338" s="22">
        <v>0</v>
      </c>
      <c r="C1338" s="22"/>
      <c r="D1338" s="22"/>
      <c r="E1338" s="22"/>
      <c r="F1338" s="22"/>
      <c r="G1338" s="22"/>
      <c r="H1338" s="22"/>
      <c r="I1338" s="22"/>
      <c r="J1338" s="22"/>
      <c r="K1338" s="22"/>
      <c r="L1338" s="22"/>
      <c r="M1338" s="22"/>
      <c r="N1338" s="22"/>
    </row>
    <row r="1339" spans="1:14" x14ac:dyDescent="0.3">
      <c r="A1339" s="22" t="s">
        <v>3431</v>
      </c>
      <c r="B1339" s="22">
        <v>0</v>
      </c>
      <c r="C1339" s="22"/>
      <c r="D1339" s="22"/>
      <c r="E1339" s="22"/>
      <c r="F1339" s="22"/>
      <c r="G1339" s="22"/>
      <c r="H1339" s="22"/>
      <c r="I1339" s="22"/>
      <c r="J1339" s="22"/>
      <c r="K1339" s="22"/>
      <c r="L1339" s="22"/>
      <c r="M1339" s="22"/>
      <c r="N1339" s="22"/>
    </row>
    <row r="1340" spans="1:14" x14ac:dyDescent="0.3">
      <c r="A1340" s="22" t="s">
        <v>3432</v>
      </c>
      <c r="B1340" s="22">
        <v>0</v>
      </c>
      <c r="C1340" s="22"/>
      <c r="D1340" s="22"/>
      <c r="E1340" s="22"/>
      <c r="F1340" s="22"/>
      <c r="G1340" s="22"/>
      <c r="H1340" s="22"/>
      <c r="I1340" s="22"/>
      <c r="J1340" s="22"/>
      <c r="K1340" s="22"/>
      <c r="L1340" s="22"/>
      <c r="M1340" s="22"/>
      <c r="N1340" s="22"/>
    </row>
    <row r="1341" spans="1:14" x14ac:dyDescent="0.3">
      <c r="A1341" s="22" t="s">
        <v>3433</v>
      </c>
      <c r="B1341" s="22">
        <v>0</v>
      </c>
      <c r="C1341" s="22"/>
      <c r="D1341" s="22"/>
      <c r="E1341" s="22"/>
      <c r="F1341" s="22"/>
      <c r="G1341" s="22"/>
      <c r="H1341" s="22"/>
      <c r="I1341" s="22"/>
      <c r="J1341" s="22"/>
      <c r="K1341" s="22"/>
      <c r="L1341" s="22"/>
      <c r="M1341" s="22"/>
      <c r="N1341" s="22"/>
    </row>
    <row r="1342" spans="1:14" x14ac:dyDescent="0.3">
      <c r="A1342" s="22" t="s">
        <v>3434</v>
      </c>
      <c r="B1342" s="22">
        <v>0</v>
      </c>
      <c r="C1342" s="22"/>
      <c r="D1342" s="22"/>
      <c r="E1342" s="22"/>
      <c r="F1342" s="22"/>
      <c r="G1342" s="22"/>
      <c r="H1342" s="22"/>
      <c r="I1342" s="22"/>
      <c r="J1342" s="22"/>
      <c r="K1342" s="22"/>
      <c r="L1342" s="22"/>
      <c r="M1342" s="22"/>
      <c r="N1342" s="22"/>
    </row>
    <row r="1343" spans="1:14" x14ac:dyDescent="0.3">
      <c r="A1343" s="22" t="s">
        <v>2674</v>
      </c>
      <c r="B1343" s="22">
        <v>2</v>
      </c>
      <c r="C1343" s="22"/>
      <c r="D1343" s="22"/>
      <c r="E1343" s="22"/>
      <c r="F1343" s="22"/>
      <c r="G1343" s="22"/>
      <c r="H1343" s="22"/>
      <c r="I1343" s="22"/>
      <c r="J1343" s="22"/>
      <c r="K1343" s="22"/>
      <c r="L1343" s="22"/>
      <c r="M1343" s="22"/>
      <c r="N1343" s="22"/>
    </row>
    <row r="1344" spans="1:14" x14ac:dyDescent="0.3">
      <c r="A1344" s="22" t="s">
        <v>3435</v>
      </c>
      <c r="B1344" s="22">
        <v>0</v>
      </c>
      <c r="C1344" s="22"/>
      <c r="D1344" s="22"/>
      <c r="E1344" s="22"/>
      <c r="F1344" s="22"/>
      <c r="G1344" s="22"/>
      <c r="H1344" s="22"/>
      <c r="I1344" s="22"/>
      <c r="J1344" s="22"/>
      <c r="K1344" s="22"/>
      <c r="L1344" s="22"/>
      <c r="M1344" s="22"/>
      <c r="N1344" s="22"/>
    </row>
    <row r="1345" spans="1:14" x14ac:dyDescent="0.3">
      <c r="A1345" s="22" t="s">
        <v>3436</v>
      </c>
      <c r="B1345" s="22">
        <v>0</v>
      </c>
      <c r="C1345" s="22"/>
      <c r="D1345" s="22"/>
      <c r="E1345" s="22"/>
      <c r="F1345" s="22"/>
      <c r="G1345" s="22"/>
      <c r="H1345" s="22"/>
      <c r="I1345" s="22"/>
      <c r="J1345" s="22"/>
      <c r="K1345" s="22"/>
      <c r="L1345" s="22"/>
      <c r="M1345" s="22"/>
      <c r="N1345" s="22"/>
    </row>
    <row r="1346" spans="1:14" x14ac:dyDescent="0.3">
      <c r="A1346" s="22" t="s">
        <v>3437</v>
      </c>
      <c r="B1346" s="22">
        <v>0</v>
      </c>
      <c r="C1346" s="22"/>
      <c r="D1346" s="22"/>
      <c r="E1346" s="22"/>
      <c r="F1346" s="22"/>
      <c r="G1346" s="22"/>
      <c r="H1346" s="22"/>
      <c r="I1346" s="22"/>
      <c r="J1346" s="22"/>
      <c r="K1346" s="22"/>
      <c r="L1346" s="22"/>
      <c r="M1346" s="22"/>
      <c r="N1346" s="22"/>
    </row>
    <row r="1347" spans="1:14" x14ac:dyDescent="0.3">
      <c r="A1347" s="22" t="s">
        <v>3438</v>
      </c>
      <c r="B1347" s="22">
        <v>0</v>
      </c>
      <c r="C1347" s="22"/>
      <c r="D1347" s="22"/>
      <c r="E1347" s="22"/>
      <c r="F1347" s="22"/>
      <c r="G1347" s="22"/>
      <c r="H1347" s="22"/>
      <c r="I1347" s="22"/>
      <c r="J1347" s="22"/>
      <c r="K1347" s="22"/>
      <c r="L1347" s="22"/>
      <c r="M1347" s="22"/>
      <c r="N1347" s="22"/>
    </row>
    <row r="1348" spans="1:14" x14ac:dyDescent="0.3">
      <c r="A1348" s="22" t="s">
        <v>3439</v>
      </c>
      <c r="B1348" s="22">
        <v>0</v>
      </c>
      <c r="C1348" s="22"/>
      <c r="D1348" s="22"/>
      <c r="E1348" s="22"/>
      <c r="F1348" s="22"/>
      <c r="G1348" s="22"/>
      <c r="H1348" s="22"/>
      <c r="I1348" s="22"/>
      <c r="J1348" s="22"/>
      <c r="K1348" s="22"/>
      <c r="L1348" s="22"/>
      <c r="M1348" s="22"/>
      <c r="N1348" s="22"/>
    </row>
    <row r="1349" spans="1:14" x14ac:dyDescent="0.3">
      <c r="A1349" s="22" t="s">
        <v>3440</v>
      </c>
      <c r="B1349" s="22">
        <v>0</v>
      </c>
      <c r="C1349" s="22"/>
      <c r="D1349" s="22"/>
      <c r="E1349" s="22"/>
      <c r="F1349" s="22"/>
      <c r="G1349" s="22"/>
      <c r="H1349" s="22"/>
      <c r="I1349" s="22"/>
      <c r="J1349" s="22"/>
      <c r="K1349" s="22"/>
      <c r="L1349" s="22"/>
      <c r="M1349" s="22"/>
      <c r="N1349" s="22"/>
    </row>
    <row r="1350" spans="1:14" x14ac:dyDescent="0.3">
      <c r="A1350" s="22" t="s">
        <v>3441</v>
      </c>
      <c r="B1350" s="22">
        <v>0</v>
      </c>
      <c r="C1350" s="22"/>
      <c r="D1350" s="22"/>
      <c r="E1350" s="22"/>
      <c r="F1350" s="22"/>
      <c r="G1350" s="22"/>
      <c r="H1350" s="22"/>
      <c r="I1350" s="22"/>
      <c r="J1350" s="22"/>
      <c r="K1350" s="22"/>
      <c r="L1350" s="22"/>
      <c r="M1350" s="22"/>
      <c r="N1350" s="22"/>
    </row>
    <row r="1351" spans="1:14" x14ac:dyDescent="0.3">
      <c r="A1351" s="22" t="s">
        <v>2675</v>
      </c>
      <c r="B1351" s="22">
        <v>0</v>
      </c>
      <c r="C1351" s="22"/>
      <c r="D1351" s="22"/>
      <c r="E1351" s="22"/>
      <c r="F1351" s="22"/>
      <c r="G1351" s="22"/>
      <c r="H1351" s="22"/>
      <c r="I1351" s="22"/>
      <c r="J1351" s="22"/>
      <c r="K1351" s="22"/>
      <c r="L1351" s="22"/>
      <c r="M1351" s="22"/>
      <c r="N1351" s="22"/>
    </row>
    <row r="1352" spans="1:14" x14ac:dyDescent="0.3">
      <c r="A1352" s="22" t="s">
        <v>3442</v>
      </c>
      <c r="B1352" s="22">
        <v>0</v>
      </c>
      <c r="C1352" s="22"/>
      <c r="D1352" s="22"/>
      <c r="E1352" s="22"/>
      <c r="F1352" s="22"/>
      <c r="G1352" s="22"/>
      <c r="H1352" s="22"/>
      <c r="I1352" s="22"/>
      <c r="J1352" s="22"/>
      <c r="K1352" s="22"/>
      <c r="L1352" s="22"/>
      <c r="M1352" s="22"/>
      <c r="N1352" s="22"/>
    </row>
    <row r="1353" spans="1:14" x14ac:dyDescent="0.3">
      <c r="A1353" s="22" t="s">
        <v>3443</v>
      </c>
      <c r="B1353" s="22">
        <v>3</v>
      </c>
      <c r="C1353" s="22"/>
      <c r="D1353" s="22"/>
      <c r="E1353" s="22"/>
      <c r="F1353" s="22"/>
      <c r="G1353" s="22"/>
      <c r="H1353" s="22"/>
      <c r="I1353" s="22"/>
      <c r="J1353" s="22"/>
      <c r="K1353" s="22"/>
      <c r="L1353" s="22"/>
      <c r="M1353" s="22"/>
      <c r="N1353" s="22"/>
    </row>
    <row r="1354" spans="1:14" x14ac:dyDescent="0.3">
      <c r="A1354" s="22" t="s">
        <v>3444</v>
      </c>
      <c r="B1354" s="22">
        <v>0</v>
      </c>
      <c r="C1354" s="22"/>
      <c r="D1354" s="22"/>
      <c r="E1354" s="22"/>
      <c r="F1354" s="22"/>
      <c r="G1354" s="22"/>
      <c r="H1354" s="22"/>
      <c r="I1354" s="22"/>
      <c r="J1354" s="22"/>
      <c r="K1354" s="22"/>
      <c r="L1354" s="22"/>
      <c r="M1354" s="22"/>
      <c r="N1354" s="22"/>
    </row>
    <row r="1355" spans="1:14" x14ac:dyDescent="0.3">
      <c r="A1355" s="22" t="s">
        <v>3445</v>
      </c>
      <c r="B1355" s="22">
        <v>0</v>
      </c>
      <c r="C1355" s="22"/>
      <c r="D1355" s="22"/>
      <c r="E1355" s="22"/>
      <c r="F1355" s="22"/>
      <c r="G1355" s="22"/>
      <c r="H1355" s="22"/>
      <c r="I1355" s="22"/>
      <c r="J1355" s="22"/>
      <c r="K1355" s="22"/>
      <c r="L1355" s="22"/>
      <c r="M1355" s="22"/>
      <c r="N1355" s="22"/>
    </row>
    <row r="1356" spans="1:14" x14ac:dyDescent="0.3">
      <c r="A1356" s="22" t="s">
        <v>3446</v>
      </c>
      <c r="B1356" s="22">
        <v>0</v>
      </c>
      <c r="C1356" s="22"/>
      <c r="D1356" s="22"/>
      <c r="E1356" s="22"/>
      <c r="F1356" s="22"/>
      <c r="G1356" s="22"/>
      <c r="H1356" s="22"/>
      <c r="I1356" s="22"/>
      <c r="J1356" s="22"/>
      <c r="K1356" s="22"/>
      <c r="L1356" s="22"/>
      <c r="M1356" s="22"/>
      <c r="N1356" s="22"/>
    </row>
    <row r="1357" spans="1:14" x14ac:dyDescent="0.3">
      <c r="A1357" s="22" t="s">
        <v>3447</v>
      </c>
      <c r="B1357" s="22">
        <v>0</v>
      </c>
      <c r="C1357" s="22"/>
      <c r="D1357" s="22"/>
      <c r="E1357" s="22"/>
      <c r="F1357" s="22"/>
      <c r="G1357" s="22"/>
      <c r="H1357" s="22"/>
      <c r="I1357" s="22"/>
      <c r="J1357" s="22"/>
      <c r="K1357" s="22"/>
      <c r="L1357" s="22"/>
      <c r="M1357" s="22"/>
      <c r="N1357" s="22"/>
    </row>
    <row r="1358" spans="1:14" x14ac:dyDescent="0.3">
      <c r="A1358" s="22" t="s">
        <v>3448</v>
      </c>
      <c r="B1358" s="22">
        <v>0</v>
      </c>
      <c r="C1358" s="22"/>
      <c r="D1358" s="22"/>
      <c r="E1358" s="22"/>
      <c r="F1358" s="22"/>
      <c r="G1358" s="22"/>
      <c r="H1358" s="22"/>
      <c r="I1358" s="22"/>
      <c r="J1358" s="22"/>
      <c r="K1358" s="22"/>
      <c r="L1358" s="22"/>
      <c r="M1358" s="22"/>
      <c r="N1358" s="22"/>
    </row>
    <row r="1359" spans="1:14" x14ac:dyDescent="0.3">
      <c r="A1359" s="22" t="s">
        <v>2650</v>
      </c>
      <c r="B1359" s="22">
        <v>5</v>
      </c>
      <c r="C1359" s="22"/>
      <c r="D1359" s="22"/>
      <c r="E1359" s="22"/>
      <c r="F1359" s="22"/>
      <c r="G1359" s="22"/>
      <c r="H1359" s="22"/>
      <c r="I1359" s="22"/>
      <c r="J1359" s="22"/>
      <c r="K1359" s="22"/>
      <c r="L1359" s="22"/>
      <c r="M1359" s="22"/>
      <c r="N1359" s="22"/>
    </row>
    <row r="1360" spans="1:14" x14ac:dyDescent="0.3">
      <c r="A1360" s="22" t="s">
        <v>3449</v>
      </c>
      <c r="B1360" s="22">
        <v>0</v>
      </c>
      <c r="C1360" s="22"/>
      <c r="D1360" s="22"/>
      <c r="E1360" s="22"/>
      <c r="F1360" s="22"/>
      <c r="G1360" s="22"/>
      <c r="H1360" s="22"/>
      <c r="I1360" s="22"/>
      <c r="J1360" s="22"/>
      <c r="K1360" s="22"/>
      <c r="L1360" s="22"/>
      <c r="M1360" s="22"/>
      <c r="N1360" s="22"/>
    </row>
    <row r="1361" spans="1:14" x14ac:dyDescent="0.3">
      <c r="A1361" s="22" t="s">
        <v>3450</v>
      </c>
      <c r="B1361" s="22">
        <v>0</v>
      </c>
      <c r="C1361" s="22"/>
      <c r="D1361" s="22"/>
      <c r="E1361" s="22"/>
      <c r="F1361" s="22"/>
      <c r="G1361" s="22"/>
      <c r="H1361" s="22"/>
      <c r="I1361" s="22"/>
      <c r="J1361" s="22"/>
      <c r="K1361" s="22"/>
      <c r="L1361" s="22"/>
      <c r="M1361" s="22"/>
      <c r="N1361" s="22"/>
    </row>
    <row r="1362" spans="1:14" x14ac:dyDescent="0.3">
      <c r="A1362" s="22" t="s">
        <v>3451</v>
      </c>
      <c r="B1362" s="22">
        <v>0</v>
      </c>
      <c r="C1362" s="22"/>
      <c r="D1362" s="22"/>
      <c r="E1362" s="22"/>
      <c r="F1362" s="22"/>
      <c r="G1362" s="22"/>
      <c r="H1362" s="22"/>
      <c r="I1362" s="22"/>
      <c r="J1362" s="22"/>
      <c r="K1362" s="22"/>
      <c r="L1362" s="22"/>
      <c r="M1362" s="22"/>
      <c r="N1362" s="22"/>
    </row>
    <row r="1363" spans="1:14" x14ac:dyDescent="0.3">
      <c r="A1363" s="22" t="s">
        <v>3452</v>
      </c>
      <c r="B1363" s="22">
        <v>0</v>
      </c>
      <c r="C1363" s="22"/>
      <c r="D1363" s="22"/>
      <c r="E1363" s="22"/>
      <c r="F1363" s="22"/>
      <c r="G1363" s="22"/>
      <c r="H1363" s="22"/>
      <c r="I1363" s="22"/>
      <c r="J1363" s="22"/>
      <c r="K1363" s="22"/>
      <c r="L1363" s="22"/>
      <c r="M1363" s="22"/>
      <c r="N1363" s="22"/>
    </row>
    <row r="1364" spans="1:14" x14ac:dyDescent="0.3">
      <c r="A1364" s="22" t="s">
        <v>3453</v>
      </c>
      <c r="B1364" s="22">
        <v>0</v>
      </c>
      <c r="C1364" s="22"/>
      <c r="D1364" s="22"/>
      <c r="E1364" s="22"/>
      <c r="F1364" s="22"/>
      <c r="G1364" s="22"/>
      <c r="H1364" s="22"/>
      <c r="I1364" s="22"/>
      <c r="J1364" s="22"/>
      <c r="K1364" s="22"/>
      <c r="L1364" s="22"/>
      <c r="M1364" s="22"/>
      <c r="N1364" s="22"/>
    </row>
    <row r="1365" spans="1:14" x14ac:dyDescent="0.3">
      <c r="A1365" s="22" t="s">
        <v>3454</v>
      </c>
      <c r="B1365" s="22">
        <v>0</v>
      </c>
      <c r="C1365" s="22"/>
      <c r="D1365" s="22"/>
      <c r="E1365" s="22"/>
      <c r="F1365" s="22"/>
      <c r="G1365" s="22"/>
      <c r="H1365" s="22"/>
      <c r="I1365" s="22"/>
      <c r="J1365" s="22"/>
      <c r="K1365" s="22"/>
      <c r="L1365" s="22"/>
      <c r="M1365" s="22"/>
      <c r="N1365" s="22"/>
    </row>
    <row r="1366" spans="1:14" x14ac:dyDescent="0.3">
      <c r="A1366" s="22" t="s">
        <v>3455</v>
      </c>
      <c r="B1366" s="22">
        <v>0</v>
      </c>
      <c r="C1366" s="22"/>
      <c r="D1366" s="22"/>
      <c r="E1366" s="22"/>
      <c r="F1366" s="22"/>
      <c r="G1366" s="22"/>
      <c r="H1366" s="22"/>
      <c r="I1366" s="22"/>
      <c r="J1366" s="22"/>
      <c r="K1366" s="22"/>
      <c r="L1366" s="22"/>
      <c r="M1366" s="22"/>
      <c r="N1366" s="22"/>
    </row>
    <row r="1367" spans="1:14" x14ac:dyDescent="0.3">
      <c r="A1367" s="22" t="s">
        <v>2677</v>
      </c>
      <c r="B1367" s="22">
        <v>26</v>
      </c>
      <c r="C1367" s="22"/>
      <c r="D1367" s="22"/>
      <c r="E1367" s="22"/>
      <c r="F1367" s="22"/>
      <c r="G1367" s="22"/>
      <c r="H1367" s="22"/>
      <c r="I1367" s="22"/>
      <c r="J1367" s="22"/>
      <c r="K1367" s="22"/>
      <c r="L1367" s="22"/>
      <c r="M1367" s="22"/>
      <c r="N1367" s="22"/>
    </row>
    <row r="1368" spans="1:14" x14ac:dyDescent="0.3">
      <c r="A1368" s="22" t="s">
        <v>3456</v>
      </c>
      <c r="B1368" s="22">
        <v>0</v>
      </c>
      <c r="C1368" s="22"/>
      <c r="D1368" s="22"/>
      <c r="E1368" s="22"/>
      <c r="F1368" s="22"/>
      <c r="G1368" s="22"/>
      <c r="H1368" s="22"/>
      <c r="I1368" s="22"/>
      <c r="J1368" s="22"/>
      <c r="K1368" s="22"/>
      <c r="L1368" s="22"/>
      <c r="M1368" s="22"/>
      <c r="N1368" s="22"/>
    </row>
    <row r="1369" spans="1:14" x14ac:dyDescent="0.3">
      <c r="A1369" s="22" t="s">
        <v>3457</v>
      </c>
      <c r="B1369" s="22">
        <v>0</v>
      </c>
      <c r="C1369" s="22"/>
      <c r="D1369" s="22"/>
      <c r="E1369" s="22"/>
      <c r="F1369" s="22"/>
      <c r="G1369" s="22"/>
      <c r="H1369" s="22"/>
      <c r="I1369" s="22"/>
      <c r="J1369" s="22"/>
      <c r="K1369" s="22"/>
      <c r="L1369" s="22"/>
      <c r="M1369" s="22"/>
      <c r="N1369" s="22"/>
    </row>
    <row r="1370" spans="1:14" x14ac:dyDescent="0.3">
      <c r="A1370" s="22" t="s">
        <v>3458</v>
      </c>
      <c r="B1370" s="22">
        <v>0</v>
      </c>
      <c r="C1370" s="22"/>
      <c r="D1370" s="22"/>
      <c r="E1370" s="22"/>
      <c r="F1370" s="22"/>
      <c r="G1370" s="22"/>
      <c r="H1370" s="22"/>
      <c r="I1370" s="22"/>
      <c r="J1370" s="22"/>
      <c r="K1370" s="22"/>
      <c r="L1370" s="22"/>
      <c r="M1370" s="22"/>
      <c r="N1370" s="22"/>
    </row>
    <row r="1371" spans="1:14" x14ac:dyDescent="0.3">
      <c r="A1371" s="22" t="s">
        <v>3459</v>
      </c>
      <c r="B1371" s="22">
        <v>0</v>
      </c>
      <c r="C1371" s="22"/>
      <c r="D1371" s="22"/>
      <c r="E1371" s="22"/>
      <c r="F1371" s="22"/>
      <c r="G1371" s="22"/>
      <c r="H1371" s="22"/>
      <c r="I1371" s="22"/>
      <c r="J1371" s="22"/>
      <c r="K1371" s="22"/>
      <c r="L1371" s="22"/>
      <c r="M1371" s="22"/>
      <c r="N1371" s="22"/>
    </row>
    <row r="1372" spans="1:14" x14ac:dyDescent="0.3">
      <c r="A1372" s="22" t="s">
        <v>3460</v>
      </c>
      <c r="B1372" s="22">
        <v>0</v>
      </c>
      <c r="C1372" s="22"/>
      <c r="D1372" s="22"/>
      <c r="E1372" s="22"/>
      <c r="F1372" s="22"/>
      <c r="G1372" s="22"/>
      <c r="H1372" s="22"/>
      <c r="I1372" s="22"/>
      <c r="J1372" s="22"/>
      <c r="K1372" s="22"/>
      <c r="L1372" s="22"/>
      <c r="M1372" s="22"/>
      <c r="N1372" s="22"/>
    </row>
    <row r="1373" spans="1:14" x14ac:dyDescent="0.3">
      <c r="A1373" s="22" t="s">
        <v>3461</v>
      </c>
      <c r="B1373" s="22">
        <v>0</v>
      </c>
      <c r="C1373" s="22"/>
      <c r="D1373" s="22"/>
      <c r="E1373" s="22"/>
      <c r="F1373" s="22"/>
      <c r="G1373" s="22"/>
      <c r="H1373" s="22"/>
      <c r="I1373" s="22"/>
      <c r="J1373" s="22"/>
      <c r="K1373" s="22"/>
      <c r="L1373" s="22"/>
      <c r="M1373" s="22"/>
      <c r="N1373" s="22"/>
    </row>
    <row r="1374" spans="1:14" x14ac:dyDescent="0.3">
      <c r="A1374" s="22" t="s">
        <v>3462</v>
      </c>
      <c r="B1374" s="22">
        <v>0</v>
      </c>
      <c r="C1374" s="22"/>
      <c r="D1374" s="22"/>
      <c r="E1374" s="22"/>
      <c r="F1374" s="22"/>
      <c r="G1374" s="22"/>
      <c r="H1374" s="22"/>
      <c r="I1374" s="22"/>
      <c r="J1374" s="22"/>
      <c r="K1374" s="22"/>
      <c r="L1374" s="22"/>
      <c r="M1374" s="22"/>
      <c r="N1374" s="22"/>
    </row>
    <row r="1375" spans="1:14" x14ac:dyDescent="0.3">
      <c r="A1375" s="22" t="s">
        <v>2651</v>
      </c>
      <c r="B1375" s="22">
        <v>0</v>
      </c>
      <c r="C1375" s="22"/>
      <c r="D1375" s="22"/>
      <c r="E1375" s="22"/>
      <c r="F1375" s="22"/>
      <c r="G1375" s="22"/>
      <c r="H1375" s="22"/>
      <c r="I1375" s="22"/>
      <c r="J1375" s="22"/>
      <c r="K1375" s="22"/>
      <c r="L1375" s="22"/>
      <c r="M1375" s="22"/>
      <c r="N1375" s="22"/>
    </row>
    <row r="1376" spans="1:14" x14ac:dyDescent="0.3">
      <c r="A1376" s="22" t="s">
        <v>3463</v>
      </c>
      <c r="B1376" s="22">
        <v>0</v>
      </c>
      <c r="C1376" s="22"/>
      <c r="D1376" s="22"/>
      <c r="E1376" s="22"/>
      <c r="F1376" s="22"/>
      <c r="G1376" s="22"/>
      <c r="H1376" s="22"/>
      <c r="I1376" s="22"/>
      <c r="J1376" s="22"/>
      <c r="K1376" s="22"/>
      <c r="L1376" s="22"/>
      <c r="M1376" s="22"/>
      <c r="N1376" s="22"/>
    </row>
    <row r="1377" spans="1:14" x14ac:dyDescent="0.3">
      <c r="A1377" s="22" t="s">
        <v>3464</v>
      </c>
      <c r="B1377" s="22">
        <v>0</v>
      </c>
      <c r="C1377" s="22"/>
      <c r="D1377" s="22"/>
      <c r="E1377" s="22"/>
      <c r="F1377" s="22"/>
      <c r="G1377" s="22"/>
      <c r="H1377" s="22"/>
      <c r="I1377" s="22"/>
      <c r="J1377" s="22"/>
      <c r="K1377" s="22"/>
      <c r="L1377" s="22"/>
      <c r="M1377" s="22"/>
      <c r="N1377" s="22"/>
    </row>
    <row r="1378" spans="1:14" x14ac:dyDescent="0.3">
      <c r="A1378" s="22" t="s">
        <v>3465</v>
      </c>
      <c r="B1378" s="22">
        <v>0</v>
      </c>
      <c r="C1378" s="22"/>
      <c r="D1378" s="22"/>
      <c r="E1378" s="22"/>
      <c r="F1378" s="22"/>
      <c r="G1378" s="22"/>
      <c r="H1378" s="22"/>
      <c r="I1378" s="22"/>
      <c r="J1378" s="22"/>
      <c r="K1378" s="22"/>
      <c r="L1378" s="22"/>
      <c r="M1378" s="22"/>
      <c r="N1378" s="22"/>
    </row>
    <row r="1379" spans="1:14" x14ac:dyDescent="0.3">
      <c r="A1379" s="22" t="s">
        <v>3466</v>
      </c>
      <c r="B1379" s="22">
        <v>0</v>
      </c>
      <c r="C1379" s="22"/>
      <c r="D1379" s="22"/>
      <c r="E1379" s="22"/>
      <c r="F1379" s="22"/>
      <c r="G1379" s="22"/>
      <c r="H1379" s="22"/>
      <c r="I1379" s="22"/>
      <c r="J1379" s="22"/>
      <c r="K1379" s="22"/>
      <c r="L1379" s="22"/>
      <c r="M1379" s="22"/>
      <c r="N1379" s="22"/>
    </row>
    <row r="1380" spans="1:14" x14ac:dyDescent="0.3">
      <c r="A1380" s="22" t="s">
        <v>3467</v>
      </c>
      <c r="B1380" s="22">
        <v>0</v>
      </c>
      <c r="C1380" s="22"/>
      <c r="D1380" s="22"/>
      <c r="E1380" s="22"/>
      <c r="F1380" s="22"/>
      <c r="G1380" s="22"/>
      <c r="H1380" s="22"/>
      <c r="I1380" s="22"/>
      <c r="J1380" s="22"/>
      <c r="K1380" s="22"/>
      <c r="L1380" s="22"/>
      <c r="M1380" s="22"/>
      <c r="N1380" s="22"/>
    </row>
    <row r="1381" spans="1:14" x14ac:dyDescent="0.3">
      <c r="A1381" s="22" t="s">
        <v>3468</v>
      </c>
      <c r="B1381" s="22">
        <v>0</v>
      </c>
      <c r="C1381" s="22"/>
      <c r="D1381" s="22"/>
      <c r="E1381" s="22"/>
      <c r="F1381" s="22"/>
      <c r="G1381" s="22"/>
      <c r="H1381" s="22"/>
      <c r="I1381" s="22"/>
      <c r="J1381" s="22"/>
      <c r="K1381" s="22"/>
      <c r="L1381" s="22"/>
      <c r="M1381" s="22"/>
      <c r="N1381" s="22"/>
    </row>
    <row r="1382" spans="1:14" x14ac:dyDescent="0.3">
      <c r="A1382" s="22" t="s">
        <v>3469</v>
      </c>
      <c r="B1382" s="22">
        <v>0</v>
      </c>
      <c r="C1382" s="22"/>
      <c r="D1382" s="22"/>
      <c r="E1382" s="22"/>
      <c r="F1382" s="22"/>
      <c r="G1382" s="22"/>
      <c r="H1382" s="22"/>
      <c r="I1382" s="22"/>
      <c r="J1382" s="22"/>
      <c r="K1382" s="22"/>
      <c r="L1382" s="22"/>
      <c r="M1382" s="22"/>
      <c r="N1382" s="22"/>
    </row>
    <row r="1383" spans="1:14" x14ac:dyDescent="0.3">
      <c r="A1383" s="22" t="s">
        <v>2678</v>
      </c>
      <c r="B1383" s="22">
        <v>26</v>
      </c>
      <c r="C1383" s="22"/>
      <c r="D1383" s="22"/>
      <c r="E1383" s="22"/>
      <c r="F1383" s="22"/>
      <c r="G1383" s="22"/>
      <c r="H1383" s="22"/>
      <c r="I1383" s="22"/>
      <c r="J1383" s="22"/>
      <c r="K1383" s="22"/>
      <c r="L1383" s="22"/>
      <c r="M1383" s="22"/>
      <c r="N1383" s="22"/>
    </row>
    <row r="1384" spans="1:14" x14ac:dyDescent="0.3">
      <c r="A1384" s="22" t="s">
        <v>3470</v>
      </c>
      <c r="B1384" s="22">
        <v>0</v>
      </c>
      <c r="C1384" s="22"/>
      <c r="D1384" s="22"/>
      <c r="E1384" s="22"/>
      <c r="F1384" s="22"/>
      <c r="G1384" s="22"/>
      <c r="H1384" s="22"/>
      <c r="I1384" s="22"/>
      <c r="J1384" s="22"/>
      <c r="K1384" s="22"/>
      <c r="L1384" s="22"/>
      <c r="M1384" s="22"/>
      <c r="N1384" s="22"/>
    </row>
    <row r="1385" spans="1:14" x14ac:dyDescent="0.3">
      <c r="A1385" s="22" t="s">
        <v>3471</v>
      </c>
      <c r="B1385" s="22">
        <v>0</v>
      </c>
      <c r="C1385" s="22"/>
      <c r="D1385" s="22"/>
      <c r="E1385" s="22"/>
      <c r="F1385" s="22"/>
      <c r="G1385" s="22"/>
      <c r="H1385" s="22"/>
      <c r="I1385" s="22"/>
      <c r="J1385" s="22"/>
      <c r="K1385" s="22"/>
      <c r="L1385" s="22"/>
      <c r="M1385" s="22"/>
      <c r="N1385" s="22"/>
    </row>
    <row r="1386" spans="1:14" x14ac:dyDescent="0.3">
      <c r="A1386" s="22" t="s">
        <v>3472</v>
      </c>
      <c r="B1386" s="22">
        <v>0</v>
      </c>
      <c r="C1386" s="22"/>
      <c r="D1386" s="22"/>
      <c r="E1386" s="22"/>
      <c r="F1386" s="22"/>
      <c r="G1386" s="22"/>
      <c r="H1386" s="22"/>
      <c r="I1386" s="22"/>
      <c r="J1386" s="22"/>
      <c r="K1386" s="22"/>
      <c r="L1386" s="22"/>
      <c r="M1386" s="22"/>
      <c r="N1386" s="22"/>
    </row>
    <row r="1387" spans="1:14" x14ac:dyDescent="0.3">
      <c r="A1387" s="22" t="s">
        <v>3473</v>
      </c>
      <c r="B1387" s="22">
        <v>0</v>
      </c>
      <c r="C1387" s="22"/>
      <c r="D1387" s="22"/>
      <c r="E1387" s="22"/>
      <c r="F1387" s="22"/>
      <c r="G1387" s="22"/>
      <c r="H1387" s="22"/>
      <c r="I1387" s="22"/>
      <c r="J1387" s="22"/>
      <c r="K1387" s="22"/>
      <c r="L1387" s="22"/>
      <c r="M1387" s="22"/>
      <c r="N1387" s="22"/>
    </row>
    <row r="1388" spans="1:14" x14ac:dyDescent="0.3">
      <c r="A1388" s="22" t="s">
        <v>3474</v>
      </c>
      <c r="B1388" s="22">
        <v>0</v>
      </c>
      <c r="C1388" s="22"/>
      <c r="D1388" s="22"/>
      <c r="E1388" s="22"/>
      <c r="F1388" s="22"/>
      <c r="G1388" s="22"/>
      <c r="H1388" s="22"/>
      <c r="I1388" s="22"/>
      <c r="J1388" s="22"/>
      <c r="K1388" s="22"/>
      <c r="L1388" s="22"/>
      <c r="M1388" s="22"/>
      <c r="N1388" s="22"/>
    </row>
    <row r="1389" spans="1:14" x14ac:dyDescent="0.3">
      <c r="A1389" s="22" t="s">
        <v>3475</v>
      </c>
      <c r="B1389" s="22">
        <v>0</v>
      </c>
      <c r="C1389" s="22"/>
      <c r="D1389" s="22"/>
      <c r="E1389" s="22"/>
      <c r="F1389" s="22"/>
      <c r="G1389" s="22"/>
      <c r="H1389" s="22"/>
      <c r="I1389" s="22"/>
      <c r="J1389" s="22"/>
      <c r="K1389" s="22"/>
      <c r="L1389" s="22"/>
      <c r="M1389" s="22"/>
      <c r="N1389" s="22"/>
    </row>
    <row r="1390" spans="1:14" x14ac:dyDescent="0.3">
      <c r="A1390" s="22" t="s">
        <v>3476</v>
      </c>
      <c r="B1390" s="22">
        <v>0</v>
      </c>
      <c r="C1390" s="22"/>
      <c r="D1390" s="22"/>
      <c r="E1390" s="22"/>
      <c r="F1390" s="22"/>
      <c r="G1390" s="22"/>
      <c r="H1390" s="22"/>
      <c r="I1390" s="22"/>
      <c r="J1390" s="22"/>
      <c r="K1390" s="22"/>
      <c r="L1390" s="22"/>
      <c r="M1390" s="22"/>
      <c r="N1390" s="22"/>
    </row>
    <row r="1391" spans="1:14" x14ac:dyDescent="0.3">
      <c r="A1391" s="22" t="s">
        <v>2679</v>
      </c>
      <c r="B1391" s="22">
        <v>51</v>
      </c>
      <c r="C1391" s="22"/>
      <c r="D1391" s="22"/>
      <c r="E1391" s="22"/>
      <c r="F1391" s="22"/>
      <c r="G1391" s="22"/>
      <c r="H1391" s="22"/>
      <c r="I1391" s="22"/>
      <c r="J1391" s="22"/>
      <c r="K1391" s="22"/>
      <c r="L1391" s="22"/>
      <c r="M1391" s="22"/>
      <c r="N1391" s="22"/>
    </row>
    <row r="1392" spans="1:14" x14ac:dyDescent="0.3">
      <c r="A1392" s="22" t="s">
        <v>3477</v>
      </c>
      <c r="B1392" s="22">
        <v>0</v>
      </c>
      <c r="C1392" s="22"/>
      <c r="D1392" s="22"/>
      <c r="E1392" s="22"/>
      <c r="F1392" s="22"/>
      <c r="G1392" s="22"/>
      <c r="H1392" s="22"/>
      <c r="I1392" s="22"/>
      <c r="J1392" s="22"/>
      <c r="K1392" s="22"/>
      <c r="L1392" s="22"/>
      <c r="M1392" s="22"/>
      <c r="N1392" s="22"/>
    </row>
    <row r="1393" spans="1:14" x14ac:dyDescent="0.3">
      <c r="A1393" s="22" t="s">
        <v>3478</v>
      </c>
      <c r="B1393" s="22">
        <v>0</v>
      </c>
      <c r="C1393" s="22"/>
      <c r="D1393" s="22"/>
      <c r="E1393" s="22"/>
      <c r="F1393" s="22"/>
      <c r="G1393" s="22"/>
      <c r="H1393" s="22"/>
      <c r="I1393" s="22"/>
      <c r="J1393" s="22"/>
      <c r="K1393" s="22"/>
      <c r="L1393" s="22"/>
      <c r="M1393" s="22"/>
      <c r="N1393" s="22"/>
    </row>
    <row r="1394" spans="1:14" x14ac:dyDescent="0.3">
      <c r="A1394" s="22" t="s">
        <v>3479</v>
      </c>
      <c r="B1394" s="22">
        <v>0</v>
      </c>
      <c r="C1394" s="22"/>
      <c r="D1394" s="22"/>
      <c r="E1394" s="22"/>
      <c r="F1394" s="22"/>
      <c r="G1394" s="22"/>
      <c r="H1394" s="22"/>
      <c r="I1394" s="22"/>
      <c r="J1394" s="22"/>
      <c r="K1394" s="22"/>
      <c r="L1394" s="22"/>
      <c r="M1394" s="22"/>
      <c r="N1394" s="22"/>
    </row>
    <row r="1395" spans="1:14" x14ac:dyDescent="0.3">
      <c r="A1395" s="22" t="s">
        <v>3480</v>
      </c>
      <c r="B1395" s="22">
        <v>0</v>
      </c>
      <c r="C1395" s="22"/>
      <c r="D1395" s="22"/>
      <c r="E1395" s="22"/>
      <c r="F1395" s="22"/>
      <c r="G1395" s="22"/>
      <c r="H1395" s="22"/>
      <c r="I1395" s="22"/>
      <c r="J1395" s="22"/>
      <c r="K1395" s="22"/>
      <c r="L1395" s="22"/>
      <c r="M1395" s="22"/>
      <c r="N1395" s="22"/>
    </row>
    <row r="1396" spans="1:14" x14ac:dyDescent="0.3">
      <c r="A1396" s="22" t="s">
        <v>3481</v>
      </c>
      <c r="B1396" s="22">
        <v>0</v>
      </c>
      <c r="C1396" s="22"/>
      <c r="D1396" s="22"/>
      <c r="E1396" s="22"/>
      <c r="F1396" s="22"/>
      <c r="G1396" s="22"/>
      <c r="H1396" s="22"/>
      <c r="I1396" s="22"/>
      <c r="J1396" s="22"/>
      <c r="K1396" s="22"/>
      <c r="L1396" s="22"/>
      <c r="M1396" s="22"/>
      <c r="N1396" s="22"/>
    </row>
    <row r="1397" spans="1:14" x14ac:dyDescent="0.3">
      <c r="A1397" s="22" t="s">
        <v>3482</v>
      </c>
      <c r="B1397" s="22">
        <v>0</v>
      </c>
      <c r="C1397" s="22"/>
      <c r="D1397" s="22"/>
      <c r="E1397" s="22"/>
      <c r="F1397" s="22"/>
      <c r="G1397" s="22"/>
      <c r="H1397" s="22"/>
      <c r="I1397" s="22"/>
      <c r="J1397" s="22"/>
      <c r="K1397" s="22"/>
      <c r="L1397" s="22"/>
      <c r="M1397" s="22"/>
      <c r="N1397" s="22"/>
    </row>
    <row r="1398" spans="1:14" x14ac:dyDescent="0.3">
      <c r="A1398" s="22" t="s">
        <v>3483</v>
      </c>
      <c r="B1398" s="22">
        <v>0</v>
      </c>
      <c r="C1398" s="22"/>
      <c r="D1398" s="22"/>
      <c r="E1398" s="22"/>
      <c r="F1398" s="22"/>
      <c r="G1398" s="22"/>
      <c r="H1398" s="22"/>
      <c r="I1398" s="22"/>
      <c r="J1398" s="22"/>
      <c r="K1398" s="22"/>
      <c r="L1398" s="22"/>
      <c r="M1398" s="22"/>
      <c r="N1398" s="22"/>
    </row>
    <row r="1399" spans="1:14" x14ac:dyDescent="0.3">
      <c r="A1399" s="22" t="s">
        <v>2652</v>
      </c>
      <c r="B1399" s="22">
        <v>389</v>
      </c>
      <c r="C1399" s="22"/>
      <c r="D1399" s="22"/>
      <c r="E1399" s="22"/>
      <c r="F1399" s="22"/>
      <c r="G1399" s="22"/>
      <c r="H1399" s="22"/>
      <c r="I1399" s="22"/>
      <c r="J1399" s="22"/>
      <c r="K1399" s="22"/>
      <c r="L1399" s="22"/>
      <c r="M1399" s="22"/>
      <c r="N1399" s="22"/>
    </row>
    <row r="1400" spans="1:14" x14ac:dyDescent="0.3">
      <c r="A1400" s="22" t="s">
        <v>3484</v>
      </c>
      <c r="B1400" s="22">
        <v>31</v>
      </c>
      <c r="C1400" s="22"/>
      <c r="D1400" s="22"/>
      <c r="E1400" s="22"/>
      <c r="F1400" s="22"/>
      <c r="G1400" s="22"/>
      <c r="H1400" s="22"/>
      <c r="I1400" s="22"/>
      <c r="J1400" s="22"/>
      <c r="K1400" s="22"/>
      <c r="L1400" s="22"/>
      <c r="M1400" s="22"/>
      <c r="N1400" s="22"/>
    </row>
    <row r="1401" spans="1:14" x14ac:dyDescent="0.3">
      <c r="A1401" s="22" t="s">
        <v>3485</v>
      </c>
      <c r="B1401" s="22">
        <v>0</v>
      </c>
      <c r="C1401" s="22"/>
      <c r="D1401" s="22"/>
      <c r="E1401" s="22"/>
      <c r="F1401" s="22"/>
      <c r="G1401" s="22"/>
      <c r="H1401" s="22"/>
      <c r="I1401" s="22"/>
      <c r="J1401" s="22"/>
      <c r="K1401" s="22"/>
      <c r="L1401" s="22"/>
      <c r="M1401" s="22"/>
      <c r="N1401" s="22"/>
    </row>
    <row r="1402" spans="1:14" x14ac:dyDescent="0.3">
      <c r="A1402" s="22" t="s">
        <v>3486</v>
      </c>
      <c r="B1402" s="22">
        <v>0</v>
      </c>
      <c r="C1402" s="22"/>
      <c r="D1402" s="22"/>
      <c r="E1402" s="22"/>
      <c r="F1402" s="22"/>
      <c r="G1402" s="22"/>
      <c r="H1402" s="22"/>
      <c r="I1402" s="22"/>
      <c r="J1402" s="22"/>
      <c r="K1402" s="22"/>
      <c r="L1402" s="22"/>
      <c r="M1402" s="22"/>
      <c r="N1402" s="22"/>
    </row>
    <row r="1403" spans="1:14" x14ac:dyDescent="0.3">
      <c r="A1403" s="22" t="s">
        <v>3487</v>
      </c>
      <c r="B1403" s="22">
        <v>0</v>
      </c>
      <c r="C1403" s="22"/>
      <c r="D1403" s="22"/>
      <c r="E1403" s="22"/>
      <c r="F1403" s="22"/>
      <c r="G1403" s="22"/>
      <c r="H1403" s="22"/>
      <c r="I1403" s="22"/>
      <c r="J1403" s="22"/>
      <c r="K1403" s="22"/>
      <c r="L1403" s="22"/>
      <c r="M1403" s="22"/>
      <c r="N1403" s="22"/>
    </row>
    <row r="1404" spans="1:14" x14ac:dyDescent="0.3">
      <c r="A1404" s="22" t="s">
        <v>3488</v>
      </c>
      <c r="B1404" s="22">
        <v>0</v>
      </c>
      <c r="C1404" s="22"/>
      <c r="D1404" s="22"/>
      <c r="E1404" s="22"/>
      <c r="F1404" s="22"/>
      <c r="G1404" s="22"/>
      <c r="H1404" s="22"/>
      <c r="I1404" s="22"/>
      <c r="J1404" s="22"/>
      <c r="K1404" s="22"/>
      <c r="L1404" s="22"/>
      <c r="M1404" s="22"/>
      <c r="N1404" s="22"/>
    </row>
    <row r="1405" spans="1:14" x14ac:dyDescent="0.3">
      <c r="A1405" s="22" t="s">
        <v>3489</v>
      </c>
      <c r="B1405" s="22">
        <v>0</v>
      </c>
      <c r="C1405" s="22"/>
      <c r="D1405" s="22"/>
      <c r="E1405" s="22"/>
      <c r="F1405" s="22"/>
      <c r="G1405" s="22"/>
      <c r="H1405" s="22"/>
      <c r="I1405" s="22"/>
      <c r="J1405" s="22"/>
      <c r="K1405" s="22"/>
      <c r="L1405" s="22"/>
      <c r="M1405" s="22"/>
      <c r="N1405" s="22"/>
    </row>
    <row r="1406" spans="1:14" x14ac:dyDescent="0.3">
      <c r="A1406" s="22" t="s">
        <v>3490</v>
      </c>
      <c r="B1406" s="22">
        <v>0</v>
      </c>
      <c r="C1406" s="22"/>
      <c r="D1406" s="22"/>
      <c r="E1406" s="22"/>
      <c r="F1406" s="22"/>
      <c r="G1406" s="22"/>
      <c r="H1406" s="22"/>
      <c r="I1406" s="22"/>
      <c r="J1406" s="22"/>
      <c r="K1406" s="22"/>
      <c r="L1406" s="22"/>
      <c r="M1406" s="22"/>
      <c r="N1406" s="22"/>
    </row>
    <row r="1407" spans="1:14" x14ac:dyDescent="0.3">
      <c r="A1407" s="22" t="s">
        <v>2680</v>
      </c>
      <c r="B1407" s="22">
        <v>427</v>
      </c>
      <c r="C1407" s="22"/>
      <c r="D1407" s="22"/>
      <c r="E1407" s="22"/>
      <c r="F1407" s="22"/>
      <c r="G1407" s="22"/>
      <c r="H1407" s="22"/>
      <c r="I1407" s="22"/>
      <c r="J1407" s="22"/>
      <c r="K1407" s="22"/>
      <c r="L1407" s="22"/>
      <c r="M1407" s="22"/>
      <c r="N1407" s="22"/>
    </row>
    <row r="1408" spans="1:14" x14ac:dyDescent="0.3">
      <c r="A1408" s="22" t="s">
        <v>3491</v>
      </c>
      <c r="B1408" s="22">
        <v>174</v>
      </c>
      <c r="C1408" s="22"/>
      <c r="D1408" s="22"/>
      <c r="E1408" s="22"/>
      <c r="F1408" s="22"/>
      <c r="G1408" s="22"/>
      <c r="H1408" s="22"/>
      <c r="I1408" s="22"/>
      <c r="J1408" s="22"/>
      <c r="K1408" s="22"/>
      <c r="L1408" s="22"/>
      <c r="M1408" s="22"/>
      <c r="N1408" s="22"/>
    </row>
    <row r="1409" spans="1:14" x14ac:dyDescent="0.3">
      <c r="A1409" s="22" t="s">
        <v>3492</v>
      </c>
      <c r="B1409" s="22">
        <v>79</v>
      </c>
      <c r="C1409" s="22"/>
      <c r="D1409" s="22"/>
      <c r="E1409" s="22"/>
      <c r="F1409" s="22"/>
      <c r="G1409" s="22"/>
      <c r="H1409" s="22"/>
      <c r="I1409" s="22"/>
      <c r="J1409" s="22"/>
      <c r="K1409" s="22"/>
      <c r="L1409" s="22"/>
      <c r="M1409" s="22"/>
      <c r="N1409" s="22"/>
    </row>
    <row r="1410" spans="1:14" x14ac:dyDescent="0.3">
      <c r="A1410" s="22" t="s">
        <v>3493</v>
      </c>
      <c r="B1410" s="22">
        <v>0</v>
      </c>
      <c r="C1410" s="22"/>
      <c r="D1410" s="22"/>
      <c r="E1410" s="22"/>
      <c r="F1410" s="22"/>
      <c r="G1410" s="22"/>
      <c r="H1410" s="22"/>
      <c r="I1410" s="22"/>
      <c r="J1410" s="22"/>
      <c r="K1410" s="22"/>
      <c r="L1410" s="22"/>
      <c r="M1410" s="22"/>
      <c r="N1410" s="22"/>
    </row>
    <row r="1411" spans="1:14" x14ac:dyDescent="0.3">
      <c r="A1411" s="22" t="s">
        <v>3494</v>
      </c>
      <c r="B1411" s="22">
        <v>0</v>
      </c>
      <c r="C1411" s="22"/>
      <c r="D1411" s="22"/>
      <c r="E1411" s="22"/>
      <c r="F1411" s="22"/>
      <c r="G1411" s="22"/>
      <c r="H1411" s="22"/>
      <c r="I1411" s="22"/>
      <c r="J1411" s="22"/>
      <c r="K1411" s="22"/>
      <c r="L1411" s="22"/>
      <c r="M1411" s="22"/>
      <c r="N1411" s="22"/>
    </row>
    <row r="1412" spans="1:14" x14ac:dyDescent="0.3">
      <c r="A1412" s="22" t="s">
        <v>3495</v>
      </c>
      <c r="B1412" s="22">
        <v>0</v>
      </c>
      <c r="C1412" s="22"/>
      <c r="D1412" s="22"/>
      <c r="E1412" s="22"/>
      <c r="F1412" s="22"/>
      <c r="G1412" s="22"/>
      <c r="H1412" s="22"/>
      <c r="I1412" s="22"/>
      <c r="J1412" s="22"/>
      <c r="K1412" s="22"/>
      <c r="L1412" s="22"/>
      <c r="M1412" s="22"/>
      <c r="N1412" s="22"/>
    </row>
    <row r="1413" spans="1:14" x14ac:dyDescent="0.3">
      <c r="A1413" s="22" t="s">
        <v>3496</v>
      </c>
      <c r="B1413" s="22">
        <v>0</v>
      </c>
      <c r="C1413" s="22"/>
      <c r="D1413" s="22"/>
      <c r="E1413" s="22"/>
      <c r="F1413" s="22"/>
      <c r="G1413" s="22"/>
      <c r="H1413" s="22"/>
      <c r="I1413" s="22"/>
      <c r="J1413" s="22"/>
      <c r="K1413" s="22"/>
      <c r="L1413" s="22"/>
      <c r="M1413" s="22"/>
      <c r="N1413" s="22"/>
    </row>
    <row r="1414" spans="1:14" x14ac:dyDescent="0.3">
      <c r="A1414" s="22" t="s">
        <v>3497</v>
      </c>
      <c r="B1414" s="22">
        <v>0</v>
      </c>
      <c r="C1414" s="22"/>
      <c r="D1414" s="22"/>
      <c r="E1414" s="22"/>
      <c r="F1414" s="22"/>
      <c r="G1414" s="22"/>
      <c r="H1414" s="22"/>
      <c r="I1414" s="22"/>
      <c r="J1414" s="22"/>
      <c r="K1414" s="22"/>
      <c r="L1414" s="22"/>
      <c r="M1414" s="22"/>
      <c r="N1414" s="22"/>
    </row>
    <row r="1415" spans="1:14" x14ac:dyDescent="0.3">
      <c r="A1415" s="22" t="s">
        <v>2681</v>
      </c>
      <c r="B1415" s="22">
        <v>0</v>
      </c>
      <c r="C1415" s="22"/>
      <c r="D1415" s="22"/>
      <c r="E1415" s="22"/>
      <c r="F1415" s="22"/>
      <c r="G1415" s="22"/>
      <c r="H1415" s="22"/>
      <c r="I1415" s="22"/>
      <c r="J1415" s="22"/>
      <c r="K1415" s="22"/>
      <c r="L1415" s="22"/>
      <c r="M1415" s="22"/>
      <c r="N1415" s="22"/>
    </row>
    <row r="1416" spans="1:14" x14ac:dyDescent="0.3">
      <c r="A1416" s="22" t="s">
        <v>3498</v>
      </c>
      <c r="B1416" s="22">
        <v>0</v>
      </c>
      <c r="C1416" s="22"/>
      <c r="D1416" s="22"/>
      <c r="E1416" s="22"/>
      <c r="F1416" s="22"/>
      <c r="G1416" s="22"/>
      <c r="H1416" s="22"/>
      <c r="I1416" s="22"/>
      <c r="J1416" s="22"/>
      <c r="K1416" s="22"/>
      <c r="L1416" s="22"/>
      <c r="M1416" s="22"/>
      <c r="N1416" s="22"/>
    </row>
    <row r="1417" spans="1:14" x14ac:dyDescent="0.3">
      <c r="A1417" s="22" t="s">
        <v>3499</v>
      </c>
      <c r="B1417" s="22">
        <v>0</v>
      </c>
      <c r="C1417" s="22"/>
      <c r="D1417" s="22"/>
      <c r="E1417" s="22"/>
      <c r="F1417" s="22"/>
      <c r="G1417" s="22"/>
      <c r="H1417" s="22"/>
      <c r="I1417" s="22"/>
      <c r="J1417" s="22"/>
      <c r="K1417" s="22"/>
      <c r="L1417" s="22"/>
      <c r="M1417" s="22"/>
      <c r="N1417" s="22"/>
    </row>
    <row r="1418" spans="1:14" x14ac:dyDescent="0.3">
      <c r="A1418" s="22" t="s">
        <v>3500</v>
      </c>
      <c r="B1418" s="22">
        <v>0</v>
      </c>
      <c r="C1418" s="22"/>
      <c r="D1418" s="22"/>
      <c r="E1418" s="22"/>
      <c r="F1418" s="22"/>
      <c r="G1418" s="22"/>
      <c r="H1418" s="22"/>
      <c r="I1418" s="22"/>
      <c r="J1418" s="22"/>
      <c r="K1418" s="22"/>
      <c r="L1418" s="22"/>
      <c r="M1418" s="22"/>
      <c r="N1418" s="22"/>
    </row>
    <row r="1419" spans="1:14" x14ac:dyDescent="0.3">
      <c r="A1419" s="22" t="s">
        <v>3501</v>
      </c>
      <c r="B1419" s="22">
        <v>0</v>
      </c>
      <c r="C1419" s="22"/>
      <c r="D1419" s="22"/>
      <c r="E1419" s="22"/>
      <c r="F1419" s="22"/>
      <c r="G1419" s="22"/>
      <c r="H1419" s="22"/>
      <c r="I1419" s="22"/>
      <c r="J1419" s="22"/>
      <c r="K1419" s="22"/>
      <c r="L1419" s="22"/>
      <c r="M1419" s="22"/>
      <c r="N1419" s="22"/>
    </row>
    <row r="1420" spans="1:14" x14ac:dyDescent="0.3">
      <c r="A1420" s="22" t="s">
        <v>3502</v>
      </c>
      <c r="B1420" s="22">
        <v>0</v>
      </c>
      <c r="C1420" s="22"/>
      <c r="D1420" s="22"/>
      <c r="E1420" s="22"/>
      <c r="F1420" s="22"/>
      <c r="G1420" s="22"/>
      <c r="H1420" s="22"/>
      <c r="I1420" s="22"/>
      <c r="J1420" s="22"/>
      <c r="K1420" s="22"/>
      <c r="L1420" s="22"/>
      <c r="M1420" s="22"/>
      <c r="N1420" s="22"/>
    </row>
    <row r="1421" spans="1:14" x14ac:dyDescent="0.3">
      <c r="A1421" s="22" t="s">
        <v>3503</v>
      </c>
      <c r="B1421" s="22">
        <v>0</v>
      </c>
      <c r="C1421" s="22"/>
      <c r="D1421" s="22"/>
      <c r="E1421" s="22"/>
      <c r="F1421" s="22"/>
      <c r="G1421" s="22"/>
      <c r="H1421" s="22"/>
      <c r="I1421" s="22"/>
      <c r="J1421" s="22"/>
      <c r="K1421" s="22"/>
      <c r="L1421" s="22"/>
      <c r="M1421" s="22"/>
      <c r="N1421" s="22"/>
    </row>
    <row r="1422" spans="1:14" x14ac:dyDescent="0.3">
      <c r="A1422" s="22" t="s">
        <v>3504</v>
      </c>
      <c r="B1422" s="22">
        <v>0</v>
      </c>
      <c r="C1422" s="22"/>
      <c r="D1422" s="22"/>
      <c r="E1422" s="22"/>
      <c r="F1422" s="22"/>
      <c r="G1422" s="22"/>
      <c r="H1422" s="22"/>
      <c r="I1422" s="22"/>
      <c r="J1422" s="22"/>
      <c r="K1422" s="22"/>
      <c r="L1422" s="22"/>
      <c r="M1422" s="22"/>
      <c r="N1422" s="22"/>
    </row>
    <row r="1423" spans="1:14" x14ac:dyDescent="0.3">
      <c r="A1423" s="22" t="s">
        <v>2682</v>
      </c>
      <c r="B1423" s="22">
        <v>494</v>
      </c>
      <c r="C1423" s="22"/>
      <c r="D1423" s="22"/>
      <c r="E1423" s="22"/>
      <c r="F1423" s="22"/>
      <c r="G1423" s="22"/>
      <c r="H1423" s="22"/>
      <c r="I1423" s="22"/>
      <c r="J1423" s="22"/>
      <c r="K1423" s="22"/>
      <c r="L1423" s="22"/>
      <c r="M1423" s="22"/>
      <c r="N1423" s="22"/>
    </row>
    <row r="1424" spans="1:14" x14ac:dyDescent="0.3">
      <c r="A1424" s="22" t="s">
        <v>3505</v>
      </c>
      <c r="B1424" s="22">
        <v>299</v>
      </c>
      <c r="C1424" s="22"/>
      <c r="D1424" s="22"/>
      <c r="E1424" s="22"/>
      <c r="F1424" s="22"/>
      <c r="G1424" s="22"/>
      <c r="H1424" s="22"/>
      <c r="I1424" s="22"/>
      <c r="J1424" s="22"/>
      <c r="K1424" s="22"/>
      <c r="L1424" s="22"/>
      <c r="M1424" s="22"/>
      <c r="N1424" s="22"/>
    </row>
    <row r="1425" spans="1:14" x14ac:dyDescent="0.3">
      <c r="A1425" s="22" t="s">
        <v>3506</v>
      </c>
      <c r="B1425" s="22">
        <v>459</v>
      </c>
      <c r="C1425" s="22"/>
      <c r="D1425" s="22"/>
      <c r="E1425" s="22"/>
      <c r="F1425" s="22"/>
      <c r="G1425" s="22"/>
      <c r="H1425" s="22"/>
      <c r="I1425" s="22"/>
      <c r="J1425" s="22"/>
      <c r="K1425" s="22"/>
      <c r="L1425" s="22"/>
      <c r="M1425" s="22"/>
      <c r="N1425" s="22"/>
    </row>
    <row r="1426" spans="1:14" x14ac:dyDescent="0.3">
      <c r="A1426" s="22" t="s">
        <v>3507</v>
      </c>
      <c r="B1426" s="22">
        <v>2</v>
      </c>
      <c r="C1426" s="22"/>
      <c r="D1426" s="22"/>
      <c r="E1426" s="22"/>
      <c r="F1426" s="22"/>
      <c r="G1426" s="22"/>
      <c r="H1426" s="22"/>
      <c r="I1426" s="22"/>
      <c r="J1426" s="22"/>
      <c r="K1426" s="22"/>
      <c r="L1426" s="22"/>
      <c r="M1426" s="22"/>
      <c r="N1426" s="22"/>
    </row>
    <row r="1427" spans="1:14" x14ac:dyDescent="0.3">
      <c r="A1427" s="22" t="s">
        <v>3508</v>
      </c>
      <c r="B1427" s="22">
        <v>0</v>
      </c>
      <c r="C1427" s="22"/>
      <c r="D1427" s="22"/>
      <c r="E1427" s="22"/>
      <c r="F1427" s="22"/>
      <c r="G1427" s="22"/>
      <c r="H1427" s="22"/>
      <c r="I1427" s="22"/>
      <c r="J1427" s="22"/>
      <c r="K1427" s="22"/>
      <c r="L1427" s="22"/>
      <c r="M1427" s="22"/>
      <c r="N1427" s="22"/>
    </row>
    <row r="1428" spans="1:14" x14ac:dyDescent="0.3">
      <c r="A1428" s="22" t="s">
        <v>3509</v>
      </c>
      <c r="B1428" s="22">
        <v>0</v>
      </c>
      <c r="C1428" s="22"/>
      <c r="D1428" s="22"/>
      <c r="E1428" s="22"/>
      <c r="F1428" s="22"/>
      <c r="G1428" s="22"/>
      <c r="H1428" s="22"/>
      <c r="I1428" s="22"/>
      <c r="J1428" s="22"/>
      <c r="K1428" s="22"/>
      <c r="L1428" s="22"/>
      <c r="M1428" s="22"/>
      <c r="N1428" s="22"/>
    </row>
    <row r="1429" spans="1:14" x14ac:dyDescent="0.3">
      <c r="A1429" s="22" t="s">
        <v>3510</v>
      </c>
      <c r="B1429" s="22">
        <v>0</v>
      </c>
      <c r="C1429" s="22"/>
      <c r="D1429" s="22"/>
      <c r="E1429" s="22"/>
      <c r="F1429" s="22"/>
      <c r="G1429" s="22"/>
      <c r="H1429" s="22"/>
      <c r="I1429" s="22"/>
      <c r="J1429" s="22"/>
      <c r="K1429" s="22"/>
      <c r="L1429" s="22"/>
      <c r="M1429" s="22"/>
      <c r="N1429" s="22"/>
    </row>
    <row r="1430" spans="1:14" x14ac:dyDescent="0.3">
      <c r="A1430" s="22" t="s">
        <v>3511</v>
      </c>
      <c r="B1430" s="22">
        <v>0</v>
      </c>
      <c r="C1430" s="22"/>
      <c r="D1430" s="22"/>
      <c r="E1430" s="22"/>
      <c r="F1430" s="22"/>
      <c r="G1430" s="22"/>
      <c r="H1430" s="22"/>
      <c r="I1430" s="22"/>
      <c r="J1430" s="22"/>
      <c r="K1430" s="22"/>
      <c r="L1430" s="22"/>
      <c r="M1430" s="22"/>
      <c r="N1430" s="22"/>
    </row>
    <row r="1431" spans="1:14" x14ac:dyDescent="0.3">
      <c r="A1431" s="22" t="s">
        <v>2653</v>
      </c>
      <c r="B1431" s="22">
        <v>109</v>
      </c>
      <c r="C1431" s="22"/>
      <c r="D1431" s="22"/>
      <c r="E1431" s="22"/>
      <c r="F1431" s="22"/>
      <c r="G1431" s="22"/>
      <c r="H1431" s="22"/>
      <c r="I1431" s="22"/>
      <c r="J1431" s="22"/>
      <c r="K1431" s="22"/>
      <c r="L1431" s="22"/>
      <c r="M1431" s="22"/>
      <c r="N1431" s="22"/>
    </row>
    <row r="1432" spans="1:14" x14ac:dyDescent="0.3">
      <c r="A1432" s="22" t="s">
        <v>3512</v>
      </c>
      <c r="B1432" s="22">
        <v>0</v>
      </c>
      <c r="C1432" s="22"/>
      <c r="D1432" s="22"/>
      <c r="E1432" s="22"/>
      <c r="F1432" s="22"/>
      <c r="G1432" s="22"/>
      <c r="H1432" s="22"/>
      <c r="I1432" s="22"/>
      <c r="J1432" s="22"/>
      <c r="K1432" s="22"/>
      <c r="L1432" s="22"/>
      <c r="M1432" s="22"/>
      <c r="N1432" s="22"/>
    </row>
    <row r="1433" spans="1:14" x14ac:dyDescent="0.3">
      <c r="A1433" s="22" t="s">
        <v>3513</v>
      </c>
      <c r="B1433" s="22">
        <v>0</v>
      </c>
      <c r="C1433" s="22"/>
      <c r="D1433" s="22"/>
      <c r="E1433" s="22"/>
      <c r="F1433" s="22"/>
      <c r="G1433" s="22"/>
      <c r="H1433" s="22"/>
      <c r="I1433" s="22"/>
      <c r="J1433" s="22"/>
      <c r="K1433" s="22"/>
      <c r="L1433" s="22"/>
      <c r="M1433" s="22"/>
      <c r="N1433" s="22"/>
    </row>
    <row r="1434" spans="1:14" x14ac:dyDescent="0.3">
      <c r="A1434" s="22" t="s">
        <v>3514</v>
      </c>
      <c r="B1434" s="22">
        <v>0</v>
      </c>
      <c r="C1434" s="22"/>
      <c r="D1434" s="22"/>
      <c r="E1434" s="22"/>
      <c r="F1434" s="22"/>
      <c r="G1434" s="22"/>
      <c r="H1434" s="22"/>
      <c r="I1434" s="22"/>
      <c r="J1434" s="22"/>
      <c r="K1434" s="22"/>
      <c r="L1434" s="22"/>
      <c r="M1434" s="22"/>
      <c r="N1434" s="22"/>
    </row>
    <row r="1435" spans="1:14" x14ac:dyDescent="0.3">
      <c r="A1435" s="22" t="s">
        <v>3515</v>
      </c>
      <c r="B1435" s="22">
        <v>0</v>
      </c>
      <c r="C1435" s="22"/>
      <c r="D1435" s="22"/>
      <c r="E1435" s="22"/>
      <c r="F1435" s="22"/>
      <c r="G1435" s="22"/>
      <c r="H1435" s="22"/>
      <c r="I1435" s="22"/>
      <c r="J1435" s="22"/>
      <c r="K1435" s="22"/>
      <c r="L1435" s="22"/>
      <c r="M1435" s="22"/>
      <c r="N1435" s="22"/>
    </row>
    <row r="1436" spans="1:14" x14ac:dyDescent="0.3">
      <c r="A1436" s="22" t="s">
        <v>3516</v>
      </c>
      <c r="B1436" s="22">
        <v>0</v>
      </c>
      <c r="C1436" s="22"/>
      <c r="D1436" s="22"/>
      <c r="E1436" s="22"/>
      <c r="F1436" s="22"/>
      <c r="G1436" s="22"/>
      <c r="H1436" s="22"/>
      <c r="I1436" s="22"/>
      <c r="J1436" s="22"/>
      <c r="K1436" s="22"/>
      <c r="L1436" s="22"/>
      <c r="M1436" s="22"/>
      <c r="N1436" s="22"/>
    </row>
    <row r="1437" spans="1:14" x14ac:dyDescent="0.3">
      <c r="A1437" s="22" t="s">
        <v>3517</v>
      </c>
      <c r="B1437" s="22">
        <v>0</v>
      </c>
      <c r="C1437" s="22"/>
      <c r="D1437" s="22"/>
      <c r="E1437" s="22"/>
      <c r="F1437" s="22"/>
      <c r="G1437" s="22"/>
      <c r="H1437" s="22"/>
      <c r="I1437" s="22"/>
      <c r="J1437" s="22"/>
      <c r="K1437" s="22"/>
      <c r="L1437" s="22"/>
      <c r="M1437" s="22"/>
      <c r="N1437" s="22"/>
    </row>
    <row r="1438" spans="1:14" x14ac:dyDescent="0.3">
      <c r="A1438" s="22" t="s">
        <v>3518</v>
      </c>
      <c r="B1438" s="22">
        <v>0</v>
      </c>
      <c r="C1438" s="22"/>
      <c r="D1438" s="22"/>
      <c r="E1438" s="22"/>
      <c r="F1438" s="22"/>
      <c r="G1438" s="22"/>
      <c r="H1438" s="22"/>
      <c r="I1438" s="22"/>
      <c r="J1438" s="22"/>
      <c r="K1438" s="22"/>
      <c r="L1438" s="22"/>
      <c r="M1438" s="22"/>
      <c r="N1438" s="22"/>
    </row>
    <row r="1439" spans="1:14" x14ac:dyDescent="0.3">
      <c r="A1439" s="22" t="s">
        <v>778</v>
      </c>
      <c r="B1439" s="22">
        <v>117</v>
      </c>
      <c r="C1439" s="22"/>
      <c r="D1439" s="22"/>
      <c r="E1439" s="22"/>
      <c r="F1439" s="22"/>
      <c r="G1439" s="22"/>
      <c r="H1439" s="22"/>
      <c r="I1439" s="22"/>
      <c r="J1439" s="22"/>
      <c r="K1439" s="22"/>
      <c r="L1439" s="22"/>
      <c r="M1439" s="22"/>
      <c r="N1439" s="22"/>
    </row>
    <row r="1440" spans="1:14" x14ac:dyDescent="0.3">
      <c r="A1440" s="22" t="s">
        <v>5304</v>
      </c>
      <c r="B1440" s="22">
        <v>67</v>
      </c>
      <c r="C1440" s="22"/>
      <c r="D1440" s="22"/>
      <c r="E1440" s="22"/>
      <c r="F1440" s="22"/>
      <c r="G1440" s="22"/>
      <c r="H1440" s="22"/>
      <c r="I1440" s="22"/>
      <c r="J1440" s="22"/>
      <c r="K1440" s="22"/>
      <c r="L1440" s="22"/>
      <c r="M1440" s="22"/>
      <c r="N1440" s="22"/>
    </row>
    <row r="1441" spans="1:14" x14ac:dyDescent="0.3">
      <c r="A1441" s="22" t="s">
        <v>5305</v>
      </c>
      <c r="B1441" s="22">
        <v>0</v>
      </c>
      <c r="C1441" s="22"/>
      <c r="D1441" s="22"/>
      <c r="E1441" s="22"/>
      <c r="F1441" s="22"/>
      <c r="G1441" s="22"/>
      <c r="H1441" s="22"/>
      <c r="I1441" s="22"/>
      <c r="J1441" s="22"/>
      <c r="K1441" s="22"/>
      <c r="L1441" s="22"/>
      <c r="M1441" s="22"/>
      <c r="N1441" s="22"/>
    </row>
    <row r="1442" spans="1:14" x14ac:dyDescent="0.3">
      <c r="A1442" s="22" t="s">
        <v>5306</v>
      </c>
      <c r="B1442" s="22">
        <v>0</v>
      </c>
      <c r="C1442" s="22"/>
      <c r="D1442" s="22"/>
      <c r="E1442" s="22"/>
      <c r="F1442" s="22"/>
      <c r="G1442" s="22"/>
      <c r="H1442" s="22"/>
      <c r="I1442" s="22"/>
      <c r="J1442" s="22"/>
      <c r="K1442" s="22"/>
      <c r="L1442" s="22"/>
      <c r="M1442" s="22"/>
      <c r="N1442" s="22"/>
    </row>
    <row r="1443" spans="1:14" x14ac:dyDescent="0.3">
      <c r="A1443" s="22" t="s">
        <v>5307</v>
      </c>
      <c r="B1443" s="22">
        <v>0</v>
      </c>
      <c r="C1443" s="22"/>
      <c r="D1443" s="22"/>
      <c r="E1443" s="22"/>
      <c r="F1443" s="22"/>
      <c r="G1443" s="22"/>
      <c r="H1443" s="22"/>
      <c r="I1443" s="22"/>
      <c r="J1443" s="22"/>
      <c r="K1443" s="22"/>
      <c r="L1443" s="22"/>
      <c r="M1443" s="22"/>
      <c r="N1443" s="22"/>
    </row>
    <row r="1444" spans="1:14" x14ac:dyDescent="0.3">
      <c r="A1444" s="22" t="s">
        <v>5308</v>
      </c>
      <c r="B1444" s="22">
        <v>0</v>
      </c>
      <c r="C1444" s="22"/>
      <c r="D1444" s="22"/>
      <c r="E1444" s="22"/>
      <c r="F1444" s="22"/>
      <c r="G1444" s="22"/>
      <c r="H1444" s="22"/>
      <c r="I1444" s="22"/>
      <c r="J1444" s="22"/>
      <c r="K1444" s="22"/>
      <c r="L1444" s="22"/>
      <c r="M1444" s="22"/>
      <c r="N1444" s="22"/>
    </row>
    <row r="1445" spans="1:14" x14ac:dyDescent="0.3">
      <c r="A1445" s="22" t="s">
        <v>5309</v>
      </c>
      <c r="B1445" s="22">
        <v>0</v>
      </c>
      <c r="C1445" s="22"/>
      <c r="D1445" s="22"/>
      <c r="E1445" s="22"/>
      <c r="F1445" s="22"/>
      <c r="G1445" s="22"/>
      <c r="H1445" s="22"/>
      <c r="I1445" s="22"/>
      <c r="J1445" s="22"/>
      <c r="K1445" s="22"/>
      <c r="L1445" s="22"/>
      <c r="M1445" s="22"/>
      <c r="N1445" s="22"/>
    </row>
    <row r="1446" spans="1:14" x14ac:dyDescent="0.3">
      <c r="A1446" s="22" t="s">
        <v>5310</v>
      </c>
      <c r="B1446" s="22">
        <v>0</v>
      </c>
      <c r="C1446" s="22"/>
      <c r="D1446" s="22"/>
      <c r="E1446" s="22"/>
      <c r="F1446" s="22"/>
      <c r="G1446" s="22"/>
      <c r="H1446" s="22"/>
      <c r="I1446" s="22"/>
      <c r="J1446" s="22"/>
      <c r="K1446" s="22"/>
      <c r="L1446" s="22"/>
      <c r="M1446" s="22"/>
      <c r="N1446" s="22"/>
    </row>
    <row r="1447" spans="1:14" x14ac:dyDescent="0.3">
      <c r="A1447" s="22" t="s">
        <v>779</v>
      </c>
      <c r="B1447" s="22">
        <v>0</v>
      </c>
      <c r="C1447" s="22"/>
      <c r="D1447" s="22"/>
      <c r="E1447" s="22"/>
      <c r="F1447" s="22"/>
      <c r="G1447" s="22"/>
      <c r="H1447" s="22"/>
      <c r="I1447" s="22"/>
      <c r="J1447" s="22"/>
      <c r="K1447" s="22"/>
      <c r="L1447" s="22"/>
      <c r="M1447" s="22"/>
      <c r="N1447" s="22"/>
    </row>
    <row r="1448" spans="1:14" x14ac:dyDescent="0.3">
      <c r="A1448" s="22" t="s">
        <v>780</v>
      </c>
      <c r="B1448" s="22">
        <v>0</v>
      </c>
      <c r="C1448" s="22"/>
      <c r="D1448" s="22"/>
      <c r="E1448" s="22"/>
      <c r="F1448" s="22"/>
      <c r="G1448" s="22"/>
      <c r="H1448" s="22"/>
      <c r="I1448" s="22"/>
      <c r="J1448" s="22"/>
      <c r="K1448" s="22"/>
      <c r="L1448" s="22"/>
      <c r="M1448" s="22"/>
      <c r="N1448" s="22"/>
    </row>
    <row r="1449" spans="1:14" x14ac:dyDescent="0.3">
      <c r="A1449" s="22" t="s">
        <v>781</v>
      </c>
      <c r="B1449" s="22">
        <v>0</v>
      </c>
      <c r="C1449" s="22"/>
      <c r="D1449" s="22"/>
      <c r="E1449" s="22"/>
      <c r="F1449" s="22"/>
      <c r="G1449" s="22"/>
      <c r="H1449" s="22"/>
      <c r="I1449" s="22"/>
      <c r="J1449" s="22"/>
      <c r="K1449" s="22"/>
      <c r="L1449" s="22"/>
      <c r="M1449" s="22"/>
      <c r="N1449" s="22"/>
    </row>
    <row r="1450" spans="1:14" x14ac:dyDescent="0.3">
      <c r="A1450" s="22" t="s">
        <v>782</v>
      </c>
      <c r="B1450" s="22">
        <v>0</v>
      </c>
      <c r="C1450" s="22"/>
      <c r="D1450" s="22"/>
      <c r="E1450" s="22"/>
      <c r="F1450" s="22"/>
      <c r="G1450" s="22"/>
      <c r="H1450" s="22"/>
      <c r="I1450" s="22"/>
      <c r="J1450" s="22"/>
      <c r="K1450" s="22"/>
      <c r="L1450" s="22"/>
      <c r="M1450" s="22"/>
      <c r="N1450" s="22"/>
    </row>
    <row r="1451" spans="1:14" x14ac:dyDescent="0.3">
      <c r="A1451" s="22" t="s">
        <v>783</v>
      </c>
      <c r="B1451" s="22">
        <v>0</v>
      </c>
      <c r="C1451" s="22"/>
      <c r="D1451" s="22"/>
      <c r="E1451" s="22"/>
      <c r="F1451" s="22"/>
      <c r="G1451" s="22"/>
      <c r="H1451" s="22"/>
      <c r="I1451" s="22"/>
      <c r="J1451" s="22"/>
      <c r="K1451" s="22"/>
      <c r="L1451" s="22"/>
      <c r="M1451" s="22"/>
      <c r="N1451" s="22"/>
    </row>
    <row r="1452" spans="1:14" x14ac:dyDescent="0.3">
      <c r="A1452" s="22" t="s">
        <v>784</v>
      </c>
      <c r="B1452" s="22">
        <v>0</v>
      </c>
      <c r="C1452" s="22"/>
      <c r="D1452" s="22"/>
      <c r="E1452" s="22"/>
      <c r="F1452" s="22"/>
      <c r="G1452" s="22"/>
      <c r="H1452" s="22"/>
      <c r="I1452" s="22"/>
      <c r="J1452" s="22"/>
      <c r="K1452" s="22"/>
      <c r="L1452" s="22"/>
      <c r="M1452" s="22"/>
      <c r="N1452" s="22"/>
    </row>
    <row r="1453" spans="1:14" x14ac:dyDescent="0.3">
      <c r="A1453" s="22" t="s">
        <v>785</v>
      </c>
      <c r="B1453" s="22">
        <v>0</v>
      </c>
      <c r="C1453" s="22"/>
      <c r="D1453" s="22"/>
      <c r="E1453" s="22"/>
      <c r="F1453" s="22"/>
      <c r="G1453" s="22"/>
      <c r="H1453" s="22"/>
      <c r="I1453" s="22"/>
      <c r="J1453" s="22"/>
      <c r="K1453" s="22"/>
      <c r="L1453" s="22"/>
      <c r="M1453" s="22"/>
      <c r="N1453" s="22"/>
    </row>
    <row r="1454" spans="1:14" x14ac:dyDescent="0.3">
      <c r="A1454" s="22" t="s">
        <v>786</v>
      </c>
      <c r="B1454" s="22">
        <v>0</v>
      </c>
      <c r="C1454" s="22"/>
      <c r="D1454" s="22"/>
      <c r="E1454" s="22"/>
      <c r="F1454" s="22"/>
      <c r="G1454" s="22"/>
      <c r="H1454" s="22"/>
      <c r="I1454" s="22"/>
      <c r="J1454" s="22"/>
      <c r="K1454" s="22"/>
      <c r="L1454" s="22"/>
      <c r="M1454" s="22"/>
      <c r="N1454" s="22"/>
    </row>
    <row r="1455" spans="1:14" x14ac:dyDescent="0.3">
      <c r="A1455" s="22" t="s">
        <v>787</v>
      </c>
      <c r="B1455" s="22">
        <v>2</v>
      </c>
      <c r="C1455" s="22"/>
      <c r="D1455" s="22"/>
      <c r="E1455" s="22"/>
      <c r="F1455" s="22"/>
      <c r="G1455" s="22"/>
      <c r="H1455" s="22"/>
      <c r="I1455" s="22"/>
      <c r="J1455" s="22"/>
      <c r="K1455" s="22"/>
      <c r="L1455" s="22"/>
      <c r="M1455" s="22"/>
      <c r="N1455" s="22"/>
    </row>
    <row r="1456" spans="1:14" x14ac:dyDescent="0.3">
      <c r="A1456" s="22" t="s">
        <v>788</v>
      </c>
      <c r="B1456" s="22">
        <v>0</v>
      </c>
      <c r="C1456" s="22"/>
      <c r="D1456" s="22"/>
      <c r="E1456" s="22"/>
      <c r="F1456" s="22"/>
      <c r="G1456" s="22"/>
      <c r="H1456" s="22"/>
      <c r="I1456" s="22"/>
      <c r="J1456" s="22"/>
      <c r="K1456" s="22"/>
      <c r="L1456" s="22"/>
      <c r="M1456" s="22"/>
      <c r="N1456" s="22"/>
    </row>
    <row r="1457" spans="1:14" x14ac:dyDescent="0.3">
      <c r="A1457" s="22" t="s">
        <v>789</v>
      </c>
      <c r="B1457" s="22">
        <v>0</v>
      </c>
      <c r="C1457" s="22"/>
      <c r="D1457" s="22"/>
      <c r="E1457" s="22"/>
      <c r="F1457" s="22"/>
      <c r="G1457" s="22"/>
      <c r="H1457" s="22"/>
      <c r="I1457" s="22"/>
      <c r="J1457" s="22"/>
      <c r="K1457" s="22"/>
      <c r="L1457" s="22"/>
      <c r="M1457" s="22"/>
      <c r="N1457" s="22"/>
    </row>
    <row r="1458" spans="1:14" x14ac:dyDescent="0.3">
      <c r="A1458" s="22" t="s">
        <v>790</v>
      </c>
      <c r="B1458" s="22">
        <v>0</v>
      </c>
      <c r="C1458" s="22"/>
      <c r="D1458" s="22"/>
      <c r="E1458" s="22"/>
      <c r="F1458" s="22"/>
      <c r="G1458" s="22"/>
      <c r="H1458" s="22"/>
      <c r="I1458" s="22"/>
      <c r="J1458" s="22"/>
      <c r="K1458" s="22"/>
      <c r="L1458" s="22"/>
      <c r="M1458" s="22"/>
      <c r="N1458" s="22"/>
    </row>
    <row r="1459" spans="1:14" x14ac:dyDescent="0.3">
      <c r="A1459" s="22" t="s">
        <v>791</v>
      </c>
      <c r="B1459" s="22">
        <v>0</v>
      </c>
      <c r="C1459" s="22"/>
      <c r="D1459" s="22"/>
      <c r="E1459" s="22"/>
      <c r="F1459" s="22"/>
      <c r="G1459" s="22"/>
      <c r="H1459" s="22"/>
      <c r="I1459" s="22"/>
      <c r="J1459" s="22"/>
      <c r="K1459" s="22"/>
      <c r="L1459" s="22"/>
      <c r="M1459" s="22"/>
      <c r="N1459" s="22"/>
    </row>
    <row r="1460" spans="1:14" x14ac:dyDescent="0.3">
      <c r="A1460" s="22" t="s">
        <v>792</v>
      </c>
      <c r="B1460" s="22">
        <v>0</v>
      </c>
      <c r="C1460" s="22"/>
      <c r="D1460" s="22"/>
      <c r="E1460" s="22"/>
      <c r="F1460" s="22"/>
      <c r="G1460" s="22"/>
      <c r="H1460" s="22"/>
      <c r="I1460" s="22"/>
      <c r="J1460" s="22"/>
      <c r="K1460" s="22"/>
      <c r="L1460" s="22"/>
      <c r="M1460" s="22"/>
      <c r="N1460" s="22"/>
    </row>
    <row r="1461" spans="1:14" x14ac:dyDescent="0.3">
      <c r="A1461" s="22" t="s">
        <v>793</v>
      </c>
      <c r="B1461" s="22">
        <v>0</v>
      </c>
      <c r="C1461" s="22"/>
      <c r="D1461" s="22"/>
      <c r="E1461" s="22"/>
      <c r="F1461" s="22"/>
      <c r="G1461" s="22"/>
      <c r="H1461" s="22"/>
      <c r="I1461" s="22"/>
      <c r="J1461" s="22"/>
      <c r="K1461" s="22"/>
      <c r="L1461" s="22"/>
      <c r="M1461" s="22"/>
      <c r="N1461" s="22"/>
    </row>
    <row r="1462" spans="1:14" x14ac:dyDescent="0.3">
      <c r="A1462" s="22" t="s">
        <v>794</v>
      </c>
      <c r="B1462" s="22">
        <v>0</v>
      </c>
      <c r="C1462" s="22"/>
      <c r="D1462" s="22"/>
      <c r="E1462" s="22"/>
      <c r="F1462" s="22"/>
      <c r="G1462" s="22"/>
      <c r="H1462" s="22"/>
      <c r="I1462" s="22"/>
      <c r="J1462" s="22"/>
      <c r="K1462" s="22"/>
      <c r="L1462" s="22"/>
      <c r="M1462" s="22"/>
      <c r="N1462" s="22"/>
    </row>
    <row r="1463" spans="1:14" x14ac:dyDescent="0.3">
      <c r="A1463" s="22" t="s">
        <v>795</v>
      </c>
      <c r="B1463" s="22">
        <v>24</v>
      </c>
      <c r="C1463" s="22"/>
      <c r="D1463" s="22"/>
      <c r="E1463" s="22"/>
      <c r="F1463" s="22"/>
      <c r="G1463" s="22"/>
      <c r="H1463" s="22"/>
      <c r="I1463" s="22"/>
      <c r="J1463" s="22"/>
      <c r="K1463" s="22"/>
      <c r="L1463" s="22"/>
      <c r="M1463" s="22"/>
      <c r="N1463" s="22"/>
    </row>
    <row r="1464" spans="1:14" x14ac:dyDescent="0.3">
      <c r="A1464" s="22" t="s">
        <v>796</v>
      </c>
      <c r="B1464" s="22">
        <v>0</v>
      </c>
      <c r="C1464" s="22"/>
      <c r="D1464" s="22"/>
      <c r="E1464" s="22"/>
      <c r="F1464" s="22"/>
      <c r="G1464" s="22"/>
      <c r="H1464" s="22"/>
      <c r="I1464" s="22"/>
      <c r="J1464" s="22"/>
      <c r="K1464" s="22"/>
      <c r="L1464" s="22"/>
      <c r="M1464" s="22"/>
      <c r="N1464" s="22"/>
    </row>
    <row r="1465" spans="1:14" x14ac:dyDescent="0.3">
      <c r="A1465" s="22" t="s">
        <v>797</v>
      </c>
      <c r="B1465" s="22">
        <v>0</v>
      </c>
      <c r="C1465" s="22"/>
      <c r="D1465" s="22"/>
      <c r="E1465" s="22"/>
      <c r="F1465" s="22"/>
      <c r="G1465" s="22"/>
      <c r="H1465" s="22"/>
      <c r="I1465" s="22"/>
      <c r="J1465" s="22"/>
      <c r="K1465" s="22"/>
      <c r="L1465" s="22"/>
      <c r="M1465" s="22"/>
      <c r="N1465" s="22"/>
    </row>
    <row r="1466" spans="1:14" x14ac:dyDescent="0.3">
      <c r="A1466" s="22" t="s">
        <v>798</v>
      </c>
      <c r="B1466" s="22">
        <v>0</v>
      </c>
      <c r="C1466" s="22"/>
      <c r="D1466" s="22"/>
      <c r="E1466" s="22"/>
      <c r="F1466" s="22"/>
      <c r="G1466" s="22"/>
      <c r="H1466" s="22"/>
      <c r="I1466" s="22"/>
      <c r="J1466" s="22"/>
      <c r="K1466" s="22"/>
      <c r="L1466" s="22"/>
      <c r="M1466" s="22"/>
      <c r="N1466" s="22"/>
    </row>
    <row r="1467" spans="1:14" x14ac:dyDescent="0.3">
      <c r="A1467" s="22" t="s">
        <v>799</v>
      </c>
      <c r="B1467" s="22">
        <v>0</v>
      </c>
      <c r="C1467" s="22"/>
      <c r="D1467" s="22"/>
      <c r="E1467" s="22"/>
      <c r="F1467" s="22"/>
      <c r="G1467" s="22"/>
      <c r="H1467" s="22"/>
      <c r="I1467" s="22"/>
      <c r="J1467" s="22"/>
      <c r="K1467" s="22"/>
      <c r="L1467" s="22"/>
      <c r="M1467" s="22"/>
      <c r="N1467" s="22"/>
    </row>
    <row r="1468" spans="1:14" x14ac:dyDescent="0.3">
      <c r="A1468" s="22" t="s">
        <v>800</v>
      </c>
      <c r="B1468" s="22">
        <v>0</v>
      </c>
      <c r="C1468" s="22"/>
      <c r="D1468" s="22"/>
      <c r="E1468" s="22"/>
      <c r="F1468" s="22"/>
      <c r="G1468" s="22"/>
      <c r="H1468" s="22"/>
      <c r="I1468" s="22"/>
      <c r="J1468" s="22"/>
      <c r="K1468" s="22"/>
      <c r="L1468" s="22"/>
      <c r="M1468" s="22"/>
      <c r="N1468" s="22"/>
    </row>
    <row r="1469" spans="1:14" x14ac:dyDescent="0.3">
      <c r="A1469" s="22" t="s">
        <v>801</v>
      </c>
      <c r="B1469" s="22">
        <v>0</v>
      </c>
      <c r="C1469" s="22"/>
      <c r="D1469" s="22"/>
      <c r="E1469" s="22"/>
      <c r="F1469" s="22"/>
      <c r="G1469" s="22"/>
      <c r="H1469" s="22"/>
      <c r="I1469" s="22"/>
      <c r="J1469" s="22"/>
      <c r="K1469" s="22"/>
      <c r="L1469" s="22"/>
      <c r="M1469" s="22"/>
      <c r="N1469" s="22"/>
    </row>
    <row r="1470" spans="1:14" x14ac:dyDescent="0.3">
      <c r="A1470" s="22" t="s">
        <v>802</v>
      </c>
      <c r="B1470" s="22">
        <v>0</v>
      </c>
      <c r="C1470" s="22"/>
      <c r="D1470" s="22"/>
      <c r="E1470" s="22"/>
      <c r="F1470" s="22"/>
      <c r="G1470" s="22"/>
      <c r="H1470" s="22"/>
      <c r="I1470" s="22"/>
      <c r="J1470" s="22"/>
      <c r="K1470" s="22"/>
      <c r="L1470" s="22"/>
      <c r="M1470" s="22"/>
      <c r="N1470" s="22"/>
    </row>
    <row r="1471" spans="1:14" x14ac:dyDescent="0.3">
      <c r="A1471" s="22" t="s">
        <v>803</v>
      </c>
      <c r="B1471" s="22">
        <v>131</v>
      </c>
      <c r="C1471" s="22"/>
      <c r="D1471" s="22"/>
      <c r="E1471" s="22"/>
      <c r="F1471" s="22"/>
      <c r="G1471" s="22"/>
      <c r="H1471" s="22"/>
      <c r="I1471" s="22"/>
      <c r="J1471" s="22"/>
      <c r="K1471" s="22"/>
      <c r="L1471" s="22"/>
      <c r="M1471" s="22"/>
      <c r="N1471" s="22"/>
    </row>
    <row r="1472" spans="1:14" x14ac:dyDescent="0.3">
      <c r="A1472" s="22" t="s">
        <v>804</v>
      </c>
      <c r="B1472" s="22">
        <v>9</v>
      </c>
      <c r="C1472" s="22"/>
      <c r="D1472" s="22"/>
      <c r="E1472" s="22"/>
      <c r="F1472" s="22"/>
      <c r="G1472" s="22"/>
      <c r="H1472" s="22"/>
      <c r="I1472" s="22"/>
      <c r="J1472" s="22"/>
      <c r="K1472" s="22"/>
      <c r="L1472" s="22"/>
      <c r="M1472" s="22"/>
      <c r="N1472" s="22"/>
    </row>
    <row r="1473" spans="1:14" x14ac:dyDescent="0.3">
      <c r="A1473" s="22" t="s">
        <v>805</v>
      </c>
      <c r="B1473" s="22">
        <v>1</v>
      </c>
      <c r="C1473" s="22"/>
      <c r="D1473" s="22"/>
      <c r="E1473" s="22"/>
      <c r="F1473" s="22"/>
      <c r="G1473" s="22"/>
      <c r="H1473" s="22"/>
      <c r="I1473" s="22"/>
      <c r="J1473" s="22"/>
      <c r="K1473" s="22"/>
      <c r="L1473" s="22"/>
      <c r="M1473" s="22"/>
      <c r="N1473" s="22"/>
    </row>
    <row r="1474" spans="1:14" x14ac:dyDescent="0.3">
      <c r="A1474" s="22" t="s">
        <v>806</v>
      </c>
      <c r="B1474" s="22">
        <v>1</v>
      </c>
      <c r="C1474" s="22"/>
      <c r="D1474" s="22"/>
      <c r="E1474" s="22"/>
      <c r="F1474" s="22"/>
      <c r="G1474" s="22"/>
      <c r="H1474" s="22"/>
      <c r="I1474" s="22"/>
      <c r="J1474" s="22"/>
      <c r="K1474" s="22"/>
      <c r="L1474" s="22"/>
      <c r="M1474" s="22"/>
      <c r="N1474" s="22"/>
    </row>
    <row r="1475" spans="1:14" x14ac:dyDescent="0.3">
      <c r="A1475" s="22" t="s">
        <v>807</v>
      </c>
      <c r="B1475" s="22">
        <v>0</v>
      </c>
      <c r="C1475" s="22"/>
      <c r="D1475" s="22"/>
      <c r="E1475" s="22"/>
      <c r="F1475" s="22"/>
      <c r="G1475" s="22"/>
      <c r="H1475" s="22"/>
      <c r="I1475" s="22"/>
      <c r="J1475" s="22"/>
      <c r="K1475" s="22"/>
      <c r="L1475" s="22"/>
      <c r="M1475" s="22"/>
      <c r="N1475" s="22"/>
    </row>
    <row r="1476" spans="1:14" x14ac:dyDescent="0.3">
      <c r="A1476" s="22" t="s">
        <v>808</v>
      </c>
      <c r="B1476" s="22">
        <v>0</v>
      </c>
      <c r="C1476" s="22"/>
      <c r="D1476" s="22"/>
      <c r="E1476" s="22"/>
      <c r="F1476" s="22"/>
      <c r="G1476" s="22"/>
      <c r="H1476" s="22"/>
      <c r="I1476" s="22"/>
      <c r="J1476" s="22"/>
      <c r="K1476" s="22"/>
      <c r="L1476" s="22"/>
      <c r="M1476" s="22"/>
      <c r="N1476" s="22"/>
    </row>
    <row r="1477" spans="1:14" x14ac:dyDescent="0.3">
      <c r="A1477" s="22" t="s">
        <v>809</v>
      </c>
      <c r="B1477" s="22">
        <v>0</v>
      </c>
      <c r="C1477" s="22"/>
      <c r="D1477" s="22"/>
      <c r="E1477" s="22"/>
      <c r="F1477" s="22"/>
      <c r="G1477" s="22"/>
      <c r="H1477" s="22"/>
      <c r="I1477" s="22"/>
      <c r="J1477" s="22"/>
      <c r="K1477" s="22"/>
      <c r="L1477" s="22"/>
      <c r="M1477" s="22"/>
      <c r="N1477" s="22"/>
    </row>
    <row r="1478" spans="1:14" x14ac:dyDescent="0.3">
      <c r="A1478" s="22" t="s">
        <v>810</v>
      </c>
      <c r="B1478" s="22">
        <v>0</v>
      </c>
      <c r="C1478" s="22"/>
      <c r="D1478" s="22"/>
      <c r="E1478" s="22"/>
      <c r="F1478" s="22"/>
      <c r="G1478" s="22"/>
      <c r="H1478" s="22"/>
      <c r="I1478" s="22"/>
      <c r="J1478" s="22"/>
      <c r="K1478" s="22"/>
      <c r="L1478" s="22"/>
      <c r="M1478" s="22"/>
      <c r="N1478" s="22"/>
    </row>
    <row r="1479" spans="1:14" x14ac:dyDescent="0.3">
      <c r="A1479" s="22" t="s">
        <v>811</v>
      </c>
      <c r="B1479" s="22">
        <v>2</v>
      </c>
      <c r="C1479" s="22"/>
      <c r="D1479" s="22"/>
      <c r="E1479" s="22"/>
      <c r="F1479" s="22"/>
      <c r="G1479" s="22"/>
      <c r="H1479" s="22"/>
      <c r="I1479" s="22"/>
      <c r="J1479" s="22"/>
      <c r="K1479" s="22"/>
      <c r="L1479" s="22"/>
      <c r="M1479" s="22"/>
      <c r="N1479" s="22"/>
    </row>
    <row r="1480" spans="1:14" x14ac:dyDescent="0.3">
      <c r="A1480" s="22" t="s">
        <v>812</v>
      </c>
      <c r="B1480" s="22">
        <v>0</v>
      </c>
      <c r="C1480" s="22"/>
      <c r="D1480" s="22"/>
      <c r="E1480" s="22"/>
      <c r="F1480" s="22"/>
      <c r="G1480" s="22"/>
      <c r="H1480" s="22"/>
      <c r="I1480" s="22"/>
      <c r="J1480" s="22"/>
      <c r="K1480" s="22"/>
      <c r="L1480" s="22"/>
      <c r="M1480" s="22"/>
      <c r="N1480" s="22"/>
    </row>
    <row r="1481" spans="1:14" x14ac:dyDescent="0.3">
      <c r="A1481" s="22" t="s">
        <v>813</v>
      </c>
      <c r="B1481" s="22">
        <v>0</v>
      </c>
      <c r="C1481" s="22"/>
      <c r="D1481" s="22"/>
      <c r="E1481" s="22"/>
      <c r="F1481" s="22"/>
      <c r="G1481" s="22"/>
      <c r="H1481" s="22"/>
      <c r="I1481" s="22"/>
      <c r="J1481" s="22"/>
      <c r="K1481" s="22"/>
      <c r="L1481" s="22"/>
      <c r="M1481" s="22"/>
      <c r="N1481" s="22"/>
    </row>
    <row r="1482" spans="1:14" x14ac:dyDescent="0.3">
      <c r="A1482" s="22" t="s">
        <v>814</v>
      </c>
      <c r="B1482" s="22">
        <v>0</v>
      </c>
      <c r="C1482" s="22"/>
      <c r="D1482" s="22"/>
      <c r="E1482" s="22"/>
      <c r="F1482" s="22"/>
      <c r="G1482" s="22"/>
      <c r="H1482" s="22"/>
      <c r="I1482" s="22"/>
      <c r="J1482" s="22"/>
      <c r="K1482" s="22"/>
      <c r="L1482" s="22"/>
      <c r="M1482" s="22"/>
      <c r="N1482" s="22"/>
    </row>
    <row r="1483" spans="1:14" x14ac:dyDescent="0.3">
      <c r="A1483" s="22" t="s">
        <v>815</v>
      </c>
      <c r="B1483" s="22">
        <v>0</v>
      </c>
      <c r="C1483" s="22"/>
      <c r="D1483" s="22"/>
      <c r="E1483" s="22"/>
      <c r="F1483" s="22"/>
      <c r="G1483" s="22"/>
      <c r="H1483" s="22"/>
      <c r="I1483" s="22"/>
      <c r="J1483" s="22"/>
      <c r="K1483" s="22"/>
      <c r="L1483" s="22"/>
      <c r="M1483" s="22"/>
      <c r="N1483" s="22"/>
    </row>
    <row r="1484" spans="1:14" x14ac:dyDescent="0.3">
      <c r="A1484" s="22" t="s">
        <v>816</v>
      </c>
      <c r="B1484" s="22">
        <v>0</v>
      </c>
      <c r="C1484" s="22"/>
      <c r="D1484" s="22"/>
      <c r="E1484" s="22"/>
      <c r="F1484" s="22"/>
      <c r="G1484" s="22"/>
      <c r="H1484" s="22"/>
      <c r="I1484" s="22"/>
      <c r="J1484" s="22"/>
      <c r="K1484" s="22"/>
      <c r="L1484" s="22"/>
      <c r="M1484" s="22"/>
      <c r="N1484" s="22"/>
    </row>
    <row r="1485" spans="1:14" x14ac:dyDescent="0.3">
      <c r="A1485" s="22" t="s">
        <v>817</v>
      </c>
      <c r="B1485" s="22">
        <v>0</v>
      </c>
      <c r="C1485" s="22"/>
      <c r="D1485" s="22"/>
      <c r="E1485" s="22"/>
      <c r="F1485" s="22"/>
      <c r="G1485" s="22"/>
      <c r="H1485" s="22"/>
      <c r="I1485" s="22"/>
      <c r="J1485" s="22"/>
      <c r="K1485" s="22"/>
      <c r="L1485" s="22"/>
      <c r="M1485" s="22"/>
      <c r="N1485" s="22"/>
    </row>
    <row r="1486" spans="1:14" x14ac:dyDescent="0.3">
      <c r="A1486" s="22" t="s">
        <v>818</v>
      </c>
      <c r="B1486" s="22">
        <v>0</v>
      </c>
      <c r="C1486" s="22"/>
      <c r="D1486" s="22"/>
      <c r="E1486" s="22"/>
      <c r="F1486" s="22"/>
      <c r="G1486" s="22"/>
      <c r="H1486" s="22"/>
      <c r="I1486" s="22"/>
      <c r="J1486" s="22"/>
      <c r="K1486" s="22"/>
      <c r="L1486" s="22"/>
      <c r="M1486" s="22"/>
      <c r="N1486" s="22"/>
    </row>
    <row r="1487" spans="1:14" x14ac:dyDescent="0.3">
      <c r="A1487" s="22" t="s">
        <v>819</v>
      </c>
      <c r="B1487" s="22">
        <v>2</v>
      </c>
      <c r="C1487" s="22"/>
      <c r="D1487" s="22"/>
      <c r="E1487" s="22"/>
      <c r="F1487" s="22"/>
      <c r="G1487" s="22"/>
      <c r="H1487" s="22"/>
      <c r="I1487" s="22"/>
      <c r="J1487" s="22"/>
      <c r="K1487" s="22"/>
      <c r="L1487" s="22"/>
      <c r="M1487" s="22"/>
      <c r="N1487" s="22"/>
    </row>
    <row r="1488" spans="1:14" x14ac:dyDescent="0.3">
      <c r="A1488" s="22" t="s">
        <v>820</v>
      </c>
      <c r="B1488" s="22">
        <v>0</v>
      </c>
      <c r="C1488" s="22"/>
      <c r="D1488" s="22"/>
      <c r="E1488" s="22"/>
      <c r="F1488" s="22"/>
      <c r="G1488" s="22"/>
      <c r="H1488" s="22"/>
      <c r="I1488" s="22"/>
      <c r="J1488" s="22"/>
      <c r="K1488" s="22"/>
      <c r="L1488" s="22"/>
      <c r="M1488" s="22"/>
      <c r="N1488" s="22"/>
    </row>
    <row r="1489" spans="1:14" x14ac:dyDescent="0.3">
      <c r="A1489" s="22" t="s">
        <v>821</v>
      </c>
      <c r="B1489" s="22">
        <v>0</v>
      </c>
      <c r="C1489" s="22"/>
      <c r="D1489" s="22"/>
      <c r="E1489" s="22"/>
      <c r="F1489" s="22"/>
      <c r="G1489" s="22"/>
      <c r="H1489" s="22"/>
      <c r="I1489" s="22"/>
      <c r="J1489" s="22"/>
      <c r="K1489" s="22"/>
      <c r="L1489" s="22"/>
      <c r="M1489" s="22"/>
      <c r="N1489" s="22"/>
    </row>
    <row r="1490" spans="1:14" x14ac:dyDescent="0.3">
      <c r="A1490" s="22" t="s">
        <v>822</v>
      </c>
      <c r="B1490" s="22">
        <v>0</v>
      </c>
      <c r="C1490" s="22"/>
      <c r="D1490" s="22"/>
      <c r="E1490" s="22"/>
      <c r="F1490" s="22"/>
      <c r="G1490" s="22"/>
      <c r="H1490" s="22"/>
      <c r="I1490" s="22"/>
      <c r="J1490" s="22"/>
      <c r="K1490" s="22"/>
      <c r="L1490" s="22"/>
      <c r="M1490" s="22"/>
      <c r="N1490" s="22"/>
    </row>
    <row r="1491" spans="1:14" x14ac:dyDescent="0.3">
      <c r="A1491" s="22" t="s">
        <v>823</v>
      </c>
      <c r="B1491" s="22">
        <v>0</v>
      </c>
      <c r="C1491" s="22"/>
      <c r="D1491" s="22"/>
      <c r="E1491" s="22"/>
      <c r="F1491" s="22"/>
      <c r="G1491" s="22"/>
      <c r="H1491" s="22"/>
      <c r="I1491" s="22"/>
      <c r="J1491" s="22"/>
      <c r="K1491" s="22"/>
      <c r="L1491" s="22"/>
      <c r="M1491" s="22"/>
      <c r="N1491" s="22"/>
    </row>
    <row r="1492" spans="1:14" x14ac:dyDescent="0.3">
      <c r="A1492" s="22" t="s">
        <v>824</v>
      </c>
      <c r="B1492" s="22">
        <v>0</v>
      </c>
      <c r="C1492" s="22"/>
      <c r="D1492" s="22"/>
      <c r="E1492" s="22"/>
      <c r="F1492" s="22"/>
      <c r="G1492" s="22"/>
      <c r="H1492" s="22"/>
      <c r="I1492" s="22"/>
      <c r="J1492" s="22"/>
      <c r="K1492" s="22"/>
      <c r="L1492" s="22"/>
      <c r="M1492" s="22"/>
      <c r="N1492" s="22"/>
    </row>
    <row r="1493" spans="1:14" x14ac:dyDescent="0.3">
      <c r="A1493" s="22" t="s">
        <v>825</v>
      </c>
      <c r="B1493" s="22">
        <v>0</v>
      </c>
      <c r="C1493" s="22"/>
      <c r="D1493" s="22"/>
      <c r="E1493" s="22"/>
      <c r="F1493" s="22"/>
      <c r="G1493" s="22"/>
      <c r="H1493" s="22"/>
      <c r="I1493" s="22"/>
      <c r="J1493" s="22"/>
      <c r="K1493" s="22"/>
      <c r="L1493" s="22"/>
      <c r="M1493" s="22"/>
      <c r="N1493" s="22"/>
    </row>
    <row r="1494" spans="1:14" x14ac:dyDescent="0.3">
      <c r="A1494" s="22" t="s">
        <v>826</v>
      </c>
      <c r="B1494" s="22">
        <v>0</v>
      </c>
      <c r="C1494" s="22"/>
      <c r="D1494" s="22"/>
      <c r="E1494" s="22"/>
      <c r="F1494" s="22"/>
      <c r="G1494" s="22"/>
      <c r="H1494" s="22"/>
      <c r="I1494" s="22"/>
      <c r="J1494" s="22"/>
      <c r="K1494" s="22"/>
      <c r="L1494" s="22"/>
      <c r="M1494" s="22"/>
      <c r="N1494" s="22"/>
    </row>
    <row r="1495" spans="1:14" x14ac:dyDescent="0.3">
      <c r="A1495" s="22" t="s">
        <v>827</v>
      </c>
      <c r="B1495" s="22">
        <v>18</v>
      </c>
      <c r="C1495" s="22"/>
      <c r="D1495" s="22"/>
      <c r="E1495" s="22"/>
      <c r="F1495" s="22"/>
      <c r="G1495" s="22"/>
      <c r="H1495" s="22"/>
      <c r="I1495" s="22"/>
      <c r="J1495" s="22"/>
      <c r="K1495" s="22"/>
      <c r="L1495" s="22"/>
      <c r="M1495" s="22"/>
      <c r="N1495" s="22"/>
    </row>
    <row r="1496" spans="1:14" x14ac:dyDescent="0.3">
      <c r="A1496" s="22" t="s">
        <v>828</v>
      </c>
      <c r="B1496" s="22">
        <v>0</v>
      </c>
      <c r="C1496" s="22"/>
      <c r="D1496" s="22"/>
      <c r="E1496" s="22"/>
      <c r="F1496" s="22"/>
      <c r="G1496" s="22"/>
      <c r="H1496" s="22"/>
      <c r="I1496" s="22"/>
      <c r="J1496" s="22"/>
      <c r="K1496" s="22"/>
      <c r="L1496" s="22"/>
      <c r="M1496" s="22"/>
      <c r="N1496" s="22"/>
    </row>
    <row r="1497" spans="1:14" x14ac:dyDescent="0.3">
      <c r="A1497" s="22" t="s">
        <v>829</v>
      </c>
      <c r="B1497" s="22">
        <v>0</v>
      </c>
      <c r="C1497" s="22"/>
      <c r="D1497" s="22"/>
      <c r="E1497" s="22"/>
      <c r="F1497" s="22"/>
      <c r="G1497" s="22"/>
      <c r="H1497" s="22"/>
      <c r="I1497" s="22"/>
      <c r="J1497" s="22"/>
      <c r="K1497" s="22"/>
      <c r="L1497" s="22"/>
      <c r="M1497" s="22"/>
      <c r="N1497" s="22"/>
    </row>
    <row r="1498" spans="1:14" x14ac:dyDescent="0.3">
      <c r="A1498" s="22" t="s">
        <v>830</v>
      </c>
      <c r="B1498" s="22">
        <v>0</v>
      </c>
      <c r="C1498" s="22"/>
      <c r="D1498" s="22"/>
      <c r="E1498" s="22"/>
      <c r="F1498" s="22"/>
      <c r="G1498" s="22"/>
      <c r="H1498" s="22"/>
      <c r="I1498" s="22"/>
      <c r="J1498" s="22"/>
      <c r="K1498" s="22"/>
      <c r="L1498" s="22"/>
      <c r="M1498" s="22"/>
      <c r="N1498" s="22"/>
    </row>
    <row r="1499" spans="1:14" x14ac:dyDescent="0.3">
      <c r="A1499" s="22" t="s">
        <v>831</v>
      </c>
      <c r="B1499" s="22">
        <v>0</v>
      </c>
      <c r="C1499" s="22"/>
      <c r="D1499" s="22"/>
      <c r="E1499" s="22"/>
      <c r="F1499" s="22"/>
      <c r="G1499" s="22"/>
      <c r="H1499" s="22"/>
      <c r="I1499" s="22"/>
      <c r="J1499" s="22"/>
      <c r="K1499" s="22"/>
      <c r="L1499" s="22"/>
      <c r="M1499" s="22"/>
      <c r="N1499" s="22"/>
    </row>
    <row r="1500" spans="1:14" x14ac:dyDescent="0.3">
      <c r="A1500" s="22" t="s">
        <v>832</v>
      </c>
      <c r="B1500" s="22">
        <v>0</v>
      </c>
      <c r="C1500" s="22"/>
      <c r="D1500" s="22"/>
      <c r="E1500" s="22"/>
      <c r="F1500" s="22"/>
      <c r="G1500" s="22"/>
      <c r="H1500" s="22"/>
      <c r="I1500" s="22"/>
      <c r="J1500" s="22"/>
      <c r="K1500" s="22"/>
      <c r="L1500" s="22"/>
      <c r="M1500" s="22"/>
      <c r="N1500" s="22"/>
    </row>
    <row r="1501" spans="1:14" x14ac:dyDescent="0.3">
      <c r="A1501" s="22" t="s">
        <v>833</v>
      </c>
      <c r="B1501" s="22">
        <v>0</v>
      </c>
      <c r="C1501" s="22"/>
      <c r="D1501" s="22"/>
      <c r="E1501" s="22"/>
      <c r="F1501" s="22"/>
      <c r="G1501" s="22"/>
      <c r="H1501" s="22"/>
      <c r="I1501" s="22"/>
      <c r="J1501" s="22"/>
      <c r="K1501" s="22"/>
      <c r="L1501" s="22"/>
      <c r="M1501" s="22"/>
      <c r="N1501" s="22"/>
    </row>
    <row r="1502" spans="1:14" x14ac:dyDescent="0.3">
      <c r="A1502" s="22" t="s">
        <v>834</v>
      </c>
      <c r="B1502" s="22">
        <v>0</v>
      </c>
      <c r="C1502" s="22"/>
      <c r="D1502" s="22"/>
      <c r="E1502" s="22"/>
      <c r="F1502" s="22"/>
      <c r="G1502" s="22"/>
      <c r="H1502" s="22"/>
      <c r="I1502" s="22"/>
      <c r="J1502" s="22"/>
      <c r="K1502" s="22"/>
      <c r="L1502" s="22"/>
      <c r="M1502" s="22"/>
      <c r="N1502" s="22"/>
    </row>
    <row r="1503" spans="1:14" x14ac:dyDescent="0.3">
      <c r="A1503" s="22" t="s">
        <v>835</v>
      </c>
      <c r="B1503" s="22">
        <v>9</v>
      </c>
      <c r="C1503" s="22"/>
      <c r="D1503" s="22"/>
      <c r="E1503" s="22"/>
      <c r="F1503" s="22"/>
      <c r="G1503" s="22"/>
      <c r="H1503" s="22"/>
      <c r="I1503" s="22"/>
      <c r="J1503" s="22"/>
      <c r="K1503" s="22"/>
      <c r="L1503" s="22"/>
      <c r="M1503" s="22"/>
      <c r="N1503" s="22"/>
    </row>
    <row r="1504" spans="1:14" x14ac:dyDescent="0.3">
      <c r="A1504" s="22" t="s">
        <v>5311</v>
      </c>
      <c r="B1504" s="22">
        <v>0</v>
      </c>
      <c r="C1504" s="22"/>
      <c r="D1504" s="22"/>
      <c r="E1504" s="22"/>
      <c r="F1504" s="22"/>
      <c r="G1504" s="22"/>
      <c r="H1504" s="22"/>
      <c r="I1504" s="22"/>
      <c r="J1504" s="22"/>
      <c r="K1504" s="22"/>
      <c r="L1504" s="22"/>
      <c r="M1504" s="22"/>
      <c r="N1504" s="22"/>
    </row>
    <row r="1505" spans="1:14" x14ac:dyDescent="0.3">
      <c r="A1505" s="22" t="s">
        <v>5312</v>
      </c>
      <c r="B1505" s="22">
        <v>0</v>
      </c>
      <c r="C1505" s="22"/>
      <c r="D1505" s="22"/>
      <c r="E1505" s="22"/>
      <c r="F1505" s="22"/>
      <c r="G1505" s="22"/>
      <c r="H1505" s="22"/>
      <c r="I1505" s="22"/>
      <c r="J1505" s="22"/>
      <c r="K1505" s="22"/>
      <c r="L1505" s="22"/>
      <c r="M1505" s="22"/>
      <c r="N1505" s="22"/>
    </row>
    <row r="1506" spans="1:14" x14ac:dyDescent="0.3">
      <c r="A1506" s="22" t="s">
        <v>5313</v>
      </c>
      <c r="B1506" s="22">
        <v>0</v>
      </c>
      <c r="C1506" s="22"/>
      <c r="D1506" s="22"/>
      <c r="E1506" s="22"/>
      <c r="F1506" s="22"/>
      <c r="G1506" s="22"/>
      <c r="H1506" s="22"/>
      <c r="I1506" s="22"/>
      <c r="J1506" s="22"/>
      <c r="K1506" s="22"/>
      <c r="L1506" s="22"/>
      <c r="M1506" s="22"/>
      <c r="N1506" s="22"/>
    </row>
    <row r="1507" spans="1:14" x14ac:dyDescent="0.3">
      <c r="A1507" s="22" t="s">
        <v>5314</v>
      </c>
      <c r="B1507" s="22">
        <v>0</v>
      </c>
      <c r="C1507" s="22"/>
      <c r="D1507" s="22"/>
      <c r="E1507" s="22"/>
      <c r="F1507" s="22"/>
      <c r="G1507" s="22"/>
      <c r="H1507" s="22"/>
      <c r="I1507" s="22"/>
      <c r="J1507" s="22"/>
      <c r="K1507" s="22"/>
      <c r="L1507" s="22"/>
      <c r="M1507" s="22"/>
      <c r="N1507" s="22"/>
    </row>
    <row r="1508" spans="1:14" x14ac:dyDescent="0.3">
      <c r="A1508" s="22" t="s">
        <v>5315</v>
      </c>
      <c r="B1508" s="22">
        <v>0</v>
      </c>
      <c r="C1508" s="22"/>
      <c r="D1508" s="22"/>
      <c r="E1508" s="22"/>
      <c r="F1508" s="22"/>
      <c r="G1508" s="22"/>
      <c r="H1508" s="22"/>
      <c r="I1508" s="22"/>
      <c r="J1508" s="22"/>
      <c r="K1508" s="22"/>
      <c r="L1508" s="22"/>
      <c r="M1508" s="22"/>
      <c r="N1508" s="22"/>
    </row>
    <row r="1509" spans="1:14" x14ac:dyDescent="0.3">
      <c r="A1509" s="22" t="s">
        <v>5316</v>
      </c>
      <c r="B1509" s="22">
        <v>0</v>
      </c>
      <c r="C1509" s="22"/>
      <c r="D1509" s="22"/>
      <c r="E1509" s="22"/>
      <c r="F1509" s="22"/>
      <c r="G1509" s="22"/>
      <c r="H1509" s="22"/>
      <c r="I1509" s="22"/>
      <c r="J1509" s="22"/>
      <c r="K1509" s="22"/>
      <c r="L1509" s="22"/>
      <c r="M1509" s="22"/>
      <c r="N1509" s="22"/>
    </row>
    <row r="1510" spans="1:14" x14ac:dyDescent="0.3">
      <c r="A1510" s="22" t="s">
        <v>5317</v>
      </c>
      <c r="B1510" s="22">
        <v>0</v>
      </c>
      <c r="C1510" s="22"/>
      <c r="D1510" s="22"/>
      <c r="E1510" s="22"/>
      <c r="F1510" s="22"/>
      <c r="G1510" s="22"/>
      <c r="H1510" s="22"/>
      <c r="I1510" s="22"/>
      <c r="J1510" s="22"/>
      <c r="K1510" s="22"/>
      <c r="L1510" s="22"/>
      <c r="M1510" s="22"/>
      <c r="N1510" s="22"/>
    </row>
    <row r="1511" spans="1:14" x14ac:dyDescent="0.3">
      <c r="A1511" s="22" t="s">
        <v>836</v>
      </c>
      <c r="B1511" s="22">
        <v>6</v>
      </c>
      <c r="C1511" s="22"/>
      <c r="D1511" s="22"/>
      <c r="E1511" s="22"/>
      <c r="F1511" s="22"/>
      <c r="G1511" s="22"/>
      <c r="H1511" s="22"/>
      <c r="I1511" s="22"/>
      <c r="J1511" s="22"/>
      <c r="K1511" s="22"/>
      <c r="L1511" s="22"/>
      <c r="M1511" s="22"/>
      <c r="N1511" s="22"/>
    </row>
    <row r="1512" spans="1:14" x14ac:dyDescent="0.3">
      <c r="A1512" s="22" t="s">
        <v>837</v>
      </c>
      <c r="B1512" s="22">
        <v>0</v>
      </c>
      <c r="C1512" s="22"/>
      <c r="D1512" s="22"/>
      <c r="E1512" s="22"/>
      <c r="F1512" s="22"/>
      <c r="G1512" s="22"/>
      <c r="H1512" s="22"/>
      <c r="I1512" s="22"/>
      <c r="J1512" s="22"/>
      <c r="K1512" s="22"/>
      <c r="L1512" s="22"/>
      <c r="M1512" s="22"/>
      <c r="N1512" s="22"/>
    </row>
    <row r="1513" spans="1:14" x14ac:dyDescent="0.3">
      <c r="A1513" s="22" t="s">
        <v>838</v>
      </c>
      <c r="B1513" s="22">
        <v>0</v>
      </c>
      <c r="C1513" s="22"/>
      <c r="D1513" s="22"/>
      <c r="E1513" s="22"/>
      <c r="F1513" s="22"/>
      <c r="G1513" s="22"/>
      <c r="H1513" s="22"/>
      <c r="I1513" s="22"/>
      <c r="J1513" s="22"/>
      <c r="K1513" s="22"/>
      <c r="L1513" s="22"/>
      <c r="M1513" s="22"/>
      <c r="N1513" s="22"/>
    </row>
    <row r="1514" spans="1:14" x14ac:dyDescent="0.3">
      <c r="A1514" s="22" t="s">
        <v>839</v>
      </c>
      <c r="B1514" s="22">
        <v>0</v>
      </c>
      <c r="C1514" s="22"/>
      <c r="D1514" s="22"/>
      <c r="E1514" s="22"/>
      <c r="F1514" s="22"/>
      <c r="G1514" s="22"/>
      <c r="H1514" s="22"/>
      <c r="I1514" s="22"/>
      <c r="J1514" s="22"/>
      <c r="K1514" s="22"/>
      <c r="L1514" s="22"/>
      <c r="M1514" s="22"/>
      <c r="N1514" s="22"/>
    </row>
    <row r="1515" spans="1:14" x14ac:dyDescent="0.3">
      <c r="A1515" s="22" t="s">
        <v>840</v>
      </c>
      <c r="B1515" s="22">
        <v>0</v>
      </c>
      <c r="C1515" s="22"/>
      <c r="D1515" s="22"/>
      <c r="E1515" s="22"/>
      <c r="F1515" s="22"/>
      <c r="G1515" s="22"/>
      <c r="H1515" s="22"/>
      <c r="I1515" s="22"/>
      <c r="J1515" s="22"/>
      <c r="K1515" s="22"/>
      <c r="L1515" s="22"/>
      <c r="M1515" s="22"/>
      <c r="N1515" s="22"/>
    </row>
    <row r="1516" spans="1:14" x14ac:dyDescent="0.3">
      <c r="A1516" s="22" t="s">
        <v>841</v>
      </c>
      <c r="B1516" s="22">
        <v>0</v>
      </c>
      <c r="C1516" s="22"/>
      <c r="D1516" s="22"/>
      <c r="E1516" s="22"/>
      <c r="F1516" s="22"/>
      <c r="G1516" s="22"/>
      <c r="H1516" s="22"/>
      <c r="I1516" s="22"/>
      <c r="J1516" s="22"/>
      <c r="K1516" s="22"/>
      <c r="L1516" s="22"/>
      <c r="M1516" s="22"/>
      <c r="N1516" s="22"/>
    </row>
    <row r="1517" spans="1:14" x14ac:dyDescent="0.3">
      <c r="A1517" s="22" t="s">
        <v>842</v>
      </c>
      <c r="B1517" s="22">
        <v>0</v>
      </c>
      <c r="C1517" s="22"/>
      <c r="D1517" s="22"/>
      <c r="E1517" s="22"/>
      <c r="F1517" s="22"/>
      <c r="G1517" s="22"/>
      <c r="H1517" s="22"/>
      <c r="I1517" s="22"/>
      <c r="J1517" s="22"/>
      <c r="K1517" s="22"/>
      <c r="L1517" s="22"/>
      <c r="M1517" s="22"/>
      <c r="N1517" s="22"/>
    </row>
    <row r="1518" spans="1:14" x14ac:dyDescent="0.3">
      <c r="A1518" s="22" t="s">
        <v>843</v>
      </c>
      <c r="B1518" s="22">
        <v>0</v>
      </c>
      <c r="C1518" s="22"/>
      <c r="D1518" s="22"/>
      <c r="E1518" s="22"/>
      <c r="F1518" s="22"/>
      <c r="G1518" s="22"/>
      <c r="H1518" s="22"/>
      <c r="I1518" s="22"/>
      <c r="J1518" s="22"/>
      <c r="K1518" s="22"/>
      <c r="L1518" s="22"/>
      <c r="M1518" s="22"/>
      <c r="N1518" s="22"/>
    </row>
    <row r="1519" spans="1:14" x14ac:dyDescent="0.3">
      <c r="A1519" s="22" t="s">
        <v>844</v>
      </c>
      <c r="B1519" s="22">
        <v>70</v>
      </c>
      <c r="C1519" s="22"/>
      <c r="D1519" s="22"/>
      <c r="E1519" s="22"/>
      <c r="F1519" s="22"/>
      <c r="G1519" s="22"/>
      <c r="H1519" s="22"/>
      <c r="I1519" s="22"/>
      <c r="J1519" s="22"/>
      <c r="K1519" s="22"/>
      <c r="L1519" s="22"/>
      <c r="M1519" s="22"/>
      <c r="N1519" s="22"/>
    </row>
    <row r="1520" spans="1:14" x14ac:dyDescent="0.3">
      <c r="A1520" s="22" t="s">
        <v>845</v>
      </c>
      <c r="B1520" s="22">
        <v>154</v>
      </c>
      <c r="C1520" s="22"/>
      <c r="D1520" s="22"/>
      <c r="E1520" s="22"/>
      <c r="F1520" s="22"/>
      <c r="G1520" s="22"/>
      <c r="H1520" s="22"/>
      <c r="I1520" s="22"/>
      <c r="J1520" s="22"/>
      <c r="K1520" s="22"/>
      <c r="L1520" s="22"/>
      <c r="M1520" s="22"/>
      <c r="N1520" s="22"/>
    </row>
    <row r="1521" spans="1:14" x14ac:dyDescent="0.3">
      <c r="A1521" s="22" t="s">
        <v>846</v>
      </c>
      <c r="B1521" s="22">
        <v>149</v>
      </c>
      <c r="C1521" s="22"/>
      <c r="D1521" s="22"/>
      <c r="E1521" s="22"/>
      <c r="F1521" s="22"/>
      <c r="G1521" s="22"/>
      <c r="H1521" s="22"/>
      <c r="I1521" s="22"/>
      <c r="J1521" s="22"/>
      <c r="K1521" s="22"/>
      <c r="L1521" s="22"/>
      <c r="M1521" s="22"/>
      <c r="N1521" s="22"/>
    </row>
    <row r="1522" spans="1:14" x14ac:dyDescent="0.3">
      <c r="A1522" s="22" t="s">
        <v>847</v>
      </c>
      <c r="B1522" s="22">
        <v>0</v>
      </c>
      <c r="C1522" s="22"/>
      <c r="D1522" s="22"/>
      <c r="E1522" s="22"/>
      <c r="F1522" s="22"/>
      <c r="G1522" s="22"/>
      <c r="H1522" s="22"/>
      <c r="I1522" s="22"/>
      <c r="J1522" s="22"/>
      <c r="K1522" s="22"/>
      <c r="L1522" s="22"/>
      <c r="M1522" s="22"/>
      <c r="N1522" s="22"/>
    </row>
    <row r="1523" spans="1:14" x14ac:dyDescent="0.3">
      <c r="A1523" s="22" t="s">
        <v>848</v>
      </c>
      <c r="B1523" s="22">
        <v>0</v>
      </c>
      <c r="C1523" s="22"/>
      <c r="D1523" s="22"/>
      <c r="E1523" s="22"/>
      <c r="F1523" s="22"/>
      <c r="G1523" s="22"/>
      <c r="H1523" s="22"/>
      <c r="I1523" s="22"/>
      <c r="J1523" s="22"/>
      <c r="K1523" s="22"/>
      <c r="L1523" s="22"/>
      <c r="M1523" s="22"/>
      <c r="N1523" s="22"/>
    </row>
    <row r="1524" spans="1:14" x14ac:dyDescent="0.3">
      <c r="A1524" s="22" t="s">
        <v>849</v>
      </c>
      <c r="B1524" s="22">
        <v>0</v>
      </c>
      <c r="C1524" s="22"/>
      <c r="D1524" s="22"/>
      <c r="E1524" s="22"/>
      <c r="F1524" s="22"/>
      <c r="G1524" s="22"/>
      <c r="H1524" s="22"/>
      <c r="I1524" s="22"/>
      <c r="J1524" s="22"/>
      <c r="K1524" s="22"/>
      <c r="L1524" s="22"/>
      <c r="M1524" s="22"/>
      <c r="N1524" s="22"/>
    </row>
    <row r="1525" spans="1:14" x14ac:dyDescent="0.3">
      <c r="A1525" s="22" t="s">
        <v>850</v>
      </c>
      <c r="B1525" s="22">
        <v>0</v>
      </c>
      <c r="C1525" s="22"/>
      <c r="D1525" s="22"/>
      <c r="E1525" s="22"/>
      <c r="F1525" s="22"/>
      <c r="G1525" s="22"/>
      <c r="H1525" s="22"/>
      <c r="I1525" s="22"/>
      <c r="J1525" s="22"/>
      <c r="K1525" s="22"/>
      <c r="L1525" s="22"/>
      <c r="M1525" s="22"/>
      <c r="N1525" s="22"/>
    </row>
    <row r="1526" spans="1:14" x14ac:dyDescent="0.3">
      <c r="A1526" s="22" t="s">
        <v>851</v>
      </c>
      <c r="B1526" s="22">
        <v>0</v>
      </c>
      <c r="C1526" s="22"/>
      <c r="D1526" s="22"/>
      <c r="E1526" s="22"/>
      <c r="F1526" s="22"/>
      <c r="G1526" s="22"/>
      <c r="H1526" s="22"/>
      <c r="I1526" s="22"/>
      <c r="J1526" s="22"/>
      <c r="K1526" s="22"/>
      <c r="L1526" s="22"/>
      <c r="M1526" s="22"/>
      <c r="N1526" s="22"/>
    </row>
    <row r="1527" spans="1:14" x14ac:dyDescent="0.3">
      <c r="A1527" s="22" t="s">
        <v>5254</v>
      </c>
      <c r="B1527" s="22">
        <v>0</v>
      </c>
      <c r="C1527" s="22"/>
      <c r="D1527" s="22"/>
      <c r="E1527" s="22"/>
      <c r="F1527" s="22"/>
      <c r="G1527" s="22"/>
      <c r="H1527" s="22"/>
      <c r="I1527" s="22"/>
      <c r="J1527" s="22"/>
      <c r="K1527" s="22"/>
      <c r="L1527" s="22"/>
      <c r="M1527" s="22"/>
      <c r="N1527" s="22"/>
    </row>
    <row r="1528" spans="1:14" x14ac:dyDescent="0.3">
      <c r="A1528" s="22" t="s">
        <v>5255</v>
      </c>
      <c r="B1528" s="22">
        <v>448</v>
      </c>
      <c r="C1528" s="22"/>
      <c r="D1528" s="22"/>
      <c r="E1528" s="22"/>
      <c r="F1528" s="22"/>
      <c r="G1528" s="22"/>
      <c r="H1528" s="22"/>
      <c r="I1528" s="22"/>
      <c r="J1528" s="22"/>
      <c r="K1528" s="22"/>
      <c r="L1528" s="22"/>
      <c r="M1528" s="22"/>
      <c r="N1528" s="22"/>
    </row>
    <row r="1529" spans="1:14" x14ac:dyDescent="0.3">
      <c r="A1529" s="22" t="s">
        <v>5256</v>
      </c>
      <c r="B1529" s="22">
        <v>0</v>
      </c>
      <c r="C1529" s="22"/>
      <c r="D1529" s="22"/>
      <c r="E1529" s="22"/>
      <c r="F1529" s="22"/>
      <c r="G1529" s="22"/>
      <c r="H1529" s="22"/>
      <c r="I1529" s="22"/>
      <c r="J1529" s="22"/>
      <c r="K1529" s="22"/>
      <c r="L1529" s="22"/>
      <c r="M1529" s="22"/>
      <c r="N1529" s="22"/>
    </row>
    <row r="1530" spans="1:14" x14ac:dyDescent="0.3">
      <c r="A1530" s="22" t="s">
        <v>5257</v>
      </c>
      <c r="B1530" s="22">
        <v>0</v>
      </c>
      <c r="C1530" s="22"/>
      <c r="D1530" s="22"/>
      <c r="E1530" s="22"/>
      <c r="F1530" s="22"/>
      <c r="G1530" s="22"/>
      <c r="H1530" s="22"/>
      <c r="I1530" s="22"/>
      <c r="J1530" s="22"/>
      <c r="K1530" s="22"/>
      <c r="L1530" s="22"/>
      <c r="M1530" s="22"/>
      <c r="N1530" s="22"/>
    </row>
    <row r="1531" spans="1:14" x14ac:dyDescent="0.3">
      <c r="A1531" s="22" t="s">
        <v>5258</v>
      </c>
      <c r="B1531" s="22">
        <v>2</v>
      </c>
      <c r="C1531" s="22"/>
      <c r="D1531" s="22"/>
      <c r="E1531" s="22"/>
      <c r="F1531" s="22"/>
      <c r="G1531" s="22"/>
      <c r="H1531" s="22"/>
      <c r="I1531" s="22"/>
      <c r="J1531" s="22"/>
      <c r="K1531" s="22"/>
      <c r="L1531" s="22"/>
      <c r="M1531" s="22"/>
      <c r="N1531" s="22"/>
    </row>
    <row r="1532" spans="1:14" x14ac:dyDescent="0.3">
      <c r="A1532" s="22" t="s">
        <v>5259</v>
      </c>
      <c r="B1532" s="22">
        <v>0</v>
      </c>
      <c r="C1532" s="22"/>
      <c r="D1532" s="22"/>
      <c r="E1532" s="22"/>
      <c r="F1532" s="22"/>
      <c r="G1532" s="22"/>
      <c r="H1532" s="22"/>
      <c r="I1532" s="22"/>
      <c r="J1532" s="22"/>
      <c r="K1532" s="22"/>
      <c r="L1532" s="22"/>
      <c r="M1532" s="22"/>
      <c r="N1532" s="22"/>
    </row>
    <row r="1533" spans="1:14" x14ac:dyDescent="0.3">
      <c r="A1533" s="22" t="s">
        <v>5260</v>
      </c>
      <c r="B1533" s="22">
        <v>0</v>
      </c>
      <c r="C1533" s="22"/>
      <c r="D1533" s="22"/>
      <c r="E1533" s="22"/>
      <c r="F1533" s="22"/>
      <c r="G1533" s="22"/>
      <c r="H1533" s="22"/>
      <c r="I1533" s="22"/>
      <c r="J1533" s="22"/>
      <c r="K1533" s="22"/>
      <c r="L1533" s="22"/>
      <c r="M1533" s="22"/>
      <c r="N1533" s="22"/>
    </row>
    <row r="1534" spans="1:14" x14ac:dyDescent="0.3">
      <c r="A1534" s="22" t="s">
        <v>5261</v>
      </c>
      <c r="B1534" s="22">
        <v>0</v>
      </c>
      <c r="C1534" s="22"/>
      <c r="D1534" s="22"/>
      <c r="E1534" s="22"/>
      <c r="F1534" s="22"/>
      <c r="G1534" s="22"/>
      <c r="H1534" s="22"/>
      <c r="I1534" s="22"/>
      <c r="J1534" s="22"/>
      <c r="K1534" s="22"/>
      <c r="L1534" s="22"/>
      <c r="M1534" s="22"/>
      <c r="N1534" s="22"/>
    </row>
    <row r="1535" spans="1:14" x14ac:dyDescent="0.3">
      <c r="A1535" s="22" t="s">
        <v>853</v>
      </c>
      <c r="B1535" s="22">
        <v>7</v>
      </c>
      <c r="C1535" s="22"/>
      <c r="D1535" s="22"/>
      <c r="E1535" s="22"/>
      <c r="F1535" s="22"/>
      <c r="G1535" s="22"/>
      <c r="H1535" s="22"/>
      <c r="I1535" s="22"/>
      <c r="J1535" s="22"/>
      <c r="K1535" s="22"/>
      <c r="L1535" s="22"/>
      <c r="M1535" s="22"/>
      <c r="N1535" s="22"/>
    </row>
    <row r="1536" spans="1:14" x14ac:dyDescent="0.3">
      <c r="A1536" s="22" t="s">
        <v>854</v>
      </c>
      <c r="B1536" s="22">
        <v>0</v>
      </c>
      <c r="C1536" s="22"/>
      <c r="D1536" s="22"/>
      <c r="E1536" s="22"/>
      <c r="F1536" s="22"/>
      <c r="G1536" s="22"/>
      <c r="H1536" s="22"/>
      <c r="I1536" s="22"/>
      <c r="J1536" s="22"/>
      <c r="K1536" s="22"/>
      <c r="L1536" s="22"/>
      <c r="M1536" s="22"/>
      <c r="N1536" s="22"/>
    </row>
    <row r="1537" spans="1:14" x14ac:dyDescent="0.3">
      <c r="A1537" s="22" t="s">
        <v>855</v>
      </c>
      <c r="B1537" s="22">
        <v>0</v>
      </c>
      <c r="C1537" s="22"/>
      <c r="D1537" s="22"/>
      <c r="E1537" s="22"/>
      <c r="F1537" s="22"/>
      <c r="G1537" s="22"/>
      <c r="H1537" s="22"/>
      <c r="I1537" s="22"/>
      <c r="J1537" s="22"/>
      <c r="K1537" s="22"/>
      <c r="L1537" s="22"/>
      <c r="M1537" s="22"/>
      <c r="N1537" s="22"/>
    </row>
    <row r="1538" spans="1:14" x14ac:dyDescent="0.3">
      <c r="A1538" s="22" t="s">
        <v>856</v>
      </c>
      <c r="B1538" s="22">
        <v>0</v>
      </c>
      <c r="C1538" s="22"/>
      <c r="D1538" s="22"/>
      <c r="E1538" s="22"/>
      <c r="F1538" s="22"/>
      <c r="G1538" s="22"/>
      <c r="H1538" s="22"/>
      <c r="I1538" s="22"/>
      <c r="J1538" s="22"/>
      <c r="K1538" s="22"/>
      <c r="L1538" s="22"/>
      <c r="M1538" s="22"/>
      <c r="N1538" s="22"/>
    </row>
    <row r="1539" spans="1:14" x14ac:dyDescent="0.3">
      <c r="A1539" s="22" t="s">
        <v>857</v>
      </c>
      <c r="B1539" s="22">
        <v>0</v>
      </c>
      <c r="C1539" s="22"/>
      <c r="D1539" s="22"/>
      <c r="E1539" s="22"/>
      <c r="F1539" s="22"/>
      <c r="G1539" s="22"/>
      <c r="H1539" s="22"/>
      <c r="I1539" s="22"/>
      <c r="J1539" s="22"/>
      <c r="K1539" s="22"/>
      <c r="L1539" s="22"/>
      <c r="M1539" s="22"/>
      <c r="N1539" s="22"/>
    </row>
    <row r="1540" spans="1:14" x14ac:dyDescent="0.3">
      <c r="A1540" s="22" t="s">
        <v>858</v>
      </c>
      <c r="B1540" s="22">
        <v>0</v>
      </c>
      <c r="C1540" s="22"/>
      <c r="D1540" s="22"/>
      <c r="E1540" s="22"/>
      <c r="F1540" s="22"/>
      <c r="G1540" s="22"/>
      <c r="H1540" s="22"/>
      <c r="I1540" s="22"/>
      <c r="J1540" s="22"/>
      <c r="K1540" s="22"/>
      <c r="L1540" s="22"/>
      <c r="M1540" s="22"/>
      <c r="N1540" s="22"/>
    </row>
    <row r="1541" spans="1:14" x14ac:dyDescent="0.3">
      <c r="A1541" s="22" t="s">
        <v>859</v>
      </c>
      <c r="B1541" s="22">
        <v>0</v>
      </c>
      <c r="C1541" s="22"/>
      <c r="D1541" s="22"/>
      <c r="E1541" s="22"/>
      <c r="F1541" s="22"/>
      <c r="G1541" s="22"/>
      <c r="H1541" s="22"/>
      <c r="I1541" s="22"/>
      <c r="J1541" s="22"/>
      <c r="K1541" s="22"/>
      <c r="L1541" s="22"/>
      <c r="M1541" s="22"/>
      <c r="N1541" s="22"/>
    </row>
    <row r="1542" spans="1:14" x14ac:dyDescent="0.3">
      <c r="A1542" s="22" t="s">
        <v>860</v>
      </c>
      <c r="B1542" s="22">
        <v>0</v>
      </c>
      <c r="C1542" s="22"/>
      <c r="D1542" s="22"/>
      <c r="E1542" s="22"/>
      <c r="F1542" s="22"/>
      <c r="G1542" s="22"/>
      <c r="H1542" s="22"/>
      <c r="I1542" s="22"/>
      <c r="J1542" s="22"/>
      <c r="K1542" s="22"/>
      <c r="L1542" s="22"/>
      <c r="M1542" s="22"/>
      <c r="N1542" s="22"/>
    </row>
    <row r="1543" spans="1:14" x14ac:dyDescent="0.3">
      <c r="A1543" s="22" t="s">
        <v>861</v>
      </c>
      <c r="B1543" s="22">
        <v>3</v>
      </c>
      <c r="C1543" s="22"/>
      <c r="D1543" s="22"/>
      <c r="E1543" s="22"/>
      <c r="F1543" s="22"/>
      <c r="G1543" s="22"/>
      <c r="H1543" s="22"/>
      <c r="I1543" s="22"/>
      <c r="J1543" s="22"/>
      <c r="K1543" s="22"/>
      <c r="L1543" s="22"/>
      <c r="M1543" s="22"/>
      <c r="N1543" s="22"/>
    </row>
    <row r="1544" spans="1:14" x14ac:dyDescent="0.3">
      <c r="A1544" s="22" t="s">
        <v>5318</v>
      </c>
      <c r="B1544" s="22">
        <v>0</v>
      </c>
      <c r="C1544" s="22"/>
      <c r="D1544" s="22"/>
      <c r="E1544" s="22"/>
      <c r="F1544" s="22"/>
      <c r="G1544" s="22"/>
      <c r="H1544" s="22"/>
      <c r="I1544" s="22"/>
      <c r="J1544" s="22"/>
      <c r="K1544" s="22"/>
      <c r="L1544" s="22"/>
      <c r="M1544" s="22"/>
      <c r="N1544" s="22"/>
    </row>
    <row r="1545" spans="1:14" x14ac:dyDescent="0.3">
      <c r="A1545" s="22" t="s">
        <v>5319</v>
      </c>
      <c r="B1545" s="22">
        <v>0</v>
      </c>
      <c r="C1545" s="22"/>
      <c r="D1545" s="22"/>
      <c r="E1545" s="22"/>
      <c r="F1545" s="22"/>
      <c r="G1545" s="22"/>
      <c r="H1545" s="22"/>
      <c r="I1545" s="22"/>
      <c r="J1545" s="22"/>
      <c r="K1545" s="22"/>
      <c r="L1545" s="22"/>
      <c r="M1545" s="22"/>
      <c r="N1545" s="22"/>
    </row>
    <row r="1546" spans="1:14" x14ac:dyDescent="0.3">
      <c r="A1546" s="22" t="s">
        <v>5320</v>
      </c>
      <c r="B1546" s="22">
        <v>0</v>
      </c>
      <c r="C1546" s="22"/>
      <c r="D1546" s="22"/>
      <c r="E1546" s="22"/>
      <c r="F1546" s="22"/>
      <c r="G1546" s="22"/>
      <c r="H1546" s="22"/>
      <c r="I1546" s="22"/>
      <c r="J1546" s="22"/>
      <c r="K1546" s="22"/>
      <c r="L1546" s="22"/>
      <c r="M1546" s="22"/>
      <c r="N1546" s="22"/>
    </row>
    <row r="1547" spans="1:14" x14ac:dyDescent="0.3">
      <c r="A1547" s="22" t="s">
        <v>5321</v>
      </c>
      <c r="B1547" s="22">
        <v>0</v>
      </c>
      <c r="C1547" s="22"/>
      <c r="D1547" s="22"/>
      <c r="E1547" s="22"/>
      <c r="F1547" s="22"/>
      <c r="G1547" s="22"/>
      <c r="H1547" s="22"/>
      <c r="I1547" s="22"/>
      <c r="J1547" s="22"/>
      <c r="K1547" s="22"/>
      <c r="L1547" s="22"/>
      <c r="M1547" s="22"/>
      <c r="N1547" s="22"/>
    </row>
    <row r="1548" spans="1:14" x14ac:dyDescent="0.3">
      <c r="A1548" s="22" t="s">
        <v>5322</v>
      </c>
      <c r="B1548" s="22">
        <v>0</v>
      </c>
      <c r="C1548" s="22"/>
      <c r="D1548" s="22"/>
      <c r="E1548" s="22"/>
      <c r="F1548" s="22"/>
      <c r="G1548" s="22"/>
      <c r="H1548" s="22"/>
      <c r="I1548" s="22"/>
      <c r="J1548" s="22"/>
      <c r="K1548" s="22"/>
      <c r="L1548" s="22"/>
      <c r="M1548" s="22"/>
      <c r="N1548" s="22"/>
    </row>
    <row r="1549" spans="1:14" x14ac:dyDescent="0.3">
      <c r="A1549" s="22" t="s">
        <v>5323</v>
      </c>
      <c r="B1549" s="22">
        <v>0</v>
      </c>
      <c r="C1549" s="22"/>
      <c r="D1549" s="22"/>
      <c r="E1549" s="22"/>
      <c r="F1549" s="22"/>
      <c r="G1549" s="22"/>
      <c r="H1549" s="22"/>
      <c r="I1549" s="22"/>
      <c r="J1549" s="22"/>
      <c r="K1549" s="22"/>
      <c r="L1549" s="22"/>
      <c r="M1549" s="22"/>
      <c r="N1549" s="22"/>
    </row>
    <row r="1550" spans="1:14" x14ac:dyDescent="0.3">
      <c r="A1550" s="22" t="s">
        <v>5324</v>
      </c>
      <c r="B1550" s="22">
        <v>0</v>
      </c>
      <c r="C1550" s="22"/>
      <c r="D1550" s="22"/>
      <c r="E1550" s="22"/>
      <c r="F1550" s="22"/>
      <c r="G1550" s="22"/>
      <c r="H1550" s="22"/>
      <c r="I1550" s="22"/>
      <c r="J1550" s="22"/>
      <c r="K1550" s="22"/>
      <c r="L1550" s="22"/>
      <c r="M1550" s="22"/>
      <c r="N1550" s="22"/>
    </row>
    <row r="1551" spans="1:14" x14ac:dyDescent="0.3">
      <c r="A1551" s="22" t="s">
        <v>862</v>
      </c>
      <c r="B1551" s="22">
        <v>11</v>
      </c>
      <c r="C1551" s="22"/>
      <c r="D1551" s="22"/>
      <c r="E1551" s="22"/>
      <c r="F1551" s="22"/>
      <c r="G1551" s="22"/>
      <c r="H1551" s="22"/>
      <c r="I1551" s="22"/>
      <c r="J1551" s="22"/>
      <c r="K1551" s="22"/>
      <c r="L1551" s="22"/>
      <c r="M1551" s="22"/>
      <c r="N1551" s="22"/>
    </row>
    <row r="1552" spans="1:14" x14ac:dyDescent="0.3">
      <c r="A1552" s="22" t="s">
        <v>863</v>
      </c>
      <c r="B1552" s="22">
        <v>0</v>
      </c>
      <c r="C1552" s="22"/>
      <c r="D1552" s="22"/>
      <c r="E1552" s="22"/>
      <c r="F1552" s="22"/>
      <c r="G1552" s="22"/>
      <c r="H1552" s="22"/>
      <c r="I1552" s="22"/>
      <c r="J1552" s="22"/>
      <c r="K1552" s="22"/>
      <c r="L1552" s="22"/>
      <c r="M1552" s="22"/>
      <c r="N1552" s="22"/>
    </row>
    <row r="1553" spans="1:14" x14ac:dyDescent="0.3">
      <c r="A1553" s="22" t="s">
        <v>864</v>
      </c>
      <c r="B1553" s="22">
        <v>0</v>
      </c>
      <c r="C1553" s="22"/>
      <c r="D1553" s="22"/>
      <c r="E1553" s="22"/>
      <c r="F1553" s="22"/>
      <c r="G1553" s="22"/>
      <c r="H1553" s="22"/>
      <c r="I1553" s="22"/>
      <c r="J1553" s="22"/>
      <c r="K1553" s="22"/>
      <c r="L1553" s="22"/>
      <c r="M1553" s="22"/>
      <c r="N1553" s="22"/>
    </row>
    <row r="1554" spans="1:14" x14ac:dyDescent="0.3">
      <c r="A1554" s="22" t="s">
        <v>865</v>
      </c>
      <c r="B1554" s="22">
        <v>0</v>
      </c>
      <c r="C1554" s="22"/>
      <c r="D1554" s="22"/>
      <c r="E1554" s="22"/>
      <c r="F1554" s="22"/>
      <c r="G1554" s="22"/>
      <c r="H1554" s="22"/>
      <c r="I1554" s="22"/>
      <c r="J1554" s="22"/>
      <c r="K1554" s="22"/>
      <c r="L1554" s="22"/>
      <c r="M1554" s="22"/>
      <c r="N1554" s="22"/>
    </row>
    <row r="1555" spans="1:14" x14ac:dyDescent="0.3">
      <c r="A1555" s="22" t="s">
        <v>866</v>
      </c>
      <c r="B1555" s="22">
        <v>0</v>
      </c>
      <c r="C1555" s="22"/>
      <c r="D1555" s="22"/>
      <c r="E1555" s="22"/>
      <c r="F1555" s="22"/>
      <c r="G1555" s="22"/>
      <c r="H1555" s="22"/>
      <c r="I1555" s="22"/>
      <c r="J1555" s="22"/>
      <c r="K1555" s="22"/>
      <c r="L1555" s="22"/>
      <c r="M1555" s="22"/>
      <c r="N1555" s="22"/>
    </row>
    <row r="1556" spans="1:14" x14ac:dyDescent="0.3">
      <c r="A1556" s="22" t="s">
        <v>867</v>
      </c>
      <c r="B1556" s="22">
        <v>0</v>
      </c>
      <c r="C1556" s="22"/>
      <c r="D1556" s="22"/>
      <c r="E1556" s="22"/>
      <c r="F1556" s="22"/>
      <c r="G1556" s="22"/>
      <c r="H1556" s="22"/>
      <c r="I1556" s="22"/>
      <c r="J1556" s="22"/>
      <c r="K1556" s="22"/>
      <c r="L1556" s="22"/>
      <c r="M1556" s="22"/>
      <c r="N1556" s="22"/>
    </row>
    <row r="1557" spans="1:14" x14ac:dyDescent="0.3">
      <c r="A1557" s="22" t="s">
        <v>868</v>
      </c>
      <c r="B1557" s="22">
        <v>0</v>
      </c>
      <c r="C1557" s="22"/>
      <c r="D1557" s="22"/>
      <c r="E1557" s="22"/>
      <c r="F1557" s="22"/>
      <c r="G1557" s="22"/>
      <c r="H1557" s="22"/>
      <c r="I1557" s="22"/>
      <c r="J1557" s="22"/>
      <c r="K1557" s="22"/>
      <c r="L1557" s="22"/>
      <c r="M1557" s="22"/>
      <c r="N1557" s="22"/>
    </row>
    <row r="1558" spans="1:14" x14ac:dyDescent="0.3">
      <c r="A1558" s="22" t="s">
        <v>869</v>
      </c>
      <c r="B1558" s="22">
        <v>0</v>
      </c>
      <c r="C1558" s="22"/>
      <c r="D1558" s="22"/>
      <c r="E1558" s="22"/>
      <c r="F1558" s="22"/>
      <c r="G1558" s="22"/>
      <c r="H1558" s="22"/>
      <c r="I1558" s="22"/>
      <c r="J1558" s="22"/>
      <c r="K1558" s="22"/>
      <c r="L1558" s="22"/>
      <c r="M1558" s="22"/>
      <c r="N1558" s="22"/>
    </row>
    <row r="1559" spans="1:14" x14ac:dyDescent="0.3">
      <c r="A1559" s="22" t="s">
        <v>870</v>
      </c>
      <c r="B1559" s="22">
        <v>9</v>
      </c>
      <c r="C1559" s="22"/>
      <c r="D1559" s="22"/>
      <c r="E1559" s="22"/>
      <c r="F1559" s="22"/>
      <c r="G1559" s="22"/>
      <c r="H1559" s="22"/>
      <c r="I1559" s="22"/>
      <c r="J1559" s="22"/>
      <c r="K1559" s="22"/>
      <c r="L1559" s="22"/>
      <c r="M1559" s="22"/>
      <c r="N1559" s="22"/>
    </row>
    <row r="1560" spans="1:14" x14ac:dyDescent="0.3">
      <c r="A1560" s="22" t="s">
        <v>871</v>
      </c>
      <c r="B1560" s="22">
        <v>0</v>
      </c>
      <c r="C1560" s="22"/>
      <c r="D1560" s="22"/>
      <c r="E1560" s="22"/>
      <c r="F1560" s="22"/>
      <c r="G1560" s="22"/>
      <c r="H1560" s="22"/>
      <c r="I1560" s="22"/>
      <c r="J1560" s="22"/>
      <c r="K1560" s="22"/>
      <c r="L1560" s="22"/>
      <c r="M1560" s="22"/>
      <c r="N1560" s="22"/>
    </row>
    <row r="1561" spans="1:14" x14ac:dyDescent="0.3">
      <c r="A1561" s="22" t="s">
        <v>872</v>
      </c>
      <c r="B1561" s="22">
        <v>0</v>
      </c>
      <c r="C1561" s="22"/>
      <c r="D1561" s="22"/>
      <c r="E1561" s="22"/>
      <c r="F1561" s="22"/>
      <c r="G1561" s="22"/>
      <c r="H1561" s="22"/>
      <c r="I1561" s="22"/>
      <c r="J1561" s="22"/>
      <c r="K1561" s="22"/>
      <c r="L1561" s="22"/>
      <c r="M1561" s="22"/>
      <c r="N1561" s="22"/>
    </row>
    <row r="1562" spans="1:14" x14ac:dyDescent="0.3">
      <c r="A1562" s="22" t="s">
        <v>873</v>
      </c>
      <c r="B1562" s="22">
        <v>0</v>
      </c>
      <c r="C1562" s="22"/>
      <c r="D1562" s="22"/>
      <c r="E1562" s="22"/>
      <c r="F1562" s="22"/>
      <c r="G1562" s="22"/>
      <c r="H1562" s="22"/>
      <c r="I1562" s="22"/>
      <c r="J1562" s="22"/>
      <c r="K1562" s="22"/>
      <c r="L1562" s="22"/>
      <c r="M1562" s="22"/>
      <c r="N1562" s="22"/>
    </row>
    <row r="1563" spans="1:14" x14ac:dyDescent="0.3">
      <c r="A1563" s="22" t="s">
        <v>874</v>
      </c>
      <c r="B1563" s="22">
        <v>0</v>
      </c>
      <c r="C1563" s="22"/>
      <c r="D1563" s="22"/>
      <c r="E1563" s="22"/>
      <c r="F1563" s="22"/>
      <c r="G1563" s="22"/>
      <c r="H1563" s="22"/>
      <c r="I1563" s="22"/>
      <c r="J1563" s="22"/>
      <c r="K1563" s="22"/>
      <c r="L1563" s="22"/>
      <c r="M1563" s="22"/>
      <c r="N1563" s="22"/>
    </row>
    <row r="1564" spans="1:14" x14ac:dyDescent="0.3">
      <c r="A1564" s="22" t="s">
        <v>875</v>
      </c>
      <c r="B1564" s="22">
        <v>0</v>
      </c>
      <c r="C1564" s="22"/>
      <c r="D1564" s="22"/>
      <c r="E1564" s="22"/>
      <c r="F1564" s="22"/>
      <c r="G1564" s="22"/>
      <c r="H1564" s="22"/>
      <c r="I1564" s="22"/>
      <c r="J1564" s="22"/>
      <c r="K1564" s="22"/>
      <c r="L1564" s="22"/>
      <c r="M1564" s="22"/>
      <c r="N1564" s="22"/>
    </row>
    <row r="1565" spans="1:14" x14ac:dyDescent="0.3">
      <c r="A1565" s="22" t="s">
        <v>876</v>
      </c>
      <c r="B1565" s="22">
        <v>0</v>
      </c>
      <c r="C1565" s="22"/>
      <c r="D1565" s="22"/>
      <c r="E1565" s="22"/>
      <c r="F1565" s="22"/>
      <c r="G1565" s="22"/>
      <c r="H1565" s="22"/>
      <c r="I1565" s="22"/>
      <c r="J1565" s="22"/>
      <c r="K1565" s="22"/>
      <c r="L1565" s="22"/>
      <c r="M1565" s="22"/>
      <c r="N1565" s="22"/>
    </row>
    <row r="1566" spans="1:14" x14ac:dyDescent="0.3">
      <c r="A1566" s="22" t="s">
        <v>877</v>
      </c>
      <c r="B1566" s="22">
        <v>0</v>
      </c>
      <c r="C1566" s="22"/>
      <c r="D1566" s="22"/>
      <c r="E1566" s="22"/>
      <c r="F1566" s="22"/>
      <c r="G1566" s="22"/>
      <c r="H1566" s="22"/>
      <c r="I1566" s="22"/>
      <c r="J1566" s="22"/>
      <c r="K1566" s="22"/>
      <c r="L1566" s="22"/>
      <c r="M1566" s="22"/>
      <c r="N1566" s="22"/>
    </row>
    <row r="1567" spans="1:14" x14ac:dyDescent="0.3">
      <c r="A1567" s="22" t="s">
        <v>878</v>
      </c>
      <c r="B1567" s="22">
        <v>2</v>
      </c>
      <c r="C1567" s="22"/>
      <c r="D1567" s="22"/>
      <c r="E1567" s="22"/>
      <c r="F1567" s="22"/>
      <c r="G1567" s="22"/>
      <c r="H1567" s="22"/>
      <c r="I1567" s="22"/>
      <c r="J1567" s="22"/>
      <c r="K1567" s="22"/>
      <c r="L1567" s="22"/>
      <c r="M1567" s="22"/>
      <c r="N1567" s="22"/>
    </row>
    <row r="1568" spans="1:14" x14ac:dyDescent="0.3">
      <c r="A1568" s="22" t="s">
        <v>879</v>
      </c>
      <c r="B1568" s="22">
        <v>0</v>
      </c>
      <c r="C1568" s="22"/>
      <c r="D1568" s="22"/>
      <c r="E1568" s="22"/>
      <c r="F1568" s="22"/>
      <c r="G1568" s="22"/>
      <c r="H1568" s="22"/>
      <c r="I1568" s="22"/>
      <c r="J1568" s="22"/>
      <c r="K1568" s="22"/>
      <c r="L1568" s="22"/>
      <c r="M1568" s="22"/>
      <c r="N1568" s="22"/>
    </row>
    <row r="1569" spans="1:14" x14ac:dyDescent="0.3">
      <c r="A1569" s="22" t="s">
        <v>880</v>
      </c>
      <c r="B1569" s="22">
        <v>0</v>
      </c>
      <c r="C1569" s="22"/>
      <c r="D1569" s="22"/>
      <c r="E1569" s="22"/>
      <c r="F1569" s="22"/>
      <c r="G1569" s="22"/>
      <c r="H1569" s="22"/>
      <c r="I1569" s="22"/>
      <c r="J1569" s="22"/>
      <c r="K1569" s="22"/>
      <c r="L1569" s="22"/>
      <c r="M1569" s="22"/>
      <c r="N1569" s="22"/>
    </row>
    <row r="1570" spans="1:14" x14ac:dyDescent="0.3">
      <c r="A1570" s="22" t="s">
        <v>881</v>
      </c>
      <c r="B1570" s="22">
        <v>0</v>
      </c>
      <c r="C1570" s="22"/>
      <c r="D1570" s="22"/>
      <c r="E1570" s="22"/>
      <c r="F1570" s="22"/>
      <c r="G1570" s="22"/>
      <c r="H1570" s="22"/>
      <c r="I1570" s="22"/>
      <c r="J1570" s="22"/>
      <c r="K1570" s="22"/>
      <c r="L1570" s="22"/>
      <c r="M1570" s="22"/>
      <c r="N1570" s="22"/>
    </row>
    <row r="1571" spans="1:14" x14ac:dyDescent="0.3">
      <c r="A1571" s="22" t="s">
        <v>882</v>
      </c>
      <c r="B1571" s="22">
        <v>0</v>
      </c>
      <c r="C1571" s="22"/>
      <c r="D1571" s="22"/>
      <c r="E1571" s="22"/>
      <c r="F1571" s="22"/>
      <c r="G1571" s="22"/>
      <c r="H1571" s="22"/>
      <c r="I1571" s="22"/>
      <c r="J1571" s="22"/>
      <c r="K1571" s="22"/>
      <c r="L1571" s="22"/>
      <c r="M1571" s="22"/>
      <c r="N1571" s="22"/>
    </row>
    <row r="1572" spans="1:14" x14ac:dyDescent="0.3">
      <c r="A1572" s="22" t="s">
        <v>883</v>
      </c>
      <c r="B1572" s="22">
        <v>0</v>
      </c>
      <c r="C1572" s="22"/>
      <c r="D1572" s="22"/>
      <c r="E1572" s="22"/>
      <c r="F1572" s="22"/>
      <c r="G1572" s="22"/>
      <c r="H1572" s="22"/>
      <c r="I1572" s="22"/>
      <c r="J1572" s="22"/>
      <c r="K1572" s="22"/>
      <c r="L1572" s="22"/>
      <c r="M1572" s="22"/>
      <c r="N1572" s="22"/>
    </row>
    <row r="1573" spans="1:14" x14ac:dyDescent="0.3">
      <c r="A1573" s="22" t="s">
        <v>884</v>
      </c>
      <c r="B1573" s="22">
        <v>0</v>
      </c>
      <c r="C1573" s="22"/>
      <c r="D1573" s="22"/>
      <c r="E1573" s="22"/>
      <c r="F1573" s="22"/>
      <c r="G1573" s="22"/>
      <c r="H1573" s="22"/>
      <c r="I1573" s="22"/>
      <c r="J1573" s="22"/>
      <c r="K1573" s="22"/>
      <c r="L1573" s="22"/>
      <c r="M1573" s="22"/>
      <c r="N1573" s="22"/>
    </row>
    <row r="1574" spans="1:14" x14ac:dyDescent="0.3">
      <c r="A1574" s="22" t="s">
        <v>885</v>
      </c>
      <c r="B1574" s="22">
        <v>0</v>
      </c>
      <c r="C1574" s="22"/>
      <c r="D1574" s="22"/>
      <c r="E1574" s="22"/>
      <c r="F1574" s="22"/>
      <c r="G1574" s="22"/>
      <c r="H1574" s="22"/>
      <c r="I1574" s="22"/>
      <c r="J1574" s="22"/>
      <c r="K1574" s="22"/>
      <c r="L1574" s="22"/>
      <c r="M1574" s="22"/>
      <c r="N1574" s="22"/>
    </row>
    <row r="1575" spans="1:14" x14ac:dyDescent="0.3">
      <c r="A1575" s="22" t="s">
        <v>886</v>
      </c>
      <c r="B1575" s="22">
        <v>79</v>
      </c>
      <c r="C1575" s="22"/>
      <c r="D1575" s="22"/>
      <c r="E1575" s="22"/>
      <c r="F1575" s="22"/>
      <c r="G1575" s="22"/>
      <c r="H1575" s="22"/>
      <c r="I1575" s="22"/>
      <c r="J1575" s="22"/>
      <c r="K1575" s="22"/>
      <c r="L1575" s="22"/>
      <c r="M1575" s="22"/>
      <c r="N1575" s="22"/>
    </row>
    <row r="1576" spans="1:14" x14ac:dyDescent="0.3">
      <c r="A1576" s="22" t="s">
        <v>887</v>
      </c>
      <c r="B1576" s="22">
        <v>0</v>
      </c>
      <c r="C1576" s="22"/>
      <c r="D1576" s="22"/>
      <c r="E1576" s="22"/>
      <c r="F1576" s="22"/>
      <c r="G1576" s="22"/>
      <c r="H1576" s="22"/>
      <c r="I1576" s="22"/>
      <c r="J1576" s="22"/>
      <c r="K1576" s="22"/>
      <c r="L1576" s="22"/>
      <c r="M1576" s="22"/>
      <c r="N1576" s="22"/>
    </row>
    <row r="1577" spans="1:14" x14ac:dyDescent="0.3">
      <c r="A1577" s="22" t="s">
        <v>888</v>
      </c>
      <c r="B1577" s="22">
        <v>0</v>
      </c>
      <c r="C1577" s="22"/>
      <c r="D1577" s="22"/>
      <c r="E1577" s="22"/>
      <c r="F1577" s="22"/>
      <c r="G1577" s="22"/>
      <c r="H1577" s="22"/>
      <c r="I1577" s="22"/>
      <c r="J1577" s="22"/>
      <c r="K1577" s="22"/>
      <c r="L1577" s="22"/>
      <c r="M1577" s="22"/>
      <c r="N1577" s="22"/>
    </row>
    <row r="1578" spans="1:14" x14ac:dyDescent="0.3">
      <c r="A1578" s="22" t="s">
        <v>889</v>
      </c>
      <c r="B1578" s="22">
        <v>0</v>
      </c>
      <c r="C1578" s="22"/>
      <c r="D1578" s="22"/>
      <c r="E1578" s="22"/>
      <c r="F1578" s="22"/>
      <c r="G1578" s="22"/>
      <c r="H1578" s="22"/>
      <c r="I1578" s="22"/>
      <c r="J1578" s="22"/>
      <c r="K1578" s="22"/>
      <c r="L1578" s="22"/>
      <c r="M1578" s="22"/>
      <c r="N1578" s="22"/>
    </row>
    <row r="1579" spans="1:14" x14ac:dyDescent="0.3">
      <c r="A1579" s="22" t="s">
        <v>890</v>
      </c>
      <c r="B1579" s="22">
        <v>0</v>
      </c>
      <c r="C1579" s="22"/>
      <c r="D1579" s="22"/>
      <c r="E1579" s="22"/>
      <c r="F1579" s="22"/>
      <c r="G1579" s="22"/>
      <c r="H1579" s="22"/>
      <c r="I1579" s="22"/>
      <c r="J1579" s="22"/>
      <c r="K1579" s="22"/>
      <c r="L1579" s="22"/>
      <c r="M1579" s="22"/>
      <c r="N1579" s="22"/>
    </row>
    <row r="1580" spans="1:14" x14ac:dyDescent="0.3">
      <c r="A1580" s="22" t="s">
        <v>891</v>
      </c>
      <c r="B1580" s="22">
        <v>0</v>
      </c>
      <c r="C1580" s="22"/>
      <c r="D1580" s="22"/>
      <c r="E1580" s="22"/>
      <c r="F1580" s="22"/>
      <c r="G1580" s="22"/>
      <c r="H1580" s="22"/>
      <c r="I1580" s="22"/>
      <c r="J1580" s="22"/>
      <c r="K1580" s="22"/>
      <c r="L1580" s="22"/>
      <c r="M1580" s="22"/>
      <c r="N1580" s="22"/>
    </row>
    <row r="1581" spans="1:14" x14ac:dyDescent="0.3">
      <c r="A1581" s="22" t="s">
        <v>892</v>
      </c>
      <c r="B1581" s="22">
        <v>0</v>
      </c>
      <c r="C1581" s="22"/>
      <c r="D1581" s="22"/>
      <c r="E1581" s="22"/>
      <c r="F1581" s="22"/>
      <c r="G1581" s="22"/>
      <c r="H1581" s="22"/>
      <c r="I1581" s="22"/>
      <c r="J1581" s="22"/>
      <c r="K1581" s="22"/>
      <c r="L1581" s="22"/>
      <c r="M1581" s="22"/>
      <c r="N1581" s="22"/>
    </row>
    <row r="1582" spans="1:14" x14ac:dyDescent="0.3">
      <c r="A1582" s="22" t="s">
        <v>893</v>
      </c>
      <c r="B1582" s="22">
        <v>0</v>
      </c>
      <c r="C1582" s="22"/>
      <c r="D1582" s="22"/>
      <c r="E1582" s="22"/>
      <c r="F1582" s="22"/>
      <c r="G1582" s="22"/>
      <c r="H1582" s="22"/>
      <c r="I1582" s="22"/>
      <c r="J1582" s="22"/>
      <c r="K1582" s="22"/>
      <c r="L1582" s="22"/>
      <c r="M1582" s="22"/>
      <c r="N1582" s="22"/>
    </row>
    <row r="1583" spans="1:14" x14ac:dyDescent="0.3">
      <c r="A1583" s="22" t="s">
        <v>1794</v>
      </c>
      <c r="B1583" s="22">
        <v>18</v>
      </c>
      <c r="C1583" s="22"/>
      <c r="D1583" s="22"/>
      <c r="E1583" s="22"/>
      <c r="F1583" s="22"/>
      <c r="G1583" s="22"/>
      <c r="H1583" s="22"/>
      <c r="I1583" s="22"/>
      <c r="J1583" s="22"/>
      <c r="K1583" s="22"/>
      <c r="L1583" s="22"/>
      <c r="M1583" s="22"/>
      <c r="N1583" s="22"/>
    </row>
    <row r="1584" spans="1:14" x14ac:dyDescent="0.3">
      <c r="A1584" s="22" t="s">
        <v>3519</v>
      </c>
      <c r="B1584" s="22">
        <v>0</v>
      </c>
      <c r="C1584" s="22"/>
      <c r="D1584" s="22"/>
      <c r="E1584" s="22"/>
      <c r="F1584" s="22"/>
      <c r="G1584" s="22"/>
      <c r="H1584" s="22"/>
      <c r="I1584" s="22"/>
      <c r="J1584" s="22"/>
      <c r="K1584" s="22"/>
      <c r="L1584" s="22"/>
      <c r="M1584" s="22"/>
      <c r="N1584" s="22"/>
    </row>
    <row r="1585" spans="1:14" x14ac:dyDescent="0.3">
      <c r="A1585" s="22" t="s">
        <v>3520</v>
      </c>
      <c r="B1585" s="22">
        <v>0</v>
      </c>
      <c r="C1585" s="22"/>
      <c r="D1585" s="22"/>
      <c r="E1585" s="22"/>
      <c r="F1585" s="22"/>
      <c r="G1585" s="22"/>
      <c r="H1585" s="22"/>
      <c r="I1585" s="22"/>
      <c r="J1585" s="22"/>
      <c r="K1585" s="22"/>
      <c r="L1585" s="22"/>
      <c r="M1585" s="22"/>
      <c r="N1585" s="22"/>
    </row>
    <row r="1586" spans="1:14" x14ac:dyDescent="0.3">
      <c r="A1586" s="22" t="s">
        <v>3521</v>
      </c>
      <c r="B1586" s="22">
        <v>0</v>
      </c>
      <c r="C1586" s="22"/>
      <c r="D1586" s="22"/>
      <c r="E1586" s="22"/>
      <c r="F1586" s="22"/>
      <c r="G1586" s="22"/>
      <c r="H1586" s="22"/>
      <c r="I1586" s="22"/>
      <c r="J1586" s="22"/>
      <c r="K1586" s="22"/>
      <c r="L1586" s="22"/>
      <c r="M1586" s="22"/>
      <c r="N1586" s="22"/>
    </row>
    <row r="1587" spans="1:14" x14ac:dyDescent="0.3">
      <c r="A1587" s="22" t="s">
        <v>3522</v>
      </c>
      <c r="B1587" s="22">
        <v>0</v>
      </c>
      <c r="C1587" s="22"/>
      <c r="D1587" s="22"/>
      <c r="E1587" s="22"/>
      <c r="F1587" s="22"/>
      <c r="G1587" s="22"/>
      <c r="H1587" s="22"/>
      <c r="I1587" s="22"/>
      <c r="J1587" s="22"/>
      <c r="K1587" s="22"/>
      <c r="L1587" s="22"/>
      <c r="M1587" s="22"/>
      <c r="N1587" s="22"/>
    </row>
    <row r="1588" spans="1:14" x14ac:dyDescent="0.3">
      <c r="A1588" s="22" t="s">
        <v>3523</v>
      </c>
      <c r="B1588" s="22">
        <v>0</v>
      </c>
      <c r="C1588" s="22"/>
      <c r="D1588" s="22"/>
      <c r="E1588" s="22"/>
      <c r="F1588" s="22"/>
      <c r="G1588" s="22"/>
      <c r="H1588" s="22"/>
      <c r="I1588" s="22"/>
      <c r="J1588" s="22"/>
      <c r="K1588" s="22"/>
      <c r="L1588" s="22"/>
      <c r="M1588" s="22"/>
      <c r="N1588" s="22"/>
    </row>
    <row r="1589" spans="1:14" x14ac:dyDescent="0.3">
      <c r="A1589" s="22" t="s">
        <v>3524</v>
      </c>
      <c r="B1589" s="22">
        <v>0</v>
      </c>
      <c r="C1589" s="22"/>
      <c r="D1589" s="22"/>
      <c r="E1589" s="22"/>
      <c r="F1589" s="22"/>
      <c r="G1589" s="22"/>
      <c r="H1589" s="22"/>
      <c r="I1589" s="22"/>
      <c r="J1589" s="22"/>
      <c r="K1589" s="22"/>
      <c r="L1589" s="22"/>
      <c r="M1589" s="22"/>
      <c r="N1589" s="22"/>
    </row>
    <row r="1590" spans="1:14" x14ac:dyDescent="0.3">
      <c r="A1590" s="22" t="s">
        <v>3525</v>
      </c>
      <c r="B1590" s="22">
        <v>0</v>
      </c>
      <c r="C1590" s="22"/>
      <c r="D1590" s="22"/>
      <c r="E1590" s="22"/>
      <c r="F1590" s="22"/>
      <c r="G1590" s="22"/>
      <c r="H1590" s="22"/>
      <c r="I1590" s="22"/>
      <c r="J1590" s="22"/>
      <c r="K1590" s="22"/>
      <c r="L1590" s="22"/>
      <c r="M1590" s="22"/>
      <c r="N1590" s="22"/>
    </row>
    <row r="1591" spans="1:14" x14ac:dyDescent="0.3">
      <c r="A1591" s="22" t="s">
        <v>894</v>
      </c>
      <c r="B1591" s="22">
        <v>2</v>
      </c>
      <c r="C1591" s="22"/>
      <c r="D1591" s="22"/>
      <c r="E1591" s="22"/>
      <c r="F1591" s="22"/>
      <c r="G1591" s="22"/>
      <c r="H1591" s="22"/>
      <c r="I1591" s="22"/>
      <c r="J1591" s="22"/>
      <c r="K1591" s="22"/>
      <c r="L1591" s="22"/>
      <c r="M1591" s="22"/>
      <c r="N1591" s="22"/>
    </row>
    <row r="1592" spans="1:14" x14ac:dyDescent="0.3">
      <c r="A1592" s="22" t="s">
        <v>895</v>
      </c>
      <c r="B1592" s="22">
        <v>0</v>
      </c>
      <c r="C1592" s="22"/>
      <c r="D1592" s="22"/>
      <c r="E1592" s="22"/>
      <c r="F1592" s="22"/>
      <c r="G1592" s="22"/>
      <c r="H1592" s="22"/>
      <c r="I1592" s="22"/>
      <c r="J1592" s="22"/>
      <c r="K1592" s="22"/>
      <c r="L1592" s="22"/>
      <c r="M1592" s="22"/>
      <c r="N1592" s="22"/>
    </row>
    <row r="1593" spans="1:14" x14ac:dyDescent="0.3">
      <c r="A1593" s="22" t="s">
        <v>896</v>
      </c>
      <c r="B1593" s="22">
        <v>0</v>
      </c>
      <c r="C1593" s="22"/>
      <c r="D1593" s="22"/>
      <c r="E1593" s="22"/>
      <c r="F1593" s="22"/>
      <c r="G1593" s="22"/>
      <c r="H1593" s="22"/>
      <c r="I1593" s="22"/>
      <c r="J1593" s="22"/>
      <c r="K1593" s="22"/>
      <c r="L1593" s="22"/>
      <c r="M1593" s="22"/>
      <c r="N1593" s="22"/>
    </row>
    <row r="1594" spans="1:14" x14ac:dyDescent="0.3">
      <c r="A1594" s="22" t="s">
        <v>897</v>
      </c>
      <c r="B1594" s="22">
        <v>0</v>
      </c>
      <c r="C1594" s="22"/>
      <c r="D1594" s="22"/>
      <c r="E1594" s="22"/>
      <c r="F1594" s="22"/>
      <c r="G1594" s="22"/>
      <c r="H1594" s="22"/>
      <c r="I1594" s="22"/>
      <c r="J1594" s="22"/>
      <c r="K1594" s="22"/>
      <c r="L1594" s="22"/>
      <c r="M1594" s="22"/>
      <c r="N1594" s="22"/>
    </row>
    <row r="1595" spans="1:14" x14ac:dyDescent="0.3">
      <c r="A1595" s="22" t="s">
        <v>898</v>
      </c>
      <c r="B1595" s="22">
        <v>0</v>
      </c>
      <c r="C1595" s="22"/>
      <c r="D1595" s="22"/>
      <c r="E1595" s="22"/>
      <c r="F1595" s="22"/>
      <c r="G1595" s="22"/>
      <c r="H1595" s="22"/>
      <c r="I1595" s="22"/>
      <c r="J1595" s="22"/>
      <c r="K1595" s="22"/>
      <c r="L1595" s="22"/>
      <c r="M1595" s="22"/>
      <c r="N1595" s="22"/>
    </row>
    <row r="1596" spans="1:14" x14ac:dyDescent="0.3">
      <c r="A1596" s="22" t="s">
        <v>899</v>
      </c>
      <c r="B1596" s="22">
        <v>0</v>
      </c>
      <c r="C1596" s="22"/>
      <c r="D1596" s="22"/>
      <c r="E1596" s="22"/>
      <c r="F1596" s="22"/>
      <c r="G1596" s="22"/>
      <c r="H1596" s="22"/>
      <c r="I1596" s="22"/>
      <c r="J1596" s="22"/>
      <c r="K1596" s="22"/>
      <c r="L1596" s="22"/>
      <c r="M1596" s="22"/>
      <c r="N1596" s="22"/>
    </row>
    <row r="1597" spans="1:14" x14ac:dyDescent="0.3">
      <c r="A1597" s="22" t="s">
        <v>900</v>
      </c>
      <c r="B1597" s="22">
        <v>0</v>
      </c>
      <c r="C1597" s="22"/>
      <c r="D1597" s="22"/>
      <c r="E1597" s="22"/>
      <c r="F1597" s="22"/>
      <c r="G1597" s="22"/>
      <c r="H1597" s="22"/>
      <c r="I1597" s="22"/>
      <c r="J1597" s="22"/>
      <c r="K1597" s="22"/>
      <c r="L1597" s="22"/>
      <c r="M1597" s="22"/>
      <c r="N1597" s="22"/>
    </row>
    <row r="1598" spans="1:14" x14ac:dyDescent="0.3">
      <c r="A1598" s="22" t="s">
        <v>901</v>
      </c>
      <c r="B1598" s="22">
        <v>0</v>
      </c>
      <c r="C1598" s="22"/>
      <c r="D1598" s="22"/>
      <c r="E1598" s="22"/>
      <c r="F1598" s="22"/>
      <c r="G1598" s="22"/>
      <c r="H1598" s="22"/>
      <c r="I1598" s="22"/>
      <c r="J1598" s="22"/>
      <c r="K1598" s="22"/>
      <c r="L1598" s="22"/>
      <c r="M1598" s="22"/>
      <c r="N1598" s="22"/>
    </row>
    <row r="1599" spans="1:14" x14ac:dyDescent="0.3">
      <c r="A1599" s="22" t="s">
        <v>902</v>
      </c>
      <c r="B1599" s="22">
        <v>0</v>
      </c>
      <c r="C1599" s="22"/>
      <c r="D1599" s="22"/>
      <c r="E1599" s="22"/>
      <c r="F1599" s="22"/>
      <c r="G1599" s="22"/>
      <c r="H1599" s="22"/>
      <c r="I1599" s="22"/>
      <c r="J1599" s="22"/>
      <c r="K1599" s="22"/>
      <c r="L1599" s="22"/>
      <c r="M1599" s="22"/>
      <c r="N1599" s="22"/>
    </row>
    <row r="1600" spans="1:14" x14ac:dyDescent="0.3">
      <c r="A1600" s="22" t="s">
        <v>903</v>
      </c>
      <c r="B1600" s="22">
        <v>0</v>
      </c>
      <c r="C1600" s="22"/>
      <c r="D1600" s="22"/>
      <c r="E1600" s="22"/>
      <c r="F1600" s="22"/>
      <c r="G1600" s="22"/>
      <c r="H1600" s="22"/>
      <c r="I1600" s="22"/>
      <c r="J1600" s="22"/>
      <c r="K1600" s="22"/>
      <c r="L1600" s="22"/>
      <c r="M1600" s="22"/>
      <c r="N1600" s="22"/>
    </row>
    <row r="1601" spans="1:14" x14ac:dyDescent="0.3">
      <c r="A1601" s="22" t="s">
        <v>904</v>
      </c>
      <c r="B1601" s="22">
        <v>0</v>
      </c>
      <c r="C1601" s="22"/>
      <c r="D1601" s="22"/>
      <c r="E1601" s="22"/>
      <c r="F1601" s="22"/>
      <c r="G1601" s="22"/>
      <c r="H1601" s="22"/>
      <c r="I1601" s="22"/>
      <c r="J1601" s="22"/>
      <c r="K1601" s="22"/>
      <c r="L1601" s="22"/>
      <c r="M1601" s="22"/>
      <c r="N1601" s="22"/>
    </row>
    <row r="1602" spans="1:14" x14ac:dyDescent="0.3">
      <c r="A1602" s="22" t="s">
        <v>905</v>
      </c>
      <c r="B1602" s="22">
        <v>0</v>
      </c>
      <c r="C1602" s="22"/>
      <c r="D1602" s="22"/>
      <c r="E1602" s="22"/>
      <c r="F1602" s="22"/>
      <c r="G1602" s="22"/>
      <c r="H1602" s="22"/>
      <c r="I1602" s="22"/>
      <c r="J1602" s="22"/>
      <c r="K1602" s="22"/>
      <c r="L1602" s="22"/>
      <c r="M1602" s="22"/>
      <c r="N1602" s="22"/>
    </row>
    <row r="1603" spans="1:14" x14ac:dyDescent="0.3">
      <c r="A1603" s="22" t="s">
        <v>906</v>
      </c>
      <c r="B1603" s="22">
        <v>0</v>
      </c>
      <c r="C1603" s="22"/>
      <c r="D1603" s="22"/>
      <c r="E1603" s="22"/>
      <c r="F1603" s="22"/>
      <c r="G1603" s="22"/>
      <c r="H1603" s="22"/>
      <c r="I1603" s="22"/>
      <c r="J1603" s="22"/>
      <c r="K1603" s="22"/>
      <c r="L1603" s="22"/>
      <c r="M1603" s="22"/>
      <c r="N1603" s="22"/>
    </row>
    <row r="1604" spans="1:14" x14ac:dyDescent="0.3">
      <c r="A1604" s="22" t="s">
        <v>907</v>
      </c>
      <c r="B1604" s="22">
        <v>0</v>
      </c>
      <c r="C1604" s="22"/>
      <c r="D1604" s="22"/>
      <c r="E1604" s="22"/>
      <c r="F1604" s="22"/>
      <c r="G1604" s="22"/>
      <c r="H1604" s="22"/>
      <c r="I1604" s="22"/>
      <c r="J1604" s="22"/>
      <c r="K1604" s="22"/>
      <c r="L1604" s="22"/>
      <c r="M1604" s="22"/>
      <c r="N1604" s="22"/>
    </row>
    <row r="1605" spans="1:14" x14ac:dyDescent="0.3">
      <c r="A1605" s="22" t="s">
        <v>908</v>
      </c>
      <c r="B1605" s="22">
        <v>0</v>
      </c>
      <c r="C1605" s="22"/>
      <c r="D1605" s="22"/>
      <c r="E1605" s="22"/>
      <c r="F1605" s="22"/>
      <c r="G1605" s="22"/>
      <c r="H1605" s="22"/>
      <c r="I1605" s="22"/>
      <c r="J1605" s="22"/>
      <c r="K1605" s="22"/>
      <c r="L1605" s="22"/>
      <c r="M1605" s="22"/>
      <c r="N1605" s="22"/>
    </row>
    <row r="1606" spans="1:14" x14ac:dyDescent="0.3">
      <c r="A1606" s="22" t="s">
        <v>909</v>
      </c>
      <c r="B1606" s="22">
        <v>0</v>
      </c>
      <c r="C1606" s="22"/>
      <c r="D1606" s="22"/>
      <c r="E1606" s="22"/>
      <c r="F1606" s="22"/>
      <c r="G1606" s="22"/>
      <c r="H1606" s="22"/>
      <c r="I1606" s="22"/>
      <c r="J1606" s="22"/>
      <c r="K1606" s="22"/>
      <c r="L1606" s="22"/>
      <c r="M1606" s="22"/>
      <c r="N1606" s="22"/>
    </row>
    <row r="1607" spans="1:14" x14ac:dyDescent="0.3">
      <c r="A1607" s="22" t="s">
        <v>910</v>
      </c>
      <c r="B1607" s="22">
        <v>63</v>
      </c>
      <c r="C1607" s="22"/>
      <c r="D1607" s="22"/>
      <c r="E1607" s="22"/>
      <c r="F1607" s="22"/>
      <c r="G1607" s="22"/>
      <c r="H1607" s="22"/>
      <c r="I1607" s="22"/>
      <c r="J1607" s="22"/>
      <c r="K1607" s="22"/>
      <c r="L1607" s="22"/>
      <c r="M1607" s="22"/>
      <c r="N1607" s="22"/>
    </row>
    <row r="1608" spans="1:14" x14ac:dyDescent="0.3">
      <c r="A1608" s="22" t="s">
        <v>5325</v>
      </c>
      <c r="B1608" s="22">
        <v>0</v>
      </c>
      <c r="C1608" s="22"/>
      <c r="D1608" s="22"/>
      <c r="E1608" s="22"/>
      <c r="F1608" s="22"/>
      <c r="G1608" s="22"/>
      <c r="H1608" s="22"/>
      <c r="I1608" s="22"/>
      <c r="J1608" s="22"/>
      <c r="K1608" s="22"/>
      <c r="L1608" s="22"/>
      <c r="M1608" s="22"/>
      <c r="N1608" s="22"/>
    </row>
    <row r="1609" spans="1:14" x14ac:dyDescent="0.3">
      <c r="A1609" s="22" t="s">
        <v>5326</v>
      </c>
      <c r="B1609" s="22">
        <v>0</v>
      </c>
      <c r="C1609" s="22"/>
      <c r="D1609" s="22"/>
      <c r="E1609" s="22"/>
      <c r="F1609" s="22"/>
      <c r="G1609" s="22"/>
      <c r="H1609" s="22"/>
      <c r="I1609" s="22"/>
      <c r="J1609" s="22"/>
      <c r="K1609" s="22"/>
      <c r="L1609" s="22"/>
      <c r="M1609" s="22"/>
      <c r="N1609" s="22"/>
    </row>
    <row r="1610" spans="1:14" x14ac:dyDescent="0.3">
      <c r="A1610" s="22" t="s">
        <v>5327</v>
      </c>
      <c r="B1610" s="22">
        <v>0</v>
      </c>
      <c r="C1610" s="22"/>
      <c r="D1610" s="22"/>
      <c r="E1610" s="22"/>
      <c r="F1610" s="22"/>
      <c r="G1610" s="22"/>
      <c r="H1610" s="22"/>
      <c r="I1610" s="22"/>
      <c r="J1610" s="22"/>
      <c r="K1610" s="22"/>
      <c r="L1610" s="22"/>
      <c r="M1610" s="22"/>
      <c r="N1610" s="22"/>
    </row>
    <row r="1611" spans="1:14" x14ac:dyDescent="0.3">
      <c r="A1611" s="22" t="s">
        <v>5328</v>
      </c>
      <c r="B1611" s="22">
        <v>0</v>
      </c>
      <c r="C1611" s="22"/>
      <c r="D1611" s="22"/>
      <c r="E1611" s="22"/>
      <c r="F1611" s="22"/>
      <c r="G1611" s="22"/>
      <c r="H1611" s="22"/>
      <c r="I1611" s="22"/>
      <c r="J1611" s="22"/>
      <c r="K1611" s="22"/>
      <c r="L1611" s="22"/>
      <c r="M1611" s="22"/>
      <c r="N1611" s="22"/>
    </row>
    <row r="1612" spans="1:14" x14ac:dyDescent="0.3">
      <c r="A1612" s="22" t="s">
        <v>5329</v>
      </c>
      <c r="B1612" s="22">
        <v>0</v>
      </c>
      <c r="C1612" s="22"/>
      <c r="D1612" s="22"/>
      <c r="E1612" s="22"/>
      <c r="F1612" s="22"/>
      <c r="G1612" s="22"/>
      <c r="H1612" s="22"/>
      <c r="I1612" s="22"/>
      <c r="J1612" s="22"/>
      <c r="K1612" s="22"/>
      <c r="L1612" s="22"/>
      <c r="M1612" s="22"/>
      <c r="N1612" s="22"/>
    </row>
    <row r="1613" spans="1:14" x14ac:dyDescent="0.3">
      <c r="A1613" s="22" t="s">
        <v>5330</v>
      </c>
      <c r="B1613" s="22">
        <v>0</v>
      </c>
      <c r="C1613" s="22"/>
      <c r="D1613" s="22"/>
      <c r="E1613" s="22"/>
      <c r="F1613" s="22"/>
      <c r="G1613" s="22"/>
      <c r="H1613" s="22"/>
      <c r="I1613" s="22"/>
      <c r="J1613" s="22"/>
      <c r="K1613" s="22"/>
      <c r="L1613" s="22"/>
      <c r="M1613" s="22"/>
      <c r="N1613" s="22"/>
    </row>
    <row r="1614" spans="1:14" x14ac:dyDescent="0.3">
      <c r="A1614" s="22" t="s">
        <v>5331</v>
      </c>
      <c r="B1614" s="22">
        <v>0</v>
      </c>
      <c r="C1614" s="22"/>
      <c r="D1614" s="22"/>
      <c r="E1614" s="22"/>
      <c r="F1614" s="22"/>
      <c r="G1614" s="22"/>
      <c r="H1614" s="22"/>
      <c r="I1614" s="22"/>
      <c r="J1614" s="22"/>
      <c r="K1614" s="22"/>
      <c r="L1614" s="22"/>
      <c r="M1614" s="22"/>
      <c r="N1614" s="22"/>
    </row>
    <row r="1615" spans="1:14" x14ac:dyDescent="0.3">
      <c r="A1615" s="22" t="s">
        <v>911</v>
      </c>
      <c r="B1615" s="22">
        <v>59</v>
      </c>
      <c r="C1615" s="22"/>
      <c r="D1615" s="22"/>
      <c r="E1615" s="22"/>
      <c r="F1615" s="22"/>
      <c r="G1615" s="22"/>
      <c r="H1615" s="22"/>
      <c r="I1615" s="22"/>
      <c r="J1615" s="22"/>
      <c r="K1615" s="22"/>
      <c r="L1615" s="22"/>
      <c r="M1615" s="22"/>
      <c r="N1615" s="22"/>
    </row>
    <row r="1616" spans="1:14" x14ac:dyDescent="0.3">
      <c r="A1616" s="22" t="s">
        <v>912</v>
      </c>
      <c r="B1616" s="22">
        <v>0</v>
      </c>
      <c r="C1616" s="22"/>
      <c r="D1616" s="22"/>
      <c r="E1616" s="22"/>
      <c r="F1616" s="22"/>
      <c r="G1616" s="22"/>
      <c r="H1616" s="22"/>
      <c r="I1616" s="22"/>
      <c r="J1616" s="22"/>
      <c r="K1616" s="22"/>
      <c r="L1616" s="22"/>
      <c r="M1616" s="22"/>
      <c r="N1616" s="22"/>
    </row>
    <row r="1617" spans="1:14" x14ac:dyDescent="0.3">
      <c r="A1617" s="22" t="s">
        <v>913</v>
      </c>
      <c r="B1617" s="22">
        <v>0</v>
      </c>
      <c r="C1617" s="22"/>
      <c r="D1617" s="22"/>
      <c r="E1617" s="22"/>
      <c r="F1617" s="22"/>
      <c r="G1617" s="22"/>
      <c r="H1617" s="22"/>
      <c r="I1617" s="22"/>
      <c r="J1617" s="22"/>
      <c r="K1617" s="22"/>
      <c r="L1617" s="22"/>
      <c r="M1617" s="22"/>
      <c r="N1617" s="22"/>
    </row>
    <row r="1618" spans="1:14" x14ac:dyDescent="0.3">
      <c r="A1618" s="22" t="s">
        <v>914</v>
      </c>
      <c r="B1618" s="22">
        <v>0</v>
      </c>
      <c r="C1618" s="22"/>
      <c r="D1618" s="22"/>
      <c r="E1618" s="22"/>
      <c r="F1618" s="22"/>
      <c r="G1618" s="22"/>
      <c r="H1618" s="22"/>
      <c r="I1618" s="22"/>
      <c r="J1618" s="22"/>
      <c r="K1618" s="22"/>
      <c r="L1618" s="22"/>
      <c r="M1618" s="22"/>
      <c r="N1618" s="22"/>
    </row>
    <row r="1619" spans="1:14" x14ac:dyDescent="0.3">
      <c r="A1619" s="22" t="s">
        <v>915</v>
      </c>
      <c r="B1619" s="22">
        <v>0</v>
      </c>
      <c r="C1619" s="22"/>
      <c r="D1619" s="22"/>
      <c r="E1619" s="22"/>
      <c r="F1619" s="22"/>
      <c r="G1619" s="22"/>
      <c r="H1619" s="22"/>
      <c r="I1619" s="22"/>
      <c r="J1619" s="22"/>
      <c r="K1619" s="22"/>
      <c r="L1619" s="22"/>
      <c r="M1619" s="22"/>
      <c r="N1619" s="22"/>
    </row>
    <row r="1620" spans="1:14" x14ac:dyDescent="0.3">
      <c r="A1620" s="22" t="s">
        <v>916</v>
      </c>
      <c r="B1620" s="22">
        <v>0</v>
      </c>
      <c r="C1620" s="22"/>
      <c r="D1620" s="22"/>
      <c r="E1620" s="22"/>
      <c r="F1620" s="22"/>
      <c r="G1620" s="22"/>
      <c r="H1620" s="22"/>
      <c r="I1620" s="22"/>
      <c r="J1620" s="22"/>
      <c r="K1620" s="22"/>
      <c r="L1620" s="22"/>
      <c r="M1620" s="22"/>
      <c r="N1620" s="22"/>
    </row>
    <row r="1621" spans="1:14" x14ac:dyDescent="0.3">
      <c r="A1621" s="22" t="s">
        <v>917</v>
      </c>
      <c r="B1621" s="22">
        <v>0</v>
      </c>
      <c r="C1621" s="22"/>
      <c r="D1621" s="22"/>
      <c r="E1621" s="22"/>
      <c r="F1621" s="22"/>
      <c r="G1621" s="22"/>
      <c r="H1621" s="22"/>
      <c r="I1621" s="22"/>
      <c r="J1621" s="22"/>
      <c r="K1621" s="22"/>
      <c r="L1621" s="22"/>
      <c r="M1621" s="22"/>
      <c r="N1621" s="22"/>
    </row>
    <row r="1622" spans="1:14" x14ac:dyDescent="0.3">
      <c r="A1622" s="22" t="s">
        <v>918</v>
      </c>
      <c r="B1622" s="22">
        <v>0</v>
      </c>
      <c r="C1622" s="22"/>
      <c r="D1622" s="22"/>
      <c r="E1622" s="22"/>
      <c r="F1622" s="22"/>
      <c r="G1622" s="22"/>
      <c r="H1622" s="22"/>
      <c r="I1622" s="22"/>
      <c r="J1622" s="22"/>
      <c r="K1622" s="22"/>
      <c r="L1622" s="22"/>
      <c r="M1622" s="22"/>
      <c r="N1622" s="22"/>
    </row>
    <row r="1623" spans="1:14" x14ac:dyDescent="0.3">
      <c r="A1623" s="22" t="s">
        <v>1754</v>
      </c>
      <c r="B1623" s="22">
        <v>647</v>
      </c>
      <c r="C1623" s="22"/>
      <c r="D1623" s="22"/>
      <c r="E1623" s="22"/>
      <c r="F1623" s="22"/>
      <c r="G1623" s="22"/>
      <c r="H1623" s="22"/>
      <c r="I1623" s="22"/>
      <c r="J1623" s="22"/>
      <c r="K1623" s="22"/>
      <c r="L1623" s="22"/>
      <c r="M1623" s="22"/>
      <c r="N1623" s="22"/>
    </row>
    <row r="1624" spans="1:14" x14ac:dyDescent="0.3">
      <c r="A1624" s="22" t="s">
        <v>5648</v>
      </c>
      <c r="B1624" s="22">
        <v>0</v>
      </c>
      <c r="C1624" s="22"/>
      <c r="D1624" s="22"/>
      <c r="E1624" s="22"/>
      <c r="F1624" s="22"/>
      <c r="G1624" s="22"/>
      <c r="H1624" s="22"/>
      <c r="I1624" s="22"/>
      <c r="J1624" s="22"/>
      <c r="K1624" s="22"/>
      <c r="L1624" s="22"/>
      <c r="M1624" s="22"/>
      <c r="N1624" s="22"/>
    </row>
    <row r="1625" spans="1:14" x14ac:dyDescent="0.3">
      <c r="A1625" s="22" t="s">
        <v>5649</v>
      </c>
      <c r="B1625" s="22">
        <v>0</v>
      </c>
      <c r="C1625" s="22"/>
      <c r="D1625" s="22"/>
      <c r="E1625" s="22"/>
      <c r="F1625" s="22"/>
      <c r="G1625" s="22"/>
      <c r="H1625" s="22"/>
      <c r="I1625" s="22"/>
      <c r="J1625" s="22"/>
      <c r="K1625" s="22"/>
      <c r="L1625" s="22"/>
      <c r="M1625" s="22"/>
      <c r="N1625" s="22"/>
    </row>
    <row r="1626" spans="1:14" x14ac:dyDescent="0.3">
      <c r="A1626" s="22" t="s">
        <v>5650</v>
      </c>
      <c r="B1626" s="22">
        <v>0</v>
      </c>
      <c r="C1626" s="22"/>
      <c r="D1626" s="22"/>
      <c r="E1626" s="22"/>
      <c r="F1626" s="22"/>
      <c r="G1626" s="22"/>
      <c r="H1626" s="22"/>
      <c r="I1626" s="22"/>
      <c r="J1626" s="22"/>
      <c r="K1626" s="22"/>
      <c r="L1626" s="22"/>
      <c r="M1626" s="22"/>
      <c r="N1626" s="22"/>
    </row>
    <row r="1627" spans="1:14" x14ac:dyDescent="0.3">
      <c r="A1627" s="22" t="s">
        <v>5651</v>
      </c>
      <c r="B1627" s="22">
        <v>0</v>
      </c>
      <c r="C1627" s="22"/>
      <c r="D1627" s="22"/>
      <c r="E1627" s="22"/>
      <c r="F1627" s="22"/>
      <c r="G1627" s="22"/>
      <c r="H1627" s="22"/>
      <c r="I1627" s="22"/>
      <c r="J1627" s="22"/>
      <c r="K1627" s="22"/>
      <c r="L1627" s="22"/>
      <c r="M1627" s="22"/>
      <c r="N1627" s="22"/>
    </row>
    <row r="1628" spans="1:14" x14ac:dyDescent="0.3">
      <c r="A1628" s="22" t="s">
        <v>5652</v>
      </c>
      <c r="B1628" s="22">
        <v>0</v>
      </c>
      <c r="C1628" s="22"/>
      <c r="D1628" s="22"/>
      <c r="E1628" s="22"/>
      <c r="F1628" s="22"/>
      <c r="G1628" s="22"/>
      <c r="H1628" s="22"/>
      <c r="I1628" s="22"/>
      <c r="J1628" s="22"/>
      <c r="K1628" s="22"/>
      <c r="L1628" s="22"/>
      <c r="M1628" s="22"/>
      <c r="N1628" s="22"/>
    </row>
    <row r="1629" spans="1:14" x14ac:dyDescent="0.3">
      <c r="A1629" s="22" t="s">
        <v>5653</v>
      </c>
      <c r="B1629" s="22">
        <v>0</v>
      </c>
      <c r="C1629" s="22"/>
      <c r="D1629" s="22"/>
      <c r="E1629" s="22"/>
      <c r="F1629" s="22"/>
      <c r="G1629" s="22"/>
      <c r="H1629" s="22"/>
      <c r="I1629" s="22"/>
      <c r="J1629" s="22"/>
      <c r="K1629" s="22"/>
      <c r="L1629" s="22"/>
      <c r="M1629" s="22"/>
      <c r="N1629" s="22"/>
    </row>
    <row r="1630" spans="1:14" x14ac:dyDescent="0.3">
      <c r="A1630" s="22" t="s">
        <v>5654</v>
      </c>
      <c r="B1630" s="22">
        <v>0</v>
      </c>
      <c r="C1630" s="22"/>
      <c r="D1630" s="22"/>
      <c r="E1630" s="22"/>
      <c r="F1630" s="22"/>
      <c r="G1630" s="22"/>
      <c r="H1630" s="22"/>
      <c r="I1630" s="22"/>
      <c r="J1630" s="22"/>
      <c r="K1630" s="22"/>
      <c r="L1630" s="22"/>
      <c r="M1630" s="22"/>
      <c r="N1630" s="22"/>
    </row>
    <row r="1631" spans="1:14" x14ac:dyDescent="0.3">
      <c r="A1631" s="22" t="s">
        <v>1793</v>
      </c>
      <c r="B1631" s="22">
        <v>0</v>
      </c>
      <c r="C1631" s="22"/>
      <c r="D1631" s="22"/>
      <c r="E1631" s="22"/>
      <c r="F1631" s="22"/>
      <c r="G1631" s="22"/>
      <c r="H1631" s="22"/>
      <c r="I1631" s="22"/>
      <c r="J1631" s="22"/>
      <c r="K1631" s="22"/>
      <c r="L1631" s="22"/>
      <c r="M1631" s="22"/>
      <c r="N1631" s="22"/>
    </row>
    <row r="1632" spans="1:14" x14ac:dyDescent="0.3">
      <c r="A1632" s="22" t="s">
        <v>3526</v>
      </c>
      <c r="B1632" s="22">
        <v>0</v>
      </c>
      <c r="C1632" s="22"/>
      <c r="D1632" s="22"/>
      <c r="E1632" s="22"/>
      <c r="F1632" s="22"/>
      <c r="G1632" s="22"/>
      <c r="H1632" s="22"/>
      <c r="I1632" s="22"/>
      <c r="J1632" s="22"/>
      <c r="K1632" s="22"/>
      <c r="L1632" s="22"/>
      <c r="M1632" s="22"/>
      <c r="N1632" s="22"/>
    </row>
    <row r="1633" spans="1:14" x14ac:dyDescent="0.3">
      <c r="A1633" s="22" t="s">
        <v>3527</v>
      </c>
      <c r="B1633" s="22">
        <v>0</v>
      </c>
      <c r="C1633" s="22"/>
      <c r="D1633" s="22"/>
      <c r="E1633" s="22"/>
      <c r="F1633" s="22"/>
      <c r="G1633" s="22"/>
      <c r="H1633" s="22"/>
      <c r="I1633" s="22"/>
      <c r="J1633" s="22"/>
      <c r="K1633" s="22"/>
      <c r="L1633" s="22"/>
      <c r="M1633" s="22"/>
      <c r="N1633" s="22"/>
    </row>
    <row r="1634" spans="1:14" x14ac:dyDescent="0.3">
      <c r="A1634" s="22" t="s">
        <v>3528</v>
      </c>
      <c r="B1634" s="22">
        <v>0</v>
      </c>
      <c r="C1634" s="22"/>
      <c r="D1634" s="22"/>
      <c r="E1634" s="22"/>
      <c r="F1634" s="22"/>
      <c r="G1634" s="22"/>
      <c r="H1634" s="22"/>
      <c r="I1634" s="22"/>
      <c r="J1634" s="22"/>
      <c r="K1634" s="22"/>
      <c r="L1634" s="22"/>
      <c r="M1634" s="22"/>
      <c r="N1634" s="22"/>
    </row>
    <row r="1635" spans="1:14" x14ac:dyDescent="0.3">
      <c r="A1635" s="22" t="s">
        <v>3529</v>
      </c>
      <c r="B1635" s="22">
        <v>0</v>
      </c>
      <c r="C1635" s="22"/>
      <c r="D1635" s="22"/>
      <c r="E1635" s="22"/>
      <c r="F1635" s="22"/>
      <c r="G1635" s="22"/>
      <c r="H1635" s="22"/>
      <c r="I1635" s="22"/>
      <c r="J1635" s="22"/>
      <c r="K1635" s="22"/>
      <c r="L1635" s="22"/>
      <c r="M1635" s="22"/>
      <c r="N1635" s="22"/>
    </row>
    <row r="1636" spans="1:14" x14ac:dyDescent="0.3">
      <c r="A1636" s="22" t="s">
        <v>3530</v>
      </c>
      <c r="B1636" s="22">
        <v>0</v>
      </c>
      <c r="C1636" s="22"/>
      <c r="D1636" s="22"/>
      <c r="E1636" s="22"/>
      <c r="F1636" s="22"/>
      <c r="G1636" s="22"/>
      <c r="H1636" s="22"/>
      <c r="I1636" s="22"/>
      <c r="J1636" s="22"/>
      <c r="K1636" s="22"/>
      <c r="L1636" s="22"/>
      <c r="M1636" s="22"/>
      <c r="N1636" s="22"/>
    </row>
    <row r="1637" spans="1:14" x14ac:dyDescent="0.3">
      <c r="A1637" s="22" t="s">
        <v>3531</v>
      </c>
      <c r="B1637" s="22">
        <v>0</v>
      </c>
      <c r="C1637" s="22"/>
      <c r="D1637" s="22"/>
      <c r="E1637" s="22"/>
      <c r="F1637" s="22"/>
      <c r="G1637" s="22"/>
      <c r="H1637" s="22"/>
      <c r="I1637" s="22"/>
      <c r="J1637" s="22"/>
      <c r="K1637" s="22"/>
      <c r="L1637" s="22"/>
      <c r="M1637" s="22"/>
      <c r="N1637" s="22"/>
    </row>
    <row r="1638" spans="1:14" x14ac:dyDescent="0.3">
      <c r="A1638" s="22" t="s">
        <v>3532</v>
      </c>
      <c r="B1638" s="22">
        <v>0</v>
      </c>
      <c r="C1638" s="22"/>
      <c r="D1638" s="22"/>
      <c r="E1638" s="22"/>
      <c r="F1638" s="22"/>
      <c r="G1638" s="22"/>
      <c r="H1638" s="22"/>
      <c r="I1638" s="22"/>
      <c r="J1638" s="22"/>
      <c r="K1638" s="22"/>
      <c r="L1638" s="22"/>
      <c r="M1638" s="22"/>
      <c r="N1638" s="22"/>
    </row>
    <row r="1639" spans="1:14" x14ac:dyDescent="0.3">
      <c r="A1639" s="22" t="s">
        <v>919</v>
      </c>
      <c r="B1639" s="22">
        <v>317</v>
      </c>
      <c r="C1639" s="22"/>
      <c r="D1639" s="22"/>
      <c r="E1639" s="22"/>
      <c r="F1639" s="22"/>
      <c r="G1639" s="22"/>
      <c r="H1639" s="22"/>
      <c r="I1639" s="22"/>
      <c r="J1639" s="22"/>
      <c r="K1639" s="22"/>
      <c r="L1639" s="22"/>
      <c r="M1639" s="22"/>
      <c r="N1639" s="22"/>
    </row>
    <row r="1640" spans="1:14" x14ac:dyDescent="0.3">
      <c r="A1640" s="22" t="s">
        <v>920</v>
      </c>
      <c r="B1640" s="22">
        <v>0</v>
      </c>
      <c r="C1640" s="22"/>
      <c r="D1640" s="22"/>
      <c r="E1640" s="22"/>
      <c r="F1640" s="22"/>
      <c r="G1640" s="22"/>
      <c r="H1640" s="22"/>
      <c r="I1640" s="22"/>
      <c r="J1640" s="22"/>
      <c r="K1640" s="22"/>
      <c r="L1640" s="22"/>
      <c r="M1640" s="22"/>
      <c r="N1640" s="22"/>
    </row>
    <row r="1641" spans="1:14" x14ac:dyDescent="0.3">
      <c r="A1641" s="22" t="s">
        <v>921</v>
      </c>
      <c r="B1641" s="22">
        <v>0</v>
      </c>
      <c r="C1641" s="22"/>
      <c r="D1641" s="22"/>
      <c r="E1641" s="22"/>
      <c r="F1641" s="22"/>
      <c r="G1641" s="22"/>
      <c r="H1641" s="22"/>
      <c r="I1641" s="22"/>
      <c r="J1641" s="22"/>
      <c r="K1641" s="22"/>
      <c r="L1641" s="22"/>
      <c r="M1641" s="22"/>
      <c r="N1641" s="22"/>
    </row>
    <row r="1642" spans="1:14" x14ac:dyDescent="0.3">
      <c r="A1642" s="22" t="s">
        <v>922</v>
      </c>
      <c r="B1642" s="22">
        <v>0</v>
      </c>
      <c r="C1642" s="22"/>
      <c r="D1642" s="22"/>
      <c r="E1642" s="22"/>
      <c r="F1642" s="22"/>
      <c r="G1642" s="22"/>
      <c r="H1642" s="22"/>
      <c r="I1642" s="22"/>
      <c r="J1642" s="22"/>
      <c r="K1642" s="22"/>
      <c r="L1642" s="22"/>
      <c r="M1642" s="22"/>
      <c r="N1642" s="22"/>
    </row>
    <row r="1643" spans="1:14" x14ac:dyDescent="0.3">
      <c r="A1643" s="22" t="s">
        <v>923</v>
      </c>
      <c r="B1643" s="22">
        <v>0</v>
      </c>
      <c r="C1643" s="22"/>
      <c r="D1643" s="22"/>
      <c r="E1643" s="22"/>
      <c r="F1643" s="22"/>
      <c r="G1643" s="22"/>
      <c r="H1643" s="22"/>
      <c r="I1643" s="22"/>
      <c r="J1643" s="22"/>
      <c r="K1643" s="22"/>
      <c r="L1643" s="22"/>
      <c r="M1643" s="22"/>
      <c r="N1643" s="22"/>
    </row>
    <row r="1644" spans="1:14" x14ac:dyDescent="0.3">
      <c r="A1644" s="22" t="s">
        <v>924</v>
      </c>
      <c r="B1644" s="22">
        <v>0</v>
      </c>
      <c r="C1644" s="22"/>
      <c r="D1644" s="22"/>
      <c r="E1644" s="22"/>
      <c r="F1644" s="22"/>
      <c r="G1644" s="22"/>
      <c r="H1644" s="22"/>
      <c r="I1644" s="22"/>
      <c r="J1644" s="22"/>
      <c r="K1644" s="22"/>
      <c r="L1644" s="22"/>
      <c r="M1644" s="22"/>
      <c r="N1644" s="22"/>
    </row>
    <row r="1645" spans="1:14" x14ac:dyDescent="0.3">
      <c r="A1645" s="22" t="s">
        <v>925</v>
      </c>
      <c r="B1645" s="22">
        <v>0</v>
      </c>
      <c r="C1645" s="22"/>
      <c r="D1645" s="22"/>
      <c r="E1645" s="22"/>
      <c r="F1645" s="22"/>
      <c r="G1645" s="22"/>
      <c r="H1645" s="22"/>
      <c r="I1645" s="22"/>
      <c r="J1645" s="22"/>
      <c r="K1645" s="22"/>
      <c r="L1645" s="22"/>
      <c r="M1645" s="22"/>
      <c r="N1645" s="22"/>
    </row>
    <row r="1646" spans="1:14" x14ac:dyDescent="0.3">
      <c r="A1646" s="22" t="s">
        <v>926</v>
      </c>
      <c r="B1646" s="22">
        <v>0</v>
      </c>
      <c r="C1646" s="22"/>
      <c r="D1646" s="22"/>
      <c r="E1646" s="22"/>
      <c r="F1646" s="22"/>
      <c r="G1646" s="22"/>
      <c r="H1646" s="22"/>
      <c r="I1646" s="22"/>
      <c r="J1646" s="22"/>
      <c r="K1646" s="22"/>
      <c r="L1646" s="22"/>
      <c r="M1646" s="22"/>
      <c r="N1646" s="22"/>
    </row>
    <row r="1647" spans="1:14" x14ac:dyDescent="0.3">
      <c r="A1647" s="22" t="s">
        <v>927</v>
      </c>
      <c r="B1647" s="22">
        <v>255</v>
      </c>
      <c r="C1647" s="22"/>
      <c r="D1647" s="22"/>
      <c r="E1647" s="22"/>
      <c r="F1647" s="22"/>
      <c r="G1647" s="22"/>
      <c r="H1647" s="22"/>
      <c r="I1647" s="22"/>
      <c r="J1647" s="22"/>
      <c r="K1647" s="22"/>
      <c r="L1647" s="22"/>
      <c r="M1647" s="22"/>
      <c r="N1647" s="22"/>
    </row>
    <row r="1648" spans="1:14" x14ac:dyDescent="0.3">
      <c r="A1648" s="22" t="s">
        <v>928</v>
      </c>
      <c r="B1648" s="22">
        <v>0</v>
      </c>
      <c r="C1648" s="22"/>
      <c r="D1648" s="22"/>
      <c r="E1648" s="22"/>
      <c r="F1648" s="22"/>
      <c r="G1648" s="22"/>
      <c r="H1648" s="22"/>
      <c r="I1648" s="22"/>
      <c r="J1648" s="22"/>
      <c r="K1648" s="22"/>
      <c r="L1648" s="22"/>
      <c r="M1648" s="22"/>
      <c r="N1648" s="22"/>
    </row>
    <row r="1649" spans="1:14" x14ac:dyDescent="0.3">
      <c r="A1649" s="22" t="s">
        <v>929</v>
      </c>
      <c r="B1649" s="22">
        <v>0</v>
      </c>
      <c r="C1649" s="22"/>
      <c r="D1649" s="22"/>
      <c r="E1649" s="22"/>
      <c r="F1649" s="22"/>
      <c r="G1649" s="22"/>
      <c r="H1649" s="22"/>
      <c r="I1649" s="22"/>
      <c r="J1649" s="22"/>
      <c r="K1649" s="22"/>
      <c r="L1649" s="22"/>
      <c r="M1649" s="22"/>
      <c r="N1649" s="22"/>
    </row>
    <row r="1650" spans="1:14" x14ac:dyDescent="0.3">
      <c r="A1650" s="22" t="s">
        <v>930</v>
      </c>
      <c r="B1650" s="22">
        <v>0</v>
      </c>
      <c r="C1650" s="22"/>
      <c r="D1650" s="22"/>
      <c r="E1650" s="22"/>
      <c r="F1650" s="22"/>
      <c r="G1650" s="22"/>
      <c r="H1650" s="22"/>
      <c r="I1650" s="22"/>
      <c r="J1650" s="22"/>
      <c r="K1650" s="22"/>
      <c r="L1650" s="22"/>
      <c r="M1650" s="22"/>
      <c r="N1650" s="22"/>
    </row>
    <row r="1651" spans="1:14" x14ac:dyDescent="0.3">
      <c r="A1651" s="22" t="s">
        <v>931</v>
      </c>
      <c r="B1651" s="22">
        <v>0</v>
      </c>
      <c r="C1651" s="22"/>
      <c r="D1651" s="22"/>
      <c r="E1651" s="22"/>
      <c r="F1651" s="22"/>
      <c r="G1651" s="22"/>
      <c r="H1651" s="22"/>
      <c r="I1651" s="22"/>
      <c r="J1651" s="22"/>
      <c r="K1651" s="22"/>
      <c r="L1651" s="22"/>
      <c r="M1651" s="22"/>
      <c r="N1651" s="22"/>
    </row>
    <row r="1652" spans="1:14" x14ac:dyDescent="0.3">
      <c r="A1652" s="22" t="s">
        <v>932</v>
      </c>
      <c r="B1652" s="22">
        <v>0</v>
      </c>
      <c r="C1652" s="22"/>
      <c r="D1652" s="22"/>
      <c r="E1652" s="22"/>
      <c r="F1652" s="22"/>
      <c r="G1652" s="22"/>
      <c r="H1652" s="22"/>
      <c r="I1652" s="22"/>
      <c r="J1652" s="22"/>
      <c r="K1652" s="22"/>
      <c r="L1652" s="22"/>
      <c r="M1652" s="22"/>
      <c r="N1652" s="22"/>
    </row>
    <row r="1653" spans="1:14" x14ac:dyDescent="0.3">
      <c r="A1653" s="22" t="s">
        <v>933</v>
      </c>
      <c r="B1653" s="22">
        <v>0</v>
      </c>
      <c r="C1653" s="22"/>
      <c r="D1653" s="22"/>
      <c r="E1653" s="22"/>
      <c r="F1653" s="22"/>
      <c r="G1653" s="22"/>
      <c r="H1653" s="22"/>
      <c r="I1653" s="22"/>
      <c r="J1653" s="22"/>
      <c r="K1653" s="22"/>
      <c r="L1653" s="22"/>
      <c r="M1653" s="22"/>
      <c r="N1653" s="22"/>
    </row>
    <row r="1654" spans="1:14" x14ac:dyDescent="0.3">
      <c r="A1654" s="22" t="s">
        <v>934</v>
      </c>
      <c r="B1654" s="22">
        <v>0</v>
      </c>
      <c r="C1654" s="22"/>
      <c r="D1654" s="22"/>
      <c r="E1654" s="22"/>
      <c r="F1654" s="22"/>
      <c r="G1654" s="22"/>
      <c r="H1654" s="22"/>
      <c r="I1654" s="22"/>
      <c r="J1654" s="22"/>
      <c r="K1654" s="22"/>
      <c r="L1654" s="22"/>
      <c r="M1654" s="22"/>
      <c r="N1654" s="22"/>
    </row>
    <row r="1655" spans="1:14" x14ac:dyDescent="0.3">
      <c r="A1655" s="22" t="s">
        <v>935</v>
      </c>
      <c r="B1655" s="22">
        <v>45</v>
      </c>
      <c r="C1655" s="22"/>
      <c r="D1655" s="22"/>
      <c r="E1655" s="22"/>
      <c r="F1655" s="22"/>
      <c r="G1655" s="22"/>
      <c r="H1655" s="22"/>
      <c r="I1655" s="22"/>
      <c r="J1655" s="22"/>
      <c r="K1655" s="22"/>
      <c r="L1655" s="22"/>
      <c r="M1655" s="22"/>
      <c r="N1655" s="22"/>
    </row>
    <row r="1656" spans="1:14" x14ac:dyDescent="0.3">
      <c r="A1656" s="22" t="s">
        <v>936</v>
      </c>
      <c r="B1656" s="22">
        <v>0</v>
      </c>
      <c r="C1656" s="22"/>
      <c r="D1656" s="22"/>
      <c r="E1656" s="22"/>
      <c r="F1656" s="22"/>
      <c r="G1656" s="22"/>
      <c r="H1656" s="22"/>
      <c r="I1656" s="22"/>
      <c r="J1656" s="22"/>
      <c r="K1656" s="22"/>
      <c r="L1656" s="22"/>
      <c r="M1656" s="22"/>
      <c r="N1656" s="22"/>
    </row>
    <row r="1657" spans="1:14" x14ac:dyDescent="0.3">
      <c r="A1657" s="22" t="s">
        <v>937</v>
      </c>
      <c r="B1657" s="22">
        <v>0</v>
      </c>
      <c r="C1657" s="22"/>
      <c r="D1657" s="22"/>
      <c r="E1657" s="22"/>
      <c r="F1657" s="22"/>
      <c r="G1657" s="22"/>
      <c r="H1657" s="22"/>
      <c r="I1657" s="22"/>
      <c r="J1657" s="22"/>
      <c r="K1657" s="22"/>
      <c r="L1657" s="22"/>
      <c r="M1657" s="22"/>
      <c r="N1657" s="22"/>
    </row>
    <row r="1658" spans="1:14" x14ac:dyDescent="0.3">
      <c r="A1658" s="22" t="s">
        <v>938</v>
      </c>
      <c r="B1658" s="22">
        <v>0</v>
      </c>
      <c r="C1658" s="22"/>
      <c r="D1658" s="22"/>
      <c r="E1658" s="22"/>
      <c r="F1658" s="22"/>
      <c r="G1658" s="22"/>
      <c r="H1658" s="22"/>
      <c r="I1658" s="22"/>
      <c r="J1658" s="22"/>
      <c r="K1658" s="22"/>
      <c r="L1658" s="22"/>
      <c r="M1658" s="22"/>
      <c r="N1658" s="22"/>
    </row>
    <row r="1659" spans="1:14" x14ac:dyDescent="0.3">
      <c r="A1659" s="22" t="s">
        <v>939</v>
      </c>
      <c r="B1659" s="22">
        <v>0</v>
      </c>
      <c r="C1659" s="22"/>
      <c r="D1659" s="22"/>
      <c r="E1659" s="22"/>
      <c r="F1659" s="22"/>
      <c r="G1659" s="22"/>
      <c r="H1659" s="22"/>
      <c r="I1659" s="22"/>
      <c r="J1659" s="22"/>
      <c r="K1659" s="22"/>
      <c r="L1659" s="22"/>
      <c r="M1659" s="22"/>
      <c r="N1659" s="22"/>
    </row>
    <row r="1660" spans="1:14" x14ac:dyDescent="0.3">
      <c r="A1660" s="22" t="s">
        <v>940</v>
      </c>
      <c r="B1660" s="22">
        <v>0</v>
      </c>
      <c r="C1660" s="22"/>
      <c r="D1660" s="22"/>
      <c r="E1660" s="22"/>
      <c r="F1660" s="22"/>
      <c r="G1660" s="22"/>
      <c r="H1660" s="22"/>
      <c r="I1660" s="22"/>
      <c r="J1660" s="22"/>
      <c r="K1660" s="22"/>
      <c r="L1660" s="22"/>
      <c r="M1660" s="22"/>
      <c r="N1660" s="22"/>
    </row>
    <row r="1661" spans="1:14" x14ac:dyDescent="0.3">
      <c r="A1661" s="22" t="s">
        <v>941</v>
      </c>
      <c r="B1661" s="22">
        <v>0</v>
      </c>
      <c r="C1661" s="22"/>
      <c r="D1661" s="22"/>
      <c r="E1661" s="22"/>
      <c r="F1661" s="22"/>
      <c r="G1661" s="22"/>
      <c r="H1661" s="22"/>
      <c r="I1661" s="22"/>
      <c r="J1661" s="22"/>
      <c r="K1661" s="22"/>
      <c r="L1661" s="22"/>
      <c r="M1661" s="22"/>
      <c r="N1661" s="22"/>
    </row>
    <row r="1662" spans="1:14" x14ac:dyDescent="0.3">
      <c r="A1662" s="22" t="s">
        <v>942</v>
      </c>
      <c r="B1662" s="22">
        <v>0</v>
      </c>
      <c r="C1662" s="22"/>
      <c r="D1662" s="22"/>
      <c r="E1662" s="22"/>
      <c r="F1662" s="22"/>
      <c r="G1662" s="22"/>
      <c r="H1662" s="22"/>
      <c r="I1662" s="22"/>
      <c r="J1662" s="22"/>
      <c r="K1662" s="22"/>
      <c r="L1662" s="22"/>
      <c r="M1662" s="22"/>
      <c r="N1662" s="22"/>
    </row>
    <row r="1663" spans="1:14" x14ac:dyDescent="0.3">
      <c r="A1663" s="22" t="s">
        <v>943</v>
      </c>
      <c r="B1663" s="22">
        <v>30</v>
      </c>
      <c r="C1663" s="22"/>
      <c r="D1663" s="22"/>
      <c r="E1663" s="22"/>
      <c r="F1663" s="22"/>
      <c r="G1663" s="22"/>
      <c r="H1663" s="22"/>
      <c r="I1663" s="22"/>
      <c r="J1663" s="22"/>
      <c r="K1663" s="22"/>
      <c r="L1663" s="22"/>
      <c r="M1663" s="22"/>
      <c r="N1663" s="22"/>
    </row>
    <row r="1664" spans="1:14" x14ac:dyDescent="0.3">
      <c r="A1664" s="22" t="s">
        <v>944</v>
      </c>
      <c r="B1664" s="22">
        <v>0</v>
      </c>
      <c r="C1664" s="22"/>
      <c r="D1664" s="22"/>
      <c r="E1664" s="22"/>
      <c r="F1664" s="22"/>
      <c r="G1664" s="22"/>
      <c r="H1664" s="22"/>
      <c r="I1664" s="22"/>
      <c r="J1664" s="22"/>
      <c r="K1664" s="22"/>
      <c r="L1664" s="22"/>
      <c r="M1664" s="22"/>
      <c r="N1664" s="22"/>
    </row>
    <row r="1665" spans="1:14" x14ac:dyDescent="0.3">
      <c r="A1665" s="22" t="s">
        <v>945</v>
      </c>
      <c r="B1665" s="22">
        <v>0</v>
      </c>
      <c r="C1665" s="22"/>
      <c r="D1665" s="22"/>
      <c r="E1665" s="22"/>
      <c r="F1665" s="22"/>
      <c r="G1665" s="22"/>
      <c r="H1665" s="22"/>
      <c r="I1665" s="22"/>
      <c r="J1665" s="22"/>
      <c r="K1665" s="22"/>
      <c r="L1665" s="22"/>
      <c r="M1665" s="22"/>
      <c r="N1665" s="22"/>
    </row>
    <row r="1666" spans="1:14" x14ac:dyDescent="0.3">
      <c r="A1666" s="22" t="s">
        <v>946</v>
      </c>
      <c r="B1666" s="22">
        <v>0</v>
      </c>
      <c r="C1666" s="22"/>
      <c r="D1666" s="22"/>
      <c r="E1666" s="22"/>
      <c r="F1666" s="22"/>
      <c r="G1666" s="22"/>
      <c r="H1666" s="22"/>
      <c r="I1666" s="22"/>
      <c r="J1666" s="22"/>
      <c r="K1666" s="22"/>
      <c r="L1666" s="22"/>
      <c r="M1666" s="22"/>
      <c r="N1666" s="22"/>
    </row>
    <row r="1667" spans="1:14" x14ac:dyDescent="0.3">
      <c r="A1667" s="22" t="s">
        <v>947</v>
      </c>
      <c r="B1667" s="22">
        <v>0</v>
      </c>
      <c r="C1667" s="22"/>
      <c r="D1667" s="22"/>
      <c r="E1667" s="22"/>
      <c r="F1667" s="22"/>
      <c r="G1667" s="22"/>
      <c r="H1667" s="22"/>
      <c r="I1667" s="22"/>
      <c r="J1667" s="22"/>
      <c r="K1667" s="22"/>
      <c r="L1667" s="22"/>
      <c r="M1667" s="22"/>
      <c r="N1667" s="22"/>
    </row>
    <row r="1668" spans="1:14" x14ac:dyDescent="0.3">
      <c r="A1668" s="22" t="s">
        <v>948</v>
      </c>
      <c r="B1668" s="22">
        <v>0</v>
      </c>
      <c r="C1668" s="22"/>
      <c r="D1668" s="22"/>
      <c r="E1668" s="22"/>
      <c r="F1668" s="22"/>
      <c r="G1668" s="22"/>
      <c r="H1668" s="22"/>
      <c r="I1668" s="22"/>
      <c r="J1668" s="22"/>
      <c r="K1668" s="22"/>
      <c r="L1668" s="22"/>
      <c r="M1668" s="22"/>
      <c r="N1668" s="22"/>
    </row>
    <row r="1669" spans="1:14" x14ac:dyDescent="0.3">
      <c r="A1669" s="22" t="s">
        <v>949</v>
      </c>
      <c r="B1669" s="22">
        <v>0</v>
      </c>
      <c r="C1669" s="22"/>
      <c r="D1669" s="22"/>
      <c r="E1669" s="22"/>
      <c r="F1669" s="22"/>
      <c r="G1669" s="22"/>
      <c r="H1669" s="22"/>
      <c r="I1669" s="22"/>
      <c r="J1669" s="22"/>
      <c r="K1669" s="22"/>
      <c r="L1669" s="22"/>
      <c r="M1669" s="22"/>
      <c r="N1669" s="22"/>
    </row>
    <row r="1670" spans="1:14" x14ac:dyDescent="0.3">
      <c r="A1670" s="22" t="s">
        <v>950</v>
      </c>
      <c r="B1670" s="22">
        <v>0</v>
      </c>
      <c r="C1670" s="22"/>
      <c r="D1670" s="22"/>
      <c r="E1670" s="22"/>
      <c r="F1670" s="22"/>
      <c r="G1670" s="22"/>
      <c r="H1670" s="22"/>
      <c r="I1670" s="22"/>
      <c r="J1670" s="22"/>
      <c r="K1670" s="22"/>
      <c r="L1670" s="22"/>
      <c r="M1670" s="22"/>
      <c r="N1670" s="22"/>
    </row>
    <row r="1671" spans="1:14" x14ac:dyDescent="0.3">
      <c r="A1671" s="22" t="s">
        <v>951</v>
      </c>
      <c r="B1671" s="22">
        <v>0</v>
      </c>
      <c r="C1671" s="22"/>
      <c r="D1671" s="22"/>
      <c r="E1671" s="22"/>
      <c r="F1671" s="22"/>
      <c r="G1671" s="22"/>
      <c r="H1671" s="22"/>
      <c r="I1671" s="22"/>
      <c r="J1671" s="22"/>
      <c r="K1671" s="22"/>
      <c r="L1671" s="22"/>
      <c r="M1671" s="22"/>
      <c r="N1671" s="22"/>
    </row>
    <row r="1672" spans="1:14" x14ac:dyDescent="0.3">
      <c r="A1672" s="22" t="s">
        <v>952</v>
      </c>
      <c r="B1672" s="22">
        <v>0</v>
      </c>
      <c r="C1672" s="22"/>
      <c r="D1672" s="22"/>
      <c r="E1672" s="22"/>
      <c r="F1672" s="22"/>
      <c r="G1672" s="22"/>
      <c r="H1672" s="22"/>
      <c r="I1672" s="22"/>
      <c r="J1672" s="22"/>
      <c r="K1672" s="22"/>
      <c r="L1672" s="22"/>
      <c r="M1672" s="22"/>
      <c r="N1672" s="22"/>
    </row>
    <row r="1673" spans="1:14" x14ac:dyDescent="0.3">
      <c r="A1673" s="22" t="s">
        <v>953</v>
      </c>
      <c r="B1673" s="22">
        <v>0</v>
      </c>
      <c r="C1673" s="22"/>
      <c r="D1673" s="22"/>
      <c r="E1673" s="22"/>
      <c r="F1673" s="22"/>
      <c r="G1673" s="22"/>
      <c r="H1673" s="22"/>
      <c r="I1673" s="22"/>
      <c r="J1673" s="22"/>
      <c r="K1673" s="22"/>
      <c r="L1673" s="22"/>
      <c r="M1673" s="22"/>
      <c r="N1673" s="22"/>
    </row>
    <row r="1674" spans="1:14" x14ac:dyDescent="0.3">
      <c r="A1674" s="22" t="s">
        <v>954</v>
      </c>
      <c r="B1674" s="22">
        <v>0</v>
      </c>
      <c r="C1674" s="22"/>
      <c r="D1674" s="22"/>
      <c r="E1674" s="22"/>
      <c r="F1674" s="22"/>
      <c r="G1674" s="22"/>
      <c r="H1674" s="22"/>
      <c r="I1674" s="22"/>
      <c r="J1674" s="22"/>
      <c r="K1674" s="22"/>
      <c r="L1674" s="22"/>
      <c r="M1674" s="22"/>
      <c r="N1674" s="22"/>
    </row>
    <row r="1675" spans="1:14" x14ac:dyDescent="0.3">
      <c r="A1675" s="22" t="s">
        <v>955</v>
      </c>
      <c r="B1675" s="22">
        <v>0</v>
      </c>
      <c r="C1675" s="22"/>
      <c r="D1675" s="22"/>
      <c r="E1675" s="22"/>
      <c r="F1675" s="22"/>
      <c r="G1675" s="22"/>
      <c r="H1675" s="22"/>
      <c r="I1675" s="22"/>
      <c r="J1675" s="22"/>
      <c r="K1675" s="22"/>
      <c r="L1675" s="22"/>
      <c r="M1675" s="22"/>
      <c r="N1675" s="22"/>
    </row>
    <row r="1676" spans="1:14" x14ac:dyDescent="0.3">
      <c r="A1676" s="22" t="s">
        <v>956</v>
      </c>
      <c r="B1676" s="22">
        <v>0</v>
      </c>
      <c r="C1676" s="22"/>
      <c r="D1676" s="22"/>
      <c r="E1676" s="22"/>
      <c r="F1676" s="22"/>
      <c r="G1676" s="22"/>
      <c r="H1676" s="22"/>
      <c r="I1676" s="22"/>
      <c r="J1676" s="22"/>
      <c r="K1676" s="22"/>
      <c r="L1676" s="22"/>
      <c r="M1676" s="22"/>
      <c r="N1676" s="22"/>
    </row>
    <row r="1677" spans="1:14" x14ac:dyDescent="0.3">
      <c r="A1677" s="22" t="s">
        <v>957</v>
      </c>
      <c r="B1677" s="22">
        <v>0</v>
      </c>
      <c r="C1677" s="22"/>
      <c r="D1677" s="22"/>
      <c r="E1677" s="22"/>
      <c r="F1677" s="22"/>
      <c r="G1677" s="22"/>
      <c r="H1677" s="22"/>
      <c r="I1677" s="22"/>
      <c r="J1677" s="22"/>
      <c r="K1677" s="22"/>
      <c r="L1677" s="22"/>
      <c r="M1677" s="22"/>
      <c r="N1677" s="22"/>
    </row>
    <row r="1678" spans="1:14" x14ac:dyDescent="0.3">
      <c r="A1678" s="22" t="s">
        <v>958</v>
      </c>
      <c r="B1678" s="22">
        <v>0</v>
      </c>
      <c r="C1678" s="22"/>
      <c r="D1678" s="22"/>
      <c r="E1678" s="22"/>
      <c r="F1678" s="22"/>
      <c r="G1678" s="22"/>
      <c r="H1678" s="22"/>
      <c r="I1678" s="22"/>
      <c r="J1678" s="22"/>
      <c r="K1678" s="22"/>
      <c r="L1678" s="22"/>
      <c r="M1678" s="22"/>
      <c r="N1678" s="22"/>
    </row>
    <row r="1679" spans="1:14" x14ac:dyDescent="0.3">
      <c r="A1679" s="22" t="s">
        <v>959</v>
      </c>
      <c r="B1679" s="22">
        <v>18</v>
      </c>
      <c r="C1679" s="22"/>
      <c r="D1679" s="22"/>
      <c r="E1679" s="22"/>
      <c r="F1679" s="22"/>
      <c r="G1679" s="22"/>
      <c r="H1679" s="22"/>
      <c r="I1679" s="22"/>
      <c r="J1679" s="22"/>
      <c r="K1679" s="22"/>
      <c r="L1679" s="22"/>
      <c r="M1679" s="22"/>
      <c r="N1679" s="22"/>
    </row>
    <row r="1680" spans="1:14" x14ac:dyDescent="0.3">
      <c r="A1680" s="22" t="s">
        <v>960</v>
      </c>
      <c r="B1680" s="22">
        <v>0</v>
      </c>
      <c r="C1680" s="22"/>
      <c r="D1680" s="22"/>
      <c r="E1680" s="22"/>
      <c r="F1680" s="22"/>
      <c r="G1680" s="22"/>
      <c r="H1680" s="22"/>
      <c r="I1680" s="22"/>
      <c r="J1680" s="22"/>
      <c r="K1680" s="22"/>
      <c r="L1680" s="22"/>
      <c r="M1680" s="22"/>
      <c r="N1680" s="22"/>
    </row>
    <row r="1681" spans="1:14" x14ac:dyDescent="0.3">
      <c r="A1681" s="22" t="s">
        <v>961</v>
      </c>
      <c r="B1681" s="22">
        <v>0</v>
      </c>
      <c r="C1681" s="22"/>
      <c r="D1681" s="22"/>
      <c r="E1681" s="22"/>
      <c r="F1681" s="22"/>
      <c r="G1681" s="22"/>
      <c r="H1681" s="22"/>
      <c r="I1681" s="22"/>
      <c r="J1681" s="22"/>
      <c r="K1681" s="22"/>
      <c r="L1681" s="22"/>
      <c r="M1681" s="22"/>
      <c r="N1681" s="22"/>
    </row>
    <row r="1682" spans="1:14" x14ac:dyDescent="0.3">
      <c r="A1682" s="22" t="s">
        <v>962</v>
      </c>
      <c r="B1682" s="22">
        <v>0</v>
      </c>
      <c r="C1682" s="22"/>
      <c r="D1682" s="22"/>
      <c r="E1682" s="22"/>
      <c r="F1682" s="22"/>
      <c r="G1682" s="22"/>
      <c r="H1682" s="22"/>
      <c r="I1682" s="22"/>
      <c r="J1682" s="22"/>
      <c r="K1682" s="22"/>
      <c r="L1682" s="22"/>
      <c r="M1682" s="22"/>
      <c r="N1682" s="22"/>
    </row>
    <row r="1683" spans="1:14" x14ac:dyDescent="0.3">
      <c r="A1683" s="22" t="s">
        <v>963</v>
      </c>
      <c r="B1683" s="22">
        <v>0</v>
      </c>
      <c r="C1683" s="22"/>
      <c r="D1683" s="22"/>
      <c r="E1683" s="22"/>
      <c r="F1683" s="22"/>
      <c r="G1683" s="22"/>
      <c r="H1683" s="22"/>
      <c r="I1683" s="22"/>
      <c r="J1683" s="22"/>
      <c r="K1683" s="22"/>
      <c r="L1683" s="22"/>
      <c r="M1683" s="22"/>
      <c r="N1683" s="22"/>
    </row>
    <row r="1684" spans="1:14" x14ac:dyDescent="0.3">
      <c r="A1684" s="22" t="s">
        <v>964</v>
      </c>
      <c r="B1684" s="22">
        <v>0</v>
      </c>
      <c r="C1684" s="22"/>
      <c r="D1684" s="22"/>
      <c r="E1684" s="22"/>
      <c r="F1684" s="22"/>
      <c r="G1684" s="22"/>
      <c r="H1684" s="22"/>
      <c r="I1684" s="22"/>
      <c r="J1684" s="22"/>
      <c r="K1684" s="22"/>
      <c r="L1684" s="22"/>
      <c r="M1684" s="22"/>
      <c r="N1684" s="22"/>
    </row>
    <row r="1685" spans="1:14" x14ac:dyDescent="0.3">
      <c r="A1685" s="22" t="s">
        <v>965</v>
      </c>
      <c r="B1685" s="22">
        <v>0</v>
      </c>
      <c r="C1685" s="22"/>
      <c r="D1685" s="22"/>
      <c r="E1685" s="22"/>
      <c r="F1685" s="22"/>
      <c r="G1685" s="22"/>
      <c r="H1685" s="22"/>
      <c r="I1685" s="22"/>
      <c r="J1685" s="22"/>
      <c r="K1685" s="22"/>
      <c r="L1685" s="22"/>
      <c r="M1685" s="22"/>
      <c r="N1685" s="22"/>
    </row>
    <row r="1686" spans="1:14" x14ac:dyDescent="0.3">
      <c r="A1686" s="22" t="s">
        <v>966</v>
      </c>
      <c r="B1686" s="22">
        <v>0</v>
      </c>
      <c r="C1686" s="22"/>
      <c r="D1686" s="22"/>
      <c r="E1686" s="22"/>
      <c r="F1686" s="22"/>
      <c r="G1686" s="22"/>
      <c r="H1686" s="22"/>
      <c r="I1686" s="22"/>
      <c r="J1686" s="22"/>
      <c r="K1686" s="22"/>
      <c r="L1686" s="22"/>
      <c r="M1686" s="22"/>
      <c r="N1686" s="22"/>
    </row>
    <row r="1687" spans="1:14" x14ac:dyDescent="0.3">
      <c r="A1687" s="22" t="s">
        <v>968</v>
      </c>
      <c r="B1687" s="22">
        <v>10</v>
      </c>
      <c r="C1687" s="22"/>
      <c r="D1687" s="22"/>
      <c r="E1687" s="22"/>
      <c r="F1687" s="22"/>
      <c r="G1687" s="22"/>
      <c r="H1687" s="22"/>
      <c r="I1687" s="22"/>
      <c r="J1687" s="22"/>
      <c r="K1687" s="22"/>
      <c r="L1687" s="22"/>
      <c r="M1687" s="22"/>
      <c r="N1687" s="22"/>
    </row>
    <row r="1688" spans="1:14" x14ac:dyDescent="0.3">
      <c r="A1688" s="22" t="s">
        <v>969</v>
      </c>
      <c r="B1688" s="22">
        <v>0</v>
      </c>
      <c r="C1688" s="22"/>
      <c r="D1688" s="22"/>
      <c r="E1688" s="22"/>
      <c r="F1688" s="22"/>
      <c r="G1688" s="22"/>
      <c r="H1688" s="22"/>
      <c r="I1688" s="22"/>
      <c r="J1688" s="22"/>
      <c r="K1688" s="22"/>
      <c r="L1688" s="22"/>
      <c r="M1688" s="22"/>
      <c r="N1688" s="22"/>
    </row>
    <row r="1689" spans="1:14" x14ac:dyDescent="0.3">
      <c r="A1689" s="22" t="s">
        <v>970</v>
      </c>
      <c r="B1689" s="22">
        <v>0</v>
      </c>
      <c r="C1689" s="22"/>
      <c r="D1689" s="22"/>
      <c r="E1689" s="22"/>
      <c r="F1689" s="22"/>
      <c r="G1689" s="22"/>
      <c r="H1689" s="22"/>
      <c r="I1689" s="22"/>
      <c r="J1689" s="22"/>
      <c r="K1689" s="22"/>
      <c r="L1689" s="22"/>
      <c r="M1689" s="22"/>
      <c r="N1689" s="22"/>
    </row>
    <row r="1690" spans="1:14" x14ac:dyDescent="0.3">
      <c r="A1690" s="22" t="s">
        <v>971</v>
      </c>
      <c r="B1690" s="22">
        <v>0</v>
      </c>
      <c r="C1690" s="22"/>
      <c r="D1690" s="22"/>
      <c r="E1690" s="22"/>
      <c r="F1690" s="22"/>
      <c r="G1690" s="22"/>
      <c r="H1690" s="22"/>
      <c r="I1690" s="22"/>
      <c r="J1690" s="22"/>
      <c r="K1690" s="22"/>
      <c r="L1690" s="22"/>
      <c r="M1690" s="22"/>
      <c r="N1690" s="22"/>
    </row>
    <row r="1691" spans="1:14" x14ac:dyDescent="0.3">
      <c r="A1691" s="22" t="s">
        <v>972</v>
      </c>
      <c r="B1691" s="22">
        <v>0</v>
      </c>
      <c r="C1691" s="22"/>
      <c r="D1691" s="22"/>
      <c r="E1691" s="22"/>
      <c r="F1691" s="22"/>
      <c r="G1691" s="22"/>
      <c r="H1691" s="22"/>
      <c r="I1691" s="22"/>
      <c r="J1691" s="22"/>
      <c r="K1691" s="22"/>
      <c r="L1691" s="22"/>
      <c r="M1691" s="22"/>
      <c r="N1691" s="22"/>
    </row>
    <row r="1692" spans="1:14" x14ac:dyDescent="0.3">
      <c r="A1692" s="22" t="s">
        <v>973</v>
      </c>
      <c r="B1692" s="22">
        <v>0</v>
      </c>
      <c r="C1692" s="22"/>
      <c r="D1692" s="22"/>
      <c r="E1692" s="22"/>
      <c r="F1692" s="22"/>
      <c r="G1692" s="22"/>
      <c r="H1692" s="22"/>
      <c r="I1692" s="22"/>
      <c r="J1692" s="22"/>
      <c r="K1692" s="22"/>
      <c r="L1692" s="22"/>
      <c r="M1692" s="22"/>
      <c r="N1692" s="22"/>
    </row>
    <row r="1693" spans="1:14" x14ac:dyDescent="0.3">
      <c r="A1693" s="22" t="s">
        <v>974</v>
      </c>
      <c r="B1693" s="22">
        <v>0</v>
      </c>
      <c r="C1693" s="22"/>
      <c r="D1693" s="22"/>
      <c r="E1693" s="22"/>
      <c r="F1693" s="22"/>
      <c r="G1693" s="22"/>
      <c r="H1693" s="22"/>
      <c r="I1693" s="22"/>
      <c r="J1693" s="22"/>
      <c r="K1693" s="22"/>
      <c r="L1693" s="22"/>
      <c r="M1693" s="22"/>
      <c r="N1693" s="22"/>
    </row>
    <row r="1694" spans="1:14" x14ac:dyDescent="0.3">
      <c r="A1694" s="22" t="s">
        <v>975</v>
      </c>
      <c r="B1694" s="22">
        <v>0</v>
      </c>
      <c r="C1694" s="22"/>
      <c r="D1694" s="22"/>
      <c r="E1694" s="22"/>
      <c r="F1694" s="22"/>
      <c r="G1694" s="22"/>
      <c r="H1694" s="22"/>
      <c r="I1694" s="22"/>
      <c r="J1694" s="22"/>
      <c r="K1694" s="22"/>
      <c r="L1694" s="22"/>
      <c r="M1694" s="22"/>
      <c r="N1694" s="22"/>
    </row>
    <row r="1695" spans="1:14" x14ac:dyDescent="0.3">
      <c r="A1695" s="22" t="s">
        <v>976</v>
      </c>
      <c r="B1695" s="22">
        <v>10</v>
      </c>
      <c r="C1695" s="22"/>
      <c r="D1695" s="22"/>
      <c r="E1695" s="22"/>
      <c r="F1695" s="22"/>
      <c r="G1695" s="22"/>
      <c r="H1695" s="22"/>
      <c r="I1695" s="22"/>
      <c r="J1695" s="22"/>
      <c r="K1695" s="22"/>
      <c r="L1695" s="22"/>
      <c r="M1695" s="22"/>
      <c r="N1695" s="22"/>
    </row>
    <row r="1696" spans="1:14" x14ac:dyDescent="0.3">
      <c r="A1696" s="22" t="s">
        <v>977</v>
      </c>
      <c r="B1696" s="22">
        <v>0</v>
      </c>
      <c r="C1696" s="22"/>
      <c r="D1696" s="22"/>
      <c r="E1696" s="22"/>
      <c r="F1696" s="22"/>
      <c r="G1696" s="22"/>
      <c r="H1696" s="22"/>
      <c r="I1696" s="22"/>
      <c r="J1696" s="22"/>
      <c r="K1696" s="22"/>
      <c r="L1696" s="22"/>
      <c r="M1696" s="22"/>
      <c r="N1696" s="22"/>
    </row>
    <row r="1697" spans="1:14" x14ac:dyDescent="0.3">
      <c r="A1697" s="22" t="s">
        <v>978</v>
      </c>
      <c r="B1697" s="22">
        <v>0</v>
      </c>
      <c r="C1697" s="22"/>
      <c r="D1697" s="22"/>
      <c r="E1697" s="22"/>
      <c r="F1697" s="22"/>
      <c r="G1697" s="22"/>
      <c r="H1697" s="22"/>
      <c r="I1697" s="22"/>
      <c r="J1697" s="22"/>
      <c r="K1697" s="22"/>
      <c r="L1697" s="22"/>
      <c r="M1697" s="22"/>
      <c r="N1697" s="22"/>
    </row>
    <row r="1698" spans="1:14" x14ac:dyDescent="0.3">
      <c r="A1698" s="22" t="s">
        <v>979</v>
      </c>
      <c r="B1698" s="22">
        <v>0</v>
      </c>
      <c r="C1698" s="22"/>
      <c r="D1698" s="22"/>
      <c r="E1698" s="22"/>
      <c r="F1698" s="22"/>
      <c r="G1698" s="22"/>
      <c r="H1698" s="22"/>
      <c r="I1698" s="22"/>
      <c r="J1698" s="22"/>
      <c r="K1698" s="22"/>
      <c r="L1698" s="22"/>
      <c r="M1698" s="22"/>
      <c r="N1698" s="22"/>
    </row>
    <row r="1699" spans="1:14" x14ac:dyDescent="0.3">
      <c r="A1699" s="22" t="s">
        <v>980</v>
      </c>
      <c r="B1699" s="22">
        <v>0</v>
      </c>
      <c r="C1699" s="22"/>
      <c r="D1699" s="22"/>
      <c r="E1699" s="22"/>
      <c r="F1699" s="22"/>
      <c r="G1699" s="22"/>
      <c r="H1699" s="22"/>
      <c r="I1699" s="22"/>
      <c r="J1699" s="22"/>
      <c r="K1699" s="22"/>
      <c r="L1699" s="22"/>
      <c r="M1699" s="22"/>
      <c r="N1699" s="22"/>
    </row>
    <row r="1700" spans="1:14" x14ac:dyDescent="0.3">
      <c r="A1700" s="22" t="s">
        <v>981</v>
      </c>
      <c r="B1700" s="22">
        <v>0</v>
      </c>
      <c r="C1700" s="22"/>
      <c r="D1700" s="22"/>
      <c r="E1700" s="22"/>
      <c r="F1700" s="22"/>
      <c r="G1700" s="22"/>
      <c r="H1700" s="22"/>
      <c r="I1700" s="22"/>
      <c r="J1700" s="22"/>
      <c r="K1700" s="22"/>
      <c r="L1700" s="22"/>
      <c r="M1700" s="22"/>
      <c r="N1700" s="22"/>
    </row>
    <row r="1701" spans="1:14" x14ac:dyDescent="0.3">
      <c r="A1701" s="22" t="s">
        <v>982</v>
      </c>
      <c r="B1701" s="22">
        <v>0</v>
      </c>
      <c r="C1701" s="22"/>
      <c r="D1701" s="22"/>
      <c r="E1701" s="22"/>
      <c r="F1701" s="22"/>
      <c r="G1701" s="22"/>
      <c r="H1701" s="22"/>
      <c r="I1701" s="22"/>
      <c r="J1701" s="22"/>
      <c r="K1701" s="22"/>
      <c r="L1701" s="22"/>
      <c r="M1701" s="22"/>
      <c r="N1701" s="22"/>
    </row>
    <row r="1702" spans="1:14" x14ac:dyDescent="0.3">
      <c r="A1702" s="22" t="s">
        <v>983</v>
      </c>
      <c r="B1702" s="22">
        <v>0</v>
      </c>
      <c r="C1702" s="22"/>
      <c r="D1702" s="22"/>
      <c r="E1702" s="22"/>
      <c r="F1702" s="22"/>
      <c r="G1702" s="22"/>
      <c r="H1702" s="22"/>
      <c r="I1702" s="22"/>
      <c r="J1702" s="22"/>
      <c r="K1702" s="22"/>
      <c r="L1702" s="22"/>
      <c r="M1702" s="22"/>
      <c r="N1702" s="22"/>
    </row>
    <row r="1703" spans="1:14" x14ac:dyDescent="0.3">
      <c r="A1703" s="22" t="s">
        <v>984</v>
      </c>
      <c r="B1703" s="22">
        <v>3</v>
      </c>
      <c r="C1703" s="22"/>
      <c r="D1703" s="22"/>
      <c r="E1703" s="22"/>
      <c r="F1703" s="22"/>
      <c r="G1703" s="22"/>
      <c r="H1703" s="22"/>
      <c r="I1703" s="22"/>
      <c r="J1703" s="22"/>
      <c r="K1703" s="22"/>
      <c r="L1703" s="22"/>
      <c r="M1703" s="22"/>
      <c r="N1703" s="22"/>
    </row>
    <row r="1704" spans="1:14" x14ac:dyDescent="0.3">
      <c r="A1704" s="22" t="s">
        <v>985</v>
      </c>
      <c r="B1704" s="22">
        <v>0</v>
      </c>
      <c r="C1704" s="22"/>
      <c r="D1704" s="22"/>
      <c r="E1704" s="22"/>
      <c r="F1704" s="22"/>
      <c r="G1704" s="22"/>
      <c r="H1704" s="22"/>
      <c r="I1704" s="22"/>
      <c r="J1704" s="22"/>
      <c r="K1704" s="22"/>
      <c r="L1704" s="22"/>
      <c r="M1704" s="22"/>
      <c r="N1704" s="22"/>
    </row>
    <row r="1705" spans="1:14" x14ac:dyDescent="0.3">
      <c r="A1705" s="22" t="s">
        <v>986</v>
      </c>
      <c r="B1705" s="22">
        <v>0</v>
      </c>
      <c r="C1705" s="22"/>
      <c r="D1705" s="22"/>
      <c r="E1705" s="22"/>
      <c r="F1705" s="22"/>
      <c r="G1705" s="22"/>
      <c r="H1705" s="22"/>
      <c r="I1705" s="22"/>
      <c r="J1705" s="22"/>
      <c r="K1705" s="22"/>
      <c r="L1705" s="22"/>
      <c r="M1705" s="22"/>
      <c r="N1705" s="22"/>
    </row>
    <row r="1706" spans="1:14" x14ac:dyDescent="0.3">
      <c r="A1706" s="22" t="s">
        <v>987</v>
      </c>
      <c r="B1706" s="22">
        <v>0</v>
      </c>
      <c r="C1706" s="22"/>
      <c r="D1706" s="22"/>
      <c r="E1706" s="22"/>
      <c r="F1706" s="22"/>
      <c r="G1706" s="22"/>
      <c r="H1706" s="22"/>
      <c r="I1706" s="22"/>
      <c r="J1706" s="22"/>
      <c r="K1706" s="22"/>
      <c r="L1706" s="22"/>
      <c r="M1706" s="22"/>
      <c r="N1706" s="22"/>
    </row>
    <row r="1707" spans="1:14" x14ac:dyDescent="0.3">
      <c r="A1707" s="22" t="s">
        <v>988</v>
      </c>
      <c r="B1707" s="22">
        <v>0</v>
      </c>
      <c r="C1707" s="22"/>
      <c r="D1707" s="22"/>
      <c r="E1707" s="22"/>
      <c r="F1707" s="22"/>
      <c r="G1707" s="22"/>
      <c r="H1707" s="22"/>
      <c r="I1707" s="22"/>
      <c r="J1707" s="22"/>
      <c r="K1707" s="22"/>
      <c r="L1707" s="22"/>
      <c r="M1707" s="22"/>
      <c r="N1707" s="22"/>
    </row>
    <row r="1708" spans="1:14" x14ac:dyDescent="0.3">
      <c r="A1708" s="22" t="s">
        <v>989</v>
      </c>
      <c r="B1708" s="22">
        <v>0</v>
      </c>
      <c r="C1708" s="22"/>
      <c r="D1708" s="22"/>
      <c r="E1708" s="22"/>
      <c r="F1708" s="22"/>
      <c r="G1708" s="22"/>
      <c r="H1708" s="22"/>
      <c r="I1708" s="22"/>
      <c r="J1708" s="22"/>
      <c r="K1708" s="22"/>
      <c r="L1708" s="22"/>
      <c r="M1708" s="22"/>
      <c r="N1708" s="22"/>
    </row>
    <row r="1709" spans="1:14" x14ac:dyDescent="0.3">
      <c r="A1709" s="22" t="s">
        <v>990</v>
      </c>
      <c r="B1709" s="22">
        <v>0</v>
      </c>
      <c r="C1709" s="22"/>
      <c r="D1709" s="22"/>
      <c r="E1709" s="22"/>
      <c r="F1709" s="22"/>
      <c r="G1709" s="22"/>
      <c r="H1709" s="22"/>
      <c r="I1709" s="22"/>
      <c r="J1709" s="22"/>
      <c r="K1709" s="22"/>
      <c r="L1709" s="22"/>
      <c r="M1709" s="22"/>
      <c r="N1709" s="22"/>
    </row>
    <row r="1710" spans="1:14" x14ac:dyDescent="0.3">
      <c r="A1710" s="22" t="s">
        <v>991</v>
      </c>
      <c r="B1710" s="22">
        <v>0</v>
      </c>
      <c r="C1710" s="22"/>
      <c r="D1710" s="22"/>
      <c r="E1710" s="22"/>
      <c r="F1710" s="22"/>
      <c r="G1710" s="22"/>
      <c r="H1710" s="22"/>
      <c r="I1710" s="22"/>
      <c r="J1710" s="22"/>
      <c r="K1710" s="22"/>
      <c r="L1710" s="22"/>
      <c r="M1710" s="22"/>
      <c r="N1710" s="22"/>
    </row>
    <row r="1711" spans="1:14" x14ac:dyDescent="0.3">
      <c r="A1711" s="22" t="s">
        <v>992</v>
      </c>
      <c r="B1711" s="22">
        <v>0</v>
      </c>
      <c r="C1711" s="22"/>
      <c r="D1711" s="22"/>
      <c r="E1711" s="22"/>
      <c r="F1711" s="22"/>
      <c r="G1711" s="22"/>
      <c r="H1711" s="22"/>
      <c r="I1711" s="22"/>
      <c r="J1711" s="22"/>
      <c r="K1711" s="22"/>
      <c r="L1711" s="22"/>
      <c r="M1711" s="22"/>
      <c r="N1711" s="22"/>
    </row>
    <row r="1712" spans="1:14" x14ac:dyDescent="0.3">
      <c r="A1712" s="22" t="s">
        <v>993</v>
      </c>
      <c r="B1712" s="22">
        <v>0</v>
      </c>
      <c r="C1712" s="22"/>
      <c r="D1712" s="22"/>
      <c r="E1712" s="22"/>
      <c r="F1712" s="22"/>
      <c r="G1712" s="22"/>
      <c r="H1712" s="22"/>
      <c r="I1712" s="22"/>
      <c r="J1712" s="22"/>
      <c r="K1712" s="22"/>
      <c r="L1712" s="22"/>
      <c r="M1712" s="22"/>
      <c r="N1712" s="22"/>
    </row>
    <row r="1713" spans="1:14" x14ac:dyDescent="0.3">
      <c r="A1713" s="22" t="s">
        <v>994</v>
      </c>
      <c r="B1713" s="22">
        <v>0</v>
      </c>
      <c r="C1713" s="22"/>
      <c r="D1713" s="22"/>
      <c r="E1713" s="22"/>
      <c r="F1713" s="22"/>
      <c r="G1713" s="22"/>
      <c r="H1713" s="22"/>
      <c r="I1713" s="22"/>
      <c r="J1713" s="22"/>
      <c r="K1713" s="22"/>
      <c r="L1713" s="22"/>
      <c r="M1713" s="22"/>
      <c r="N1713" s="22"/>
    </row>
    <row r="1714" spans="1:14" x14ac:dyDescent="0.3">
      <c r="A1714" s="22" t="s">
        <v>995</v>
      </c>
      <c r="B1714" s="22">
        <v>0</v>
      </c>
      <c r="C1714" s="22"/>
      <c r="D1714" s="22"/>
      <c r="E1714" s="22"/>
      <c r="F1714" s="22"/>
      <c r="G1714" s="22"/>
      <c r="H1714" s="22"/>
      <c r="I1714" s="22"/>
      <c r="J1714" s="22"/>
      <c r="K1714" s="22"/>
      <c r="L1714" s="22"/>
      <c r="M1714" s="22"/>
      <c r="N1714" s="22"/>
    </row>
    <row r="1715" spans="1:14" x14ac:dyDescent="0.3">
      <c r="A1715" s="22" t="s">
        <v>996</v>
      </c>
      <c r="B1715" s="22">
        <v>0</v>
      </c>
      <c r="C1715" s="22"/>
      <c r="D1715" s="22"/>
      <c r="E1715" s="22"/>
      <c r="F1715" s="22"/>
      <c r="G1715" s="22"/>
      <c r="H1715" s="22"/>
      <c r="I1715" s="22"/>
      <c r="J1715" s="22"/>
      <c r="K1715" s="22"/>
      <c r="L1715" s="22"/>
      <c r="M1715" s="22"/>
      <c r="N1715" s="22"/>
    </row>
    <row r="1716" spans="1:14" x14ac:dyDescent="0.3">
      <c r="A1716" s="22" t="s">
        <v>997</v>
      </c>
      <c r="B1716" s="22">
        <v>0</v>
      </c>
      <c r="C1716" s="22"/>
      <c r="D1716" s="22"/>
      <c r="E1716" s="22"/>
      <c r="F1716" s="22"/>
      <c r="G1716" s="22"/>
      <c r="H1716" s="22"/>
      <c r="I1716" s="22"/>
      <c r="J1716" s="22"/>
      <c r="K1716" s="22"/>
      <c r="L1716" s="22"/>
      <c r="M1716" s="22"/>
      <c r="N1716" s="22"/>
    </row>
    <row r="1717" spans="1:14" x14ac:dyDescent="0.3">
      <c r="A1717" s="22" t="s">
        <v>998</v>
      </c>
      <c r="B1717" s="22">
        <v>0</v>
      </c>
      <c r="C1717" s="22"/>
      <c r="D1717" s="22"/>
      <c r="E1717" s="22"/>
      <c r="F1717" s="22"/>
      <c r="G1717" s="22"/>
      <c r="H1717" s="22"/>
      <c r="I1717" s="22"/>
      <c r="J1717" s="22"/>
      <c r="K1717" s="22"/>
      <c r="L1717" s="22"/>
      <c r="M1717" s="22"/>
      <c r="N1717" s="22"/>
    </row>
    <row r="1718" spans="1:14" x14ac:dyDescent="0.3">
      <c r="A1718" s="22" t="s">
        <v>999</v>
      </c>
      <c r="B1718" s="22">
        <v>0</v>
      </c>
      <c r="C1718" s="22"/>
      <c r="D1718" s="22"/>
      <c r="E1718" s="22"/>
      <c r="F1718" s="22"/>
      <c r="G1718" s="22"/>
      <c r="H1718" s="22"/>
      <c r="I1718" s="22"/>
      <c r="J1718" s="22"/>
      <c r="K1718" s="22"/>
      <c r="L1718" s="22"/>
      <c r="M1718" s="22"/>
      <c r="N1718" s="22"/>
    </row>
    <row r="1719" spans="1:14" x14ac:dyDescent="0.3">
      <c r="A1719" s="22" t="s">
        <v>1000</v>
      </c>
      <c r="B1719" s="22">
        <v>0</v>
      </c>
      <c r="C1719" s="22"/>
      <c r="D1719" s="22"/>
      <c r="E1719" s="22"/>
      <c r="F1719" s="22"/>
      <c r="G1719" s="22"/>
      <c r="H1719" s="22"/>
      <c r="I1719" s="22"/>
      <c r="J1719" s="22"/>
      <c r="K1719" s="22"/>
      <c r="L1719" s="22"/>
      <c r="M1719" s="22"/>
      <c r="N1719" s="22"/>
    </row>
    <row r="1720" spans="1:14" x14ac:dyDescent="0.3">
      <c r="A1720" s="22" t="s">
        <v>1001</v>
      </c>
      <c r="B1720" s="22">
        <v>0</v>
      </c>
      <c r="C1720" s="22"/>
      <c r="D1720" s="22"/>
      <c r="E1720" s="22"/>
      <c r="F1720" s="22"/>
      <c r="G1720" s="22"/>
      <c r="H1720" s="22"/>
      <c r="I1720" s="22"/>
      <c r="J1720" s="22"/>
      <c r="K1720" s="22"/>
      <c r="L1720" s="22"/>
      <c r="M1720" s="22"/>
      <c r="N1720" s="22"/>
    </row>
    <row r="1721" spans="1:14" x14ac:dyDescent="0.3">
      <c r="A1721" s="22" t="s">
        <v>1002</v>
      </c>
      <c r="B1721" s="22">
        <v>0</v>
      </c>
      <c r="C1721" s="22"/>
      <c r="D1721" s="22"/>
      <c r="E1721" s="22"/>
      <c r="F1721" s="22"/>
      <c r="G1721" s="22"/>
      <c r="H1721" s="22"/>
      <c r="I1721" s="22"/>
      <c r="J1721" s="22"/>
      <c r="K1721" s="22"/>
      <c r="L1721" s="22"/>
      <c r="M1721" s="22"/>
      <c r="N1721" s="22"/>
    </row>
    <row r="1722" spans="1:14" x14ac:dyDescent="0.3">
      <c r="A1722" s="22" t="s">
        <v>1003</v>
      </c>
      <c r="B1722" s="22">
        <v>0</v>
      </c>
      <c r="C1722" s="22"/>
      <c r="D1722" s="22"/>
      <c r="E1722" s="22"/>
      <c r="F1722" s="22"/>
      <c r="G1722" s="22"/>
      <c r="H1722" s="22"/>
      <c r="I1722" s="22"/>
      <c r="J1722" s="22"/>
      <c r="K1722" s="22"/>
      <c r="L1722" s="22"/>
      <c r="M1722" s="22"/>
      <c r="N1722" s="22"/>
    </row>
    <row r="1723" spans="1:14" x14ac:dyDescent="0.3">
      <c r="A1723" s="22" t="s">
        <v>1004</v>
      </c>
      <c r="B1723" s="22">
        <v>0</v>
      </c>
      <c r="C1723" s="22"/>
      <c r="D1723" s="22"/>
      <c r="E1723" s="22"/>
      <c r="F1723" s="22"/>
      <c r="G1723" s="22"/>
      <c r="H1723" s="22"/>
      <c r="I1723" s="22"/>
      <c r="J1723" s="22"/>
      <c r="K1723" s="22"/>
      <c r="L1723" s="22"/>
      <c r="M1723" s="22"/>
      <c r="N1723" s="22"/>
    </row>
    <row r="1724" spans="1:14" x14ac:dyDescent="0.3">
      <c r="A1724" s="22" t="s">
        <v>1005</v>
      </c>
      <c r="B1724" s="22">
        <v>0</v>
      </c>
      <c r="C1724" s="22"/>
      <c r="D1724" s="22"/>
      <c r="E1724" s="22"/>
      <c r="F1724" s="22"/>
      <c r="G1724" s="22"/>
      <c r="H1724" s="22"/>
      <c r="I1724" s="22"/>
      <c r="J1724" s="22"/>
      <c r="K1724" s="22"/>
      <c r="L1724" s="22"/>
      <c r="M1724" s="22"/>
      <c r="N1724" s="22"/>
    </row>
    <row r="1725" spans="1:14" x14ac:dyDescent="0.3">
      <c r="A1725" s="22" t="s">
        <v>1006</v>
      </c>
      <c r="B1725" s="22">
        <v>0</v>
      </c>
      <c r="C1725" s="22"/>
      <c r="D1725" s="22"/>
      <c r="E1725" s="22"/>
      <c r="F1725" s="22"/>
      <c r="G1725" s="22"/>
      <c r="H1725" s="22"/>
      <c r="I1725" s="22"/>
      <c r="J1725" s="22"/>
      <c r="K1725" s="22"/>
      <c r="L1725" s="22"/>
      <c r="M1725" s="22"/>
      <c r="N1725" s="22"/>
    </row>
    <row r="1726" spans="1:14" x14ac:dyDescent="0.3">
      <c r="A1726" s="22" t="s">
        <v>1007</v>
      </c>
      <c r="B1726" s="22">
        <v>0</v>
      </c>
      <c r="C1726" s="22"/>
      <c r="D1726" s="22"/>
      <c r="E1726" s="22"/>
      <c r="F1726" s="22"/>
      <c r="G1726" s="22"/>
      <c r="H1726" s="22"/>
      <c r="I1726" s="22"/>
      <c r="J1726" s="22"/>
      <c r="K1726" s="22"/>
      <c r="L1726" s="22"/>
      <c r="M1726" s="22"/>
      <c r="N1726" s="22"/>
    </row>
    <row r="1727" spans="1:14" x14ac:dyDescent="0.3">
      <c r="A1727" s="22" t="s">
        <v>2683</v>
      </c>
      <c r="B1727" s="22">
        <v>48</v>
      </c>
      <c r="C1727" s="22"/>
      <c r="D1727" s="22"/>
      <c r="E1727" s="22"/>
      <c r="F1727" s="22"/>
      <c r="G1727" s="22"/>
      <c r="H1727" s="22"/>
      <c r="I1727" s="22"/>
      <c r="J1727" s="22"/>
      <c r="K1727" s="22"/>
      <c r="L1727" s="22"/>
      <c r="M1727" s="22"/>
      <c r="N1727" s="22"/>
    </row>
    <row r="1728" spans="1:14" x14ac:dyDescent="0.3">
      <c r="A1728" s="22" t="s">
        <v>3533</v>
      </c>
      <c r="B1728" s="22">
        <v>0</v>
      </c>
      <c r="C1728" s="22"/>
      <c r="D1728" s="22"/>
      <c r="E1728" s="22"/>
      <c r="F1728" s="22"/>
      <c r="G1728" s="22"/>
      <c r="H1728" s="22"/>
      <c r="I1728" s="22"/>
      <c r="J1728" s="22"/>
      <c r="K1728" s="22"/>
      <c r="L1728" s="22"/>
      <c r="M1728" s="22"/>
      <c r="N1728" s="22"/>
    </row>
    <row r="1729" spans="1:14" x14ac:dyDescent="0.3">
      <c r="A1729" s="22" t="s">
        <v>3534</v>
      </c>
      <c r="B1729" s="22">
        <v>0</v>
      </c>
      <c r="C1729" s="22"/>
      <c r="D1729" s="22"/>
      <c r="E1729" s="22"/>
      <c r="F1729" s="22"/>
      <c r="G1729" s="22"/>
      <c r="H1729" s="22"/>
      <c r="I1729" s="22"/>
      <c r="J1729" s="22"/>
      <c r="K1729" s="22"/>
      <c r="L1729" s="22"/>
      <c r="M1729" s="22"/>
      <c r="N1729" s="22"/>
    </row>
    <row r="1730" spans="1:14" x14ac:dyDescent="0.3">
      <c r="A1730" s="22" t="s">
        <v>3535</v>
      </c>
      <c r="B1730" s="22">
        <v>0</v>
      </c>
      <c r="C1730" s="22"/>
      <c r="D1730" s="22"/>
      <c r="E1730" s="22"/>
      <c r="F1730" s="22"/>
      <c r="G1730" s="22"/>
      <c r="H1730" s="22"/>
      <c r="I1730" s="22"/>
      <c r="J1730" s="22"/>
      <c r="K1730" s="22"/>
      <c r="L1730" s="22"/>
      <c r="M1730" s="22"/>
      <c r="N1730" s="22"/>
    </row>
    <row r="1731" spans="1:14" x14ac:dyDescent="0.3">
      <c r="A1731" s="22" t="s">
        <v>3536</v>
      </c>
      <c r="B1731" s="22">
        <v>0</v>
      </c>
      <c r="C1731" s="22"/>
      <c r="D1731" s="22"/>
      <c r="E1731" s="22"/>
      <c r="F1731" s="22"/>
      <c r="G1731" s="22"/>
      <c r="H1731" s="22"/>
      <c r="I1731" s="22"/>
      <c r="J1731" s="22"/>
      <c r="K1731" s="22"/>
      <c r="L1731" s="22"/>
      <c r="M1731" s="22"/>
      <c r="N1731" s="22"/>
    </row>
    <row r="1732" spans="1:14" x14ac:dyDescent="0.3">
      <c r="A1732" s="22" t="s">
        <v>3537</v>
      </c>
      <c r="B1732" s="22">
        <v>0</v>
      </c>
      <c r="C1732" s="22"/>
      <c r="D1732" s="22"/>
      <c r="E1732" s="22"/>
      <c r="F1732" s="22"/>
      <c r="G1732" s="22"/>
      <c r="H1732" s="22"/>
      <c r="I1732" s="22"/>
      <c r="J1732" s="22"/>
      <c r="K1732" s="22"/>
      <c r="L1732" s="22"/>
      <c r="M1732" s="22"/>
      <c r="N1732" s="22"/>
    </row>
    <row r="1733" spans="1:14" x14ac:dyDescent="0.3">
      <c r="A1733" s="22" t="s">
        <v>3538</v>
      </c>
      <c r="B1733" s="22">
        <v>0</v>
      </c>
      <c r="C1733" s="22"/>
      <c r="D1733" s="22"/>
      <c r="E1733" s="22"/>
      <c r="F1733" s="22"/>
      <c r="G1733" s="22"/>
      <c r="H1733" s="22"/>
      <c r="I1733" s="22"/>
      <c r="J1733" s="22"/>
      <c r="K1733" s="22"/>
      <c r="L1733" s="22"/>
      <c r="M1733" s="22"/>
      <c r="N1733" s="22"/>
    </row>
    <row r="1734" spans="1:14" x14ac:dyDescent="0.3">
      <c r="A1734" s="22" t="s">
        <v>3539</v>
      </c>
      <c r="B1734" s="22">
        <v>0</v>
      </c>
      <c r="C1734" s="22"/>
      <c r="D1734" s="22"/>
      <c r="E1734" s="22"/>
      <c r="F1734" s="22"/>
      <c r="G1734" s="22"/>
      <c r="H1734" s="22"/>
      <c r="I1734" s="22"/>
      <c r="J1734" s="22"/>
      <c r="K1734" s="22"/>
      <c r="L1734" s="22"/>
      <c r="M1734" s="22"/>
      <c r="N1734" s="22"/>
    </row>
    <row r="1735" spans="1:14" x14ac:dyDescent="0.3">
      <c r="A1735" s="22" t="s">
        <v>2684</v>
      </c>
      <c r="B1735" s="22">
        <v>315</v>
      </c>
      <c r="C1735" s="22"/>
      <c r="D1735" s="22"/>
      <c r="E1735" s="22"/>
      <c r="F1735" s="22"/>
      <c r="G1735" s="22"/>
      <c r="H1735" s="22"/>
      <c r="I1735" s="22"/>
      <c r="J1735" s="22"/>
      <c r="K1735" s="22"/>
      <c r="L1735" s="22"/>
      <c r="M1735" s="22"/>
      <c r="N1735" s="22"/>
    </row>
    <row r="1736" spans="1:14" x14ac:dyDescent="0.3">
      <c r="A1736" s="22" t="s">
        <v>3540</v>
      </c>
      <c r="B1736" s="22">
        <v>0</v>
      </c>
      <c r="C1736" s="22"/>
      <c r="D1736" s="22"/>
      <c r="E1736" s="22"/>
      <c r="F1736" s="22"/>
      <c r="G1736" s="22"/>
      <c r="H1736" s="22"/>
      <c r="I1736" s="22"/>
      <c r="J1736" s="22"/>
      <c r="K1736" s="22"/>
      <c r="L1736" s="22"/>
      <c r="M1736" s="22"/>
      <c r="N1736" s="22"/>
    </row>
    <row r="1737" spans="1:14" x14ac:dyDescent="0.3">
      <c r="A1737" s="22" t="s">
        <v>3541</v>
      </c>
      <c r="B1737" s="22">
        <v>0</v>
      </c>
      <c r="C1737" s="22"/>
      <c r="D1737" s="22"/>
      <c r="E1737" s="22"/>
      <c r="F1737" s="22"/>
      <c r="G1737" s="22"/>
      <c r="H1737" s="22"/>
      <c r="I1737" s="22"/>
      <c r="J1737" s="22"/>
      <c r="K1737" s="22"/>
      <c r="L1737" s="22"/>
      <c r="M1737" s="22"/>
      <c r="N1737" s="22"/>
    </row>
    <row r="1738" spans="1:14" x14ac:dyDescent="0.3">
      <c r="A1738" s="22" t="s">
        <v>3542</v>
      </c>
      <c r="B1738" s="22">
        <v>0</v>
      </c>
      <c r="C1738" s="22"/>
      <c r="D1738" s="22"/>
      <c r="E1738" s="22"/>
      <c r="F1738" s="22"/>
      <c r="G1738" s="22"/>
      <c r="H1738" s="22"/>
      <c r="I1738" s="22"/>
      <c r="J1738" s="22"/>
      <c r="K1738" s="22"/>
      <c r="L1738" s="22"/>
      <c r="M1738" s="22"/>
      <c r="N1738" s="22"/>
    </row>
    <row r="1739" spans="1:14" x14ac:dyDescent="0.3">
      <c r="A1739" s="22" t="s">
        <v>3543</v>
      </c>
      <c r="B1739" s="22">
        <v>0</v>
      </c>
      <c r="C1739" s="22"/>
      <c r="D1739" s="22"/>
      <c r="E1739" s="22"/>
      <c r="F1739" s="22"/>
      <c r="G1739" s="22"/>
      <c r="H1739" s="22"/>
      <c r="I1739" s="22"/>
      <c r="J1739" s="22"/>
      <c r="K1739" s="22"/>
      <c r="L1739" s="22"/>
      <c r="M1739" s="22"/>
      <c r="N1739" s="22"/>
    </row>
    <row r="1740" spans="1:14" x14ac:dyDescent="0.3">
      <c r="A1740" s="22" t="s">
        <v>3544</v>
      </c>
      <c r="B1740" s="22">
        <v>0</v>
      </c>
      <c r="C1740" s="22"/>
      <c r="D1740" s="22"/>
      <c r="E1740" s="22"/>
      <c r="F1740" s="22"/>
      <c r="G1740" s="22"/>
      <c r="H1740" s="22"/>
      <c r="I1740" s="22"/>
      <c r="J1740" s="22"/>
      <c r="K1740" s="22"/>
      <c r="L1740" s="22"/>
      <c r="M1740" s="22"/>
      <c r="N1740" s="22"/>
    </row>
    <row r="1741" spans="1:14" x14ac:dyDescent="0.3">
      <c r="A1741" s="22" t="s">
        <v>3545</v>
      </c>
      <c r="B1741" s="22">
        <v>0</v>
      </c>
      <c r="C1741" s="22"/>
      <c r="D1741" s="22"/>
      <c r="E1741" s="22"/>
      <c r="F1741" s="22"/>
      <c r="G1741" s="22"/>
      <c r="H1741" s="22"/>
      <c r="I1741" s="22"/>
      <c r="J1741" s="22"/>
      <c r="K1741" s="22"/>
      <c r="L1741" s="22"/>
      <c r="M1741" s="22"/>
      <c r="N1741" s="22"/>
    </row>
    <row r="1742" spans="1:14" x14ac:dyDescent="0.3">
      <c r="A1742" s="22" t="s">
        <v>3546</v>
      </c>
      <c r="B1742" s="22">
        <v>0</v>
      </c>
      <c r="C1742" s="22"/>
      <c r="D1742" s="22"/>
      <c r="E1742" s="22"/>
      <c r="F1742" s="22"/>
      <c r="G1742" s="22"/>
      <c r="H1742" s="22"/>
      <c r="I1742" s="22"/>
      <c r="J1742" s="22"/>
      <c r="K1742" s="22"/>
      <c r="L1742" s="22"/>
      <c r="M1742" s="22"/>
      <c r="N1742" s="22"/>
    </row>
    <row r="1743" spans="1:14" x14ac:dyDescent="0.3">
      <c r="A1743" s="22" t="s">
        <v>2685</v>
      </c>
      <c r="B1743" s="22">
        <v>0</v>
      </c>
      <c r="C1743" s="22"/>
      <c r="D1743" s="22"/>
      <c r="E1743" s="22"/>
      <c r="F1743" s="22"/>
      <c r="G1743" s="22"/>
      <c r="H1743" s="22"/>
      <c r="I1743" s="22"/>
      <c r="J1743" s="22"/>
      <c r="K1743" s="22"/>
      <c r="L1743" s="22"/>
      <c r="M1743" s="22"/>
      <c r="N1743" s="22"/>
    </row>
    <row r="1744" spans="1:14" x14ac:dyDescent="0.3">
      <c r="A1744" s="22" t="s">
        <v>3547</v>
      </c>
      <c r="B1744" s="22">
        <v>0</v>
      </c>
      <c r="C1744" s="22"/>
      <c r="D1744" s="22"/>
      <c r="E1744" s="22"/>
      <c r="F1744" s="22"/>
      <c r="G1744" s="22"/>
      <c r="H1744" s="22"/>
      <c r="I1744" s="22"/>
      <c r="J1744" s="22"/>
      <c r="K1744" s="22"/>
      <c r="L1744" s="22"/>
      <c r="M1744" s="22"/>
      <c r="N1744" s="22"/>
    </row>
    <row r="1745" spans="1:14" x14ac:dyDescent="0.3">
      <c r="A1745" s="22" t="s">
        <v>3548</v>
      </c>
      <c r="B1745" s="22">
        <v>0</v>
      </c>
      <c r="C1745" s="22"/>
      <c r="D1745" s="22"/>
      <c r="E1745" s="22"/>
      <c r="F1745" s="22"/>
      <c r="G1745" s="22"/>
      <c r="H1745" s="22"/>
      <c r="I1745" s="22"/>
      <c r="J1745" s="22"/>
      <c r="K1745" s="22"/>
      <c r="L1745" s="22"/>
      <c r="M1745" s="22"/>
      <c r="N1745" s="22"/>
    </row>
    <row r="1746" spans="1:14" x14ac:dyDescent="0.3">
      <c r="A1746" s="22" t="s">
        <v>3549</v>
      </c>
      <c r="B1746" s="22">
        <v>0</v>
      </c>
      <c r="C1746" s="22"/>
      <c r="D1746" s="22"/>
      <c r="E1746" s="22"/>
      <c r="F1746" s="22"/>
      <c r="G1746" s="22"/>
      <c r="H1746" s="22"/>
      <c r="I1746" s="22"/>
      <c r="J1746" s="22"/>
      <c r="K1746" s="22"/>
      <c r="L1746" s="22"/>
      <c r="M1746" s="22"/>
      <c r="N1746" s="22"/>
    </row>
    <row r="1747" spans="1:14" x14ac:dyDescent="0.3">
      <c r="A1747" s="22" t="s">
        <v>3550</v>
      </c>
      <c r="B1747" s="22">
        <v>0</v>
      </c>
      <c r="C1747" s="22"/>
      <c r="D1747" s="22"/>
      <c r="E1747" s="22"/>
      <c r="F1747" s="22"/>
      <c r="G1747" s="22"/>
      <c r="H1747" s="22"/>
      <c r="I1747" s="22"/>
      <c r="J1747" s="22"/>
      <c r="K1747" s="22"/>
      <c r="L1747" s="22"/>
      <c r="M1747" s="22"/>
      <c r="N1747" s="22"/>
    </row>
    <row r="1748" spans="1:14" x14ac:dyDescent="0.3">
      <c r="A1748" s="22" t="s">
        <v>3551</v>
      </c>
      <c r="B1748" s="22">
        <v>0</v>
      </c>
      <c r="C1748" s="22"/>
      <c r="D1748" s="22"/>
      <c r="E1748" s="22"/>
      <c r="F1748" s="22"/>
      <c r="G1748" s="22"/>
      <c r="H1748" s="22"/>
      <c r="I1748" s="22"/>
      <c r="J1748" s="22"/>
      <c r="K1748" s="22"/>
      <c r="L1748" s="22"/>
      <c r="M1748" s="22"/>
      <c r="N1748" s="22"/>
    </row>
    <row r="1749" spans="1:14" x14ac:dyDescent="0.3">
      <c r="A1749" s="22" t="s">
        <v>3552</v>
      </c>
      <c r="B1749" s="22">
        <v>0</v>
      </c>
      <c r="C1749" s="22"/>
      <c r="D1749" s="22"/>
      <c r="E1749" s="22"/>
      <c r="F1749" s="22"/>
      <c r="G1749" s="22"/>
      <c r="H1749" s="22"/>
      <c r="I1749" s="22"/>
      <c r="J1749" s="22"/>
      <c r="K1749" s="22"/>
      <c r="L1749" s="22"/>
      <c r="M1749" s="22"/>
      <c r="N1749" s="22"/>
    </row>
    <row r="1750" spans="1:14" x14ac:dyDescent="0.3">
      <c r="A1750" s="22" t="s">
        <v>3553</v>
      </c>
      <c r="B1750" s="22">
        <v>0</v>
      </c>
      <c r="C1750" s="22"/>
      <c r="D1750" s="22"/>
      <c r="E1750" s="22"/>
      <c r="F1750" s="22"/>
      <c r="G1750" s="22"/>
      <c r="H1750" s="22"/>
      <c r="I1750" s="22"/>
      <c r="J1750" s="22"/>
      <c r="K1750" s="22"/>
      <c r="L1750" s="22"/>
      <c r="M1750" s="22"/>
      <c r="N1750" s="22"/>
    </row>
    <row r="1751" spans="1:14" x14ac:dyDescent="0.3">
      <c r="A1751" s="22" t="s">
        <v>2654</v>
      </c>
      <c r="B1751" s="22">
        <v>5</v>
      </c>
      <c r="C1751" s="22"/>
      <c r="D1751" s="22"/>
      <c r="E1751" s="22"/>
      <c r="F1751" s="22"/>
      <c r="G1751" s="22"/>
      <c r="H1751" s="22"/>
      <c r="I1751" s="22"/>
      <c r="J1751" s="22"/>
      <c r="K1751" s="22"/>
      <c r="L1751" s="22"/>
      <c r="M1751" s="22"/>
      <c r="N1751" s="22"/>
    </row>
    <row r="1752" spans="1:14" x14ac:dyDescent="0.3">
      <c r="A1752" s="22" t="s">
        <v>3554</v>
      </c>
      <c r="B1752" s="22">
        <v>0</v>
      </c>
      <c r="C1752" s="22"/>
      <c r="D1752" s="22"/>
      <c r="E1752" s="22"/>
      <c r="F1752" s="22"/>
      <c r="G1752" s="22"/>
      <c r="H1752" s="22"/>
      <c r="I1752" s="22"/>
      <c r="J1752" s="22"/>
      <c r="K1752" s="22"/>
      <c r="L1752" s="22"/>
      <c r="M1752" s="22"/>
      <c r="N1752" s="22"/>
    </row>
    <row r="1753" spans="1:14" x14ac:dyDescent="0.3">
      <c r="A1753" s="22" t="s">
        <v>3555</v>
      </c>
      <c r="B1753" s="22">
        <v>0</v>
      </c>
      <c r="C1753" s="22"/>
      <c r="D1753" s="22"/>
      <c r="E1753" s="22"/>
      <c r="F1753" s="22"/>
      <c r="G1753" s="22"/>
      <c r="H1753" s="22"/>
      <c r="I1753" s="22"/>
      <c r="J1753" s="22"/>
      <c r="K1753" s="22"/>
      <c r="L1753" s="22"/>
      <c r="M1753" s="22"/>
      <c r="N1753" s="22"/>
    </row>
    <row r="1754" spans="1:14" x14ac:dyDescent="0.3">
      <c r="A1754" s="22" t="s">
        <v>3556</v>
      </c>
      <c r="B1754" s="22">
        <v>0</v>
      </c>
      <c r="C1754" s="22"/>
      <c r="D1754" s="22"/>
      <c r="E1754" s="22"/>
      <c r="F1754" s="22"/>
      <c r="G1754" s="22"/>
      <c r="H1754" s="22"/>
      <c r="I1754" s="22"/>
      <c r="J1754" s="22"/>
      <c r="K1754" s="22"/>
      <c r="L1754" s="22"/>
      <c r="M1754" s="22"/>
      <c r="N1754" s="22"/>
    </row>
    <row r="1755" spans="1:14" x14ac:dyDescent="0.3">
      <c r="A1755" s="22" t="s">
        <v>3557</v>
      </c>
      <c r="B1755" s="22">
        <v>0</v>
      </c>
      <c r="C1755" s="22"/>
      <c r="D1755" s="22"/>
      <c r="E1755" s="22"/>
      <c r="F1755" s="22"/>
      <c r="G1755" s="22"/>
      <c r="H1755" s="22"/>
      <c r="I1755" s="22"/>
      <c r="J1755" s="22"/>
      <c r="K1755" s="22"/>
      <c r="L1755" s="22"/>
      <c r="M1755" s="22"/>
      <c r="N1755" s="22"/>
    </row>
    <row r="1756" spans="1:14" x14ac:dyDescent="0.3">
      <c r="A1756" s="22" t="s">
        <v>3558</v>
      </c>
      <c r="B1756" s="22">
        <v>0</v>
      </c>
      <c r="C1756" s="22"/>
      <c r="D1756" s="22"/>
      <c r="E1756" s="22"/>
      <c r="F1756" s="22"/>
      <c r="G1756" s="22"/>
      <c r="H1756" s="22"/>
      <c r="I1756" s="22"/>
      <c r="J1756" s="22"/>
      <c r="K1756" s="22"/>
      <c r="L1756" s="22"/>
      <c r="M1756" s="22"/>
      <c r="N1756" s="22"/>
    </row>
    <row r="1757" spans="1:14" x14ac:dyDescent="0.3">
      <c r="A1757" s="22" t="s">
        <v>3559</v>
      </c>
      <c r="B1757" s="22">
        <v>0</v>
      </c>
      <c r="C1757" s="22"/>
      <c r="D1757" s="22"/>
      <c r="E1757" s="22"/>
      <c r="F1757" s="22"/>
      <c r="G1757" s="22"/>
      <c r="H1757" s="22"/>
      <c r="I1757" s="22"/>
      <c r="J1757" s="22"/>
      <c r="K1757" s="22"/>
      <c r="L1757" s="22"/>
      <c r="M1757" s="22"/>
      <c r="N1757" s="22"/>
    </row>
    <row r="1758" spans="1:14" x14ac:dyDescent="0.3">
      <c r="A1758" s="22" t="s">
        <v>3560</v>
      </c>
      <c r="B1758" s="22">
        <v>0</v>
      </c>
      <c r="C1758" s="22"/>
      <c r="D1758" s="22"/>
      <c r="E1758" s="22"/>
      <c r="F1758" s="22"/>
      <c r="G1758" s="22"/>
      <c r="H1758" s="22"/>
      <c r="I1758" s="22"/>
      <c r="J1758" s="22"/>
      <c r="K1758" s="22"/>
      <c r="L1758" s="22"/>
      <c r="M1758" s="22"/>
      <c r="N1758" s="22"/>
    </row>
    <row r="1759" spans="1:14" x14ac:dyDescent="0.3">
      <c r="A1759" s="22" t="s">
        <v>2686</v>
      </c>
      <c r="B1759" s="22">
        <v>114</v>
      </c>
      <c r="C1759" s="22"/>
      <c r="D1759" s="22"/>
      <c r="E1759" s="22"/>
      <c r="F1759" s="22"/>
      <c r="G1759" s="22"/>
      <c r="H1759" s="22"/>
      <c r="I1759" s="22"/>
      <c r="J1759" s="22"/>
      <c r="K1759" s="22"/>
      <c r="L1759" s="22"/>
      <c r="M1759" s="22"/>
      <c r="N1759" s="22"/>
    </row>
    <row r="1760" spans="1:14" x14ac:dyDescent="0.3">
      <c r="A1760" s="22" t="s">
        <v>3561</v>
      </c>
      <c r="B1760" s="22">
        <v>0</v>
      </c>
      <c r="C1760" s="22"/>
      <c r="D1760" s="22"/>
      <c r="E1760" s="22"/>
      <c r="F1760" s="22"/>
      <c r="G1760" s="22"/>
      <c r="H1760" s="22"/>
      <c r="I1760" s="22"/>
      <c r="J1760" s="22"/>
      <c r="K1760" s="22"/>
      <c r="L1760" s="22"/>
      <c r="M1760" s="22"/>
      <c r="N1760" s="22"/>
    </row>
    <row r="1761" spans="1:14" x14ac:dyDescent="0.3">
      <c r="A1761" s="22" t="s">
        <v>3562</v>
      </c>
      <c r="B1761" s="22">
        <v>0</v>
      </c>
      <c r="C1761" s="22"/>
      <c r="D1761" s="22"/>
      <c r="E1761" s="22"/>
      <c r="F1761" s="22"/>
      <c r="G1761" s="22"/>
      <c r="H1761" s="22"/>
      <c r="I1761" s="22"/>
      <c r="J1761" s="22"/>
      <c r="K1761" s="22"/>
      <c r="L1761" s="22"/>
      <c r="M1761" s="22"/>
      <c r="N1761" s="22"/>
    </row>
    <row r="1762" spans="1:14" x14ac:dyDescent="0.3">
      <c r="A1762" s="22" t="s">
        <v>3563</v>
      </c>
      <c r="B1762" s="22">
        <v>0</v>
      </c>
      <c r="C1762" s="22"/>
      <c r="D1762" s="22"/>
      <c r="E1762" s="22"/>
      <c r="F1762" s="22"/>
      <c r="G1762" s="22"/>
      <c r="H1762" s="22"/>
      <c r="I1762" s="22"/>
      <c r="J1762" s="22"/>
      <c r="K1762" s="22"/>
      <c r="L1762" s="22"/>
      <c r="M1762" s="22"/>
      <c r="N1762" s="22"/>
    </row>
    <row r="1763" spans="1:14" x14ac:dyDescent="0.3">
      <c r="A1763" s="22" t="s">
        <v>3564</v>
      </c>
      <c r="B1763" s="22">
        <v>0</v>
      </c>
      <c r="C1763" s="22"/>
      <c r="D1763" s="22"/>
      <c r="E1763" s="22"/>
      <c r="F1763" s="22"/>
      <c r="G1763" s="22"/>
      <c r="H1763" s="22"/>
      <c r="I1763" s="22"/>
      <c r="J1763" s="22"/>
      <c r="K1763" s="22"/>
      <c r="L1763" s="22"/>
      <c r="M1763" s="22"/>
      <c r="N1763" s="22"/>
    </row>
    <row r="1764" spans="1:14" x14ac:dyDescent="0.3">
      <c r="A1764" s="22" t="s">
        <v>3565</v>
      </c>
      <c r="B1764" s="22">
        <v>0</v>
      </c>
      <c r="C1764" s="22"/>
      <c r="D1764" s="22"/>
      <c r="E1764" s="22"/>
      <c r="F1764" s="22"/>
      <c r="G1764" s="22"/>
      <c r="H1764" s="22"/>
      <c r="I1764" s="22"/>
      <c r="J1764" s="22"/>
      <c r="K1764" s="22"/>
      <c r="L1764" s="22"/>
      <c r="M1764" s="22"/>
      <c r="N1764" s="22"/>
    </row>
    <row r="1765" spans="1:14" x14ac:dyDescent="0.3">
      <c r="A1765" s="22" t="s">
        <v>3566</v>
      </c>
      <c r="B1765" s="22">
        <v>0</v>
      </c>
      <c r="C1765" s="22"/>
      <c r="D1765" s="22"/>
      <c r="E1765" s="22"/>
      <c r="F1765" s="22"/>
      <c r="G1765" s="22"/>
      <c r="H1765" s="22"/>
      <c r="I1765" s="22"/>
      <c r="J1765" s="22"/>
      <c r="K1765" s="22"/>
      <c r="L1765" s="22"/>
      <c r="M1765" s="22"/>
      <c r="N1765" s="22"/>
    </row>
    <row r="1766" spans="1:14" x14ac:dyDescent="0.3">
      <c r="A1766" s="22" t="s">
        <v>3567</v>
      </c>
      <c r="B1766" s="22">
        <v>0</v>
      </c>
      <c r="C1766" s="22"/>
      <c r="D1766" s="22"/>
      <c r="E1766" s="22"/>
      <c r="F1766" s="22"/>
      <c r="G1766" s="22"/>
      <c r="H1766" s="22"/>
      <c r="I1766" s="22"/>
      <c r="J1766" s="22"/>
      <c r="K1766" s="22"/>
      <c r="L1766" s="22"/>
      <c r="M1766" s="22"/>
      <c r="N1766" s="22"/>
    </row>
    <row r="1767" spans="1:14" x14ac:dyDescent="0.3">
      <c r="A1767" s="22" t="s">
        <v>2687</v>
      </c>
      <c r="B1767" s="22">
        <v>0</v>
      </c>
      <c r="C1767" s="22"/>
      <c r="D1767" s="22"/>
      <c r="E1767" s="22"/>
      <c r="F1767" s="22"/>
      <c r="G1767" s="22"/>
      <c r="H1767" s="22"/>
      <c r="I1767" s="22"/>
      <c r="J1767" s="22"/>
      <c r="K1767" s="22"/>
      <c r="L1767" s="22"/>
      <c r="M1767" s="22"/>
      <c r="N1767" s="22"/>
    </row>
    <row r="1768" spans="1:14" x14ac:dyDescent="0.3">
      <c r="A1768" s="22" t="s">
        <v>3568</v>
      </c>
      <c r="B1768" s="22">
        <v>0</v>
      </c>
      <c r="C1768" s="22"/>
      <c r="D1768" s="22"/>
      <c r="E1768" s="22"/>
      <c r="F1768" s="22"/>
      <c r="G1768" s="22"/>
      <c r="H1768" s="22"/>
      <c r="I1768" s="22"/>
      <c r="J1768" s="22"/>
      <c r="K1768" s="22"/>
      <c r="L1768" s="22"/>
      <c r="M1768" s="22"/>
      <c r="N1768" s="22"/>
    </row>
    <row r="1769" spans="1:14" x14ac:dyDescent="0.3">
      <c r="A1769" s="22" t="s">
        <v>3569</v>
      </c>
      <c r="B1769" s="22">
        <v>0</v>
      </c>
      <c r="C1769" s="22"/>
      <c r="D1769" s="22"/>
      <c r="E1769" s="22"/>
      <c r="F1769" s="22"/>
      <c r="G1769" s="22"/>
      <c r="H1769" s="22"/>
      <c r="I1769" s="22"/>
      <c r="J1769" s="22"/>
      <c r="K1769" s="22"/>
      <c r="L1769" s="22"/>
      <c r="M1769" s="22"/>
      <c r="N1769" s="22"/>
    </row>
    <row r="1770" spans="1:14" x14ac:dyDescent="0.3">
      <c r="A1770" s="22" t="s">
        <v>3570</v>
      </c>
      <c r="B1770" s="22">
        <v>0</v>
      </c>
      <c r="C1770" s="22"/>
      <c r="D1770" s="22"/>
      <c r="E1770" s="22"/>
      <c r="F1770" s="22"/>
      <c r="G1770" s="22"/>
      <c r="H1770" s="22"/>
      <c r="I1770" s="22"/>
      <c r="J1770" s="22"/>
      <c r="K1770" s="22"/>
      <c r="L1770" s="22"/>
      <c r="M1770" s="22"/>
      <c r="N1770" s="22"/>
    </row>
    <row r="1771" spans="1:14" x14ac:dyDescent="0.3">
      <c r="A1771" s="22" t="s">
        <v>3571</v>
      </c>
      <c r="B1771" s="22">
        <v>0</v>
      </c>
      <c r="C1771" s="22"/>
      <c r="D1771" s="22"/>
      <c r="E1771" s="22"/>
      <c r="F1771" s="22"/>
      <c r="G1771" s="22"/>
      <c r="H1771" s="22"/>
      <c r="I1771" s="22"/>
      <c r="J1771" s="22"/>
      <c r="K1771" s="22"/>
      <c r="L1771" s="22"/>
      <c r="M1771" s="22"/>
      <c r="N1771" s="22"/>
    </row>
    <row r="1772" spans="1:14" x14ac:dyDescent="0.3">
      <c r="A1772" s="22" t="s">
        <v>3572</v>
      </c>
      <c r="B1772" s="22">
        <v>0</v>
      </c>
      <c r="C1772" s="22"/>
      <c r="D1772" s="22"/>
      <c r="E1772" s="22"/>
      <c r="F1772" s="22"/>
      <c r="G1772" s="22"/>
      <c r="H1772" s="22"/>
      <c r="I1772" s="22"/>
      <c r="J1772" s="22"/>
      <c r="K1772" s="22"/>
      <c r="L1772" s="22"/>
      <c r="M1772" s="22"/>
      <c r="N1772" s="22"/>
    </row>
    <row r="1773" spans="1:14" x14ac:dyDescent="0.3">
      <c r="A1773" s="22" t="s">
        <v>3573</v>
      </c>
      <c r="B1773" s="22">
        <v>0</v>
      </c>
      <c r="C1773" s="22"/>
      <c r="D1773" s="22"/>
      <c r="E1773" s="22"/>
      <c r="F1773" s="22"/>
      <c r="G1773" s="22"/>
      <c r="H1773" s="22"/>
      <c r="I1773" s="22"/>
      <c r="J1773" s="22"/>
      <c r="K1773" s="22"/>
      <c r="L1773" s="22"/>
      <c r="M1773" s="22"/>
      <c r="N1773" s="22"/>
    </row>
    <row r="1774" spans="1:14" x14ac:dyDescent="0.3">
      <c r="A1774" s="22" t="s">
        <v>3574</v>
      </c>
      <c r="B1774" s="22">
        <v>0</v>
      </c>
      <c r="C1774" s="22"/>
      <c r="D1774" s="22"/>
      <c r="E1774" s="22"/>
      <c r="F1774" s="22"/>
      <c r="G1774" s="22"/>
      <c r="H1774" s="22"/>
      <c r="I1774" s="22"/>
      <c r="J1774" s="22"/>
      <c r="K1774" s="22"/>
      <c r="L1774" s="22"/>
      <c r="M1774" s="22"/>
      <c r="N1774" s="22"/>
    </row>
    <row r="1775" spans="1:14" x14ac:dyDescent="0.3">
      <c r="A1775" s="22" t="s">
        <v>2655</v>
      </c>
      <c r="B1775" s="22">
        <v>8</v>
      </c>
      <c r="C1775" s="22"/>
      <c r="D1775" s="22"/>
      <c r="E1775" s="22"/>
      <c r="F1775" s="22"/>
      <c r="G1775" s="22"/>
      <c r="H1775" s="22"/>
      <c r="I1775" s="22"/>
      <c r="J1775" s="22"/>
      <c r="K1775" s="22"/>
      <c r="L1775" s="22"/>
      <c r="M1775" s="22"/>
      <c r="N1775" s="22"/>
    </row>
    <row r="1776" spans="1:14" x14ac:dyDescent="0.3">
      <c r="A1776" s="22" t="s">
        <v>3575</v>
      </c>
      <c r="B1776" s="22">
        <v>0</v>
      </c>
      <c r="C1776" s="22"/>
      <c r="D1776" s="22"/>
      <c r="E1776" s="22"/>
      <c r="F1776" s="22"/>
      <c r="G1776" s="22"/>
      <c r="H1776" s="22"/>
      <c r="I1776" s="22"/>
      <c r="J1776" s="22"/>
      <c r="K1776" s="22"/>
      <c r="L1776" s="22"/>
      <c r="M1776" s="22"/>
      <c r="N1776" s="22"/>
    </row>
    <row r="1777" spans="1:14" x14ac:dyDescent="0.3">
      <c r="A1777" s="22" t="s">
        <v>3576</v>
      </c>
      <c r="B1777" s="22">
        <v>0</v>
      </c>
      <c r="C1777" s="22"/>
      <c r="D1777" s="22"/>
      <c r="E1777" s="22"/>
      <c r="F1777" s="22"/>
      <c r="G1777" s="22"/>
      <c r="H1777" s="22"/>
      <c r="I1777" s="22"/>
      <c r="J1777" s="22"/>
      <c r="K1777" s="22"/>
      <c r="L1777" s="22"/>
      <c r="M1777" s="22"/>
      <c r="N1777" s="22"/>
    </row>
    <row r="1778" spans="1:14" x14ac:dyDescent="0.3">
      <c r="A1778" s="22" t="s">
        <v>3577</v>
      </c>
      <c r="B1778" s="22">
        <v>0</v>
      </c>
      <c r="C1778" s="22"/>
      <c r="D1778" s="22"/>
      <c r="E1778" s="22"/>
      <c r="F1778" s="22"/>
      <c r="G1778" s="22"/>
      <c r="H1778" s="22"/>
      <c r="I1778" s="22"/>
      <c r="J1778" s="22"/>
      <c r="K1778" s="22"/>
      <c r="L1778" s="22"/>
      <c r="M1778" s="22"/>
      <c r="N1778" s="22"/>
    </row>
    <row r="1779" spans="1:14" x14ac:dyDescent="0.3">
      <c r="A1779" s="22" t="s">
        <v>3578</v>
      </c>
      <c r="B1779" s="22">
        <v>0</v>
      </c>
      <c r="C1779" s="22"/>
      <c r="D1779" s="22"/>
      <c r="E1779" s="22"/>
      <c r="F1779" s="22"/>
      <c r="G1779" s="22"/>
      <c r="H1779" s="22"/>
      <c r="I1779" s="22"/>
      <c r="J1779" s="22"/>
      <c r="K1779" s="22"/>
      <c r="L1779" s="22"/>
      <c r="M1779" s="22"/>
      <c r="N1779" s="22"/>
    </row>
    <row r="1780" spans="1:14" x14ac:dyDescent="0.3">
      <c r="A1780" s="22" t="s">
        <v>3579</v>
      </c>
      <c r="B1780" s="22">
        <v>0</v>
      </c>
      <c r="C1780" s="22"/>
      <c r="D1780" s="22"/>
      <c r="E1780" s="22"/>
      <c r="F1780" s="22"/>
      <c r="G1780" s="22"/>
      <c r="H1780" s="22"/>
      <c r="I1780" s="22"/>
      <c r="J1780" s="22"/>
      <c r="K1780" s="22"/>
      <c r="L1780" s="22"/>
      <c r="M1780" s="22"/>
      <c r="N1780" s="22"/>
    </row>
    <row r="1781" spans="1:14" x14ac:dyDescent="0.3">
      <c r="A1781" s="22" t="s">
        <v>3580</v>
      </c>
      <c r="B1781" s="22">
        <v>0</v>
      </c>
      <c r="C1781" s="22"/>
      <c r="D1781" s="22"/>
      <c r="E1781" s="22"/>
      <c r="F1781" s="22"/>
      <c r="G1781" s="22"/>
      <c r="H1781" s="22"/>
      <c r="I1781" s="22"/>
      <c r="J1781" s="22"/>
      <c r="K1781" s="22"/>
      <c r="L1781" s="22"/>
      <c r="M1781" s="22"/>
      <c r="N1781" s="22"/>
    </row>
    <row r="1782" spans="1:14" x14ac:dyDescent="0.3">
      <c r="A1782" s="22" t="s">
        <v>3581</v>
      </c>
      <c r="B1782" s="22">
        <v>0</v>
      </c>
      <c r="C1782" s="22"/>
      <c r="D1782" s="22"/>
      <c r="E1782" s="22"/>
      <c r="F1782" s="22"/>
      <c r="G1782" s="22"/>
      <c r="H1782" s="22"/>
      <c r="I1782" s="22"/>
      <c r="J1782" s="22"/>
      <c r="K1782" s="22"/>
      <c r="L1782" s="22"/>
      <c r="M1782" s="22"/>
      <c r="N1782" s="22"/>
    </row>
    <row r="1783" spans="1:14" x14ac:dyDescent="0.3">
      <c r="A1783" s="22" t="s">
        <v>2688</v>
      </c>
      <c r="B1783" s="22">
        <v>142</v>
      </c>
      <c r="C1783" s="22"/>
      <c r="D1783" s="22"/>
      <c r="E1783" s="22"/>
      <c r="F1783" s="22"/>
      <c r="G1783" s="22"/>
      <c r="H1783" s="22"/>
      <c r="I1783" s="22"/>
      <c r="J1783" s="22"/>
      <c r="K1783" s="22"/>
      <c r="L1783" s="22"/>
      <c r="M1783" s="22"/>
      <c r="N1783" s="22"/>
    </row>
    <row r="1784" spans="1:14" x14ac:dyDescent="0.3">
      <c r="A1784" s="22" t="s">
        <v>3582</v>
      </c>
      <c r="B1784" s="22">
        <v>0</v>
      </c>
      <c r="C1784" s="22"/>
      <c r="D1784" s="22"/>
      <c r="E1784" s="22"/>
      <c r="F1784" s="22"/>
      <c r="G1784" s="22"/>
      <c r="H1784" s="22"/>
      <c r="I1784" s="22"/>
      <c r="J1784" s="22"/>
      <c r="K1784" s="22"/>
      <c r="L1784" s="22"/>
      <c r="M1784" s="22"/>
      <c r="N1784" s="22"/>
    </row>
    <row r="1785" spans="1:14" x14ac:dyDescent="0.3">
      <c r="A1785" s="22" t="s">
        <v>3583</v>
      </c>
      <c r="B1785" s="22">
        <v>0</v>
      </c>
      <c r="C1785" s="22"/>
      <c r="D1785" s="22"/>
      <c r="E1785" s="22"/>
      <c r="F1785" s="22"/>
      <c r="G1785" s="22"/>
      <c r="H1785" s="22"/>
      <c r="I1785" s="22"/>
      <c r="J1785" s="22"/>
      <c r="K1785" s="22"/>
      <c r="L1785" s="22"/>
      <c r="M1785" s="22"/>
      <c r="N1785" s="22"/>
    </row>
    <row r="1786" spans="1:14" x14ac:dyDescent="0.3">
      <c r="A1786" s="22" t="s">
        <v>3584</v>
      </c>
      <c r="B1786" s="22">
        <v>0</v>
      </c>
      <c r="C1786" s="22"/>
      <c r="D1786" s="22"/>
      <c r="E1786" s="22"/>
      <c r="F1786" s="22"/>
      <c r="G1786" s="22"/>
      <c r="H1786" s="22"/>
      <c r="I1786" s="22"/>
      <c r="J1786" s="22"/>
      <c r="K1786" s="22"/>
      <c r="L1786" s="22"/>
      <c r="M1786" s="22"/>
      <c r="N1786" s="22"/>
    </row>
    <row r="1787" spans="1:14" x14ac:dyDescent="0.3">
      <c r="A1787" s="22" t="s">
        <v>3585</v>
      </c>
      <c r="B1787" s="22">
        <v>0</v>
      </c>
      <c r="C1787" s="22"/>
      <c r="D1787" s="22"/>
      <c r="E1787" s="22"/>
      <c r="F1787" s="22"/>
      <c r="G1787" s="22"/>
      <c r="H1787" s="22"/>
      <c r="I1787" s="22"/>
      <c r="J1787" s="22"/>
      <c r="K1787" s="22"/>
      <c r="L1787" s="22"/>
      <c r="M1787" s="22"/>
      <c r="N1787" s="22"/>
    </row>
    <row r="1788" spans="1:14" x14ac:dyDescent="0.3">
      <c r="A1788" s="22" t="s">
        <v>3586</v>
      </c>
      <c r="B1788" s="22">
        <v>0</v>
      </c>
      <c r="C1788" s="22"/>
      <c r="D1788" s="22"/>
      <c r="E1788" s="22"/>
      <c r="F1788" s="22"/>
      <c r="G1788" s="22"/>
      <c r="H1788" s="22"/>
      <c r="I1788" s="22"/>
      <c r="J1788" s="22"/>
      <c r="K1788" s="22"/>
      <c r="L1788" s="22"/>
      <c r="M1788" s="22"/>
      <c r="N1788" s="22"/>
    </row>
    <row r="1789" spans="1:14" x14ac:dyDescent="0.3">
      <c r="A1789" s="22" t="s">
        <v>3587</v>
      </c>
      <c r="B1789" s="22">
        <v>0</v>
      </c>
      <c r="C1789" s="22"/>
      <c r="D1789" s="22"/>
      <c r="E1789" s="22"/>
      <c r="F1789" s="22"/>
      <c r="G1789" s="22"/>
      <c r="H1789" s="22"/>
      <c r="I1789" s="22"/>
      <c r="J1789" s="22"/>
      <c r="K1789" s="22"/>
      <c r="L1789" s="22"/>
      <c r="M1789" s="22"/>
      <c r="N1789" s="22"/>
    </row>
    <row r="1790" spans="1:14" x14ac:dyDescent="0.3">
      <c r="A1790" s="22" t="s">
        <v>3588</v>
      </c>
      <c r="B1790" s="22">
        <v>0</v>
      </c>
      <c r="C1790" s="22"/>
      <c r="D1790" s="22"/>
      <c r="E1790" s="22"/>
      <c r="F1790" s="22"/>
      <c r="G1790" s="22"/>
      <c r="H1790" s="22"/>
      <c r="I1790" s="22"/>
      <c r="J1790" s="22"/>
      <c r="K1790" s="22"/>
      <c r="L1790" s="22"/>
      <c r="M1790" s="22"/>
      <c r="N1790" s="22"/>
    </row>
    <row r="1791" spans="1:14" x14ac:dyDescent="0.3">
      <c r="A1791" s="22" t="s">
        <v>2689</v>
      </c>
      <c r="B1791" s="22">
        <v>121</v>
      </c>
      <c r="C1791" s="22"/>
      <c r="D1791" s="22"/>
      <c r="E1791" s="22"/>
      <c r="F1791" s="22"/>
      <c r="G1791" s="22"/>
      <c r="H1791" s="22"/>
      <c r="I1791" s="22"/>
      <c r="J1791" s="22"/>
      <c r="K1791" s="22"/>
      <c r="L1791" s="22"/>
      <c r="M1791" s="22"/>
      <c r="N1791" s="22"/>
    </row>
    <row r="1792" spans="1:14" x14ac:dyDescent="0.3">
      <c r="A1792" s="22" t="s">
        <v>3589</v>
      </c>
      <c r="B1792" s="22">
        <v>0</v>
      </c>
      <c r="C1792" s="22"/>
      <c r="D1792" s="22"/>
      <c r="E1792" s="22"/>
      <c r="F1792" s="22"/>
      <c r="G1792" s="22"/>
      <c r="H1792" s="22"/>
      <c r="I1792" s="22"/>
      <c r="J1792" s="22"/>
      <c r="K1792" s="22"/>
      <c r="L1792" s="22"/>
      <c r="M1792" s="22"/>
      <c r="N1792" s="22"/>
    </row>
    <row r="1793" spans="1:14" x14ac:dyDescent="0.3">
      <c r="A1793" s="22" t="s">
        <v>3590</v>
      </c>
      <c r="B1793" s="22">
        <v>0</v>
      </c>
      <c r="C1793" s="22"/>
      <c r="D1793" s="22"/>
      <c r="E1793" s="22"/>
      <c r="F1793" s="22"/>
      <c r="G1793" s="22"/>
      <c r="H1793" s="22"/>
      <c r="I1793" s="22"/>
      <c r="J1793" s="22"/>
      <c r="K1793" s="22"/>
      <c r="L1793" s="22"/>
      <c r="M1793" s="22"/>
      <c r="N1793" s="22"/>
    </row>
    <row r="1794" spans="1:14" x14ac:dyDescent="0.3">
      <c r="A1794" s="22" t="s">
        <v>3591</v>
      </c>
      <c r="B1794" s="22">
        <v>0</v>
      </c>
      <c r="C1794" s="22"/>
      <c r="D1794" s="22"/>
      <c r="E1794" s="22"/>
      <c r="F1794" s="22"/>
      <c r="G1794" s="22"/>
      <c r="H1794" s="22"/>
      <c r="I1794" s="22"/>
      <c r="J1794" s="22"/>
      <c r="K1794" s="22"/>
      <c r="L1794" s="22"/>
      <c r="M1794" s="22"/>
      <c r="N1794" s="22"/>
    </row>
    <row r="1795" spans="1:14" x14ac:dyDescent="0.3">
      <c r="A1795" s="22" t="s">
        <v>3592</v>
      </c>
      <c r="B1795" s="22">
        <v>0</v>
      </c>
      <c r="C1795" s="22"/>
      <c r="D1795" s="22"/>
      <c r="E1795" s="22"/>
      <c r="F1795" s="22"/>
      <c r="G1795" s="22"/>
      <c r="H1795" s="22"/>
      <c r="I1795" s="22"/>
      <c r="J1795" s="22"/>
      <c r="K1795" s="22"/>
      <c r="L1795" s="22"/>
      <c r="M1795" s="22"/>
      <c r="N1795" s="22"/>
    </row>
    <row r="1796" spans="1:14" x14ac:dyDescent="0.3">
      <c r="A1796" s="22" t="s">
        <v>3593</v>
      </c>
      <c r="B1796" s="22">
        <v>0</v>
      </c>
      <c r="C1796" s="22"/>
      <c r="D1796" s="22"/>
      <c r="E1796" s="22"/>
      <c r="F1796" s="22"/>
      <c r="G1796" s="22"/>
      <c r="H1796" s="22"/>
      <c r="I1796" s="22"/>
      <c r="J1796" s="22"/>
      <c r="K1796" s="22"/>
      <c r="L1796" s="22"/>
      <c r="M1796" s="22"/>
      <c r="N1796" s="22"/>
    </row>
    <row r="1797" spans="1:14" x14ac:dyDescent="0.3">
      <c r="A1797" s="22" t="s">
        <v>3594</v>
      </c>
      <c r="B1797" s="22">
        <v>0</v>
      </c>
      <c r="C1797" s="22"/>
      <c r="D1797" s="22"/>
      <c r="E1797" s="22"/>
      <c r="F1797" s="22"/>
      <c r="G1797" s="22"/>
      <c r="H1797" s="22"/>
      <c r="I1797" s="22"/>
      <c r="J1797" s="22"/>
      <c r="K1797" s="22"/>
      <c r="L1797" s="22"/>
      <c r="M1797" s="22"/>
      <c r="N1797" s="22"/>
    </row>
    <row r="1798" spans="1:14" x14ac:dyDescent="0.3">
      <c r="A1798" s="22" t="s">
        <v>3595</v>
      </c>
      <c r="B1798" s="22">
        <v>0</v>
      </c>
      <c r="C1798" s="22"/>
      <c r="D1798" s="22"/>
      <c r="E1798" s="22"/>
      <c r="F1798" s="22"/>
      <c r="G1798" s="22"/>
      <c r="H1798" s="22"/>
      <c r="I1798" s="22"/>
      <c r="J1798" s="22"/>
      <c r="K1798" s="22"/>
      <c r="L1798" s="22"/>
      <c r="M1798" s="22"/>
      <c r="N1798" s="22"/>
    </row>
    <row r="1799" spans="1:14" x14ac:dyDescent="0.3">
      <c r="A1799" s="22" t="s">
        <v>2656</v>
      </c>
      <c r="B1799" s="22">
        <v>24</v>
      </c>
      <c r="C1799" s="22"/>
      <c r="D1799" s="22"/>
      <c r="E1799" s="22"/>
      <c r="F1799" s="22"/>
      <c r="G1799" s="22"/>
      <c r="H1799" s="22"/>
      <c r="I1799" s="22"/>
      <c r="J1799" s="22"/>
      <c r="K1799" s="22"/>
      <c r="L1799" s="22"/>
      <c r="M1799" s="22"/>
      <c r="N1799" s="22"/>
    </row>
    <row r="1800" spans="1:14" x14ac:dyDescent="0.3">
      <c r="A1800" s="22" t="s">
        <v>3596</v>
      </c>
      <c r="B1800" s="22">
        <v>0</v>
      </c>
      <c r="C1800" s="22"/>
      <c r="D1800" s="22"/>
      <c r="E1800" s="22"/>
      <c r="F1800" s="22"/>
      <c r="G1800" s="22"/>
      <c r="H1800" s="22"/>
      <c r="I1800" s="22"/>
      <c r="J1800" s="22"/>
      <c r="K1800" s="22"/>
      <c r="L1800" s="22"/>
      <c r="M1800" s="22"/>
      <c r="N1800" s="22"/>
    </row>
    <row r="1801" spans="1:14" x14ac:dyDescent="0.3">
      <c r="A1801" s="22" t="s">
        <v>3597</v>
      </c>
      <c r="B1801" s="22">
        <v>0</v>
      </c>
      <c r="C1801" s="22"/>
      <c r="D1801" s="22"/>
      <c r="E1801" s="22"/>
      <c r="F1801" s="22"/>
      <c r="G1801" s="22"/>
      <c r="H1801" s="22"/>
      <c r="I1801" s="22"/>
      <c r="J1801" s="22"/>
      <c r="K1801" s="22"/>
      <c r="L1801" s="22"/>
      <c r="M1801" s="22"/>
      <c r="N1801" s="22"/>
    </row>
    <row r="1802" spans="1:14" x14ac:dyDescent="0.3">
      <c r="A1802" s="22" t="s">
        <v>3598</v>
      </c>
      <c r="B1802" s="22">
        <v>0</v>
      </c>
      <c r="C1802" s="22"/>
      <c r="D1802" s="22"/>
      <c r="E1802" s="22"/>
      <c r="F1802" s="22"/>
      <c r="G1802" s="22"/>
      <c r="H1802" s="22"/>
      <c r="I1802" s="22"/>
      <c r="J1802" s="22"/>
      <c r="K1802" s="22"/>
      <c r="L1802" s="22"/>
      <c r="M1802" s="22"/>
      <c r="N1802" s="22"/>
    </row>
    <row r="1803" spans="1:14" x14ac:dyDescent="0.3">
      <c r="A1803" s="22" t="s">
        <v>3599</v>
      </c>
      <c r="B1803" s="22">
        <v>0</v>
      </c>
      <c r="C1803" s="22"/>
      <c r="D1803" s="22"/>
      <c r="E1803" s="22"/>
      <c r="F1803" s="22"/>
      <c r="G1803" s="22"/>
      <c r="H1803" s="22"/>
      <c r="I1803" s="22"/>
      <c r="J1803" s="22"/>
      <c r="K1803" s="22"/>
      <c r="L1803" s="22"/>
      <c r="M1803" s="22"/>
      <c r="N1803" s="22"/>
    </row>
    <row r="1804" spans="1:14" x14ac:dyDescent="0.3">
      <c r="A1804" s="22" t="s">
        <v>3600</v>
      </c>
      <c r="B1804" s="22">
        <v>0</v>
      </c>
      <c r="C1804" s="22"/>
      <c r="D1804" s="22"/>
      <c r="E1804" s="22"/>
      <c r="F1804" s="22"/>
      <c r="G1804" s="22"/>
      <c r="H1804" s="22"/>
      <c r="I1804" s="22"/>
      <c r="J1804" s="22"/>
      <c r="K1804" s="22"/>
      <c r="L1804" s="22"/>
      <c r="M1804" s="22"/>
      <c r="N1804" s="22"/>
    </row>
    <row r="1805" spans="1:14" x14ac:dyDescent="0.3">
      <c r="A1805" s="22" t="s">
        <v>3601</v>
      </c>
      <c r="B1805" s="22">
        <v>0</v>
      </c>
      <c r="C1805" s="22"/>
      <c r="D1805" s="22"/>
      <c r="E1805" s="22"/>
      <c r="F1805" s="22"/>
      <c r="G1805" s="22"/>
      <c r="H1805" s="22"/>
      <c r="I1805" s="22"/>
      <c r="J1805" s="22"/>
      <c r="K1805" s="22"/>
      <c r="L1805" s="22"/>
      <c r="M1805" s="22"/>
      <c r="N1805" s="22"/>
    </row>
    <row r="1806" spans="1:14" x14ac:dyDescent="0.3">
      <c r="A1806" s="22" t="s">
        <v>3602</v>
      </c>
      <c r="B1806" s="22">
        <v>0</v>
      </c>
      <c r="C1806" s="22"/>
      <c r="D1806" s="22"/>
      <c r="E1806" s="22"/>
      <c r="F1806" s="22"/>
      <c r="G1806" s="22"/>
      <c r="H1806" s="22"/>
      <c r="I1806" s="22"/>
      <c r="J1806" s="22"/>
      <c r="K1806" s="22"/>
      <c r="L1806" s="22"/>
      <c r="M1806" s="22"/>
      <c r="N1806" s="22"/>
    </row>
    <row r="1807" spans="1:14" x14ac:dyDescent="0.3">
      <c r="A1807" s="22" t="s">
        <v>2690</v>
      </c>
      <c r="B1807" s="22">
        <v>192</v>
      </c>
      <c r="C1807" s="22"/>
      <c r="D1807" s="22"/>
      <c r="E1807" s="22"/>
      <c r="F1807" s="22"/>
      <c r="G1807" s="22"/>
      <c r="H1807" s="22"/>
      <c r="I1807" s="22"/>
      <c r="J1807" s="22"/>
      <c r="K1807" s="22"/>
      <c r="L1807" s="22"/>
      <c r="M1807" s="22"/>
      <c r="N1807" s="22"/>
    </row>
    <row r="1808" spans="1:14" x14ac:dyDescent="0.3">
      <c r="A1808" s="22" t="s">
        <v>3603</v>
      </c>
      <c r="B1808" s="22">
        <v>0</v>
      </c>
      <c r="C1808" s="22"/>
      <c r="D1808" s="22"/>
      <c r="E1808" s="22"/>
      <c r="F1808" s="22"/>
      <c r="G1808" s="22"/>
      <c r="H1808" s="22"/>
      <c r="I1808" s="22"/>
      <c r="J1808" s="22"/>
      <c r="K1808" s="22"/>
      <c r="L1808" s="22"/>
      <c r="M1808" s="22"/>
      <c r="N1808" s="22"/>
    </row>
    <row r="1809" spans="1:14" x14ac:dyDescent="0.3">
      <c r="A1809" s="22" t="s">
        <v>3604</v>
      </c>
      <c r="B1809" s="22">
        <v>0</v>
      </c>
      <c r="C1809" s="22"/>
      <c r="D1809" s="22"/>
      <c r="E1809" s="22"/>
      <c r="F1809" s="22"/>
      <c r="G1809" s="22"/>
      <c r="H1809" s="22"/>
      <c r="I1809" s="22"/>
      <c r="J1809" s="22"/>
      <c r="K1809" s="22"/>
      <c r="L1809" s="22"/>
      <c r="M1809" s="22"/>
      <c r="N1809" s="22"/>
    </row>
    <row r="1810" spans="1:14" x14ac:dyDescent="0.3">
      <c r="A1810" s="22" t="s">
        <v>3605</v>
      </c>
      <c r="B1810" s="22">
        <v>0</v>
      </c>
      <c r="C1810" s="22"/>
      <c r="D1810" s="22"/>
      <c r="E1810" s="22"/>
      <c r="F1810" s="22"/>
      <c r="G1810" s="22"/>
      <c r="H1810" s="22"/>
      <c r="I1810" s="22"/>
      <c r="J1810" s="22"/>
      <c r="K1810" s="22"/>
      <c r="L1810" s="22"/>
      <c r="M1810" s="22"/>
      <c r="N1810" s="22"/>
    </row>
    <row r="1811" spans="1:14" x14ac:dyDescent="0.3">
      <c r="A1811" s="22" t="s">
        <v>3606</v>
      </c>
      <c r="B1811" s="22">
        <v>0</v>
      </c>
      <c r="C1811" s="22"/>
      <c r="D1811" s="22"/>
      <c r="E1811" s="22"/>
      <c r="F1811" s="22"/>
      <c r="G1811" s="22"/>
      <c r="H1811" s="22"/>
      <c r="I1811" s="22"/>
      <c r="J1811" s="22"/>
      <c r="K1811" s="22"/>
      <c r="L1811" s="22"/>
      <c r="M1811" s="22"/>
      <c r="N1811" s="22"/>
    </row>
    <row r="1812" spans="1:14" x14ac:dyDescent="0.3">
      <c r="A1812" s="22" t="s">
        <v>3607</v>
      </c>
      <c r="B1812" s="22">
        <v>0</v>
      </c>
      <c r="C1812" s="22"/>
      <c r="D1812" s="22"/>
      <c r="E1812" s="22"/>
      <c r="F1812" s="22"/>
      <c r="G1812" s="22"/>
      <c r="H1812" s="22"/>
      <c r="I1812" s="22"/>
      <c r="J1812" s="22"/>
      <c r="K1812" s="22"/>
      <c r="L1812" s="22"/>
      <c r="M1812" s="22"/>
      <c r="N1812" s="22"/>
    </row>
    <row r="1813" spans="1:14" x14ac:dyDescent="0.3">
      <c r="A1813" s="22" t="s">
        <v>3608</v>
      </c>
      <c r="B1813" s="22">
        <v>0</v>
      </c>
      <c r="C1813" s="22"/>
      <c r="D1813" s="22"/>
      <c r="E1813" s="22"/>
      <c r="F1813" s="22"/>
      <c r="G1813" s="22"/>
      <c r="H1813" s="22"/>
      <c r="I1813" s="22"/>
      <c r="J1813" s="22"/>
      <c r="K1813" s="22"/>
      <c r="L1813" s="22"/>
      <c r="M1813" s="22"/>
      <c r="N1813" s="22"/>
    </row>
    <row r="1814" spans="1:14" x14ac:dyDescent="0.3">
      <c r="A1814" s="22" t="s">
        <v>3609</v>
      </c>
      <c r="B1814" s="22">
        <v>0</v>
      </c>
      <c r="C1814" s="22"/>
      <c r="D1814" s="22"/>
      <c r="E1814" s="22"/>
      <c r="F1814" s="22"/>
      <c r="G1814" s="22"/>
      <c r="H1814" s="22"/>
      <c r="I1814" s="22"/>
      <c r="J1814" s="22"/>
      <c r="K1814" s="22"/>
      <c r="L1814" s="22"/>
      <c r="M1814" s="22"/>
      <c r="N1814" s="22"/>
    </row>
    <row r="1815" spans="1:14" x14ac:dyDescent="0.3">
      <c r="A1815" s="22" t="s">
        <v>2691</v>
      </c>
      <c r="B1815" s="22">
        <v>40</v>
      </c>
      <c r="C1815" s="22"/>
      <c r="D1815" s="22"/>
      <c r="E1815" s="22"/>
      <c r="F1815" s="22"/>
      <c r="G1815" s="22"/>
      <c r="H1815" s="22"/>
      <c r="I1815" s="22"/>
      <c r="J1815" s="22"/>
      <c r="K1815" s="22"/>
      <c r="L1815" s="22"/>
      <c r="M1815" s="22"/>
      <c r="N1815" s="22"/>
    </row>
    <row r="1816" spans="1:14" x14ac:dyDescent="0.3">
      <c r="A1816" s="22" t="s">
        <v>3610</v>
      </c>
      <c r="B1816" s="22">
        <v>0</v>
      </c>
      <c r="C1816" s="22"/>
      <c r="D1816" s="22"/>
      <c r="E1816" s="22"/>
      <c r="F1816" s="22"/>
      <c r="G1816" s="22"/>
      <c r="H1816" s="22"/>
      <c r="I1816" s="22"/>
      <c r="J1816" s="22"/>
      <c r="K1816" s="22"/>
      <c r="L1816" s="22"/>
      <c r="M1816" s="22"/>
      <c r="N1816" s="22"/>
    </row>
    <row r="1817" spans="1:14" x14ac:dyDescent="0.3">
      <c r="A1817" s="22" t="s">
        <v>3611</v>
      </c>
      <c r="B1817" s="22">
        <v>0</v>
      </c>
      <c r="C1817" s="22"/>
      <c r="D1817" s="22"/>
      <c r="E1817" s="22"/>
      <c r="F1817" s="22"/>
      <c r="G1817" s="22"/>
      <c r="H1817" s="22"/>
      <c r="I1817" s="22"/>
      <c r="J1817" s="22"/>
      <c r="K1817" s="22"/>
      <c r="L1817" s="22"/>
      <c r="M1817" s="22"/>
      <c r="N1817" s="22"/>
    </row>
    <row r="1818" spans="1:14" x14ac:dyDescent="0.3">
      <c r="A1818" s="22" t="s">
        <v>3612</v>
      </c>
      <c r="B1818" s="22">
        <v>0</v>
      </c>
      <c r="C1818" s="22"/>
      <c r="D1818" s="22"/>
      <c r="E1818" s="22"/>
      <c r="F1818" s="22"/>
      <c r="G1818" s="22"/>
      <c r="H1818" s="22"/>
      <c r="I1818" s="22"/>
      <c r="J1818" s="22"/>
      <c r="K1818" s="22"/>
      <c r="L1818" s="22"/>
      <c r="M1818" s="22"/>
      <c r="N1818" s="22"/>
    </row>
    <row r="1819" spans="1:14" x14ac:dyDescent="0.3">
      <c r="A1819" s="22" t="s">
        <v>3613</v>
      </c>
      <c r="B1819" s="22">
        <v>0</v>
      </c>
      <c r="C1819" s="22"/>
      <c r="D1819" s="22"/>
      <c r="E1819" s="22"/>
      <c r="F1819" s="22"/>
      <c r="G1819" s="22"/>
      <c r="H1819" s="22"/>
      <c r="I1819" s="22"/>
      <c r="J1819" s="22"/>
      <c r="K1819" s="22"/>
      <c r="L1819" s="22"/>
      <c r="M1819" s="22"/>
      <c r="N1819" s="22"/>
    </row>
    <row r="1820" spans="1:14" x14ac:dyDescent="0.3">
      <c r="A1820" s="22" t="s">
        <v>3614</v>
      </c>
      <c r="B1820" s="22">
        <v>0</v>
      </c>
      <c r="C1820" s="22"/>
      <c r="D1820" s="22"/>
      <c r="E1820" s="22"/>
      <c r="F1820" s="22"/>
      <c r="G1820" s="22"/>
      <c r="H1820" s="22"/>
      <c r="I1820" s="22"/>
      <c r="J1820" s="22"/>
      <c r="K1820" s="22"/>
      <c r="L1820" s="22"/>
      <c r="M1820" s="22"/>
      <c r="N1820" s="22"/>
    </row>
    <row r="1821" spans="1:14" x14ac:dyDescent="0.3">
      <c r="A1821" s="22" t="s">
        <v>3615</v>
      </c>
      <c r="B1821" s="22">
        <v>0</v>
      </c>
      <c r="C1821" s="22"/>
      <c r="D1821" s="22"/>
      <c r="E1821" s="22"/>
      <c r="F1821" s="22"/>
      <c r="G1821" s="22"/>
      <c r="H1821" s="22"/>
      <c r="I1821" s="22"/>
      <c r="J1821" s="22"/>
      <c r="K1821" s="22"/>
      <c r="L1821" s="22"/>
      <c r="M1821" s="22"/>
      <c r="N1821" s="22"/>
    </row>
    <row r="1822" spans="1:14" x14ac:dyDescent="0.3">
      <c r="A1822" s="22" t="s">
        <v>3616</v>
      </c>
      <c r="B1822" s="22">
        <v>0</v>
      </c>
      <c r="C1822" s="22"/>
      <c r="D1822" s="22"/>
      <c r="E1822" s="22"/>
      <c r="F1822" s="22"/>
      <c r="G1822" s="22"/>
      <c r="H1822" s="22"/>
      <c r="I1822" s="22"/>
      <c r="J1822" s="22"/>
      <c r="K1822" s="22"/>
      <c r="L1822" s="22"/>
      <c r="M1822" s="22"/>
      <c r="N1822" s="22"/>
    </row>
    <row r="1823" spans="1:14" x14ac:dyDescent="0.3">
      <c r="A1823" s="22" t="s">
        <v>2657</v>
      </c>
      <c r="B1823" s="22">
        <v>16</v>
      </c>
      <c r="C1823" s="22"/>
      <c r="D1823" s="22"/>
      <c r="E1823" s="22"/>
      <c r="F1823" s="22"/>
      <c r="G1823" s="22"/>
      <c r="H1823" s="22"/>
      <c r="I1823" s="22"/>
      <c r="J1823" s="22"/>
      <c r="K1823" s="22"/>
      <c r="L1823" s="22"/>
      <c r="M1823" s="22"/>
      <c r="N1823" s="22"/>
    </row>
    <row r="1824" spans="1:14" x14ac:dyDescent="0.3">
      <c r="A1824" s="22" t="s">
        <v>3617</v>
      </c>
      <c r="B1824" s="22">
        <v>0</v>
      </c>
      <c r="C1824" s="22"/>
      <c r="D1824" s="22"/>
      <c r="E1824" s="22"/>
      <c r="F1824" s="22"/>
      <c r="G1824" s="22"/>
      <c r="H1824" s="22"/>
      <c r="I1824" s="22"/>
      <c r="J1824" s="22"/>
      <c r="K1824" s="22"/>
      <c r="L1824" s="22"/>
      <c r="M1824" s="22"/>
      <c r="N1824" s="22"/>
    </row>
    <row r="1825" spans="1:14" x14ac:dyDescent="0.3">
      <c r="A1825" s="22" t="s">
        <v>3618</v>
      </c>
      <c r="B1825" s="22">
        <v>0</v>
      </c>
      <c r="C1825" s="22"/>
      <c r="D1825" s="22"/>
      <c r="E1825" s="22"/>
      <c r="F1825" s="22"/>
      <c r="G1825" s="22"/>
      <c r="H1825" s="22"/>
      <c r="I1825" s="22"/>
      <c r="J1825" s="22"/>
      <c r="K1825" s="22"/>
      <c r="L1825" s="22"/>
      <c r="M1825" s="22"/>
      <c r="N1825" s="22"/>
    </row>
    <row r="1826" spans="1:14" x14ac:dyDescent="0.3">
      <c r="A1826" s="22" t="s">
        <v>3619</v>
      </c>
      <c r="B1826" s="22">
        <v>0</v>
      </c>
      <c r="C1826" s="22"/>
      <c r="D1826" s="22"/>
      <c r="E1826" s="22"/>
      <c r="F1826" s="22"/>
      <c r="G1826" s="22"/>
      <c r="H1826" s="22"/>
      <c r="I1826" s="22"/>
      <c r="J1826" s="22"/>
      <c r="K1826" s="22"/>
      <c r="L1826" s="22"/>
      <c r="M1826" s="22"/>
      <c r="N1826" s="22"/>
    </row>
    <row r="1827" spans="1:14" x14ac:dyDescent="0.3">
      <c r="A1827" s="22" t="s">
        <v>3620</v>
      </c>
      <c r="B1827" s="22">
        <v>0</v>
      </c>
      <c r="C1827" s="22"/>
      <c r="D1827" s="22"/>
      <c r="E1827" s="22"/>
      <c r="F1827" s="22"/>
      <c r="G1827" s="22"/>
      <c r="H1827" s="22"/>
      <c r="I1827" s="22"/>
      <c r="J1827" s="22"/>
      <c r="K1827" s="22"/>
      <c r="L1827" s="22"/>
      <c r="M1827" s="22"/>
      <c r="N1827" s="22"/>
    </row>
    <row r="1828" spans="1:14" x14ac:dyDescent="0.3">
      <c r="A1828" s="22" t="s">
        <v>3621</v>
      </c>
      <c r="B1828" s="22">
        <v>0</v>
      </c>
      <c r="C1828" s="22"/>
      <c r="D1828" s="22"/>
      <c r="E1828" s="22"/>
      <c r="F1828" s="22"/>
      <c r="G1828" s="22"/>
      <c r="H1828" s="22"/>
      <c r="I1828" s="22"/>
      <c r="J1828" s="22"/>
      <c r="K1828" s="22"/>
      <c r="L1828" s="22"/>
      <c r="M1828" s="22"/>
      <c r="N1828" s="22"/>
    </row>
    <row r="1829" spans="1:14" x14ac:dyDescent="0.3">
      <c r="A1829" s="22" t="s">
        <v>3622</v>
      </c>
      <c r="B1829" s="22">
        <v>0</v>
      </c>
      <c r="C1829" s="22"/>
      <c r="D1829" s="22"/>
      <c r="E1829" s="22"/>
      <c r="F1829" s="22"/>
      <c r="G1829" s="22"/>
      <c r="H1829" s="22"/>
      <c r="I1829" s="22"/>
      <c r="J1829" s="22"/>
      <c r="K1829" s="22"/>
      <c r="L1829" s="22"/>
      <c r="M1829" s="22"/>
      <c r="N1829" s="22"/>
    </row>
    <row r="1830" spans="1:14" x14ac:dyDescent="0.3">
      <c r="A1830" s="22" t="s">
        <v>3623</v>
      </c>
      <c r="B1830" s="22">
        <v>0</v>
      </c>
      <c r="C1830" s="22"/>
      <c r="D1830" s="22"/>
      <c r="E1830" s="22"/>
      <c r="F1830" s="22"/>
      <c r="G1830" s="22"/>
      <c r="H1830" s="22"/>
      <c r="I1830" s="22"/>
      <c r="J1830" s="22"/>
      <c r="K1830" s="22"/>
      <c r="L1830" s="22"/>
      <c r="M1830" s="22"/>
      <c r="N1830" s="22"/>
    </row>
    <row r="1831" spans="1:14" x14ac:dyDescent="0.3">
      <c r="A1831" s="22" t="s">
        <v>2692</v>
      </c>
      <c r="B1831" s="22">
        <v>0</v>
      </c>
      <c r="C1831" s="22"/>
      <c r="D1831" s="22"/>
      <c r="E1831" s="22"/>
      <c r="F1831" s="22"/>
      <c r="G1831" s="22"/>
      <c r="H1831" s="22"/>
      <c r="I1831" s="22"/>
      <c r="J1831" s="22"/>
      <c r="K1831" s="22"/>
      <c r="L1831" s="22"/>
      <c r="M1831" s="22"/>
      <c r="N1831" s="22"/>
    </row>
    <row r="1832" spans="1:14" x14ac:dyDescent="0.3">
      <c r="A1832" s="22" t="s">
        <v>3624</v>
      </c>
      <c r="B1832" s="22">
        <v>0</v>
      </c>
      <c r="C1832" s="22"/>
      <c r="D1832" s="22"/>
      <c r="E1832" s="22"/>
      <c r="F1832" s="22"/>
      <c r="G1832" s="22"/>
      <c r="H1832" s="22"/>
      <c r="I1832" s="22"/>
      <c r="J1832" s="22"/>
      <c r="K1832" s="22"/>
      <c r="L1832" s="22"/>
      <c r="M1832" s="22"/>
      <c r="N1832" s="22"/>
    </row>
    <row r="1833" spans="1:14" x14ac:dyDescent="0.3">
      <c r="A1833" s="22" t="s">
        <v>3625</v>
      </c>
      <c r="B1833" s="22">
        <v>0</v>
      </c>
      <c r="C1833" s="22"/>
      <c r="D1833" s="22"/>
      <c r="E1833" s="22"/>
      <c r="F1833" s="22"/>
      <c r="G1833" s="22"/>
      <c r="H1833" s="22"/>
      <c r="I1833" s="22"/>
      <c r="J1833" s="22"/>
      <c r="K1833" s="22"/>
      <c r="L1833" s="22"/>
      <c r="M1833" s="22"/>
      <c r="N1833" s="22"/>
    </row>
    <row r="1834" spans="1:14" x14ac:dyDescent="0.3">
      <c r="A1834" s="22" t="s">
        <v>3626</v>
      </c>
      <c r="B1834" s="22">
        <v>0</v>
      </c>
      <c r="C1834" s="22"/>
      <c r="D1834" s="22"/>
      <c r="E1834" s="22"/>
      <c r="F1834" s="22"/>
      <c r="G1834" s="22"/>
      <c r="H1834" s="22"/>
      <c r="I1834" s="22"/>
      <c r="J1834" s="22"/>
      <c r="K1834" s="22"/>
      <c r="L1834" s="22"/>
      <c r="M1834" s="22"/>
      <c r="N1834" s="22"/>
    </row>
    <row r="1835" spans="1:14" x14ac:dyDescent="0.3">
      <c r="A1835" s="22" t="s">
        <v>3627</v>
      </c>
      <c r="B1835" s="22">
        <v>0</v>
      </c>
      <c r="C1835" s="22"/>
      <c r="D1835" s="22"/>
      <c r="E1835" s="22"/>
      <c r="F1835" s="22"/>
      <c r="G1835" s="22"/>
      <c r="H1835" s="22"/>
      <c r="I1835" s="22"/>
      <c r="J1835" s="22"/>
      <c r="K1835" s="22"/>
      <c r="L1835" s="22"/>
      <c r="M1835" s="22"/>
      <c r="N1835" s="22"/>
    </row>
    <row r="1836" spans="1:14" x14ac:dyDescent="0.3">
      <c r="A1836" s="22" t="s">
        <v>3628</v>
      </c>
      <c r="B1836" s="22">
        <v>0</v>
      </c>
      <c r="C1836" s="22"/>
      <c r="D1836" s="22"/>
      <c r="E1836" s="22"/>
      <c r="F1836" s="22"/>
      <c r="G1836" s="22"/>
      <c r="H1836" s="22"/>
      <c r="I1836" s="22"/>
      <c r="J1836" s="22"/>
      <c r="K1836" s="22"/>
      <c r="L1836" s="22"/>
      <c r="M1836" s="22"/>
      <c r="N1836" s="22"/>
    </row>
    <row r="1837" spans="1:14" x14ac:dyDescent="0.3">
      <c r="A1837" s="22" t="s">
        <v>3629</v>
      </c>
      <c r="B1837" s="22">
        <v>0</v>
      </c>
      <c r="C1837" s="22"/>
      <c r="D1837" s="22"/>
      <c r="E1837" s="22"/>
      <c r="F1837" s="22"/>
      <c r="G1837" s="22"/>
      <c r="H1837" s="22"/>
      <c r="I1837" s="22"/>
      <c r="J1837" s="22"/>
      <c r="K1837" s="22"/>
      <c r="L1837" s="22"/>
      <c r="M1837" s="22"/>
      <c r="N1837" s="22"/>
    </row>
    <row r="1838" spans="1:14" x14ac:dyDescent="0.3">
      <c r="A1838" s="22" t="s">
        <v>3630</v>
      </c>
      <c r="B1838" s="22">
        <v>0</v>
      </c>
      <c r="C1838" s="22"/>
      <c r="D1838" s="22"/>
      <c r="E1838" s="22"/>
      <c r="F1838" s="22"/>
      <c r="G1838" s="22"/>
      <c r="H1838" s="22"/>
      <c r="I1838" s="22"/>
      <c r="J1838" s="22"/>
      <c r="K1838" s="22"/>
      <c r="L1838" s="22"/>
      <c r="M1838" s="22"/>
      <c r="N1838" s="22"/>
    </row>
    <row r="1839" spans="1:14" x14ac:dyDescent="0.3">
      <c r="A1839" s="22" t="s">
        <v>2693</v>
      </c>
      <c r="B1839" s="22">
        <v>130</v>
      </c>
      <c r="C1839" s="22"/>
      <c r="D1839" s="22"/>
      <c r="E1839" s="22"/>
      <c r="F1839" s="22"/>
      <c r="G1839" s="22"/>
      <c r="H1839" s="22"/>
      <c r="I1839" s="22"/>
      <c r="J1839" s="22"/>
      <c r="K1839" s="22"/>
      <c r="L1839" s="22"/>
      <c r="M1839" s="22"/>
      <c r="N1839" s="22"/>
    </row>
    <row r="1840" spans="1:14" x14ac:dyDescent="0.3">
      <c r="A1840" s="22" t="s">
        <v>3631</v>
      </c>
      <c r="B1840" s="22">
        <v>0</v>
      </c>
      <c r="C1840" s="22"/>
      <c r="D1840" s="22"/>
      <c r="E1840" s="22"/>
      <c r="F1840" s="22"/>
      <c r="G1840" s="22"/>
      <c r="H1840" s="22"/>
      <c r="I1840" s="22"/>
      <c r="J1840" s="22"/>
      <c r="K1840" s="22"/>
      <c r="L1840" s="22"/>
      <c r="M1840" s="22"/>
      <c r="N1840" s="22"/>
    </row>
    <row r="1841" spans="1:14" x14ac:dyDescent="0.3">
      <c r="A1841" s="22" t="s">
        <v>3632</v>
      </c>
      <c r="B1841" s="22">
        <v>0</v>
      </c>
      <c r="C1841" s="22"/>
      <c r="D1841" s="22"/>
      <c r="E1841" s="22"/>
      <c r="F1841" s="22"/>
      <c r="G1841" s="22"/>
      <c r="H1841" s="22"/>
      <c r="I1841" s="22"/>
      <c r="J1841" s="22"/>
      <c r="K1841" s="22"/>
      <c r="L1841" s="22"/>
      <c r="M1841" s="22"/>
      <c r="N1841" s="22"/>
    </row>
    <row r="1842" spans="1:14" x14ac:dyDescent="0.3">
      <c r="A1842" s="22" t="s">
        <v>3633</v>
      </c>
      <c r="B1842" s="22">
        <v>0</v>
      </c>
      <c r="C1842" s="22"/>
      <c r="D1842" s="22"/>
      <c r="E1842" s="22"/>
      <c r="F1842" s="22"/>
      <c r="G1842" s="22"/>
      <c r="H1842" s="22"/>
      <c r="I1842" s="22"/>
      <c r="J1842" s="22"/>
      <c r="K1842" s="22"/>
      <c r="L1842" s="22"/>
      <c r="M1842" s="22"/>
      <c r="N1842" s="22"/>
    </row>
    <row r="1843" spans="1:14" x14ac:dyDescent="0.3">
      <c r="A1843" s="22" t="s">
        <v>3634</v>
      </c>
      <c r="B1843" s="22">
        <v>0</v>
      </c>
      <c r="C1843" s="22"/>
      <c r="D1843" s="22"/>
      <c r="E1843" s="22"/>
      <c r="F1843" s="22"/>
      <c r="G1843" s="22"/>
      <c r="H1843" s="22"/>
      <c r="I1843" s="22"/>
      <c r="J1843" s="22"/>
      <c r="K1843" s="22"/>
      <c r="L1843" s="22"/>
      <c r="M1843" s="22"/>
      <c r="N1843" s="22"/>
    </row>
    <row r="1844" spans="1:14" x14ac:dyDescent="0.3">
      <c r="A1844" s="22" t="s">
        <v>3635</v>
      </c>
      <c r="B1844" s="22">
        <v>0</v>
      </c>
      <c r="C1844" s="22"/>
      <c r="D1844" s="22"/>
      <c r="E1844" s="22"/>
      <c r="F1844" s="22"/>
      <c r="G1844" s="22"/>
      <c r="H1844" s="22"/>
      <c r="I1844" s="22"/>
      <c r="J1844" s="22"/>
      <c r="K1844" s="22"/>
      <c r="L1844" s="22"/>
      <c r="M1844" s="22"/>
      <c r="N1844" s="22"/>
    </row>
    <row r="1845" spans="1:14" x14ac:dyDescent="0.3">
      <c r="A1845" s="22" t="s">
        <v>3636</v>
      </c>
      <c r="B1845" s="22">
        <v>0</v>
      </c>
      <c r="C1845" s="22"/>
      <c r="D1845" s="22"/>
      <c r="E1845" s="22"/>
      <c r="F1845" s="22"/>
      <c r="G1845" s="22"/>
      <c r="H1845" s="22"/>
      <c r="I1845" s="22"/>
      <c r="J1845" s="22"/>
      <c r="K1845" s="22"/>
      <c r="L1845" s="22"/>
      <c r="M1845" s="22"/>
      <c r="N1845" s="22"/>
    </row>
    <row r="1846" spans="1:14" x14ac:dyDescent="0.3">
      <c r="A1846" s="22" t="s">
        <v>3637</v>
      </c>
      <c r="B1846" s="22">
        <v>0</v>
      </c>
      <c r="C1846" s="22"/>
      <c r="D1846" s="22"/>
      <c r="E1846" s="22"/>
      <c r="F1846" s="22"/>
      <c r="G1846" s="22"/>
      <c r="H1846" s="22"/>
      <c r="I1846" s="22"/>
      <c r="J1846" s="22"/>
      <c r="K1846" s="22"/>
      <c r="L1846" s="22"/>
      <c r="M1846" s="22"/>
      <c r="N1846" s="22"/>
    </row>
    <row r="1847" spans="1:14" x14ac:dyDescent="0.3">
      <c r="A1847" s="22" t="s">
        <v>2694</v>
      </c>
      <c r="B1847" s="22">
        <v>446</v>
      </c>
      <c r="C1847" s="22"/>
      <c r="D1847" s="22"/>
      <c r="E1847" s="22"/>
      <c r="F1847" s="22"/>
      <c r="G1847" s="22"/>
      <c r="H1847" s="22"/>
      <c r="I1847" s="22"/>
      <c r="J1847" s="22"/>
      <c r="K1847" s="22"/>
      <c r="L1847" s="22"/>
      <c r="M1847" s="22"/>
      <c r="N1847" s="22"/>
    </row>
    <row r="1848" spans="1:14" x14ac:dyDescent="0.3">
      <c r="A1848" s="22" t="s">
        <v>3638</v>
      </c>
      <c r="B1848" s="22">
        <v>0</v>
      </c>
      <c r="C1848" s="22"/>
      <c r="D1848" s="22"/>
      <c r="E1848" s="22"/>
      <c r="F1848" s="22"/>
      <c r="G1848" s="22"/>
      <c r="H1848" s="22"/>
      <c r="I1848" s="22"/>
      <c r="J1848" s="22"/>
      <c r="K1848" s="22"/>
      <c r="L1848" s="22"/>
      <c r="M1848" s="22"/>
      <c r="N1848" s="22"/>
    </row>
    <row r="1849" spans="1:14" x14ac:dyDescent="0.3">
      <c r="A1849" s="22" t="s">
        <v>3639</v>
      </c>
      <c r="B1849" s="22">
        <v>0</v>
      </c>
      <c r="C1849" s="22"/>
      <c r="D1849" s="22"/>
      <c r="E1849" s="22"/>
      <c r="F1849" s="22"/>
      <c r="G1849" s="22"/>
      <c r="H1849" s="22"/>
      <c r="I1849" s="22"/>
      <c r="J1849" s="22"/>
      <c r="K1849" s="22"/>
      <c r="L1849" s="22"/>
      <c r="M1849" s="22"/>
      <c r="N1849" s="22"/>
    </row>
    <row r="1850" spans="1:14" x14ac:dyDescent="0.3">
      <c r="A1850" s="22" t="s">
        <v>3640</v>
      </c>
      <c r="B1850" s="22">
        <v>0</v>
      </c>
      <c r="C1850" s="22"/>
      <c r="D1850" s="22"/>
      <c r="E1850" s="22"/>
      <c r="F1850" s="22"/>
      <c r="G1850" s="22"/>
      <c r="H1850" s="22"/>
      <c r="I1850" s="22"/>
      <c r="J1850" s="22"/>
      <c r="K1850" s="22"/>
      <c r="L1850" s="22"/>
      <c r="M1850" s="22"/>
      <c r="N1850" s="22"/>
    </row>
    <row r="1851" spans="1:14" x14ac:dyDescent="0.3">
      <c r="A1851" s="22" t="s">
        <v>3641</v>
      </c>
      <c r="B1851" s="22">
        <v>1</v>
      </c>
      <c r="C1851" s="22"/>
      <c r="D1851" s="22"/>
      <c r="E1851" s="22"/>
      <c r="F1851" s="22"/>
      <c r="G1851" s="22"/>
      <c r="H1851" s="22"/>
      <c r="I1851" s="22"/>
      <c r="J1851" s="22"/>
      <c r="K1851" s="22"/>
      <c r="L1851" s="22"/>
      <c r="M1851" s="22"/>
      <c r="N1851" s="22"/>
    </row>
    <row r="1852" spans="1:14" x14ac:dyDescent="0.3">
      <c r="A1852" s="22" t="s">
        <v>3642</v>
      </c>
      <c r="B1852" s="22">
        <v>0</v>
      </c>
      <c r="C1852" s="22"/>
      <c r="D1852" s="22"/>
      <c r="E1852" s="22"/>
      <c r="F1852" s="22"/>
      <c r="G1852" s="22"/>
      <c r="H1852" s="22"/>
      <c r="I1852" s="22"/>
      <c r="J1852" s="22"/>
      <c r="K1852" s="22"/>
      <c r="L1852" s="22"/>
      <c r="M1852" s="22"/>
      <c r="N1852" s="22"/>
    </row>
    <row r="1853" spans="1:14" x14ac:dyDescent="0.3">
      <c r="A1853" s="22" t="s">
        <v>3643</v>
      </c>
      <c r="B1853" s="22">
        <v>0</v>
      </c>
      <c r="C1853" s="22"/>
      <c r="D1853" s="22"/>
      <c r="E1853" s="22"/>
      <c r="F1853" s="22"/>
      <c r="G1853" s="22"/>
      <c r="H1853" s="22"/>
      <c r="I1853" s="22"/>
      <c r="J1853" s="22"/>
      <c r="K1853" s="22"/>
      <c r="L1853" s="22"/>
      <c r="M1853" s="22"/>
      <c r="N1853" s="22"/>
    </row>
    <row r="1854" spans="1:14" x14ac:dyDescent="0.3">
      <c r="A1854" s="22" t="s">
        <v>3644</v>
      </c>
      <c r="B1854" s="22">
        <v>0</v>
      </c>
      <c r="C1854" s="22"/>
      <c r="D1854" s="22"/>
      <c r="E1854" s="22"/>
      <c r="F1854" s="22"/>
      <c r="G1854" s="22"/>
      <c r="H1854" s="22"/>
      <c r="I1854" s="22"/>
      <c r="J1854" s="22"/>
      <c r="K1854" s="22"/>
      <c r="L1854" s="22"/>
      <c r="M1854" s="22"/>
      <c r="N1854" s="22"/>
    </row>
    <row r="1855" spans="1:14" x14ac:dyDescent="0.3">
      <c r="A1855" s="22" t="s">
        <v>2695</v>
      </c>
      <c r="B1855" s="22">
        <v>229</v>
      </c>
      <c r="C1855" s="22"/>
      <c r="D1855" s="22"/>
      <c r="E1855" s="22"/>
      <c r="F1855" s="22"/>
      <c r="G1855" s="22"/>
      <c r="H1855" s="22"/>
      <c r="I1855" s="22"/>
      <c r="J1855" s="22"/>
      <c r="K1855" s="22"/>
      <c r="L1855" s="22"/>
      <c r="M1855" s="22"/>
      <c r="N1855" s="22"/>
    </row>
    <row r="1856" spans="1:14" x14ac:dyDescent="0.3">
      <c r="A1856" s="22" t="s">
        <v>3645</v>
      </c>
      <c r="B1856" s="22">
        <v>0</v>
      </c>
      <c r="C1856" s="22"/>
      <c r="D1856" s="22"/>
      <c r="E1856" s="22"/>
      <c r="F1856" s="22"/>
      <c r="G1856" s="22"/>
      <c r="H1856" s="22"/>
      <c r="I1856" s="22"/>
      <c r="J1856" s="22"/>
      <c r="K1856" s="22"/>
      <c r="L1856" s="22"/>
      <c r="M1856" s="22"/>
      <c r="N1856" s="22"/>
    </row>
    <row r="1857" spans="1:14" x14ac:dyDescent="0.3">
      <c r="A1857" s="22" t="s">
        <v>3646</v>
      </c>
      <c r="B1857" s="22">
        <v>0</v>
      </c>
      <c r="C1857" s="22"/>
      <c r="D1857" s="22"/>
      <c r="E1857" s="22"/>
      <c r="F1857" s="22"/>
      <c r="G1857" s="22"/>
      <c r="H1857" s="22"/>
      <c r="I1857" s="22"/>
      <c r="J1857" s="22"/>
      <c r="K1857" s="22"/>
      <c r="L1857" s="22"/>
      <c r="M1857" s="22"/>
      <c r="N1857" s="22"/>
    </row>
    <row r="1858" spans="1:14" x14ac:dyDescent="0.3">
      <c r="A1858" s="22" t="s">
        <v>3647</v>
      </c>
      <c r="B1858" s="22">
        <v>0</v>
      </c>
      <c r="C1858" s="22"/>
      <c r="D1858" s="22"/>
      <c r="E1858" s="22"/>
      <c r="F1858" s="22"/>
      <c r="G1858" s="22"/>
      <c r="H1858" s="22"/>
      <c r="I1858" s="22"/>
      <c r="J1858" s="22"/>
      <c r="K1858" s="22"/>
      <c r="L1858" s="22"/>
      <c r="M1858" s="22"/>
      <c r="N1858" s="22"/>
    </row>
    <row r="1859" spans="1:14" x14ac:dyDescent="0.3">
      <c r="A1859" s="22" t="s">
        <v>3648</v>
      </c>
      <c r="B1859" s="22">
        <v>1</v>
      </c>
      <c r="C1859" s="22"/>
      <c r="D1859" s="22"/>
      <c r="E1859" s="22"/>
      <c r="F1859" s="22"/>
      <c r="G1859" s="22"/>
      <c r="H1859" s="22"/>
      <c r="I1859" s="22"/>
      <c r="J1859" s="22"/>
      <c r="K1859" s="22"/>
      <c r="L1859" s="22"/>
      <c r="M1859" s="22"/>
      <c r="N1859" s="22"/>
    </row>
    <row r="1860" spans="1:14" x14ac:dyDescent="0.3">
      <c r="A1860" s="22" t="s">
        <v>3649</v>
      </c>
      <c r="B1860" s="22">
        <v>0</v>
      </c>
      <c r="C1860" s="22"/>
      <c r="D1860" s="22"/>
      <c r="E1860" s="22"/>
      <c r="F1860" s="22"/>
      <c r="G1860" s="22"/>
      <c r="H1860" s="22"/>
      <c r="I1860" s="22"/>
      <c r="J1860" s="22"/>
      <c r="K1860" s="22"/>
      <c r="L1860" s="22"/>
      <c r="M1860" s="22"/>
      <c r="N1860" s="22"/>
    </row>
    <row r="1861" spans="1:14" x14ac:dyDescent="0.3">
      <c r="A1861" s="22" t="s">
        <v>3650</v>
      </c>
      <c r="B1861" s="22">
        <v>0</v>
      </c>
      <c r="C1861" s="22"/>
      <c r="D1861" s="22"/>
      <c r="E1861" s="22"/>
      <c r="F1861" s="22"/>
      <c r="G1861" s="22"/>
      <c r="H1861" s="22"/>
      <c r="I1861" s="22"/>
      <c r="J1861" s="22"/>
      <c r="K1861" s="22"/>
      <c r="L1861" s="22"/>
      <c r="M1861" s="22"/>
      <c r="N1861" s="22"/>
    </row>
    <row r="1862" spans="1:14" x14ac:dyDescent="0.3">
      <c r="A1862" s="22" t="s">
        <v>3651</v>
      </c>
      <c r="B1862" s="22">
        <v>0</v>
      </c>
      <c r="C1862" s="22"/>
      <c r="D1862" s="22"/>
      <c r="E1862" s="22"/>
      <c r="F1862" s="22"/>
      <c r="G1862" s="22"/>
      <c r="H1862" s="22"/>
      <c r="I1862" s="22"/>
      <c r="J1862" s="22"/>
      <c r="K1862" s="22"/>
      <c r="L1862" s="22"/>
      <c r="M1862" s="22"/>
      <c r="N1862" s="22"/>
    </row>
    <row r="1863" spans="1:14" x14ac:dyDescent="0.3">
      <c r="A1863" s="22" t="s">
        <v>2696</v>
      </c>
      <c r="B1863" s="22">
        <v>163</v>
      </c>
      <c r="C1863" s="22"/>
      <c r="D1863" s="22"/>
      <c r="E1863" s="22"/>
      <c r="F1863" s="22"/>
      <c r="G1863" s="22"/>
      <c r="H1863" s="22"/>
      <c r="I1863" s="22"/>
      <c r="J1863" s="22"/>
      <c r="K1863" s="22"/>
      <c r="L1863" s="22"/>
      <c r="M1863" s="22"/>
      <c r="N1863" s="22"/>
    </row>
    <row r="1864" spans="1:14" x14ac:dyDescent="0.3">
      <c r="A1864" s="22" t="s">
        <v>3652</v>
      </c>
      <c r="B1864" s="22">
        <v>0</v>
      </c>
      <c r="C1864" s="22"/>
      <c r="D1864" s="22"/>
      <c r="E1864" s="22"/>
      <c r="F1864" s="22"/>
      <c r="G1864" s="22"/>
      <c r="H1864" s="22"/>
      <c r="I1864" s="22"/>
      <c r="J1864" s="22"/>
      <c r="K1864" s="22"/>
      <c r="L1864" s="22"/>
      <c r="M1864" s="22"/>
      <c r="N1864" s="22"/>
    </row>
    <row r="1865" spans="1:14" x14ac:dyDescent="0.3">
      <c r="A1865" s="22" t="s">
        <v>3653</v>
      </c>
      <c r="B1865" s="22">
        <v>0</v>
      </c>
      <c r="C1865" s="22"/>
      <c r="D1865" s="22"/>
      <c r="E1865" s="22"/>
      <c r="F1865" s="22"/>
      <c r="G1865" s="22"/>
      <c r="H1865" s="22"/>
      <c r="I1865" s="22"/>
      <c r="J1865" s="22"/>
      <c r="K1865" s="22"/>
      <c r="L1865" s="22"/>
      <c r="M1865" s="22"/>
      <c r="N1865" s="22"/>
    </row>
    <row r="1866" spans="1:14" x14ac:dyDescent="0.3">
      <c r="A1866" s="22" t="s">
        <v>3654</v>
      </c>
      <c r="B1866" s="22">
        <v>0</v>
      </c>
      <c r="C1866" s="22"/>
      <c r="D1866" s="22"/>
      <c r="E1866" s="22"/>
      <c r="F1866" s="22"/>
      <c r="G1866" s="22"/>
      <c r="H1866" s="22"/>
      <c r="I1866" s="22"/>
      <c r="J1866" s="22"/>
      <c r="K1866" s="22"/>
      <c r="L1866" s="22"/>
      <c r="M1866" s="22"/>
      <c r="N1866" s="22"/>
    </row>
    <row r="1867" spans="1:14" x14ac:dyDescent="0.3">
      <c r="A1867" s="22" t="s">
        <v>3655</v>
      </c>
      <c r="B1867" s="22">
        <v>0</v>
      </c>
      <c r="C1867" s="22"/>
      <c r="D1867" s="22"/>
      <c r="E1867" s="22"/>
      <c r="F1867" s="22"/>
      <c r="G1867" s="22"/>
      <c r="H1867" s="22"/>
      <c r="I1867" s="22"/>
      <c r="J1867" s="22"/>
      <c r="K1867" s="22"/>
      <c r="L1867" s="22"/>
      <c r="M1867" s="22"/>
      <c r="N1867" s="22"/>
    </row>
    <row r="1868" spans="1:14" x14ac:dyDescent="0.3">
      <c r="A1868" s="22" t="s">
        <v>3656</v>
      </c>
      <c r="B1868" s="22">
        <v>0</v>
      </c>
      <c r="C1868" s="22"/>
      <c r="D1868" s="22"/>
      <c r="E1868" s="22"/>
      <c r="F1868" s="22"/>
      <c r="G1868" s="22"/>
      <c r="H1868" s="22"/>
      <c r="I1868" s="22"/>
      <c r="J1868" s="22"/>
      <c r="K1868" s="22"/>
      <c r="L1868" s="22"/>
      <c r="M1868" s="22"/>
      <c r="N1868" s="22"/>
    </row>
    <row r="1869" spans="1:14" x14ac:dyDescent="0.3">
      <c r="A1869" s="22" t="s">
        <v>3657</v>
      </c>
      <c r="B1869" s="22">
        <v>0</v>
      </c>
      <c r="C1869" s="22"/>
      <c r="D1869" s="22"/>
      <c r="E1869" s="22"/>
      <c r="F1869" s="22"/>
      <c r="G1869" s="22"/>
      <c r="H1869" s="22"/>
      <c r="I1869" s="22"/>
      <c r="J1869" s="22"/>
      <c r="K1869" s="22"/>
      <c r="L1869" s="22"/>
      <c r="M1869" s="22"/>
      <c r="N1869" s="22"/>
    </row>
    <row r="1870" spans="1:14" x14ac:dyDescent="0.3">
      <c r="A1870" s="22" t="s">
        <v>3658</v>
      </c>
      <c r="B1870" s="22">
        <v>0</v>
      </c>
      <c r="C1870" s="22"/>
      <c r="D1870" s="22"/>
      <c r="E1870" s="22"/>
      <c r="F1870" s="22"/>
      <c r="G1870" s="22"/>
      <c r="H1870" s="22"/>
      <c r="I1870" s="22"/>
      <c r="J1870" s="22"/>
      <c r="K1870" s="22"/>
      <c r="L1870" s="22"/>
      <c r="M1870" s="22"/>
      <c r="N1870" s="22"/>
    </row>
    <row r="1871" spans="1:14" x14ac:dyDescent="0.3">
      <c r="A1871" s="22" t="s">
        <v>2697</v>
      </c>
      <c r="B1871" s="22">
        <v>4</v>
      </c>
      <c r="C1871" s="22"/>
      <c r="D1871" s="22"/>
      <c r="E1871" s="22"/>
      <c r="F1871" s="22"/>
      <c r="G1871" s="22"/>
      <c r="H1871" s="22"/>
      <c r="I1871" s="22"/>
      <c r="J1871" s="22"/>
      <c r="K1871" s="22"/>
      <c r="L1871" s="22"/>
      <c r="M1871" s="22"/>
      <c r="N1871" s="22"/>
    </row>
    <row r="1872" spans="1:14" x14ac:dyDescent="0.3">
      <c r="A1872" s="22" t="s">
        <v>3659</v>
      </c>
      <c r="B1872" s="22">
        <v>0</v>
      </c>
      <c r="C1872" s="22"/>
      <c r="D1872" s="22"/>
      <c r="E1872" s="22"/>
      <c r="F1872" s="22"/>
      <c r="G1872" s="22"/>
      <c r="H1872" s="22"/>
      <c r="I1872" s="22"/>
      <c r="J1872" s="22"/>
      <c r="K1872" s="22"/>
      <c r="L1872" s="22"/>
      <c r="M1872" s="22"/>
      <c r="N1872" s="22"/>
    </row>
    <row r="1873" spans="1:14" x14ac:dyDescent="0.3">
      <c r="A1873" s="22" t="s">
        <v>3660</v>
      </c>
      <c r="B1873" s="22">
        <v>0</v>
      </c>
      <c r="C1873" s="22"/>
      <c r="D1873" s="22"/>
      <c r="E1873" s="22"/>
      <c r="F1873" s="22"/>
      <c r="G1873" s="22"/>
      <c r="H1873" s="22"/>
      <c r="I1873" s="22"/>
      <c r="J1873" s="22"/>
      <c r="K1873" s="22"/>
      <c r="L1873" s="22"/>
      <c r="M1873" s="22"/>
      <c r="N1873" s="22"/>
    </row>
    <row r="1874" spans="1:14" x14ac:dyDescent="0.3">
      <c r="A1874" s="22" t="s">
        <v>3661</v>
      </c>
      <c r="B1874" s="22">
        <v>0</v>
      </c>
      <c r="C1874" s="22"/>
      <c r="D1874" s="22"/>
      <c r="E1874" s="22"/>
      <c r="F1874" s="22"/>
      <c r="G1874" s="22"/>
      <c r="H1874" s="22"/>
      <c r="I1874" s="22"/>
      <c r="J1874" s="22"/>
      <c r="K1874" s="22"/>
      <c r="L1874" s="22"/>
      <c r="M1874" s="22"/>
      <c r="N1874" s="22"/>
    </row>
    <row r="1875" spans="1:14" x14ac:dyDescent="0.3">
      <c r="A1875" s="22" t="s">
        <v>3662</v>
      </c>
      <c r="B1875" s="22">
        <v>0</v>
      </c>
      <c r="C1875" s="22"/>
      <c r="D1875" s="22"/>
      <c r="E1875" s="22"/>
      <c r="F1875" s="22"/>
      <c r="G1875" s="22"/>
      <c r="H1875" s="22"/>
      <c r="I1875" s="22"/>
      <c r="J1875" s="22"/>
      <c r="K1875" s="22"/>
      <c r="L1875" s="22"/>
      <c r="M1875" s="22"/>
      <c r="N1875" s="22"/>
    </row>
    <row r="1876" spans="1:14" x14ac:dyDescent="0.3">
      <c r="A1876" s="22" t="s">
        <v>3663</v>
      </c>
      <c r="B1876" s="22">
        <v>0</v>
      </c>
      <c r="C1876" s="22"/>
      <c r="D1876" s="22"/>
      <c r="E1876" s="22"/>
      <c r="F1876" s="22"/>
      <c r="G1876" s="22"/>
      <c r="H1876" s="22"/>
      <c r="I1876" s="22"/>
      <c r="J1876" s="22"/>
      <c r="K1876" s="22"/>
      <c r="L1876" s="22"/>
      <c r="M1876" s="22"/>
      <c r="N1876" s="22"/>
    </row>
    <row r="1877" spans="1:14" x14ac:dyDescent="0.3">
      <c r="A1877" s="22" t="s">
        <v>3664</v>
      </c>
      <c r="B1877" s="22">
        <v>0</v>
      </c>
      <c r="C1877" s="22"/>
      <c r="D1877" s="22"/>
      <c r="E1877" s="22"/>
      <c r="F1877" s="22"/>
      <c r="G1877" s="22"/>
      <c r="H1877" s="22"/>
      <c r="I1877" s="22"/>
      <c r="J1877" s="22"/>
      <c r="K1877" s="22"/>
      <c r="L1877" s="22"/>
      <c r="M1877" s="22"/>
      <c r="N1877" s="22"/>
    </row>
    <row r="1878" spans="1:14" x14ac:dyDescent="0.3">
      <c r="A1878" s="22" t="s">
        <v>3665</v>
      </c>
      <c r="B1878" s="22">
        <v>0</v>
      </c>
      <c r="C1878" s="22"/>
      <c r="D1878" s="22"/>
      <c r="E1878" s="22"/>
      <c r="F1878" s="22"/>
      <c r="G1878" s="22"/>
      <c r="H1878" s="22"/>
      <c r="I1878" s="22"/>
      <c r="J1878" s="22"/>
      <c r="K1878" s="22"/>
      <c r="L1878" s="22"/>
      <c r="M1878" s="22"/>
      <c r="N1878" s="22"/>
    </row>
    <row r="1879" spans="1:14" x14ac:dyDescent="0.3">
      <c r="A1879" s="22" t="s">
        <v>1008</v>
      </c>
      <c r="B1879" s="22">
        <v>11</v>
      </c>
      <c r="C1879" s="22"/>
      <c r="D1879" s="22"/>
      <c r="E1879" s="22"/>
      <c r="F1879" s="22"/>
      <c r="G1879" s="22"/>
      <c r="H1879" s="22"/>
      <c r="I1879" s="22"/>
      <c r="J1879" s="22"/>
      <c r="K1879" s="22"/>
      <c r="L1879" s="22"/>
      <c r="M1879" s="22"/>
      <c r="N1879" s="22"/>
    </row>
    <row r="1880" spans="1:14" x14ac:dyDescent="0.3">
      <c r="A1880" s="22" t="s">
        <v>1009</v>
      </c>
      <c r="B1880" s="22">
        <v>0</v>
      </c>
      <c r="C1880" s="22"/>
      <c r="D1880" s="22"/>
      <c r="E1880" s="22"/>
      <c r="F1880" s="22"/>
      <c r="G1880" s="22"/>
      <c r="H1880" s="22"/>
      <c r="I1880" s="22"/>
      <c r="J1880" s="22"/>
      <c r="K1880" s="22"/>
      <c r="L1880" s="22"/>
      <c r="M1880" s="22"/>
      <c r="N1880" s="22"/>
    </row>
    <row r="1881" spans="1:14" x14ac:dyDescent="0.3">
      <c r="A1881" s="22" t="s">
        <v>1010</v>
      </c>
      <c r="B1881" s="22">
        <v>0</v>
      </c>
      <c r="C1881" s="22"/>
      <c r="D1881" s="22"/>
      <c r="E1881" s="22"/>
      <c r="F1881" s="22"/>
      <c r="G1881" s="22"/>
      <c r="H1881" s="22"/>
      <c r="I1881" s="22"/>
      <c r="J1881" s="22"/>
      <c r="K1881" s="22"/>
      <c r="L1881" s="22"/>
      <c r="M1881" s="22"/>
      <c r="N1881" s="22"/>
    </row>
    <row r="1882" spans="1:14" x14ac:dyDescent="0.3">
      <c r="A1882" s="22" t="s">
        <v>1011</v>
      </c>
      <c r="B1882" s="22">
        <v>0</v>
      </c>
      <c r="C1882" s="22"/>
      <c r="D1882" s="22"/>
      <c r="E1882" s="22"/>
      <c r="F1882" s="22"/>
      <c r="G1882" s="22"/>
      <c r="H1882" s="22"/>
      <c r="I1882" s="22"/>
      <c r="J1882" s="22"/>
      <c r="K1882" s="22"/>
      <c r="L1882" s="22"/>
      <c r="M1882" s="22"/>
      <c r="N1882" s="22"/>
    </row>
    <row r="1883" spans="1:14" x14ac:dyDescent="0.3">
      <c r="A1883" s="22" t="s">
        <v>1012</v>
      </c>
      <c r="B1883" s="22">
        <v>0</v>
      </c>
      <c r="C1883" s="22"/>
      <c r="D1883" s="22"/>
      <c r="E1883" s="22"/>
      <c r="F1883" s="22"/>
      <c r="G1883" s="22"/>
      <c r="H1883" s="22"/>
      <c r="I1883" s="22"/>
      <c r="J1883" s="22"/>
      <c r="K1883" s="22"/>
      <c r="L1883" s="22"/>
      <c r="M1883" s="22"/>
      <c r="N1883" s="22"/>
    </row>
    <row r="1884" spans="1:14" x14ac:dyDescent="0.3">
      <c r="A1884" s="22" t="s">
        <v>1013</v>
      </c>
      <c r="B1884" s="22">
        <v>0</v>
      </c>
      <c r="C1884" s="22"/>
      <c r="D1884" s="22"/>
      <c r="E1884" s="22"/>
      <c r="F1884" s="22"/>
      <c r="G1884" s="22"/>
      <c r="H1884" s="22"/>
      <c r="I1884" s="22"/>
      <c r="J1884" s="22"/>
      <c r="K1884" s="22"/>
      <c r="L1884" s="22"/>
      <c r="M1884" s="22"/>
      <c r="N1884" s="22"/>
    </row>
    <row r="1885" spans="1:14" x14ac:dyDescent="0.3">
      <c r="A1885" s="22" t="s">
        <v>1014</v>
      </c>
      <c r="B1885" s="22">
        <v>0</v>
      </c>
      <c r="C1885" s="22"/>
      <c r="D1885" s="22"/>
      <c r="E1885" s="22"/>
      <c r="F1885" s="22"/>
      <c r="G1885" s="22"/>
      <c r="H1885" s="22"/>
      <c r="I1885" s="22"/>
      <c r="J1885" s="22"/>
      <c r="K1885" s="22"/>
      <c r="L1885" s="22"/>
      <c r="M1885" s="22"/>
      <c r="N1885" s="22"/>
    </row>
    <row r="1886" spans="1:14" x14ac:dyDescent="0.3">
      <c r="A1886" s="22" t="s">
        <v>1015</v>
      </c>
      <c r="B1886" s="22">
        <v>0</v>
      </c>
      <c r="C1886" s="22"/>
      <c r="D1886" s="22"/>
      <c r="E1886" s="22"/>
      <c r="F1886" s="22"/>
      <c r="G1886" s="22"/>
      <c r="H1886" s="22"/>
      <c r="I1886" s="22"/>
      <c r="J1886" s="22"/>
      <c r="K1886" s="22"/>
      <c r="L1886" s="22"/>
      <c r="M1886" s="22"/>
      <c r="N1886" s="22"/>
    </row>
    <row r="1887" spans="1:14" x14ac:dyDescent="0.3">
      <c r="A1887" s="22" t="s">
        <v>1016</v>
      </c>
      <c r="B1887" s="22">
        <v>10</v>
      </c>
      <c r="C1887" s="22"/>
      <c r="D1887" s="22"/>
      <c r="E1887" s="22"/>
      <c r="F1887" s="22"/>
      <c r="G1887" s="22"/>
      <c r="H1887" s="22"/>
      <c r="I1887" s="22"/>
      <c r="J1887" s="22"/>
      <c r="K1887" s="22"/>
      <c r="L1887" s="22"/>
      <c r="M1887" s="22"/>
      <c r="N1887" s="22"/>
    </row>
    <row r="1888" spans="1:14" x14ac:dyDescent="0.3">
      <c r="A1888" s="22" t="s">
        <v>1017</v>
      </c>
      <c r="B1888" s="22">
        <v>0</v>
      </c>
      <c r="C1888" s="22"/>
      <c r="D1888" s="22"/>
      <c r="E1888" s="22"/>
      <c r="F1888" s="22"/>
      <c r="G1888" s="22"/>
      <c r="H1888" s="22"/>
      <c r="I1888" s="22"/>
      <c r="J1888" s="22"/>
      <c r="K1888" s="22"/>
      <c r="L1888" s="22"/>
      <c r="M1888" s="22"/>
      <c r="N1888" s="22"/>
    </row>
    <row r="1889" spans="1:14" x14ac:dyDescent="0.3">
      <c r="A1889" s="22" t="s">
        <v>1018</v>
      </c>
      <c r="B1889" s="22">
        <v>0</v>
      </c>
      <c r="C1889" s="22"/>
      <c r="D1889" s="22"/>
      <c r="E1889" s="22"/>
      <c r="F1889" s="22"/>
      <c r="G1889" s="22"/>
      <c r="H1889" s="22"/>
      <c r="I1889" s="22"/>
      <c r="J1889" s="22"/>
      <c r="K1889" s="22"/>
      <c r="L1889" s="22"/>
      <c r="M1889" s="22"/>
      <c r="N1889" s="22"/>
    </row>
    <row r="1890" spans="1:14" x14ac:dyDescent="0.3">
      <c r="A1890" s="22" t="s">
        <v>1019</v>
      </c>
      <c r="B1890" s="22">
        <v>0</v>
      </c>
      <c r="C1890" s="22"/>
      <c r="D1890" s="22"/>
      <c r="E1890" s="22"/>
      <c r="F1890" s="22"/>
      <c r="G1890" s="22"/>
      <c r="H1890" s="22"/>
      <c r="I1890" s="22"/>
      <c r="J1890" s="22"/>
      <c r="K1890" s="22"/>
      <c r="L1890" s="22"/>
      <c r="M1890" s="22"/>
      <c r="N1890" s="22"/>
    </row>
    <row r="1891" spans="1:14" x14ac:dyDescent="0.3">
      <c r="A1891" s="22" t="s">
        <v>1020</v>
      </c>
      <c r="B1891" s="22">
        <v>0</v>
      </c>
      <c r="C1891" s="22"/>
      <c r="D1891" s="22"/>
      <c r="E1891" s="22"/>
      <c r="F1891" s="22"/>
      <c r="G1891" s="22"/>
      <c r="H1891" s="22"/>
      <c r="I1891" s="22"/>
      <c r="J1891" s="22"/>
      <c r="K1891" s="22"/>
      <c r="L1891" s="22"/>
      <c r="M1891" s="22"/>
      <c r="N1891" s="22"/>
    </row>
    <row r="1892" spans="1:14" x14ac:dyDescent="0.3">
      <c r="A1892" s="22" t="s">
        <v>1021</v>
      </c>
      <c r="B1892" s="22">
        <v>0</v>
      </c>
      <c r="C1892" s="22"/>
      <c r="D1892" s="22"/>
      <c r="E1892" s="22"/>
      <c r="F1892" s="22"/>
      <c r="G1892" s="22"/>
      <c r="H1892" s="22"/>
      <c r="I1892" s="22"/>
      <c r="J1892" s="22"/>
      <c r="K1892" s="22"/>
      <c r="L1892" s="22"/>
      <c r="M1892" s="22"/>
      <c r="N1892" s="22"/>
    </row>
    <row r="1893" spans="1:14" x14ac:dyDescent="0.3">
      <c r="A1893" s="22" t="s">
        <v>1022</v>
      </c>
      <c r="B1893" s="22">
        <v>0</v>
      </c>
      <c r="C1893" s="22"/>
      <c r="D1893" s="22"/>
      <c r="E1893" s="22"/>
      <c r="F1893" s="22"/>
      <c r="G1893" s="22"/>
      <c r="H1893" s="22"/>
      <c r="I1893" s="22"/>
      <c r="J1893" s="22"/>
      <c r="K1893" s="22"/>
      <c r="L1893" s="22"/>
      <c r="M1893" s="22"/>
      <c r="N1893" s="22"/>
    </row>
    <row r="1894" spans="1:14" x14ac:dyDescent="0.3">
      <c r="A1894" s="22" t="s">
        <v>1023</v>
      </c>
      <c r="B1894" s="22">
        <v>0</v>
      </c>
      <c r="C1894" s="22"/>
      <c r="D1894" s="22"/>
      <c r="E1894" s="22"/>
      <c r="F1894" s="22"/>
      <c r="G1894" s="22"/>
      <c r="H1894" s="22"/>
      <c r="I1894" s="22"/>
      <c r="J1894" s="22"/>
      <c r="K1894" s="22"/>
      <c r="L1894" s="22"/>
      <c r="M1894" s="22"/>
      <c r="N1894" s="22"/>
    </row>
    <row r="1895" spans="1:14" x14ac:dyDescent="0.3">
      <c r="A1895" s="22" t="s">
        <v>1025</v>
      </c>
      <c r="B1895" s="22">
        <v>0</v>
      </c>
      <c r="C1895" s="22"/>
      <c r="D1895" s="22"/>
      <c r="E1895" s="22"/>
      <c r="F1895" s="22"/>
      <c r="G1895" s="22"/>
      <c r="H1895" s="22"/>
      <c r="I1895" s="22"/>
      <c r="J1895" s="22"/>
      <c r="K1895" s="22"/>
      <c r="L1895" s="22"/>
      <c r="M1895" s="22"/>
      <c r="N1895" s="22"/>
    </row>
    <row r="1896" spans="1:14" x14ac:dyDescent="0.3">
      <c r="A1896" s="22" t="s">
        <v>1026</v>
      </c>
      <c r="B1896" s="22">
        <v>0</v>
      </c>
      <c r="C1896" s="22"/>
      <c r="D1896" s="22"/>
      <c r="E1896" s="22"/>
      <c r="F1896" s="22"/>
      <c r="G1896" s="22"/>
      <c r="H1896" s="22"/>
      <c r="I1896" s="22"/>
      <c r="J1896" s="22"/>
      <c r="K1896" s="22"/>
      <c r="L1896" s="22"/>
      <c r="M1896" s="22"/>
      <c r="N1896" s="22"/>
    </row>
    <row r="1897" spans="1:14" x14ac:dyDescent="0.3">
      <c r="A1897" s="22" t="s">
        <v>1027</v>
      </c>
      <c r="B1897" s="22">
        <v>0</v>
      </c>
      <c r="C1897" s="22"/>
      <c r="D1897" s="22"/>
      <c r="E1897" s="22"/>
      <c r="F1897" s="22"/>
      <c r="G1897" s="22"/>
      <c r="H1897" s="22"/>
      <c r="I1897" s="22"/>
      <c r="J1897" s="22"/>
      <c r="K1897" s="22"/>
      <c r="L1897" s="22"/>
      <c r="M1897" s="22"/>
      <c r="N1897" s="22"/>
    </row>
    <row r="1898" spans="1:14" x14ac:dyDescent="0.3">
      <c r="A1898" s="22" t="s">
        <v>1028</v>
      </c>
      <c r="B1898" s="22">
        <v>0</v>
      </c>
      <c r="C1898" s="22"/>
      <c r="D1898" s="22"/>
      <c r="E1898" s="22"/>
      <c r="F1898" s="22"/>
      <c r="G1898" s="22"/>
      <c r="H1898" s="22"/>
      <c r="I1898" s="22"/>
      <c r="J1898" s="22"/>
      <c r="K1898" s="22"/>
      <c r="L1898" s="22"/>
      <c r="M1898" s="22"/>
      <c r="N1898" s="22"/>
    </row>
    <row r="1899" spans="1:14" x14ac:dyDescent="0.3">
      <c r="A1899" s="22" t="s">
        <v>1029</v>
      </c>
      <c r="B1899" s="22">
        <v>0</v>
      </c>
      <c r="C1899" s="22"/>
      <c r="D1899" s="22"/>
      <c r="E1899" s="22"/>
      <c r="F1899" s="22"/>
      <c r="G1899" s="22"/>
      <c r="H1899" s="22"/>
      <c r="I1899" s="22"/>
      <c r="J1899" s="22"/>
      <c r="K1899" s="22"/>
      <c r="L1899" s="22"/>
      <c r="M1899" s="22"/>
      <c r="N1899" s="22"/>
    </row>
    <row r="1900" spans="1:14" x14ac:dyDescent="0.3">
      <c r="A1900" s="22" t="s">
        <v>1030</v>
      </c>
      <c r="B1900" s="22">
        <v>0</v>
      </c>
      <c r="C1900" s="22"/>
      <c r="D1900" s="22"/>
      <c r="E1900" s="22"/>
      <c r="F1900" s="22"/>
      <c r="G1900" s="22"/>
      <c r="H1900" s="22"/>
      <c r="I1900" s="22"/>
      <c r="J1900" s="22"/>
      <c r="K1900" s="22"/>
      <c r="L1900" s="22"/>
      <c r="M1900" s="22"/>
      <c r="N1900" s="22"/>
    </row>
    <row r="1901" spans="1:14" x14ac:dyDescent="0.3">
      <c r="A1901" s="22" t="s">
        <v>1031</v>
      </c>
      <c r="B1901" s="22">
        <v>0</v>
      </c>
      <c r="C1901" s="22"/>
      <c r="D1901" s="22"/>
      <c r="E1901" s="22"/>
      <c r="F1901" s="22"/>
      <c r="G1901" s="22"/>
      <c r="H1901" s="22"/>
      <c r="I1901" s="22"/>
      <c r="J1901" s="22"/>
      <c r="K1901" s="22"/>
      <c r="L1901" s="22"/>
      <c r="M1901" s="22"/>
      <c r="N1901" s="22"/>
    </row>
    <row r="1902" spans="1:14" x14ac:dyDescent="0.3">
      <c r="A1902" s="22" t="s">
        <v>1032</v>
      </c>
      <c r="B1902" s="22">
        <v>0</v>
      </c>
      <c r="C1902" s="22"/>
      <c r="D1902" s="22"/>
      <c r="E1902" s="22"/>
      <c r="F1902" s="22"/>
      <c r="G1902" s="22"/>
      <c r="H1902" s="22"/>
      <c r="I1902" s="22"/>
      <c r="J1902" s="22"/>
      <c r="K1902" s="22"/>
      <c r="L1902" s="22"/>
      <c r="M1902" s="22"/>
      <c r="N1902" s="22"/>
    </row>
    <row r="1903" spans="1:14" x14ac:dyDescent="0.3">
      <c r="A1903" s="22" t="s">
        <v>1033</v>
      </c>
      <c r="B1903" s="22">
        <v>0</v>
      </c>
      <c r="C1903" s="22"/>
      <c r="D1903" s="22"/>
      <c r="E1903" s="22"/>
      <c r="F1903" s="22"/>
      <c r="G1903" s="22"/>
      <c r="H1903" s="22"/>
      <c r="I1903" s="22"/>
      <c r="J1903" s="22"/>
      <c r="K1903" s="22"/>
      <c r="L1903" s="22"/>
      <c r="M1903" s="22"/>
      <c r="N1903" s="22"/>
    </row>
    <row r="1904" spans="1:14" x14ac:dyDescent="0.3">
      <c r="A1904" s="22" t="s">
        <v>1034</v>
      </c>
      <c r="B1904" s="22">
        <v>0</v>
      </c>
      <c r="C1904" s="22"/>
      <c r="D1904" s="22"/>
      <c r="E1904" s="22"/>
      <c r="F1904" s="22"/>
      <c r="G1904" s="22"/>
      <c r="H1904" s="22"/>
      <c r="I1904" s="22"/>
      <c r="J1904" s="22"/>
      <c r="K1904" s="22"/>
      <c r="L1904" s="22"/>
      <c r="M1904" s="22"/>
      <c r="N1904" s="22"/>
    </row>
    <row r="1905" spans="1:14" x14ac:dyDescent="0.3">
      <c r="A1905" s="22" t="s">
        <v>1035</v>
      </c>
      <c r="B1905" s="22">
        <v>0</v>
      </c>
      <c r="C1905" s="22"/>
      <c r="D1905" s="22"/>
      <c r="E1905" s="22"/>
      <c r="F1905" s="22"/>
      <c r="G1905" s="22"/>
      <c r="H1905" s="22"/>
      <c r="I1905" s="22"/>
      <c r="J1905" s="22"/>
      <c r="K1905" s="22"/>
      <c r="L1905" s="22"/>
      <c r="M1905" s="22"/>
      <c r="N1905" s="22"/>
    </row>
    <row r="1906" spans="1:14" x14ac:dyDescent="0.3">
      <c r="A1906" s="22" t="s">
        <v>1036</v>
      </c>
      <c r="B1906" s="22">
        <v>0</v>
      </c>
      <c r="C1906" s="22"/>
      <c r="D1906" s="22"/>
      <c r="E1906" s="22"/>
      <c r="F1906" s="22"/>
      <c r="G1906" s="22"/>
      <c r="H1906" s="22"/>
      <c r="I1906" s="22"/>
      <c r="J1906" s="22"/>
      <c r="K1906" s="22"/>
      <c r="L1906" s="22"/>
      <c r="M1906" s="22"/>
      <c r="N1906" s="22"/>
    </row>
    <row r="1907" spans="1:14" x14ac:dyDescent="0.3">
      <c r="A1907" s="22" t="s">
        <v>1037</v>
      </c>
      <c r="B1907" s="22">
        <v>0</v>
      </c>
      <c r="C1907" s="22"/>
      <c r="D1907" s="22"/>
      <c r="E1907" s="22"/>
      <c r="F1907" s="22"/>
      <c r="G1907" s="22"/>
      <c r="H1907" s="22"/>
      <c r="I1907" s="22"/>
      <c r="J1907" s="22"/>
      <c r="K1907" s="22"/>
      <c r="L1907" s="22"/>
      <c r="M1907" s="22"/>
      <c r="N1907" s="22"/>
    </row>
    <row r="1908" spans="1:14" x14ac:dyDescent="0.3">
      <c r="A1908" s="22" t="s">
        <v>1038</v>
      </c>
      <c r="B1908" s="22">
        <v>0</v>
      </c>
      <c r="C1908" s="22"/>
      <c r="D1908" s="22"/>
      <c r="E1908" s="22"/>
      <c r="F1908" s="22"/>
      <c r="G1908" s="22"/>
      <c r="H1908" s="22"/>
      <c r="I1908" s="22"/>
      <c r="J1908" s="22"/>
      <c r="K1908" s="22"/>
      <c r="L1908" s="22"/>
      <c r="M1908" s="22"/>
      <c r="N1908" s="22"/>
    </row>
    <row r="1909" spans="1:14" x14ac:dyDescent="0.3">
      <c r="A1909" s="22" t="s">
        <v>1039</v>
      </c>
      <c r="B1909" s="22">
        <v>0</v>
      </c>
      <c r="C1909" s="22"/>
      <c r="D1909" s="22"/>
      <c r="E1909" s="22"/>
      <c r="F1909" s="22"/>
      <c r="G1909" s="22"/>
      <c r="H1909" s="22"/>
      <c r="I1909" s="22"/>
      <c r="J1909" s="22"/>
      <c r="K1909" s="22"/>
      <c r="L1909" s="22"/>
      <c r="M1909" s="22"/>
      <c r="N1909" s="22"/>
    </row>
    <row r="1910" spans="1:14" x14ac:dyDescent="0.3">
      <c r="A1910" s="22" t="s">
        <v>1040</v>
      </c>
      <c r="B1910" s="22">
        <v>0</v>
      </c>
      <c r="C1910" s="22"/>
      <c r="D1910" s="22"/>
      <c r="E1910" s="22"/>
      <c r="F1910" s="22"/>
      <c r="G1910" s="22"/>
      <c r="H1910" s="22"/>
      <c r="I1910" s="22"/>
      <c r="J1910" s="22"/>
      <c r="K1910" s="22"/>
      <c r="L1910" s="22"/>
      <c r="M1910" s="22"/>
      <c r="N1910" s="22"/>
    </row>
    <row r="1911" spans="1:14" x14ac:dyDescent="0.3">
      <c r="A1911" s="22" t="s">
        <v>1041</v>
      </c>
      <c r="B1911" s="22">
        <v>165</v>
      </c>
      <c r="C1911" s="22"/>
      <c r="D1911" s="22"/>
      <c r="E1911" s="22"/>
      <c r="F1911" s="22"/>
      <c r="G1911" s="22"/>
      <c r="H1911" s="22"/>
      <c r="I1911" s="22"/>
      <c r="J1911" s="22"/>
      <c r="K1911" s="22"/>
      <c r="L1911" s="22"/>
      <c r="M1911" s="22"/>
      <c r="N1911" s="22"/>
    </row>
    <row r="1912" spans="1:14" x14ac:dyDescent="0.3">
      <c r="A1912" s="22" t="s">
        <v>1042</v>
      </c>
      <c r="B1912" s="22">
        <v>0</v>
      </c>
      <c r="C1912" s="22"/>
      <c r="D1912" s="22"/>
      <c r="E1912" s="22"/>
      <c r="F1912" s="22"/>
      <c r="G1912" s="22"/>
      <c r="H1912" s="22"/>
      <c r="I1912" s="22"/>
      <c r="J1912" s="22"/>
      <c r="K1912" s="22"/>
      <c r="L1912" s="22"/>
      <c r="M1912" s="22"/>
      <c r="N1912" s="22"/>
    </row>
    <row r="1913" spans="1:14" x14ac:dyDescent="0.3">
      <c r="A1913" s="22" t="s">
        <v>1043</v>
      </c>
      <c r="B1913" s="22">
        <v>0</v>
      </c>
      <c r="C1913" s="22"/>
      <c r="D1913" s="22"/>
      <c r="E1913" s="22"/>
      <c r="F1913" s="22"/>
      <c r="G1913" s="22"/>
      <c r="H1913" s="22"/>
      <c r="I1913" s="22"/>
      <c r="J1913" s="22"/>
      <c r="K1913" s="22"/>
      <c r="L1913" s="22"/>
      <c r="M1913" s="22"/>
      <c r="N1913" s="22"/>
    </row>
    <row r="1914" spans="1:14" x14ac:dyDescent="0.3">
      <c r="A1914" s="22" t="s">
        <v>1044</v>
      </c>
      <c r="B1914" s="22">
        <v>0</v>
      </c>
      <c r="C1914" s="22"/>
      <c r="D1914" s="22"/>
      <c r="E1914" s="22"/>
      <c r="F1914" s="22"/>
      <c r="G1914" s="22"/>
      <c r="H1914" s="22"/>
      <c r="I1914" s="22"/>
      <c r="J1914" s="22"/>
      <c r="K1914" s="22"/>
      <c r="L1914" s="22"/>
      <c r="M1914" s="22"/>
      <c r="N1914" s="22"/>
    </row>
    <row r="1915" spans="1:14" x14ac:dyDescent="0.3">
      <c r="A1915" s="22" t="s">
        <v>1045</v>
      </c>
      <c r="B1915" s="22">
        <v>0</v>
      </c>
      <c r="C1915" s="22"/>
      <c r="D1915" s="22"/>
      <c r="E1915" s="22"/>
      <c r="F1915" s="22"/>
      <c r="G1915" s="22"/>
      <c r="H1915" s="22"/>
      <c r="I1915" s="22"/>
      <c r="J1915" s="22"/>
      <c r="K1915" s="22"/>
      <c r="L1915" s="22"/>
      <c r="M1915" s="22"/>
      <c r="N1915" s="22"/>
    </row>
    <row r="1916" spans="1:14" x14ac:dyDescent="0.3">
      <c r="A1916" s="22" t="s">
        <v>1046</v>
      </c>
      <c r="B1916" s="22">
        <v>0</v>
      </c>
      <c r="C1916" s="22"/>
      <c r="D1916" s="22"/>
      <c r="E1916" s="22"/>
      <c r="F1916" s="22"/>
      <c r="G1916" s="22"/>
      <c r="H1916" s="22"/>
      <c r="I1916" s="22"/>
      <c r="J1916" s="22"/>
      <c r="K1916" s="22"/>
      <c r="L1916" s="22"/>
      <c r="M1916" s="22"/>
      <c r="N1916" s="22"/>
    </row>
    <row r="1917" spans="1:14" x14ac:dyDescent="0.3">
      <c r="A1917" s="22" t="s">
        <v>1047</v>
      </c>
      <c r="B1917" s="22">
        <v>0</v>
      </c>
      <c r="C1917" s="22"/>
      <c r="D1917" s="22"/>
      <c r="E1917" s="22"/>
      <c r="F1917" s="22"/>
      <c r="G1917" s="22"/>
      <c r="H1917" s="22"/>
      <c r="I1917" s="22"/>
      <c r="J1917" s="22"/>
      <c r="K1917" s="22"/>
      <c r="L1917" s="22"/>
      <c r="M1917" s="22"/>
      <c r="N1917" s="22"/>
    </row>
    <row r="1918" spans="1:14" x14ac:dyDescent="0.3">
      <c r="A1918" s="22" t="s">
        <v>1048</v>
      </c>
      <c r="B1918" s="22">
        <v>0</v>
      </c>
      <c r="C1918" s="22"/>
      <c r="D1918" s="22"/>
      <c r="E1918" s="22"/>
      <c r="F1918" s="22"/>
      <c r="G1918" s="22"/>
      <c r="H1918" s="22"/>
      <c r="I1918" s="22"/>
      <c r="J1918" s="22"/>
      <c r="K1918" s="22"/>
      <c r="L1918" s="22"/>
      <c r="M1918" s="22"/>
      <c r="N1918" s="22"/>
    </row>
    <row r="1919" spans="1:14" x14ac:dyDescent="0.3">
      <c r="A1919" s="22" t="s">
        <v>1049</v>
      </c>
      <c r="B1919" s="22">
        <v>97</v>
      </c>
      <c r="C1919" s="22"/>
      <c r="D1919" s="22"/>
      <c r="E1919" s="22"/>
      <c r="F1919" s="22"/>
      <c r="G1919" s="22"/>
      <c r="H1919" s="22"/>
      <c r="I1919" s="22"/>
      <c r="J1919" s="22"/>
      <c r="K1919" s="22"/>
      <c r="L1919" s="22"/>
      <c r="M1919" s="22"/>
      <c r="N1919" s="22"/>
    </row>
    <row r="1920" spans="1:14" x14ac:dyDescent="0.3">
      <c r="A1920" s="22" t="s">
        <v>1050</v>
      </c>
      <c r="B1920" s="22">
        <v>0</v>
      </c>
      <c r="C1920" s="22"/>
      <c r="D1920" s="22"/>
      <c r="E1920" s="22"/>
      <c r="F1920" s="22"/>
      <c r="G1920" s="22"/>
      <c r="H1920" s="22"/>
      <c r="I1920" s="22"/>
      <c r="J1920" s="22"/>
      <c r="K1920" s="22"/>
      <c r="L1920" s="22"/>
      <c r="M1920" s="22"/>
      <c r="N1920" s="22"/>
    </row>
    <row r="1921" spans="1:14" x14ac:dyDescent="0.3">
      <c r="A1921" s="22" t="s">
        <v>1051</v>
      </c>
      <c r="B1921" s="22">
        <v>0</v>
      </c>
      <c r="C1921" s="22"/>
      <c r="D1921" s="22"/>
      <c r="E1921" s="22"/>
      <c r="F1921" s="22"/>
      <c r="G1921" s="22"/>
      <c r="H1921" s="22"/>
      <c r="I1921" s="22"/>
      <c r="J1921" s="22"/>
      <c r="K1921" s="22"/>
      <c r="L1921" s="22"/>
      <c r="M1921" s="22"/>
      <c r="N1921" s="22"/>
    </row>
    <row r="1922" spans="1:14" x14ac:dyDescent="0.3">
      <c r="A1922" s="22" t="s">
        <v>1052</v>
      </c>
      <c r="B1922" s="22">
        <v>0</v>
      </c>
      <c r="C1922" s="22"/>
      <c r="D1922" s="22"/>
      <c r="E1922" s="22"/>
      <c r="F1922" s="22"/>
      <c r="G1922" s="22"/>
      <c r="H1922" s="22"/>
      <c r="I1922" s="22"/>
      <c r="J1922" s="22"/>
      <c r="K1922" s="22"/>
      <c r="L1922" s="22"/>
      <c r="M1922" s="22"/>
      <c r="N1922" s="22"/>
    </row>
    <row r="1923" spans="1:14" x14ac:dyDescent="0.3">
      <c r="A1923" s="22" t="s">
        <v>1053</v>
      </c>
      <c r="B1923" s="22">
        <v>0</v>
      </c>
      <c r="C1923" s="22"/>
      <c r="D1923" s="22"/>
      <c r="E1923" s="22"/>
      <c r="F1923" s="22"/>
      <c r="G1923" s="22"/>
      <c r="H1923" s="22"/>
      <c r="I1923" s="22"/>
      <c r="J1923" s="22"/>
      <c r="K1923" s="22"/>
      <c r="L1923" s="22"/>
      <c r="M1923" s="22"/>
      <c r="N1923" s="22"/>
    </row>
    <row r="1924" spans="1:14" x14ac:dyDescent="0.3">
      <c r="A1924" s="22" t="s">
        <v>1054</v>
      </c>
      <c r="B1924" s="22">
        <v>0</v>
      </c>
      <c r="C1924" s="22"/>
      <c r="D1924" s="22"/>
      <c r="E1924" s="22"/>
      <c r="F1924" s="22"/>
      <c r="G1924" s="22"/>
      <c r="H1924" s="22"/>
      <c r="I1924" s="22"/>
      <c r="J1924" s="22"/>
      <c r="K1924" s="22"/>
      <c r="L1924" s="22"/>
      <c r="M1924" s="22"/>
      <c r="N1924" s="22"/>
    </row>
    <row r="1925" spans="1:14" x14ac:dyDescent="0.3">
      <c r="A1925" s="22" t="s">
        <v>1055</v>
      </c>
      <c r="B1925" s="22">
        <v>0</v>
      </c>
      <c r="C1925" s="22"/>
      <c r="D1925" s="22"/>
      <c r="E1925" s="22"/>
      <c r="F1925" s="22"/>
      <c r="G1925" s="22"/>
      <c r="H1925" s="22"/>
      <c r="I1925" s="22"/>
      <c r="J1925" s="22"/>
      <c r="K1925" s="22"/>
      <c r="L1925" s="22"/>
      <c r="M1925" s="22"/>
      <c r="N1925" s="22"/>
    </row>
    <row r="1926" spans="1:14" x14ac:dyDescent="0.3">
      <c r="A1926" s="22" t="s">
        <v>1056</v>
      </c>
      <c r="B1926" s="22">
        <v>0</v>
      </c>
      <c r="C1926" s="22"/>
      <c r="D1926" s="22"/>
      <c r="E1926" s="22"/>
      <c r="F1926" s="22"/>
      <c r="G1926" s="22"/>
      <c r="H1926" s="22"/>
      <c r="I1926" s="22"/>
      <c r="J1926" s="22"/>
      <c r="K1926" s="22"/>
      <c r="L1926" s="22"/>
      <c r="M1926" s="22"/>
      <c r="N1926" s="22"/>
    </row>
    <row r="1927" spans="1:14" x14ac:dyDescent="0.3">
      <c r="A1927" s="22" t="s">
        <v>1057</v>
      </c>
      <c r="B1927" s="22">
        <v>6</v>
      </c>
      <c r="C1927" s="22"/>
      <c r="D1927" s="22"/>
      <c r="E1927" s="22"/>
      <c r="F1927" s="22"/>
      <c r="G1927" s="22"/>
      <c r="H1927" s="22"/>
      <c r="I1927" s="22"/>
      <c r="J1927" s="22"/>
      <c r="K1927" s="22"/>
      <c r="L1927" s="22"/>
      <c r="M1927" s="22"/>
      <c r="N1927" s="22"/>
    </row>
    <row r="1928" spans="1:14" x14ac:dyDescent="0.3">
      <c r="A1928" s="22" t="s">
        <v>5127</v>
      </c>
      <c r="B1928" s="22">
        <v>0</v>
      </c>
      <c r="C1928" s="22"/>
      <c r="D1928" s="22"/>
      <c r="E1928" s="22"/>
      <c r="F1928" s="22"/>
      <c r="G1928" s="22"/>
      <c r="H1928" s="22"/>
      <c r="I1928" s="22"/>
      <c r="J1928" s="22"/>
      <c r="K1928" s="22"/>
      <c r="L1928" s="22"/>
      <c r="M1928" s="22"/>
      <c r="N1928" s="22"/>
    </row>
    <row r="1929" spans="1:14" x14ac:dyDescent="0.3">
      <c r="A1929" s="22" t="s">
        <v>5128</v>
      </c>
      <c r="B1929" s="22">
        <v>0</v>
      </c>
      <c r="C1929" s="22"/>
      <c r="D1929" s="22"/>
      <c r="E1929" s="22"/>
      <c r="F1929" s="22"/>
      <c r="G1929" s="22"/>
      <c r="H1929" s="22"/>
      <c r="I1929" s="22"/>
      <c r="J1929" s="22"/>
      <c r="K1929" s="22"/>
      <c r="L1929" s="22"/>
      <c r="M1929" s="22"/>
      <c r="N1929" s="22"/>
    </row>
    <row r="1930" spans="1:14" x14ac:dyDescent="0.3">
      <c r="A1930" s="22" t="s">
        <v>5129</v>
      </c>
      <c r="B1930" s="22">
        <v>0</v>
      </c>
      <c r="C1930" s="22"/>
      <c r="D1930" s="22"/>
      <c r="E1930" s="22"/>
      <c r="F1930" s="22"/>
      <c r="G1930" s="22"/>
      <c r="H1930" s="22"/>
      <c r="I1930" s="22"/>
      <c r="J1930" s="22"/>
      <c r="K1930" s="22"/>
      <c r="L1930" s="22"/>
      <c r="M1930" s="22"/>
      <c r="N1930" s="22"/>
    </row>
    <row r="1931" spans="1:14" x14ac:dyDescent="0.3">
      <c r="A1931" s="22" t="s">
        <v>5130</v>
      </c>
      <c r="B1931" s="22">
        <v>0</v>
      </c>
      <c r="C1931" s="22"/>
      <c r="D1931" s="22"/>
      <c r="E1931" s="22"/>
      <c r="F1931" s="22"/>
      <c r="G1931" s="22"/>
      <c r="H1931" s="22"/>
      <c r="I1931" s="22"/>
      <c r="J1931" s="22"/>
      <c r="K1931" s="22"/>
      <c r="L1931" s="22"/>
      <c r="M1931" s="22"/>
      <c r="N1931" s="22"/>
    </row>
    <row r="1932" spans="1:14" x14ac:dyDescent="0.3">
      <c r="A1932" s="22" t="s">
        <v>5131</v>
      </c>
      <c r="B1932" s="22">
        <v>0</v>
      </c>
      <c r="C1932" s="22"/>
      <c r="D1932" s="22"/>
      <c r="E1932" s="22"/>
      <c r="F1932" s="22"/>
      <c r="G1932" s="22"/>
      <c r="H1932" s="22"/>
      <c r="I1932" s="22"/>
      <c r="J1932" s="22"/>
      <c r="K1932" s="22"/>
      <c r="L1932" s="22"/>
      <c r="M1932" s="22"/>
      <c r="N1932" s="22"/>
    </row>
    <row r="1933" spans="1:14" x14ac:dyDescent="0.3">
      <c r="A1933" s="22" t="s">
        <v>5132</v>
      </c>
      <c r="B1933" s="22">
        <v>0</v>
      </c>
      <c r="C1933" s="22"/>
      <c r="D1933" s="22"/>
      <c r="E1933" s="22"/>
      <c r="F1933" s="22"/>
      <c r="G1933" s="22"/>
      <c r="H1933" s="22"/>
      <c r="I1933" s="22"/>
      <c r="J1933" s="22"/>
      <c r="K1933" s="22"/>
      <c r="L1933" s="22"/>
      <c r="M1933" s="22"/>
      <c r="N1933" s="22"/>
    </row>
    <row r="1934" spans="1:14" x14ac:dyDescent="0.3">
      <c r="A1934" s="22" t="s">
        <v>5133</v>
      </c>
      <c r="B1934" s="22">
        <v>0</v>
      </c>
      <c r="C1934" s="22"/>
      <c r="D1934" s="22"/>
      <c r="E1934" s="22"/>
      <c r="F1934" s="22"/>
      <c r="G1934" s="22"/>
      <c r="H1934" s="22"/>
      <c r="I1934" s="22"/>
      <c r="J1934" s="22"/>
      <c r="K1934" s="22"/>
      <c r="L1934" s="22"/>
      <c r="M1934" s="22"/>
      <c r="N1934" s="22"/>
    </row>
    <row r="1935" spans="1:14" x14ac:dyDescent="0.3">
      <c r="A1935" s="22" t="s">
        <v>1058</v>
      </c>
      <c r="B1935" s="22">
        <v>0</v>
      </c>
      <c r="C1935" s="22"/>
      <c r="D1935" s="22"/>
      <c r="E1935" s="22"/>
      <c r="F1935" s="22"/>
      <c r="G1935" s="22"/>
      <c r="H1935" s="22"/>
      <c r="I1935" s="22"/>
      <c r="J1935" s="22"/>
      <c r="K1935" s="22"/>
      <c r="L1935" s="22"/>
      <c r="M1935" s="22"/>
      <c r="N1935" s="22"/>
    </row>
    <row r="1936" spans="1:14" x14ac:dyDescent="0.3">
      <c r="A1936" s="22" t="s">
        <v>5500</v>
      </c>
      <c r="B1936" s="22">
        <v>0</v>
      </c>
      <c r="C1936" s="22"/>
      <c r="D1936" s="22"/>
      <c r="E1936" s="22"/>
      <c r="F1936" s="22"/>
      <c r="G1936" s="22"/>
      <c r="H1936" s="22"/>
      <c r="I1936" s="22"/>
      <c r="J1936" s="22"/>
      <c r="K1936" s="22"/>
      <c r="L1936" s="22"/>
      <c r="M1936" s="22"/>
      <c r="N1936" s="22"/>
    </row>
    <row r="1937" spans="1:14" x14ac:dyDescent="0.3">
      <c r="A1937" s="22" t="s">
        <v>5501</v>
      </c>
      <c r="B1937" s="22">
        <v>0</v>
      </c>
      <c r="C1937" s="22"/>
      <c r="D1937" s="22"/>
      <c r="E1937" s="22"/>
      <c r="F1937" s="22"/>
      <c r="G1937" s="22"/>
      <c r="H1937" s="22"/>
      <c r="I1937" s="22"/>
      <c r="J1937" s="22"/>
      <c r="K1937" s="22"/>
      <c r="L1937" s="22"/>
      <c r="M1937" s="22"/>
      <c r="N1937" s="22"/>
    </row>
    <row r="1938" spans="1:14" x14ac:dyDescent="0.3">
      <c r="A1938" s="22" t="s">
        <v>5502</v>
      </c>
      <c r="B1938" s="22">
        <v>0</v>
      </c>
      <c r="C1938" s="22"/>
      <c r="D1938" s="22"/>
      <c r="E1938" s="22"/>
      <c r="F1938" s="22"/>
      <c r="G1938" s="22"/>
      <c r="H1938" s="22"/>
      <c r="I1938" s="22"/>
      <c r="J1938" s="22"/>
      <c r="K1938" s="22"/>
      <c r="L1938" s="22"/>
      <c r="M1938" s="22"/>
      <c r="N1938" s="22"/>
    </row>
    <row r="1939" spans="1:14" x14ac:dyDescent="0.3">
      <c r="A1939" s="22" t="s">
        <v>5503</v>
      </c>
      <c r="B1939" s="22">
        <v>0</v>
      </c>
      <c r="C1939" s="22"/>
      <c r="D1939" s="22"/>
      <c r="E1939" s="22"/>
      <c r="F1939" s="22"/>
      <c r="G1939" s="22"/>
      <c r="H1939" s="22"/>
      <c r="I1939" s="22"/>
      <c r="J1939" s="22"/>
      <c r="K1939" s="22"/>
      <c r="L1939" s="22"/>
      <c r="M1939" s="22"/>
      <c r="N1939" s="22"/>
    </row>
    <row r="1940" spans="1:14" x14ac:dyDescent="0.3">
      <c r="A1940" s="22" t="s">
        <v>5504</v>
      </c>
      <c r="B1940" s="22">
        <v>0</v>
      </c>
      <c r="C1940" s="22"/>
      <c r="D1940" s="22"/>
      <c r="E1940" s="22"/>
      <c r="F1940" s="22"/>
      <c r="G1940" s="22"/>
      <c r="H1940" s="22"/>
      <c r="I1940" s="22"/>
      <c r="J1940" s="22"/>
      <c r="K1940" s="22"/>
      <c r="L1940" s="22"/>
      <c r="M1940" s="22"/>
      <c r="N1940" s="22"/>
    </row>
    <row r="1941" spans="1:14" x14ac:dyDescent="0.3">
      <c r="A1941" s="22" t="s">
        <v>5505</v>
      </c>
      <c r="B1941" s="22">
        <v>0</v>
      </c>
      <c r="C1941" s="22"/>
      <c r="D1941" s="22"/>
      <c r="E1941" s="22"/>
      <c r="F1941" s="22"/>
      <c r="G1941" s="22"/>
      <c r="H1941" s="22"/>
      <c r="I1941" s="22"/>
      <c r="J1941" s="22"/>
      <c r="K1941" s="22"/>
      <c r="L1941" s="22"/>
      <c r="M1941" s="22"/>
      <c r="N1941" s="22"/>
    </row>
    <row r="1942" spans="1:14" x14ac:dyDescent="0.3">
      <c r="A1942" s="22" t="s">
        <v>5506</v>
      </c>
      <c r="B1942" s="22">
        <v>0</v>
      </c>
      <c r="C1942" s="22"/>
      <c r="D1942" s="22"/>
      <c r="E1942" s="22"/>
      <c r="F1942" s="22"/>
      <c r="G1942" s="22"/>
      <c r="H1942" s="22"/>
      <c r="I1942" s="22"/>
      <c r="J1942" s="22"/>
      <c r="K1942" s="22"/>
      <c r="L1942" s="22"/>
      <c r="M1942" s="22"/>
      <c r="N1942" s="22"/>
    </row>
    <row r="1943" spans="1:14" x14ac:dyDescent="0.3">
      <c r="A1943" s="22" t="s">
        <v>1060</v>
      </c>
      <c r="B1943" s="22">
        <v>0</v>
      </c>
      <c r="C1943" s="22"/>
      <c r="D1943" s="22"/>
      <c r="E1943" s="22"/>
      <c r="F1943" s="22"/>
      <c r="G1943" s="22"/>
      <c r="H1943" s="22"/>
      <c r="I1943" s="22"/>
      <c r="J1943" s="22"/>
      <c r="K1943" s="22"/>
      <c r="L1943" s="22"/>
      <c r="M1943" s="22"/>
      <c r="N1943" s="22"/>
    </row>
    <row r="1944" spans="1:14" x14ac:dyDescent="0.3">
      <c r="A1944" s="22" t="s">
        <v>1061</v>
      </c>
      <c r="B1944" s="22">
        <v>0</v>
      </c>
      <c r="C1944" s="22"/>
      <c r="D1944" s="22"/>
      <c r="E1944" s="22"/>
      <c r="F1944" s="22"/>
      <c r="G1944" s="22"/>
      <c r="H1944" s="22"/>
      <c r="I1944" s="22"/>
      <c r="J1944" s="22"/>
      <c r="K1944" s="22"/>
      <c r="L1944" s="22"/>
      <c r="M1944" s="22"/>
      <c r="N1944" s="22"/>
    </row>
    <row r="1945" spans="1:14" x14ac:dyDescent="0.3">
      <c r="A1945" s="22" t="s">
        <v>1062</v>
      </c>
      <c r="B1945" s="22">
        <v>0</v>
      </c>
      <c r="C1945" s="22"/>
      <c r="D1945" s="22"/>
      <c r="E1945" s="22"/>
      <c r="F1945" s="22"/>
      <c r="G1945" s="22"/>
      <c r="H1945" s="22"/>
      <c r="I1945" s="22"/>
      <c r="J1945" s="22"/>
      <c r="K1945" s="22"/>
      <c r="L1945" s="22"/>
      <c r="M1945" s="22"/>
      <c r="N1945" s="22"/>
    </row>
    <row r="1946" spans="1:14" x14ac:dyDescent="0.3">
      <c r="A1946" s="22" t="s">
        <v>1063</v>
      </c>
      <c r="B1946" s="22">
        <v>0</v>
      </c>
      <c r="C1946" s="22"/>
      <c r="D1946" s="22"/>
      <c r="E1946" s="22"/>
      <c r="F1946" s="22"/>
      <c r="G1946" s="22"/>
      <c r="H1946" s="22"/>
      <c r="I1946" s="22"/>
      <c r="J1946" s="22"/>
      <c r="K1946" s="22"/>
      <c r="L1946" s="22"/>
      <c r="M1946" s="22"/>
      <c r="N1946" s="22"/>
    </row>
    <row r="1947" spans="1:14" x14ac:dyDescent="0.3">
      <c r="A1947" s="22" t="s">
        <v>1064</v>
      </c>
      <c r="B1947" s="22">
        <v>0</v>
      </c>
      <c r="C1947" s="22"/>
      <c r="D1947" s="22"/>
      <c r="E1947" s="22"/>
      <c r="F1947" s="22"/>
      <c r="G1947" s="22"/>
      <c r="H1947" s="22"/>
      <c r="I1947" s="22"/>
      <c r="J1947" s="22"/>
      <c r="K1947" s="22"/>
      <c r="L1947" s="22"/>
      <c r="M1947" s="22"/>
      <c r="N1947" s="22"/>
    </row>
    <row r="1948" spans="1:14" x14ac:dyDescent="0.3">
      <c r="A1948" s="22" t="s">
        <v>1065</v>
      </c>
      <c r="B1948" s="22">
        <v>0</v>
      </c>
      <c r="C1948" s="22"/>
      <c r="D1948" s="22"/>
      <c r="E1948" s="22"/>
      <c r="F1948" s="22"/>
      <c r="G1948" s="22"/>
      <c r="H1948" s="22"/>
      <c r="I1948" s="22"/>
      <c r="J1948" s="22"/>
      <c r="K1948" s="22"/>
      <c r="L1948" s="22"/>
      <c r="M1948" s="22"/>
      <c r="N1948" s="22"/>
    </row>
    <row r="1949" spans="1:14" x14ac:dyDescent="0.3">
      <c r="A1949" s="22" t="s">
        <v>1066</v>
      </c>
      <c r="B1949" s="22">
        <v>0</v>
      </c>
      <c r="C1949" s="22"/>
      <c r="D1949" s="22"/>
      <c r="E1949" s="22"/>
      <c r="F1949" s="22"/>
      <c r="G1949" s="22"/>
      <c r="H1949" s="22"/>
      <c r="I1949" s="22"/>
      <c r="J1949" s="22"/>
      <c r="K1949" s="22"/>
      <c r="L1949" s="22"/>
      <c r="M1949" s="22"/>
      <c r="N1949" s="22"/>
    </row>
    <row r="1950" spans="1:14" x14ac:dyDescent="0.3">
      <c r="A1950" s="22" t="s">
        <v>1067</v>
      </c>
      <c r="B1950" s="22">
        <v>0</v>
      </c>
      <c r="C1950" s="22"/>
      <c r="D1950" s="22"/>
      <c r="E1950" s="22"/>
      <c r="F1950" s="22"/>
      <c r="G1950" s="22"/>
      <c r="H1950" s="22"/>
      <c r="I1950" s="22"/>
      <c r="J1950" s="22"/>
      <c r="K1950" s="22"/>
      <c r="L1950" s="22"/>
      <c r="M1950" s="22"/>
      <c r="N1950" s="22"/>
    </row>
    <row r="1951" spans="1:14" x14ac:dyDescent="0.3">
      <c r="A1951" s="22" t="s">
        <v>1070</v>
      </c>
      <c r="B1951" s="22">
        <v>0</v>
      </c>
      <c r="C1951" s="22"/>
      <c r="D1951" s="22"/>
      <c r="E1951" s="22"/>
      <c r="F1951" s="22"/>
      <c r="G1951" s="22"/>
      <c r="H1951" s="22"/>
      <c r="I1951" s="22"/>
      <c r="J1951" s="22"/>
      <c r="K1951" s="22"/>
      <c r="L1951" s="22"/>
      <c r="M1951" s="22"/>
      <c r="N1951" s="22"/>
    </row>
    <row r="1952" spans="1:14" x14ac:dyDescent="0.3">
      <c r="A1952" s="22" t="s">
        <v>1071</v>
      </c>
      <c r="B1952" s="22">
        <v>0</v>
      </c>
      <c r="C1952" s="22"/>
      <c r="D1952" s="22"/>
      <c r="E1952" s="22"/>
      <c r="F1952" s="22"/>
      <c r="G1952" s="22"/>
      <c r="H1952" s="22"/>
      <c r="I1952" s="22"/>
      <c r="J1952" s="22"/>
      <c r="K1952" s="22"/>
      <c r="L1952" s="22"/>
      <c r="M1952" s="22"/>
      <c r="N1952" s="22"/>
    </row>
    <row r="1953" spans="1:14" x14ac:dyDescent="0.3">
      <c r="A1953" s="22" t="s">
        <v>1072</v>
      </c>
      <c r="B1953" s="22">
        <v>0</v>
      </c>
      <c r="C1953" s="22"/>
      <c r="D1953" s="22"/>
      <c r="E1953" s="22"/>
      <c r="F1953" s="22"/>
      <c r="G1953" s="22"/>
      <c r="H1953" s="22"/>
      <c r="I1953" s="22"/>
      <c r="J1953" s="22"/>
      <c r="K1953" s="22"/>
      <c r="L1953" s="22"/>
      <c r="M1953" s="22"/>
      <c r="N1953" s="22"/>
    </row>
    <row r="1954" spans="1:14" x14ac:dyDescent="0.3">
      <c r="A1954" s="22" t="s">
        <v>1073</v>
      </c>
      <c r="B1954" s="22">
        <v>0</v>
      </c>
      <c r="C1954" s="22"/>
      <c r="D1954" s="22"/>
      <c r="E1954" s="22"/>
      <c r="F1954" s="22"/>
      <c r="G1954" s="22"/>
      <c r="H1954" s="22"/>
      <c r="I1954" s="22"/>
      <c r="J1954" s="22"/>
      <c r="K1954" s="22"/>
      <c r="L1954" s="22"/>
      <c r="M1954" s="22"/>
      <c r="N1954" s="22"/>
    </row>
    <row r="1955" spans="1:14" x14ac:dyDescent="0.3">
      <c r="A1955" s="22" t="s">
        <v>1074</v>
      </c>
      <c r="B1955" s="22">
        <v>0</v>
      </c>
      <c r="C1955" s="22"/>
      <c r="D1955" s="22"/>
      <c r="E1955" s="22"/>
      <c r="F1955" s="22"/>
      <c r="G1955" s="22"/>
      <c r="H1955" s="22"/>
      <c r="I1955" s="22"/>
      <c r="J1955" s="22"/>
      <c r="K1955" s="22"/>
      <c r="L1955" s="22"/>
      <c r="M1955" s="22"/>
      <c r="N1955" s="22"/>
    </row>
    <row r="1956" spans="1:14" x14ac:dyDescent="0.3">
      <c r="A1956" s="22" t="s">
        <v>1075</v>
      </c>
      <c r="B1956" s="22">
        <v>0</v>
      </c>
      <c r="C1956" s="22"/>
      <c r="D1956" s="22"/>
      <c r="E1956" s="22"/>
      <c r="F1956" s="22"/>
      <c r="G1956" s="22"/>
      <c r="H1956" s="22"/>
      <c r="I1956" s="22"/>
      <c r="J1956" s="22"/>
      <c r="K1956" s="22"/>
      <c r="L1956" s="22"/>
      <c r="M1956" s="22"/>
      <c r="N1956" s="22"/>
    </row>
    <row r="1957" spans="1:14" x14ac:dyDescent="0.3">
      <c r="A1957" s="22" t="s">
        <v>1076</v>
      </c>
      <c r="B1957" s="22">
        <v>0</v>
      </c>
      <c r="C1957" s="22"/>
      <c r="D1957" s="22"/>
      <c r="E1957" s="22"/>
      <c r="F1957" s="22"/>
      <c r="G1957" s="22"/>
      <c r="H1957" s="22"/>
      <c r="I1957" s="22"/>
      <c r="J1957" s="22"/>
      <c r="K1957" s="22"/>
      <c r="L1957" s="22"/>
      <c r="M1957" s="22"/>
      <c r="N1957" s="22"/>
    </row>
    <row r="1958" spans="1:14" x14ac:dyDescent="0.3">
      <c r="A1958" s="22" t="s">
        <v>1077</v>
      </c>
      <c r="B1958" s="22">
        <v>0</v>
      </c>
      <c r="C1958" s="22"/>
      <c r="D1958" s="22"/>
      <c r="E1958" s="22"/>
      <c r="F1958" s="22"/>
      <c r="G1958" s="22"/>
      <c r="H1958" s="22"/>
      <c r="I1958" s="22"/>
      <c r="J1958" s="22"/>
      <c r="K1958" s="22"/>
      <c r="L1958" s="22"/>
      <c r="M1958" s="22"/>
      <c r="N1958" s="22"/>
    </row>
    <row r="1959" spans="1:14" x14ac:dyDescent="0.3">
      <c r="A1959" s="22" t="s">
        <v>1079</v>
      </c>
      <c r="B1959" s="22">
        <v>49</v>
      </c>
      <c r="C1959" s="22"/>
      <c r="D1959" s="22"/>
      <c r="E1959" s="22"/>
      <c r="F1959" s="22"/>
      <c r="G1959" s="22"/>
      <c r="H1959" s="22"/>
      <c r="I1959" s="22"/>
      <c r="J1959" s="22"/>
      <c r="K1959" s="22"/>
      <c r="L1959" s="22"/>
      <c r="M1959" s="22"/>
      <c r="N1959" s="22"/>
    </row>
    <row r="1960" spans="1:14" x14ac:dyDescent="0.3">
      <c r="A1960" s="22" t="s">
        <v>1080</v>
      </c>
      <c r="B1960" s="22">
        <v>0</v>
      </c>
      <c r="C1960" s="22"/>
      <c r="D1960" s="22"/>
      <c r="E1960" s="22"/>
      <c r="F1960" s="22"/>
      <c r="G1960" s="22"/>
      <c r="H1960" s="22"/>
      <c r="I1960" s="22"/>
      <c r="J1960" s="22"/>
      <c r="K1960" s="22"/>
      <c r="L1960" s="22"/>
      <c r="M1960" s="22"/>
      <c r="N1960" s="22"/>
    </row>
    <row r="1961" spans="1:14" x14ac:dyDescent="0.3">
      <c r="A1961" s="22" t="s">
        <v>1081</v>
      </c>
      <c r="B1961" s="22">
        <v>0</v>
      </c>
      <c r="C1961" s="22"/>
      <c r="D1961" s="22"/>
      <c r="E1961" s="22"/>
      <c r="F1961" s="22"/>
      <c r="G1961" s="22"/>
      <c r="H1961" s="22"/>
      <c r="I1961" s="22"/>
      <c r="J1961" s="22"/>
      <c r="K1961" s="22"/>
      <c r="L1961" s="22"/>
      <c r="M1961" s="22"/>
      <c r="N1961" s="22"/>
    </row>
    <row r="1962" spans="1:14" x14ac:dyDescent="0.3">
      <c r="A1962" s="22" t="s">
        <v>1082</v>
      </c>
      <c r="B1962" s="22">
        <v>0</v>
      </c>
      <c r="C1962" s="22"/>
      <c r="D1962" s="22"/>
      <c r="E1962" s="22"/>
      <c r="F1962" s="22"/>
      <c r="G1962" s="22"/>
      <c r="H1962" s="22"/>
      <c r="I1962" s="22"/>
      <c r="J1962" s="22"/>
      <c r="K1962" s="22"/>
      <c r="L1962" s="22"/>
      <c r="M1962" s="22"/>
      <c r="N1962" s="22"/>
    </row>
    <row r="1963" spans="1:14" x14ac:dyDescent="0.3">
      <c r="A1963" s="22" t="s">
        <v>1083</v>
      </c>
      <c r="B1963" s="22">
        <v>0</v>
      </c>
      <c r="C1963" s="22"/>
      <c r="D1963" s="22"/>
      <c r="E1963" s="22"/>
      <c r="F1963" s="22"/>
      <c r="G1963" s="22"/>
      <c r="H1963" s="22"/>
      <c r="I1963" s="22"/>
      <c r="J1963" s="22"/>
      <c r="K1963" s="22"/>
      <c r="L1963" s="22"/>
      <c r="M1963" s="22"/>
      <c r="N1963" s="22"/>
    </row>
    <row r="1964" spans="1:14" x14ac:dyDescent="0.3">
      <c r="A1964" s="22" t="s">
        <v>1084</v>
      </c>
      <c r="B1964" s="22">
        <v>0</v>
      </c>
      <c r="C1964" s="22"/>
      <c r="D1964" s="22"/>
      <c r="E1964" s="22"/>
      <c r="F1964" s="22"/>
      <c r="G1964" s="22"/>
      <c r="H1964" s="22"/>
      <c r="I1964" s="22"/>
      <c r="J1964" s="22"/>
      <c r="K1964" s="22"/>
      <c r="L1964" s="22"/>
      <c r="M1964" s="22"/>
      <c r="N1964" s="22"/>
    </row>
    <row r="1965" spans="1:14" x14ac:dyDescent="0.3">
      <c r="A1965" s="22" t="s">
        <v>1085</v>
      </c>
      <c r="B1965" s="22">
        <v>0</v>
      </c>
      <c r="C1965" s="22"/>
      <c r="D1965" s="22"/>
      <c r="E1965" s="22"/>
      <c r="F1965" s="22"/>
      <c r="G1965" s="22"/>
      <c r="H1965" s="22"/>
      <c r="I1965" s="22"/>
      <c r="J1965" s="22"/>
      <c r="K1965" s="22"/>
      <c r="L1965" s="22"/>
      <c r="M1965" s="22"/>
      <c r="N1965" s="22"/>
    </row>
    <row r="1966" spans="1:14" x14ac:dyDescent="0.3">
      <c r="A1966" s="22" t="s">
        <v>1086</v>
      </c>
      <c r="B1966" s="22">
        <v>0</v>
      </c>
      <c r="C1966" s="22"/>
      <c r="D1966" s="22"/>
      <c r="E1966" s="22"/>
      <c r="F1966" s="22"/>
      <c r="G1966" s="22"/>
      <c r="H1966" s="22"/>
      <c r="I1966" s="22"/>
      <c r="J1966" s="22"/>
      <c r="K1966" s="22"/>
      <c r="L1966" s="22"/>
      <c r="M1966" s="22"/>
      <c r="N1966" s="22"/>
    </row>
    <row r="1967" spans="1:14" x14ac:dyDescent="0.3">
      <c r="A1967" s="22" t="s">
        <v>1088</v>
      </c>
      <c r="B1967" s="22">
        <v>0</v>
      </c>
      <c r="C1967" s="22"/>
      <c r="D1967" s="22"/>
      <c r="E1967" s="22"/>
      <c r="F1967" s="22"/>
      <c r="G1967" s="22"/>
      <c r="H1967" s="22"/>
      <c r="I1967" s="22"/>
      <c r="J1967" s="22"/>
      <c r="K1967" s="22"/>
      <c r="L1967" s="22"/>
      <c r="M1967" s="22"/>
      <c r="N1967" s="22"/>
    </row>
    <row r="1968" spans="1:14" x14ac:dyDescent="0.3">
      <c r="A1968" s="22" t="s">
        <v>1089</v>
      </c>
      <c r="B1968" s="22">
        <v>0</v>
      </c>
      <c r="C1968" s="22"/>
      <c r="D1968" s="22"/>
      <c r="E1968" s="22"/>
      <c r="F1968" s="22"/>
      <c r="G1968" s="22"/>
      <c r="H1968" s="22"/>
      <c r="I1968" s="22"/>
      <c r="J1968" s="22"/>
      <c r="K1968" s="22"/>
      <c r="L1968" s="22"/>
      <c r="M1968" s="22"/>
      <c r="N1968" s="22"/>
    </row>
    <row r="1969" spans="1:14" x14ac:dyDescent="0.3">
      <c r="A1969" s="22" t="s">
        <v>1090</v>
      </c>
      <c r="B1969" s="22">
        <v>0</v>
      </c>
      <c r="C1969" s="22"/>
      <c r="D1969" s="22"/>
      <c r="E1969" s="22"/>
      <c r="F1969" s="22"/>
      <c r="G1969" s="22"/>
      <c r="H1969" s="22"/>
      <c r="I1969" s="22"/>
      <c r="J1969" s="22"/>
      <c r="K1969" s="22"/>
      <c r="L1969" s="22"/>
      <c r="M1969" s="22"/>
      <c r="N1969" s="22"/>
    </row>
    <row r="1970" spans="1:14" x14ac:dyDescent="0.3">
      <c r="A1970" s="22" t="s">
        <v>1091</v>
      </c>
      <c r="B1970" s="22">
        <v>0</v>
      </c>
      <c r="C1970" s="22"/>
      <c r="D1970" s="22"/>
      <c r="E1970" s="22"/>
      <c r="F1970" s="22"/>
      <c r="G1970" s="22"/>
      <c r="H1970" s="22"/>
      <c r="I1970" s="22"/>
      <c r="J1970" s="22"/>
      <c r="K1970" s="22"/>
      <c r="L1970" s="22"/>
      <c r="M1970" s="22"/>
      <c r="N1970" s="22"/>
    </row>
    <row r="1971" spans="1:14" x14ac:dyDescent="0.3">
      <c r="A1971" s="22" t="s">
        <v>1092</v>
      </c>
      <c r="B1971" s="22">
        <v>0</v>
      </c>
      <c r="C1971" s="22"/>
      <c r="D1971" s="22"/>
      <c r="E1971" s="22"/>
      <c r="F1971" s="22"/>
      <c r="G1971" s="22"/>
      <c r="H1971" s="22"/>
      <c r="I1971" s="22"/>
      <c r="J1971" s="22"/>
      <c r="K1971" s="22"/>
      <c r="L1971" s="22"/>
      <c r="M1971" s="22"/>
      <c r="N1971" s="22"/>
    </row>
    <row r="1972" spans="1:14" x14ac:dyDescent="0.3">
      <c r="A1972" s="22" t="s">
        <v>1093</v>
      </c>
      <c r="B1972" s="22">
        <v>0</v>
      </c>
      <c r="C1972" s="22"/>
      <c r="D1972" s="22"/>
      <c r="E1972" s="22"/>
      <c r="F1972" s="22"/>
      <c r="G1972" s="22"/>
      <c r="H1972" s="22"/>
      <c r="I1972" s="22"/>
      <c r="J1972" s="22"/>
      <c r="K1972" s="22"/>
      <c r="L1972" s="22"/>
      <c r="M1972" s="22"/>
      <c r="N1972" s="22"/>
    </row>
    <row r="1973" spans="1:14" x14ac:dyDescent="0.3">
      <c r="A1973" s="22" t="s">
        <v>1094</v>
      </c>
      <c r="B1973" s="22">
        <v>0</v>
      </c>
      <c r="C1973" s="22"/>
      <c r="D1973" s="22"/>
      <c r="E1973" s="22"/>
      <c r="F1973" s="22"/>
      <c r="G1973" s="22"/>
      <c r="H1973" s="22"/>
      <c r="I1973" s="22"/>
      <c r="J1973" s="22"/>
      <c r="K1973" s="22"/>
      <c r="L1973" s="22"/>
      <c r="M1973" s="22"/>
      <c r="N1973" s="22"/>
    </row>
    <row r="1974" spans="1:14" x14ac:dyDescent="0.3">
      <c r="A1974" s="22" t="s">
        <v>1095</v>
      </c>
      <c r="B1974" s="22">
        <v>0</v>
      </c>
      <c r="C1974" s="22"/>
      <c r="D1974" s="22"/>
      <c r="E1974" s="22"/>
      <c r="F1974" s="22"/>
      <c r="G1974" s="22"/>
      <c r="H1974" s="22"/>
      <c r="I1974" s="22"/>
      <c r="J1974" s="22"/>
      <c r="K1974" s="22"/>
      <c r="L1974" s="22"/>
      <c r="M1974" s="22"/>
      <c r="N1974" s="22"/>
    </row>
    <row r="1975" spans="1:14" x14ac:dyDescent="0.3">
      <c r="A1975" s="22" t="s">
        <v>1097</v>
      </c>
      <c r="B1975" s="22">
        <v>0</v>
      </c>
      <c r="C1975" s="22"/>
      <c r="D1975" s="22"/>
      <c r="E1975" s="22"/>
      <c r="F1975" s="22"/>
      <c r="G1975" s="22"/>
      <c r="H1975" s="22"/>
      <c r="I1975" s="22"/>
      <c r="J1975" s="22"/>
      <c r="K1975" s="22"/>
      <c r="L1975" s="22"/>
      <c r="M1975" s="22"/>
      <c r="N1975" s="22"/>
    </row>
    <row r="1976" spans="1:14" x14ac:dyDescent="0.3">
      <c r="A1976" s="22" t="s">
        <v>1098</v>
      </c>
      <c r="B1976" s="22">
        <v>0</v>
      </c>
      <c r="C1976" s="22"/>
      <c r="D1976" s="22"/>
      <c r="E1976" s="22"/>
      <c r="F1976" s="22"/>
      <c r="G1976" s="22"/>
      <c r="H1976" s="22"/>
      <c r="I1976" s="22"/>
      <c r="J1976" s="22"/>
      <c r="K1976" s="22"/>
      <c r="L1976" s="22"/>
      <c r="M1976" s="22"/>
      <c r="N1976" s="22"/>
    </row>
    <row r="1977" spans="1:14" x14ac:dyDescent="0.3">
      <c r="A1977" s="22" t="s">
        <v>1099</v>
      </c>
      <c r="B1977" s="22">
        <v>0</v>
      </c>
      <c r="C1977" s="22"/>
      <c r="D1977" s="22"/>
      <c r="E1977" s="22"/>
      <c r="F1977" s="22"/>
      <c r="G1977" s="22"/>
      <c r="H1977" s="22"/>
      <c r="I1977" s="22"/>
      <c r="J1977" s="22"/>
      <c r="K1977" s="22"/>
      <c r="L1977" s="22"/>
      <c r="M1977" s="22"/>
      <c r="N1977" s="22"/>
    </row>
    <row r="1978" spans="1:14" x14ac:dyDescent="0.3">
      <c r="A1978" s="22" t="s">
        <v>1100</v>
      </c>
      <c r="B1978" s="22">
        <v>0</v>
      </c>
      <c r="C1978" s="22"/>
      <c r="D1978" s="22"/>
      <c r="E1978" s="22"/>
      <c r="F1978" s="22"/>
      <c r="G1978" s="22"/>
      <c r="H1978" s="22"/>
      <c r="I1978" s="22"/>
      <c r="J1978" s="22"/>
      <c r="K1978" s="22"/>
      <c r="L1978" s="22"/>
      <c r="M1978" s="22"/>
      <c r="N1978" s="22"/>
    </row>
    <row r="1979" spans="1:14" x14ac:dyDescent="0.3">
      <c r="A1979" s="22" t="s">
        <v>1101</v>
      </c>
      <c r="B1979" s="22">
        <v>0</v>
      </c>
      <c r="C1979" s="22"/>
      <c r="D1979" s="22"/>
      <c r="E1979" s="22"/>
      <c r="F1979" s="22"/>
      <c r="G1979" s="22"/>
      <c r="H1979" s="22"/>
      <c r="I1979" s="22"/>
      <c r="J1979" s="22"/>
      <c r="K1979" s="22"/>
      <c r="L1979" s="22"/>
      <c r="M1979" s="22"/>
      <c r="N1979" s="22"/>
    </row>
    <row r="1980" spans="1:14" x14ac:dyDescent="0.3">
      <c r="A1980" s="22" t="s">
        <v>1102</v>
      </c>
      <c r="B1980" s="22">
        <v>0</v>
      </c>
      <c r="C1980" s="22"/>
      <c r="D1980" s="22"/>
      <c r="E1980" s="22"/>
      <c r="F1980" s="22"/>
      <c r="G1980" s="22"/>
      <c r="H1980" s="22"/>
      <c r="I1980" s="22"/>
      <c r="J1980" s="22"/>
      <c r="K1980" s="22"/>
      <c r="L1980" s="22"/>
      <c r="M1980" s="22"/>
      <c r="N1980" s="22"/>
    </row>
    <row r="1981" spans="1:14" x14ac:dyDescent="0.3">
      <c r="A1981" s="22" t="s">
        <v>1103</v>
      </c>
      <c r="B1981" s="22">
        <v>0</v>
      </c>
      <c r="C1981" s="22"/>
      <c r="D1981" s="22"/>
      <c r="E1981" s="22"/>
      <c r="F1981" s="22"/>
      <c r="G1981" s="22"/>
      <c r="H1981" s="22"/>
      <c r="I1981" s="22"/>
      <c r="J1981" s="22"/>
      <c r="K1981" s="22"/>
      <c r="L1981" s="22"/>
      <c r="M1981" s="22"/>
      <c r="N1981" s="22"/>
    </row>
    <row r="1982" spans="1:14" x14ac:dyDescent="0.3">
      <c r="A1982" s="22" t="s">
        <v>1104</v>
      </c>
      <c r="B1982" s="22">
        <v>0</v>
      </c>
      <c r="C1982" s="22"/>
      <c r="D1982" s="22"/>
      <c r="E1982" s="22"/>
      <c r="F1982" s="22"/>
      <c r="G1982" s="22"/>
      <c r="H1982" s="22"/>
      <c r="I1982" s="22"/>
      <c r="J1982" s="22"/>
      <c r="K1982" s="22"/>
      <c r="L1982" s="22"/>
      <c r="M1982" s="22"/>
      <c r="N1982" s="22"/>
    </row>
    <row r="1983" spans="1:14" x14ac:dyDescent="0.3">
      <c r="A1983" s="22" t="s">
        <v>1106</v>
      </c>
      <c r="B1983" s="22">
        <v>0</v>
      </c>
      <c r="C1983" s="22"/>
      <c r="D1983" s="22"/>
      <c r="E1983" s="22"/>
      <c r="F1983" s="22"/>
      <c r="G1983" s="22"/>
      <c r="H1983" s="22"/>
      <c r="I1983" s="22"/>
      <c r="J1983" s="22"/>
      <c r="K1983" s="22"/>
      <c r="L1983" s="22"/>
      <c r="M1983" s="22"/>
      <c r="N1983" s="22"/>
    </row>
    <row r="1984" spans="1:14" x14ac:dyDescent="0.3">
      <c r="A1984" s="22" t="s">
        <v>1107</v>
      </c>
      <c r="B1984" s="22">
        <v>0</v>
      </c>
      <c r="C1984" s="22"/>
      <c r="D1984" s="22"/>
      <c r="E1984" s="22"/>
      <c r="F1984" s="22"/>
      <c r="G1984" s="22"/>
      <c r="H1984" s="22"/>
      <c r="I1984" s="22"/>
      <c r="J1984" s="22"/>
      <c r="K1984" s="22"/>
      <c r="L1984" s="22"/>
      <c r="M1984" s="22"/>
      <c r="N1984" s="22"/>
    </row>
    <row r="1985" spans="1:14" x14ac:dyDescent="0.3">
      <c r="A1985" s="22" t="s">
        <v>1108</v>
      </c>
      <c r="B1985" s="22">
        <v>0</v>
      </c>
      <c r="C1985" s="22"/>
      <c r="D1985" s="22"/>
      <c r="E1985" s="22"/>
      <c r="F1985" s="22"/>
      <c r="G1985" s="22"/>
      <c r="H1985" s="22"/>
      <c r="I1985" s="22"/>
      <c r="J1985" s="22"/>
      <c r="K1985" s="22"/>
      <c r="L1985" s="22"/>
      <c r="M1985" s="22"/>
      <c r="N1985" s="22"/>
    </row>
    <row r="1986" spans="1:14" x14ac:dyDescent="0.3">
      <c r="A1986" s="22" t="s">
        <v>1109</v>
      </c>
      <c r="B1986" s="22">
        <v>0</v>
      </c>
      <c r="C1986" s="22"/>
      <c r="D1986" s="22"/>
      <c r="E1986" s="22"/>
      <c r="F1986" s="22"/>
      <c r="G1986" s="22"/>
      <c r="H1986" s="22"/>
      <c r="I1986" s="22"/>
      <c r="J1986" s="22"/>
      <c r="K1986" s="22"/>
      <c r="L1986" s="22"/>
      <c r="M1986" s="22"/>
      <c r="N1986" s="22"/>
    </row>
    <row r="1987" spans="1:14" x14ac:dyDescent="0.3">
      <c r="A1987" s="22" t="s">
        <v>1110</v>
      </c>
      <c r="B1987" s="22">
        <v>0</v>
      </c>
      <c r="C1987" s="22"/>
      <c r="D1987" s="22"/>
      <c r="E1987" s="22"/>
      <c r="F1987" s="22"/>
      <c r="G1987" s="22"/>
      <c r="H1987" s="22"/>
      <c r="I1987" s="22"/>
      <c r="J1987" s="22"/>
      <c r="K1987" s="22"/>
      <c r="L1987" s="22"/>
      <c r="M1987" s="22"/>
      <c r="N1987" s="22"/>
    </row>
    <row r="1988" spans="1:14" x14ac:dyDescent="0.3">
      <c r="A1988" s="22" t="s">
        <v>1111</v>
      </c>
      <c r="B1988" s="22">
        <v>0</v>
      </c>
      <c r="C1988" s="22"/>
      <c r="D1988" s="22"/>
      <c r="E1988" s="22"/>
      <c r="F1988" s="22"/>
      <c r="G1988" s="22"/>
      <c r="H1988" s="22"/>
      <c r="I1988" s="22"/>
      <c r="J1988" s="22"/>
      <c r="K1988" s="22"/>
      <c r="L1988" s="22"/>
      <c r="M1988" s="22"/>
      <c r="N1988" s="22"/>
    </row>
    <row r="1989" spans="1:14" x14ac:dyDescent="0.3">
      <c r="A1989" s="22" t="s">
        <v>1112</v>
      </c>
      <c r="B1989" s="22">
        <v>0</v>
      </c>
      <c r="C1989" s="22"/>
      <c r="D1989" s="22"/>
      <c r="E1989" s="22"/>
      <c r="F1989" s="22"/>
      <c r="G1989" s="22"/>
      <c r="H1989" s="22"/>
      <c r="I1989" s="22"/>
      <c r="J1989" s="22"/>
      <c r="K1989" s="22"/>
      <c r="L1989" s="22"/>
      <c r="M1989" s="22"/>
      <c r="N1989" s="22"/>
    </row>
    <row r="1990" spans="1:14" x14ac:dyDescent="0.3">
      <c r="A1990" s="22" t="s">
        <v>1113</v>
      </c>
      <c r="B1990" s="22">
        <v>0</v>
      </c>
      <c r="C1990" s="22"/>
      <c r="D1990" s="22"/>
      <c r="E1990" s="22"/>
      <c r="F1990" s="22"/>
      <c r="G1990" s="22"/>
      <c r="H1990" s="22"/>
      <c r="I1990" s="22"/>
      <c r="J1990" s="22"/>
      <c r="K1990" s="22"/>
      <c r="L1990" s="22"/>
      <c r="M1990" s="22"/>
      <c r="N1990" s="22"/>
    </row>
    <row r="1991" spans="1:14" x14ac:dyDescent="0.3">
      <c r="A1991" s="22" t="s">
        <v>1115</v>
      </c>
      <c r="B1991" s="22">
        <v>7</v>
      </c>
      <c r="C1991" s="22"/>
      <c r="D1991" s="22"/>
      <c r="E1991" s="22"/>
      <c r="F1991" s="22"/>
      <c r="G1991" s="22"/>
      <c r="H1991" s="22"/>
      <c r="I1991" s="22"/>
      <c r="J1991" s="22"/>
      <c r="K1991" s="22"/>
      <c r="L1991" s="22"/>
      <c r="M1991" s="22"/>
      <c r="N1991" s="22"/>
    </row>
    <row r="1992" spans="1:14" x14ac:dyDescent="0.3">
      <c r="A1992" s="22" t="s">
        <v>1116</v>
      </c>
      <c r="B1992" s="22">
        <v>0</v>
      </c>
      <c r="C1992" s="22"/>
      <c r="D1992" s="22"/>
      <c r="E1992" s="22"/>
      <c r="F1992" s="22"/>
      <c r="G1992" s="22"/>
      <c r="H1992" s="22"/>
      <c r="I1992" s="22"/>
      <c r="J1992" s="22"/>
      <c r="K1992" s="22"/>
      <c r="L1992" s="22"/>
      <c r="M1992" s="22"/>
      <c r="N1992" s="22"/>
    </row>
    <row r="1993" spans="1:14" x14ac:dyDescent="0.3">
      <c r="A1993" s="22" t="s">
        <v>1117</v>
      </c>
      <c r="B1993" s="22">
        <v>0</v>
      </c>
      <c r="C1993" s="22"/>
      <c r="D1993" s="22"/>
      <c r="E1993" s="22"/>
      <c r="F1993" s="22"/>
      <c r="G1993" s="22"/>
      <c r="H1993" s="22"/>
      <c r="I1993" s="22"/>
      <c r="J1993" s="22"/>
      <c r="K1993" s="22"/>
      <c r="L1993" s="22"/>
      <c r="M1993" s="22"/>
      <c r="N1993" s="22"/>
    </row>
    <row r="1994" spans="1:14" x14ac:dyDescent="0.3">
      <c r="A1994" s="22" t="s">
        <v>1118</v>
      </c>
      <c r="B1994" s="22">
        <v>0</v>
      </c>
      <c r="C1994" s="22"/>
      <c r="D1994" s="22"/>
      <c r="E1994" s="22"/>
      <c r="F1994" s="22"/>
      <c r="G1994" s="22"/>
      <c r="H1994" s="22"/>
      <c r="I1994" s="22"/>
      <c r="J1994" s="22"/>
      <c r="K1994" s="22"/>
      <c r="L1994" s="22"/>
      <c r="M1994" s="22"/>
      <c r="N1994" s="22"/>
    </row>
    <row r="1995" spans="1:14" x14ac:dyDescent="0.3">
      <c r="A1995" s="22" t="s">
        <v>1119</v>
      </c>
      <c r="B1995" s="22">
        <v>0</v>
      </c>
      <c r="C1995" s="22"/>
      <c r="D1995" s="22"/>
      <c r="E1995" s="22"/>
      <c r="F1995" s="22"/>
      <c r="G1995" s="22"/>
      <c r="H1995" s="22"/>
      <c r="I1995" s="22"/>
      <c r="J1995" s="22"/>
      <c r="K1995" s="22"/>
      <c r="L1995" s="22"/>
      <c r="M1995" s="22"/>
      <c r="N1995" s="22"/>
    </row>
    <row r="1996" spans="1:14" x14ac:dyDescent="0.3">
      <c r="A1996" s="22" t="s">
        <v>1120</v>
      </c>
      <c r="B1996" s="22">
        <v>0</v>
      </c>
      <c r="C1996" s="22"/>
      <c r="D1996" s="22"/>
      <c r="E1996" s="22"/>
      <c r="F1996" s="22"/>
      <c r="G1996" s="22"/>
      <c r="H1996" s="22"/>
      <c r="I1996" s="22"/>
      <c r="J1996" s="22"/>
      <c r="K1996" s="22"/>
      <c r="L1996" s="22"/>
      <c r="M1996" s="22"/>
      <c r="N1996" s="22"/>
    </row>
    <row r="1997" spans="1:14" x14ac:dyDescent="0.3">
      <c r="A1997" s="22" t="s">
        <v>1121</v>
      </c>
      <c r="B1997" s="22">
        <v>0</v>
      </c>
      <c r="C1997" s="22"/>
      <c r="D1997" s="22"/>
      <c r="E1997" s="22"/>
      <c r="F1997" s="22"/>
      <c r="G1997" s="22"/>
      <c r="H1997" s="22"/>
      <c r="I1997" s="22"/>
      <c r="J1997" s="22"/>
      <c r="K1997" s="22"/>
      <c r="L1997" s="22"/>
      <c r="M1997" s="22"/>
      <c r="N1997" s="22"/>
    </row>
    <row r="1998" spans="1:14" x14ac:dyDescent="0.3">
      <c r="A1998" s="22" t="s">
        <v>1122</v>
      </c>
      <c r="B1998" s="22">
        <v>0</v>
      </c>
      <c r="C1998" s="22"/>
      <c r="D1998" s="22"/>
      <c r="E1998" s="22"/>
      <c r="F1998" s="22"/>
      <c r="G1998" s="22"/>
      <c r="H1998" s="22"/>
      <c r="I1998" s="22"/>
      <c r="J1998" s="22"/>
      <c r="K1998" s="22"/>
      <c r="L1998" s="22"/>
      <c r="M1998" s="22"/>
      <c r="N1998" s="22"/>
    </row>
    <row r="1999" spans="1:14" x14ac:dyDescent="0.3">
      <c r="A1999" s="22" t="s">
        <v>1124</v>
      </c>
      <c r="B1999" s="22">
        <v>0</v>
      </c>
      <c r="C1999" s="22"/>
      <c r="D1999" s="22"/>
      <c r="E1999" s="22"/>
      <c r="F1999" s="22"/>
      <c r="G1999" s="22"/>
      <c r="H1999" s="22"/>
      <c r="I1999" s="22"/>
      <c r="J1999" s="22"/>
      <c r="K1999" s="22"/>
      <c r="L1999" s="22"/>
      <c r="M1999" s="22"/>
      <c r="N1999" s="22"/>
    </row>
    <row r="2000" spans="1:14" x14ac:dyDescent="0.3">
      <c r="A2000" s="22" t="s">
        <v>1125</v>
      </c>
      <c r="B2000" s="22">
        <v>0</v>
      </c>
      <c r="C2000" s="22"/>
      <c r="D2000" s="22"/>
      <c r="E2000" s="22"/>
      <c r="F2000" s="22"/>
      <c r="G2000" s="22"/>
      <c r="H2000" s="22"/>
      <c r="I2000" s="22"/>
      <c r="J2000" s="22"/>
      <c r="K2000" s="22"/>
      <c r="L2000" s="22"/>
      <c r="M2000" s="22"/>
      <c r="N2000" s="22"/>
    </row>
    <row r="2001" spans="1:14" x14ac:dyDescent="0.3">
      <c r="A2001" s="22" t="s">
        <v>1126</v>
      </c>
      <c r="B2001" s="22">
        <v>0</v>
      </c>
      <c r="C2001" s="22"/>
      <c r="D2001" s="22"/>
      <c r="E2001" s="22"/>
      <c r="F2001" s="22"/>
      <c r="G2001" s="22"/>
      <c r="H2001" s="22"/>
      <c r="I2001" s="22"/>
      <c r="J2001" s="22"/>
      <c r="K2001" s="22"/>
      <c r="L2001" s="22"/>
      <c r="M2001" s="22"/>
      <c r="N2001" s="22"/>
    </row>
    <row r="2002" spans="1:14" x14ac:dyDescent="0.3">
      <c r="A2002" s="22" t="s">
        <v>1127</v>
      </c>
      <c r="B2002" s="22">
        <v>0</v>
      </c>
      <c r="C2002" s="22"/>
      <c r="D2002" s="22"/>
      <c r="E2002" s="22"/>
      <c r="F2002" s="22"/>
      <c r="G2002" s="22"/>
      <c r="H2002" s="22"/>
      <c r="I2002" s="22"/>
      <c r="J2002" s="22"/>
      <c r="K2002" s="22"/>
      <c r="L2002" s="22"/>
      <c r="M2002" s="22"/>
      <c r="N2002" s="22"/>
    </row>
    <row r="2003" spans="1:14" x14ac:dyDescent="0.3">
      <c r="A2003" s="22" t="s">
        <v>1128</v>
      </c>
      <c r="B2003" s="22">
        <v>0</v>
      </c>
      <c r="C2003" s="22"/>
      <c r="D2003" s="22"/>
      <c r="E2003" s="22"/>
      <c r="F2003" s="22"/>
      <c r="G2003" s="22"/>
      <c r="H2003" s="22"/>
      <c r="I2003" s="22"/>
      <c r="J2003" s="22"/>
      <c r="K2003" s="22"/>
      <c r="L2003" s="22"/>
      <c r="M2003" s="22"/>
      <c r="N2003" s="22"/>
    </row>
    <row r="2004" spans="1:14" x14ac:dyDescent="0.3">
      <c r="A2004" s="22" t="s">
        <v>1129</v>
      </c>
      <c r="B2004" s="22">
        <v>0</v>
      </c>
      <c r="C2004" s="22"/>
      <c r="D2004" s="22"/>
      <c r="E2004" s="22"/>
      <c r="F2004" s="22"/>
      <c r="G2004" s="22"/>
      <c r="H2004" s="22"/>
      <c r="I2004" s="22"/>
      <c r="J2004" s="22"/>
      <c r="K2004" s="22"/>
      <c r="L2004" s="22"/>
      <c r="M2004" s="22"/>
      <c r="N2004" s="22"/>
    </row>
    <row r="2005" spans="1:14" x14ac:dyDescent="0.3">
      <c r="A2005" s="22" t="s">
        <v>1130</v>
      </c>
      <c r="B2005" s="22">
        <v>0</v>
      </c>
      <c r="C2005" s="22"/>
      <c r="D2005" s="22"/>
      <c r="E2005" s="22"/>
      <c r="F2005" s="22"/>
      <c r="G2005" s="22"/>
      <c r="H2005" s="22"/>
      <c r="I2005" s="22"/>
      <c r="J2005" s="22"/>
      <c r="K2005" s="22"/>
      <c r="L2005" s="22"/>
      <c r="M2005" s="22"/>
      <c r="N2005" s="22"/>
    </row>
    <row r="2006" spans="1:14" x14ac:dyDescent="0.3">
      <c r="A2006" s="22" t="s">
        <v>1131</v>
      </c>
      <c r="B2006" s="22">
        <v>0</v>
      </c>
      <c r="C2006" s="22"/>
      <c r="D2006" s="22"/>
      <c r="E2006" s="22"/>
      <c r="F2006" s="22"/>
      <c r="G2006" s="22"/>
      <c r="H2006" s="22"/>
      <c r="I2006" s="22"/>
      <c r="J2006" s="22"/>
      <c r="K2006" s="22"/>
      <c r="L2006" s="22"/>
      <c r="M2006" s="22"/>
      <c r="N2006" s="22"/>
    </row>
    <row r="2007" spans="1:14" x14ac:dyDescent="0.3">
      <c r="A2007" s="22" t="s">
        <v>1133</v>
      </c>
      <c r="B2007" s="22">
        <v>5</v>
      </c>
      <c r="C2007" s="22"/>
      <c r="D2007" s="22"/>
      <c r="E2007" s="22"/>
      <c r="F2007" s="22"/>
      <c r="G2007" s="22"/>
      <c r="H2007" s="22"/>
      <c r="I2007" s="22"/>
      <c r="J2007" s="22"/>
      <c r="K2007" s="22"/>
      <c r="L2007" s="22"/>
      <c r="M2007" s="22"/>
      <c r="N2007" s="22"/>
    </row>
    <row r="2008" spans="1:14" x14ac:dyDescent="0.3">
      <c r="A2008" s="22" t="s">
        <v>1134</v>
      </c>
      <c r="B2008" s="22">
        <v>0</v>
      </c>
      <c r="C2008" s="22"/>
      <c r="D2008" s="22"/>
      <c r="E2008" s="22"/>
      <c r="F2008" s="22"/>
      <c r="G2008" s="22"/>
      <c r="H2008" s="22"/>
      <c r="I2008" s="22"/>
      <c r="J2008" s="22"/>
      <c r="K2008" s="22"/>
      <c r="L2008" s="22"/>
      <c r="M2008" s="22"/>
      <c r="N2008" s="22"/>
    </row>
    <row r="2009" spans="1:14" x14ac:dyDescent="0.3">
      <c r="A2009" s="22" t="s">
        <v>1135</v>
      </c>
      <c r="B2009" s="22">
        <v>0</v>
      </c>
      <c r="C2009" s="22"/>
      <c r="D2009" s="22"/>
      <c r="E2009" s="22"/>
      <c r="F2009" s="22"/>
      <c r="G2009" s="22"/>
      <c r="H2009" s="22"/>
      <c r="I2009" s="22"/>
      <c r="J2009" s="22"/>
      <c r="K2009" s="22"/>
      <c r="L2009" s="22"/>
      <c r="M2009" s="22"/>
      <c r="N2009" s="22"/>
    </row>
    <row r="2010" spans="1:14" x14ac:dyDescent="0.3">
      <c r="A2010" s="22" t="s">
        <v>1136</v>
      </c>
      <c r="B2010" s="22">
        <v>0</v>
      </c>
      <c r="C2010" s="22"/>
      <c r="D2010" s="22"/>
      <c r="E2010" s="22"/>
      <c r="F2010" s="22"/>
      <c r="G2010" s="22"/>
      <c r="H2010" s="22"/>
      <c r="I2010" s="22"/>
      <c r="J2010" s="22"/>
      <c r="K2010" s="22"/>
      <c r="L2010" s="22"/>
      <c r="M2010" s="22"/>
      <c r="N2010" s="22"/>
    </row>
    <row r="2011" spans="1:14" x14ac:dyDescent="0.3">
      <c r="A2011" s="22" t="s">
        <v>1137</v>
      </c>
      <c r="B2011" s="22">
        <v>0</v>
      </c>
      <c r="C2011" s="22"/>
      <c r="D2011" s="22"/>
      <c r="E2011" s="22"/>
      <c r="F2011" s="22"/>
      <c r="G2011" s="22"/>
      <c r="H2011" s="22"/>
      <c r="I2011" s="22"/>
      <c r="J2011" s="22"/>
      <c r="K2011" s="22"/>
      <c r="L2011" s="22"/>
      <c r="M2011" s="22"/>
      <c r="N2011" s="22"/>
    </row>
    <row r="2012" spans="1:14" x14ac:dyDescent="0.3">
      <c r="A2012" s="22" t="s">
        <v>1138</v>
      </c>
      <c r="B2012" s="22">
        <v>0</v>
      </c>
      <c r="C2012" s="22"/>
      <c r="D2012" s="22"/>
      <c r="E2012" s="22"/>
      <c r="F2012" s="22"/>
      <c r="G2012" s="22"/>
      <c r="H2012" s="22"/>
      <c r="I2012" s="22"/>
      <c r="J2012" s="22"/>
      <c r="K2012" s="22"/>
      <c r="L2012" s="22"/>
      <c r="M2012" s="22"/>
      <c r="N2012" s="22"/>
    </row>
    <row r="2013" spans="1:14" x14ac:dyDescent="0.3">
      <c r="A2013" s="22" t="s">
        <v>1139</v>
      </c>
      <c r="B2013" s="22">
        <v>0</v>
      </c>
      <c r="C2013" s="22"/>
      <c r="D2013" s="22"/>
      <c r="E2013" s="22"/>
      <c r="F2013" s="22"/>
      <c r="G2013" s="22"/>
      <c r="H2013" s="22"/>
      <c r="I2013" s="22"/>
      <c r="J2013" s="22"/>
      <c r="K2013" s="22"/>
      <c r="L2013" s="22"/>
      <c r="M2013" s="22"/>
      <c r="N2013" s="22"/>
    </row>
    <row r="2014" spans="1:14" x14ac:dyDescent="0.3">
      <c r="A2014" s="22" t="s">
        <v>1140</v>
      </c>
      <c r="B2014" s="22">
        <v>0</v>
      </c>
      <c r="C2014" s="22"/>
      <c r="D2014" s="22"/>
      <c r="E2014" s="22"/>
      <c r="F2014" s="22"/>
      <c r="G2014" s="22"/>
      <c r="H2014" s="22"/>
      <c r="I2014" s="22"/>
      <c r="J2014" s="22"/>
      <c r="K2014" s="22"/>
      <c r="L2014" s="22"/>
      <c r="M2014" s="22"/>
      <c r="N2014" s="22"/>
    </row>
    <row r="2015" spans="1:14" x14ac:dyDescent="0.3">
      <c r="A2015" s="22" t="s">
        <v>1142</v>
      </c>
      <c r="B2015" s="22">
        <v>0</v>
      </c>
      <c r="C2015" s="22"/>
      <c r="D2015" s="22"/>
      <c r="E2015" s="22"/>
      <c r="F2015" s="22"/>
      <c r="G2015" s="22"/>
      <c r="H2015" s="22"/>
      <c r="I2015" s="22"/>
      <c r="J2015" s="22"/>
      <c r="K2015" s="22"/>
      <c r="L2015" s="22"/>
      <c r="M2015" s="22"/>
      <c r="N2015" s="22"/>
    </row>
    <row r="2016" spans="1:14" x14ac:dyDescent="0.3">
      <c r="A2016" s="22" t="s">
        <v>1143</v>
      </c>
      <c r="B2016" s="22">
        <v>0</v>
      </c>
      <c r="C2016" s="22"/>
      <c r="D2016" s="22"/>
      <c r="E2016" s="22"/>
      <c r="F2016" s="22"/>
      <c r="G2016" s="22"/>
      <c r="H2016" s="22"/>
      <c r="I2016" s="22"/>
      <c r="J2016" s="22"/>
      <c r="K2016" s="22"/>
      <c r="L2016" s="22"/>
      <c r="M2016" s="22"/>
      <c r="N2016" s="22"/>
    </row>
    <row r="2017" spans="1:14" x14ac:dyDescent="0.3">
      <c r="A2017" s="22" t="s">
        <v>1144</v>
      </c>
      <c r="B2017" s="22">
        <v>0</v>
      </c>
      <c r="C2017" s="22"/>
      <c r="D2017" s="22"/>
      <c r="E2017" s="22"/>
      <c r="F2017" s="22"/>
      <c r="G2017" s="22"/>
      <c r="H2017" s="22"/>
      <c r="I2017" s="22"/>
      <c r="J2017" s="22"/>
      <c r="K2017" s="22"/>
      <c r="L2017" s="22"/>
      <c r="M2017" s="22"/>
      <c r="N2017" s="22"/>
    </row>
    <row r="2018" spans="1:14" x14ac:dyDescent="0.3">
      <c r="A2018" s="22" t="s">
        <v>1145</v>
      </c>
      <c r="B2018" s="22">
        <v>0</v>
      </c>
      <c r="C2018" s="22"/>
      <c r="D2018" s="22"/>
      <c r="E2018" s="22"/>
      <c r="F2018" s="22"/>
      <c r="G2018" s="22"/>
      <c r="H2018" s="22"/>
      <c r="I2018" s="22"/>
      <c r="J2018" s="22"/>
      <c r="K2018" s="22"/>
      <c r="L2018" s="22"/>
      <c r="M2018" s="22"/>
      <c r="N2018" s="22"/>
    </row>
    <row r="2019" spans="1:14" x14ac:dyDescent="0.3">
      <c r="A2019" s="22" t="s">
        <v>1146</v>
      </c>
      <c r="B2019" s="22">
        <v>0</v>
      </c>
      <c r="C2019" s="22"/>
      <c r="D2019" s="22"/>
      <c r="E2019" s="22"/>
      <c r="F2019" s="22"/>
      <c r="G2019" s="22"/>
      <c r="H2019" s="22"/>
      <c r="I2019" s="22"/>
      <c r="J2019" s="22"/>
      <c r="K2019" s="22"/>
      <c r="L2019" s="22"/>
      <c r="M2019" s="22"/>
      <c r="N2019" s="22"/>
    </row>
    <row r="2020" spans="1:14" x14ac:dyDescent="0.3">
      <c r="A2020" s="22" t="s">
        <v>1147</v>
      </c>
      <c r="B2020" s="22">
        <v>0</v>
      </c>
      <c r="C2020" s="22"/>
      <c r="D2020" s="22"/>
      <c r="E2020" s="22"/>
      <c r="F2020" s="22"/>
      <c r="G2020" s="22"/>
      <c r="H2020" s="22"/>
      <c r="I2020" s="22"/>
      <c r="J2020" s="22"/>
      <c r="K2020" s="22"/>
      <c r="L2020" s="22"/>
      <c r="M2020" s="22"/>
      <c r="N2020" s="22"/>
    </row>
    <row r="2021" spans="1:14" x14ac:dyDescent="0.3">
      <c r="A2021" s="22" t="s">
        <v>1148</v>
      </c>
      <c r="B2021" s="22">
        <v>0</v>
      </c>
      <c r="C2021" s="22"/>
      <c r="D2021" s="22"/>
      <c r="E2021" s="22"/>
      <c r="F2021" s="22"/>
      <c r="G2021" s="22"/>
      <c r="H2021" s="22"/>
      <c r="I2021" s="22"/>
      <c r="J2021" s="22"/>
      <c r="K2021" s="22"/>
      <c r="L2021" s="22"/>
      <c r="M2021" s="22"/>
      <c r="N2021" s="22"/>
    </row>
    <row r="2022" spans="1:14" x14ac:dyDescent="0.3">
      <c r="A2022" s="22" t="s">
        <v>1149</v>
      </c>
      <c r="B2022" s="22">
        <v>0</v>
      </c>
      <c r="C2022" s="22"/>
      <c r="D2022" s="22"/>
      <c r="E2022" s="22"/>
      <c r="F2022" s="22"/>
      <c r="G2022" s="22"/>
      <c r="H2022" s="22"/>
      <c r="I2022" s="22"/>
      <c r="J2022" s="22"/>
      <c r="K2022" s="22"/>
      <c r="L2022" s="22"/>
      <c r="M2022" s="22"/>
      <c r="N2022" s="22"/>
    </row>
    <row r="2023" spans="1:14" x14ac:dyDescent="0.3">
      <c r="A2023" s="22" t="s">
        <v>1150</v>
      </c>
      <c r="B2023" s="22">
        <v>77</v>
      </c>
      <c r="C2023" s="22"/>
      <c r="D2023" s="22"/>
      <c r="E2023" s="22"/>
      <c r="F2023" s="22"/>
      <c r="G2023" s="22"/>
      <c r="H2023" s="22"/>
      <c r="I2023" s="22"/>
      <c r="J2023" s="22"/>
      <c r="K2023" s="22"/>
      <c r="L2023" s="22"/>
      <c r="M2023" s="22"/>
      <c r="N2023" s="22"/>
    </row>
    <row r="2024" spans="1:14" x14ac:dyDescent="0.3">
      <c r="A2024" s="22" t="s">
        <v>5542</v>
      </c>
      <c r="B2024" s="22">
        <v>0</v>
      </c>
      <c r="C2024" s="22"/>
      <c r="D2024" s="22"/>
      <c r="E2024" s="22"/>
      <c r="F2024" s="22"/>
      <c r="G2024" s="22"/>
      <c r="H2024" s="22"/>
      <c r="I2024" s="22"/>
      <c r="J2024" s="22"/>
      <c r="K2024" s="22"/>
      <c r="L2024" s="22"/>
      <c r="M2024" s="22"/>
      <c r="N2024" s="22"/>
    </row>
    <row r="2025" spans="1:14" x14ac:dyDescent="0.3">
      <c r="A2025" s="22" t="s">
        <v>5543</v>
      </c>
      <c r="B2025" s="22">
        <v>0</v>
      </c>
      <c r="C2025" s="22"/>
      <c r="D2025" s="22"/>
      <c r="E2025" s="22"/>
      <c r="F2025" s="22"/>
      <c r="G2025" s="22"/>
      <c r="H2025" s="22"/>
      <c r="I2025" s="22"/>
      <c r="J2025" s="22"/>
      <c r="K2025" s="22"/>
      <c r="L2025" s="22"/>
      <c r="M2025" s="22"/>
      <c r="N2025" s="22"/>
    </row>
    <row r="2026" spans="1:14" x14ac:dyDescent="0.3">
      <c r="A2026" s="22" t="s">
        <v>5544</v>
      </c>
      <c r="B2026" s="22">
        <v>0</v>
      </c>
      <c r="C2026" s="22"/>
      <c r="D2026" s="22"/>
      <c r="E2026" s="22"/>
      <c r="F2026" s="22"/>
      <c r="G2026" s="22"/>
      <c r="H2026" s="22"/>
      <c r="I2026" s="22"/>
      <c r="J2026" s="22"/>
      <c r="K2026" s="22"/>
      <c r="L2026" s="22"/>
      <c r="M2026" s="22"/>
      <c r="N2026" s="22"/>
    </row>
    <row r="2027" spans="1:14" x14ac:dyDescent="0.3">
      <c r="A2027" s="22" t="s">
        <v>5545</v>
      </c>
      <c r="B2027" s="22">
        <v>0</v>
      </c>
      <c r="C2027" s="22"/>
      <c r="D2027" s="22"/>
      <c r="E2027" s="22"/>
      <c r="F2027" s="22"/>
      <c r="G2027" s="22"/>
      <c r="H2027" s="22"/>
      <c r="I2027" s="22"/>
      <c r="J2027" s="22"/>
      <c r="K2027" s="22"/>
      <c r="L2027" s="22"/>
      <c r="M2027" s="22"/>
      <c r="N2027" s="22"/>
    </row>
    <row r="2028" spans="1:14" x14ac:dyDescent="0.3">
      <c r="A2028" s="22" t="s">
        <v>5546</v>
      </c>
      <c r="B2028" s="22">
        <v>0</v>
      </c>
      <c r="C2028" s="22"/>
      <c r="D2028" s="22"/>
      <c r="E2028" s="22"/>
      <c r="F2028" s="22"/>
      <c r="G2028" s="22"/>
      <c r="H2028" s="22"/>
      <c r="I2028" s="22"/>
      <c r="J2028" s="22"/>
      <c r="K2028" s="22"/>
      <c r="L2028" s="22"/>
      <c r="M2028" s="22"/>
      <c r="N2028" s="22"/>
    </row>
    <row r="2029" spans="1:14" x14ac:dyDescent="0.3">
      <c r="A2029" s="22" t="s">
        <v>5547</v>
      </c>
      <c r="B2029" s="22">
        <v>0</v>
      </c>
      <c r="C2029" s="22"/>
      <c r="D2029" s="22"/>
      <c r="E2029" s="22"/>
      <c r="F2029" s="22"/>
      <c r="G2029" s="22"/>
      <c r="H2029" s="22"/>
      <c r="I2029" s="22"/>
      <c r="J2029" s="22"/>
      <c r="K2029" s="22"/>
      <c r="L2029" s="22"/>
      <c r="M2029" s="22"/>
      <c r="N2029" s="22"/>
    </row>
    <row r="2030" spans="1:14" x14ac:dyDescent="0.3">
      <c r="A2030" s="22" t="s">
        <v>5548</v>
      </c>
      <c r="B2030" s="22">
        <v>0</v>
      </c>
      <c r="C2030" s="22"/>
      <c r="D2030" s="22"/>
      <c r="E2030" s="22"/>
      <c r="F2030" s="22"/>
      <c r="G2030" s="22"/>
      <c r="H2030" s="22"/>
      <c r="I2030" s="22"/>
      <c r="J2030" s="22"/>
      <c r="K2030" s="22"/>
      <c r="L2030" s="22"/>
      <c r="M2030" s="22"/>
      <c r="N2030" s="22"/>
    </row>
    <row r="2031" spans="1:14" x14ac:dyDescent="0.3">
      <c r="A2031" s="22" t="s">
        <v>1151</v>
      </c>
      <c r="B2031" s="22">
        <v>0</v>
      </c>
      <c r="C2031" s="22"/>
      <c r="D2031" s="22"/>
      <c r="E2031" s="22"/>
      <c r="F2031" s="22"/>
      <c r="G2031" s="22"/>
      <c r="H2031" s="22"/>
      <c r="I2031" s="22"/>
      <c r="J2031" s="22"/>
      <c r="K2031" s="22"/>
      <c r="L2031" s="22"/>
      <c r="M2031" s="22"/>
      <c r="N2031" s="22"/>
    </row>
    <row r="2032" spans="1:14" x14ac:dyDescent="0.3">
      <c r="A2032" s="22" t="s">
        <v>1152</v>
      </c>
      <c r="B2032" s="22">
        <v>0</v>
      </c>
      <c r="C2032" s="22"/>
      <c r="D2032" s="22"/>
      <c r="E2032" s="22"/>
      <c r="F2032" s="22"/>
      <c r="G2032" s="22"/>
      <c r="H2032" s="22"/>
      <c r="I2032" s="22"/>
      <c r="J2032" s="22"/>
      <c r="K2032" s="22"/>
      <c r="L2032" s="22"/>
      <c r="M2032" s="22"/>
      <c r="N2032" s="22"/>
    </row>
    <row r="2033" spans="1:14" x14ac:dyDescent="0.3">
      <c r="A2033" s="22" t="s">
        <v>1153</v>
      </c>
      <c r="B2033" s="22">
        <v>0</v>
      </c>
      <c r="C2033" s="22"/>
      <c r="D2033" s="22"/>
      <c r="E2033" s="22"/>
      <c r="F2033" s="22"/>
      <c r="G2033" s="22"/>
      <c r="H2033" s="22"/>
      <c r="I2033" s="22"/>
      <c r="J2033" s="22"/>
      <c r="K2033" s="22"/>
      <c r="L2033" s="22"/>
      <c r="M2033" s="22"/>
      <c r="N2033" s="22"/>
    </row>
    <row r="2034" spans="1:14" x14ac:dyDescent="0.3">
      <c r="A2034" s="22" t="s">
        <v>1154</v>
      </c>
      <c r="B2034" s="22">
        <v>0</v>
      </c>
      <c r="C2034" s="22"/>
      <c r="D2034" s="22"/>
      <c r="E2034" s="22"/>
      <c r="F2034" s="22"/>
      <c r="G2034" s="22"/>
      <c r="H2034" s="22"/>
      <c r="I2034" s="22"/>
      <c r="J2034" s="22"/>
      <c r="K2034" s="22"/>
      <c r="L2034" s="22"/>
      <c r="M2034" s="22"/>
      <c r="N2034" s="22"/>
    </row>
    <row r="2035" spans="1:14" x14ac:dyDescent="0.3">
      <c r="A2035" s="22" t="s">
        <v>1155</v>
      </c>
      <c r="B2035" s="22">
        <v>0</v>
      </c>
      <c r="C2035" s="22"/>
      <c r="D2035" s="22"/>
      <c r="E2035" s="22"/>
      <c r="F2035" s="22"/>
      <c r="G2035" s="22"/>
      <c r="H2035" s="22"/>
      <c r="I2035" s="22"/>
      <c r="J2035" s="22"/>
      <c r="K2035" s="22"/>
      <c r="L2035" s="22"/>
      <c r="M2035" s="22"/>
      <c r="N2035" s="22"/>
    </row>
    <row r="2036" spans="1:14" x14ac:dyDescent="0.3">
      <c r="A2036" s="22" t="s">
        <v>1156</v>
      </c>
      <c r="B2036" s="22">
        <v>0</v>
      </c>
      <c r="C2036" s="22"/>
      <c r="D2036" s="22"/>
      <c r="E2036" s="22"/>
      <c r="F2036" s="22"/>
      <c r="G2036" s="22"/>
      <c r="H2036" s="22"/>
      <c r="I2036" s="22"/>
      <c r="J2036" s="22"/>
      <c r="K2036" s="22"/>
      <c r="L2036" s="22"/>
      <c r="M2036" s="22"/>
      <c r="N2036" s="22"/>
    </row>
    <row r="2037" spans="1:14" x14ac:dyDescent="0.3">
      <c r="A2037" s="22" t="s">
        <v>1157</v>
      </c>
      <c r="B2037" s="22">
        <v>0</v>
      </c>
      <c r="C2037" s="22"/>
      <c r="D2037" s="22"/>
      <c r="E2037" s="22"/>
      <c r="F2037" s="22"/>
      <c r="G2037" s="22"/>
      <c r="H2037" s="22"/>
      <c r="I2037" s="22"/>
      <c r="J2037" s="22"/>
      <c r="K2037" s="22"/>
      <c r="L2037" s="22"/>
      <c r="M2037" s="22"/>
      <c r="N2037" s="22"/>
    </row>
    <row r="2038" spans="1:14" x14ac:dyDescent="0.3">
      <c r="A2038" s="22" t="s">
        <v>1158</v>
      </c>
      <c r="B2038" s="22">
        <v>0</v>
      </c>
      <c r="C2038" s="22"/>
      <c r="D2038" s="22"/>
      <c r="E2038" s="22"/>
      <c r="F2038" s="22"/>
      <c r="G2038" s="22"/>
      <c r="H2038" s="22"/>
      <c r="I2038" s="22"/>
      <c r="J2038" s="22"/>
      <c r="K2038" s="22"/>
      <c r="L2038" s="22"/>
      <c r="M2038" s="22"/>
      <c r="N2038" s="22"/>
    </row>
    <row r="2039" spans="1:14" x14ac:dyDescent="0.3">
      <c r="A2039" s="22" t="s">
        <v>1160</v>
      </c>
      <c r="B2039" s="22">
        <v>0</v>
      </c>
      <c r="C2039" s="22"/>
      <c r="D2039" s="22"/>
      <c r="E2039" s="22"/>
      <c r="F2039" s="22"/>
      <c r="G2039" s="22"/>
      <c r="H2039" s="22"/>
      <c r="I2039" s="22"/>
      <c r="J2039" s="22"/>
      <c r="K2039" s="22"/>
      <c r="L2039" s="22"/>
      <c r="M2039" s="22"/>
      <c r="N2039" s="22"/>
    </row>
    <row r="2040" spans="1:14" x14ac:dyDescent="0.3">
      <c r="A2040" s="22" t="s">
        <v>1161</v>
      </c>
      <c r="B2040" s="22">
        <v>0</v>
      </c>
      <c r="C2040" s="22"/>
      <c r="D2040" s="22"/>
      <c r="E2040" s="22"/>
      <c r="F2040" s="22"/>
      <c r="G2040" s="22"/>
      <c r="H2040" s="22"/>
      <c r="I2040" s="22"/>
      <c r="J2040" s="22"/>
      <c r="K2040" s="22"/>
      <c r="L2040" s="22"/>
      <c r="M2040" s="22"/>
      <c r="N2040" s="22"/>
    </row>
    <row r="2041" spans="1:14" x14ac:dyDescent="0.3">
      <c r="A2041" s="22" t="s">
        <v>1162</v>
      </c>
      <c r="B2041" s="22">
        <v>0</v>
      </c>
      <c r="C2041" s="22"/>
      <c r="D2041" s="22"/>
      <c r="E2041" s="22"/>
      <c r="F2041" s="22"/>
      <c r="G2041" s="22"/>
      <c r="H2041" s="22"/>
      <c r="I2041" s="22"/>
      <c r="J2041" s="22"/>
      <c r="K2041" s="22"/>
      <c r="L2041" s="22"/>
      <c r="M2041" s="22"/>
      <c r="N2041" s="22"/>
    </row>
    <row r="2042" spans="1:14" x14ac:dyDescent="0.3">
      <c r="A2042" s="22" t="s">
        <v>1163</v>
      </c>
      <c r="B2042" s="22">
        <v>0</v>
      </c>
      <c r="C2042" s="22"/>
      <c r="D2042" s="22"/>
      <c r="E2042" s="22"/>
      <c r="F2042" s="22"/>
      <c r="G2042" s="22"/>
      <c r="H2042" s="22"/>
      <c r="I2042" s="22"/>
      <c r="J2042" s="22"/>
      <c r="K2042" s="22"/>
      <c r="L2042" s="22"/>
      <c r="M2042" s="22"/>
      <c r="N2042" s="22"/>
    </row>
    <row r="2043" spans="1:14" x14ac:dyDescent="0.3">
      <c r="A2043" s="22" t="s">
        <v>1164</v>
      </c>
      <c r="B2043" s="22">
        <v>0</v>
      </c>
      <c r="C2043" s="22"/>
      <c r="D2043" s="22"/>
      <c r="E2043" s="22"/>
      <c r="F2043" s="22"/>
      <c r="G2043" s="22"/>
      <c r="H2043" s="22"/>
      <c r="I2043" s="22"/>
      <c r="J2043" s="22"/>
      <c r="K2043" s="22"/>
      <c r="L2043" s="22"/>
      <c r="M2043" s="22"/>
      <c r="N2043" s="22"/>
    </row>
    <row r="2044" spans="1:14" x14ac:dyDescent="0.3">
      <c r="A2044" s="22" t="s">
        <v>1165</v>
      </c>
      <c r="B2044" s="22">
        <v>0</v>
      </c>
      <c r="C2044" s="22"/>
      <c r="D2044" s="22"/>
      <c r="E2044" s="22"/>
      <c r="F2044" s="22"/>
      <c r="G2044" s="22"/>
      <c r="H2044" s="22"/>
      <c r="I2044" s="22"/>
      <c r="J2044" s="22"/>
      <c r="K2044" s="22"/>
      <c r="L2044" s="22"/>
      <c r="M2044" s="22"/>
      <c r="N2044" s="22"/>
    </row>
    <row r="2045" spans="1:14" x14ac:dyDescent="0.3">
      <c r="A2045" s="22" t="s">
        <v>1166</v>
      </c>
      <c r="B2045" s="22">
        <v>0</v>
      </c>
      <c r="C2045" s="22"/>
      <c r="D2045" s="22"/>
      <c r="E2045" s="22"/>
      <c r="F2045" s="22"/>
      <c r="G2045" s="22"/>
      <c r="H2045" s="22"/>
      <c r="I2045" s="22"/>
      <c r="J2045" s="22"/>
      <c r="K2045" s="22"/>
      <c r="L2045" s="22"/>
      <c r="M2045" s="22"/>
      <c r="N2045" s="22"/>
    </row>
    <row r="2046" spans="1:14" x14ac:dyDescent="0.3">
      <c r="A2046" s="22" t="s">
        <v>1167</v>
      </c>
      <c r="B2046" s="22">
        <v>0</v>
      </c>
      <c r="C2046" s="22"/>
      <c r="D2046" s="22"/>
      <c r="E2046" s="22"/>
      <c r="F2046" s="22"/>
      <c r="G2046" s="22"/>
      <c r="H2046" s="22"/>
      <c r="I2046" s="22"/>
      <c r="J2046" s="22"/>
      <c r="K2046" s="22"/>
      <c r="L2046" s="22"/>
      <c r="M2046" s="22"/>
      <c r="N2046" s="22"/>
    </row>
    <row r="2047" spans="1:14" x14ac:dyDescent="0.3">
      <c r="A2047" s="22" t="s">
        <v>1169</v>
      </c>
      <c r="B2047" s="22">
        <v>2</v>
      </c>
      <c r="C2047" s="22"/>
      <c r="D2047" s="22"/>
      <c r="E2047" s="22"/>
      <c r="F2047" s="22"/>
      <c r="G2047" s="22"/>
      <c r="H2047" s="22"/>
      <c r="I2047" s="22"/>
      <c r="J2047" s="22"/>
      <c r="K2047" s="22"/>
      <c r="L2047" s="22"/>
      <c r="M2047" s="22"/>
      <c r="N2047" s="22"/>
    </row>
    <row r="2048" spans="1:14" x14ac:dyDescent="0.3">
      <c r="A2048" s="22" t="s">
        <v>1170</v>
      </c>
      <c r="B2048" s="22">
        <v>0</v>
      </c>
      <c r="C2048" s="22"/>
      <c r="D2048" s="22"/>
      <c r="E2048" s="22"/>
      <c r="F2048" s="22"/>
      <c r="G2048" s="22"/>
      <c r="H2048" s="22"/>
      <c r="I2048" s="22"/>
      <c r="J2048" s="22"/>
      <c r="K2048" s="22"/>
      <c r="L2048" s="22"/>
      <c r="M2048" s="22"/>
      <c r="N2048" s="22"/>
    </row>
    <row r="2049" spans="1:14" x14ac:dyDescent="0.3">
      <c r="A2049" s="22" t="s">
        <v>1171</v>
      </c>
      <c r="B2049" s="22">
        <v>0</v>
      </c>
      <c r="C2049" s="22"/>
      <c r="D2049" s="22"/>
      <c r="E2049" s="22"/>
      <c r="F2049" s="22"/>
      <c r="G2049" s="22"/>
      <c r="H2049" s="22"/>
      <c r="I2049" s="22"/>
      <c r="J2049" s="22"/>
      <c r="K2049" s="22"/>
      <c r="L2049" s="22"/>
      <c r="M2049" s="22"/>
      <c r="N2049" s="22"/>
    </row>
    <row r="2050" spans="1:14" x14ac:dyDescent="0.3">
      <c r="A2050" s="22" t="s">
        <v>1172</v>
      </c>
      <c r="B2050" s="22">
        <v>0</v>
      </c>
      <c r="C2050" s="22"/>
      <c r="D2050" s="22"/>
      <c r="E2050" s="22"/>
      <c r="F2050" s="22"/>
      <c r="G2050" s="22"/>
      <c r="H2050" s="22"/>
      <c r="I2050" s="22"/>
      <c r="J2050" s="22"/>
      <c r="K2050" s="22"/>
      <c r="L2050" s="22"/>
      <c r="M2050" s="22"/>
      <c r="N2050" s="22"/>
    </row>
    <row r="2051" spans="1:14" x14ac:dyDescent="0.3">
      <c r="A2051" s="22" t="s">
        <v>1173</v>
      </c>
      <c r="B2051" s="22">
        <v>0</v>
      </c>
      <c r="C2051" s="22"/>
      <c r="D2051" s="22"/>
      <c r="E2051" s="22"/>
      <c r="F2051" s="22"/>
      <c r="G2051" s="22"/>
      <c r="H2051" s="22"/>
      <c r="I2051" s="22"/>
      <c r="J2051" s="22"/>
      <c r="K2051" s="22"/>
      <c r="L2051" s="22"/>
      <c r="M2051" s="22"/>
      <c r="N2051" s="22"/>
    </row>
    <row r="2052" spans="1:14" x14ac:dyDescent="0.3">
      <c r="A2052" s="22" t="s">
        <v>1174</v>
      </c>
      <c r="B2052" s="22">
        <v>0</v>
      </c>
      <c r="C2052" s="22"/>
      <c r="D2052" s="22"/>
      <c r="E2052" s="22"/>
      <c r="F2052" s="22"/>
      <c r="G2052" s="22"/>
      <c r="H2052" s="22"/>
      <c r="I2052" s="22"/>
      <c r="J2052" s="22"/>
      <c r="K2052" s="22"/>
      <c r="L2052" s="22"/>
      <c r="M2052" s="22"/>
      <c r="N2052" s="22"/>
    </row>
    <row r="2053" spans="1:14" x14ac:dyDescent="0.3">
      <c r="A2053" s="22" t="s">
        <v>1175</v>
      </c>
      <c r="B2053" s="22">
        <v>0</v>
      </c>
      <c r="C2053" s="22"/>
      <c r="D2053" s="22"/>
      <c r="E2053" s="22"/>
      <c r="F2053" s="22"/>
      <c r="G2053" s="22"/>
      <c r="H2053" s="22"/>
      <c r="I2053" s="22"/>
      <c r="J2053" s="22"/>
      <c r="K2053" s="22"/>
      <c r="L2053" s="22"/>
      <c r="M2053" s="22"/>
      <c r="N2053" s="22"/>
    </row>
    <row r="2054" spans="1:14" x14ac:dyDescent="0.3">
      <c r="A2054" s="22" t="s">
        <v>1176</v>
      </c>
      <c r="B2054" s="22">
        <v>0</v>
      </c>
      <c r="C2054" s="22"/>
      <c r="D2054" s="22"/>
      <c r="E2054" s="22"/>
      <c r="F2054" s="22"/>
      <c r="G2054" s="22"/>
      <c r="H2054" s="22"/>
      <c r="I2054" s="22"/>
      <c r="J2054" s="22"/>
      <c r="K2054" s="22"/>
      <c r="L2054" s="22"/>
      <c r="M2054" s="22"/>
      <c r="N2054" s="22"/>
    </row>
    <row r="2055" spans="1:14" x14ac:dyDescent="0.3">
      <c r="A2055" s="22" t="s">
        <v>1177</v>
      </c>
      <c r="B2055" s="22">
        <v>0</v>
      </c>
      <c r="C2055" s="22"/>
      <c r="D2055" s="22"/>
      <c r="E2055" s="22"/>
      <c r="F2055" s="22"/>
      <c r="G2055" s="22"/>
      <c r="H2055" s="22"/>
      <c r="I2055" s="22"/>
      <c r="J2055" s="22"/>
      <c r="K2055" s="22"/>
      <c r="L2055" s="22"/>
      <c r="M2055" s="22"/>
      <c r="N2055" s="22"/>
    </row>
    <row r="2056" spans="1:14" x14ac:dyDescent="0.3">
      <c r="A2056" s="22" t="s">
        <v>5071</v>
      </c>
      <c r="B2056" s="22">
        <v>0</v>
      </c>
      <c r="C2056" s="22"/>
      <c r="D2056" s="22"/>
      <c r="E2056" s="22"/>
      <c r="F2056" s="22"/>
      <c r="G2056" s="22"/>
      <c r="H2056" s="22"/>
      <c r="I2056" s="22"/>
      <c r="J2056" s="22"/>
      <c r="K2056" s="22"/>
      <c r="L2056" s="22"/>
      <c r="M2056" s="22"/>
      <c r="N2056" s="22"/>
    </row>
    <row r="2057" spans="1:14" x14ac:dyDescent="0.3">
      <c r="A2057" s="22" t="s">
        <v>5072</v>
      </c>
      <c r="B2057" s="22">
        <v>0</v>
      </c>
      <c r="C2057" s="22"/>
      <c r="D2057" s="22"/>
      <c r="E2057" s="22"/>
      <c r="F2057" s="22"/>
      <c r="G2057" s="22"/>
      <c r="H2057" s="22"/>
      <c r="I2057" s="22"/>
      <c r="J2057" s="22"/>
      <c r="K2057" s="22"/>
      <c r="L2057" s="22"/>
      <c r="M2057" s="22"/>
      <c r="N2057" s="22"/>
    </row>
    <row r="2058" spans="1:14" x14ac:dyDescent="0.3">
      <c r="A2058" s="22" t="s">
        <v>5073</v>
      </c>
      <c r="B2058" s="22">
        <v>0</v>
      </c>
      <c r="C2058" s="22"/>
      <c r="D2058" s="22"/>
      <c r="E2058" s="22"/>
      <c r="F2058" s="22"/>
      <c r="G2058" s="22"/>
      <c r="H2058" s="22"/>
      <c r="I2058" s="22"/>
      <c r="J2058" s="22"/>
      <c r="K2058" s="22"/>
      <c r="L2058" s="22"/>
      <c r="M2058" s="22"/>
      <c r="N2058" s="22"/>
    </row>
    <row r="2059" spans="1:14" x14ac:dyDescent="0.3">
      <c r="A2059" s="22" t="s">
        <v>5074</v>
      </c>
      <c r="B2059" s="22">
        <v>0</v>
      </c>
      <c r="C2059" s="22"/>
      <c r="D2059" s="22"/>
      <c r="E2059" s="22"/>
      <c r="F2059" s="22"/>
      <c r="G2059" s="22"/>
      <c r="H2059" s="22"/>
      <c r="I2059" s="22"/>
      <c r="J2059" s="22"/>
      <c r="K2059" s="22"/>
      <c r="L2059" s="22"/>
      <c r="M2059" s="22"/>
      <c r="N2059" s="22"/>
    </row>
    <row r="2060" spans="1:14" x14ac:dyDescent="0.3">
      <c r="A2060" s="22" t="s">
        <v>5075</v>
      </c>
      <c r="B2060" s="22">
        <v>0</v>
      </c>
      <c r="C2060" s="22"/>
      <c r="D2060" s="22"/>
      <c r="E2060" s="22"/>
      <c r="F2060" s="22"/>
      <c r="G2060" s="22"/>
      <c r="H2060" s="22"/>
      <c r="I2060" s="22"/>
      <c r="J2060" s="22"/>
      <c r="K2060" s="22"/>
      <c r="L2060" s="22"/>
      <c r="M2060" s="22"/>
      <c r="N2060" s="22"/>
    </row>
    <row r="2061" spans="1:14" x14ac:dyDescent="0.3">
      <c r="A2061" s="22" t="s">
        <v>5076</v>
      </c>
      <c r="B2061" s="22">
        <v>0</v>
      </c>
      <c r="C2061" s="22"/>
      <c r="D2061" s="22"/>
      <c r="E2061" s="22"/>
      <c r="F2061" s="22"/>
      <c r="G2061" s="22"/>
      <c r="H2061" s="22"/>
      <c r="I2061" s="22"/>
      <c r="J2061" s="22"/>
      <c r="K2061" s="22"/>
      <c r="L2061" s="22"/>
      <c r="M2061" s="22"/>
      <c r="N2061" s="22"/>
    </row>
    <row r="2062" spans="1:14" x14ac:dyDescent="0.3">
      <c r="A2062" s="22" t="s">
        <v>5077</v>
      </c>
      <c r="B2062" s="22">
        <v>0</v>
      </c>
      <c r="C2062" s="22"/>
      <c r="D2062" s="22"/>
      <c r="E2062" s="22"/>
      <c r="F2062" s="22"/>
      <c r="G2062" s="22"/>
      <c r="H2062" s="22"/>
      <c r="I2062" s="22"/>
      <c r="J2062" s="22"/>
      <c r="K2062" s="22"/>
      <c r="L2062" s="22"/>
      <c r="M2062" s="22"/>
      <c r="N2062" s="22"/>
    </row>
    <row r="2063" spans="1:14" x14ac:dyDescent="0.3">
      <c r="A2063" s="22" t="s">
        <v>1179</v>
      </c>
      <c r="B2063" s="22">
        <v>0</v>
      </c>
      <c r="C2063" s="22"/>
      <c r="D2063" s="22"/>
      <c r="E2063" s="22"/>
      <c r="F2063" s="22"/>
      <c r="G2063" s="22"/>
      <c r="H2063" s="22"/>
      <c r="I2063" s="22"/>
      <c r="J2063" s="22"/>
      <c r="K2063" s="22"/>
      <c r="L2063" s="22"/>
      <c r="M2063" s="22"/>
      <c r="N2063" s="22"/>
    </row>
    <row r="2064" spans="1:14" x14ac:dyDescent="0.3">
      <c r="A2064" s="22" t="s">
        <v>1180</v>
      </c>
      <c r="B2064" s="22">
        <v>0</v>
      </c>
      <c r="C2064" s="22"/>
      <c r="D2064" s="22"/>
      <c r="E2064" s="22"/>
      <c r="F2064" s="22"/>
      <c r="G2064" s="22"/>
      <c r="H2064" s="22"/>
      <c r="I2064" s="22"/>
      <c r="J2064" s="22"/>
      <c r="K2064" s="22"/>
      <c r="L2064" s="22"/>
      <c r="M2064" s="22"/>
      <c r="N2064" s="22"/>
    </row>
    <row r="2065" spans="1:14" x14ac:dyDescent="0.3">
      <c r="A2065" s="22" t="s">
        <v>1181</v>
      </c>
      <c r="B2065" s="22">
        <v>0</v>
      </c>
      <c r="C2065" s="22"/>
      <c r="D2065" s="22"/>
      <c r="E2065" s="22"/>
      <c r="F2065" s="22"/>
      <c r="G2065" s="22"/>
      <c r="H2065" s="22"/>
      <c r="I2065" s="22"/>
      <c r="J2065" s="22"/>
      <c r="K2065" s="22"/>
      <c r="L2065" s="22"/>
      <c r="M2065" s="22"/>
      <c r="N2065" s="22"/>
    </row>
    <row r="2066" spans="1:14" x14ac:dyDescent="0.3">
      <c r="A2066" s="22" t="s">
        <v>1182</v>
      </c>
      <c r="B2066" s="22">
        <v>0</v>
      </c>
      <c r="C2066" s="22"/>
      <c r="D2066" s="22"/>
      <c r="E2066" s="22"/>
      <c r="F2066" s="22"/>
      <c r="G2066" s="22"/>
      <c r="H2066" s="22"/>
      <c r="I2066" s="22"/>
      <c r="J2066" s="22"/>
      <c r="K2066" s="22"/>
      <c r="L2066" s="22"/>
      <c r="M2066" s="22"/>
      <c r="N2066" s="22"/>
    </row>
    <row r="2067" spans="1:14" x14ac:dyDescent="0.3">
      <c r="A2067" s="22" t="s">
        <v>1183</v>
      </c>
      <c r="B2067" s="22">
        <v>0</v>
      </c>
      <c r="C2067" s="22"/>
      <c r="D2067" s="22"/>
      <c r="E2067" s="22"/>
      <c r="F2067" s="22"/>
      <c r="G2067" s="22"/>
      <c r="H2067" s="22"/>
      <c r="I2067" s="22"/>
      <c r="J2067" s="22"/>
      <c r="K2067" s="22"/>
      <c r="L2067" s="22"/>
      <c r="M2067" s="22"/>
      <c r="N2067" s="22"/>
    </row>
    <row r="2068" spans="1:14" x14ac:dyDescent="0.3">
      <c r="A2068" s="22" t="s">
        <v>1184</v>
      </c>
      <c r="B2068" s="22">
        <v>0</v>
      </c>
      <c r="C2068" s="22"/>
      <c r="D2068" s="22"/>
      <c r="E2068" s="22"/>
      <c r="F2068" s="22"/>
      <c r="G2068" s="22"/>
      <c r="H2068" s="22"/>
      <c r="I2068" s="22"/>
      <c r="J2068" s="22"/>
      <c r="K2068" s="22"/>
      <c r="L2068" s="22"/>
      <c r="M2068" s="22"/>
      <c r="N2068" s="22"/>
    </row>
    <row r="2069" spans="1:14" x14ac:dyDescent="0.3">
      <c r="A2069" s="22" t="s">
        <v>1185</v>
      </c>
      <c r="B2069" s="22">
        <v>0</v>
      </c>
      <c r="C2069" s="22"/>
      <c r="D2069" s="22"/>
      <c r="E2069" s="22"/>
      <c r="F2069" s="22"/>
      <c r="G2069" s="22"/>
      <c r="H2069" s="22"/>
      <c r="I2069" s="22"/>
      <c r="J2069" s="22"/>
      <c r="K2069" s="22"/>
      <c r="L2069" s="22"/>
      <c r="M2069" s="22"/>
      <c r="N2069" s="22"/>
    </row>
    <row r="2070" spans="1:14" x14ac:dyDescent="0.3">
      <c r="A2070" s="22" t="s">
        <v>1186</v>
      </c>
      <c r="B2070" s="22">
        <v>0</v>
      </c>
      <c r="C2070" s="22"/>
      <c r="D2070" s="22"/>
      <c r="E2070" s="22"/>
      <c r="F2070" s="22"/>
      <c r="G2070" s="22"/>
      <c r="H2070" s="22"/>
      <c r="I2070" s="22"/>
      <c r="J2070" s="22"/>
      <c r="K2070" s="22"/>
      <c r="L2070" s="22"/>
      <c r="M2070" s="22"/>
      <c r="N2070" s="22"/>
    </row>
    <row r="2071" spans="1:14" x14ac:dyDescent="0.3">
      <c r="A2071" s="22" t="s">
        <v>1187</v>
      </c>
      <c r="B2071" s="22">
        <v>0</v>
      </c>
      <c r="C2071" s="22"/>
      <c r="D2071" s="22"/>
      <c r="E2071" s="22"/>
      <c r="F2071" s="22"/>
      <c r="G2071" s="22"/>
      <c r="H2071" s="22"/>
      <c r="I2071" s="22"/>
      <c r="J2071" s="22"/>
      <c r="K2071" s="22"/>
      <c r="L2071" s="22"/>
      <c r="M2071" s="22"/>
      <c r="N2071" s="22"/>
    </row>
    <row r="2072" spans="1:14" x14ac:dyDescent="0.3">
      <c r="A2072" s="22" t="s">
        <v>1188</v>
      </c>
      <c r="B2072" s="22">
        <v>0</v>
      </c>
      <c r="C2072" s="22"/>
      <c r="D2072" s="22"/>
      <c r="E2072" s="22"/>
      <c r="F2072" s="22"/>
      <c r="G2072" s="22"/>
      <c r="H2072" s="22"/>
      <c r="I2072" s="22"/>
      <c r="J2072" s="22"/>
      <c r="K2072" s="22"/>
      <c r="L2072" s="22"/>
      <c r="M2072" s="22"/>
      <c r="N2072" s="22"/>
    </row>
    <row r="2073" spans="1:14" x14ac:dyDescent="0.3">
      <c r="A2073" s="22" t="s">
        <v>1189</v>
      </c>
      <c r="B2073" s="22">
        <v>0</v>
      </c>
      <c r="C2073" s="22"/>
      <c r="D2073" s="22"/>
      <c r="E2073" s="22"/>
      <c r="F2073" s="22"/>
      <c r="G2073" s="22"/>
      <c r="H2073" s="22"/>
      <c r="I2073" s="22"/>
      <c r="J2073" s="22"/>
      <c r="K2073" s="22"/>
      <c r="L2073" s="22"/>
      <c r="M2073" s="22"/>
      <c r="N2073" s="22"/>
    </row>
    <row r="2074" spans="1:14" x14ac:dyDescent="0.3">
      <c r="A2074" s="22" t="s">
        <v>1190</v>
      </c>
      <c r="B2074" s="22">
        <v>0</v>
      </c>
      <c r="C2074" s="22"/>
      <c r="D2074" s="22"/>
      <c r="E2074" s="22"/>
      <c r="F2074" s="22"/>
      <c r="G2074" s="22"/>
      <c r="H2074" s="22"/>
      <c r="I2074" s="22"/>
      <c r="J2074" s="22"/>
      <c r="K2074" s="22"/>
      <c r="L2074" s="22"/>
      <c r="M2074" s="22"/>
      <c r="N2074" s="22"/>
    </row>
    <row r="2075" spans="1:14" x14ac:dyDescent="0.3">
      <c r="A2075" s="22" t="s">
        <v>1191</v>
      </c>
      <c r="B2075" s="22">
        <v>0</v>
      </c>
      <c r="C2075" s="22"/>
      <c r="D2075" s="22"/>
      <c r="E2075" s="22"/>
      <c r="F2075" s="22"/>
      <c r="G2075" s="22"/>
      <c r="H2075" s="22"/>
      <c r="I2075" s="22"/>
      <c r="J2075" s="22"/>
      <c r="K2075" s="22"/>
      <c r="L2075" s="22"/>
      <c r="M2075" s="22"/>
      <c r="N2075" s="22"/>
    </row>
    <row r="2076" spans="1:14" x14ac:dyDescent="0.3">
      <c r="A2076" s="22" t="s">
        <v>1192</v>
      </c>
      <c r="B2076" s="22">
        <v>0</v>
      </c>
      <c r="C2076" s="22"/>
      <c r="D2076" s="22"/>
      <c r="E2076" s="22"/>
      <c r="F2076" s="22"/>
      <c r="G2076" s="22"/>
      <c r="H2076" s="22"/>
      <c r="I2076" s="22"/>
      <c r="J2076" s="22"/>
      <c r="K2076" s="22"/>
      <c r="L2076" s="22"/>
      <c r="M2076" s="22"/>
      <c r="N2076" s="22"/>
    </row>
    <row r="2077" spans="1:14" x14ac:dyDescent="0.3">
      <c r="A2077" s="22" t="s">
        <v>1193</v>
      </c>
      <c r="B2077" s="22">
        <v>0</v>
      </c>
      <c r="C2077" s="22"/>
      <c r="D2077" s="22"/>
      <c r="E2077" s="22"/>
      <c r="F2077" s="22"/>
      <c r="G2077" s="22"/>
      <c r="H2077" s="22"/>
      <c r="I2077" s="22"/>
      <c r="J2077" s="22"/>
      <c r="K2077" s="22"/>
      <c r="L2077" s="22"/>
      <c r="M2077" s="22"/>
      <c r="N2077" s="22"/>
    </row>
    <row r="2078" spans="1:14" x14ac:dyDescent="0.3">
      <c r="A2078" s="22" t="s">
        <v>1194</v>
      </c>
      <c r="B2078" s="22">
        <v>0</v>
      </c>
      <c r="C2078" s="22"/>
      <c r="D2078" s="22"/>
      <c r="E2078" s="22"/>
      <c r="F2078" s="22"/>
      <c r="G2078" s="22"/>
      <c r="H2078" s="22"/>
      <c r="I2078" s="22"/>
      <c r="J2078" s="22"/>
      <c r="K2078" s="22"/>
      <c r="L2078" s="22"/>
      <c r="M2078" s="22"/>
      <c r="N2078" s="22"/>
    </row>
    <row r="2079" spans="1:14" x14ac:dyDescent="0.3">
      <c r="A2079" s="22" t="s">
        <v>1195</v>
      </c>
      <c r="B2079" s="22">
        <v>31</v>
      </c>
      <c r="C2079" s="22"/>
      <c r="D2079" s="22"/>
      <c r="E2079" s="22"/>
      <c r="F2079" s="22"/>
      <c r="G2079" s="22"/>
      <c r="H2079" s="22"/>
      <c r="I2079" s="22"/>
      <c r="J2079" s="22"/>
      <c r="K2079" s="22"/>
      <c r="L2079" s="22"/>
      <c r="M2079" s="22"/>
      <c r="N2079" s="22"/>
    </row>
    <row r="2080" spans="1:14" x14ac:dyDescent="0.3">
      <c r="A2080" s="22" t="s">
        <v>1196</v>
      </c>
      <c r="B2080" s="22">
        <v>0</v>
      </c>
      <c r="C2080" s="22"/>
      <c r="D2080" s="22"/>
      <c r="E2080" s="22"/>
      <c r="F2080" s="22"/>
      <c r="G2080" s="22"/>
      <c r="H2080" s="22"/>
      <c r="I2080" s="22"/>
      <c r="J2080" s="22"/>
      <c r="K2080" s="22"/>
      <c r="L2080" s="22"/>
      <c r="M2080" s="22"/>
      <c r="N2080" s="22"/>
    </row>
    <row r="2081" spans="1:14" x14ac:dyDescent="0.3">
      <c r="A2081" s="22" t="s">
        <v>1197</v>
      </c>
      <c r="B2081" s="22">
        <v>0</v>
      </c>
      <c r="C2081" s="22"/>
      <c r="D2081" s="22"/>
      <c r="E2081" s="22"/>
      <c r="F2081" s="22"/>
      <c r="G2081" s="22"/>
      <c r="H2081" s="22"/>
      <c r="I2081" s="22"/>
      <c r="J2081" s="22"/>
      <c r="K2081" s="22"/>
      <c r="L2081" s="22"/>
      <c r="M2081" s="22"/>
      <c r="N2081" s="22"/>
    </row>
    <row r="2082" spans="1:14" x14ac:dyDescent="0.3">
      <c r="A2082" s="22" t="s">
        <v>1198</v>
      </c>
      <c r="B2082" s="22">
        <v>0</v>
      </c>
      <c r="C2082" s="22"/>
      <c r="D2082" s="22"/>
      <c r="E2082" s="22"/>
      <c r="F2082" s="22"/>
      <c r="G2082" s="22"/>
      <c r="H2082" s="22"/>
      <c r="I2082" s="22"/>
      <c r="J2082" s="22"/>
      <c r="K2082" s="22"/>
      <c r="L2082" s="22"/>
      <c r="M2082" s="22"/>
      <c r="N2082" s="22"/>
    </row>
    <row r="2083" spans="1:14" x14ac:dyDescent="0.3">
      <c r="A2083" s="22" t="s">
        <v>1199</v>
      </c>
      <c r="B2083" s="22">
        <v>0</v>
      </c>
      <c r="C2083" s="22"/>
      <c r="D2083" s="22"/>
      <c r="E2083" s="22"/>
      <c r="F2083" s="22"/>
      <c r="G2083" s="22"/>
      <c r="H2083" s="22"/>
      <c r="I2083" s="22"/>
      <c r="J2083" s="22"/>
      <c r="K2083" s="22"/>
      <c r="L2083" s="22"/>
      <c r="M2083" s="22"/>
      <c r="N2083" s="22"/>
    </row>
    <row r="2084" spans="1:14" x14ac:dyDescent="0.3">
      <c r="A2084" s="22" t="s">
        <v>1200</v>
      </c>
      <c r="B2084" s="22">
        <v>0</v>
      </c>
      <c r="C2084" s="22"/>
      <c r="D2084" s="22"/>
      <c r="E2084" s="22"/>
      <c r="F2084" s="22"/>
      <c r="G2084" s="22"/>
      <c r="H2084" s="22"/>
      <c r="I2084" s="22"/>
      <c r="J2084" s="22"/>
      <c r="K2084" s="22"/>
      <c r="L2084" s="22"/>
      <c r="M2084" s="22"/>
      <c r="N2084" s="22"/>
    </row>
    <row r="2085" spans="1:14" x14ac:dyDescent="0.3">
      <c r="A2085" s="22" t="s">
        <v>1201</v>
      </c>
      <c r="B2085" s="22">
        <v>0</v>
      </c>
      <c r="C2085" s="22"/>
      <c r="D2085" s="22"/>
      <c r="E2085" s="22"/>
      <c r="F2085" s="22"/>
      <c r="G2085" s="22"/>
      <c r="H2085" s="22"/>
      <c r="I2085" s="22"/>
      <c r="J2085" s="22"/>
      <c r="K2085" s="22"/>
      <c r="L2085" s="22"/>
      <c r="M2085" s="22"/>
      <c r="N2085" s="22"/>
    </row>
    <row r="2086" spans="1:14" x14ac:dyDescent="0.3">
      <c r="A2086" s="22" t="s">
        <v>1202</v>
      </c>
      <c r="B2086" s="22">
        <v>0</v>
      </c>
      <c r="C2086" s="22"/>
      <c r="D2086" s="22"/>
      <c r="E2086" s="22"/>
      <c r="F2086" s="22"/>
      <c r="G2086" s="22"/>
      <c r="H2086" s="22"/>
      <c r="I2086" s="22"/>
      <c r="J2086" s="22"/>
      <c r="K2086" s="22"/>
      <c r="L2086" s="22"/>
      <c r="M2086" s="22"/>
      <c r="N2086" s="22"/>
    </row>
    <row r="2087" spans="1:14" x14ac:dyDescent="0.3">
      <c r="A2087" s="22" t="s">
        <v>1203</v>
      </c>
      <c r="B2087" s="22">
        <v>0</v>
      </c>
      <c r="C2087" s="22"/>
      <c r="D2087" s="22"/>
      <c r="E2087" s="22"/>
      <c r="F2087" s="22"/>
      <c r="G2087" s="22"/>
      <c r="H2087" s="22"/>
      <c r="I2087" s="22"/>
      <c r="J2087" s="22"/>
      <c r="K2087" s="22"/>
      <c r="L2087" s="22"/>
      <c r="M2087" s="22"/>
      <c r="N2087" s="22"/>
    </row>
    <row r="2088" spans="1:14" x14ac:dyDescent="0.3">
      <c r="A2088" s="22" t="s">
        <v>1204</v>
      </c>
      <c r="B2088" s="22">
        <v>0</v>
      </c>
      <c r="C2088" s="22"/>
      <c r="D2088" s="22"/>
      <c r="E2088" s="22"/>
      <c r="F2088" s="22"/>
      <c r="G2088" s="22"/>
      <c r="H2088" s="22"/>
      <c r="I2088" s="22"/>
      <c r="J2088" s="22"/>
      <c r="K2088" s="22"/>
      <c r="L2088" s="22"/>
      <c r="M2088" s="22"/>
      <c r="N2088" s="22"/>
    </row>
    <row r="2089" spans="1:14" x14ac:dyDescent="0.3">
      <c r="A2089" s="22" t="s">
        <v>1205</v>
      </c>
      <c r="B2089" s="22">
        <v>0</v>
      </c>
      <c r="C2089" s="22"/>
      <c r="D2089" s="22"/>
      <c r="E2089" s="22"/>
      <c r="F2089" s="22"/>
      <c r="G2089" s="22"/>
      <c r="H2089" s="22"/>
      <c r="I2089" s="22"/>
      <c r="J2089" s="22"/>
      <c r="K2089" s="22"/>
      <c r="L2089" s="22"/>
      <c r="M2089" s="22"/>
      <c r="N2089" s="22"/>
    </row>
    <row r="2090" spans="1:14" x14ac:dyDescent="0.3">
      <c r="A2090" s="22" t="s">
        <v>1206</v>
      </c>
      <c r="B2090" s="22">
        <v>0</v>
      </c>
      <c r="C2090" s="22"/>
      <c r="D2090" s="22"/>
      <c r="E2090" s="22"/>
      <c r="F2090" s="22"/>
      <c r="G2090" s="22"/>
      <c r="H2090" s="22"/>
      <c r="I2090" s="22"/>
      <c r="J2090" s="22"/>
      <c r="K2090" s="22"/>
      <c r="L2090" s="22"/>
      <c r="M2090" s="22"/>
      <c r="N2090" s="22"/>
    </row>
    <row r="2091" spans="1:14" x14ac:dyDescent="0.3">
      <c r="A2091" s="22" t="s">
        <v>1207</v>
      </c>
      <c r="B2091" s="22">
        <v>0</v>
      </c>
      <c r="C2091" s="22"/>
      <c r="D2091" s="22"/>
      <c r="E2091" s="22"/>
      <c r="F2091" s="22"/>
      <c r="G2091" s="22"/>
      <c r="H2091" s="22"/>
      <c r="I2091" s="22"/>
      <c r="J2091" s="22"/>
      <c r="K2091" s="22"/>
      <c r="L2091" s="22"/>
      <c r="M2091" s="22"/>
      <c r="N2091" s="22"/>
    </row>
    <row r="2092" spans="1:14" x14ac:dyDescent="0.3">
      <c r="A2092" s="22" t="s">
        <v>1208</v>
      </c>
      <c r="B2092" s="22">
        <v>0</v>
      </c>
      <c r="C2092" s="22"/>
      <c r="D2092" s="22"/>
      <c r="E2092" s="22"/>
      <c r="F2092" s="22"/>
      <c r="G2092" s="22"/>
      <c r="H2092" s="22"/>
      <c r="I2092" s="22"/>
      <c r="J2092" s="22"/>
      <c r="K2092" s="22"/>
      <c r="L2092" s="22"/>
      <c r="M2092" s="22"/>
      <c r="N2092" s="22"/>
    </row>
    <row r="2093" spans="1:14" x14ac:dyDescent="0.3">
      <c r="A2093" s="22" t="s">
        <v>1209</v>
      </c>
      <c r="B2093" s="22">
        <v>0</v>
      </c>
      <c r="C2093" s="22"/>
      <c r="D2093" s="22"/>
      <c r="E2093" s="22"/>
      <c r="F2093" s="22"/>
      <c r="G2093" s="22"/>
      <c r="H2093" s="22"/>
      <c r="I2093" s="22"/>
      <c r="J2093" s="22"/>
      <c r="K2093" s="22"/>
      <c r="L2093" s="22"/>
      <c r="M2093" s="22"/>
      <c r="N2093" s="22"/>
    </row>
    <row r="2094" spans="1:14" x14ac:dyDescent="0.3">
      <c r="A2094" s="22" t="s">
        <v>1210</v>
      </c>
      <c r="B2094" s="22">
        <v>0</v>
      </c>
      <c r="C2094" s="22"/>
      <c r="D2094" s="22"/>
      <c r="E2094" s="22"/>
      <c r="F2094" s="22"/>
      <c r="G2094" s="22"/>
      <c r="H2094" s="22"/>
      <c r="I2094" s="22"/>
      <c r="J2094" s="22"/>
      <c r="K2094" s="22"/>
      <c r="L2094" s="22"/>
      <c r="M2094" s="22"/>
      <c r="N2094" s="22"/>
    </row>
    <row r="2095" spans="1:14" x14ac:dyDescent="0.3">
      <c r="A2095" s="22" t="s">
        <v>1211</v>
      </c>
      <c r="B2095" s="22">
        <v>0</v>
      </c>
      <c r="C2095" s="22"/>
      <c r="D2095" s="22"/>
      <c r="E2095" s="22"/>
      <c r="F2095" s="22"/>
      <c r="G2095" s="22"/>
      <c r="H2095" s="22"/>
      <c r="I2095" s="22"/>
      <c r="J2095" s="22"/>
      <c r="K2095" s="22"/>
      <c r="L2095" s="22"/>
      <c r="M2095" s="22"/>
      <c r="N2095" s="22"/>
    </row>
    <row r="2096" spans="1:14" x14ac:dyDescent="0.3">
      <c r="A2096" s="22" t="s">
        <v>1212</v>
      </c>
      <c r="B2096" s="22">
        <v>0</v>
      </c>
      <c r="C2096" s="22"/>
      <c r="D2096" s="22"/>
      <c r="E2096" s="22"/>
      <c r="F2096" s="22"/>
      <c r="G2096" s="22"/>
      <c r="H2096" s="22"/>
      <c r="I2096" s="22"/>
      <c r="J2096" s="22"/>
      <c r="K2096" s="22"/>
      <c r="L2096" s="22"/>
      <c r="M2096" s="22"/>
      <c r="N2096" s="22"/>
    </row>
    <row r="2097" spans="1:14" x14ac:dyDescent="0.3">
      <c r="A2097" s="22" t="s">
        <v>1213</v>
      </c>
      <c r="B2097" s="22">
        <v>0</v>
      </c>
      <c r="C2097" s="22"/>
      <c r="D2097" s="22"/>
      <c r="E2097" s="22"/>
      <c r="F2097" s="22"/>
      <c r="G2097" s="22"/>
      <c r="H2097" s="22"/>
      <c r="I2097" s="22"/>
      <c r="J2097" s="22"/>
      <c r="K2097" s="22"/>
      <c r="L2097" s="22"/>
      <c r="M2097" s="22"/>
      <c r="N2097" s="22"/>
    </row>
    <row r="2098" spans="1:14" x14ac:dyDescent="0.3">
      <c r="A2098" s="22" t="s">
        <v>1214</v>
      </c>
      <c r="B2098" s="22">
        <v>0</v>
      </c>
      <c r="C2098" s="22"/>
      <c r="D2098" s="22"/>
      <c r="E2098" s="22"/>
      <c r="F2098" s="22"/>
      <c r="G2098" s="22"/>
      <c r="H2098" s="22"/>
      <c r="I2098" s="22"/>
      <c r="J2098" s="22"/>
      <c r="K2098" s="22"/>
      <c r="L2098" s="22"/>
      <c r="M2098" s="22"/>
      <c r="N2098" s="22"/>
    </row>
    <row r="2099" spans="1:14" x14ac:dyDescent="0.3">
      <c r="A2099" s="22" t="s">
        <v>1215</v>
      </c>
      <c r="B2099" s="22">
        <v>0</v>
      </c>
      <c r="C2099" s="22"/>
      <c r="D2099" s="22"/>
      <c r="E2099" s="22"/>
      <c r="F2099" s="22"/>
      <c r="G2099" s="22"/>
      <c r="H2099" s="22"/>
      <c r="I2099" s="22"/>
      <c r="J2099" s="22"/>
      <c r="K2099" s="22"/>
      <c r="L2099" s="22"/>
      <c r="M2099" s="22"/>
      <c r="N2099" s="22"/>
    </row>
    <row r="2100" spans="1:14" x14ac:dyDescent="0.3">
      <c r="A2100" s="22" t="s">
        <v>1216</v>
      </c>
      <c r="B2100" s="22">
        <v>0</v>
      </c>
      <c r="C2100" s="22"/>
      <c r="D2100" s="22"/>
      <c r="E2100" s="22"/>
      <c r="F2100" s="22"/>
      <c r="G2100" s="22"/>
      <c r="H2100" s="22"/>
      <c r="I2100" s="22"/>
      <c r="J2100" s="22"/>
      <c r="K2100" s="22"/>
      <c r="L2100" s="22"/>
      <c r="M2100" s="22"/>
      <c r="N2100" s="22"/>
    </row>
    <row r="2101" spans="1:14" x14ac:dyDescent="0.3">
      <c r="A2101" s="22" t="s">
        <v>1217</v>
      </c>
      <c r="B2101" s="22">
        <v>0</v>
      </c>
      <c r="C2101" s="22"/>
      <c r="D2101" s="22"/>
      <c r="E2101" s="22"/>
      <c r="F2101" s="22"/>
      <c r="G2101" s="22"/>
      <c r="H2101" s="22"/>
      <c r="I2101" s="22"/>
      <c r="J2101" s="22"/>
      <c r="K2101" s="22"/>
      <c r="L2101" s="22"/>
      <c r="M2101" s="22"/>
      <c r="N2101" s="22"/>
    </row>
    <row r="2102" spans="1:14" x14ac:dyDescent="0.3">
      <c r="A2102" s="22" t="s">
        <v>1218</v>
      </c>
      <c r="B2102" s="22">
        <v>0</v>
      </c>
      <c r="C2102" s="22"/>
      <c r="D2102" s="22"/>
      <c r="E2102" s="22"/>
      <c r="F2102" s="22"/>
      <c r="G2102" s="22"/>
      <c r="H2102" s="22"/>
      <c r="I2102" s="22"/>
      <c r="J2102" s="22"/>
      <c r="K2102" s="22"/>
      <c r="L2102" s="22"/>
      <c r="M2102" s="22"/>
      <c r="N2102" s="22"/>
    </row>
    <row r="2103" spans="1:14" x14ac:dyDescent="0.3">
      <c r="A2103" s="22" t="s">
        <v>1219</v>
      </c>
      <c r="B2103" s="22">
        <v>0</v>
      </c>
      <c r="C2103" s="22"/>
      <c r="D2103" s="22"/>
      <c r="E2103" s="22"/>
      <c r="F2103" s="22"/>
      <c r="G2103" s="22"/>
      <c r="H2103" s="22"/>
      <c r="I2103" s="22"/>
      <c r="J2103" s="22"/>
      <c r="K2103" s="22"/>
      <c r="L2103" s="22"/>
      <c r="M2103" s="22"/>
      <c r="N2103" s="22"/>
    </row>
    <row r="2104" spans="1:14" x14ac:dyDescent="0.3">
      <c r="A2104" s="22" t="s">
        <v>1220</v>
      </c>
      <c r="B2104" s="22">
        <v>0</v>
      </c>
      <c r="C2104" s="22"/>
      <c r="D2104" s="22"/>
      <c r="E2104" s="22"/>
      <c r="F2104" s="22"/>
      <c r="G2104" s="22"/>
      <c r="H2104" s="22"/>
      <c r="I2104" s="22"/>
      <c r="J2104" s="22"/>
      <c r="K2104" s="22"/>
      <c r="L2104" s="22"/>
      <c r="M2104" s="22"/>
      <c r="N2104" s="22"/>
    </row>
    <row r="2105" spans="1:14" x14ac:dyDescent="0.3">
      <c r="A2105" s="22" t="s">
        <v>1221</v>
      </c>
      <c r="B2105" s="22">
        <v>0</v>
      </c>
      <c r="C2105" s="22"/>
      <c r="D2105" s="22"/>
      <c r="E2105" s="22"/>
      <c r="F2105" s="22"/>
      <c r="G2105" s="22"/>
      <c r="H2105" s="22"/>
      <c r="I2105" s="22"/>
      <c r="J2105" s="22"/>
      <c r="K2105" s="22"/>
      <c r="L2105" s="22"/>
      <c r="M2105" s="22"/>
      <c r="N2105" s="22"/>
    </row>
    <row r="2106" spans="1:14" x14ac:dyDescent="0.3">
      <c r="A2106" s="22" t="s">
        <v>1222</v>
      </c>
      <c r="B2106" s="22">
        <v>0</v>
      </c>
      <c r="C2106" s="22"/>
      <c r="D2106" s="22"/>
      <c r="E2106" s="22"/>
      <c r="F2106" s="22"/>
      <c r="G2106" s="22"/>
      <c r="H2106" s="22"/>
      <c r="I2106" s="22"/>
      <c r="J2106" s="22"/>
      <c r="K2106" s="22"/>
      <c r="L2106" s="22"/>
      <c r="M2106" s="22"/>
      <c r="N2106" s="22"/>
    </row>
    <row r="2107" spans="1:14" x14ac:dyDescent="0.3">
      <c r="A2107" s="22" t="s">
        <v>1223</v>
      </c>
      <c r="B2107" s="22">
        <v>0</v>
      </c>
      <c r="C2107" s="22"/>
      <c r="D2107" s="22"/>
      <c r="E2107" s="22"/>
      <c r="F2107" s="22"/>
      <c r="G2107" s="22"/>
      <c r="H2107" s="22"/>
      <c r="I2107" s="22"/>
      <c r="J2107" s="22"/>
      <c r="K2107" s="22"/>
      <c r="L2107" s="22"/>
      <c r="M2107" s="22"/>
      <c r="N2107" s="22"/>
    </row>
    <row r="2108" spans="1:14" x14ac:dyDescent="0.3">
      <c r="A2108" s="22" t="s">
        <v>1224</v>
      </c>
      <c r="B2108" s="22">
        <v>0</v>
      </c>
      <c r="C2108" s="22"/>
      <c r="D2108" s="22"/>
      <c r="E2108" s="22"/>
      <c r="F2108" s="22"/>
      <c r="G2108" s="22"/>
      <c r="H2108" s="22"/>
      <c r="I2108" s="22"/>
      <c r="J2108" s="22"/>
      <c r="K2108" s="22"/>
      <c r="L2108" s="22"/>
      <c r="M2108" s="22"/>
      <c r="N2108" s="22"/>
    </row>
    <row r="2109" spans="1:14" x14ac:dyDescent="0.3">
      <c r="A2109" s="22" t="s">
        <v>1225</v>
      </c>
      <c r="B2109" s="22">
        <v>0</v>
      </c>
      <c r="C2109" s="22"/>
      <c r="D2109" s="22"/>
      <c r="E2109" s="22"/>
      <c r="F2109" s="22"/>
      <c r="G2109" s="22"/>
      <c r="H2109" s="22"/>
      <c r="I2109" s="22"/>
      <c r="J2109" s="22"/>
      <c r="K2109" s="22"/>
      <c r="L2109" s="22"/>
      <c r="M2109" s="22"/>
      <c r="N2109" s="22"/>
    </row>
    <row r="2110" spans="1:14" x14ac:dyDescent="0.3">
      <c r="A2110" s="22" t="s">
        <v>1226</v>
      </c>
      <c r="B2110" s="22">
        <v>0</v>
      </c>
      <c r="C2110" s="22"/>
      <c r="D2110" s="22"/>
      <c r="E2110" s="22"/>
      <c r="F2110" s="22"/>
      <c r="G2110" s="22"/>
      <c r="H2110" s="22"/>
      <c r="I2110" s="22"/>
      <c r="J2110" s="22"/>
      <c r="K2110" s="22"/>
      <c r="L2110" s="22"/>
      <c r="M2110" s="22"/>
      <c r="N2110" s="22"/>
    </row>
    <row r="2111" spans="1:14" x14ac:dyDescent="0.3">
      <c r="A2111" s="22" t="s">
        <v>1227</v>
      </c>
      <c r="B2111" s="22">
        <v>0</v>
      </c>
      <c r="C2111" s="22"/>
      <c r="D2111" s="22"/>
      <c r="E2111" s="22"/>
      <c r="F2111" s="22"/>
      <c r="G2111" s="22"/>
      <c r="H2111" s="22"/>
      <c r="I2111" s="22"/>
      <c r="J2111" s="22"/>
      <c r="K2111" s="22"/>
      <c r="L2111" s="22"/>
      <c r="M2111" s="22"/>
      <c r="N2111" s="22"/>
    </row>
    <row r="2112" spans="1:14" x14ac:dyDescent="0.3">
      <c r="A2112" s="22" t="s">
        <v>1228</v>
      </c>
      <c r="B2112" s="22">
        <v>0</v>
      </c>
      <c r="C2112" s="22"/>
      <c r="D2112" s="22"/>
      <c r="E2112" s="22"/>
      <c r="F2112" s="22"/>
      <c r="G2112" s="22"/>
      <c r="H2112" s="22"/>
      <c r="I2112" s="22"/>
      <c r="J2112" s="22"/>
      <c r="K2112" s="22"/>
      <c r="L2112" s="22"/>
      <c r="M2112" s="22"/>
      <c r="N2112" s="22"/>
    </row>
    <row r="2113" spans="1:14" x14ac:dyDescent="0.3">
      <c r="A2113" s="22" t="s">
        <v>1229</v>
      </c>
      <c r="B2113" s="22">
        <v>0</v>
      </c>
      <c r="C2113" s="22"/>
      <c r="D2113" s="22"/>
      <c r="E2113" s="22"/>
      <c r="F2113" s="22"/>
      <c r="G2113" s="22"/>
      <c r="H2113" s="22"/>
      <c r="I2113" s="22"/>
      <c r="J2113" s="22"/>
      <c r="K2113" s="22"/>
      <c r="L2113" s="22"/>
      <c r="M2113" s="22"/>
      <c r="N2113" s="22"/>
    </row>
    <row r="2114" spans="1:14" x14ac:dyDescent="0.3">
      <c r="A2114" s="22" t="s">
        <v>1230</v>
      </c>
      <c r="B2114" s="22">
        <v>0</v>
      </c>
      <c r="C2114" s="22"/>
      <c r="D2114" s="22"/>
      <c r="E2114" s="22"/>
      <c r="F2114" s="22"/>
      <c r="G2114" s="22"/>
      <c r="H2114" s="22"/>
      <c r="I2114" s="22"/>
      <c r="J2114" s="22"/>
      <c r="K2114" s="22"/>
      <c r="L2114" s="22"/>
      <c r="M2114" s="22"/>
      <c r="N2114" s="22"/>
    </row>
    <row r="2115" spans="1:14" x14ac:dyDescent="0.3">
      <c r="A2115" s="22" t="s">
        <v>1231</v>
      </c>
      <c r="B2115" s="22">
        <v>0</v>
      </c>
      <c r="C2115" s="22"/>
      <c r="D2115" s="22"/>
      <c r="E2115" s="22"/>
      <c r="F2115" s="22"/>
      <c r="G2115" s="22"/>
      <c r="H2115" s="22"/>
      <c r="I2115" s="22"/>
      <c r="J2115" s="22"/>
      <c r="K2115" s="22"/>
      <c r="L2115" s="22"/>
      <c r="M2115" s="22"/>
      <c r="N2115" s="22"/>
    </row>
    <row r="2116" spans="1:14" x14ac:dyDescent="0.3">
      <c r="A2116" s="22" t="s">
        <v>1232</v>
      </c>
      <c r="B2116" s="22">
        <v>0</v>
      </c>
      <c r="C2116" s="22"/>
      <c r="D2116" s="22"/>
      <c r="E2116" s="22"/>
      <c r="F2116" s="22"/>
      <c r="G2116" s="22"/>
      <c r="H2116" s="22"/>
      <c r="I2116" s="22"/>
      <c r="J2116" s="22"/>
      <c r="K2116" s="22"/>
      <c r="L2116" s="22"/>
      <c r="M2116" s="22"/>
      <c r="N2116" s="22"/>
    </row>
    <row r="2117" spans="1:14" x14ac:dyDescent="0.3">
      <c r="A2117" s="22" t="s">
        <v>1233</v>
      </c>
      <c r="B2117" s="22">
        <v>0</v>
      </c>
      <c r="C2117" s="22"/>
      <c r="D2117" s="22"/>
      <c r="E2117" s="22"/>
      <c r="F2117" s="22"/>
      <c r="G2117" s="22"/>
      <c r="H2117" s="22"/>
      <c r="I2117" s="22"/>
      <c r="J2117" s="22"/>
      <c r="K2117" s="22"/>
      <c r="L2117" s="22"/>
      <c r="M2117" s="22"/>
      <c r="N2117" s="22"/>
    </row>
    <row r="2118" spans="1:14" x14ac:dyDescent="0.3">
      <c r="A2118" s="22" t="s">
        <v>1234</v>
      </c>
      <c r="B2118" s="22">
        <v>0</v>
      </c>
      <c r="C2118" s="22"/>
      <c r="D2118" s="22"/>
      <c r="E2118" s="22"/>
      <c r="F2118" s="22"/>
      <c r="G2118" s="22"/>
      <c r="H2118" s="22"/>
      <c r="I2118" s="22"/>
      <c r="J2118" s="22"/>
      <c r="K2118" s="22"/>
      <c r="L2118" s="22"/>
      <c r="M2118" s="22"/>
      <c r="N2118" s="22"/>
    </row>
    <row r="2119" spans="1:14" x14ac:dyDescent="0.3">
      <c r="A2119" s="22" t="s">
        <v>1235</v>
      </c>
      <c r="B2119" s="22">
        <v>123</v>
      </c>
      <c r="C2119" s="22"/>
      <c r="D2119" s="22"/>
      <c r="E2119" s="22"/>
      <c r="F2119" s="22"/>
      <c r="G2119" s="22"/>
      <c r="H2119" s="22"/>
      <c r="I2119" s="22"/>
      <c r="J2119" s="22"/>
      <c r="K2119" s="22"/>
      <c r="L2119" s="22"/>
      <c r="M2119" s="22"/>
      <c r="N2119" s="22"/>
    </row>
    <row r="2120" spans="1:14" x14ac:dyDescent="0.3">
      <c r="A2120" s="22" t="s">
        <v>1236</v>
      </c>
      <c r="B2120" s="22">
        <v>0</v>
      </c>
      <c r="C2120" s="22"/>
      <c r="D2120" s="22"/>
      <c r="E2120" s="22"/>
      <c r="F2120" s="22"/>
      <c r="G2120" s="22"/>
      <c r="H2120" s="22"/>
      <c r="I2120" s="22"/>
      <c r="J2120" s="22"/>
      <c r="K2120" s="22"/>
      <c r="L2120" s="22"/>
      <c r="M2120" s="22"/>
      <c r="N2120" s="22"/>
    </row>
    <row r="2121" spans="1:14" x14ac:dyDescent="0.3">
      <c r="A2121" s="22" t="s">
        <v>1237</v>
      </c>
      <c r="B2121" s="22">
        <v>0</v>
      </c>
      <c r="C2121" s="22"/>
      <c r="D2121" s="22"/>
      <c r="E2121" s="22"/>
      <c r="F2121" s="22"/>
      <c r="G2121" s="22"/>
      <c r="H2121" s="22"/>
      <c r="I2121" s="22"/>
      <c r="J2121" s="22"/>
      <c r="K2121" s="22"/>
      <c r="L2121" s="22"/>
      <c r="M2121" s="22"/>
      <c r="N2121" s="22"/>
    </row>
    <row r="2122" spans="1:14" x14ac:dyDescent="0.3">
      <c r="A2122" s="22" t="s">
        <v>1238</v>
      </c>
      <c r="B2122" s="22">
        <v>0</v>
      </c>
      <c r="C2122" s="22"/>
      <c r="D2122" s="22"/>
      <c r="E2122" s="22"/>
      <c r="F2122" s="22"/>
      <c r="G2122" s="22"/>
      <c r="H2122" s="22"/>
      <c r="I2122" s="22"/>
      <c r="J2122" s="22"/>
      <c r="K2122" s="22"/>
      <c r="L2122" s="22"/>
      <c r="M2122" s="22"/>
      <c r="N2122" s="22"/>
    </row>
    <row r="2123" spans="1:14" x14ac:dyDescent="0.3">
      <c r="A2123" s="22" t="s">
        <v>1239</v>
      </c>
      <c r="B2123" s="22">
        <v>0</v>
      </c>
      <c r="C2123" s="22"/>
      <c r="D2123" s="22"/>
      <c r="E2123" s="22"/>
      <c r="F2123" s="22"/>
      <c r="G2123" s="22"/>
      <c r="H2123" s="22"/>
      <c r="I2123" s="22"/>
      <c r="J2123" s="22"/>
      <c r="K2123" s="22"/>
      <c r="L2123" s="22"/>
      <c r="M2123" s="22"/>
      <c r="N2123" s="22"/>
    </row>
    <row r="2124" spans="1:14" x14ac:dyDescent="0.3">
      <c r="A2124" s="22" t="s">
        <v>1240</v>
      </c>
      <c r="B2124" s="22">
        <v>0</v>
      </c>
      <c r="C2124" s="22"/>
      <c r="D2124" s="22"/>
      <c r="E2124" s="22"/>
      <c r="F2124" s="22"/>
      <c r="G2124" s="22"/>
      <c r="H2124" s="22"/>
      <c r="I2124" s="22"/>
      <c r="J2124" s="22"/>
      <c r="K2124" s="22"/>
      <c r="L2124" s="22"/>
      <c r="M2124" s="22"/>
      <c r="N2124" s="22"/>
    </row>
    <row r="2125" spans="1:14" x14ac:dyDescent="0.3">
      <c r="A2125" s="22" t="s">
        <v>1241</v>
      </c>
      <c r="B2125" s="22">
        <v>0</v>
      </c>
      <c r="C2125" s="22"/>
      <c r="D2125" s="22"/>
      <c r="E2125" s="22"/>
      <c r="F2125" s="22"/>
      <c r="G2125" s="22"/>
      <c r="H2125" s="22"/>
      <c r="I2125" s="22"/>
      <c r="J2125" s="22"/>
      <c r="K2125" s="22"/>
      <c r="L2125" s="22"/>
      <c r="M2125" s="22"/>
      <c r="N2125" s="22"/>
    </row>
    <row r="2126" spans="1:14" x14ac:dyDescent="0.3">
      <c r="A2126" s="22" t="s">
        <v>1242</v>
      </c>
      <c r="B2126" s="22">
        <v>0</v>
      </c>
      <c r="C2126" s="22"/>
      <c r="D2126" s="22"/>
      <c r="E2126" s="22"/>
      <c r="F2126" s="22"/>
      <c r="G2126" s="22"/>
      <c r="H2126" s="22"/>
      <c r="I2126" s="22"/>
      <c r="J2126" s="22"/>
      <c r="K2126" s="22"/>
      <c r="L2126" s="22"/>
      <c r="M2126" s="22"/>
      <c r="N2126" s="22"/>
    </row>
    <row r="2127" spans="1:14" x14ac:dyDescent="0.3">
      <c r="A2127" s="22" t="s">
        <v>1243</v>
      </c>
      <c r="B2127" s="22">
        <v>0</v>
      </c>
      <c r="C2127" s="22"/>
      <c r="D2127" s="22"/>
      <c r="E2127" s="22"/>
      <c r="F2127" s="22"/>
      <c r="G2127" s="22"/>
      <c r="H2127" s="22"/>
      <c r="I2127" s="22"/>
      <c r="J2127" s="22"/>
      <c r="K2127" s="22"/>
      <c r="L2127" s="22"/>
      <c r="M2127" s="22"/>
      <c r="N2127" s="22"/>
    </row>
    <row r="2128" spans="1:14" x14ac:dyDescent="0.3">
      <c r="A2128" s="22" t="s">
        <v>1244</v>
      </c>
      <c r="B2128" s="22">
        <v>0</v>
      </c>
      <c r="C2128" s="22"/>
      <c r="D2128" s="22"/>
      <c r="E2128" s="22"/>
      <c r="F2128" s="22"/>
      <c r="G2128" s="22"/>
      <c r="H2128" s="22"/>
      <c r="I2128" s="22"/>
      <c r="J2128" s="22"/>
      <c r="K2128" s="22"/>
      <c r="L2128" s="22"/>
      <c r="M2128" s="22"/>
      <c r="N2128" s="22"/>
    </row>
    <row r="2129" spans="1:14" x14ac:dyDescent="0.3">
      <c r="A2129" s="22" t="s">
        <v>1245</v>
      </c>
      <c r="B2129" s="22">
        <v>0</v>
      </c>
      <c r="C2129" s="22"/>
      <c r="D2129" s="22"/>
      <c r="E2129" s="22"/>
      <c r="F2129" s="22"/>
      <c r="G2129" s="22"/>
      <c r="H2129" s="22"/>
      <c r="I2129" s="22"/>
      <c r="J2129" s="22"/>
      <c r="K2129" s="22"/>
      <c r="L2129" s="22"/>
      <c r="M2129" s="22"/>
      <c r="N2129" s="22"/>
    </row>
    <row r="2130" spans="1:14" x14ac:dyDescent="0.3">
      <c r="A2130" s="22" t="s">
        <v>1246</v>
      </c>
      <c r="B2130" s="22">
        <v>0</v>
      </c>
      <c r="C2130" s="22"/>
      <c r="D2130" s="22"/>
      <c r="E2130" s="22"/>
      <c r="F2130" s="22"/>
      <c r="G2130" s="22"/>
      <c r="H2130" s="22"/>
      <c r="I2130" s="22"/>
      <c r="J2130" s="22"/>
      <c r="K2130" s="22"/>
      <c r="L2130" s="22"/>
      <c r="M2130" s="22"/>
      <c r="N2130" s="22"/>
    </row>
    <row r="2131" spans="1:14" x14ac:dyDescent="0.3">
      <c r="A2131" s="22" t="s">
        <v>1247</v>
      </c>
      <c r="B2131" s="22">
        <v>0</v>
      </c>
      <c r="C2131" s="22"/>
      <c r="D2131" s="22"/>
      <c r="E2131" s="22"/>
      <c r="F2131" s="22"/>
      <c r="G2131" s="22"/>
      <c r="H2131" s="22"/>
      <c r="I2131" s="22"/>
      <c r="J2131" s="22"/>
      <c r="K2131" s="22"/>
      <c r="L2131" s="22"/>
      <c r="M2131" s="22"/>
      <c r="N2131" s="22"/>
    </row>
    <row r="2132" spans="1:14" x14ac:dyDescent="0.3">
      <c r="A2132" s="22" t="s">
        <v>1248</v>
      </c>
      <c r="B2132" s="22">
        <v>0</v>
      </c>
      <c r="C2132" s="22"/>
      <c r="D2132" s="22"/>
      <c r="E2132" s="22"/>
      <c r="F2132" s="22"/>
      <c r="G2132" s="22"/>
      <c r="H2132" s="22"/>
      <c r="I2132" s="22"/>
      <c r="J2132" s="22"/>
      <c r="K2132" s="22"/>
      <c r="L2132" s="22"/>
      <c r="M2132" s="22"/>
      <c r="N2132" s="22"/>
    </row>
    <row r="2133" spans="1:14" x14ac:dyDescent="0.3">
      <c r="A2133" s="22" t="s">
        <v>1249</v>
      </c>
      <c r="B2133" s="22">
        <v>0</v>
      </c>
      <c r="C2133" s="22"/>
      <c r="D2133" s="22"/>
      <c r="E2133" s="22"/>
      <c r="F2133" s="22"/>
      <c r="G2133" s="22"/>
      <c r="H2133" s="22"/>
      <c r="I2133" s="22"/>
      <c r="J2133" s="22"/>
      <c r="K2133" s="22"/>
      <c r="L2133" s="22"/>
      <c r="M2133" s="22"/>
      <c r="N2133" s="22"/>
    </row>
    <row r="2134" spans="1:14" x14ac:dyDescent="0.3">
      <c r="A2134" s="22" t="s">
        <v>1250</v>
      </c>
      <c r="B2134" s="22">
        <v>0</v>
      </c>
      <c r="C2134" s="22"/>
      <c r="D2134" s="22"/>
      <c r="E2134" s="22"/>
      <c r="F2134" s="22"/>
      <c r="G2134" s="22"/>
      <c r="H2134" s="22"/>
      <c r="I2134" s="22"/>
      <c r="J2134" s="22"/>
      <c r="K2134" s="22"/>
      <c r="L2134" s="22"/>
      <c r="M2134" s="22"/>
      <c r="N2134" s="22"/>
    </row>
    <row r="2135" spans="1:14" x14ac:dyDescent="0.3">
      <c r="A2135" s="22" t="s">
        <v>1251</v>
      </c>
      <c r="B2135" s="22">
        <v>0</v>
      </c>
      <c r="C2135" s="22"/>
      <c r="D2135" s="22"/>
      <c r="E2135" s="22"/>
      <c r="F2135" s="22"/>
      <c r="G2135" s="22"/>
      <c r="H2135" s="22"/>
      <c r="I2135" s="22"/>
      <c r="J2135" s="22"/>
      <c r="K2135" s="22"/>
      <c r="L2135" s="22"/>
      <c r="M2135" s="22"/>
      <c r="N2135" s="22"/>
    </row>
    <row r="2136" spans="1:14" x14ac:dyDescent="0.3">
      <c r="A2136" s="22" t="s">
        <v>1252</v>
      </c>
      <c r="B2136" s="22">
        <v>0</v>
      </c>
      <c r="C2136" s="22"/>
      <c r="D2136" s="22"/>
      <c r="E2136" s="22"/>
      <c r="F2136" s="22"/>
      <c r="G2136" s="22"/>
      <c r="H2136" s="22"/>
      <c r="I2136" s="22"/>
      <c r="J2136" s="22"/>
      <c r="K2136" s="22"/>
      <c r="L2136" s="22"/>
      <c r="M2136" s="22"/>
      <c r="N2136" s="22"/>
    </row>
    <row r="2137" spans="1:14" x14ac:dyDescent="0.3">
      <c r="A2137" s="22" t="s">
        <v>1253</v>
      </c>
      <c r="B2137" s="22">
        <v>0</v>
      </c>
      <c r="C2137" s="22"/>
      <c r="D2137" s="22"/>
      <c r="E2137" s="22"/>
      <c r="F2137" s="22"/>
      <c r="G2137" s="22"/>
      <c r="H2137" s="22"/>
      <c r="I2137" s="22"/>
      <c r="J2137" s="22"/>
      <c r="K2137" s="22"/>
      <c r="L2137" s="22"/>
      <c r="M2137" s="22"/>
      <c r="N2137" s="22"/>
    </row>
    <row r="2138" spans="1:14" x14ac:dyDescent="0.3">
      <c r="A2138" s="22" t="s">
        <v>1254</v>
      </c>
      <c r="B2138" s="22">
        <v>0</v>
      </c>
      <c r="C2138" s="22"/>
      <c r="D2138" s="22"/>
      <c r="E2138" s="22"/>
      <c r="F2138" s="22"/>
      <c r="G2138" s="22"/>
      <c r="H2138" s="22"/>
      <c r="I2138" s="22"/>
      <c r="J2138" s="22"/>
      <c r="K2138" s="22"/>
      <c r="L2138" s="22"/>
      <c r="M2138" s="22"/>
      <c r="N2138" s="22"/>
    </row>
    <row r="2139" spans="1:14" x14ac:dyDescent="0.3">
      <c r="A2139" s="22" t="s">
        <v>1255</v>
      </c>
      <c r="B2139" s="22">
        <v>0</v>
      </c>
      <c r="C2139" s="22"/>
      <c r="D2139" s="22"/>
      <c r="E2139" s="22"/>
      <c r="F2139" s="22"/>
      <c r="G2139" s="22"/>
      <c r="H2139" s="22"/>
      <c r="I2139" s="22"/>
      <c r="J2139" s="22"/>
      <c r="K2139" s="22"/>
      <c r="L2139" s="22"/>
      <c r="M2139" s="22"/>
      <c r="N2139" s="22"/>
    </row>
    <row r="2140" spans="1:14" x14ac:dyDescent="0.3">
      <c r="A2140" s="22" t="s">
        <v>1256</v>
      </c>
      <c r="B2140" s="22">
        <v>0</v>
      </c>
      <c r="C2140" s="22"/>
      <c r="D2140" s="22"/>
      <c r="E2140" s="22"/>
      <c r="F2140" s="22"/>
      <c r="G2140" s="22"/>
      <c r="H2140" s="22"/>
      <c r="I2140" s="22"/>
      <c r="J2140" s="22"/>
      <c r="K2140" s="22"/>
      <c r="L2140" s="22"/>
      <c r="M2140" s="22"/>
      <c r="N2140" s="22"/>
    </row>
    <row r="2141" spans="1:14" x14ac:dyDescent="0.3">
      <c r="A2141" s="22" t="s">
        <v>1257</v>
      </c>
      <c r="B2141" s="22">
        <v>0</v>
      </c>
      <c r="C2141" s="22"/>
      <c r="D2141" s="22"/>
      <c r="E2141" s="22"/>
      <c r="F2141" s="22"/>
      <c r="G2141" s="22"/>
      <c r="H2141" s="22"/>
      <c r="I2141" s="22"/>
      <c r="J2141" s="22"/>
      <c r="K2141" s="22"/>
      <c r="L2141" s="22"/>
      <c r="M2141" s="22"/>
      <c r="N2141" s="22"/>
    </row>
    <row r="2142" spans="1:14" x14ac:dyDescent="0.3">
      <c r="A2142" s="22" t="s">
        <v>1258</v>
      </c>
      <c r="B2142" s="22">
        <v>0</v>
      </c>
      <c r="C2142" s="22"/>
      <c r="D2142" s="22"/>
      <c r="E2142" s="22"/>
      <c r="F2142" s="22"/>
      <c r="G2142" s="22"/>
      <c r="H2142" s="22"/>
      <c r="I2142" s="22"/>
      <c r="J2142" s="22"/>
      <c r="K2142" s="22"/>
      <c r="L2142" s="22"/>
      <c r="M2142" s="22"/>
      <c r="N2142" s="22"/>
    </row>
    <row r="2143" spans="1:14" x14ac:dyDescent="0.3">
      <c r="A2143" s="22" t="s">
        <v>1259</v>
      </c>
      <c r="B2143" s="22">
        <v>87</v>
      </c>
      <c r="C2143" s="22"/>
      <c r="D2143" s="22"/>
      <c r="E2143" s="22"/>
      <c r="F2143" s="22"/>
      <c r="G2143" s="22"/>
      <c r="H2143" s="22"/>
      <c r="I2143" s="22"/>
      <c r="J2143" s="22"/>
      <c r="K2143" s="22"/>
      <c r="L2143" s="22"/>
      <c r="M2143" s="22"/>
      <c r="N2143" s="22"/>
    </row>
    <row r="2144" spans="1:14" x14ac:dyDescent="0.3">
      <c r="A2144" s="22" t="s">
        <v>5332</v>
      </c>
      <c r="B2144" s="22">
        <v>0</v>
      </c>
      <c r="C2144" s="22"/>
      <c r="D2144" s="22"/>
      <c r="E2144" s="22"/>
      <c r="F2144" s="22"/>
      <c r="G2144" s="22"/>
      <c r="H2144" s="22"/>
      <c r="I2144" s="22"/>
      <c r="J2144" s="22"/>
      <c r="K2144" s="22"/>
      <c r="L2144" s="22"/>
      <c r="M2144" s="22"/>
      <c r="N2144" s="22"/>
    </row>
    <row r="2145" spans="1:14" x14ac:dyDescent="0.3">
      <c r="A2145" s="22" t="s">
        <v>5333</v>
      </c>
      <c r="B2145" s="22">
        <v>0</v>
      </c>
      <c r="C2145" s="22"/>
      <c r="D2145" s="22"/>
      <c r="E2145" s="22"/>
      <c r="F2145" s="22"/>
      <c r="G2145" s="22"/>
      <c r="H2145" s="22"/>
      <c r="I2145" s="22"/>
      <c r="J2145" s="22"/>
      <c r="K2145" s="22"/>
      <c r="L2145" s="22"/>
      <c r="M2145" s="22"/>
      <c r="N2145" s="22"/>
    </row>
    <row r="2146" spans="1:14" x14ac:dyDescent="0.3">
      <c r="A2146" s="22" t="s">
        <v>5334</v>
      </c>
      <c r="B2146" s="22">
        <v>0</v>
      </c>
      <c r="C2146" s="22"/>
      <c r="D2146" s="22"/>
      <c r="E2146" s="22"/>
      <c r="F2146" s="22"/>
      <c r="G2146" s="22"/>
      <c r="H2146" s="22"/>
      <c r="I2146" s="22"/>
      <c r="J2146" s="22"/>
      <c r="K2146" s="22"/>
      <c r="L2146" s="22"/>
      <c r="M2146" s="22"/>
      <c r="N2146" s="22"/>
    </row>
    <row r="2147" spans="1:14" x14ac:dyDescent="0.3">
      <c r="A2147" s="22" t="s">
        <v>5335</v>
      </c>
      <c r="B2147" s="22">
        <v>0</v>
      </c>
      <c r="C2147" s="22"/>
      <c r="D2147" s="22"/>
      <c r="E2147" s="22"/>
      <c r="F2147" s="22"/>
      <c r="G2147" s="22"/>
      <c r="H2147" s="22"/>
      <c r="I2147" s="22"/>
      <c r="J2147" s="22"/>
      <c r="K2147" s="22"/>
      <c r="L2147" s="22"/>
      <c r="M2147" s="22"/>
      <c r="N2147" s="22"/>
    </row>
    <row r="2148" spans="1:14" x14ac:dyDescent="0.3">
      <c r="A2148" s="22" t="s">
        <v>5336</v>
      </c>
      <c r="B2148" s="22">
        <v>0</v>
      </c>
      <c r="C2148" s="22"/>
      <c r="D2148" s="22"/>
      <c r="E2148" s="22"/>
      <c r="F2148" s="22"/>
      <c r="G2148" s="22"/>
      <c r="H2148" s="22"/>
      <c r="I2148" s="22"/>
      <c r="J2148" s="22"/>
      <c r="K2148" s="22"/>
      <c r="L2148" s="22"/>
      <c r="M2148" s="22"/>
      <c r="N2148" s="22"/>
    </row>
    <row r="2149" spans="1:14" x14ac:dyDescent="0.3">
      <c r="A2149" s="22" t="s">
        <v>5337</v>
      </c>
      <c r="B2149" s="22">
        <v>0</v>
      </c>
      <c r="C2149" s="22"/>
      <c r="D2149" s="22"/>
      <c r="E2149" s="22"/>
      <c r="F2149" s="22"/>
      <c r="G2149" s="22"/>
      <c r="H2149" s="22"/>
      <c r="I2149" s="22"/>
      <c r="J2149" s="22"/>
      <c r="K2149" s="22"/>
      <c r="L2149" s="22"/>
      <c r="M2149" s="22"/>
      <c r="N2149" s="22"/>
    </row>
    <row r="2150" spans="1:14" x14ac:dyDescent="0.3">
      <c r="A2150" s="22" t="s">
        <v>5338</v>
      </c>
      <c r="B2150" s="22">
        <v>0</v>
      </c>
      <c r="C2150" s="22"/>
      <c r="D2150" s="22"/>
      <c r="E2150" s="22"/>
      <c r="F2150" s="22"/>
      <c r="G2150" s="22"/>
      <c r="H2150" s="22"/>
      <c r="I2150" s="22"/>
      <c r="J2150" s="22"/>
      <c r="K2150" s="22"/>
      <c r="L2150" s="22"/>
      <c r="M2150" s="22"/>
      <c r="N2150" s="22"/>
    </row>
    <row r="2151" spans="1:14" x14ac:dyDescent="0.3">
      <c r="A2151" s="22" t="s">
        <v>1260</v>
      </c>
      <c r="B2151" s="22">
        <v>54</v>
      </c>
      <c r="C2151" s="22"/>
      <c r="D2151" s="22"/>
      <c r="E2151" s="22"/>
      <c r="F2151" s="22"/>
      <c r="G2151" s="22"/>
      <c r="H2151" s="22"/>
      <c r="I2151" s="22"/>
      <c r="J2151" s="22"/>
      <c r="K2151" s="22"/>
      <c r="L2151" s="22"/>
      <c r="M2151" s="22"/>
      <c r="N2151" s="22"/>
    </row>
    <row r="2152" spans="1:14" x14ac:dyDescent="0.3">
      <c r="A2152" s="22" t="s">
        <v>1261</v>
      </c>
      <c r="B2152" s="22">
        <v>0</v>
      </c>
      <c r="C2152" s="22"/>
      <c r="D2152" s="22"/>
      <c r="E2152" s="22"/>
      <c r="F2152" s="22"/>
      <c r="G2152" s="22"/>
      <c r="H2152" s="22"/>
      <c r="I2152" s="22"/>
      <c r="J2152" s="22"/>
      <c r="K2152" s="22"/>
      <c r="L2152" s="22"/>
      <c r="M2152" s="22"/>
      <c r="N2152" s="22"/>
    </row>
    <row r="2153" spans="1:14" x14ac:dyDescent="0.3">
      <c r="A2153" s="22" t="s">
        <v>1262</v>
      </c>
      <c r="B2153" s="22">
        <v>0</v>
      </c>
      <c r="C2153" s="22"/>
      <c r="D2153" s="22"/>
      <c r="E2153" s="22"/>
      <c r="F2153" s="22"/>
      <c r="G2153" s="22"/>
      <c r="H2153" s="22"/>
      <c r="I2153" s="22"/>
      <c r="J2153" s="22"/>
      <c r="K2153" s="22"/>
      <c r="L2153" s="22"/>
      <c r="M2153" s="22"/>
      <c r="N2153" s="22"/>
    </row>
    <row r="2154" spans="1:14" x14ac:dyDescent="0.3">
      <c r="A2154" s="22" t="s">
        <v>1263</v>
      </c>
      <c r="B2154" s="22">
        <v>0</v>
      </c>
      <c r="C2154" s="22"/>
      <c r="D2154" s="22"/>
      <c r="E2154" s="22"/>
      <c r="F2154" s="22"/>
      <c r="G2154" s="22"/>
      <c r="H2154" s="22"/>
      <c r="I2154" s="22"/>
      <c r="J2154" s="22"/>
      <c r="K2154" s="22"/>
      <c r="L2154" s="22"/>
      <c r="M2154" s="22"/>
      <c r="N2154" s="22"/>
    </row>
    <row r="2155" spans="1:14" x14ac:dyDescent="0.3">
      <c r="A2155" s="22" t="s">
        <v>1264</v>
      </c>
      <c r="B2155" s="22">
        <v>0</v>
      </c>
      <c r="C2155" s="22"/>
      <c r="D2155" s="22"/>
      <c r="E2155" s="22"/>
      <c r="F2155" s="22"/>
      <c r="G2155" s="22"/>
      <c r="H2155" s="22"/>
      <c r="I2155" s="22"/>
      <c r="J2155" s="22"/>
      <c r="K2155" s="22"/>
      <c r="L2155" s="22"/>
      <c r="M2155" s="22"/>
      <c r="N2155" s="22"/>
    </row>
    <row r="2156" spans="1:14" x14ac:dyDescent="0.3">
      <c r="A2156" s="22" t="s">
        <v>1265</v>
      </c>
      <c r="B2156" s="22">
        <v>0</v>
      </c>
      <c r="C2156" s="22"/>
      <c r="D2156" s="22"/>
      <c r="E2156" s="22"/>
      <c r="F2156" s="22"/>
      <c r="G2156" s="22"/>
      <c r="H2156" s="22"/>
      <c r="I2156" s="22"/>
      <c r="J2156" s="22"/>
      <c r="K2156" s="22"/>
      <c r="L2156" s="22"/>
      <c r="M2156" s="22"/>
      <c r="N2156" s="22"/>
    </row>
    <row r="2157" spans="1:14" x14ac:dyDescent="0.3">
      <c r="A2157" s="22" t="s">
        <v>1266</v>
      </c>
      <c r="B2157" s="22">
        <v>0</v>
      </c>
      <c r="C2157" s="22"/>
      <c r="D2157" s="22"/>
      <c r="E2157" s="22"/>
      <c r="F2157" s="22"/>
      <c r="G2157" s="22"/>
      <c r="H2157" s="22"/>
      <c r="I2157" s="22"/>
      <c r="J2157" s="22"/>
      <c r="K2157" s="22"/>
      <c r="L2157" s="22"/>
      <c r="M2157" s="22"/>
      <c r="N2157" s="22"/>
    </row>
    <row r="2158" spans="1:14" x14ac:dyDescent="0.3">
      <c r="A2158" s="22" t="s">
        <v>1267</v>
      </c>
      <c r="B2158" s="22">
        <v>0</v>
      </c>
      <c r="C2158" s="22"/>
      <c r="D2158" s="22"/>
      <c r="E2158" s="22"/>
      <c r="F2158" s="22"/>
      <c r="G2158" s="22"/>
      <c r="H2158" s="22"/>
      <c r="I2158" s="22"/>
      <c r="J2158" s="22"/>
      <c r="K2158" s="22"/>
      <c r="L2158" s="22"/>
      <c r="M2158" s="22"/>
      <c r="N2158" s="22"/>
    </row>
    <row r="2159" spans="1:14" x14ac:dyDescent="0.3">
      <c r="A2159" s="22" t="s">
        <v>1268</v>
      </c>
      <c r="B2159" s="22">
        <v>16</v>
      </c>
      <c r="C2159" s="22"/>
      <c r="D2159" s="22"/>
      <c r="E2159" s="22"/>
      <c r="F2159" s="22"/>
      <c r="G2159" s="22"/>
      <c r="H2159" s="22"/>
      <c r="I2159" s="22"/>
      <c r="J2159" s="22"/>
      <c r="K2159" s="22"/>
      <c r="L2159" s="22"/>
      <c r="M2159" s="22"/>
      <c r="N2159" s="22"/>
    </row>
    <row r="2160" spans="1:14" x14ac:dyDescent="0.3">
      <c r="A2160" s="22" t="s">
        <v>1269</v>
      </c>
      <c r="B2160" s="22">
        <v>0</v>
      </c>
      <c r="C2160" s="22"/>
      <c r="D2160" s="22"/>
      <c r="E2160" s="22"/>
      <c r="F2160" s="22"/>
      <c r="G2160" s="22"/>
      <c r="H2160" s="22"/>
      <c r="I2160" s="22"/>
      <c r="J2160" s="22"/>
      <c r="K2160" s="22"/>
      <c r="L2160" s="22"/>
      <c r="M2160" s="22"/>
      <c r="N2160" s="22"/>
    </row>
    <row r="2161" spans="1:14" x14ac:dyDescent="0.3">
      <c r="A2161" s="22" t="s">
        <v>1270</v>
      </c>
      <c r="B2161" s="22">
        <v>0</v>
      </c>
      <c r="C2161" s="22"/>
      <c r="D2161" s="22"/>
      <c r="E2161" s="22"/>
      <c r="F2161" s="22"/>
      <c r="G2161" s="22"/>
      <c r="H2161" s="22"/>
      <c r="I2161" s="22"/>
      <c r="J2161" s="22"/>
      <c r="K2161" s="22"/>
      <c r="L2161" s="22"/>
      <c r="M2161" s="22"/>
      <c r="N2161" s="22"/>
    </row>
    <row r="2162" spans="1:14" x14ac:dyDescent="0.3">
      <c r="A2162" s="22" t="s">
        <v>1271</v>
      </c>
      <c r="B2162" s="22">
        <v>0</v>
      </c>
      <c r="C2162" s="22"/>
      <c r="D2162" s="22"/>
      <c r="E2162" s="22"/>
      <c r="F2162" s="22"/>
      <c r="G2162" s="22"/>
      <c r="H2162" s="22"/>
      <c r="I2162" s="22"/>
      <c r="J2162" s="22"/>
      <c r="K2162" s="22"/>
      <c r="L2162" s="22"/>
      <c r="M2162" s="22"/>
      <c r="N2162" s="22"/>
    </row>
    <row r="2163" spans="1:14" x14ac:dyDescent="0.3">
      <c r="A2163" s="22" t="s">
        <v>1272</v>
      </c>
      <c r="B2163" s="22">
        <v>0</v>
      </c>
      <c r="C2163" s="22"/>
      <c r="D2163" s="22"/>
      <c r="E2163" s="22"/>
      <c r="F2163" s="22"/>
      <c r="G2163" s="22"/>
      <c r="H2163" s="22"/>
      <c r="I2163" s="22"/>
      <c r="J2163" s="22"/>
      <c r="K2163" s="22"/>
      <c r="L2163" s="22"/>
      <c r="M2163" s="22"/>
      <c r="N2163" s="22"/>
    </row>
    <row r="2164" spans="1:14" x14ac:dyDescent="0.3">
      <c r="A2164" s="22" t="s">
        <v>1273</v>
      </c>
      <c r="B2164" s="22">
        <v>0</v>
      </c>
      <c r="C2164" s="22"/>
      <c r="D2164" s="22"/>
      <c r="E2164" s="22"/>
      <c r="F2164" s="22"/>
      <c r="G2164" s="22"/>
      <c r="H2164" s="22"/>
      <c r="I2164" s="22"/>
      <c r="J2164" s="22"/>
      <c r="K2164" s="22"/>
      <c r="L2164" s="22"/>
      <c r="M2164" s="22"/>
      <c r="N2164" s="22"/>
    </row>
    <row r="2165" spans="1:14" x14ac:dyDescent="0.3">
      <c r="A2165" s="22" t="s">
        <v>1274</v>
      </c>
      <c r="B2165" s="22">
        <v>0</v>
      </c>
      <c r="C2165" s="22"/>
      <c r="D2165" s="22"/>
      <c r="E2165" s="22"/>
      <c r="F2165" s="22"/>
      <c r="G2165" s="22"/>
      <c r="H2165" s="22"/>
      <c r="I2165" s="22"/>
      <c r="J2165" s="22"/>
      <c r="K2165" s="22"/>
      <c r="L2165" s="22"/>
      <c r="M2165" s="22"/>
      <c r="N2165" s="22"/>
    </row>
    <row r="2166" spans="1:14" x14ac:dyDescent="0.3">
      <c r="A2166" s="22" t="s">
        <v>1275</v>
      </c>
      <c r="B2166" s="22">
        <v>0</v>
      </c>
      <c r="C2166" s="22"/>
      <c r="D2166" s="22"/>
      <c r="E2166" s="22"/>
      <c r="F2166" s="22"/>
      <c r="G2166" s="22"/>
      <c r="H2166" s="22"/>
      <c r="I2166" s="22"/>
      <c r="J2166" s="22"/>
      <c r="K2166" s="22"/>
      <c r="L2166" s="22"/>
      <c r="M2166" s="22"/>
      <c r="N2166" s="22"/>
    </row>
    <row r="2167" spans="1:14" x14ac:dyDescent="0.3">
      <c r="A2167" s="22" t="s">
        <v>2899</v>
      </c>
      <c r="B2167" s="22">
        <v>81</v>
      </c>
      <c r="C2167" s="22"/>
      <c r="D2167" s="22"/>
      <c r="E2167" s="22"/>
      <c r="F2167" s="22"/>
      <c r="G2167" s="22"/>
      <c r="H2167" s="22"/>
      <c r="I2167" s="22"/>
      <c r="J2167" s="22"/>
      <c r="K2167" s="22"/>
      <c r="L2167" s="22"/>
      <c r="M2167" s="22"/>
      <c r="N2167" s="22"/>
    </row>
    <row r="2168" spans="1:14" x14ac:dyDescent="0.3">
      <c r="A2168" s="22" t="s">
        <v>3666</v>
      </c>
      <c r="B2168" s="22">
        <v>0</v>
      </c>
      <c r="C2168" s="22"/>
      <c r="D2168" s="22"/>
      <c r="E2168" s="22"/>
      <c r="F2168" s="22"/>
      <c r="G2168" s="22"/>
      <c r="H2168" s="22"/>
      <c r="I2168" s="22"/>
      <c r="J2168" s="22"/>
      <c r="K2168" s="22"/>
      <c r="L2168" s="22"/>
      <c r="M2168" s="22"/>
      <c r="N2168" s="22"/>
    </row>
    <row r="2169" spans="1:14" x14ac:dyDescent="0.3">
      <c r="A2169" s="22" t="s">
        <v>3667</v>
      </c>
      <c r="B2169" s="22">
        <v>0</v>
      </c>
      <c r="C2169" s="22"/>
      <c r="D2169" s="22"/>
      <c r="E2169" s="22"/>
      <c r="F2169" s="22"/>
      <c r="G2169" s="22"/>
      <c r="H2169" s="22"/>
      <c r="I2169" s="22"/>
      <c r="J2169" s="22"/>
      <c r="K2169" s="22"/>
      <c r="L2169" s="22"/>
      <c r="M2169" s="22"/>
      <c r="N2169" s="22"/>
    </row>
    <row r="2170" spans="1:14" x14ac:dyDescent="0.3">
      <c r="A2170" s="22" t="s">
        <v>3668</v>
      </c>
      <c r="B2170" s="22">
        <v>0</v>
      </c>
      <c r="C2170" s="22"/>
      <c r="D2170" s="22"/>
      <c r="E2170" s="22"/>
      <c r="F2170" s="22"/>
      <c r="G2170" s="22"/>
      <c r="H2170" s="22"/>
      <c r="I2170" s="22"/>
      <c r="J2170" s="22"/>
      <c r="K2170" s="22"/>
      <c r="L2170" s="22"/>
      <c r="M2170" s="22"/>
      <c r="N2170" s="22"/>
    </row>
    <row r="2171" spans="1:14" x14ac:dyDescent="0.3">
      <c r="A2171" s="22" t="s">
        <v>3669</v>
      </c>
      <c r="B2171" s="22">
        <v>0</v>
      </c>
      <c r="C2171" s="22"/>
      <c r="D2171" s="22"/>
      <c r="E2171" s="22"/>
      <c r="F2171" s="22"/>
      <c r="G2171" s="22"/>
      <c r="H2171" s="22"/>
      <c r="I2171" s="22"/>
      <c r="J2171" s="22"/>
      <c r="K2171" s="22"/>
      <c r="L2171" s="22"/>
      <c r="M2171" s="22"/>
      <c r="N2171" s="22"/>
    </row>
    <row r="2172" spans="1:14" x14ac:dyDescent="0.3">
      <c r="A2172" s="22" t="s">
        <v>3670</v>
      </c>
      <c r="B2172" s="22">
        <v>0</v>
      </c>
      <c r="C2172" s="22"/>
      <c r="D2172" s="22"/>
      <c r="E2172" s="22"/>
      <c r="F2172" s="22"/>
      <c r="G2172" s="22"/>
      <c r="H2172" s="22"/>
      <c r="I2172" s="22"/>
      <c r="J2172" s="22"/>
      <c r="K2172" s="22"/>
      <c r="L2172" s="22"/>
      <c r="M2172" s="22"/>
      <c r="N2172" s="22"/>
    </row>
    <row r="2173" spans="1:14" x14ac:dyDescent="0.3">
      <c r="A2173" s="22" t="s">
        <v>3671</v>
      </c>
      <c r="B2173" s="22">
        <v>0</v>
      </c>
      <c r="C2173" s="22"/>
      <c r="D2173" s="22"/>
      <c r="E2173" s="22"/>
      <c r="F2173" s="22"/>
      <c r="G2173" s="22"/>
      <c r="H2173" s="22"/>
      <c r="I2173" s="22"/>
      <c r="J2173" s="22"/>
      <c r="K2173" s="22"/>
      <c r="L2173" s="22"/>
      <c r="M2173" s="22"/>
      <c r="N2173" s="22"/>
    </row>
    <row r="2174" spans="1:14" x14ac:dyDescent="0.3">
      <c r="A2174" s="22" t="s">
        <v>3672</v>
      </c>
      <c r="B2174" s="22">
        <v>0</v>
      </c>
      <c r="C2174" s="22"/>
      <c r="D2174" s="22"/>
      <c r="E2174" s="22"/>
      <c r="F2174" s="22"/>
      <c r="G2174" s="22"/>
      <c r="H2174" s="22"/>
      <c r="I2174" s="22"/>
      <c r="J2174" s="22"/>
      <c r="K2174" s="22"/>
      <c r="L2174" s="22"/>
      <c r="M2174" s="22"/>
      <c r="N2174" s="22"/>
    </row>
    <row r="2175" spans="1:14" x14ac:dyDescent="0.3">
      <c r="A2175" s="22" t="s">
        <v>2901</v>
      </c>
      <c r="B2175" s="22">
        <v>0</v>
      </c>
      <c r="C2175" s="22"/>
      <c r="D2175" s="22"/>
      <c r="E2175" s="22"/>
      <c r="F2175" s="22"/>
      <c r="G2175" s="22"/>
      <c r="H2175" s="22"/>
      <c r="I2175" s="22"/>
      <c r="J2175" s="22"/>
      <c r="K2175" s="22"/>
      <c r="L2175" s="22"/>
      <c r="M2175" s="22"/>
      <c r="N2175" s="22"/>
    </row>
    <row r="2176" spans="1:14" x14ac:dyDescent="0.3">
      <c r="A2176" s="22" t="s">
        <v>3673</v>
      </c>
      <c r="B2176" s="22">
        <v>0</v>
      </c>
      <c r="C2176" s="22"/>
      <c r="D2176" s="22"/>
      <c r="E2176" s="22"/>
      <c r="F2176" s="22"/>
      <c r="G2176" s="22"/>
      <c r="H2176" s="22"/>
      <c r="I2176" s="22"/>
      <c r="J2176" s="22"/>
      <c r="K2176" s="22"/>
      <c r="L2176" s="22"/>
      <c r="M2176" s="22"/>
      <c r="N2176" s="22"/>
    </row>
    <row r="2177" spans="1:14" x14ac:dyDescent="0.3">
      <c r="A2177" s="22" t="s">
        <v>3674</v>
      </c>
      <c r="B2177" s="22">
        <v>0</v>
      </c>
      <c r="C2177" s="22"/>
      <c r="D2177" s="22"/>
      <c r="E2177" s="22"/>
      <c r="F2177" s="22"/>
      <c r="G2177" s="22"/>
      <c r="H2177" s="22"/>
      <c r="I2177" s="22"/>
      <c r="J2177" s="22"/>
      <c r="K2177" s="22"/>
      <c r="L2177" s="22"/>
      <c r="M2177" s="22"/>
      <c r="N2177" s="22"/>
    </row>
    <row r="2178" spans="1:14" x14ac:dyDescent="0.3">
      <c r="A2178" s="22" t="s">
        <v>3675</v>
      </c>
      <c r="B2178" s="22">
        <v>0</v>
      </c>
      <c r="C2178" s="22"/>
      <c r="D2178" s="22"/>
      <c r="E2178" s="22"/>
      <c r="F2178" s="22"/>
      <c r="G2178" s="22"/>
      <c r="H2178" s="22"/>
      <c r="I2178" s="22"/>
      <c r="J2178" s="22"/>
      <c r="K2178" s="22"/>
      <c r="L2178" s="22"/>
      <c r="M2178" s="22"/>
      <c r="N2178" s="22"/>
    </row>
    <row r="2179" spans="1:14" x14ac:dyDescent="0.3">
      <c r="A2179" s="22" t="s">
        <v>3676</v>
      </c>
      <c r="B2179" s="22">
        <v>0</v>
      </c>
      <c r="C2179" s="22"/>
      <c r="D2179" s="22"/>
      <c r="E2179" s="22"/>
      <c r="F2179" s="22"/>
      <c r="G2179" s="22"/>
      <c r="H2179" s="22"/>
      <c r="I2179" s="22"/>
      <c r="J2179" s="22"/>
      <c r="K2179" s="22"/>
      <c r="L2179" s="22"/>
      <c r="M2179" s="22"/>
      <c r="N2179" s="22"/>
    </row>
    <row r="2180" spans="1:14" x14ac:dyDescent="0.3">
      <c r="A2180" s="22" t="s">
        <v>3677</v>
      </c>
      <c r="B2180" s="22">
        <v>0</v>
      </c>
      <c r="C2180" s="22"/>
      <c r="D2180" s="22"/>
      <c r="E2180" s="22"/>
      <c r="F2180" s="22"/>
      <c r="G2180" s="22"/>
      <c r="H2180" s="22"/>
      <c r="I2180" s="22"/>
      <c r="J2180" s="22"/>
      <c r="K2180" s="22"/>
      <c r="L2180" s="22"/>
      <c r="M2180" s="22"/>
      <c r="N2180" s="22"/>
    </row>
    <row r="2181" spans="1:14" x14ac:dyDescent="0.3">
      <c r="A2181" s="22" t="s">
        <v>3678</v>
      </c>
      <c r="B2181" s="22">
        <v>0</v>
      </c>
      <c r="C2181" s="22"/>
      <c r="D2181" s="22"/>
      <c r="E2181" s="22"/>
      <c r="F2181" s="22"/>
      <c r="G2181" s="22"/>
      <c r="H2181" s="22"/>
      <c r="I2181" s="22"/>
      <c r="J2181" s="22"/>
      <c r="K2181" s="22"/>
      <c r="L2181" s="22"/>
      <c r="M2181" s="22"/>
      <c r="N2181" s="22"/>
    </row>
    <row r="2182" spans="1:14" x14ac:dyDescent="0.3">
      <c r="A2182" s="22" t="s">
        <v>3679</v>
      </c>
      <c r="B2182" s="22">
        <v>0</v>
      </c>
      <c r="C2182" s="22"/>
      <c r="D2182" s="22"/>
      <c r="E2182" s="22"/>
      <c r="F2182" s="22"/>
      <c r="G2182" s="22"/>
      <c r="H2182" s="22"/>
      <c r="I2182" s="22"/>
      <c r="J2182" s="22"/>
      <c r="K2182" s="22"/>
      <c r="L2182" s="22"/>
      <c r="M2182" s="22"/>
      <c r="N2182" s="22"/>
    </row>
    <row r="2183" spans="1:14" x14ac:dyDescent="0.3">
      <c r="A2183" s="22" t="s">
        <v>2903</v>
      </c>
      <c r="B2183" s="22">
        <v>0</v>
      </c>
      <c r="C2183" s="22"/>
      <c r="D2183" s="22"/>
      <c r="E2183" s="22"/>
      <c r="F2183" s="22"/>
      <c r="G2183" s="22"/>
      <c r="H2183" s="22"/>
      <c r="I2183" s="22"/>
      <c r="J2183" s="22"/>
      <c r="K2183" s="22"/>
      <c r="L2183" s="22"/>
      <c r="M2183" s="22"/>
      <c r="N2183" s="22"/>
    </row>
    <row r="2184" spans="1:14" x14ac:dyDescent="0.3">
      <c r="A2184" s="22" t="s">
        <v>3680</v>
      </c>
      <c r="B2184" s="22">
        <v>0</v>
      </c>
      <c r="C2184" s="22"/>
      <c r="D2184" s="22"/>
      <c r="E2184" s="22"/>
      <c r="F2184" s="22"/>
      <c r="G2184" s="22"/>
      <c r="H2184" s="22"/>
      <c r="I2184" s="22"/>
      <c r="J2184" s="22"/>
      <c r="K2184" s="22"/>
      <c r="L2184" s="22"/>
      <c r="M2184" s="22"/>
      <c r="N2184" s="22"/>
    </row>
    <row r="2185" spans="1:14" x14ac:dyDescent="0.3">
      <c r="A2185" s="22" t="s">
        <v>3681</v>
      </c>
      <c r="B2185" s="22">
        <v>0</v>
      </c>
      <c r="C2185" s="22"/>
      <c r="D2185" s="22"/>
      <c r="E2185" s="22"/>
      <c r="F2185" s="22"/>
      <c r="G2185" s="22"/>
      <c r="H2185" s="22"/>
      <c r="I2185" s="22"/>
      <c r="J2185" s="22"/>
      <c r="K2185" s="22"/>
      <c r="L2185" s="22"/>
      <c r="M2185" s="22"/>
      <c r="N2185" s="22"/>
    </row>
    <row r="2186" spans="1:14" x14ac:dyDescent="0.3">
      <c r="A2186" s="22" t="s">
        <v>3682</v>
      </c>
      <c r="B2186" s="22">
        <v>0</v>
      </c>
      <c r="C2186" s="22"/>
      <c r="D2186" s="22"/>
      <c r="E2186" s="22"/>
      <c r="F2186" s="22"/>
      <c r="G2186" s="22"/>
      <c r="H2186" s="22"/>
      <c r="I2186" s="22"/>
      <c r="J2186" s="22"/>
      <c r="K2186" s="22"/>
      <c r="L2186" s="22"/>
      <c r="M2186" s="22"/>
      <c r="N2186" s="22"/>
    </row>
    <row r="2187" spans="1:14" x14ac:dyDescent="0.3">
      <c r="A2187" s="22" t="s">
        <v>3683</v>
      </c>
      <c r="B2187" s="22">
        <v>0</v>
      </c>
      <c r="C2187" s="22"/>
      <c r="D2187" s="22"/>
      <c r="E2187" s="22"/>
      <c r="F2187" s="22"/>
      <c r="G2187" s="22"/>
      <c r="H2187" s="22"/>
      <c r="I2187" s="22"/>
      <c r="J2187" s="22"/>
      <c r="K2187" s="22"/>
      <c r="L2187" s="22"/>
      <c r="M2187" s="22"/>
      <c r="N2187" s="22"/>
    </row>
    <row r="2188" spans="1:14" x14ac:dyDescent="0.3">
      <c r="A2188" s="22" t="s">
        <v>3684</v>
      </c>
      <c r="B2188" s="22">
        <v>0</v>
      </c>
      <c r="C2188" s="22"/>
      <c r="D2188" s="22"/>
      <c r="E2188" s="22"/>
      <c r="F2188" s="22"/>
      <c r="G2188" s="22"/>
      <c r="H2188" s="22"/>
      <c r="I2188" s="22"/>
      <c r="J2188" s="22"/>
      <c r="K2188" s="22"/>
      <c r="L2188" s="22"/>
      <c r="M2188" s="22"/>
      <c r="N2188" s="22"/>
    </row>
    <row r="2189" spans="1:14" x14ac:dyDescent="0.3">
      <c r="A2189" s="22" t="s">
        <v>3685</v>
      </c>
      <c r="B2189" s="22">
        <v>0</v>
      </c>
      <c r="C2189" s="22"/>
      <c r="D2189" s="22"/>
      <c r="E2189" s="22"/>
      <c r="F2189" s="22"/>
      <c r="G2189" s="22"/>
      <c r="H2189" s="22"/>
      <c r="I2189" s="22"/>
      <c r="J2189" s="22"/>
      <c r="K2189" s="22"/>
      <c r="L2189" s="22"/>
      <c r="M2189" s="22"/>
      <c r="N2189" s="22"/>
    </row>
    <row r="2190" spans="1:14" x14ac:dyDescent="0.3">
      <c r="A2190" s="22" t="s">
        <v>3686</v>
      </c>
      <c r="B2190" s="22">
        <v>0</v>
      </c>
      <c r="C2190" s="22"/>
      <c r="D2190" s="22"/>
      <c r="E2190" s="22"/>
      <c r="F2190" s="22"/>
      <c r="G2190" s="22"/>
      <c r="H2190" s="22"/>
      <c r="I2190" s="22"/>
      <c r="J2190" s="22"/>
      <c r="K2190" s="22"/>
      <c r="L2190" s="22"/>
      <c r="M2190" s="22"/>
      <c r="N2190" s="22"/>
    </row>
    <row r="2191" spans="1:14" x14ac:dyDescent="0.3">
      <c r="A2191" s="22" t="s">
        <v>2906</v>
      </c>
      <c r="B2191" s="22">
        <v>25</v>
      </c>
      <c r="C2191" s="22"/>
      <c r="D2191" s="22"/>
      <c r="E2191" s="22"/>
      <c r="F2191" s="22"/>
      <c r="G2191" s="22"/>
      <c r="H2191" s="22"/>
      <c r="I2191" s="22"/>
      <c r="J2191" s="22"/>
      <c r="K2191" s="22"/>
      <c r="L2191" s="22"/>
      <c r="M2191" s="22"/>
      <c r="N2191" s="22"/>
    </row>
    <row r="2192" spans="1:14" x14ac:dyDescent="0.3">
      <c r="A2192" s="22" t="s">
        <v>3687</v>
      </c>
      <c r="B2192" s="22">
        <v>0</v>
      </c>
      <c r="C2192" s="22"/>
      <c r="D2192" s="22"/>
      <c r="E2192" s="22"/>
      <c r="F2192" s="22"/>
      <c r="G2192" s="22"/>
      <c r="H2192" s="22"/>
      <c r="I2192" s="22"/>
      <c r="J2192" s="22"/>
      <c r="K2192" s="22"/>
      <c r="L2192" s="22"/>
      <c r="M2192" s="22"/>
      <c r="N2192" s="22"/>
    </row>
    <row r="2193" spans="1:14" x14ac:dyDescent="0.3">
      <c r="A2193" s="22" t="s">
        <v>3688</v>
      </c>
      <c r="B2193" s="22">
        <v>0</v>
      </c>
      <c r="C2193" s="22"/>
      <c r="D2193" s="22"/>
      <c r="E2193" s="22"/>
      <c r="F2193" s="22"/>
      <c r="G2193" s="22"/>
      <c r="H2193" s="22"/>
      <c r="I2193" s="22"/>
      <c r="J2193" s="22"/>
      <c r="K2193" s="22"/>
      <c r="L2193" s="22"/>
      <c r="M2193" s="22"/>
      <c r="N2193" s="22"/>
    </row>
    <row r="2194" spans="1:14" x14ac:dyDescent="0.3">
      <c r="A2194" s="22" t="s">
        <v>3689</v>
      </c>
      <c r="B2194" s="22">
        <v>0</v>
      </c>
      <c r="C2194" s="22"/>
      <c r="D2194" s="22"/>
      <c r="E2194" s="22"/>
      <c r="F2194" s="22"/>
      <c r="G2194" s="22"/>
      <c r="H2194" s="22"/>
      <c r="I2194" s="22"/>
      <c r="J2194" s="22"/>
      <c r="K2194" s="22"/>
      <c r="L2194" s="22"/>
      <c r="M2194" s="22"/>
      <c r="N2194" s="22"/>
    </row>
    <row r="2195" spans="1:14" x14ac:dyDescent="0.3">
      <c r="A2195" s="22" t="s">
        <v>3690</v>
      </c>
      <c r="B2195" s="22">
        <v>0</v>
      </c>
      <c r="C2195" s="22"/>
      <c r="D2195" s="22"/>
      <c r="E2195" s="22"/>
      <c r="F2195" s="22"/>
      <c r="G2195" s="22"/>
      <c r="H2195" s="22"/>
      <c r="I2195" s="22"/>
      <c r="J2195" s="22"/>
      <c r="K2195" s="22"/>
      <c r="L2195" s="22"/>
      <c r="M2195" s="22"/>
      <c r="N2195" s="22"/>
    </row>
    <row r="2196" spans="1:14" x14ac:dyDescent="0.3">
      <c r="A2196" s="22" t="s">
        <v>3691</v>
      </c>
      <c r="B2196" s="22">
        <v>0</v>
      </c>
      <c r="C2196" s="22"/>
      <c r="D2196" s="22"/>
      <c r="E2196" s="22"/>
      <c r="F2196" s="22"/>
      <c r="G2196" s="22"/>
      <c r="H2196" s="22"/>
      <c r="I2196" s="22"/>
      <c r="J2196" s="22"/>
      <c r="K2196" s="22"/>
      <c r="L2196" s="22"/>
      <c r="M2196" s="22"/>
      <c r="N2196" s="22"/>
    </row>
    <row r="2197" spans="1:14" x14ac:dyDescent="0.3">
      <c r="A2197" s="22" t="s">
        <v>3692</v>
      </c>
      <c r="B2197" s="22">
        <v>0</v>
      </c>
      <c r="C2197" s="22"/>
      <c r="D2197" s="22"/>
      <c r="E2197" s="22"/>
      <c r="F2197" s="22"/>
      <c r="G2197" s="22"/>
      <c r="H2197" s="22"/>
      <c r="I2197" s="22"/>
      <c r="J2197" s="22"/>
      <c r="K2197" s="22"/>
      <c r="L2197" s="22"/>
      <c r="M2197" s="22"/>
      <c r="N2197" s="22"/>
    </row>
    <row r="2198" spans="1:14" x14ac:dyDescent="0.3">
      <c r="A2198" s="22" t="s">
        <v>3693</v>
      </c>
      <c r="B2198" s="22">
        <v>0</v>
      </c>
      <c r="C2198" s="22"/>
      <c r="D2198" s="22"/>
      <c r="E2198" s="22"/>
      <c r="F2198" s="22"/>
      <c r="G2198" s="22"/>
      <c r="H2198" s="22"/>
      <c r="I2198" s="22"/>
      <c r="J2198" s="22"/>
      <c r="K2198" s="22"/>
      <c r="L2198" s="22"/>
      <c r="M2198" s="22"/>
      <c r="N2198" s="22"/>
    </row>
    <row r="2199" spans="1:14" x14ac:dyDescent="0.3">
      <c r="A2199" s="22" t="s">
        <v>2907</v>
      </c>
      <c r="B2199" s="22">
        <v>0</v>
      </c>
      <c r="C2199" s="22"/>
      <c r="D2199" s="22"/>
      <c r="E2199" s="22"/>
      <c r="F2199" s="22"/>
      <c r="G2199" s="22"/>
      <c r="H2199" s="22"/>
      <c r="I2199" s="22"/>
      <c r="J2199" s="22"/>
      <c r="K2199" s="22"/>
      <c r="L2199" s="22"/>
      <c r="M2199" s="22"/>
      <c r="N2199" s="22"/>
    </row>
    <row r="2200" spans="1:14" x14ac:dyDescent="0.3">
      <c r="A2200" s="22" t="s">
        <v>3694</v>
      </c>
      <c r="B2200" s="22">
        <v>0</v>
      </c>
      <c r="C2200" s="22"/>
      <c r="D2200" s="22"/>
      <c r="E2200" s="22"/>
      <c r="F2200" s="22"/>
      <c r="G2200" s="22"/>
      <c r="H2200" s="22"/>
      <c r="I2200" s="22"/>
      <c r="J2200" s="22"/>
      <c r="K2200" s="22"/>
      <c r="L2200" s="22"/>
      <c r="M2200" s="22"/>
      <c r="N2200" s="22"/>
    </row>
    <row r="2201" spans="1:14" x14ac:dyDescent="0.3">
      <c r="A2201" s="22" t="s">
        <v>3695</v>
      </c>
      <c r="B2201" s="22">
        <v>0</v>
      </c>
      <c r="C2201" s="22"/>
      <c r="D2201" s="22"/>
      <c r="E2201" s="22"/>
      <c r="F2201" s="22"/>
      <c r="G2201" s="22"/>
      <c r="H2201" s="22"/>
      <c r="I2201" s="22"/>
      <c r="J2201" s="22"/>
      <c r="K2201" s="22"/>
      <c r="L2201" s="22"/>
      <c r="M2201" s="22"/>
      <c r="N2201" s="22"/>
    </row>
    <row r="2202" spans="1:14" x14ac:dyDescent="0.3">
      <c r="A2202" s="22" t="s">
        <v>3696</v>
      </c>
      <c r="B2202" s="22">
        <v>0</v>
      </c>
      <c r="C2202" s="22"/>
      <c r="D2202" s="22"/>
      <c r="E2202" s="22"/>
      <c r="F2202" s="22"/>
      <c r="G2202" s="22"/>
      <c r="H2202" s="22"/>
      <c r="I2202" s="22"/>
      <c r="J2202" s="22"/>
      <c r="K2202" s="22"/>
      <c r="L2202" s="22"/>
      <c r="M2202" s="22"/>
      <c r="N2202" s="22"/>
    </row>
    <row r="2203" spans="1:14" x14ac:dyDescent="0.3">
      <c r="A2203" s="22" t="s">
        <v>3697</v>
      </c>
      <c r="B2203" s="22">
        <v>0</v>
      </c>
      <c r="C2203" s="22"/>
      <c r="D2203" s="22"/>
      <c r="E2203" s="22"/>
      <c r="F2203" s="22"/>
      <c r="G2203" s="22"/>
      <c r="H2203" s="22"/>
      <c r="I2203" s="22"/>
      <c r="J2203" s="22"/>
      <c r="K2203" s="22"/>
      <c r="L2203" s="22"/>
      <c r="M2203" s="22"/>
      <c r="N2203" s="22"/>
    </row>
    <row r="2204" spans="1:14" x14ac:dyDescent="0.3">
      <c r="A2204" s="22" t="s">
        <v>3698</v>
      </c>
      <c r="B2204" s="22">
        <v>0</v>
      </c>
      <c r="C2204" s="22"/>
      <c r="D2204" s="22"/>
      <c r="E2204" s="22"/>
      <c r="F2204" s="22"/>
      <c r="G2204" s="22"/>
      <c r="H2204" s="22"/>
      <c r="I2204" s="22"/>
      <c r="J2204" s="22"/>
      <c r="K2204" s="22"/>
      <c r="L2204" s="22"/>
      <c r="M2204" s="22"/>
      <c r="N2204" s="22"/>
    </row>
    <row r="2205" spans="1:14" x14ac:dyDescent="0.3">
      <c r="A2205" s="22" t="s">
        <v>3699</v>
      </c>
      <c r="B2205" s="22">
        <v>0</v>
      </c>
      <c r="C2205" s="22"/>
      <c r="D2205" s="22"/>
      <c r="E2205" s="22"/>
      <c r="F2205" s="22"/>
      <c r="G2205" s="22"/>
      <c r="H2205" s="22"/>
      <c r="I2205" s="22"/>
      <c r="J2205" s="22"/>
      <c r="K2205" s="22"/>
      <c r="L2205" s="22"/>
      <c r="M2205" s="22"/>
      <c r="N2205" s="22"/>
    </row>
    <row r="2206" spans="1:14" x14ac:dyDescent="0.3">
      <c r="A2206" s="22" t="s">
        <v>3700</v>
      </c>
      <c r="B2206" s="22">
        <v>0</v>
      </c>
      <c r="C2206" s="22"/>
      <c r="D2206" s="22"/>
      <c r="E2206" s="22"/>
      <c r="F2206" s="22"/>
      <c r="G2206" s="22"/>
      <c r="H2206" s="22"/>
      <c r="I2206" s="22"/>
      <c r="J2206" s="22"/>
      <c r="K2206" s="22"/>
      <c r="L2206" s="22"/>
      <c r="M2206" s="22"/>
      <c r="N2206" s="22"/>
    </row>
    <row r="2207" spans="1:14" x14ac:dyDescent="0.3">
      <c r="A2207" s="22" t="s">
        <v>2908</v>
      </c>
      <c r="B2207" s="22">
        <v>0</v>
      </c>
      <c r="C2207" s="22"/>
      <c r="D2207" s="22"/>
      <c r="E2207" s="22"/>
      <c r="F2207" s="22"/>
      <c r="G2207" s="22"/>
      <c r="H2207" s="22"/>
      <c r="I2207" s="22"/>
      <c r="J2207" s="22"/>
      <c r="K2207" s="22"/>
      <c r="L2207" s="22"/>
      <c r="M2207" s="22"/>
      <c r="N2207" s="22"/>
    </row>
    <row r="2208" spans="1:14" x14ac:dyDescent="0.3">
      <c r="A2208" s="22" t="s">
        <v>5556</v>
      </c>
      <c r="B2208" s="22">
        <v>0</v>
      </c>
      <c r="C2208" s="22"/>
      <c r="D2208" s="22"/>
      <c r="E2208" s="22"/>
      <c r="F2208" s="22"/>
      <c r="G2208" s="22"/>
      <c r="H2208" s="22"/>
      <c r="I2208" s="22"/>
      <c r="J2208" s="22"/>
      <c r="K2208" s="22"/>
      <c r="L2208" s="22"/>
      <c r="M2208" s="22"/>
      <c r="N2208" s="22"/>
    </row>
    <row r="2209" spans="1:14" x14ac:dyDescent="0.3">
      <c r="A2209" s="22" t="s">
        <v>5557</v>
      </c>
      <c r="B2209" s="22">
        <v>0</v>
      </c>
      <c r="C2209" s="22"/>
      <c r="D2209" s="22"/>
      <c r="E2209" s="22"/>
      <c r="F2209" s="22"/>
      <c r="G2209" s="22"/>
      <c r="H2209" s="22"/>
      <c r="I2209" s="22"/>
      <c r="J2209" s="22"/>
      <c r="K2209" s="22"/>
      <c r="L2209" s="22"/>
      <c r="M2209" s="22"/>
      <c r="N2209" s="22"/>
    </row>
    <row r="2210" spans="1:14" x14ac:dyDescent="0.3">
      <c r="A2210" s="22" t="s">
        <v>5558</v>
      </c>
      <c r="B2210" s="22">
        <v>0</v>
      </c>
      <c r="C2210" s="22"/>
      <c r="D2210" s="22"/>
      <c r="E2210" s="22"/>
      <c r="F2210" s="22"/>
      <c r="G2210" s="22"/>
      <c r="H2210" s="22"/>
      <c r="I2210" s="22"/>
      <c r="J2210" s="22"/>
      <c r="K2210" s="22"/>
      <c r="L2210" s="22"/>
      <c r="M2210" s="22"/>
      <c r="N2210" s="22"/>
    </row>
    <row r="2211" spans="1:14" x14ac:dyDescent="0.3">
      <c r="A2211" s="22" t="s">
        <v>5559</v>
      </c>
      <c r="B2211" s="22">
        <v>0</v>
      </c>
      <c r="C2211" s="22"/>
      <c r="D2211" s="22"/>
      <c r="E2211" s="22"/>
      <c r="F2211" s="22"/>
      <c r="G2211" s="22"/>
      <c r="H2211" s="22"/>
      <c r="I2211" s="22"/>
      <c r="J2211" s="22"/>
      <c r="K2211" s="22"/>
      <c r="L2211" s="22"/>
      <c r="M2211" s="22"/>
      <c r="N2211" s="22"/>
    </row>
    <row r="2212" spans="1:14" x14ac:dyDescent="0.3">
      <c r="A2212" s="22" t="s">
        <v>5560</v>
      </c>
      <c r="B2212" s="22">
        <v>0</v>
      </c>
      <c r="C2212" s="22"/>
      <c r="D2212" s="22"/>
      <c r="E2212" s="22"/>
      <c r="F2212" s="22"/>
      <c r="G2212" s="22"/>
      <c r="H2212" s="22"/>
      <c r="I2212" s="22"/>
      <c r="J2212" s="22"/>
      <c r="K2212" s="22"/>
      <c r="L2212" s="22"/>
      <c r="M2212" s="22"/>
      <c r="N2212" s="22"/>
    </row>
    <row r="2213" spans="1:14" x14ac:dyDescent="0.3">
      <c r="A2213" s="22" t="s">
        <v>5561</v>
      </c>
      <c r="B2213" s="22">
        <v>0</v>
      </c>
      <c r="C2213" s="22"/>
      <c r="D2213" s="22"/>
      <c r="E2213" s="22"/>
      <c r="F2213" s="22"/>
      <c r="G2213" s="22"/>
      <c r="H2213" s="22"/>
      <c r="I2213" s="22"/>
      <c r="J2213" s="22"/>
      <c r="K2213" s="22"/>
      <c r="L2213" s="22"/>
      <c r="M2213" s="22"/>
      <c r="N2213" s="22"/>
    </row>
    <row r="2214" spans="1:14" x14ac:dyDescent="0.3">
      <c r="A2214" s="22" t="s">
        <v>5562</v>
      </c>
      <c r="B2214" s="22">
        <v>0</v>
      </c>
      <c r="C2214" s="22"/>
      <c r="D2214" s="22"/>
      <c r="E2214" s="22"/>
      <c r="F2214" s="22"/>
      <c r="G2214" s="22"/>
      <c r="H2214" s="22"/>
      <c r="I2214" s="22"/>
      <c r="J2214" s="22"/>
      <c r="K2214" s="22"/>
      <c r="L2214" s="22"/>
      <c r="M2214" s="22"/>
      <c r="N2214" s="22"/>
    </row>
    <row r="2215" spans="1:14" x14ac:dyDescent="0.3">
      <c r="A2215" s="22" t="s">
        <v>2909</v>
      </c>
      <c r="B2215" s="22">
        <v>50</v>
      </c>
      <c r="C2215" s="22"/>
      <c r="D2215" s="22"/>
      <c r="E2215" s="22"/>
      <c r="F2215" s="22"/>
      <c r="G2215" s="22"/>
      <c r="H2215" s="22"/>
      <c r="I2215" s="22"/>
      <c r="J2215" s="22"/>
      <c r="K2215" s="22"/>
      <c r="L2215" s="22"/>
      <c r="M2215" s="22"/>
      <c r="N2215" s="22"/>
    </row>
    <row r="2216" spans="1:14" x14ac:dyDescent="0.3">
      <c r="A2216" s="22" t="s">
        <v>3701</v>
      </c>
      <c r="B2216" s="22">
        <v>0</v>
      </c>
      <c r="C2216" s="22"/>
      <c r="D2216" s="22"/>
      <c r="E2216" s="22"/>
      <c r="F2216" s="22"/>
      <c r="G2216" s="22"/>
      <c r="H2216" s="22"/>
      <c r="I2216" s="22"/>
      <c r="J2216" s="22"/>
      <c r="K2216" s="22"/>
      <c r="L2216" s="22"/>
      <c r="M2216" s="22"/>
      <c r="N2216" s="22"/>
    </row>
    <row r="2217" spans="1:14" x14ac:dyDescent="0.3">
      <c r="A2217" s="22" t="s">
        <v>3702</v>
      </c>
      <c r="B2217" s="22">
        <v>0</v>
      </c>
      <c r="C2217" s="22"/>
      <c r="D2217" s="22"/>
      <c r="E2217" s="22"/>
      <c r="F2217" s="22"/>
      <c r="G2217" s="22"/>
      <c r="H2217" s="22"/>
      <c r="I2217" s="22"/>
      <c r="J2217" s="22"/>
      <c r="K2217" s="22"/>
      <c r="L2217" s="22"/>
      <c r="M2217" s="22"/>
      <c r="N2217" s="22"/>
    </row>
    <row r="2218" spans="1:14" x14ac:dyDescent="0.3">
      <c r="A2218" s="22" t="s">
        <v>3703</v>
      </c>
      <c r="B2218" s="22">
        <v>0</v>
      </c>
      <c r="C2218" s="22"/>
      <c r="D2218" s="22"/>
      <c r="E2218" s="22"/>
      <c r="F2218" s="22"/>
      <c r="G2218" s="22"/>
      <c r="H2218" s="22"/>
      <c r="I2218" s="22"/>
      <c r="J2218" s="22"/>
      <c r="K2218" s="22"/>
      <c r="L2218" s="22"/>
      <c r="M2218" s="22"/>
      <c r="N2218" s="22"/>
    </row>
    <row r="2219" spans="1:14" x14ac:dyDescent="0.3">
      <c r="A2219" s="22" t="s">
        <v>3704</v>
      </c>
      <c r="B2219" s="22">
        <v>0</v>
      </c>
      <c r="C2219" s="22"/>
      <c r="D2219" s="22"/>
      <c r="E2219" s="22"/>
      <c r="F2219" s="22"/>
      <c r="G2219" s="22"/>
      <c r="H2219" s="22"/>
      <c r="I2219" s="22"/>
      <c r="J2219" s="22"/>
      <c r="K2219" s="22"/>
      <c r="L2219" s="22"/>
      <c r="M2219" s="22"/>
      <c r="N2219" s="22"/>
    </row>
    <row r="2220" spans="1:14" x14ac:dyDescent="0.3">
      <c r="A2220" s="22" t="s">
        <v>3705</v>
      </c>
      <c r="B2220" s="22">
        <v>0</v>
      </c>
      <c r="C2220" s="22"/>
      <c r="D2220" s="22"/>
      <c r="E2220" s="22"/>
      <c r="F2220" s="22"/>
      <c r="G2220" s="22"/>
      <c r="H2220" s="22"/>
      <c r="I2220" s="22"/>
      <c r="J2220" s="22"/>
      <c r="K2220" s="22"/>
      <c r="L2220" s="22"/>
      <c r="M2220" s="22"/>
      <c r="N2220" s="22"/>
    </row>
    <row r="2221" spans="1:14" x14ac:dyDescent="0.3">
      <c r="A2221" s="22" t="s">
        <v>3706</v>
      </c>
      <c r="B2221" s="22">
        <v>0</v>
      </c>
      <c r="C2221" s="22"/>
      <c r="D2221" s="22"/>
      <c r="E2221" s="22"/>
      <c r="F2221" s="22"/>
      <c r="G2221" s="22"/>
      <c r="H2221" s="22"/>
      <c r="I2221" s="22"/>
      <c r="J2221" s="22"/>
      <c r="K2221" s="22"/>
      <c r="L2221" s="22"/>
      <c r="M2221" s="22"/>
      <c r="N2221" s="22"/>
    </row>
    <row r="2222" spans="1:14" x14ac:dyDescent="0.3">
      <c r="A2222" s="22" t="s">
        <v>3707</v>
      </c>
      <c r="B2222" s="22">
        <v>0</v>
      </c>
      <c r="C2222" s="22"/>
      <c r="D2222" s="22"/>
      <c r="E2222" s="22"/>
      <c r="F2222" s="22"/>
      <c r="G2222" s="22"/>
      <c r="H2222" s="22"/>
      <c r="I2222" s="22"/>
      <c r="J2222" s="22"/>
      <c r="K2222" s="22"/>
      <c r="L2222" s="22"/>
      <c r="M2222" s="22"/>
      <c r="N2222" s="22"/>
    </row>
    <row r="2223" spans="1:14" x14ac:dyDescent="0.3">
      <c r="A2223" s="22" t="s">
        <v>2910</v>
      </c>
      <c r="B2223" s="22">
        <v>2</v>
      </c>
      <c r="C2223" s="22"/>
      <c r="D2223" s="22"/>
      <c r="E2223" s="22"/>
      <c r="F2223" s="22"/>
      <c r="G2223" s="22"/>
      <c r="H2223" s="22"/>
      <c r="I2223" s="22"/>
      <c r="J2223" s="22"/>
      <c r="K2223" s="22"/>
      <c r="L2223" s="22"/>
      <c r="M2223" s="22"/>
      <c r="N2223" s="22"/>
    </row>
    <row r="2224" spans="1:14" x14ac:dyDescent="0.3">
      <c r="A2224" s="22" t="s">
        <v>3708</v>
      </c>
      <c r="B2224" s="22">
        <v>0</v>
      </c>
      <c r="C2224" s="22"/>
      <c r="D2224" s="22"/>
      <c r="E2224" s="22"/>
      <c r="F2224" s="22"/>
      <c r="G2224" s="22"/>
      <c r="H2224" s="22"/>
      <c r="I2224" s="22"/>
      <c r="J2224" s="22"/>
      <c r="K2224" s="22"/>
      <c r="L2224" s="22"/>
      <c r="M2224" s="22"/>
      <c r="N2224" s="22"/>
    </row>
    <row r="2225" spans="1:14" x14ac:dyDescent="0.3">
      <c r="A2225" s="22" t="s">
        <v>3709</v>
      </c>
      <c r="B2225" s="22">
        <v>0</v>
      </c>
      <c r="C2225" s="22"/>
      <c r="D2225" s="22"/>
      <c r="E2225" s="22"/>
      <c r="F2225" s="22"/>
      <c r="G2225" s="22"/>
      <c r="H2225" s="22"/>
      <c r="I2225" s="22"/>
      <c r="J2225" s="22"/>
      <c r="K2225" s="22"/>
      <c r="L2225" s="22"/>
      <c r="M2225" s="22"/>
      <c r="N2225" s="22"/>
    </row>
    <row r="2226" spans="1:14" x14ac:dyDescent="0.3">
      <c r="A2226" s="22" t="s">
        <v>3710</v>
      </c>
      <c r="B2226" s="22">
        <v>0</v>
      </c>
      <c r="C2226" s="22"/>
      <c r="D2226" s="22"/>
      <c r="E2226" s="22"/>
      <c r="F2226" s="22"/>
      <c r="G2226" s="22"/>
      <c r="H2226" s="22"/>
      <c r="I2226" s="22"/>
      <c r="J2226" s="22"/>
      <c r="K2226" s="22"/>
      <c r="L2226" s="22"/>
      <c r="M2226" s="22"/>
      <c r="N2226" s="22"/>
    </row>
    <row r="2227" spans="1:14" x14ac:dyDescent="0.3">
      <c r="A2227" s="22" t="s">
        <v>3711</v>
      </c>
      <c r="B2227" s="22">
        <v>0</v>
      </c>
      <c r="C2227" s="22"/>
      <c r="D2227" s="22"/>
      <c r="E2227" s="22"/>
      <c r="F2227" s="22"/>
      <c r="G2227" s="22"/>
      <c r="H2227" s="22"/>
      <c r="I2227" s="22"/>
      <c r="J2227" s="22"/>
      <c r="K2227" s="22"/>
      <c r="L2227" s="22"/>
      <c r="M2227" s="22"/>
      <c r="N2227" s="22"/>
    </row>
    <row r="2228" spans="1:14" x14ac:dyDescent="0.3">
      <c r="A2228" s="22" t="s">
        <v>3712</v>
      </c>
      <c r="B2228" s="22">
        <v>0</v>
      </c>
      <c r="C2228" s="22"/>
      <c r="D2228" s="22"/>
      <c r="E2228" s="22"/>
      <c r="F2228" s="22"/>
      <c r="G2228" s="22"/>
      <c r="H2228" s="22"/>
      <c r="I2228" s="22"/>
      <c r="J2228" s="22"/>
      <c r="K2228" s="22"/>
      <c r="L2228" s="22"/>
      <c r="M2228" s="22"/>
      <c r="N2228" s="22"/>
    </row>
    <row r="2229" spans="1:14" x14ac:dyDescent="0.3">
      <c r="A2229" s="22" t="s">
        <v>3713</v>
      </c>
      <c r="B2229" s="22">
        <v>0</v>
      </c>
      <c r="C2229" s="22"/>
      <c r="D2229" s="22"/>
      <c r="E2229" s="22"/>
      <c r="F2229" s="22"/>
      <c r="G2229" s="22"/>
      <c r="H2229" s="22"/>
      <c r="I2229" s="22"/>
      <c r="J2229" s="22"/>
      <c r="K2229" s="22"/>
      <c r="L2229" s="22"/>
      <c r="M2229" s="22"/>
      <c r="N2229" s="22"/>
    </row>
    <row r="2230" spans="1:14" x14ac:dyDescent="0.3">
      <c r="A2230" s="22" t="s">
        <v>3714</v>
      </c>
      <c r="B2230" s="22">
        <v>0</v>
      </c>
      <c r="C2230" s="22"/>
      <c r="D2230" s="22"/>
      <c r="E2230" s="22"/>
      <c r="F2230" s="22"/>
      <c r="G2230" s="22"/>
      <c r="H2230" s="22"/>
      <c r="I2230" s="22"/>
      <c r="J2230" s="22"/>
      <c r="K2230" s="22"/>
      <c r="L2230" s="22"/>
      <c r="M2230" s="22"/>
      <c r="N2230" s="22"/>
    </row>
    <row r="2231" spans="1:14" x14ac:dyDescent="0.3">
      <c r="A2231" s="22" t="s">
        <v>2911</v>
      </c>
      <c r="B2231" s="22">
        <v>205</v>
      </c>
      <c r="C2231" s="22"/>
      <c r="D2231" s="22"/>
      <c r="E2231" s="22"/>
      <c r="F2231" s="22"/>
      <c r="G2231" s="22"/>
      <c r="H2231" s="22"/>
      <c r="I2231" s="22"/>
      <c r="J2231" s="22"/>
      <c r="K2231" s="22"/>
      <c r="L2231" s="22"/>
      <c r="M2231" s="22"/>
      <c r="N2231" s="22"/>
    </row>
    <row r="2232" spans="1:14" x14ac:dyDescent="0.3">
      <c r="A2232" s="22" t="s">
        <v>3715</v>
      </c>
      <c r="B2232" s="22">
        <v>0</v>
      </c>
      <c r="C2232" s="22"/>
      <c r="D2232" s="22"/>
      <c r="E2232" s="22"/>
      <c r="F2232" s="22"/>
      <c r="G2232" s="22"/>
      <c r="H2232" s="22"/>
      <c r="I2232" s="22"/>
      <c r="J2232" s="22"/>
      <c r="K2232" s="22"/>
      <c r="L2232" s="22"/>
      <c r="M2232" s="22"/>
      <c r="N2232" s="22"/>
    </row>
    <row r="2233" spans="1:14" x14ac:dyDescent="0.3">
      <c r="A2233" s="22" t="s">
        <v>3716</v>
      </c>
      <c r="B2233" s="22">
        <v>0</v>
      </c>
      <c r="C2233" s="22"/>
      <c r="D2233" s="22"/>
      <c r="E2233" s="22"/>
      <c r="F2233" s="22"/>
      <c r="G2233" s="22"/>
      <c r="H2233" s="22"/>
      <c r="I2233" s="22"/>
      <c r="J2233" s="22"/>
      <c r="K2233" s="22"/>
      <c r="L2233" s="22"/>
      <c r="M2233" s="22"/>
      <c r="N2233" s="22"/>
    </row>
    <row r="2234" spans="1:14" x14ac:dyDescent="0.3">
      <c r="A2234" s="22" t="s">
        <v>3717</v>
      </c>
      <c r="B2234" s="22">
        <v>0</v>
      </c>
      <c r="C2234" s="22"/>
      <c r="D2234" s="22"/>
      <c r="E2234" s="22"/>
      <c r="F2234" s="22"/>
      <c r="G2234" s="22"/>
      <c r="H2234" s="22"/>
      <c r="I2234" s="22"/>
      <c r="J2234" s="22"/>
      <c r="K2234" s="22"/>
      <c r="L2234" s="22"/>
      <c r="M2234" s="22"/>
      <c r="N2234" s="22"/>
    </row>
    <row r="2235" spans="1:14" x14ac:dyDescent="0.3">
      <c r="A2235" s="22" t="s">
        <v>3718</v>
      </c>
      <c r="B2235" s="22">
        <v>0</v>
      </c>
      <c r="C2235" s="22"/>
      <c r="D2235" s="22"/>
      <c r="E2235" s="22"/>
      <c r="F2235" s="22"/>
      <c r="G2235" s="22"/>
      <c r="H2235" s="22"/>
      <c r="I2235" s="22"/>
      <c r="J2235" s="22"/>
      <c r="K2235" s="22"/>
      <c r="L2235" s="22"/>
      <c r="M2235" s="22"/>
      <c r="N2235" s="22"/>
    </row>
    <row r="2236" spans="1:14" x14ac:dyDescent="0.3">
      <c r="A2236" s="22" t="s">
        <v>3719</v>
      </c>
      <c r="B2236" s="22">
        <v>0</v>
      </c>
      <c r="C2236" s="22"/>
      <c r="D2236" s="22"/>
      <c r="E2236" s="22"/>
      <c r="F2236" s="22"/>
      <c r="G2236" s="22"/>
      <c r="H2236" s="22"/>
      <c r="I2236" s="22"/>
      <c r="J2236" s="22"/>
      <c r="K2236" s="22"/>
      <c r="L2236" s="22"/>
      <c r="M2236" s="22"/>
      <c r="N2236" s="22"/>
    </row>
    <row r="2237" spans="1:14" x14ac:dyDescent="0.3">
      <c r="A2237" s="22" t="s">
        <v>3720</v>
      </c>
      <c r="B2237" s="22">
        <v>0</v>
      </c>
      <c r="C2237" s="22"/>
      <c r="D2237" s="22"/>
      <c r="E2237" s="22"/>
      <c r="F2237" s="22"/>
      <c r="G2237" s="22"/>
      <c r="H2237" s="22"/>
      <c r="I2237" s="22"/>
      <c r="J2237" s="22"/>
      <c r="K2237" s="22"/>
      <c r="L2237" s="22"/>
      <c r="M2237" s="22"/>
      <c r="N2237" s="22"/>
    </row>
    <row r="2238" spans="1:14" x14ac:dyDescent="0.3">
      <c r="A2238" s="22" t="s">
        <v>3721</v>
      </c>
      <c r="B2238" s="22">
        <v>0</v>
      </c>
      <c r="C2238" s="22"/>
      <c r="D2238" s="22"/>
      <c r="E2238" s="22"/>
      <c r="F2238" s="22"/>
      <c r="G2238" s="22"/>
      <c r="H2238" s="22"/>
      <c r="I2238" s="22"/>
      <c r="J2238" s="22"/>
      <c r="K2238" s="22"/>
      <c r="L2238" s="22"/>
      <c r="M2238" s="22"/>
      <c r="N2238" s="22"/>
    </row>
    <row r="2239" spans="1:14" x14ac:dyDescent="0.3">
      <c r="A2239" s="22" t="s">
        <v>2912</v>
      </c>
      <c r="B2239" s="22">
        <v>29</v>
      </c>
      <c r="C2239" s="22"/>
      <c r="D2239" s="22"/>
      <c r="E2239" s="22"/>
      <c r="F2239" s="22"/>
      <c r="G2239" s="22"/>
      <c r="H2239" s="22"/>
      <c r="I2239" s="22"/>
      <c r="J2239" s="22"/>
      <c r="K2239" s="22"/>
      <c r="L2239" s="22"/>
      <c r="M2239" s="22"/>
      <c r="N2239" s="22"/>
    </row>
    <row r="2240" spans="1:14" x14ac:dyDescent="0.3">
      <c r="A2240" s="22" t="s">
        <v>3722</v>
      </c>
      <c r="B2240" s="22">
        <v>0</v>
      </c>
      <c r="C2240" s="22"/>
      <c r="D2240" s="22"/>
      <c r="E2240" s="22"/>
      <c r="F2240" s="22"/>
      <c r="G2240" s="22"/>
      <c r="H2240" s="22"/>
      <c r="I2240" s="22"/>
      <c r="J2240" s="22"/>
      <c r="K2240" s="22"/>
      <c r="L2240" s="22"/>
      <c r="M2240" s="22"/>
      <c r="N2240" s="22"/>
    </row>
    <row r="2241" spans="1:14" x14ac:dyDescent="0.3">
      <c r="A2241" s="22" t="s">
        <v>3723</v>
      </c>
      <c r="B2241" s="22">
        <v>0</v>
      </c>
      <c r="C2241" s="22"/>
      <c r="D2241" s="22"/>
      <c r="E2241" s="22"/>
      <c r="F2241" s="22"/>
      <c r="G2241" s="22"/>
      <c r="H2241" s="22"/>
      <c r="I2241" s="22"/>
      <c r="J2241" s="22"/>
      <c r="K2241" s="22"/>
      <c r="L2241" s="22"/>
      <c r="M2241" s="22"/>
      <c r="N2241" s="22"/>
    </row>
    <row r="2242" spans="1:14" x14ac:dyDescent="0.3">
      <c r="A2242" s="22" t="s">
        <v>3724</v>
      </c>
      <c r="B2242" s="22">
        <v>0</v>
      </c>
      <c r="C2242" s="22"/>
      <c r="D2242" s="22"/>
      <c r="E2242" s="22"/>
      <c r="F2242" s="22"/>
      <c r="G2242" s="22"/>
      <c r="H2242" s="22"/>
      <c r="I2242" s="22"/>
      <c r="J2242" s="22"/>
      <c r="K2242" s="22"/>
      <c r="L2242" s="22"/>
      <c r="M2242" s="22"/>
      <c r="N2242" s="22"/>
    </row>
    <row r="2243" spans="1:14" x14ac:dyDescent="0.3">
      <c r="A2243" s="22" t="s">
        <v>3725</v>
      </c>
      <c r="B2243" s="22">
        <v>0</v>
      </c>
      <c r="C2243" s="22"/>
      <c r="D2243" s="22"/>
      <c r="E2243" s="22"/>
      <c r="F2243" s="22"/>
      <c r="G2243" s="22"/>
      <c r="H2243" s="22"/>
      <c r="I2243" s="22"/>
      <c r="J2243" s="22"/>
      <c r="K2243" s="22"/>
      <c r="L2243" s="22"/>
      <c r="M2243" s="22"/>
      <c r="N2243" s="22"/>
    </row>
    <row r="2244" spans="1:14" x14ac:dyDescent="0.3">
      <c r="A2244" s="22" t="s">
        <v>3726</v>
      </c>
      <c r="B2244" s="22">
        <v>0</v>
      </c>
      <c r="C2244" s="22"/>
      <c r="D2244" s="22"/>
      <c r="E2244" s="22"/>
      <c r="F2244" s="22"/>
      <c r="G2244" s="22"/>
      <c r="H2244" s="22"/>
      <c r="I2244" s="22"/>
      <c r="J2244" s="22"/>
      <c r="K2244" s="22"/>
      <c r="L2244" s="22"/>
      <c r="M2244" s="22"/>
      <c r="N2244" s="22"/>
    </row>
    <row r="2245" spans="1:14" x14ac:dyDescent="0.3">
      <c r="A2245" s="22" t="s">
        <v>3727</v>
      </c>
      <c r="B2245" s="22">
        <v>0</v>
      </c>
      <c r="C2245" s="22"/>
      <c r="D2245" s="22"/>
      <c r="E2245" s="22"/>
      <c r="F2245" s="22"/>
      <c r="G2245" s="22"/>
      <c r="H2245" s="22"/>
      <c r="I2245" s="22"/>
      <c r="J2245" s="22"/>
      <c r="K2245" s="22"/>
      <c r="L2245" s="22"/>
      <c r="M2245" s="22"/>
      <c r="N2245" s="22"/>
    </row>
    <row r="2246" spans="1:14" x14ac:dyDescent="0.3">
      <c r="A2246" s="22" t="s">
        <v>3728</v>
      </c>
      <c r="B2246" s="22">
        <v>0</v>
      </c>
      <c r="C2246" s="22"/>
      <c r="D2246" s="22"/>
      <c r="E2246" s="22"/>
      <c r="F2246" s="22"/>
      <c r="G2246" s="22"/>
      <c r="H2246" s="22"/>
      <c r="I2246" s="22"/>
      <c r="J2246" s="22"/>
      <c r="K2246" s="22"/>
      <c r="L2246" s="22"/>
      <c r="M2246" s="22"/>
      <c r="N2246" s="22"/>
    </row>
    <row r="2247" spans="1:14" x14ac:dyDescent="0.3">
      <c r="A2247" s="22" t="s">
        <v>2913</v>
      </c>
      <c r="B2247" s="22">
        <v>4</v>
      </c>
      <c r="C2247" s="22"/>
      <c r="D2247" s="22"/>
      <c r="E2247" s="22"/>
      <c r="F2247" s="22"/>
      <c r="G2247" s="22"/>
      <c r="H2247" s="22"/>
      <c r="I2247" s="22"/>
      <c r="J2247" s="22"/>
      <c r="K2247" s="22"/>
      <c r="L2247" s="22"/>
      <c r="M2247" s="22"/>
      <c r="N2247" s="22"/>
    </row>
    <row r="2248" spans="1:14" x14ac:dyDescent="0.3">
      <c r="A2248" s="22" t="s">
        <v>3729</v>
      </c>
      <c r="B2248" s="22">
        <v>0</v>
      </c>
      <c r="C2248" s="22"/>
      <c r="D2248" s="22"/>
      <c r="E2248" s="22"/>
      <c r="F2248" s="22"/>
      <c r="G2248" s="22"/>
      <c r="H2248" s="22"/>
      <c r="I2248" s="22"/>
      <c r="J2248" s="22"/>
      <c r="K2248" s="22"/>
      <c r="L2248" s="22"/>
      <c r="M2248" s="22"/>
      <c r="N2248" s="22"/>
    </row>
    <row r="2249" spans="1:14" x14ac:dyDescent="0.3">
      <c r="A2249" s="22" t="s">
        <v>3730</v>
      </c>
      <c r="B2249" s="22">
        <v>0</v>
      </c>
      <c r="C2249" s="22"/>
      <c r="D2249" s="22"/>
      <c r="E2249" s="22"/>
      <c r="F2249" s="22"/>
      <c r="G2249" s="22"/>
      <c r="H2249" s="22"/>
      <c r="I2249" s="22"/>
      <c r="J2249" s="22"/>
      <c r="K2249" s="22"/>
      <c r="L2249" s="22"/>
      <c r="M2249" s="22"/>
      <c r="N2249" s="22"/>
    </row>
    <row r="2250" spans="1:14" x14ac:dyDescent="0.3">
      <c r="A2250" s="22" t="s">
        <v>3731</v>
      </c>
      <c r="B2250" s="22">
        <v>0</v>
      </c>
      <c r="C2250" s="22"/>
      <c r="D2250" s="22"/>
      <c r="E2250" s="22"/>
      <c r="F2250" s="22"/>
      <c r="G2250" s="22"/>
      <c r="H2250" s="22"/>
      <c r="I2250" s="22"/>
      <c r="J2250" s="22"/>
      <c r="K2250" s="22"/>
      <c r="L2250" s="22"/>
      <c r="M2250" s="22"/>
      <c r="N2250" s="22"/>
    </row>
    <row r="2251" spans="1:14" x14ac:dyDescent="0.3">
      <c r="A2251" s="22" t="s">
        <v>3732</v>
      </c>
      <c r="B2251" s="22">
        <v>0</v>
      </c>
      <c r="C2251" s="22"/>
      <c r="D2251" s="22"/>
      <c r="E2251" s="22"/>
      <c r="F2251" s="22"/>
      <c r="G2251" s="22"/>
      <c r="H2251" s="22"/>
      <c r="I2251" s="22"/>
      <c r="J2251" s="22"/>
      <c r="K2251" s="22"/>
      <c r="L2251" s="22"/>
      <c r="M2251" s="22"/>
      <c r="N2251" s="22"/>
    </row>
    <row r="2252" spans="1:14" x14ac:dyDescent="0.3">
      <c r="A2252" s="22" t="s">
        <v>3733</v>
      </c>
      <c r="B2252" s="22">
        <v>0</v>
      </c>
      <c r="C2252" s="22"/>
      <c r="D2252" s="22"/>
      <c r="E2252" s="22"/>
      <c r="F2252" s="22"/>
      <c r="G2252" s="22"/>
      <c r="H2252" s="22"/>
      <c r="I2252" s="22"/>
      <c r="J2252" s="22"/>
      <c r="K2252" s="22"/>
      <c r="L2252" s="22"/>
      <c r="M2252" s="22"/>
      <c r="N2252" s="22"/>
    </row>
    <row r="2253" spans="1:14" x14ac:dyDescent="0.3">
      <c r="A2253" s="22" t="s">
        <v>3734</v>
      </c>
      <c r="B2253" s="22">
        <v>0</v>
      </c>
      <c r="C2253" s="22"/>
      <c r="D2253" s="22"/>
      <c r="E2253" s="22"/>
      <c r="F2253" s="22"/>
      <c r="G2253" s="22"/>
      <c r="H2253" s="22"/>
      <c r="I2253" s="22"/>
      <c r="J2253" s="22"/>
      <c r="K2253" s="22"/>
      <c r="L2253" s="22"/>
      <c r="M2253" s="22"/>
      <c r="N2253" s="22"/>
    </row>
    <row r="2254" spans="1:14" x14ac:dyDescent="0.3">
      <c r="A2254" s="22" t="s">
        <v>3735</v>
      </c>
      <c r="B2254" s="22">
        <v>0</v>
      </c>
      <c r="C2254" s="22"/>
      <c r="D2254" s="22"/>
      <c r="E2254" s="22"/>
      <c r="F2254" s="22"/>
      <c r="G2254" s="22"/>
      <c r="H2254" s="22"/>
      <c r="I2254" s="22"/>
      <c r="J2254" s="22"/>
      <c r="K2254" s="22"/>
      <c r="L2254" s="22"/>
      <c r="M2254" s="22"/>
      <c r="N2254" s="22"/>
    </row>
    <row r="2255" spans="1:14" x14ac:dyDescent="0.3">
      <c r="A2255" s="22" t="s">
        <v>2914</v>
      </c>
      <c r="B2255" s="22">
        <v>3</v>
      </c>
      <c r="C2255" s="22"/>
      <c r="D2255" s="22"/>
      <c r="E2255" s="22"/>
      <c r="F2255" s="22"/>
      <c r="G2255" s="22"/>
      <c r="H2255" s="22"/>
      <c r="I2255" s="22"/>
      <c r="J2255" s="22"/>
      <c r="K2255" s="22"/>
      <c r="L2255" s="22"/>
      <c r="M2255" s="22"/>
      <c r="N2255" s="22"/>
    </row>
    <row r="2256" spans="1:14" x14ac:dyDescent="0.3">
      <c r="A2256" s="22" t="s">
        <v>3736</v>
      </c>
      <c r="B2256" s="22">
        <v>0</v>
      </c>
      <c r="C2256" s="22"/>
      <c r="D2256" s="22"/>
      <c r="E2256" s="22"/>
      <c r="F2256" s="22"/>
      <c r="G2256" s="22"/>
      <c r="H2256" s="22"/>
      <c r="I2256" s="22"/>
      <c r="J2256" s="22"/>
      <c r="K2256" s="22"/>
      <c r="L2256" s="22"/>
      <c r="M2256" s="22"/>
      <c r="N2256" s="22"/>
    </row>
    <row r="2257" spans="1:14" x14ac:dyDescent="0.3">
      <c r="A2257" s="22" t="s">
        <v>3737</v>
      </c>
      <c r="B2257" s="22">
        <v>0</v>
      </c>
      <c r="C2257" s="22"/>
      <c r="D2257" s="22"/>
      <c r="E2257" s="22"/>
      <c r="F2257" s="22"/>
      <c r="G2257" s="22"/>
      <c r="H2257" s="22"/>
      <c r="I2257" s="22"/>
      <c r="J2257" s="22"/>
      <c r="K2257" s="22"/>
      <c r="L2257" s="22"/>
      <c r="M2257" s="22"/>
      <c r="N2257" s="22"/>
    </row>
    <row r="2258" spans="1:14" x14ac:dyDescent="0.3">
      <c r="A2258" s="22" t="s">
        <v>3738</v>
      </c>
      <c r="B2258" s="22">
        <v>0</v>
      </c>
      <c r="C2258" s="22"/>
      <c r="D2258" s="22"/>
      <c r="E2258" s="22"/>
      <c r="F2258" s="22"/>
      <c r="G2258" s="22"/>
      <c r="H2258" s="22"/>
      <c r="I2258" s="22"/>
      <c r="J2258" s="22"/>
      <c r="K2258" s="22"/>
      <c r="L2258" s="22"/>
      <c r="M2258" s="22"/>
      <c r="N2258" s="22"/>
    </row>
    <row r="2259" spans="1:14" x14ac:dyDescent="0.3">
      <c r="A2259" s="22" t="s">
        <v>3739</v>
      </c>
      <c r="B2259" s="22">
        <v>0</v>
      </c>
      <c r="C2259" s="22"/>
      <c r="D2259" s="22"/>
      <c r="E2259" s="22"/>
      <c r="F2259" s="22"/>
      <c r="G2259" s="22"/>
      <c r="H2259" s="22"/>
      <c r="I2259" s="22"/>
      <c r="J2259" s="22"/>
      <c r="K2259" s="22"/>
      <c r="L2259" s="22"/>
      <c r="M2259" s="22"/>
      <c r="N2259" s="22"/>
    </row>
    <row r="2260" spans="1:14" x14ac:dyDescent="0.3">
      <c r="A2260" s="22" t="s">
        <v>3740</v>
      </c>
      <c r="B2260" s="22">
        <v>0</v>
      </c>
      <c r="C2260" s="22"/>
      <c r="D2260" s="22"/>
      <c r="E2260" s="22"/>
      <c r="F2260" s="22"/>
      <c r="G2260" s="22"/>
      <c r="H2260" s="22"/>
      <c r="I2260" s="22"/>
      <c r="J2260" s="22"/>
      <c r="K2260" s="22"/>
      <c r="L2260" s="22"/>
      <c r="M2260" s="22"/>
      <c r="N2260" s="22"/>
    </row>
    <row r="2261" spans="1:14" x14ac:dyDescent="0.3">
      <c r="A2261" s="22" t="s">
        <v>3741</v>
      </c>
      <c r="B2261" s="22">
        <v>0</v>
      </c>
      <c r="C2261" s="22"/>
      <c r="D2261" s="22"/>
      <c r="E2261" s="22"/>
      <c r="F2261" s="22"/>
      <c r="G2261" s="22"/>
      <c r="H2261" s="22"/>
      <c r="I2261" s="22"/>
      <c r="J2261" s="22"/>
      <c r="K2261" s="22"/>
      <c r="L2261" s="22"/>
      <c r="M2261" s="22"/>
      <c r="N2261" s="22"/>
    </row>
    <row r="2262" spans="1:14" x14ac:dyDescent="0.3">
      <c r="A2262" s="22" t="s">
        <v>3742</v>
      </c>
      <c r="B2262" s="22">
        <v>0</v>
      </c>
      <c r="C2262" s="22"/>
      <c r="D2262" s="22"/>
      <c r="E2262" s="22"/>
      <c r="F2262" s="22"/>
      <c r="G2262" s="22"/>
      <c r="H2262" s="22"/>
      <c r="I2262" s="22"/>
      <c r="J2262" s="22"/>
      <c r="K2262" s="22"/>
      <c r="L2262" s="22"/>
      <c r="M2262" s="22"/>
      <c r="N2262" s="22"/>
    </row>
    <row r="2263" spans="1:14" x14ac:dyDescent="0.3">
      <c r="A2263" s="22" t="s">
        <v>2915</v>
      </c>
      <c r="B2263" s="22">
        <v>116</v>
      </c>
      <c r="C2263" s="22"/>
      <c r="D2263" s="22"/>
      <c r="E2263" s="22"/>
      <c r="F2263" s="22"/>
      <c r="G2263" s="22"/>
      <c r="H2263" s="22"/>
      <c r="I2263" s="22"/>
      <c r="J2263" s="22"/>
      <c r="K2263" s="22"/>
      <c r="L2263" s="22"/>
      <c r="M2263" s="22"/>
      <c r="N2263" s="22"/>
    </row>
    <row r="2264" spans="1:14" x14ac:dyDescent="0.3">
      <c r="A2264" s="22" t="s">
        <v>3743</v>
      </c>
      <c r="B2264" s="22">
        <v>0</v>
      </c>
      <c r="C2264" s="22"/>
      <c r="D2264" s="22"/>
      <c r="E2264" s="22"/>
      <c r="F2264" s="22"/>
      <c r="G2264" s="22"/>
      <c r="H2264" s="22"/>
      <c r="I2264" s="22"/>
      <c r="J2264" s="22"/>
      <c r="K2264" s="22"/>
      <c r="L2264" s="22"/>
      <c r="M2264" s="22"/>
      <c r="N2264" s="22"/>
    </row>
    <row r="2265" spans="1:14" x14ac:dyDescent="0.3">
      <c r="A2265" s="22" t="s">
        <v>3744</v>
      </c>
      <c r="B2265" s="22">
        <v>0</v>
      </c>
      <c r="C2265" s="22"/>
      <c r="D2265" s="22"/>
      <c r="E2265" s="22"/>
      <c r="F2265" s="22"/>
      <c r="G2265" s="22"/>
      <c r="H2265" s="22"/>
      <c r="I2265" s="22"/>
      <c r="J2265" s="22"/>
      <c r="K2265" s="22"/>
      <c r="L2265" s="22"/>
      <c r="M2265" s="22"/>
      <c r="N2265" s="22"/>
    </row>
    <row r="2266" spans="1:14" x14ac:dyDescent="0.3">
      <c r="A2266" s="22" t="s">
        <v>3745</v>
      </c>
      <c r="B2266" s="22">
        <v>0</v>
      </c>
      <c r="C2266" s="22"/>
      <c r="D2266" s="22"/>
      <c r="E2266" s="22"/>
      <c r="F2266" s="22"/>
      <c r="G2266" s="22"/>
      <c r="H2266" s="22"/>
      <c r="I2266" s="22"/>
      <c r="J2266" s="22"/>
      <c r="K2266" s="22"/>
      <c r="L2266" s="22"/>
      <c r="M2266" s="22"/>
      <c r="N2266" s="22"/>
    </row>
    <row r="2267" spans="1:14" x14ac:dyDescent="0.3">
      <c r="A2267" s="22" t="s">
        <v>3746</v>
      </c>
      <c r="B2267" s="22">
        <v>0</v>
      </c>
      <c r="C2267" s="22"/>
      <c r="D2267" s="22"/>
      <c r="E2267" s="22"/>
      <c r="F2267" s="22"/>
      <c r="G2267" s="22"/>
      <c r="H2267" s="22"/>
      <c r="I2267" s="22"/>
      <c r="J2267" s="22"/>
      <c r="K2267" s="22"/>
      <c r="L2267" s="22"/>
      <c r="M2267" s="22"/>
      <c r="N2267" s="22"/>
    </row>
    <row r="2268" spans="1:14" x14ac:dyDescent="0.3">
      <c r="A2268" s="22" t="s">
        <v>3747</v>
      </c>
      <c r="B2268" s="22">
        <v>0</v>
      </c>
      <c r="C2268" s="22"/>
      <c r="D2268" s="22"/>
      <c r="E2268" s="22"/>
      <c r="F2268" s="22"/>
      <c r="G2268" s="22"/>
      <c r="H2268" s="22"/>
      <c r="I2268" s="22"/>
      <c r="J2268" s="22"/>
      <c r="K2268" s="22"/>
      <c r="L2268" s="22"/>
      <c r="M2268" s="22"/>
      <c r="N2268" s="22"/>
    </row>
    <row r="2269" spans="1:14" x14ac:dyDescent="0.3">
      <c r="A2269" s="22" t="s">
        <v>3748</v>
      </c>
      <c r="B2269" s="22">
        <v>0</v>
      </c>
      <c r="C2269" s="22"/>
      <c r="D2269" s="22"/>
      <c r="E2269" s="22"/>
      <c r="F2269" s="22"/>
      <c r="G2269" s="22"/>
      <c r="H2269" s="22"/>
      <c r="I2269" s="22"/>
      <c r="J2269" s="22"/>
      <c r="K2269" s="22"/>
      <c r="L2269" s="22"/>
      <c r="M2269" s="22"/>
      <c r="N2269" s="22"/>
    </row>
    <row r="2270" spans="1:14" x14ac:dyDescent="0.3">
      <c r="A2270" s="22" t="s">
        <v>3749</v>
      </c>
      <c r="B2270" s="22">
        <v>0</v>
      </c>
      <c r="C2270" s="22"/>
      <c r="D2270" s="22"/>
      <c r="E2270" s="22"/>
      <c r="F2270" s="22"/>
      <c r="G2270" s="22"/>
      <c r="H2270" s="22"/>
      <c r="I2270" s="22"/>
      <c r="J2270" s="22"/>
      <c r="K2270" s="22"/>
      <c r="L2270" s="22"/>
      <c r="M2270" s="22"/>
      <c r="N2270" s="22"/>
    </row>
    <row r="2271" spans="1:14" x14ac:dyDescent="0.3">
      <c r="A2271" s="22" t="s">
        <v>2916</v>
      </c>
      <c r="B2271" s="22">
        <v>0</v>
      </c>
      <c r="C2271" s="22"/>
      <c r="D2271" s="22"/>
      <c r="E2271" s="22"/>
      <c r="F2271" s="22"/>
      <c r="G2271" s="22"/>
      <c r="H2271" s="22"/>
      <c r="I2271" s="22"/>
      <c r="J2271" s="22"/>
      <c r="K2271" s="22"/>
      <c r="L2271" s="22"/>
      <c r="M2271" s="22"/>
      <c r="N2271" s="22"/>
    </row>
    <row r="2272" spans="1:14" x14ac:dyDescent="0.3">
      <c r="A2272" s="22" t="s">
        <v>5639</v>
      </c>
      <c r="B2272" s="22">
        <v>0</v>
      </c>
      <c r="C2272" s="22"/>
      <c r="D2272" s="22"/>
      <c r="E2272" s="22"/>
      <c r="F2272" s="22"/>
      <c r="G2272" s="22"/>
      <c r="H2272" s="22"/>
      <c r="I2272" s="22"/>
      <c r="J2272" s="22"/>
      <c r="K2272" s="22"/>
      <c r="L2272" s="22"/>
      <c r="M2272" s="22"/>
      <c r="N2272" s="22"/>
    </row>
    <row r="2273" spans="1:14" x14ac:dyDescent="0.3">
      <c r="A2273" s="22" t="s">
        <v>5640</v>
      </c>
      <c r="B2273" s="22">
        <v>0</v>
      </c>
      <c r="C2273" s="22"/>
      <c r="D2273" s="22"/>
      <c r="E2273" s="22"/>
      <c r="F2273" s="22"/>
      <c r="G2273" s="22"/>
      <c r="H2273" s="22"/>
      <c r="I2273" s="22"/>
      <c r="J2273" s="22"/>
      <c r="K2273" s="22"/>
      <c r="L2273" s="22"/>
      <c r="M2273" s="22"/>
      <c r="N2273" s="22"/>
    </row>
    <row r="2274" spans="1:14" x14ac:dyDescent="0.3">
      <c r="A2274" s="22" t="s">
        <v>5641</v>
      </c>
      <c r="B2274" s="22">
        <v>0</v>
      </c>
      <c r="C2274" s="22"/>
      <c r="D2274" s="22"/>
      <c r="E2274" s="22"/>
      <c r="F2274" s="22"/>
      <c r="G2274" s="22"/>
      <c r="H2274" s="22"/>
      <c r="I2274" s="22"/>
      <c r="J2274" s="22"/>
      <c r="K2274" s="22"/>
      <c r="L2274" s="22"/>
      <c r="M2274" s="22"/>
      <c r="N2274" s="22"/>
    </row>
    <row r="2275" spans="1:14" x14ac:dyDescent="0.3">
      <c r="A2275" s="22" t="s">
        <v>5642</v>
      </c>
      <c r="B2275" s="22">
        <v>0</v>
      </c>
      <c r="C2275" s="22"/>
      <c r="D2275" s="22"/>
      <c r="E2275" s="22"/>
      <c r="F2275" s="22"/>
      <c r="G2275" s="22"/>
      <c r="H2275" s="22"/>
      <c r="I2275" s="22"/>
      <c r="J2275" s="22"/>
      <c r="K2275" s="22"/>
      <c r="L2275" s="22"/>
      <c r="M2275" s="22"/>
      <c r="N2275" s="22"/>
    </row>
    <row r="2276" spans="1:14" x14ac:dyDescent="0.3">
      <c r="A2276" s="22" t="s">
        <v>5643</v>
      </c>
      <c r="B2276" s="22">
        <v>0</v>
      </c>
      <c r="C2276" s="22"/>
      <c r="D2276" s="22"/>
      <c r="E2276" s="22"/>
      <c r="F2276" s="22"/>
      <c r="G2276" s="22"/>
      <c r="H2276" s="22"/>
      <c r="I2276" s="22"/>
      <c r="J2276" s="22"/>
      <c r="K2276" s="22"/>
      <c r="L2276" s="22"/>
      <c r="M2276" s="22"/>
      <c r="N2276" s="22"/>
    </row>
    <row r="2277" spans="1:14" x14ac:dyDescent="0.3">
      <c r="A2277" s="22" t="s">
        <v>5644</v>
      </c>
      <c r="B2277" s="22">
        <v>0</v>
      </c>
      <c r="C2277" s="22"/>
      <c r="D2277" s="22"/>
      <c r="E2277" s="22"/>
      <c r="F2277" s="22"/>
      <c r="G2277" s="22"/>
      <c r="H2277" s="22"/>
      <c r="I2277" s="22"/>
      <c r="J2277" s="22"/>
      <c r="K2277" s="22"/>
      <c r="L2277" s="22"/>
      <c r="M2277" s="22"/>
      <c r="N2277" s="22"/>
    </row>
    <row r="2278" spans="1:14" x14ac:dyDescent="0.3">
      <c r="A2278" s="22" t="s">
        <v>5645</v>
      </c>
      <c r="B2278" s="22">
        <v>0</v>
      </c>
      <c r="C2278" s="22"/>
      <c r="D2278" s="22"/>
      <c r="E2278" s="22"/>
      <c r="F2278" s="22"/>
      <c r="G2278" s="22"/>
      <c r="H2278" s="22"/>
      <c r="I2278" s="22"/>
      <c r="J2278" s="22"/>
      <c r="K2278" s="22"/>
      <c r="L2278" s="22"/>
      <c r="M2278" s="22"/>
      <c r="N2278" s="22"/>
    </row>
    <row r="2279" spans="1:14" x14ac:dyDescent="0.3">
      <c r="A2279" s="22" t="s">
        <v>2917</v>
      </c>
      <c r="B2279" s="22">
        <v>0</v>
      </c>
      <c r="C2279" s="22"/>
      <c r="D2279" s="22"/>
      <c r="E2279" s="22"/>
      <c r="F2279" s="22"/>
      <c r="G2279" s="22"/>
      <c r="H2279" s="22"/>
      <c r="I2279" s="22"/>
      <c r="J2279" s="22"/>
      <c r="K2279" s="22"/>
      <c r="L2279" s="22"/>
      <c r="M2279" s="22"/>
      <c r="N2279" s="22"/>
    </row>
    <row r="2280" spans="1:14" x14ac:dyDescent="0.3">
      <c r="A2280" s="22" t="s">
        <v>3750</v>
      </c>
      <c r="B2280" s="22">
        <v>0</v>
      </c>
      <c r="C2280" s="22"/>
      <c r="D2280" s="22"/>
      <c r="E2280" s="22"/>
      <c r="F2280" s="22"/>
      <c r="G2280" s="22"/>
      <c r="H2280" s="22"/>
      <c r="I2280" s="22"/>
      <c r="J2280" s="22"/>
      <c r="K2280" s="22"/>
      <c r="L2280" s="22"/>
      <c r="M2280" s="22"/>
      <c r="N2280" s="22"/>
    </row>
    <row r="2281" spans="1:14" x14ac:dyDescent="0.3">
      <c r="A2281" s="22" t="s">
        <v>3751</v>
      </c>
      <c r="B2281" s="22">
        <v>0</v>
      </c>
      <c r="C2281" s="22"/>
      <c r="D2281" s="22"/>
      <c r="E2281" s="22"/>
      <c r="F2281" s="22"/>
      <c r="G2281" s="22"/>
      <c r="H2281" s="22"/>
      <c r="I2281" s="22"/>
      <c r="J2281" s="22"/>
      <c r="K2281" s="22"/>
      <c r="L2281" s="22"/>
      <c r="M2281" s="22"/>
      <c r="N2281" s="22"/>
    </row>
    <row r="2282" spans="1:14" x14ac:dyDescent="0.3">
      <c r="A2282" s="22" t="s">
        <v>3752</v>
      </c>
      <c r="B2282" s="22">
        <v>0</v>
      </c>
      <c r="C2282" s="22"/>
      <c r="D2282" s="22"/>
      <c r="E2282" s="22"/>
      <c r="F2282" s="22"/>
      <c r="G2282" s="22"/>
      <c r="H2282" s="22"/>
      <c r="I2282" s="22"/>
      <c r="J2282" s="22"/>
      <c r="K2282" s="22"/>
      <c r="L2282" s="22"/>
      <c r="M2282" s="22"/>
      <c r="N2282" s="22"/>
    </row>
    <row r="2283" spans="1:14" x14ac:dyDescent="0.3">
      <c r="A2283" s="22" t="s">
        <v>3753</v>
      </c>
      <c r="B2283" s="22">
        <v>0</v>
      </c>
      <c r="C2283" s="22"/>
      <c r="D2283" s="22"/>
      <c r="E2283" s="22"/>
      <c r="F2283" s="22"/>
      <c r="G2283" s="22"/>
      <c r="H2283" s="22"/>
      <c r="I2283" s="22"/>
      <c r="J2283" s="22"/>
      <c r="K2283" s="22"/>
      <c r="L2283" s="22"/>
      <c r="M2283" s="22"/>
      <c r="N2283" s="22"/>
    </row>
    <row r="2284" spans="1:14" x14ac:dyDescent="0.3">
      <c r="A2284" s="22" t="s">
        <v>3754</v>
      </c>
      <c r="B2284" s="22">
        <v>0</v>
      </c>
      <c r="C2284" s="22"/>
      <c r="D2284" s="22"/>
      <c r="E2284" s="22"/>
      <c r="F2284" s="22"/>
      <c r="G2284" s="22"/>
      <c r="H2284" s="22"/>
      <c r="I2284" s="22"/>
      <c r="J2284" s="22"/>
      <c r="K2284" s="22"/>
      <c r="L2284" s="22"/>
      <c r="M2284" s="22"/>
      <c r="N2284" s="22"/>
    </row>
    <row r="2285" spans="1:14" x14ac:dyDescent="0.3">
      <c r="A2285" s="22" t="s">
        <v>3755</v>
      </c>
      <c r="B2285" s="22">
        <v>0</v>
      </c>
      <c r="C2285" s="22"/>
      <c r="D2285" s="22"/>
      <c r="E2285" s="22"/>
      <c r="F2285" s="22"/>
      <c r="G2285" s="22"/>
      <c r="H2285" s="22"/>
      <c r="I2285" s="22"/>
      <c r="J2285" s="22"/>
      <c r="K2285" s="22"/>
      <c r="L2285" s="22"/>
      <c r="M2285" s="22"/>
      <c r="N2285" s="22"/>
    </row>
    <row r="2286" spans="1:14" x14ac:dyDescent="0.3">
      <c r="A2286" s="22" t="s">
        <v>3756</v>
      </c>
      <c r="B2286" s="22">
        <v>0</v>
      </c>
      <c r="C2286" s="22"/>
      <c r="D2286" s="22"/>
      <c r="E2286" s="22"/>
      <c r="F2286" s="22"/>
      <c r="G2286" s="22"/>
      <c r="H2286" s="22"/>
      <c r="I2286" s="22"/>
      <c r="J2286" s="22"/>
      <c r="K2286" s="22"/>
      <c r="L2286" s="22"/>
      <c r="M2286" s="22"/>
      <c r="N2286" s="22"/>
    </row>
    <row r="2287" spans="1:14" x14ac:dyDescent="0.3">
      <c r="A2287" s="22" t="s">
        <v>2918</v>
      </c>
      <c r="B2287" s="22">
        <v>1</v>
      </c>
      <c r="C2287" s="22"/>
      <c r="D2287" s="22"/>
      <c r="E2287" s="22"/>
      <c r="F2287" s="22"/>
      <c r="G2287" s="22"/>
      <c r="H2287" s="22"/>
      <c r="I2287" s="22"/>
      <c r="J2287" s="22"/>
      <c r="K2287" s="22"/>
      <c r="L2287" s="22"/>
      <c r="M2287" s="22"/>
      <c r="N2287" s="22"/>
    </row>
    <row r="2288" spans="1:14" x14ac:dyDescent="0.3">
      <c r="A2288" s="22" t="s">
        <v>3757</v>
      </c>
      <c r="B2288" s="22">
        <v>0</v>
      </c>
      <c r="C2288" s="22"/>
      <c r="D2288" s="22"/>
      <c r="E2288" s="22"/>
      <c r="F2288" s="22"/>
      <c r="G2288" s="22"/>
      <c r="H2288" s="22"/>
      <c r="I2288" s="22"/>
      <c r="J2288" s="22"/>
      <c r="K2288" s="22"/>
      <c r="L2288" s="22"/>
      <c r="M2288" s="22"/>
      <c r="N2288" s="22"/>
    </row>
    <row r="2289" spans="1:14" x14ac:dyDescent="0.3">
      <c r="A2289" s="22" t="s">
        <v>3758</v>
      </c>
      <c r="B2289" s="22">
        <v>0</v>
      </c>
      <c r="C2289" s="22"/>
      <c r="D2289" s="22"/>
      <c r="E2289" s="22"/>
      <c r="F2289" s="22"/>
      <c r="G2289" s="22"/>
      <c r="H2289" s="22"/>
      <c r="I2289" s="22"/>
      <c r="J2289" s="22"/>
      <c r="K2289" s="22"/>
      <c r="L2289" s="22"/>
      <c r="M2289" s="22"/>
      <c r="N2289" s="22"/>
    </row>
    <row r="2290" spans="1:14" x14ac:dyDescent="0.3">
      <c r="A2290" s="22" t="s">
        <v>3759</v>
      </c>
      <c r="B2290" s="22">
        <v>0</v>
      </c>
      <c r="C2290" s="22"/>
      <c r="D2290" s="22"/>
      <c r="E2290" s="22"/>
      <c r="F2290" s="22"/>
      <c r="G2290" s="22"/>
      <c r="H2290" s="22"/>
      <c r="I2290" s="22"/>
      <c r="J2290" s="22"/>
      <c r="K2290" s="22"/>
      <c r="L2290" s="22"/>
      <c r="M2290" s="22"/>
      <c r="N2290" s="22"/>
    </row>
    <row r="2291" spans="1:14" x14ac:dyDescent="0.3">
      <c r="A2291" s="22" t="s">
        <v>3760</v>
      </c>
      <c r="B2291" s="22">
        <v>0</v>
      </c>
      <c r="C2291" s="22"/>
      <c r="D2291" s="22"/>
      <c r="E2291" s="22"/>
      <c r="F2291" s="22"/>
      <c r="G2291" s="22"/>
      <c r="H2291" s="22"/>
      <c r="I2291" s="22"/>
      <c r="J2291" s="22"/>
      <c r="K2291" s="22"/>
      <c r="L2291" s="22"/>
      <c r="M2291" s="22"/>
      <c r="N2291" s="22"/>
    </row>
    <row r="2292" spans="1:14" x14ac:dyDescent="0.3">
      <c r="A2292" s="22" t="s">
        <v>3761</v>
      </c>
      <c r="B2292" s="22">
        <v>0</v>
      </c>
      <c r="C2292" s="22"/>
      <c r="D2292" s="22"/>
      <c r="E2292" s="22"/>
      <c r="F2292" s="22"/>
      <c r="G2292" s="22"/>
      <c r="H2292" s="22"/>
      <c r="I2292" s="22"/>
      <c r="J2292" s="22"/>
      <c r="K2292" s="22"/>
      <c r="L2292" s="22"/>
      <c r="M2292" s="22"/>
      <c r="N2292" s="22"/>
    </row>
    <row r="2293" spans="1:14" x14ac:dyDescent="0.3">
      <c r="A2293" s="22" t="s">
        <v>3762</v>
      </c>
      <c r="B2293" s="22">
        <v>0</v>
      </c>
      <c r="C2293" s="22"/>
      <c r="D2293" s="22"/>
      <c r="E2293" s="22"/>
      <c r="F2293" s="22"/>
      <c r="G2293" s="22"/>
      <c r="H2293" s="22"/>
      <c r="I2293" s="22"/>
      <c r="J2293" s="22"/>
      <c r="K2293" s="22"/>
      <c r="L2293" s="22"/>
      <c r="M2293" s="22"/>
      <c r="N2293" s="22"/>
    </row>
    <row r="2294" spans="1:14" x14ac:dyDescent="0.3">
      <c r="A2294" s="22" t="s">
        <v>3763</v>
      </c>
      <c r="B2294" s="22">
        <v>0</v>
      </c>
      <c r="C2294" s="22"/>
      <c r="D2294" s="22"/>
      <c r="E2294" s="22"/>
      <c r="F2294" s="22"/>
      <c r="G2294" s="22"/>
      <c r="H2294" s="22"/>
      <c r="I2294" s="22"/>
      <c r="J2294" s="22"/>
      <c r="K2294" s="22"/>
      <c r="L2294" s="22"/>
      <c r="M2294" s="22"/>
      <c r="N2294" s="22"/>
    </row>
    <row r="2295" spans="1:14" x14ac:dyDescent="0.3">
      <c r="A2295" s="22" t="s">
        <v>2919</v>
      </c>
      <c r="B2295" s="22">
        <v>0</v>
      </c>
      <c r="C2295" s="22"/>
      <c r="D2295" s="22"/>
      <c r="E2295" s="22"/>
      <c r="F2295" s="22"/>
      <c r="G2295" s="22"/>
      <c r="H2295" s="22"/>
      <c r="I2295" s="22"/>
      <c r="J2295" s="22"/>
      <c r="K2295" s="22"/>
      <c r="L2295" s="22"/>
      <c r="M2295" s="22"/>
      <c r="N2295" s="22"/>
    </row>
    <row r="2296" spans="1:14" x14ac:dyDescent="0.3">
      <c r="A2296" s="22" t="s">
        <v>3764</v>
      </c>
      <c r="B2296" s="22">
        <v>0</v>
      </c>
      <c r="C2296" s="22"/>
      <c r="D2296" s="22"/>
      <c r="E2296" s="22"/>
      <c r="F2296" s="22"/>
      <c r="G2296" s="22"/>
      <c r="H2296" s="22"/>
      <c r="I2296" s="22"/>
      <c r="J2296" s="22"/>
      <c r="K2296" s="22"/>
      <c r="L2296" s="22"/>
      <c r="M2296" s="22"/>
      <c r="N2296" s="22"/>
    </row>
    <row r="2297" spans="1:14" x14ac:dyDescent="0.3">
      <c r="A2297" s="22" t="s">
        <v>3765</v>
      </c>
      <c r="B2297" s="22">
        <v>0</v>
      </c>
      <c r="C2297" s="22"/>
      <c r="D2297" s="22"/>
      <c r="E2297" s="22"/>
      <c r="F2297" s="22"/>
      <c r="G2297" s="22"/>
      <c r="H2297" s="22"/>
      <c r="I2297" s="22"/>
      <c r="J2297" s="22"/>
      <c r="K2297" s="22"/>
      <c r="L2297" s="22"/>
      <c r="M2297" s="22"/>
      <c r="N2297" s="22"/>
    </row>
    <row r="2298" spans="1:14" x14ac:dyDescent="0.3">
      <c r="A2298" s="22" t="s">
        <v>3766</v>
      </c>
      <c r="B2298" s="22">
        <v>0</v>
      </c>
      <c r="C2298" s="22"/>
      <c r="D2298" s="22"/>
      <c r="E2298" s="22"/>
      <c r="F2298" s="22"/>
      <c r="G2298" s="22"/>
      <c r="H2298" s="22"/>
      <c r="I2298" s="22"/>
      <c r="J2298" s="22"/>
      <c r="K2298" s="22"/>
      <c r="L2298" s="22"/>
      <c r="M2298" s="22"/>
      <c r="N2298" s="22"/>
    </row>
    <row r="2299" spans="1:14" x14ac:dyDescent="0.3">
      <c r="A2299" s="22" t="s">
        <v>3767</v>
      </c>
      <c r="B2299" s="22">
        <v>0</v>
      </c>
      <c r="C2299" s="22"/>
      <c r="D2299" s="22"/>
      <c r="E2299" s="22"/>
      <c r="F2299" s="22"/>
      <c r="G2299" s="22"/>
      <c r="H2299" s="22"/>
      <c r="I2299" s="22"/>
      <c r="J2299" s="22"/>
      <c r="K2299" s="22"/>
      <c r="L2299" s="22"/>
      <c r="M2299" s="22"/>
      <c r="N2299" s="22"/>
    </row>
    <row r="2300" spans="1:14" x14ac:dyDescent="0.3">
      <c r="A2300" s="22" t="s">
        <v>3768</v>
      </c>
      <c r="B2300" s="22">
        <v>0</v>
      </c>
      <c r="C2300" s="22"/>
      <c r="D2300" s="22"/>
      <c r="E2300" s="22"/>
      <c r="F2300" s="22"/>
      <c r="G2300" s="22"/>
      <c r="H2300" s="22"/>
      <c r="I2300" s="22"/>
      <c r="J2300" s="22"/>
      <c r="K2300" s="22"/>
      <c r="L2300" s="22"/>
      <c r="M2300" s="22"/>
      <c r="N2300" s="22"/>
    </row>
    <row r="2301" spans="1:14" x14ac:dyDescent="0.3">
      <c r="A2301" s="22" t="s">
        <v>3769</v>
      </c>
      <c r="B2301" s="22">
        <v>0</v>
      </c>
      <c r="C2301" s="22"/>
      <c r="D2301" s="22"/>
      <c r="E2301" s="22"/>
      <c r="F2301" s="22"/>
      <c r="G2301" s="22"/>
      <c r="H2301" s="22"/>
      <c r="I2301" s="22"/>
      <c r="J2301" s="22"/>
      <c r="K2301" s="22"/>
      <c r="L2301" s="22"/>
      <c r="M2301" s="22"/>
      <c r="N2301" s="22"/>
    </row>
    <row r="2302" spans="1:14" x14ac:dyDescent="0.3">
      <c r="A2302" s="22" t="s">
        <v>3770</v>
      </c>
      <c r="B2302" s="22">
        <v>0</v>
      </c>
      <c r="C2302" s="22"/>
      <c r="D2302" s="22"/>
      <c r="E2302" s="22"/>
      <c r="F2302" s="22"/>
      <c r="G2302" s="22"/>
      <c r="H2302" s="22"/>
      <c r="I2302" s="22"/>
      <c r="J2302" s="22"/>
      <c r="K2302" s="22"/>
      <c r="L2302" s="22"/>
      <c r="M2302" s="22"/>
      <c r="N2302" s="22"/>
    </row>
    <row r="2303" spans="1:14" x14ac:dyDescent="0.3">
      <c r="A2303" s="22" t="s">
        <v>2921</v>
      </c>
      <c r="B2303" s="22">
        <v>199</v>
      </c>
      <c r="C2303" s="22"/>
      <c r="D2303" s="22"/>
      <c r="E2303" s="22"/>
      <c r="F2303" s="22"/>
      <c r="G2303" s="22"/>
      <c r="H2303" s="22"/>
      <c r="I2303" s="22"/>
      <c r="J2303" s="22"/>
      <c r="K2303" s="22"/>
      <c r="L2303" s="22"/>
      <c r="M2303" s="22"/>
      <c r="N2303" s="22"/>
    </row>
    <row r="2304" spans="1:14" x14ac:dyDescent="0.3">
      <c r="A2304" s="22" t="s">
        <v>3771</v>
      </c>
      <c r="B2304" s="22">
        <v>0</v>
      </c>
      <c r="C2304" s="22"/>
      <c r="D2304" s="22"/>
      <c r="E2304" s="22"/>
      <c r="F2304" s="22"/>
      <c r="G2304" s="22"/>
      <c r="H2304" s="22"/>
      <c r="I2304" s="22"/>
      <c r="J2304" s="22"/>
      <c r="K2304" s="22"/>
      <c r="L2304" s="22"/>
      <c r="M2304" s="22"/>
      <c r="N2304" s="22"/>
    </row>
    <row r="2305" spans="1:14" x14ac:dyDescent="0.3">
      <c r="A2305" s="22" t="s">
        <v>3772</v>
      </c>
      <c r="B2305" s="22">
        <v>0</v>
      </c>
      <c r="C2305" s="22"/>
      <c r="D2305" s="22"/>
      <c r="E2305" s="22"/>
      <c r="F2305" s="22"/>
      <c r="G2305" s="22"/>
      <c r="H2305" s="22"/>
      <c r="I2305" s="22"/>
      <c r="J2305" s="22"/>
      <c r="K2305" s="22"/>
      <c r="L2305" s="22"/>
      <c r="M2305" s="22"/>
      <c r="N2305" s="22"/>
    </row>
    <row r="2306" spans="1:14" x14ac:dyDescent="0.3">
      <c r="A2306" s="22" t="s">
        <v>3773</v>
      </c>
      <c r="B2306" s="22">
        <v>0</v>
      </c>
      <c r="C2306" s="22"/>
      <c r="D2306" s="22"/>
      <c r="E2306" s="22"/>
      <c r="F2306" s="22"/>
      <c r="G2306" s="22"/>
      <c r="H2306" s="22"/>
      <c r="I2306" s="22"/>
      <c r="J2306" s="22"/>
      <c r="K2306" s="22"/>
      <c r="L2306" s="22"/>
      <c r="M2306" s="22"/>
      <c r="N2306" s="22"/>
    </row>
    <row r="2307" spans="1:14" x14ac:dyDescent="0.3">
      <c r="A2307" s="22" t="s">
        <v>3774</v>
      </c>
      <c r="B2307" s="22">
        <v>0</v>
      </c>
      <c r="C2307" s="22"/>
      <c r="D2307" s="22"/>
      <c r="E2307" s="22"/>
      <c r="F2307" s="22"/>
      <c r="G2307" s="22"/>
      <c r="H2307" s="22"/>
      <c r="I2307" s="22"/>
      <c r="J2307" s="22"/>
      <c r="K2307" s="22"/>
      <c r="L2307" s="22"/>
      <c r="M2307" s="22"/>
      <c r="N2307" s="22"/>
    </row>
    <row r="2308" spans="1:14" x14ac:dyDescent="0.3">
      <c r="A2308" s="22" t="s">
        <v>3775</v>
      </c>
      <c r="B2308" s="22">
        <v>0</v>
      </c>
      <c r="C2308" s="22"/>
      <c r="D2308" s="22"/>
      <c r="E2308" s="22"/>
      <c r="F2308" s="22"/>
      <c r="G2308" s="22"/>
      <c r="H2308" s="22"/>
      <c r="I2308" s="22"/>
      <c r="J2308" s="22"/>
      <c r="K2308" s="22"/>
      <c r="L2308" s="22"/>
      <c r="M2308" s="22"/>
      <c r="N2308" s="22"/>
    </row>
    <row r="2309" spans="1:14" x14ac:dyDescent="0.3">
      <c r="A2309" s="22" t="s">
        <v>3776</v>
      </c>
      <c r="B2309" s="22">
        <v>0</v>
      </c>
      <c r="C2309" s="22"/>
      <c r="D2309" s="22"/>
      <c r="E2309" s="22"/>
      <c r="F2309" s="22"/>
      <c r="G2309" s="22"/>
      <c r="H2309" s="22"/>
      <c r="I2309" s="22"/>
      <c r="J2309" s="22"/>
      <c r="K2309" s="22"/>
      <c r="L2309" s="22"/>
      <c r="M2309" s="22"/>
      <c r="N2309" s="22"/>
    </row>
    <row r="2310" spans="1:14" x14ac:dyDescent="0.3">
      <c r="A2310" s="22" t="s">
        <v>3777</v>
      </c>
      <c r="B2310" s="22">
        <v>0</v>
      </c>
      <c r="C2310" s="22"/>
      <c r="D2310" s="22"/>
      <c r="E2310" s="22"/>
      <c r="F2310" s="22"/>
      <c r="G2310" s="22"/>
      <c r="H2310" s="22"/>
      <c r="I2310" s="22"/>
      <c r="J2310" s="22"/>
      <c r="K2310" s="22"/>
      <c r="L2310" s="22"/>
      <c r="M2310" s="22"/>
      <c r="N2310" s="22"/>
    </row>
    <row r="2311" spans="1:14" x14ac:dyDescent="0.3">
      <c r="A2311" s="22" t="s">
        <v>2922</v>
      </c>
      <c r="B2311" s="22">
        <v>5</v>
      </c>
      <c r="C2311" s="22"/>
      <c r="D2311" s="22"/>
      <c r="E2311" s="22"/>
      <c r="F2311" s="22"/>
      <c r="G2311" s="22"/>
      <c r="H2311" s="22"/>
      <c r="I2311" s="22"/>
      <c r="J2311" s="22"/>
      <c r="K2311" s="22"/>
      <c r="L2311" s="22"/>
      <c r="M2311" s="22"/>
      <c r="N2311" s="22"/>
    </row>
    <row r="2312" spans="1:14" x14ac:dyDescent="0.3">
      <c r="A2312" s="22" t="s">
        <v>3778</v>
      </c>
      <c r="B2312" s="22">
        <v>0</v>
      </c>
      <c r="C2312" s="22"/>
      <c r="D2312" s="22"/>
      <c r="E2312" s="22"/>
      <c r="F2312" s="22"/>
      <c r="G2312" s="22"/>
      <c r="H2312" s="22"/>
      <c r="I2312" s="22"/>
      <c r="J2312" s="22"/>
      <c r="K2312" s="22"/>
      <c r="L2312" s="22"/>
      <c r="M2312" s="22"/>
      <c r="N2312" s="22"/>
    </row>
    <row r="2313" spans="1:14" x14ac:dyDescent="0.3">
      <c r="A2313" s="22" t="s">
        <v>3779</v>
      </c>
      <c r="B2313" s="22">
        <v>0</v>
      </c>
      <c r="C2313" s="22"/>
      <c r="D2313" s="22"/>
      <c r="E2313" s="22"/>
      <c r="F2313" s="22"/>
      <c r="G2313" s="22"/>
      <c r="H2313" s="22"/>
      <c r="I2313" s="22"/>
      <c r="J2313" s="22"/>
      <c r="K2313" s="22"/>
      <c r="L2313" s="22"/>
      <c r="M2313" s="22"/>
      <c r="N2313" s="22"/>
    </row>
    <row r="2314" spans="1:14" x14ac:dyDescent="0.3">
      <c r="A2314" s="22" t="s">
        <v>3780</v>
      </c>
      <c r="B2314" s="22">
        <v>0</v>
      </c>
      <c r="C2314" s="22"/>
      <c r="D2314" s="22"/>
      <c r="E2314" s="22"/>
      <c r="F2314" s="22"/>
      <c r="G2314" s="22"/>
      <c r="H2314" s="22"/>
      <c r="I2314" s="22"/>
      <c r="J2314" s="22"/>
      <c r="K2314" s="22"/>
      <c r="L2314" s="22"/>
      <c r="M2314" s="22"/>
      <c r="N2314" s="22"/>
    </row>
    <row r="2315" spans="1:14" x14ac:dyDescent="0.3">
      <c r="A2315" s="22" t="s">
        <v>3781</v>
      </c>
      <c r="B2315" s="22">
        <v>0</v>
      </c>
      <c r="C2315" s="22"/>
      <c r="D2315" s="22"/>
      <c r="E2315" s="22"/>
      <c r="F2315" s="22"/>
      <c r="G2315" s="22"/>
      <c r="H2315" s="22"/>
      <c r="I2315" s="22"/>
      <c r="J2315" s="22"/>
      <c r="K2315" s="22"/>
      <c r="L2315" s="22"/>
      <c r="M2315" s="22"/>
      <c r="N2315" s="22"/>
    </row>
    <row r="2316" spans="1:14" x14ac:dyDescent="0.3">
      <c r="A2316" s="22" t="s">
        <v>3782</v>
      </c>
      <c r="B2316" s="22">
        <v>0</v>
      </c>
      <c r="C2316" s="22"/>
      <c r="D2316" s="22"/>
      <c r="E2316" s="22"/>
      <c r="F2316" s="22"/>
      <c r="G2316" s="22"/>
      <c r="H2316" s="22"/>
      <c r="I2316" s="22"/>
      <c r="J2316" s="22"/>
      <c r="K2316" s="22"/>
      <c r="L2316" s="22"/>
      <c r="M2316" s="22"/>
      <c r="N2316" s="22"/>
    </row>
    <row r="2317" spans="1:14" x14ac:dyDescent="0.3">
      <c r="A2317" s="22" t="s">
        <v>3783</v>
      </c>
      <c r="B2317" s="22">
        <v>0</v>
      </c>
      <c r="C2317" s="22"/>
      <c r="D2317" s="22"/>
      <c r="E2317" s="22"/>
      <c r="F2317" s="22"/>
      <c r="G2317" s="22"/>
      <c r="H2317" s="22"/>
      <c r="I2317" s="22"/>
      <c r="J2317" s="22"/>
      <c r="K2317" s="22"/>
      <c r="L2317" s="22"/>
      <c r="M2317" s="22"/>
      <c r="N2317" s="22"/>
    </row>
    <row r="2318" spans="1:14" x14ac:dyDescent="0.3">
      <c r="A2318" s="22" t="s">
        <v>3784</v>
      </c>
      <c r="B2318" s="22">
        <v>0</v>
      </c>
      <c r="C2318" s="22"/>
      <c r="D2318" s="22"/>
      <c r="E2318" s="22"/>
      <c r="F2318" s="22"/>
      <c r="G2318" s="22"/>
      <c r="H2318" s="22"/>
      <c r="I2318" s="22"/>
      <c r="J2318" s="22"/>
      <c r="K2318" s="22"/>
      <c r="L2318" s="22"/>
      <c r="M2318" s="22"/>
      <c r="N2318" s="22"/>
    </row>
    <row r="2319" spans="1:14" x14ac:dyDescent="0.3">
      <c r="A2319" s="22" t="s">
        <v>2923</v>
      </c>
      <c r="B2319" s="22">
        <v>0</v>
      </c>
      <c r="C2319" s="22"/>
      <c r="D2319" s="22"/>
      <c r="E2319" s="22"/>
      <c r="F2319" s="22"/>
      <c r="G2319" s="22"/>
      <c r="H2319" s="22"/>
      <c r="I2319" s="22"/>
      <c r="J2319" s="22"/>
      <c r="K2319" s="22"/>
      <c r="L2319" s="22"/>
      <c r="M2319" s="22"/>
      <c r="N2319" s="22"/>
    </row>
    <row r="2320" spans="1:14" x14ac:dyDescent="0.3">
      <c r="A2320" s="22" t="s">
        <v>3785</v>
      </c>
      <c r="B2320" s="22">
        <v>0</v>
      </c>
      <c r="C2320" s="22"/>
      <c r="D2320" s="22"/>
      <c r="E2320" s="22"/>
      <c r="F2320" s="22"/>
      <c r="G2320" s="22"/>
      <c r="H2320" s="22"/>
      <c r="I2320" s="22"/>
      <c r="J2320" s="22"/>
      <c r="K2320" s="22"/>
      <c r="L2320" s="22"/>
      <c r="M2320" s="22"/>
      <c r="N2320" s="22"/>
    </row>
    <row r="2321" spans="1:14" x14ac:dyDescent="0.3">
      <c r="A2321" s="22" t="s">
        <v>3786</v>
      </c>
      <c r="B2321" s="22">
        <v>0</v>
      </c>
      <c r="C2321" s="22"/>
      <c r="D2321" s="22"/>
      <c r="E2321" s="22"/>
      <c r="F2321" s="22"/>
      <c r="G2321" s="22"/>
      <c r="H2321" s="22"/>
      <c r="I2321" s="22"/>
      <c r="J2321" s="22"/>
      <c r="K2321" s="22"/>
      <c r="L2321" s="22"/>
      <c r="M2321" s="22"/>
      <c r="N2321" s="22"/>
    </row>
    <row r="2322" spans="1:14" x14ac:dyDescent="0.3">
      <c r="A2322" s="22" t="s">
        <v>3787</v>
      </c>
      <c r="B2322" s="22">
        <v>0</v>
      </c>
      <c r="C2322" s="22"/>
      <c r="D2322" s="22"/>
      <c r="E2322" s="22"/>
      <c r="F2322" s="22"/>
      <c r="G2322" s="22"/>
      <c r="H2322" s="22"/>
      <c r="I2322" s="22"/>
      <c r="J2322" s="22"/>
      <c r="K2322" s="22"/>
      <c r="L2322" s="22"/>
      <c r="M2322" s="22"/>
      <c r="N2322" s="22"/>
    </row>
    <row r="2323" spans="1:14" x14ac:dyDescent="0.3">
      <c r="A2323" s="22" t="s">
        <v>3788</v>
      </c>
      <c r="B2323" s="22">
        <v>0</v>
      </c>
      <c r="C2323" s="22"/>
      <c r="D2323" s="22"/>
      <c r="E2323" s="22"/>
      <c r="F2323" s="22"/>
      <c r="G2323" s="22"/>
      <c r="H2323" s="22"/>
      <c r="I2323" s="22"/>
      <c r="J2323" s="22"/>
      <c r="K2323" s="22"/>
      <c r="L2323" s="22"/>
      <c r="M2323" s="22"/>
      <c r="N2323" s="22"/>
    </row>
    <row r="2324" spans="1:14" x14ac:dyDescent="0.3">
      <c r="A2324" s="22" t="s">
        <v>3789</v>
      </c>
      <c r="B2324" s="22">
        <v>0</v>
      </c>
      <c r="C2324" s="22"/>
      <c r="D2324" s="22"/>
      <c r="E2324" s="22"/>
      <c r="F2324" s="22"/>
      <c r="G2324" s="22"/>
      <c r="H2324" s="22"/>
      <c r="I2324" s="22"/>
      <c r="J2324" s="22"/>
      <c r="K2324" s="22"/>
      <c r="L2324" s="22"/>
      <c r="M2324" s="22"/>
      <c r="N2324" s="22"/>
    </row>
    <row r="2325" spans="1:14" x14ac:dyDescent="0.3">
      <c r="A2325" s="22" t="s">
        <v>3790</v>
      </c>
      <c r="B2325" s="22">
        <v>0</v>
      </c>
      <c r="C2325" s="22"/>
      <c r="D2325" s="22"/>
      <c r="E2325" s="22"/>
      <c r="F2325" s="22"/>
      <c r="G2325" s="22"/>
      <c r="H2325" s="22"/>
      <c r="I2325" s="22"/>
      <c r="J2325" s="22"/>
      <c r="K2325" s="22"/>
      <c r="L2325" s="22"/>
      <c r="M2325" s="22"/>
      <c r="N2325" s="22"/>
    </row>
    <row r="2326" spans="1:14" x14ac:dyDescent="0.3">
      <c r="A2326" s="22" t="s">
        <v>3791</v>
      </c>
      <c r="B2326" s="22">
        <v>0</v>
      </c>
      <c r="C2326" s="22"/>
      <c r="D2326" s="22"/>
      <c r="E2326" s="22"/>
      <c r="F2326" s="22"/>
      <c r="G2326" s="22"/>
      <c r="H2326" s="22"/>
      <c r="I2326" s="22"/>
      <c r="J2326" s="22"/>
      <c r="K2326" s="22"/>
      <c r="L2326" s="22"/>
      <c r="M2326" s="22"/>
      <c r="N2326" s="22"/>
    </row>
    <row r="2327" spans="1:14" x14ac:dyDescent="0.3">
      <c r="A2327" s="22" t="s">
        <v>2924</v>
      </c>
      <c r="B2327" s="22">
        <v>1</v>
      </c>
      <c r="C2327" s="22"/>
      <c r="D2327" s="22"/>
      <c r="E2327" s="22"/>
      <c r="F2327" s="22"/>
      <c r="G2327" s="22"/>
      <c r="H2327" s="22"/>
      <c r="I2327" s="22"/>
      <c r="J2327" s="22"/>
      <c r="K2327" s="22"/>
      <c r="L2327" s="22"/>
      <c r="M2327" s="22"/>
      <c r="N2327" s="22"/>
    </row>
    <row r="2328" spans="1:14" x14ac:dyDescent="0.3">
      <c r="A2328" s="22" t="s">
        <v>3792</v>
      </c>
      <c r="B2328" s="22">
        <v>0</v>
      </c>
      <c r="C2328" s="22"/>
      <c r="D2328" s="22"/>
      <c r="E2328" s="22"/>
      <c r="F2328" s="22"/>
      <c r="G2328" s="22"/>
      <c r="H2328" s="22"/>
      <c r="I2328" s="22"/>
      <c r="J2328" s="22"/>
      <c r="K2328" s="22"/>
      <c r="L2328" s="22"/>
      <c r="M2328" s="22"/>
      <c r="N2328" s="22"/>
    </row>
    <row r="2329" spans="1:14" x14ac:dyDescent="0.3">
      <c r="A2329" s="22" t="s">
        <v>3793</v>
      </c>
      <c r="B2329" s="22">
        <v>0</v>
      </c>
      <c r="C2329" s="22"/>
      <c r="D2329" s="22"/>
      <c r="E2329" s="22"/>
      <c r="F2329" s="22"/>
      <c r="G2329" s="22"/>
      <c r="H2329" s="22"/>
      <c r="I2329" s="22"/>
      <c r="J2329" s="22"/>
      <c r="K2329" s="22"/>
      <c r="L2329" s="22"/>
      <c r="M2329" s="22"/>
      <c r="N2329" s="22"/>
    </row>
    <row r="2330" spans="1:14" x14ac:dyDescent="0.3">
      <c r="A2330" s="22" t="s">
        <v>3794</v>
      </c>
      <c r="B2330" s="22">
        <v>0</v>
      </c>
      <c r="C2330" s="22"/>
      <c r="D2330" s="22"/>
      <c r="E2330" s="22"/>
      <c r="F2330" s="22"/>
      <c r="G2330" s="22"/>
      <c r="H2330" s="22"/>
      <c r="I2330" s="22"/>
      <c r="J2330" s="22"/>
      <c r="K2330" s="22"/>
      <c r="L2330" s="22"/>
      <c r="M2330" s="22"/>
      <c r="N2330" s="22"/>
    </row>
    <row r="2331" spans="1:14" x14ac:dyDescent="0.3">
      <c r="A2331" s="22" t="s">
        <v>3795</v>
      </c>
      <c r="B2331" s="22">
        <v>0</v>
      </c>
      <c r="C2331" s="22"/>
      <c r="D2331" s="22"/>
      <c r="E2331" s="22"/>
      <c r="F2331" s="22"/>
      <c r="G2331" s="22"/>
      <c r="H2331" s="22"/>
      <c r="I2331" s="22"/>
      <c r="J2331" s="22"/>
      <c r="K2331" s="22"/>
      <c r="L2331" s="22"/>
      <c r="M2331" s="22"/>
      <c r="N2331" s="22"/>
    </row>
    <row r="2332" spans="1:14" x14ac:dyDescent="0.3">
      <c r="A2332" s="22" t="s">
        <v>3796</v>
      </c>
      <c r="B2332" s="22">
        <v>0</v>
      </c>
      <c r="C2332" s="22"/>
      <c r="D2332" s="22"/>
      <c r="E2332" s="22"/>
      <c r="F2332" s="22"/>
      <c r="G2332" s="22"/>
      <c r="H2332" s="22"/>
      <c r="I2332" s="22"/>
      <c r="J2332" s="22"/>
      <c r="K2332" s="22"/>
      <c r="L2332" s="22"/>
      <c r="M2332" s="22"/>
      <c r="N2332" s="22"/>
    </row>
    <row r="2333" spans="1:14" x14ac:dyDescent="0.3">
      <c r="A2333" s="22" t="s">
        <v>3797</v>
      </c>
      <c r="B2333" s="22">
        <v>0</v>
      </c>
      <c r="C2333" s="22"/>
      <c r="D2333" s="22"/>
      <c r="E2333" s="22"/>
      <c r="F2333" s="22"/>
      <c r="G2333" s="22"/>
      <c r="H2333" s="22"/>
      <c r="I2333" s="22"/>
      <c r="J2333" s="22"/>
      <c r="K2333" s="22"/>
      <c r="L2333" s="22"/>
      <c r="M2333" s="22"/>
      <c r="N2333" s="22"/>
    </row>
    <row r="2334" spans="1:14" x14ac:dyDescent="0.3">
      <c r="A2334" s="22" t="s">
        <v>3798</v>
      </c>
      <c r="B2334" s="22">
        <v>0</v>
      </c>
      <c r="C2334" s="22"/>
      <c r="D2334" s="22"/>
      <c r="E2334" s="22"/>
      <c r="F2334" s="22"/>
      <c r="G2334" s="22"/>
      <c r="H2334" s="22"/>
      <c r="I2334" s="22"/>
      <c r="J2334" s="22"/>
      <c r="K2334" s="22"/>
      <c r="L2334" s="22"/>
      <c r="M2334" s="22"/>
      <c r="N2334" s="22"/>
    </row>
    <row r="2335" spans="1:14" x14ac:dyDescent="0.3">
      <c r="A2335" s="22" t="s">
        <v>2925</v>
      </c>
      <c r="B2335" s="22">
        <v>3</v>
      </c>
      <c r="C2335" s="22"/>
      <c r="D2335" s="22"/>
      <c r="E2335" s="22"/>
      <c r="F2335" s="22"/>
      <c r="G2335" s="22"/>
      <c r="H2335" s="22"/>
      <c r="I2335" s="22"/>
      <c r="J2335" s="22"/>
      <c r="K2335" s="22"/>
      <c r="L2335" s="22"/>
      <c r="M2335" s="22"/>
      <c r="N2335" s="22"/>
    </row>
    <row r="2336" spans="1:14" x14ac:dyDescent="0.3">
      <c r="A2336" s="22" t="s">
        <v>3799</v>
      </c>
      <c r="B2336" s="22">
        <v>0</v>
      </c>
      <c r="C2336" s="22"/>
      <c r="D2336" s="22"/>
      <c r="E2336" s="22"/>
      <c r="F2336" s="22"/>
      <c r="G2336" s="22"/>
      <c r="H2336" s="22"/>
      <c r="I2336" s="22"/>
      <c r="J2336" s="22"/>
      <c r="K2336" s="22"/>
      <c r="L2336" s="22"/>
      <c r="M2336" s="22"/>
      <c r="N2336" s="22"/>
    </row>
    <row r="2337" spans="1:14" x14ac:dyDescent="0.3">
      <c r="A2337" s="22" t="s">
        <v>3800</v>
      </c>
      <c r="B2337" s="22">
        <v>0</v>
      </c>
      <c r="C2337" s="22"/>
      <c r="D2337" s="22"/>
      <c r="E2337" s="22"/>
      <c r="F2337" s="22"/>
      <c r="G2337" s="22"/>
      <c r="H2337" s="22"/>
      <c r="I2337" s="22"/>
      <c r="J2337" s="22"/>
      <c r="K2337" s="22"/>
      <c r="L2337" s="22"/>
      <c r="M2337" s="22"/>
      <c r="N2337" s="22"/>
    </row>
    <row r="2338" spans="1:14" x14ac:dyDescent="0.3">
      <c r="A2338" s="22" t="s">
        <v>3801</v>
      </c>
      <c r="B2338" s="22">
        <v>0</v>
      </c>
      <c r="C2338" s="22"/>
      <c r="D2338" s="22"/>
      <c r="E2338" s="22"/>
      <c r="F2338" s="22"/>
      <c r="G2338" s="22"/>
      <c r="H2338" s="22"/>
      <c r="I2338" s="22"/>
      <c r="J2338" s="22"/>
      <c r="K2338" s="22"/>
      <c r="L2338" s="22"/>
      <c r="M2338" s="22"/>
      <c r="N2338" s="22"/>
    </row>
    <row r="2339" spans="1:14" x14ac:dyDescent="0.3">
      <c r="A2339" s="22" t="s">
        <v>3802</v>
      </c>
      <c r="B2339" s="22">
        <v>0</v>
      </c>
      <c r="C2339" s="22"/>
      <c r="D2339" s="22"/>
      <c r="E2339" s="22"/>
      <c r="F2339" s="22"/>
      <c r="G2339" s="22"/>
      <c r="H2339" s="22"/>
      <c r="I2339" s="22"/>
      <c r="J2339" s="22"/>
      <c r="K2339" s="22"/>
      <c r="L2339" s="22"/>
      <c r="M2339" s="22"/>
      <c r="N2339" s="22"/>
    </row>
    <row r="2340" spans="1:14" x14ac:dyDescent="0.3">
      <c r="A2340" s="22" t="s">
        <v>3803</v>
      </c>
      <c r="B2340" s="22">
        <v>0</v>
      </c>
      <c r="C2340" s="22"/>
      <c r="D2340" s="22"/>
      <c r="E2340" s="22"/>
      <c r="F2340" s="22"/>
      <c r="G2340" s="22"/>
      <c r="H2340" s="22"/>
      <c r="I2340" s="22"/>
      <c r="J2340" s="22"/>
      <c r="K2340" s="22"/>
      <c r="L2340" s="22"/>
      <c r="M2340" s="22"/>
      <c r="N2340" s="22"/>
    </row>
    <row r="2341" spans="1:14" x14ac:dyDescent="0.3">
      <c r="A2341" s="22" t="s">
        <v>3804</v>
      </c>
      <c r="B2341" s="22">
        <v>0</v>
      </c>
      <c r="C2341" s="22"/>
      <c r="D2341" s="22"/>
      <c r="E2341" s="22"/>
      <c r="F2341" s="22"/>
      <c r="G2341" s="22"/>
      <c r="H2341" s="22"/>
      <c r="I2341" s="22"/>
      <c r="J2341" s="22"/>
      <c r="K2341" s="22"/>
      <c r="L2341" s="22"/>
      <c r="M2341" s="22"/>
      <c r="N2341" s="22"/>
    </row>
    <row r="2342" spans="1:14" x14ac:dyDescent="0.3">
      <c r="A2342" s="22" t="s">
        <v>3805</v>
      </c>
      <c r="B2342" s="22">
        <v>0</v>
      </c>
      <c r="C2342" s="22"/>
      <c r="D2342" s="22"/>
      <c r="E2342" s="22"/>
      <c r="F2342" s="22"/>
      <c r="G2342" s="22"/>
      <c r="H2342" s="22"/>
      <c r="I2342" s="22"/>
      <c r="J2342" s="22"/>
      <c r="K2342" s="22"/>
      <c r="L2342" s="22"/>
      <c r="M2342" s="22"/>
      <c r="N2342" s="22"/>
    </row>
    <row r="2343" spans="1:14" x14ac:dyDescent="0.3">
      <c r="A2343" s="22" t="s">
        <v>2926</v>
      </c>
      <c r="B2343" s="22">
        <v>4</v>
      </c>
      <c r="C2343" s="22"/>
      <c r="D2343" s="22"/>
      <c r="E2343" s="22"/>
      <c r="F2343" s="22"/>
      <c r="G2343" s="22"/>
      <c r="H2343" s="22"/>
      <c r="I2343" s="22"/>
      <c r="J2343" s="22"/>
      <c r="K2343" s="22"/>
      <c r="L2343" s="22"/>
      <c r="M2343" s="22"/>
      <c r="N2343" s="22"/>
    </row>
    <row r="2344" spans="1:14" x14ac:dyDescent="0.3">
      <c r="A2344" s="22" t="s">
        <v>3806</v>
      </c>
      <c r="B2344" s="22">
        <v>0</v>
      </c>
      <c r="C2344" s="22"/>
      <c r="D2344" s="22"/>
      <c r="E2344" s="22"/>
      <c r="F2344" s="22"/>
      <c r="G2344" s="22"/>
      <c r="H2344" s="22"/>
      <c r="I2344" s="22"/>
      <c r="J2344" s="22"/>
      <c r="K2344" s="22"/>
      <c r="L2344" s="22"/>
      <c r="M2344" s="22"/>
      <c r="N2344" s="22"/>
    </row>
    <row r="2345" spans="1:14" x14ac:dyDescent="0.3">
      <c r="A2345" s="22" t="s">
        <v>3807</v>
      </c>
      <c r="B2345" s="22">
        <v>0</v>
      </c>
      <c r="C2345" s="22"/>
      <c r="D2345" s="22"/>
      <c r="E2345" s="22"/>
      <c r="F2345" s="22"/>
      <c r="G2345" s="22"/>
      <c r="H2345" s="22"/>
      <c r="I2345" s="22"/>
      <c r="J2345" s="22"/>
      <c r="K2345" s="22"/>
      <c r="L2345" s="22"/>
      <c r="M2345" s="22"/>
      <c r="N2345" s="22"/>
    </row>
    <row r="2346" spans="1:14" x14ac:dyDescent="0.3">
      <c r="A2346" s="22" t="s">
        <v>3808</v>
      </c>
      <c r="B2346" s="22">
        <v>0</v>
      </c>
      <c r="C2346" s="22"/>
      <c r="D2346" s="22"/>
      <c r="E2346" s="22"/>
      <c r="F2346" s="22"/>
      <c r="G2346" s="22"/>
      <c r="H2346" s="22"/>
      <c r="I2346" s="22"/>
      <c r="J2346" s="22"/>
      <c r="K2346" s="22"/>
      <c r="L2346" s="22"/>
      <c r="M2346" s="22"/>
      <c r="N2346" s="22"/>
    </row>
    <row r="2347" spans="1:14" x14ac:dyDescent="0.3">
      <c r="A2347" s="22" t="s">
        <v>3809</v>
      </c>
      <c r="B2347" s="22">
        <v>0</v>
      </c>
      <c r="C2347" s="22"/>
      <c r="D2347" s="22"/>
      <c r="E2347" s="22"/>
      <c r="F2347" s="22"/>
      <c r="G2347" s="22"/>
      <c r="H2347" s="22"/>
      <c r="I2347" s="22"/>
      <c r="J2347" s="22"/>
      <c r="K2347" s="22"/>
      <c r="L2347" s="22"/>
      <c r="M2347" s="22"/>
      <c r="N2347" s="22"/>
    </row>
    <row r="2348" spans="1:14" x14ac:dyDescent="0.3">
      <c r="A2348" s="22" t="s">
        <v>3810</v>
      </c>
      <c r="B2348" s="22">
        <v>0</v>
      </c>
      <c r="C2348" s="22"/>
      <c r="D2348" s="22"/>
      <c r="E2348" s="22"/>
      <c r="F2348" s="22"/>
      <c r="G2348" s="22"/>
      <c r="H2348" s="22"/>
      <c r="I2348" s="22"/>
      <c r="J2348" s="22"/>
      <c r="K2348" s="22"/>
      <c r="L2348" s="22"/>
      <c r="M2348" s="22"/>
      <c r="N2348" s="22"/>
    </row>
    <row r="2349" spans="1:14" x14ac:dyDescent="0.3">
      <c r="A2349" s="22" t="s">
        <v>3811</v>
      </c>
      <c r="B2349" s="22">
        <v>0</v>
      </c>
      <c r="C2349" s="22"/>
      <c r="D2349" s="22"/>
      <c r="E2349" s="22"/>
      <c r="F2349" s="22"/>
      <c r="G2349" s="22"/>
      <c r="H2349" s="22"/>
      <c r="I2349" s="22"/>
      <c r="J2349" s="22"/>
      <c r="K2349" s="22"/>
      <c r="L2349" s="22"/>
      <c r="M2349" s="22"/>
      <c r="N2349" s="22"/>
    </row>
    <row r="2350" spans="1:14" x14ac:dyDescent="0.3">
      <c r="A2350" s="22" t="s">
        <v>3812</v>
      </c>
      <c r="B2350" s="22">
        <v>0</v>
      </c>
      <c r="C2350" s="22"/>
      <c r="D2350" s="22"/>
      <c r="E2350" s="22"/>
      <c r="F2350" s="22"/>
      <c r="G2350" s="22"/>
      <c r="H2350" s="22"/>
      <c r="I2350" s="22"/>
      <c r="J2350" s="22"/>
      <c r="K2350" s="22"/>
      <c r="L2350" s="22"/>
      <c r="M2350" s="22"/>
      <c r="N2350" s="22"/>
    </row>
    <row r="2351" spans="1:14" x14ac:dyDescent="0.3">
      <c r="A2351" s="22" t="s">
        <v>2927</v>
      </c>
      <c r="B2351" s="22">
        <v>0</v>
      </c>
      <c r="C2351" s="22"/>
      <c r="D2351" s="22"/>
      <c r="E2351" s="22"/>
      <c r="F2351" s="22"/>
      <c r="G2351" s="22"/>
      <c r="H2351" s="22"/>
      <c r="I2351" s="22"/>
      <c r="J2351" s="22"/>
      <c r="K2351" s="22"/>
      <c r="L2351" s="22"/>
      <c r="M2351" s="22"/>
      <c r="N2351" s="22"/>
    </row>
    <row r="2352" spans="1:14" x14ac:dyDescent="0.3">
      <c r="A2352" s="22" t="s">
        <v>3813</v>
      </c>
      <c r="B2352" s="22">
        <v>0</v>
      </c>
      <c r="C2352" s="22"/>
      <c r="D2352" s="22"/>
      <c r="E2352" s="22"/>
      <c r="F2352" s="22"/>
      <c r="G2352" s="22"/>
      <c r="H2352" s="22"/>
      <c r="I2352" s="22"/>
      <c r="J2352" s="22"/>
      <c r="K2352" s="22"/>
      <c r="L2352" s="22"/>
      <c r="M2352" s="22"/>
      <c r="N2352" s="22"/>
    </row>
    <row r="2353" spans="1:14" x14ac:dyDescent="0.3">
      <c r="A2353" s="22" t="s">
        <v>3814</v>
      </c>
      <c r="B2353" s="22">
        <v>0</v>
      </c>
      <c r="C2353" s="22"/>
      <c r="D2353" s="22"/>
      <c r="E2353" s="22"/>
      <c r="F2353" s="22"/>
      <c r="G2353" s="22"/>
      <c r="H2353" s="22"/>
      <c r="I2353" s="22"/>
      <c r="J2353" s="22"/>
      <c r="K2353" s="22"/>
      <c r="L2353" s="22"/>
      <c r="M2353" s="22"/>
      <c r="N2353" s="22"/>
    </row>
    <row r="2354" spans="1:14" x14ac:dyDescent="0.3">
      <c r="A2354" s="22" t="s">
        <v>3815</v>
      </c>
      <c r="B2354" s="22">
        <v>0</v>
      </c>
      <c r="C2354" s="22"/>
      <c r="D2354" s="22"/>
      <c r="E2354" s="22"/>
      <c r="F2354" s="22"/>
      <c r="G2354" s="22"/>
      <c r="H2354" s="22"/>
      <c r="I2354" s="22"/>
      <c r="J2354" s="22"/>
      <c r="K2354" s="22"/>
      <c r="L2354" s="22"/>
      <c r="M2354" s="22"/>
      <c r="N2354" s="22"/>
    </row>
    <row r="2355" spans="1:14" x14ac:dyDescent="0.3">
      <c r="A2355" s="22" t="s">
        <v>3816</v>
      </c>
      <c r="B2355" s="22">
        <v>0</v>
      </c>
      <c r="C2355" s="22"/>
      <c r="D2355" s="22"/>
      <c r="E2355" s="22"/>
      <c r="F2355" s="22"/>
      <c r="G2355" s="22"/>
      <c r="H2355" s="22"/>
      <c r="I2355" s="22"/>
      <c r="J2355" s="22"/>
      <c r="K2355" s="22"/>
      <c r="L2355" s="22"/>
      <c r="M2355" s="22"/>
      <c r="N2355" s="22"/>
    </row>
    <row r="2356" spans="1:14" x14ac:dyDescent="0.3">
      <c r="A2356" s="22" t="s">
        <v>3817</v>
      </c>
      <c r="B2356" s="22">
        <v>0</v>
      </c>
      <c r="C2356" s="22"/>
      <c r="D2356" s="22"/>
      <c r="E2356" s="22"/>
      <c r="F2356" s="22"/>
      <c r="G2356" s="22"/>
      <c r="H2356" s="22"/>
      <c r="I2356" s="22"/>
      <c r="J2356" s="22"/>
      <c r="K2356" s="22"/>
      <c r="L2356" s="22"/>
      <c r="M2356" s="22"/>
      <c r="N2356" s="22"/>
    </row>
    <row r="2357" spans="1:14" x14ac:dyDescent="0.3">
      <c r="A2357" s="22" t="s">
        <v>3818</v>
      </c>
      <c r="B2357" s="22">
        <v>0</v>
      </c>
      <c r="C2357" s="22"/>
      <c r="D2357" s="22"/>
      <c r="E2357" s="22"/>
      <c r="F2357" s="22"/>
      <c r="G2357" s="22"/>
      <c r="H2357" s="22"/>
      <c r="I2357" s="22"/>
      <c r="J2357" s="22"/>
      <c r="K2357" s="22"/>
      <c r="L2357" s="22"/>
      <c r="M2357" s="22"/>
      <c r="N2357" s="22"/>
    </row>
    <row r="2358" spans="1:14" x14ac:dyDescent="0.3">
      <c r="A2358" s="22" t="s">
        <v>3819</v>
      </c>
      <c r="B2358" s="22">
        <v>0</v>
      </c>
      <c r="C2358" s="22"/>
      <c r="D2358" s="22"/>
      <c r="E2358" s="22"/>
      <c r="F2358" s="22"/>
      <c r="G2358" s="22"/>
      <c r="H2358" s="22"/>
      <c r="I2358" s="22"/>
      <c r="J2358" s="22"/>
      <c r="K2358" s="22"/>
      <c r="L2358" s="22"/>
      <c r="M2358" s="22"/>
      <c r="N2358" s="22"/>
    </row>
    <row r="2359" spans="1:14" x14ac:dyDescent="0.3">
      <c r="A2359" s="22" t="s">
        <v>2928</v>
      </c>
      <c r="B2359" s="22">
        <v>0</v>
      </c>
      <c r="C2359" s="22"/>
      <c r="D2359" s="22"/>
      <c r="E2359" s="22"/>
      <c r="F2359" s="22"/>
      <c r="G2359" s="22"/>
      <c r="H2359" s="22"/>
      <c r="I2359" s="22"/>
      <c r="J2359" s="22"/>
      <c r="K2359" s="22"/>
      <c r="L2359" s="22"/>
      <c r="M2359" s="22"/>
      <c r="N2359" s="22"/>
    </row>
    <row r="2360" spans="1:14" x14ac:dyDescent="0.3">
      <c r="A2360" s="22" t="s">
        <v>3820</v>
      </c>
      <c r="B2360" s="22">
        <v>0</v>
      </c>
      <c r="C2360" s="22"/>
      <c r="D2360" s="22"/>
      <c r="E2360" s="22"/>
      <c r="F2360" s="22"/>
      <c r="G2360" s="22"/>
      <c r="H2360" s="22"/>
      <c r="I2360" s="22"/>
      <c r="J2360" s="22"/>
      <c r="K2360" s="22"/>
      <c r="L2360" s="22"/>
      <c r="M2360" s="22"/>
      <c r="N2360" s="22"/>
    </row>
    <row r="2361" spans="1:14" x14ac:dyDescent="0.3">
      <c r="A2361" s="22" t="s">
        <v>3821</v>
      </c>
      <c r="B2361" s="22">
        <v>0</v>
      </c>
      <c r="C2361" s="22"/>
      <c r="D2361" s="22"/>
      <c r="E2361" s="22"/>
      <c r="F2361" s="22"/>
      <c r="G2361" s="22"/>
      <c r="H2361" s="22"/>
      <c r="I2361" s="22"/>
      <c r="J2361" s="22"/>
      <c r="K2361" s="22"/>
      <c r="L2361" s="22"/>
      <c r="M2361" s="22"/>
      <c r="N2361" s="22"/>
    </row>
    <row r="2362" spans="1:14" x14ac:dyDescent="0.3">
      <c r="A2362" s="22" t="s">
        <v>3822</v>
      </c>
      <c r="B2362" s="22">
        <v>0</v>
      </c>
      <c r="C2362" s="22"/>
      <c r="D2362" s="22"/>
      <c r="E2362" s="22"/>
      <c r="F2362" s="22"/>
      <c r="G2362" s="22"/>
      <c r="H2362" s="22"/>
      <c r="I2362" s="22"/>
      <c r="J2362" s="22"/>
      <c r="K2362" s="22"/>
      <c r="L2362" s="22"/>
      <c r="M2362" s="22"/>
      <c r="N2362" s="22"/>
    </row>
    <row r="2363" spans="1:14" x14ac:dyDescent="0.3">
      <c r="A2363" s="22" t="s">
        <v>3823</v>
      </c>
      <c r="B2363" s="22">
        <v>0</v>
      </c>
      <c r="C2363" s="22"/>
      <c r="D2363" s="22"/>
      <c r="E2363" s="22"/>
      <c r="F2363" s="22"/>
      <c r="G2363" s="22"/>
      <c r="H2363" s="22"/>
      <c r="I2363" s="22"/>
      <c r="J2363" s="22"/>
      <c r="K2363" s="22"/>
      <c r="L2363" s="22"/>
      <c r="M2363" s="22"/>
      <c r="N2363" s="22"/>
    </row>
    <row r="2364" spans="1:14" x14ac:dyDescent="0.3">
      <c r="A2364" s="22" t="s">
        <v>3824</v>
      </c>
      <c r="B2364" s="22">
        <v>0</v>
      </c>
      <c r="C2364" s="22"/>
      <c r="D2364" s="22"/>
      <c r="E2364" s="22"/>
      <c r="F2364" s="22"/>
      <c r="G2364" s="22"/>
      <c r="H2364" s="22"/>
      <c r="I2364" s="22"/>
      <c r="J2364" s="22"/>
      <c r="K2364" s="22"/>
      <c r="L2364" s="22"/>
      <c r="M2364" s="22"/>
      <c r="N2364" s="22"/>
    </row>
    <row r="2365" spans="1:14" x14ac:dyDescent="0.3">
      <c r="A2365" s="22" t="s">
        <v>3825</v>
      </c>
      <c r="B2365" s="22">
        <v>0</v>
      </c>
      <c r="C2365" s="22"/>
      <c r="D2365" s="22"/>
      <c r="E2365" s="22"/>
      <c r="F2365" s="22"/>
      <c r="G2365" s="22"/>
      <c r="H2365" s="22"/>
      <c r="I2365" s="22"/>
      <c r="J2365" s="22"/>
      <c r="K2365" s="22"/>
      <c r="L2365" s="22"/>
      <c r="M2365" s="22"/>
      <c r="N2365" s="22"/>
    </row>
    <row r="2366" spans="1:14" x14ac:dyDescent="0.3">
      <c r="A2366" s="22" t="s">
        <v>3826</v>
      </c>
      <c r="B2366" s="22">
        <v>0</v>
      </c>
      <c r="C2366" s="22"/>
      <c r="D2366" s="22"/>
      <c r="E2366" s="22"/>
      <c r="F2366" s="22"/>
      <c r="G2366" s="22"/>
      <c r="H2366" s="22"/>
      <c r="I2366" s="22"/>
      <c r="J2366" s="22"/>
      <c r="K2366" s="22"/>
      <c r="L2366" s="22"/>
      <c r="M2366" s="22"/>
      <c r="N2366" s="22"/>
    </row>
    <row r="2367" spans="1:14" x14ac:dyDescent="0.3">
      <c r="A2367" s="22" t="s">
        <v>2930</v>
      </c>
      <c r="B2367" s="22">
        <v>4</v>
      </c>
      <c r="C2367" s="22"/>
      <c r="D2367" s="22"/>
      <c r="E2367" s="22"/>
      <c r="F2367" s="22"/>
      <c r="G2367" s="22"/>
      <c r="H2367" s="22"/>
      <c r="I2367" s="22"/>
      <c r="J2367" s="22"/>
      <c r="K2367" s="22"/>
      <c r="L2367" s="22"/>
      <c r="M2367" s="22"/>
      <c r="N2367" s="22"/>
    </row>
    <row r="2368" spans="1:14" x14ac:dyDescent="0.3">
      <c r="A2368" s="22" t="s">
        <v>3827</v>
      </c>
      <c r="B2368" s="22">
        <v>0</v>
      </c>
      <c r="C2368" s="22"/>
      <c r="D2368" s="22"/>
      <c r="E2368" s="22"/>
      <c r="F2368" s="22"/>
      <c r="G2368" s="22"/>
      <c r="H2368" s="22"/>
      <c r="I2368" s="22"/>
      <c r="J2368" s="22"/>
      <c r="K2368" s="22"/>
      <c r="L2368" s="22"/>
      <c r="M2368" s="22"/>
      <c r="N2368" s="22"/>
    </row>
    <row r="2369" spans="1:14" x14ac:dyDescent="0.3">
      <c r="A2369" s="22" t="s">
        <v>3828</v>
      </c>
      <c r="B2369" s="22">
        <v>0</v>
      </c>
      <c r="C2369" s="22"/>
      <c r="D2369" s="22"/>
      <c r="E2369" s="22"/>
      <c r="F2369" s="22"/>
      <c r="G2369" s="22"/>
      <c r="H2369" s="22"/>
      <c r="I2369" s="22"/>
      <c r="J2369" s="22"/>
      <c r="K2369" s="22"/>
      <c r="L2369" s="22"/>
      <c r="M2369" s="22"/>
      <c r="N2369" s="22"/>
    </row>
    <row r="2370" spans="1:14" x14ac:dyDescent="0.3">
      <c r="A2370" s="22" t="s">
        <v>3829</v>
      </c>
      <c r="B2370" s="22">
        <v>0</v>
      </c>
      <c r="C2370" s="22"/>
      <c r="D2370" s="22"/>
      <c r="E2370" s="22"/>
      <c r="F2370" s="22"/>
      <c r="G2370" s="22"/>
      <c r="H2370" s="22"/>
      <c r="I2370" s="22"/>
      <c r="J2370" s="22"/>
      <c r="K2370" s="22"/>
      <c r="L2370" s="22"/>
      <c r="M2370" s="22"/>
      <c r="N2370" s="22"/>
    </row>
    <row r="2371" spans="1:14" x14ac:dyDescent="0.3">
      <c r="A2371" s="22" t="s">
        <v>3830</v>
      </c>
      <c r="B2371" s="22">
        <v>0</v>
      </c>
      <c r="C2371" s="22"/>
      <c r="D2371" s="22"/>
      <c r="E2371" s="22"/>
      <c r="F2371" s="22"/>
      <c r="G2371" s="22"/>
      <c r="H2371" s="22"/>
      <c r="I2371" s="22"/>
      <c r="J2371" s="22"/>
      <c r="K2371" s="22"/>
      <c r="L2371" s="22"/>
      <c r="M2371" s="22"/>
      <c r="N2371" s="22"/>
    </row>
    <row r="2372" spans="1:14" x14ac:dyDescent="0.3">
      <c r="A2372" s="22" t="s">
        <v>3831</v>
      </c>
      <c r="B2372" s="22">
        <v>0</v>
      </c>
      <c r="C2372" s="22"/>
      <c r="D2372" s="22"/>
      <c r="E2372" s="22"/>
      <c r="F2372" s="22"/>
      <c r="G2372" s="22"/>
      <c r="H2372" s="22"/>
      <c r="I2372" s="22"/>
      <c r="J2372" s="22"/>
      <c r="K2372" s="22"/>
      <c r="L2372" s="22"/>
      <c r="M2372" s="22"/>
      <c r="N2372" s="22"/>
    </row>
    <row r="2373" spans="1:14" x14ac:dyDescent="0.3">
      <c r="A2373" s="22" t="s">
        <v>3832</v>
      </c>
      <c r="B2373" s="22">
        <v>0</v>
      </c>
      <c r="C2373" s="22"/>
      <c r="D2373" s="22"/>
      <c r="E2373" s="22"/>
      <c r="F2373" s="22"/>
      <c r="G2373" s="22"/>
      <c r="H2373" s="22"/>
      <c r="I2373" s="22"/>
      <c r="J2373" s="22"/>
      <c r="K2373" s="22"/>
      <c r="L2373" s="22"/>
      <c r="M2373" s="22"/>
      <c r="N2373" s="22"/>
    </row>
    <row r="2374" spans="1:14" x14ac:dyDescent="0.3">
      <c r="A2374" s="22" t="s">
        <v>3833</v>
      </c>
      <c r="B2374" s="22">
        <v>0</v>
      </c>
      <c r="C2374" s="22"/>
      <c r="D2374" s="22"/>
      <c r="E2374" s="22"/>
      <c r="F2374" s="22"/>
      <c r="G2374" s="22"/>
      <c r="H2374" s="22"/>
      <c r="I2374" s="22"/>
      <c r="J2374" s="22"/>
      <c r="K2374" s="22"/>
      <c r="L2374" s="22"/>
      <c r="M2374" s="22"/>
      <c r="N2374" s="22"/>
    </row>
    <row r="2375" spans="1:14" x14ac:dyDescent="0.3">
      <c r="A2375" s="22" t="s">
        <v>2931</v>
      </c>
      <c r="B2375" s="22">
        <v>0</v>
      </c>
      <c r="C2375" s="22"/>
      <c r="D2375" s="22"/>
      <c r="E2375" s="22"/>
      <c r="F2375" s="22"/>
      <c r="G2375" s="22"/>
      <c r="H2375" s="22"/>
      <c r="I2375" s="22"/>
      <c r="J2375" s="22"/>
      <c r="K2375" s="22"/>
      <c r="L2375" s="22"/>
      <c r="M2375" s="22"/>
      <c r="N2375" s="22"/>
    </row>
    <row r="2376" spans="1:14" x14ac:dyDescent="0.3">
      <c r="A2376" s="22" t="s">
        <v>3834</v>
      </c>
      <c r="B2376" s="22">
        <v>0</v>
      </c>
      <c r="C2376" s="22"/>
      <c r="D2376" s="22"/>
      <c r="E2376" s="22"/>
      <c r="F2376" s="22"/>
      <c r="G2376" s="22"/>
      <c r="H2376" s="22"/>
      <c r="I2376" s="22"/>
      <c r="J2376" s="22"/>
      <c r="K2376" s="22"/>
      <c r="L2376" s="22"/>
      <c r="M2376" s="22"/>
      <c r="N2376" s="22"/>
    </row>
    <row r="2377" spans="1:14" x14ac:dyDescent="0.3">
      <c r="A2377" s="22" t="s">
        <v>3835</v>
      </c>
      <c r="B2377" s="22">
        <v>0</v>
      </c>
      <c r="C2377" s="22"/>
      <c r="D2377" s="22"/>
      <c r="E2377" s="22"/>
      <c r="F2377" s="22"/>
      <c r="G2377" s="22"/>
      <c r="H2377" s="22"/>
      <c r="I2377" s="22"/>
      <c r="J2377" s="22"/>
      <c r="K2377" s="22"/>
      <c r="L2377" s="22"/>
      <c r="M2377" s="22"/>
      <c r="N2377" s="22"/>
    </row>
    <row r="2378" spans="1:14" x14ac:dyDescent="0.3">
      <c r="A2378" s="22" t="s">
        <v>3836</v>
      </c>
      <c r="B2378" s="22">
        <v>0</v>
      </c>
      <c r="C2378" s="22"/>
      <c r="D2378" s="22"/>
      <c r="E2378" s="22"/>
      <c r="F2378" s="22"/>
      <c r="G2378" s="22"/>
      <c r="H2378" s="22"/>
      <c r="I2378" s="22"/>
      <c r="J2378" s="22"/>
      <c r="K2378" s="22"/>
      <c r="L2378" s="22"/>
      <c r="M2378" s="22"/>
      <c r="N2378" s="22"/>
    </row>
    <row r="2379" spans="1:14" x14ac:dyDescent="0.3">
      <c r="A2379" s="22" t="s">
        <v>3837</v>
      </c>
      <c r="B2379" s="22">
        <v>0</v>
      </c>
      <c r="C2379" s="22"/>
      <c r="D2379" s="22"/>
      <c r="E2379" s="22"/>
      <c r="F2379" s="22"/>
      <c r="G2379" s="22"/>
      <c r="H2379" s="22"/>
      <c r="I2379" s="22"/>
      <c r="J2379" s="22"/>
      <c r="K2379" s="22"/>
      <c r="L2379" s="22"/>
      <c r="M2379" s="22"/>
      <c r="N2379" s="22"/>
    </row>
    <row r="2380" spans="1:14" x14ac:dyDescent="0.3">
      <c r="A2380" s="22" t="s">
        <v>3838</v>
      </c>
      <c r="B2380" s="22">
        <v>0</v>
      </c>
      <c r="C2380" s="22"/>
      <c r="D2380" s="22"/>
      <c r="E2380" s="22"/>
      <c r="F2380" s="22"/>
      <c r="G2380" s="22"/>
      <c r="H2380" s="22"/>
      <c r="I2380" s="22"/>
      <c r="J2380" s="22"/>
      <c r="K2380" s="22"/>
      <c r="L2380" s="22"/>
      <c r="M2380" s="22"/>
      <c r="N2380" s="22"/>
    </row>
    <row r="2381" spans="1:14" x14ac:dyDescent="0.3">
      <c r="A2381" s="22" t="s">
        <v>3839</v>
      </c>
      <c r="B2381" s="22">
        <v>0</v>
      </c>
      <c r="C2381" s="22"/>
      <c r="D2381" s="22"/>
      <c r="E2381" s="22"/>
      <c r="F2381" s="22"/>
      <c r="G2381" s="22"/>
      <c r="H2381" s="22"/>
      <c r="I2381" s="22"/>
      <c r="J2381" s="22"/>
      <c r="K2381" s="22"/>
      <c r="L2381" s="22"/>
      <c r="M2381" s="22"/>
      <c r="N2381" s="22"/>
    </row>
    <row r="2382" spans="1:14" x14ac:dyDescent="0.3">
      <c r="A2382" s="22" t="s">
        <v>3840</v>
      </c>
      <c r="B2382" s="22">
        <v>0</v>
      </c>
      <c r="C2382" s="22"/>
      <c r="D2382" s="22"/>
      <c r="E2382" s="22"/>
      <c r="F2382" s="22"/>
      <c r="G2382" s="22"/>
      <c r="H2382" s="22"/>
      <c r="I2382" s="22"/>
      <c r="J2382" s="22"/>
      <c r="K2382" s="22"/>
      <c r="L2382" s="22"/>
      <c r="M2382" s="22"/>
      <c r="N2382" s="22"/>
    </row>
    <row r="2383" spans="1:14" x14ac:dyDescent="0.3">
      <c r="A2383" s="22" t="s">
        <v>2932</v>
      </c>
      <c r="B2383" s="22">
        <v>8</v>
      </c>
      <c r="C2383" s="22"/>
      <c r="D2383" s="22"/>
      <c r="E2383" s="22"/>
      <c r="F2383" s="22"/>
      <c r="G2383" s="22"/>
      <c r="H2383" s="22"/>
      <c r="I2383" s="22"/>
      <c r="J2383" s="22"/>
      <c r="K2383" s="22"/>
      <c r="L2383" s="22"/>
      <c r="M2383" s="22"/>
      <c r="N2383" s="22"/>
    </row>
    <row r="2384" spans="1:14" x14ac:dyDescent="0.3">
      <c r="A2384" s="22" t="s">
        <v>5507</v>
      </c>
      <c r="B2384" s="22">
        <v>0</v>
      </c>
      <c r="C2384" s="22"/>
      <c r="D2384" s="22"/>
      <c r="E2384" s="22"/>
      <c r="F2384" s="22"/>
      <c r="G2384" s="22"/>
      <c r="H2384" s="22"/>
      <c r="I2384" s="22"/>
      <c r="J2384" s="22"/>
      <c r="K2384" s="22"/>
      <c r="L2384" s="22"/>
      <c r="M2384" s="22"/>
      <c r="N2384" s="22"/>
    </row>
    <row r="2385" spans="1:14" x14ac:dyDescent="0.3">
      <c r="A2385" s="22" t="s">
        <v>5508</v>
      </c>
      <c r="B2385" s="22">
        <v>0</v>
      </c>
      <c r="C2385" s="22"/>
      <c r="D2385" s="22"/>
      <c r="E2385" s="22"/>
      <c r="F2385" s="22"/>
      <c r="G2385" s="22"/>
      <c r="H2385" s="22"/>
      <c r="I2385" s="22"/>
      <c r="J2385" s="22"/>
      <c r="K2385" s="22"/>
      <c r="L2385" s="22"/>
      <c r="M2385" s="22"/>
      <c r="N2385" s="22"/>
    </row>
    <row r="2386" spans="1:14" x14ac:dyDescent="0.3">
      <c r="A2386" s="22" t="s">
        <v>5509</v>
      </c>
      <c r="B2386" s="22">
        <v>0</v>
      </c>
      <c r="C2386" s="22"/>
      <c r="D2386" s="22"/>
      <c r="E2386" s="22"/>
      <c r="F2386" s="22"/>
      <c r="G2386" s="22"/>
      <c r="H2386" s="22"/>
      <c r="I2386" s="22"/>
      <c r="J2386" s="22"/>
      <c r="K2386" s="22"/>
      <c r="L2386" s="22"/>
      <c r="M2386" s="22"/>
      <c r="N2386" s="22"/>
    </row>
    <row r="2387" spans="1:14" x14ac:dyDescent="0.3">
      <c r="A2387" s="22" t="s">
        <v>5510</v>
      </c>
      <c r="B2387" s="22">
        <v>0</v>
      </c>
      <c r="C2387" s="22"/>
      <c r="D2387" s="22"/>
      <c r="E2387" s="22"/>
      <c r="F2387" s="22"/>
      <c r="G2387" s="22"/>
      <c r="H2387" s="22"/>
      <c r="I2387" s="22"/>
      <c r="J2387" s="22"/>
      <c r="K2387" s="22"/>
      <c r="L2387" s="22"/>
      <c r="M2387" s="22"/>
      <c r="N2387" s="22"/>
    </row>
    <row r="2388" spans="1:14" x14ac:dyDescent="0.3">
      <c r="A2388" s="22" t="s">
        <v>5511</v>
      </c>
      <c r="B2388" s="22">
        <v>0</v>
      </c>
      <c r="C2388" s="22"/>
      <c r="D2388" s="22"/>
      <c r="E2388" s="22"/>
      <c r="F2388" s="22"/>
      <c r="G2388" s="22"/>
      <c r="H2388" s="22"/>
      <c r="I2388" s="22"/>
      <c r="J2388" s="22"/>
      <c r="K2388" s="22"/>
      <c r="L2388" s="22"/>
      <c r="M2388" s="22"/>
      <c r="N2388" s="22"/>
    </row>
    <row r="2389" spans="1:14" x14ac:dyDescent="0.3">
      <c r="A2389" s="22" t="s">
        <v>5512</v>
      </c>
      <c r="B2389" s="22">
        <v>0</v>
      </c>
      <c r="C2389" s="22"/>
      <c r="D2389" s="22"/>
      <c r="E2389" s="22"/>
      <c r="F2389" s="22"/>
      <c r="G2389" s="22"/>
      <c r="H2389" s="22"/>
      <c r="I2389" s="22"/>
      <c r="J2389" s="22"/>
      <c r="K2389" s="22"/>
      <c r="L2389" s="22"/>
      <c r="M2389" s="22"/>
      <c r="N2389" s="22"/>
    </row>
    <row r="2390" spans="1:14" x14ac:dyDescent="0.3">
      <c r="A2390" s="22" t="s">
        <v>5513</v>
      </c>
      <c r="B2390" s="22">
        <v>0</v>
      </c>
      <c r="C2390" s="22"/>
      <c r="D2390" s="22"/>
      <c r="E2390" s="22"/>
      <c r="F2390" s="22"/>
      <c r="G2390" s="22"/>
      <c r="H2390" s="22"/>
      <c r="I2390" s="22"/>
      <c r="J2390" s="22"/>
      <c r="K2390" s="22"/>
      <c r="L2390" s="22"/>
      <c r="M2390" s="22"/>
      <c r="N2390" s="22"/>
    </row>
    <row r="2391" spans="1:14" x14ac:dyDescent="0.3">
      <c r="A2391" s="22" t="s">
        <v>2933</v>
      </c>
      <c r="B2391" s="22">
        <v>113</v>
      </c>
      <c r="C2391" s="22"/>
      <c r="D2391" s="22"/>
      <c r="E2391" s="22"/>
      <c r="F2391" s="22"/>
      <c r="G2391" s="22"/>
      <c r="H2391" s="22"/>
      <c r="I2391" s="22"/>
      <c r="J2391" s="22"/>
      <c r="K2391" s="22"/>
      <c r="L2391" s="22"/>
      <c r="M2391" s="22"/>
      <c r="N2391" s="22"/>
    </row>
    <row r="2392" spans="1:14" x14ac:dyDescent="0.3">
      <c r="A2392" s="22" t="s">
        <v>3841</v>
      </c>
      <c r="B2392" s="22">
        <v>0</v>
      </c>
      <c r="C2392" s="22"/>
      <c r="D2392" s="22"/>
      <c r="E2392" s="22"/>
      <c r="F2392" s="22"/>
      <c r="G2392" s="22"/>
      <c r="H2392" s="22"/>
      <c r="I2392" s="22"/>
      <c r="J2392" s="22"/>
      <c r="K2392" s="22"/>
      <c r="L2392" s="22"/>
      <c r="M2392" s="22"/>
      <c r="N2392" s="22"/>
    </row>
    <row r="2393" spans="1:14" x14ac:dyDescent="0.3">
      <c r="A2393" s="22" t="s">
        <v>3842</v>
      </c>
      <c r="B2393" s="22">
        <v>0</v>
      </c>
      <c r="C2393" s="22"/>
      <c r="D2393" s="22"/>
      <c r="E2393" s="22"/>
      <c r="F2393" s="22"/>
      <c r="G2393" s="22"/>
      <c r="H2393" s="22"/>
      <c r="I2393" s="22"/>
      <c r="J2393" s="22"/>
      <c r="K2393" s="22"/>
      <c r="L2393" s="22"/>
      <c r="M2393" s="22"/>
      <c r="N2393" s="22"/>
    </row>
    <row r="2394" spans="1:14" x14ac:dyDescent="0.3">
      <c r="A2394" s="22" t="s">
        <v>3843</v>
      </c>
      <c r="B2394" s="22">
        <v>0</v>
      </c>
      <c r="C2394" s="22"/>
      <c r="D2394" s="22"/>
      <c r="E2394" s="22"/>
      <c r="F2394" s="22"/>
      <c r="G2394" s="22"/>
      <c r="H2394" s="22"/>
      <c r="I2394" s="22"/>
      <c r="J2394" s="22"/>
      <c r="K2394" s="22"/>
      <c r="L2394" s="22"/>
      <c r="M2394" s="22"/>
      <c r="N2394" s="22"/>
    </row>
    <row r="2395" spans="1:14" x14ac:dyDescent="0.3">
      <c r="A2395" s="22" t="s">
        <v>3844</v>
      </c>
      <c r="B2395" s="22">
        <v>0</v>
      </c>
      <c r="C2395" s="22"/>
      <c r="D2395" s="22"/>
      <c r="E2395" s="22"/>
      <c r="F2395" s="22"/>
      <c r="G2395" s="22"/>
      <c r="H2395" s="22"/>
      <c r="I2395" s="22"/>
      <c r="J2395" s="22"/>
      <c r="K2395" s="22"/>
      <c r="L2395" s="22"/>
      <c r="M2395" s="22"/>
      <c r="N2395" s="22"/>
    </row>
    <row r="2396" spans="1:14" x14ac:dyDescent="0.3">
      <c r="A2396" s="22" t="s">
        <v>3845</v>
      </c>
      <c r="B2396" s="22">
        <v>0</v>
      </c>
      <c r="C2396" s="22"/>
      <c r="D2396" s="22"/>
      <c r="E2396" s="22"/>
      <c r="F2396" s="22"/>
      <c r="G2396" s="22"/>
      <c r="H2396" s="22"/>
      <c r="I2396" s="22"/>
      <c r="J2396" s="22"/>
      <c r="K2396" s="22"/>
      <c r="L2396" s="22"/>
      <c r="M2396" s="22"/>
      <c r="N2396" s="22"/>
    </row>
    <row r="2397" spans="1:14" x14ac:dyDescent="0.3">
      <c r="A2397" s="22" t="s">
        <v>3846</v>
      </c>
      <c r="B2397" s="22">
        <v>0</v>
      </c>
      <c r="C2397" s="22"/>
      <c r="D2397" s="22"/>
      <c r="E2397" s="22"/>
      <c r="F2397" s="22"/>
      <c r="G2397" s="22"/>
      <c r="H2397" s="22"/>
      <c r="I2397" s="22"/>
      <c r="J2397" s="22"/>
      <c r="K2397" s="22"/>
      <c r="L2397" s="22"/>
      <c r="M2397" s="22"/>
      <c r="N2397" s="22"/>
    </row>
    <row r="2398" spans="1:14" x14ac:dyDescent="0.3">
      <c r="A2398" s="22" t="s">
        <v>3847</v>
      </c>
      <c r="B2398" s="22">
        <v>0</v>
      </c>
      <c r="C2398" s="22"/>
      <c r="D2398" s="22"/>
      <c r="E2398" s="22"/>
      <c r="F2398" s="22"/>
      <c r="G2398" s="22"/>
      <c r="H2398" s="22"/>
      <c r="I2398" s="22"/>
      <c r="J2398" s="22"/>
      <c r="K2398" s="22"/>
      <c r="L2398" s="22"/>
      <c r="M2398" s="22"/>
      <c r="N2398" s="22"/>
    </row>
    <row r="2399" spans="1:14" x14ac:dyDescent="0.3">
      <c r="A2399" s="22" t="s">
        <v>2934</v>
      </c>
      <c r="B2399" s="22">
        <v>0</v>
      </c>
      <c r="C2399" s="22"/>
      <c r="D2399" s="22"/>
      <c r="E2399" s="22"/>
      <c r="F2399" s="22"/>
      <c r="G2399" s="22"/>
      <c r="H2399" s="22"/>
      <c r="I2399" s="22"/>
      <c r="J2399" s="22"/>
      <c r="K2399" s="22"/>
      <c r="L2399" s="22"/>
      <c r="M2399" s="22"/>
      <c r="N2399" s="22"/>
    </row>
    <row r="2400" spans="1:14" x14ac:dyDescent="0.3">
      <c r="A2400" s="22" t="s">
        <v>5360</v>
      </c>
      <c r="B2400" s="22">
        <v>0</v>
      </c>
      <c r="C2400" s="22"/>
      <c r="D2400" s="22"/>
      <c r="E2400" s="22"/>
      <c r="F2400" s="22"/>
      <c r="G2400" s="22"/>
      <c r="H2400" s="22"/>
      <c r="I2400" s="22"/>
      <c r="J2400" s="22"/>
      <c r="K2400" s="22"/>
      <c r="L2400" s="22"/>
      <c r="M2400" s="22"/>
      <c r="N2400" s="22"/>
    </row>
    <row r="2401" spans="1:14" x14ac:dyDescent="0.3">
      <c r="A2401" s="22" t="s">
        <v>5361</v>
      </c>
      <c r="B2401" s="22">
        <v>0</v>
      </c>
      <c r="C2401" s="22"/>
      <c r="D2401" s="22"/>
      <c r="E2401" s="22"/>
      <c r="F2401" s="22"/>
      <c r="G2401" s="22"/>
      <c r="H2401" s="22"/>
      <c r="I2401" s="22"/>
      <c r="J2401" s="22"/>
      <c r="K2401" s="22"/>
      <c r="L2401" s="22"/>
      <c r="M2401" s="22"/>
      <c r="N2401" s="22"/>
    </row>
    <row r="2402" spans="1:14" x14ac:dyDescent="0.3">
      <c r="A2402" s="22" t="s">
        <v>5362</v>
      </c>
      <c r="B2402" s="22">
        <v>0</v>
      </c>
      <c r="C2402" s="22"/>
      <c r="D2402" s="22"/>
      <c r="E2402" s="22"/>
      <c r="F2402" s="22"/>
      <c r="G2402" s="22"/>
      <c r="H2402" s="22"/>
      <c r="I2402" s="22"/>
      <c r="J2402" s="22"/>
      <c r="K2402" s="22"/>
      <c r="L2402" s="22"/>
      <c r="M2402" s="22"/>
      <c r="N2402" s="22"/>
    </row>
    <row r="2403" spans="1:14" x14ac:dyDescent="0.3">
      <c r="A2403" s="22" t="s">
        <v>5363</v>
      </c>
      <c r="B2403" s="22">
        <v>0</v>
      </c>
      <c r="C2403" s="22"/>
      <c r="D2403" s="22"/>
      <c r="E2403" s="22"/>
      <c r="F2403" s="22"/>
      <c r="G2403" s="22"/>
      <c r="H2403" s="22"/>
      <c r="I2403" s="22"/>
      <c r="J2403" s="22"/>
      <c r="K2403" s="22"/>
      <c r="L2403" s="22"/>
      <c r="M2403" s="22"/>
      <c r="N2403" s="22"/>
    </row>
    <row r="2404" spans="1:14" x14ac:dyDescent="0.3">
      <c r="A2404" s="22" t="s">
        <v>5364</v>
      </c>
      <c r="B2404" s="22">
        <v>0</v>
      </c>
      <c r="C2404" s="22"/>
      <c r="D2404" s="22"/>
      <c r="E2404" s="22"/>
      <c r="F2404" s="22"/>
      <c r="G2404" s="22"/>
      <c r="H2404" s="22"/>
      <c r="I2404" s="22"/>
      <c r="J2404" s="22"/>
      <c r="K2404" s="22"/>
      <c r="L2404" s="22"/>
      <c r="M2404" s="22"/>
      <c r="N2404" s="22"/>
    </row>
    <row r="2405" spans="1:14" x14ac:dyDescent="0.3">
      <c r="A2405" s="22" t="s">
        <v>5365</v>
      </c>
      <c r="B2405" s="22">
        <v>0</v>
      </c>
      <c r="C2405" s="22"/>
      <c r="D2405" s="22"/>
      <c r="E2405" s="22"/>
      <c r="F2405" s="22"/>
      <c r="G2405" s="22"/>
      <c r="H2405" s="22"/>
      <c r="I2405" s="22"/>
      <c r="J2405" s="22"/>
      <c r="K2405" s="22"/>
      <c r="L2405" s="22"/>
      <c r="M2405" s="22"/>
      <c r="N2405" s="22"/>
    </row>
    <row r="2406" spans="1:14" x14ac:dyDescent="0.3">
      <c r="A2406" s="22" t="s">
        <v>5366</v>
      </c>
      <c r="B2406" s="22">
        <v>0</v>
      </c>
      <c r="C2406" s="22"/>
      <c r="D2406" s="22"/>
      <c r="E2406" s="22"/>
      <c r="F2406" s="22"/>
      <c r="G2406" s="22"/>
      <c r="H2406" s="22"/>
      <c r="I2406" s="22"/>
      <c r="J2406" s="22"/>
      <c r="K2406" s="22"/>
      <c r="L2406" s="22"/>
      <c r="M2406" s="22"/>
      <c r="N2406" s="22"/>
    </row>
    <row r="2407" spans="1:14" x14ac:dyDescent="0.3">
      <c r="A2407" s="22" t="s">
        <v>2935</v>
      </c>
      <c r="B2407" s="22">
        <v>42</v>
      </c>
      <c r="C2407" s="22"/>
      <c r="D2407" s="22"/>
      <c r="E2407" s="22"/>
      <c r="F2407" s="22"/>
      <c r="G2407" s="22"/>
      <c r="H2407" s="22"/>
      <c r="I2407" s="22"/>
      <c r="J2407" s="22"/>
      <c r="K2407" s="22"/>
      <c r="L2407" s="22"/>
      <c r="M2407" s="22"/>
      <c r="N2407" s="22"/>
    </row>
    <row r="2408" spans="1:14" x14ac:dyDescent="0.3">
      <c r="A2408" s="22" t="s">
        <v>3848</v>
      </c>
      <c r="B2408" s="22">
        <v>0</v>
      </c>
      <c r="C2408" s="22"/>
      <c r="D2408" s="22"/>
      <c r="E2408" s="22"/>
      <c r="F2408" s="22"/>
      <c r="G2408" s="22"/>
      <c r="H2408" s="22"/>
      <c r="I2408" s="22"/>
      <c r="J2408" s="22"/>
      <c r="K2408" s="22"/>
      <c r="L2408" s="22"/>
      <c r="M2408" s="22"/>
      <c r="N2408" s="22"/>
    </row>
    <row r="2409" spans="1:14" x14ac:dyDescent="0.3">
      <c r="A2409" s="22" t="s">
        <v>3849</v>
      </c>
      <c r="B2409" s="22">
        <v>0</v>
      </c>
      <c r="C2409" s="22"/>
      <c r="D2409" s="22"/>
      <c r="E2409" s="22"/>
      <c r="F2409" s="22"/>
      <c r="G2409" s="22"/>
      <c r="H2409" s="22"/>
      <c r="I2409" s="22"/>
      <c r="J2409" s="22"/>
      <c r="K2409" s="22"/>
      <c r="L2409" s="22"/>
      <c r="M2409" s="22"/>
      <c r="N2409" s="22"/>
    </row>
    <row r="2410" spans="1:14" x14ac:dyDescent="0.3">
      <c r="A2410" s="22" t="s">
        <v>3850</v>
      </c>
      <c r="B2410" s="22">
        <v>0</v>
      </c>
      <c r="C2410" s="22"/>
      <c r="D2410" s="22"/>
      <c r="E2410" s="22"/>
      <c r="F2410" s="22"/>
      <c r="G2410" s="22"/>
      <c r="H2410" s="22"/>
      <c r="I2410" s="22"/>
      <c r="J2410" s="22"/>
      <c r="K2410" s="22"/>
      <c r="L2410" s="22"/>
      <c r="M2410" s="22"/>
      <c r="N2410" s="22"/>
    </row>
    <row r="2411" spans="1:14" x14ac:dyDescent="0.3">
      <c r="A2411" s="22" t="s">
        <v>3851</v>
      </c>
      <c r="B2411" s="22">
        <v>0</v>
      </c>
      <c r="C2411" s="22"/>
      <c r="D2411" s="22"/>
      <c r="E2411" s="22"/>
      <c r="F2411" s="22"/>
      <c r="G2411" s="22"/>
      <c r="H2411" s="22"/>
      <c r="I2411" s="22"/>
      <c r="J2411" s="22"/>
      <c r="K2411" s="22"/>
      <c r="L2411" s="22"/>
      <c r="M2411" s="22"/>
      <c r="N2411" s="22"/>
    </row>
    <row r="2412" spans="1:14" x14ac:dyDescent="0.3">
      <c r="A2412" s="22" t="s">
        <v>3852</v>
      </c>
      <c r="B2412" s="22">
        <v>0</v>
      </c>
      <c r="C2412" s="22"/>
      <c r="D2412" s="22"/>
      <c r="E2412" s="22"/>
      <c r="F2412" s="22"/>
      <c r="G2412" s="22"/>
      <c r="H2412" s="22"/>
      <c r="I2412" s="22"/>
      <c r="J2412" s="22"/>
      <c r="K2412" s="22"/>
      <c r="L2412" s="22"/>
      <c r="M2412" s="22"/>
      <c r="N2412" s="22"/>
    </row>
    <row r="2413" spans="1:14" x14ac:dyDescent="0.3">
      <c r="A2413" s="22" t="s">
        <v>3853</v>
      </c>
      <c r="B2413" s="22">
        <v>0</v>
      </c>
      <c r="C2413" s="22"/>
      <c r="D2413" s="22"/>
      <c r="E2413" s="22"/>
      <c r="F2413" s="22"/>
      <c r="G2413" s="22"/>
      <c r="H2413" s="22"/>
      <c r="I2413" s="22"/>
      <c r="J2413" s="22"/>
      <c r="K2413" s="22"/>
      <c r="L2413" s="22"/>
      <c r="M2413" s="22"/>
      <c r="N2413" s="22"/>
    </row>
    <row r="2414" spans="1:14" x14ac:dyDescent="0.3">
      <c r="A2414" s="22" t="s">
        <v>3854</v>
      </c>
      <c r="B2414" s="22">
        <v>0</v>
      </c>
      <c r="C2414" s="22"/>
      <c r="D2414" s="22"/>
      <c r="E2414" s="22"/>
      <c r="F2414" s="22"/>
      <c r="G2414" s="22"/>
      <c r="H2414" s="22"/>
      <c r="I2414" s="22"/>
      <c r="J2414" s="22"/>
      <c r="K2414" s="22"/>
      <c r="L2414" s="22"/>
      <c r="M2414" s="22"/>
      <c r="N2414" s="22"/>
    </row>
    <row r="2415" spans="1:14" x14ac:dyDescent="0.3">
      <c r="A2415" s="22" t="s">
        <v>2936</v>
      </c>
      <c r="B2415" s="22">
        <v>2</v>
      </c>
      <c r="C2415" s="22"/>
      <c r="D2415" s="22"/>
      <c r="E2415" s="22"/>
      <c r="F2415" s="22"/>
      <c r="G2415" s="22"/>
      <c r="H2415" s="22"/>
      <c r="I2415" s="22"/>
      <c r="J2415" s="22"/>
      <c r="K2415" s="22"/>
      <c r="L2415" s="22"/>
      <c r="M2415" s="22"/>
      <c r="N2415" s="22"/>
    </row>
    <row r="2416" spans="1:14" x14ac:dyDescent="0.3">
      <c r="A2416" s="22" t="s">
        <v>3855</v>
      </c>
      <c r="B2416" s="22">
        <v>0</v>
      </c>
      <c r="C2416" s="22"/>
      <c r="D2416" s="22"/>
      <c r="E2416" s="22"/>
      <c r="F2416" s="22"/>
      <c r="G2416" s="22"/>
      <c r="H2416" s="22"/>
      <c r="I2416" s="22"/>
      <c r="J2416" s="22"/>
      <c r="K2416" s="22"/>
      <c r="L2416" s="22"/>
      <c r="M2416" s="22"/>
      <c r="N2416" s="22"/>
    </row>
    <row r="2417" spans="1:14" x14ac:dyDescent="0.3">
      <c r="A2417" s="22" t="s">
        <v>3856</v>
      </c>
      <c r="B2417" s="22">
        <v>0</v>
      </c>
      <c r="C2417" s="22"/>
      <c r="D2417" s="22"/>
      <c r="E2417" s="22"/>
      <c r="F2417" s="22"/>
      <c r="G2417" s="22"/>
      <c r="H2417" s="22"/>
      <c r="I2417" s="22"/>
      <c r="J2417" s="22"/>
      <c r="K2417" s="22"/>
      <c r="L2417" s="22"/>
      <c r="M2417" s="22"/>
      <c r="N2417" s="22"/>
    </row>
    <row r="2418" spans="1:14" x14ac:dyDescent="0.3">
      <c r="A2418" s="22" t="s">
        <v>3857</v>
      </c>
      <c r="B2418" s="22">
        <v>0</v>
      </c>
      <c r="C2418" s="22"/>
      <c r="D2418" s="22"/>
      <c r="E2418" s="22"/>
      <c r="F2418" s="22"/>
      <c r="G2418" s="22"/>
      <c r="H2418" s="22"/>
      <c r="I2418" s="22"/>
      <c r="J2418" s="22"/>
      <c r="K2418" s="22"/>
      <c r="L2418" s="22"/>
      <c r="M2418" s="22"/>
      <c r="N2418" s="22"/>
    </row>
    <row r="2419" spans="1:14" x14ac:dyDescent="0.3">
      <c r="A2419" s="22" t="s">
        <v>3858</v>
      </c>
      <c r="B2419" s="22">
        <v>0</v>
      </c>
      <c r="C2419" s="22"/>
      <c r="D2419" s="22"/>
      <c r="E2419" s="22"/>
      <c r="F2419" s="22"/>
      <c r="G2419" s="22"/>
      <c r="H2419" s="22"/>
      <c r="I2419" s="22"/>
      <c r="J2419" s="22"/>
      <c r="K2419" s="22"/>
      <c r="L2419" s="22"/>
      <c r="M2419" s="22"/>
      <c r="N2419" s="22"/>
    </row>
    <row r="2420" spans="1:14" x14ac:dyDescent="0.3">
      <c r="A2420" s="22" t="s">
        <v>3859</v>
      </c>
      <c r="B2420" s="22">
        <v>0</v>
      </c>
      <c r="C2420" s="22"/>
      <c r="D2420" s="22"/>
      <c r="E2420" s="22"/>
      <c r="F2420" s="22"/>
      <c r="G2420" s="22"/>
      <c r="H2420" s="22"/>
      <c r="I2420" s="22"/>
      <c r="J2420" s="22"/>
      <c r="K2420" s="22"/>
      <c r="L2420" s="22"/>
      <c r="M2420" s="22"/>
      <c r="N2420" s="22"/>
    </row>
    <row r="2421" spans="1:14" x14ac:dyDescent="0.3">
      <c r="A2421" s="22" t="s">
        <v>3860</v>
      </c>
      <c r="B2421" s="22">
        <v>0</v>
      </c>
      <c r="C2421" s="22"/>
      <c r="D2421" s="22"/>
      <c r="E2421" s="22"/>
      <c r="F2421" s="22"/>
      <c r="G2421" s="22"/>
      <c r="H2421" s="22"/>
      <c r="I2421" s="22"/>
      <c r="J2421" s="22"/>
      <c r="K2421" s="22"/>
      <c r="L2421" s="22"/>
      <c r="M2421" s="22"/>
      <c r="N2421" s="22"/>
    </row>
    <row r="2422" spans="1:14" x14ac:dyDescent="0.3">
      <c r="A2422" s="22" t="s">
        <v>3861</v>
      </c>
      <c r="B2422" s="22">
        <v>0</v>
      </c>
      <c r="C2422" s="22"/>
      <c r="D2422" s="22"/>
      <c r="E2422" s="22"/>
      <c r="F2422" s="22"/>
      <c r="G2422" s="22"/>
      <c r="H2422" s="22"/>
      <c r="I2422" s="22"/>
      <c r="J2422" s="22"/>
      <c r="K2422" s="22"/>
      <c r="L2422" s="22"/>
      <c r="M2422" s="22"/>
      <c r="N2422" s="22"/>
    </row>
    <row r="2423" spans="1:14" x14ac:dyDescent="0.3">
      <c r="A2423" s="22" t="s">
        <v>2937</v>
      </c>
      <c r="B2423" s="22">
        <v>0</v>
      </c>
      <c r="C2423" s="22"/>
      <c r="D2423" s="22"/>
      <c r="E2423" s="22"/>
      <c r="F2423" s="22"/>
      <c r="G2423" s="22"/>
      <c r="H2423" s="22"/>
      <c r="I2423" s="22"/>
      <c r="J2423" s="22"/>
      <c r="K2423" s="22"/>
      <c r="L2423" s="22"/>
      <c r="M2423" s="22"/>
      <c r="N2423" s="22"/>
    </row>
    <row r="2424" spans="1:14" x14ac:dyDescent="0.3">
      <c r="A2424" s="22" t="s">
        <v>3862</v>
      </c>
      <c r="B2424" s="22">
        <v>0</v>
      </c>
      <c r="C2424" s="22"/>
      <c r="D2424" s="22"/>
      <c r="E2424" s="22"/>
      <c r="F2424" s="22"/>
      <c r="G2424" s="22"/>
      <c r="H2424" s="22"/>
      <c r="I2424" s="22"/>
      <c r="J2424" s="22"/>
      <c r="K2424" s="22"/>
      <c r="L2424" s="22"/>
      <c r="M2424" s="22"/>
      <c r="N2424" s="22"/>
    </row>
    <row r="2425" spans="1:14" x14ac:dyDescent="0.3">
      <c r="A2425" s="22" t="s">
        <v>3863</v>
      </c>
      <c r="B2425" s="22">
        <v>0</v>
      </c>
      <c r="C2425" s="22"/>
      <c r="D2425" s="22"/>
      <c r="E2425" s="22"/>
      <c r="F2425" s="22"/>
      <c r="G2425" s="22"/>
      <c r="H2425" s="22"/>
      <c r="I2425" s="22"/>
      <c r="J2425" s="22"/>
      <c r="K2425" s="22"/>
      <c r="L2425" s="22"/>
      <c r="M2425" s="22"/>
      <c r="N2425" s="22"/>
    </row>
    <row r="2426" spans="1:14" x14ac:dyDescent="0.3">
      <c r="A2426" s="22" t="s">
        <v>3864</v>
      </c>
      <c r="B2426" s="22">
        <v>0</v>
      </c>
      <c r="C2426" s="22"/>
      <c r="D2426" s="22"/>
      <c r="E2426" s="22"/>
      <c r="F2426" s="22"/>
      <c r="G2426" s="22"/>
      <c r="H2426" s="22"/>
      <c r="I2426" s="22"/>
      <c r="J2426" s="22"/>
      <c r="K2426" s="22"/>
      <c r="L2426" s="22"/>
      <c r="M2426" s="22"/>
      <c r="N2426" s="22"/>
    </row>
    <row r="2427" spans="1:14" x14ac:dyDescent="0.3">
      <c r="A2427" s="22" t="s">
        <v>3865</v>
      </c>
      <c r="B2427" s="22">
        <v>0</v>
      </c>
      <c r="C2427" s="22"/>
      <c r="D2427" s="22"/>
      <c r="E2427" s="22"/>
      <c r="F2427" s="22"/>
      <c r="G2427" s="22"/>
      <c r="H2427" s="22"/>
      <c r="I2427" s="22"/>
      <c r="J2427" s="22"/>
      <c r="K2427" s="22"/>
      <c r="L2427" s="22"/>
      <c r="M2427" s="22"/>
      <c r="N2427" s="22"/>
    </row>
    <row r="2428" spans="1:14" x14ac:dyDescent="0.3">
      <c r="A2428" s="22" t="s">
        <v>3866</v>
      </c>
      <c r="B2428" s="22">
        <v>0</v>
      </c>
      <c r="C2428" s="22"/>
      <c r="D2428" s="22"/>
      <c r="E2428" s="22"/>
      <c r="F2428" s="22"/>
      <c r="G2428" s="22"/>
      <c r="H2428" s="22"/>
      <c r="I2428" s="22"/>
      <c r="J2428" s="22"/>
      <c r="K2428" s="22"/>
      <c r="L2428" s="22"/>
      <c r="M2428" s="22"/>
      <c r="N2428" s="22"/>
    </row>
    <row r="2429" spans="1:14" x14ac:dyDescent="0.3">
      <c r="A2429" s="22" t="s">
        <v>3867</v>
      </c>
      <c r="B2429" s="22">
        <v>0</v>
      </c>
      <c r="C2429" s="22"/>
      <c r="D2429" s="22"/>
      <c r="E2429" s="22"/>
      <c r="F2429" s="22"/>
      <c r="G2429" s="22"/>
      <c r="H2429" s="22"/>
      <c r="I2429" s="22"/>
      <c r="J2429" s="22"/>
      <c r="K2429" s="22"/>
      <c r="L2429" s="22"/>
      <c r="M2429" s="22"/>
      <c r="N2429" s="22"/>
    </row>
    <row r="2430" spans="1:14" x14ac:dyDescent="0.3">
      <c r="A2430" s="22" t="s">
        <v>3868</v>
      </c>
      <c r="B2430" s="22">
        <v>0</v>
      </c>
      <c r="C2430" s="22"/>
      <c r="D2430" s="22"/>
      <c r="E2430" s="22"/>
      <c r="F2430" s="22"/>
      <c r="G2430" s="22"/>
      <c r="H2430" s="22"/>
      <c r="I2430" s="22"/>
      <c r="J2430" s="22"/>
      <c r="K2430" s="22"/>
      <c r="L2430" s="22"/>
      <c r="M2430" s="22"/>
      <c r="N2430" s="22"/>
    </row>
    <row r="2431" spans="1:14" x14ac:dyDescent="0.3">
      <c r="A2431" s="22" t="s">
        <v>2938</v>
      </c>
      <c r="B2431" s="22">
        <v>0</v>
      </c>
      <c r="C2431" s="22"/>
      <c r="D2431" s="22"/>
      <c r="E2431" s="22"/>
      <c r="F2431" s="22"/>
      <c r="G2431" s="22"/>
      <c r="H2431" s="22"/>
      <c r="I2431" s="22"/>
      <c r="J2431" s="22"/>
      <c r="K2431" s="22"/>
      <c r="L2431" s="22"/>
      <c r="M2431" s="22"/>
      <c r="N2431" s="22"/>
    </row>
    <row r="2432" spans="1:14" x14ac:dyDescent="0.3">
      <c r="A2432" s="22" t="s">
        <v>3869</v>
      </c>
      <c r="B2432" s="22">
        <v>0</v>
      </c>
      <c r="C2432" s="22"/>
      <c r="D2432" s="22"/>
      <c r="E2432" s="22"/>
      <c r="F2432" s="22"/>
      <c r="G2432" s="22"/>
      <c r="H2432" s="22"/>
      <c r="I2432" s="22"/>
      <c r="J2432" s="22"/>
      <c r="K2432" s="22"/>
      <c r="L2432" s="22"/>
      <c r="M2432" s="22"/>
      <c r="N2432" s="22"/>
    </row>
    <row r="2433" spans="1:14" x14ac:dyDescent="0.3">
      <c r="A2433" s="22" t="s">
        <v>3870</v>
      </c>
      <c r="B2433" s="22">
        <v>0</v>
      </c>
      <c r="C2433" s="22"/>
      <c r="D2433" s="22"/>
      <c r="E2433" s="22"/>
      <c r="F2433" s="22"/>
      <c r="G2433" s="22"/>
      <c r="H2433" s="22"/>
      <c r="I2433" s="22"/>
      <c r="J2433" s="22"/>
      <c r="K2433" s="22"/>
      <c r="L2433" s="22"/>
      <c r="M2433" s="22"/>
      <c r="N2433" s="22"/>
    </row>
    <row r="2434" spans="1:14" x14ac:dyDescent="0.3">
      <c r="A2434" s="22" t="s">
        <v>3871</v>
      </c>
      <c r="B2434" s="22">
        <v>0</v>
      </c>
      <c r="C2434" s="22"/>
      <c r="D2434" s="22"/>
      <c r="E2434" s="22"/>
      <c r="F2434" s="22"/>
      <c r="G2434" s="22"/>
      <c r="H2434" s="22"/>
      <c r="I2434" s="22"/>
      <c r="J2434" s="22"/>
      <c r="K2434" s="22"/>
      <c r="L2434" s="22"/>
      <c r="M2434" s="22"/>
      <c r="N2434" s="22"/>
    </row>
    <row r="2435" spans="1:14" x14ac:dyDescent="0.3">
      <c r="A2435" s="22" t="s">
        <v>3872</v>
      </c>
      <c r="B2435" s="22">
        <v>0</v>
      </c>
      <c r="C2435" s="22"/>
      <c r="D2435" s="22"/>
      <c r="E2435" s="22"/>
      <c r="F2435" s="22"/>
      <c r="G2435" s="22"/>
      <c r="H2435" s="22"/>
      <c r="I2435" s="22"/>
      <c r="J2435" s="22"/>
      <c r="K2435" s="22"/>
      <c r="L2435" s="22"/>
      <c r="M2435" s="22"/>
      <c r="N2435" s="22"/>
    </row>
    <row r="2436" spans="1:14" x14ac:dyDescent="0.3">
      <c r="A2436" s="22" t="s">
        <v>3873</v>
      </c>
      <c r="B2436" s="22">
        <v>0</v>
      </c>
      <c r="C2436" s="22"/>
      <c r="D2436" s="22"/>
      <c r="E2436" s="22"/>
      <c r="F2436" s="22"/>
      <c r="G2436" s="22"/>
      <c r="H2436" s="22"/>
      <c r="I2436" s="22"/>
      <c r="J2436" s="22"/>
      <c r="K2436" s="22"/>
      <c r="L2436" s="22"/>
      <c r="M2436" s="22"/>
      <c r="N2436" s="22"/>
    </row>
    <row r="2437" spans="1:14" x14ac:dyDescent="0.3">
      <c r="A2437" s="22" t="s">
        <v>3874</v>
      </c>
      <c r="B2437" s="22">
        <v>0</v>
      </c>
      <c r="C2437" s="22"/>
      <c r="D2437" s="22"/>
      <c r="E2437" s="22"/>
      <c r="F2437" s="22"/>
      <c r="G2437" s="22"/>
      <c r="H2437" s="22"/>
      <c r="I2437" s="22"/>
      <c r="J2437" s="22"/>
      <c r="K2437" s="22"/>
      <c r="L2437" s="22"/>
      <c r="M2437" s="22"/>
      <c r="N2437" s="22"/>
    </row>
    <row r="2438" spans="1:14" x14ac:dyDescent="0.3">
      <c r="A2438" s="22" t="s">
        <v>3875</v>
      </c>
      <c r="B2438" s="22">
        <v>0</v>
      </c>
      <c r="C2438" s="22"/>
      <c r="D2438" s="22"/>
      <c r="E2438" s="22"/>
      <c r="F2438" s="22"/>
      <c r="G2438" s="22"/>
      <c r="H2438" s="22"/>
      <c r="I2438" s="22"/>
      <c r="J2438" s="22"/>
      <c r="K2438" s="22"/>
      <c r="L2438" s="22"/>
      <c r="M2438" s="22"/>
      <c r="N2438" s="22"/>
    </row>
    <row r="2439" spans="1:14" x14ac:dyDescent="0.3">
      <c r="A2439" s="22" t="s">
        <v>2939</v>
      </c>
      <c r="B2439" s="22">
        <v>86</v>
      </c>
      <c r="C2439" s="22"/>
      <c r="D2439" s="22"/>
      <c r="E2439" s="22"/>
      <c r="F2439" s="22"/>
      <c r="G2439" s="22"/>
      <c r="H2439" s="22"/>
      <c r="I2439" s="22"/>
      <c r="J2439" s="22"/>
      <c r="K2439" s="22"/>
      <c r="L2439" s="22"/>
      <c r="M2439" s="22"/>
      <c r="N2439" s="22"/>
    </row>
    <row r="2440" spans="1:14" x14ac:dyDescent="0.3">
      <c r="A2440" s="22" t="s">
        <v>3876</v>
      </c>
      <c r="B2440" s="22">
        <v>1</v>
      </c>
      <c r="C2440" s="22"/>
      <c r="D2440" s="22"/>
      <c r="E2440" s="22"/>
      <c r="F2440" s="22"/>
      <c r="G2440" s="22"/>
      <c r="H2440" s="22"/>
      <c r="I2440" s="22"/>
      <c r="J2440" s="22"/>
      <c r="K2440" s="22"/>
      <c r="L2440" s="22"/>
      <c r="M2440" s="22"/>
      <c r="N2440" s="22"/>
    </row>
    <row r="2441" spans="1:14" x14ac:dyDescent="0.3">
      <c r="A2441" s="22" t="s">
        <v>3877</v>
      </c>
      <c r="B2441" s="22">
        <v>0</v>
      </c>
      <c r="C2441" s="22"/>
      <c r="D2441" s="22"/>
      <c r="E2441" s="22"/>
      <c r="F2441" s="22"/>
      <c r="G2441" s="22"/>
      <c r="H2441" s="22"/>
      <c r="I2441" s="22"/>
      <c r="J2441" s="22"/>
      <c r="K2441" s="22"/>
      <c r="L2441" s="22"/>
      <c r="M2441" s="22"/>
      <c r="N2441" s="22"/>
    </row>
    <row r="2442" spans="1:14" x14ac:dyDescent="0.3">
      <c r="A2442" s="22" t="s">
        <v>3878</v>
      </c>
      <c r="B2442" s="22">
        <v>0</v>
      </c>
      <c r="C2442" s="22"/>
      <c r="D2442" s="22"/>
      <c r="E2442" s="22"/>
      <c r="F2442" s="22"/>
      <c r="G2442" s="22"/>
      <c r="H2442" s="22"/>
      <c r="I2442" s="22"/>
      <c r="J2442" s="22"/>
      <c r="K2442" s="22"/>
      <c r="L2442" s="22"/>
      <c r="M2442" s="22"/>
      <c r="N2442" s="22"/>
    </row>
    <row r="2443" spans="1:14" x14ac:dyDescent="0.3">
      <c r="A2443" s="22" t="s">
        <v>3879</v>
      </c>
      <c r="B2443" s="22">
        <v>0</v>
      </c>
      <c r="C2443" s="22"/>
      <c r="D2443" s="22"/>
      <c r="E2443" s="22"/>
      <c r="F2443" s="22"/>
      <c r="G2443" s="22"/>
      <c r="H2443" s="22"/>
      <c r="I2443" s="22"/>
      <c r="J2443" s="22"/>
      <c r="K2443" s="22"/>
      <c r="L2443" s="22"/>
      <c r="M2443" s="22"/>
      <c r="N2443" s="22"/>
    </row>
    <row r="2444" spans="1:14" x14ac:dyDescent="0.3">
      <c r="A2444" s="22" t="s">
        <v>3880</v>
      </c>
      <c r="B2444" s="22">
        <v>0</v>
      </c>
      <c r="C2444" s="22"/>
      <c r="D2444" s="22"/>
      <c r="E2444" s="22"/>
      <c r="F2444" s="22"/>
      <c r="G2444" s="22"/>
      <c r="H2444" s="22"/>
      <c r="I2444" s="22"/>
      <c r="J2444" s="22"/>
      <c r="K2444" s="22"/>
      <c r="L2444" s="22"/>
      <c r="M2444" s="22"/>
      <c r="N2444" s="22"/>
    </row>
    <row r="2445" spans="1:14" x14ac:dyDescent="0.3">
      <c r="A2445" s="22" t="s">
        <v>3881</v>
      </c>
      <c r="B2445" s="22">
        <v>0</v>
      </c>
      <c r="C2445" s="22"/>
      <c r="D2445" s="22"/>
      <c r="E2445" s="22"/>
      <c r="F2445" s="22"/>
      <c r="G2445" s="22"/>
      <c r="H2445" s="22"/>
      <c r="I2445" s="22"/>
      <c r="J2445" s="22"/>
      <c r="K2445" s="22"/>
      <c r="L2445" s="22"/>
      <c r="M2445" s="22"/>
      <c r="N2445" s="22"/>
    </row>
    <row r="2446" spans="1:14" x14ac:dyDescent="0.3">
      <c r="A2446" s="22" t="s">
        <v>3882</v>
      </c>
      <c r="B2446" s="22">
        <v>0</v>
      </c>
      <c r="C2446" s="22"/>
      <c r="D2446" s="22"/>
      <c r="E2446" s="22"/>
      <c r="F2446" s="22"/>
      <c r="G2446" s="22"/>
      <c r="H2446" s="22"/>
      <c r="I2446" s="22"/>
      <c r="J2446" s="22"/>
      <c r="K2446" s="22"/>
      <c r="L2446" s="22"/>
      <c r="M2446" s="22"/>
      <c r="N2446" s="22"/>
    </row>
    <row r="2447" spans="1:14" x14ac:dyDescent="0.3">
      <c r="A2447" s="22" t="s">
        <v>2940</v>
      </c>
      <c r="B2447" s="22">
        <v>0</v>
      </c>
      <c r="C2447" s="22"/>
      <c r="D2447" s="22"/>
      <c r="E2447" s="22"/>
      <c r="F2447" s="22"/>
      <c r="G2447" s="22"/>
      <c r="H2447" s="22"/>
      <c r="I2447" s="22"/>
      <c r="J2447" s="22"/>
      <c r="K2447" s="22"/>
      <c r="L2447" s="22"/>
      <c r="M2447" s="22"/>
      <c r="N2447" s="22"/>
    </row>
    <row r="2448" spans="1:14" x14ac:dyDescent="0.3">
      <c r="A2448" s="22" t="s">
        <v>5085</v>
      </c>
      <c r="B2448" s="22">
        <v>0</v>
      </c>
      <c r="C2448" s="22"/>
      <c r="D2448" s="22"/>
      <c r="E2448" s="22"/>
      <c r="F2448" s="22"/>
      <c r="G2448" s="22"/>
      <c r="H2448" s="22"/>
      <c r="I2448" s="22"/>
      <c r="J2448" s="22"/>
      <c r="K2448" s="22"/>
      <c r="L2448" s="22"/>
      <c r="M2448" s="22"/>
      <c r="N2448" s="22"/>
    </row>
    <row r="2449" spans="1:14" x14ac:dyDescent="0.3">
      <c r="A2449" s="22" t="s">
        <v>5086</v>
      </c>
      <c r="B2449" s="22">
        <v>0</v>
      </c>
      <c r="C2449" s="22"/>
      <c r="D2449" s="22"/>
      <c r="E2449" s="22"/>
      <c r="F2449" s="22"/>
      <c r="G2449" s="22"/>
      <c r="H2449" s="22"/>
      <c r="I2449" s="22"/>
      <c r="J2449" s="22"/>
      <c r="K2449" s="22"/>
      <c r="L2449" s="22"/>
      <c r="M2449" s="22"/>
      <c r="N2449" s="22"/>
    </row>
    <row r="2450" spans="1:14" x14ac:dyDescent="0.3">
      <c r="A2450" s="22" t="s">
        <v>5087</v>
      </c>
      <c r="B2450" s="22">
        <v>0</v>
      </c>
      <c r="C2450" s="22"/>
      <c r="D2450" s="22"/>
      <c r="E2450" s="22"/>
      <c r="F2450" s="22"/>
      <c r="G2450" s="22"/>
      <c r="H2450" s="22"/>
      <c r="I2450" s="22"/>
      <c r="J2450" s="22"/>
      <c r="K2450" s="22"/>
      <c r="L2450" s="22"/>
      <c r="M2450" s="22"/>
      <c r="N2450" s="22"/>
    </row>
    <row r="2451" spans="1:14" x14ac:dyDescent="0.3">
      <c r="A2451" s="22" t="s">
        <v>5088</v>
      </c>
      <c r="B2451" s="22">
        <v>0</v>
      </c>
      <c r="C2451" s="22"/>
      <c r="D2451" s="22"/>
      <c r="E2451" s="22"/>
      <c r="F2451" s="22"/>
      <c r="G2451" s="22"/>
      <c r="H2451" s="22"/>
      <c r="I2451" s="22"/>
      <c r="J2451" s="22"/>
      <c r="K2451" s="22"/>
      <c r="L2451" s="22"/>
      <c r="M2451" s="22"/>
      <c r="N2451" s="22"/>
    </row>
    <row r="2452" spans="1:14" x14ac:dyDescent="0.3">
      <c r="A2452" s="22" t="s">
        <v>5089</v>
      </c>
      <c r="B2452" s="22">
        <v>0</v>
      </c>
      <c r="C2452" s="22"/>
      <c r="D2452" s="22"/>
      <c r="E2452" s="22"/>
      <c r="F2452" s="22"/>
      <c r="G2452" s="22"/>
      <c r="H2452" s="22"/>
      <c r="I2452" s="22"/>
      <c r="J2452" s="22"/>
      <c r="K2452" s="22"/>
      <c r="L2452" s="22"/>
      <c r="M2452" s="22"/>
      <c r="N2452" s="22"/>
    </row>
    <row r="2453" spans="1:14" x14ac:dyDescent="0.3">
      <c r="A2453" s="22" t="s">
        <v>5090</v>
      </c>
      <c r="B2453" s="22">
        <v>0</v>
      </c>
      <c r="C2453" s="22"/>
      <c r="D2453" s="22"/>
      <c r="E2453" s="22"/>
      <c r="F2453" s="22"/>
      <c r="G2453" s="22"/>
      <c r="H2453" s="22"/>
      <c r="I2453" s="22"/>
      <c r="J2453" s="22"/>
      <c r="K2453" s="22"/>
      <c r="L2453" s="22"/>
      <c r="M2453" s="22"/>
      <c r="N2453" s="22"/>
    </row>
    <row r="2454" spans="1:14" x14ac:dyDescent="0.3">
      <c r="A2454" s="22" t="s">
        <v>5091</v>
      </c>
      <c r="B2454" s="22">
        <v>0</v>
      </c>
      <c r="C2454" s="22"/>
      <c r="D2454" s="22"/>
      <c r="E2454" s="22"/>
      <c r="F2454" s="22"/>
      <c r="G2454" s="22"/>
      <c r="H2454" s="22"/>
      <c r="I2454" s="22"/>
      <c r="J2454" s="22"/>
      <c r="K2454" s="22"/>
      <c r="L2454" s="22"/>
      <c r="M2454" s="22"/>
      <c r="N2454" s="22"/>
    </row>
    <row r="2455" spans="1:14" x14ac:dyDescent="0.3">
      <c r="A2455" s="22" t="s">
        <v>2941</v>
      </c>
      <c r="B2455" s="22">
        <v>5</v>
      </c>
      <c r="C2455" s="22"/>
      <c r="D2455" s="22"/>
      <c r="E2455" s="22"/>
      <c r="F2455" s="22"/>
      <c r="G2455" s="22"/>
      <c r="H2455" s="22"/>
      <c r="I2455" s="22"/>
      <c r="J2455" s="22"/>
      <c r="K2455" s="22"/>
      <c r="L2455" s="22"/>
      <c r="M2455" s="22"/>
      <c r="N2455" s="22"/>
    </row>
    <row r="2456" spans="1:14" x14ac:dyDescent="0.3">
      <c r="A2456" s="22" t="s">
        <v>3883</v>
      </c>
      <c r="B2456" s="22">
        <v>0</v>
      </c>
      <c r="C2456" s="22"/>
      <c r="D2456" s="22"/>
      <c r="E2456" s="22"/>
      <c r="F2456" s="22"/>
      <c r="G2456" s="22"/>
      <c r="H2456" s="22"/>
      <c r="I2456" s="22"/>
      <c r="J2456" s="22"/>
      <c r="K2456" s="22"/>
      <c r="L2456" s="22"/>
      <c r="M2456" s="22"/>
      <c r="N2456" s="22"/>
    </row>
    <row r="2457" spans="1:14" x14ac:dyDescent="0.3">
      <c r="A2457" s="22" t="s">
        <v>3884</v>
      </c>
      <c r="B2457" s="22">
        <v>0</v>
      </c>
      <c r="C2457" s="22"/>
      <c r="D2457" s="22"/>
      <c r="E2457" s="22"/>
      <c r="F2457" s="22"/>
      <c r="G2457" s="22"/>
      <c r="H2457" s="22"/>
      <c r="I2457" s="22"/>
      <c r="J2457" s="22"/>
      <c r="K2457" s="22"/>
      <c r="L2457" s="22"/>
      <c r="M2457" s="22"/>
      <c r="N2457" s="22"/>
    </row>
    <row r="2458" spans="1:14" x14ac:dyDescent="0.3">
      <c r="A2458" s="22" t="s">
        <v>3885</v>
      </c>
      <c r="B2458" s="22">
        <v>0</v>
      </c>
      <c r="C2458" s="22"/>
      <c r="D2458" s="22"/>
      <c r="E2458" s="22"/>
      <c r="F2458" s="22"/>
      <c r="G2458" s="22"/>
      <c r="H2458" s="22"/>
      <c r="I2458" s="22"/>
      <c r="J2458" s="22"/>
      <c r="K2458" s="22"/>
      <c r="L2458" s="22"/>
      <c r="M2458" s="22"/>
      <c r="N2458" s="22"/>
    </row>
    <row r="2459" spans="1:14" x14ac:dyDescent="0.3">
      <c r="A2459" s="22" t="s">
        <v>3886</v>
      </c>
      <c r="B2459" s="22">
        <v>0</v>
      </c>
      <c r="C2459" s="22"/>
      <c r="D2459" s="22"/>
      <c r="E2459" s="22"/>
      <c r="F2459" s="22"/>
      <c r="G2459" s="22"/>
      <c r="H2459" s="22"/>
      <c r="I2459" s="22"/>
      <c r="J2459" s="22"/>
      <c r="K2459" s="22"/>
      <c r="L2459" s="22"/>
      <c r="M2459" s="22"/>
      <c r="N2459" s="22"/>
    </row>
    <row r="2460" spans="1:14" x14ac:dyDescent="0.3">
      <c r="A2460" s="22" t="s">
        <v>3887</v>
      </c>
      <c r="B2460" s="22">
        <v>0</v>
      </c>
      <c r="C2460" s="22"/>
      <c r="D2460" s="22"/>
      <c r="E2460" s="22"/>
      <c r="F2460" s="22"/>
      <c r="G2460" s="22"/>
      <c r="H2460" s="22"/>
      <c r="I2460" s="22"/>
      <c r="J2460" s="22"/>
      <c r="K2460" s="22"/>
      <c r="L2460" s="22"/>
      <c r="M2460" s="22"/>
      <c r="N2460" s="22"/>
    </row>
    <row r="2461" spans="1:14" x14ac:dyDescent="0.3">
      <c r="A2461" s="22" t="s">
        <v>3888</v>
      </c>
      <c r="B2461" s="22">
        <v>0</v>
      </c>
      <c r="C2461" s="22"/>
      <c r="D2461" s="22"/>
      <c r="E2461" s="22"/>
      <c r="F2461" s="22"/>
      <c r="G2461" s="22"/>
      <c r="H2461" s="22"/>
      <c r="I2461" s="22"/>
      <c r="J2461" s="22"/>
      <c r="K2461" s="22"/>
      <c r="L2461" s="22"/>
      <c r="M2461" s="22"/>
      <c r="N2461" s="22"/>
    </row>
    <row r="2462" spans="1:14" x14ac:dyDescent="0.3">
      <c r="A2462" s="22" t="s">
        <v>3889</v>
      </c>
      <c r="B2462" s="22">
        <v>0</v>
      </c>
      <c r="C2462" s="22"/>
      <c r="D2462" s="22"/>
      <c r="E2462" s="22"/>
      <c r="F2462" s="22"/>
      <c r="G2462" s="22"/>
      <c r="H2462" s="22"/>
      <c r="I2462" s="22"/>
      <c r="J2462" s="22"/>
      <c r="K2462" s="22"/>
      <c r="L2462" s="22"/>
      <c r="M2462" s="22"/>
      <c r="N2462" s="22"/>
    </row>
    <row r="2463" spans="1:14" x14ac:dyDescent="0.3">
      <c r="A2463" s="22" t="s">
        <v>2942</v>
      </c>
      <c r="B2463" s="22">
        <v>0</v>
      </c>
      <c r="C2463" s="22"/>
      <c r="D2463" s="22"/>
      <c r="E2463" s="22"/>
      <c r="F2463" s="22"/>
      <c r="G2463" s="22"/>
      <c r="H2463" s="22"/>
      <c r="I2463" s="22"/>
      <c r="J2463" s="22"/>
      <c r="K2463" s="22"/>
      <c r="L2463" s="22"/>
      <c r="M2463" s="22"/>
      <c r="N2463" s="22"/>
    </row>
    <row r="2464" spans="1:14" x14ac:dyDescent="0.3">
      <c r="A2464" s="22" t="s">
        <v>3890</v>
      </c>
      <c r="B2464" s="22">
        <v>0</v>
      </c>
      <c r="C2464" s="22"/>
      <c r="D2464" s="22"/>
      <c r="E2464" s="22"/>
      <c r="F2464" s="22"/>
      <c r="G2464" s="22"/>
      <c r="H2464" s="22"/>
      <c r="I2464" s="22"/>
      <c r="J2464" s="22"/>
      <c r="K2464" s="22"/>
      <c r="L2464" s="22"/>
      <c r="M2464" s="22"/>
      <c r="N2464" s="22"/>
    </row>
    <row r="2465" spans="1:14" x14ac:dyDescent="0.3">
      <c r="A2465" s="22" t="s">
        <v>3891</v>
      </c>
      <c r="B2465" s="22">
        <v>0</v>
      </c>
      <c r="C2465" s="22"/>
      <c r="D2465" s="22"/>
      <c r="E2465" s="22"/>
      <c r="F2465" s="22"/>
      <c r="G2465" s="22"/>
      <c r="H2465" s="22"/>
      <c r="I2465" s="22"/>
      <c r="J2465" s="22"/>
      <c r="K2465" s="22"/>
      <c r="L2465" s="22"/>
      <c r="M2465" s="22"/>
      <c r="N2465" s="22"/>
    </row>
    <row r="2466" spans="1:14" x14ac:dyDescent="0.3">
      <c r="A2466" s="22" t="s">
        <v>3892</v>
      </c>
      <c r="B2466" s="22">
        <v>0</v>
      </c>
      <c r="C2466" s="22"/>
      <c r="D2466" s="22"/>
      <c r="E2466" s="22"/>
      <c r="F2466" s="22"/>
      <c r="G2466" s="22"/>
      <c r="H2466" s="22"/>
      <c r="I2466" s="22"/>
      <c r="J2466" s="22"/>
      <c r="K2466" s="22"/>
      <c r="L2466" s="22"/>
      <c r="M2466" s="22"/>
      <c r="N2466" s="22"/>
    </row>
    <row r="2467" spans="1:14" x14ac:dyDescent="0.3">
      <c r="A2467" s="22" t="s">
        <v>3893</v>
      </c>
      <c r="B2467" s="22">
        <v>0</v>
      </c>
      <c r="C2467" s="22"/>
      <c r="D2467" s="22"/>
      <c r="E2467" s="22"/>
      <c r="F2467" s="22"/>
      <c r="G2467" s="22"/>
      <c r="H2467" s="22"/>
      <c r="I2467" s="22"/>
      <c r="J2467" s="22"/>
      <c r="K2467" s="22"/>
      <c r="L2467" s="22"/>
      <c r="M2467" s="22"/>
      <c r="N2467" s="22"/>
    </row>
    <row r="2468" spans="1:14" x14ac:dyDescent="0.3">
      <c r="A2468" s="22" t="s">
        <v>3894</v>
      </c>
      <c r="B2468" s="22">
        <v>0</v>
      </c>
      <c r="C2468" s="22"/>
      <c r="D2468" s="22"/>
      <c r="E2468" s="22"/>
      <c r="F2468" s="22"/>
      <c r="G2468" s="22"/>
      <c r="H2468" s="22"/>
      <c r="I2468" s="22"/>
      <c r="J2468" s="22"/>
      <c r="K2468" s="22"/>
      <c r="L2468" s="22"/>
      <c r="M2468" s="22"/>
      <c r="N2468" s="22"/>
    </row>
    <row r="2469" spans="1:14" x14ac:dyDescent="0.3">
      <c r="A2469" s="22" t="s">
        <v>3895</v>
      </c>
      <c r="B2469" s="22">
        <v>0</v>
      </c>
      <c r="C2469" s="22"/>
      <c r="D2469" s="22"/>
      <c r="E2469" s="22"/>
      <c r="F2469" s="22"/>
      <c r="G2469" s="22"/>
      <c r="H2469" s="22"/>
      <c r="I2469" s="22"/>
      <c r="J2469" s="22"/>
      <c r="K2469" s="22"/>
      <c r="L2469" s="22"/>
      <c r="M2469" s="22"/>
      <c r="N2469" s="22"/>
    </row>
    <row r="2470" spans="1:14" x14ac:dyDescent="0.3">
      <c r="A2470" s="22" t="s">
        <v>3896</v>
      </c>
      <c r="B2470" s="22">
        <v>0</v>
      </c>
      <c r="C2470" s="22"/>
      <c r="D2470" s="22"/>
      <c r="E2470" s="22"/>
      <c r="F2470" s="22"/>
      <c r="G2470" s="22"/>
      <c r="H2470" s="22"/>
      <c r="I2470" s="22"/>
      <c r="J2470" s="22"/>
      <c r="K2470" s="22"/>
      <c r="L2470" s="22"/>
      <c r="M2470" s="22"/>
      <c r="N2470" s="22"/>
    </row>
    <row r="2471" spans="1:14" x14ac:dyDescent="0.3">
      <c r="A2471" s="22" t="s">
        <v>2943</v>
      </c>
      <c r="B2471" s="22">
        <v>5</v>
      </c>
      <c r="C2471" s="22"/>
      <c r="D2471" s="22"/>
      <c r="E2471" s="22"/>
      <c r="F2471" s="22"/>
      <c r="G2471" s="22"/>
      <c r="H2471" s="22"/>
      <c r="I2471" s="22"/>
      <c r="J2471" s="22"/>
      <c r="K2471" s="22"/>
      <c r="L2471" s="22"/>
      <c r="M2471" s="22"/>
      <c r="N2471" s="22"/>
    </row>
    <row r="2472" spans="1:14" x14ac:dyDescent="0.3">
      <c r="A2472" s="22" t="s">
        <v>3897</v>
      </c>
      <c r="B2472" s="22">
        <v>0</v>
      </c>
      <c r="C2472" s="22"/>
      <c r="D2472" s="22"/>
      <c r="E2472" s="22"/>
      <c r="F2472" s="22"/>
      <c r="G2472" s="22"/>
      <c r="H2472" s="22"/>
      <c r="I2472" s="22"/>
      <c r="J2472" s="22"/>
      <c r="K2472" s="22"/>
      <c r="L2472" s="22"/>
      <c r="M2472" s="22"/>
      <c r="N2472" s="22"/>
    </row>
    <row r="2473" spans="1:14" x14ac:dyDescent="0.3">
      <c r="A2473" s="22" t="s">
        <v>3898</v>
      </c>
      <c r="B2473" s="22">
        <v>0</v>
      </c>
      <c r="C2473" s="22"/>
      <c r="D2473" s="22"/>
      <c r="E2473" s="22"/>
      <c r="F2473" s="22"/>
      <c r="G2473" s="22"/>
      <c r="H2473" s="22"/>
      <c r="I2473" s="22"/>
      <c r="J2473" s="22"/>
      <c r="K2473" s="22"/>
      <c r="L2473" s="22"/>
      <c r="M2473" s="22"/>
      <c r="N2473" s="22"/>
    </row>
    <row r="2474" spans="1:14" x14ac:dyDescent="0.3">
      <c r="A2474" s="22" t="s">
        <v>3899</v>
      </c>
      <c r="B2474" s="22">
        <v>0</v>
      </c>
      <c r="C2474" s="22"/>
      <c r="D2474" s="22"/>
      <c r="E2474" s="22"/>
      <c r="F2474" s="22"/>
      <c r="G2474" s="22"/>
      <c r="H2474" s="22"/>
      <c r="I2474" s="22"/>
      <c r="J2474" s="22"/>
      <c r="K2474" s="22"/>
      <c r="L2474" s="22"/>
      <c r="M2474" s="22"/>
      <c r="N2474" s="22"/>
    </row>
    <row r="2475" spans="1:14" x14ac:dyDescent="0.3">
      <c r="A2475" s="22" t="s">
        <v>3900</v>
      </c>
      <c r="B2475" s="22">
        <v>0</v>
      </c>
      <c r="C2475" s="22"/>
      <c r="D2475" s="22"/>
      <c r="E2475" s="22"/>
      <c r="F2475" s="22"/>
      <c r="G2475" s="22"/>
      <c r="H2475" s="22"/>
      <c r="I2475" s="22"/>
      <c r="J2475" s="22"/>
      <c r="K2475" s="22"/>
      <c r="L2475" s="22"/>
      <c r="M2475" s="22"/>
      <c r="N2475" s="22"/>
    </row>
    <row r="2476" spans="1:14" x14ac:dyDescent="0.3">
      <c r="A2476" s="22" t="s">
        <v>3901</v>
      </c>
      <c r="B2476" s="22">
        <v>0</v>
      </c>
      <c r="C2476" s="22"/>
      <c r="D2476" s="22"/>
      <c r="E2476" s="22"/>
      <c r="F2476" s="22"/>
      <c r="G2476" s="22"/>
      <c r="H2476" s="22"/>
      <c r="I2476" s="22"/>
      <c r="J2476" s="22"/>
      <c r="K2476" s="22"/>
      <c r="L2476" s="22"/>
      <c r="M2476" s="22"/>
      <c r="N2476" s="22"/>
    </row>
    <row r="2477" spans="1:14" x14ac:dyDescent="0.3">
      <c r="A2477" s="22" t="s">
        <v>3902</v>
      </c>
      <c r="B2477" s="22">
        <v>0</v>
      </c>
      <c r="C2477" s="22"/>
      <c r="D2477" s="22"/>
      <c r="E2477" s="22"/>
      <c r="F2477" s="22"/>
      <c r="G2477" s="22"/>
      <c r="H2477" s="22"/>
      <c r="I2477" s="22"/>
      <c r="J2477" s="22"/>
      <c r="K2477" s="22"/>
      <c r="L2477" s="22"/>
      <c r="M2477" s="22"/>
      <c r="N2477" s="22"/>
    </row>
    <row r="2478" spans="1:14" x14ac:dyDescent="0.3">
      <c r="A2478" s="22" t="s">
        <v>3903</v>
      </c>
      <c r="B2478" s="22">
        <v>0</v>
      </c>
      <c r="C2478" s="22"/>
      <c r="D2478" s="22"/>
      <c r="E2478" s="22"/>
      <c r="F2478" s="22"/>
      <c r="G2478" s="22"/>
      <c r="H2478" s="22"/>
      <c r="I2478" s="22"/>
      <c r="J2478" s="22"/>
      <c r="K2478" s="22"/>
      <c r="L2478" s="22"/>
      <c r="M2478" s="22"/>
      <c r="N2478" s="22"/>
    </row>
    <row r="2479" spans="1:14" x14ac:dyDescent="0.3">
      <c r="A2479" s="22" t="s">
        <v>2944</v>
      </c>
      <c r="B2479" s="22">
        <v>1</v>
      </c>
      <c r="C2479" s="22"/>
      <c r="D2479" s="22"/>
      <c r="E2479" s="22"/>
      <c r="F2479" s="22"/>
      <c r="G2479" s="22"/>
      <c r="H2479" s="22"/>
      <c r="I2479" s="22"/>
      <c r="J2479" s="22"/>
      <c r="K2479" s="22"/>
      <c r="L2479" s="22"/>
      <c r="M2479" s="22"/>
      <c r="N2479" s="22"/>
    </row>
    <row r="2480" spans="1:14" x14ac:dyDescent="0.3">
      <c r="A2480" s="22" t="s">
        <v>3904</v>
      </c>
      <c r="B2480" s="22">
        <v>0</v>
      </c>
      <c r="C2480" s="22"/>
      <c r="D2480" s="22"/>
      <c r="E2480" s="22"/>
      <c r="F2480" s="22"/>
      <c r="G2480" s="22"/>
      <c r="H2480" s="22"/>
      <c r="I2480" s="22"/>
      <c r="J2480" s="22"/>
      <c r="K2480" s="22"/>
      <c r="L2480" s="22"/>
      <c r="M2480" s="22"/>
      <c r="N2480" s="22"/>
    </row>
    <row r="2481" spans="1:14" x14ac:dyDescent="0.3">
      <c r="A2481" s="22" t="s">
        <v>3905</v>
      </c>
      <c r="B2481" s="22">
        <v>0</v>
      </c>
      <c r="C2481" s="22"/>
      <c r="D2481" s="22"/>
      <c r="E2481" s="22"/>
      <c r="F2481" s="22"/>
      <c r="G2481" s="22"/>
      <c r="H2481" s="22"/>
      <c r="I2481" s="22"/>
      <c r="J2481" s="22"/>
      <c r="K2481" s="22"/>
      <c r="L2481" s="22"/>
      <c r="M2481" s="22"/>
      <c r="N2481" s="22"/>
    </row>
    <row r="2482" spans="1:14" x14ac:dyDescent="0.3">
      <c r="A2482" s="22" t="s">
        <v>3906</v>
      </c>
      <c r="B2482" s="22">
        <v>0</v>
      </c>
      <c r="C2482" s="22"/>
      <c r="D2482" s="22"/>
      <c r="E2482" s="22"/>
      <c r="F2482" s="22"/>
      <c r="G2482" s="22"/>
      <c r="H2482" s="22"/>
      <c r="I2482" s="22"/>
      <c r="J2482" s="22"/>
      <c r="K2482" s="22"/>
      <c r="L2482" s="22"/>
      <c r="M2482" s="22"/>
      <c r="N2482" s="22"/>
    </row>
    <row r="2483" spans="1:14" x14ac:dyDescent="0.3">
      <c r="A2483" s="22" t="s">
        <v>3907</v>
      </c>
      <c r="B2483" s="22">
        <v>0</v>
      </c>
      <c r="C2483" s="22"/>
      <c r="D2483" s="22"/>
      <c r="E2483" s="22"/>
      <c r="F2483" s="22"/>
      <c r="G2483" s="22"/>
      <c r="H2483" s="22"/>
      <c r="I2483" s="22"/>
      <c r="J2483" s="22"/>
      <c r="K2483" s="22"/>
      <c r="L2483" s="22"/>
      <c r="M2483" s="22"/>
      <c r="N2483" s="22"/>
    </row>
    <row r="2484" spans="1:14" x14ac:dyDescent="0.3">
      <c r="A2484" s="22" t="s">
        <v>3908</v>
      </c>
      <c r="B2484" s="22">
        <v>0</v>
      </c>
      <c r="C2484" s="22"/>
      <c r="D2484" s="22"/>
      <c r="E2484" s="22"/>
      <c r="F2484" s="22"/>
      <c r="G2484" s="22"/>
      <c r="H2484" s="22"/>
      <c r="I2484" s="22"/>
      <c r="J2484" s="22"/>
      <c r="K2484" s="22"/>
      <c r="L2484" s="22"/>
      <c r="M2484" s="22"/>
      <c r="N2484" s="22"/>
    </row>
    <row r="2485" spans="1:14" x14ac:dyDescent="0.3">
      <c r="A2485" s="22" t="s">
        <v>3909</v>
      </c>
      <c r="B2485" s="22">
        <v>0</v>
      </c>
      <c r="C2485" s="22"/>
      <c r="D2485" s="22"/>
      <c r="E2485" s="22"/>
      <c r="F2485" s="22"/>
      <c r="G2485" s="22"/>
      <c r="H2485" s="22"/>
      <c r="I2485" s="22"/>
      <c r="J2485" s="22"/>
      <c r="K2485" s="22"/>
      <c r="L2485" s="22"/>
      <c r="M2485" s="22"/>
      <c r="N2485" s="22"/>
    </row>
    <row r="2486" spans="1:14" x14ac:dyDescent="0.3">
      <c r="A2486" s="22" t="s">
        <v>3910</v>
      </c>
      <c r="B2486" s="22">
        <v>0</v>
      </c>
      <c r="C2486" s="22"/>
      <c r="D2486" s="22"/>
      <c r="E2486" s="22"/>
      <c r="F2486" s="22"/>
      <c r="G2486" s="22"/>
      <c r="H2486" s="22"/>
      <c r="I2486" s="22"/>
      <c r="J2486" s="22"/>
      <c r="K2486" s="22"/>
      <c r="L2486" s="22"/>
      <c r="M2486" s="22"/>
      <c r="N2486" s="22"/>
    </row>
    <row r="2487" spans="1:14" x14ac:dyDescent="0.3">
      <c r="A2487" s="22" t="s">
        <v>2945</v>
      </c>
      <c r="B2487" s="22">
        <v>47</v>
      </c>
      <c r="C2487" s="22"/>
      <c r="D2487" s="22"/>
      <c r="E2487" s="22"/>
      <c r="F2487" s="22"/>
      <c r="G2487" s="22"/>
      <c r="H2487" s="22"/>
      <c r="I2487" s="22"/>
      <c r="J2487" s="22"/>
      <c r="K2487" s="22"/>
      <c r="L2487" s="22"/>
      <c r="M2487" s="22"/>
      <c r="N2487" s="22"/>
    </row>
    <row r="2488" spans="1:14" x14ac:dyDescent="0.3">
      <c r="A2488" s="22" t="s">
        <v>3911</v>
      </c>
      <c r="B2488" s="22">
        <v>0</v>
      </c>
      <c r="C2488" s="22"/>
      <c r="D2488" s="22"/>
      <c r="E2488" s="22"/>
      <c r="F2488" s="22"/>
      <c r="G2488" s="22"/>
      <c r="H2488" s="22"/>
      <c r="I2488" s="22"/>
      <c r="J2488" s="22"/>
      <c r="K2488" s="22"/>
      <c r="L2488" s="22"/>
      <c r="M2488" s="22"/>
      <c r="N2488" s="22"/>
    </row>
    <row r="2489" spans="1:14" x14ac:dyDescent="0.3">
      <c r="A2489" s="22" t="s">
        <v>3912</v>
      </c>
      <c r="B2489" s="22">
        <v>0</v>
      </c>
      <c r="C2489" s="22"/>
      <c r="D2489" s="22"/>
      <c r="E2489" s="22"/>
      <c r="F2489" s="22"/>
      <c r="G2489" s="22"/>
      <c r="H2489" s="22"/>
      <c r="I2489" s="22"/>
      <c r="J2489" s="22"/>
      <c r="K2489" s="22"/>
      <c r="L2489" s="22"/>
      <c r="M2489" s="22"/>
      <c r="N2489" s="22"/>
    </row>
    <row r="2490" spans="1:14" x14ac:dyDescent="0.3">
      <c r="A2490" s="22" t="s">
        <v>3913</v>
      </c>
      <c r="B2490" s="22">
        <v>0</v>
      </c>
      <c r="C2490" s="22"/>
      <c r="D2490" s="22"/>
      <c r="E2490" s="22"/>
      <c r="F2490" s="22"/>
      <c r="G2490" s="22"/>
      <c r="H2490" s="22"/>
      <c r="I2490" s="22"/>
      <c r="J2490" s="22"/>
      <c r="K2490" s="22"/>
      <c r="L2490" s="22"/>
      <c r="M2490" s="22"/>
      <c r="N2490" s="22"/>
    </row>
    <row r="2491" spans="1:14" x14ac:dyDescent="0.3">
      <c r="A2491" s="22" t="s">
        <v>3914</v>
      </c>
      <c r="B2491" s="22">
        <v>0</v>
      </c>
      <c r="C2491" s="22"/>
      <c r="D2491" s="22"/>
      <c r="E2491" s="22"/>
      <c r="F2491" s="22"/>
      <c r="G2491" s="22"/>
      <c r="H2491" s="22"/>
      <c r="I2491" s="22"/>
      <c r="J2491" s="22"/>
      <c r="K2491" s="22"/>
      <c r="L2491" s="22"/>
      <c r="M2491" s="22"/>
      <c r="N2491" s="22"/>
    </row>
    <row r="2492" spans="1:14" x14ac:dyDescent="0.3">
      <c r="A2492" s="22" t="s">
        <v>3915</v>
      </c>
      <c r="B2492" s="22">
        <v>0</v>
      </c>
      <c r="C2492" s="22"/>
      <c r="D2492" s="22"/>
      <c r="E2492" s="22"/>
      <c r="F2492" s="22"/>
      <c r="G2492" s="22"/>
      <c r="H2492" s="22"/>
      <c r="I2492" s="22"/>
      <c r="J2492" s="22"/>
      <c r="K2492" s="22"/>
      <c r="L2492" s="22"/>
      <c r="M2492" s="22"/>
      <c r="N2492" s="22"/>
    </row>
    <row r="2493" spans="1:14" x14ac:dyDescent="0.3">
      <c r="A2493" s="22" t="s">
        <v>3916</v>
      </c>
      <c r="B2493" s="22">
        <v>0</v>
      </c>
      <c r="C2493" s="22"/>
      <c r="D2493" s="22"/>
      <c r="E2493" s="22"/>
      <c r="F2493" s="22"/>
      <c r="G2493" s="22"/>
      <c r="H2493" s="22"/>
      <c r="I2493" s="22"/>
      <c r="J2493" s="22"/>
      <c r="K2493" s="22"/>
      <c r="L2493" s="22"/>
      <c r="M2493" s="22"/>
      <c r="N2493" s="22"/>
    </row>
    <row r="2494" spans="1:14" x14ac:dyDescent="0.3">
      <c r="A2494" s="22" t="s">
        <v>3917</v>
      </c>
      <c r="B2494" s="22">
        <v>0</v>
      </c>
      <c r="C2494" s="22"/>
      <c r="D2494" s="22"/>
      <c r="E2494" s="22"/>
      <c r="F2494" s="22"/>
      <c r="G2494" s="22"/>
      <c r="H2494" s="22"/>
      <c r="I2494" s="22"/>
      <c r="J2494" s="22"/>
      <c r="K2494" s="22"/>
      <c r="L2494" s="22"/>
      <c r="M2494" s="22"/>
      <c r="N2494" s="22"/>
    </row>
    <row r="2495" spans="1:14" x14ac:dyDescent="0.3">
      <c r="A2495" s="22" t="s">
        <v>2949</v>
      </c>
      <c r="B2495" s="22">
        <v>1</v>
      </c>
      <c r="C2495" s="22"/>
      <c r="D2495" s="22"/>
      <c r="E2495" s="22"/>
      <c r="F2495" s="22"/>
      <c r="G2495" s="22"/>
      <c r="H2495" s="22"/>
      <c r="I2495" s="22"/>
      <c r="J2495" s="22"/>
      <c r="K2495" s="22"/>
      <c r="L2495" s="22"/>
      <c r="M2495" s="22"/>
      <c r="N2495" s="22"/>
    </row>
    <row r="2496" spans="1:14" x14ac:dyDescent="0.3">
      <c r="A2496" s="22" t="s">
        <v>3918</v>
      </c>
      <c r="B2496" s="22">
        <v>0</v>
      </c>
      <c r="C2496" s="22"/>
      <c r="D2496" s="22"/>
      <c r="E2496" s="22"/>
      <c r="F2496" s="22"/>
      <c r="G2496" s="22"/>
      <c r="H2496" s="22"/>
      <c r="I2496" s="22"/>
      <c r="J2496" s="22"/>
      <c r="K2496" s="22"/>
      <c r="L2496" s="22"/>
      <c r="M2496" s="22"/>
      <c r="N2496" s="22"/>
    </row>
    <row r="2497" spans="1:14" x14ac:dyDescent="0.3">
      <c r="A2497" s="22" t="s">
        <v>3919</v>
      </c>
      <c r="B2497" s="22">
        <v>0</v>
      </c>
      <c r="C2497" s="22"/>
      <c r="D2497" s="22"/>
      <c r="E2497" s="22"/>
      <c r="F2497" s="22"/>
      <c r="G2497" s="22"/>
      <c r="H2497" s="22"/>
      <c r="I2497" s="22"/>
      <c r="J2497" s="22"/>
      <c r="K2497" s="22"/>
      <c r="L2497" s="22"/>
      <c r="M2497" s="22"/>
      <c r="N2497" s="22"/>
    </row>
    <row r="2498" spans="1:14" x14ac:dyDescent="0.3">
      <c r="A2498" s="22" t="s">
        <v>3920</v>
      </c>
      <c r="B2498" s="22">
        <v>0</v>
      </c>
      <c r="C2498" s="22"/>
      <c r="D2498" s="22"/>
      <c r="E2498" s="22"/>
      <c r="F2498" s="22"/>
      <c r="G2498" s="22"/>
      <c r="H2498" s="22"/>
      <c r="I2498" s="22"/>
      <c r="J2498" s="22"/>
      <c r="K2498" s="22"/>
      <c r="L2498" s="22"/>
      <c r="M2498" s="22"/>
      <c r="N2498" s="22"/>
    </row>
    <row r="2499" spans="1:14" x14ac:dyDescent="0.3">
      <c r="A2499" s="22" t="s">
        <v>3921</v>
      </c>
      <c r="B2499" s="22">
        <v>0</v>
      </c>
      <c r="C2499" s="22"/>
      <c r="D2499" s="22"/>
      <c r="E2499" s="22"/>
      <c r="F2499" s="22"/>
      <c r="G2499" s="22"/>
      <c r="H2499" s="22"/>
      <c r="I2499" s="22"/>
      <c r="J2499" s="22"/>
      <c r="K2499" s="22"/>
      <c r="L2499" s="22"/>
      <c r="M2499" s="22"/>
      <c r="N2499" s="22"/>
    </row>
    <row r="2500" spans="1:14" x14ac:dyDescent="0.3">
      <c r="A2500" s="22" t="s">
        <v>3922</v>
      </c>
      <c r="B2500" s="22">
        <v>0</v>
      </c>
      <c r="C2500" s="22"/>
      <c r="D2500" s="22"/>
      <c r="E2500" s="22"/>
      <c r="F2500" s="22"/>
      <c r="G2500" s="22"/>
      <c r="H2500" s="22"/>
      <c r="I2500" s="22"/>
      <c r="J2500" s="22"/>
      <c r="K2500" s="22"/>
      <c r="L2500" s="22"/>
      <c r="M2500" s="22"/>
      <c r="N2500" s="22"/>
    </row>
    <row r="2501" spans="1:14" x14ac:dyDescent="0.3">
      <c r="A2501" s="22" t="s">
        <v>3923</v>
      </c>
      <c r="B2501" s="22">
        <v>0</v>
      </c>
      <c r="C2501" s="22"/>
      <c r="D2501" s="22"/>
      <c r="E2501" s="22"/>
      <c r="F2501" s="22"/>
      <c r="G2501" s="22"/>
      <c r="H2501" s="22"/>
      <c r="I2501" s="22"/>
      <c r="J2501" s="22"/>
      <c r="K2501" s="22"/>
      <c r="L2501" s="22"/>
      <c r="M2501" s="22"/>
      <c r="N2501" s="22"/>
    </row>
    <row r="2502" spans="1:14" x14ac:dyDescent="0.3">
      <c r="A2502" s="22" t="s">
        <v>3924</v>
      </c>
      <c r="B2502" s="22">
        <v>0</v>
      </c>
      <c r="C2502" s="22"/>
      <c r="D2502" s="22"/>
      <c r="E2502" s="22"/>
      <c r="F2502" s="22"/>
      <c r="G2502" s="22"/>
      <c r="H2502" s="22"/>
      <c r="I2502" s="22"/>
      <c r="J2502" s="22"/>
      <c r="K2502" s="22"/>
      <c r="L2502" s="22"/>
      <c r="M2502" s="22"/>
      <c r="N2502" s="22"/>
    </row>
    <row r="2503" spans="1:14" x14ac:dyDescent="0.3">
      <c r="A2503" s="22" t="s">
        <v>2950</v>
      </c>
      <c r="B2503" s="22">
        <v>0</v>
      </c>
      <c r="C2503" s="22"/>
      <c r="D2503" s="22"/>
      <c r="E2503" s="22"/>
      <c r="F2503" s="22"/>
      <c r="G2503" s="22"/>
      <c r="H2503" s="22"/>
      <c r="I2503" s="22"/>
      <c r="J2503" s="22"/>
      <c r="K2503" s="22"/>
      <c r="L2503" s="22"/>
      <c r="M2503" s="22"/>
      <c r="N2503" s="22"/>
    </row>
    <row r="2504" spans="1:14" x14ac:dyDescent="0.3">
      <c r="A2504" s="22" t="s">
        <v>5444</v>
      </c>
      <c r="B2504" s="22">
        <v>0</v>
      </c>
      <c r="C2504" s="22"/>
      <c r="D2504" s="22"/>
      <c r="E2504" s="22"/>
      <c r="F2504" s="22"/>
      <c r="G2504" s="22"/>
      <c r="H2504" s="22"/>
      <c r="I2504" s="22"/>
      <c r="J2504" s="22"/>
      <c r="K2504" s="22"/>
      <c r="L2504" s="22"/>
      <c r="M2504" s="22"/>
      <c r="N2504" s="22"/>
    </row>
    <row r="2505" spans="1:14" x14ac:dyDescent="0.3">
      <c r="A2505" s="22" t="s">
        <v>5445</v>
      </c>
      <c r="B2505" s="22">
        <v>0</v>
      </c>
      <c r="C2505" s="22"/>
      <c r="D2505" s="22"/>
      <c r="E2505" s="22"/>
      <c r="F2505" s="22"/>
      <c r="G2505" s="22"/>
      <c r="H2505" s="22"/>
      <c r="I2505" s="22"/>
      <c r="J2505" s="22"/>
      <c r="K2505" s="22"/>
      <c r="L2505" s="22"/>
      <c r="M2505" s="22"/>
      <c r="N2505" s="22"/>
    </row>
    <row r="2506" spans="1:14" x14ac:dyDescent="0.3">
      <c r="A2506" s="22" t="s">
        <v>5446</v>
      </c>
      <c r="B2506" s="22">
        <v>0</v>
      </c>
      <c r="C2506" s="22"/>
      <c r="D2506" s="22"/>
      <c r="E2506" s="22"/>
      <c r="F2506" s="22"/>
      <c r="G2506" s="22"/>
      <c r="H2506" s="22"/>
      <c r="I2506" s="22"/>
      <c r="J2506" s="22"/>
      <c r="K2506" s="22"/>
      <c r="L2506" s="22"/>
      <c r="M2506" s="22"/>
      <c r="N2506" s="22"/>
    </row>
    <row r="2507" spans="1:14" x14ac:dyDescent="0.3">
      <c r="A2507" s="22" t="s">
        <v>5447</v>
      </c>
      <c r="B2507" s="22">
        <v>0</v>
      </c>
      <c r="C2507" s="22"/>
      <c r="D2507" s="22"/>
      <c r="E2507" s="22"/>
      <c r="F2507" s="22"/>
      <c r="G2507" s="22"/>
      <c r="H2507" s="22"/>
      <c r="I2507" s="22"/>
      <c r="J2507" s="22"/>
      <c r="K2507" s="22"/>
      <c r="L2507" s="22"/>
      <c r="M2507" s="22"/>
      <c r="N2507" s="22"/>
    </row>
    <row r="2508" spans="1:14" x14ac:dyDescent="0.3">
      <c r="A2508" s="22" t="s">
        <v>5448</v>
      </c>
      <c r="B2508" s="22">
        <v>0</v>
      </c>
      <c r="C2508" s="22"/>
      <c r="D2508" s="22"/>
      <c r="E2508" s="22"/>
      <c r="F2508" s="22"/>
      <c r="G2508" s="22"/>
      <c r="H2508" s="22"/>
      <c r="I2508" s="22"/>
      <c r="J2508" s="22"/>
      <c r="K2508" s="22"/>
      <c r="L2508" s="22"/>
      <c r="M2508" s="22"/>
      <c r="N2508" s="22"/>
    </row>
    <row r="2509" spans="1:14" x14ac:dyDescent="0.3">
      <c r="A2509" s="22" t="s">
        <v>5449</v>
      </c>
      <c r="B2509" s="22">
        <v>0</v>
      </c>
      <c r="C2509" s="22"/>
      <c r="D2509" s="22"/>
      <c r="E2509" s="22"/>
      <c r="F2509" s="22"/>
      <c r="G2509" s="22"/>
      <c r="H2509" s="22"/>
      <c r="I2509" s="22"/>
      <c r="J2509" s="22"/>
      <c r="K2509" s="22"/>
      <c r="L2509" s="22"/>
      <c r="M2509" s="22"/>
      <c r="N2509" s="22"/>
    </row>
    <row r="2510" spans="1:14" x14ac:dyDescent="0.3">
      <c r="A2510" s="22" t="s">
        <v>5450</v>
      </c>
      <c r="B2510" s="22">
        <v>0</v>
      </c>
      <c r="C2510" s="22"/>
      <c r="D2510" s="22"/>
      <c r="E2510" s="22"/>
      <c r="F2510" s="22"/>
      <c r="G2510" s="22"/>
      <c r="H2510" s="22"/>
      <c r="I2510" s="22"/>
      <c r="J2510" s="22"/>
      <c r="K2510" s="22"/>
      <c r="L2510" s="22"/>
      <c r="M2510" s="22"/>
      <c r="N2510" s="22"/>
    </row>
    <row r="2511" spans="1:14" x14ac:dyDescent="0.3">
      <c r="A2511" s="22" t="s">
        <v>2951</v>
      </c>
      <c r="B2511" s="22">
        <v>0</v>
      </c>
      <c r="C2511" s="22"/>
      <c r="D2511" s="22"/>
      <c r="E2511" s="22"/>
      <c r="F2511" s="22"/>
      <c r="G2511" s="22"/>
      <c r="H2511" s="22"/>
      <c r="I2511" s="22"/>
      <c r="J2511" s="22"/>
      <c r="K2511" s="22"/>
      <c r="L2511" s="22"/>
      <c r="M2511" s="22"/>
      <c r="N2511" s="22"/>
    </row>
    <row r="2512" spans="1:14" x14ac:dyDescent="0.3">
      <c r="A2512" s="22" t="s">
        <v>3925</v>
      </c>
      <c r="B2512" s="22">
        <v>0</v>
      </c>
      <c r="C2512" s="22"/>
      <c r="D2512" s="22"/>
      <c r="E2512" s="22"/>
      <c r="F2512" s="22"/>
      <c r="G2512" s="22"/>
      <c r="H2512" s="22"/>
      <c r="I2512" s="22"/>
      <c r="J2512" s="22"/>
      <c r="K2512" s="22"/>
      <c r="L2512" s="22"/>
      <c r="M2512" s="22"/>
      <c r="N2512" s="22"/>
    </row>
    <row r="2513" spans="1:14" x14ac:dyDescent="0.3">
      <c r="A2513" s="22" t="s">
        <v>3926</v>
      </c>
      <c r="B2513" s="22">
        <v>0</v>
      </c>
      <c r="C2513" s="22"/>
      <c r="D2513" s="22"/>
      <c r="E2513" s="22"/>
      <c r="F2513" s="22"/>
      <c r="G2513" s="22"/>
      <c r="H2513" s="22"/>
      <c r="I2513" s="22"/>
      <c r="J2513" s="22"/>
      <c r="K2513" s="22"/>
      <c r="L2513" s="22"/>
      <c r="M2513" s="22"/>
      <c r="N2513" s="22"/>
    </row>
    <row r="2514" spans="1:14" x14ac:dyDescent="0.3">
      <c r="A2514" s="22" t="s">
        <v>3927</v>
      </c>
      <c r="B2514" s="22">
        <v>0</v>
      </c>
      <c r="C2514" s="22"/>
      <c r="D2514" s="22"/>
      <c r="E2514" s="22"/>
      <c r="F2514" s="22"/>
      <c r="G2514" s="22"/>
      <c r="H2514" s="22"/>
      <c r="I2514" s="22"/>
      <c r="J2514" s="22"/>
      <c r="K2514" s="22"/>
      <c r="L2514" s="22"/>
      <c r="M2514" s="22"/>
      <c r="N2514" s="22"/>
    </row>
    <row r="2515" spans="1:14" x14ac:dyDescent="0.3">
      <c r="A2515" s="22" t="s">
        <v>3928</v>
      </c>
      <c r="B2515" s="22">
        <v>0</v>
      </c>
      <c r="C2515" s="22"/>
      <c r="D2515" s="22"/>
      <c r="E2515" s="22"/>
      <c r="F2515" s="22"/>
      <c r="G2515" s="22"/>
      <c r="H2515" s="22"/>
      <c r="I2515" s="22"/>
      <c r="J2515" s="22"/>
      <c r="K2515" s="22"/>
      <c r="L2515" s="22"/>
      <c r="M2515" s="22"/>
      <c r="N2515" s="22"/>
    </row>
    <row r="2516" spans="1:14" x14ac:dyDescent="0.3">
      <c r="A2516" s="22" t="s">
        <v>3929</v>
      </c>
      <c r="B2516" s="22">
        <v>0</v>
      </c>
      <c r="C2516" s="22"/>
      <c r="D2516" s="22"/>
      <c r="E2516" s="22"/>
      <c r="F2516" s="22"/>
      <c r="G2516" s="22"/>
      <c r="H2516" s="22"/>
      <c r="I2516" s="22"/>
      <c r="J2516" s="22"/>
      <c r="K2516" s="22"/>
      <c r="L2516" s="22"/>
      <c r="M2516" s="22"/>
      <c r="N2516" s="22"/>
    </row>
    <row r="2517" spans="1:14" x14ac:dyDescent="0.3">
      <c r="A2517" s="22" t="s">
        <v>3930</v>
      </c>
      <c r="B2517" s="22">
        <v>0</v>
      </c>
      <c r="C2517" s="22"/>
      <c r="D2517" s="22"/>
      <c r="E2517" s="22"/>
      <c r="F2517" s="22"/>
      <c r="G2517" s="22"/>
      <c r="H2517" s="22"/>
      <c r="I2517" s="22"/>
      <c r="J2517" s="22"/>
      <c r="K2517" s="22"/>
      <c r="L2517" s="22"/>
      <c r="M2517" s="22"/>
      <c r="N2517" s="22"/>
    </row>
    <row r="2518" spans="1:14" x14ac:dyDescent="0.3">
      <c r="A2518" s="22" t="s">
        <v>3931</v>
      </c>
      <c r="B2518" s="22">
        <v>0</v>
      </c>
      <c r="C2518" s="22"/>
      <c r="D2518" s="22"/>
      <c r="E2518" s="22"/>
      <c r="F2518" s="22"/>
      <c r="G2518" s="22"/>
      <c r="H2518" s="22"/>
      <c r="I2518" s="22"/>
      <c r="J2518" s="22"/>
      <c r="K2518" s="22"/>
      <c r="L2518" s="22"/>
      <c r="M2518" s="22"/>
      <c r="N2518" s="22"/>
    </row>
    <row r="2519" spans="1:14" x14ac:dyDescent="0.3">
      <c r="A2519" s="22" t="s">
        <v>2953</v>
      </c>
      <c r="B2519" s="22">
        <v>23</v>
      </c>
      <c r="C2519" s="22"/>
      <c r="D2519" s="22"/>
      <c r="E2519" s="22"/>
      <c r="F2519" s="22"/>
      <c r="G2519" s="22"/>
      <c r="H2519" s="22"/>
      <c r="I2519" s="22"/>
      <c r="J2519" s="22"/>
      <c r="K2519" s="22"/>
      <c r="L2519" s="22"/>
      <c r="M2519" s="22"/>
      <c r="N2519" s="22"/>
    </row>
    <row r="2520" spans="1:14" x14ac:dyDescent="0.3">
      <c r="A2520" s="22" t="s">
        <v>3932</v>
      </c>
      <c r="B2520" s="22">
        <v>0</v>
      </c>
      <c r="C2520" s="22"/>
      <c r="D2520" s="22"/>
      <c r="E2520" s="22"/>
      <c r="F2520" s="22"/>
      <c r="G2520" s="22"/>
      <c r="H2520" s="22"/>
      <c r="I2520" s="22"/>
      <c r="J2520" s="22"/>
      <c r="K2520" s="22"/>
      <c r="L2520" s="22"/>
      <c r="M2520" s="22"/>
      <c r="N2520" s="22"/>
    </row>
    <row r="2521" spans="1:14" x14ac:dyDescent="0.3">
      <c r="A2521" s="22" t="s">
        <v>3933</v>
      </c>
      <c r="B2521" s="22">
        <v>0</v>
      </c>
      <c r="C2521" s="22"/>
      <c r="D2521" s="22"/>
      <c r="E2521" s="22"/>
      <c r="F2521" s="22"/>
      <c r="G2521" s="22"/>
      <c r="H2521" s="22"/>
      <c r="I2521" s="22"/>
      <c r="J2521" s="22"/>
      <c r="K2521" s="22"/>
      <c r="L2521" s="22"/>
      <c r="M2521" s="22"/>
      <c r="N2521" s="22"/>
    </row>
    <row r="2522" spans="1:14" x14ac:dyDescent="0.3">
      <c r="A2522" s="22" t="s">
        <v>3934</v>
      </c>
      <c r="B2522" s="22">
        <v>0</v>
      </c>
      <c r="C2522" s="22"/>
      <c r="D2522" s="22"/>
      <c r="E2522" s="22"/>
      <c r="F2522" s="22"/>
      <c r="G2522" s="22"/>
      <c r="H2522" s="22"/>
      <c r="I2522" s="22"/>
      <c r="J2522" s="22"/>
      <c r="K2522" s="22"/>
      <c r="L2522" s="22"/>
      <c r="M2522" s="22"/>
      <c r="N2522" s="22"/>
    </row>
    <row r="2523" spans="1:14" x14ac:dyDescent="0.3">
      <c r="A2523" s="22" t="s">
        <v>3935</v>
      </c>
      <c r="B2523" s="22">
        <v>0</v>
      </c>
      <c r="C2523" s="22"/>
      <c r="D2523" s="22"/>
      <c r="E2523" s="22"/>
      <c r="F2523" s="22"/>
      <c r="G2523" s="22"/>
      <c r="H2523" s="22"/>
      <c r="I2523" s="22"/>
      <c r="J2523" s="22"/>
      <c r="K2523" s="22"/>
      <c r="L2523" s="22"/>
      <c r="M2523" s="22"/>
      <c r="N2523" s="22"/>
    </row>
    <row r="2524" spans="1:14" x14ac:dyDescent="0.3">
      <c r="A2524" s="22" t="s">
        <v>3936</v>
      </c>
      <c r="B2524" s="22">
        <v>0</v>
      </c>
      <c r="C2524" s="22"/>
      <c r="D2524" s="22"/>
      <c r="E2524" s="22"/>
      <c r="F2524" s="22"/>
      <c r="G2524" s="22"/>
      <c r="H2524" s="22"/>
      <c r="I2524" s="22"/>
      <c r="J2524" s="22"/>
      <c r="K2524" s="22"/>
      <c r="L2524" s="22"/>
      <c r="M2524" s="22"/>
      <c r="N2524" s="22"/>
    </row>
    <row r="2525" spans="1:14" x14ac:dyDescent="0.3">
      <c r="A2525" s="22" t="s">
        <v>3937</v>
      </c>
      <c r="B2525" s="22">
        <v>0</v>
      </c>
      <c r="C2525" s="22"/>
      <c r="D2525" s="22"/>
      <c r="E2525" s="22"/>
      <c r="F2525" s="22"/>
      <c r="G2525" s="22"/>
      <c r="H2525" s="22"/>
      <c r="I2525" s="22"/>
      <c r="J2525" s="22"/>
      <c r="K2525" s="22"/>
      <c r="L2525" s="22"/>
      <c r="M2525" s="22"/>
      <c r="N2525" s="22"/>
    </row>
    <row r="2526" spans="1:14" x14ac:dyDescent="0.3">
      <c r="A2526" s="22" t="s">
        <v>3938</v>
      </c>
      <c r="B2526" s="22">
        <v>0</v>
      </c>
      <c r="C2526" s="22"/>
      <c r="D2526" s="22"/>
      <c r="E2526" s="22"/>
      <c r="F2526" s="22"/>
      <c r="G2526" s="22"/>
      <c r="H2526" s="22"/>
      <c r="I2526" s="22"/>
      <c r="J2526" s="22"/>
      <c r="K2526" s="22"/>
      <c r="L2526" s="22"/>
      <c r="M2526" s="22"/>
      <c r="N2526" s="22"/>
    </row>
    <row r="2527" spans="1:14" x14ac:dyDescent="0.3">
      <c r="A2527" s="22" t="s">
        <v>2954</v>
      </c>
      <c r="B2527" s="22">
        <v>0</v>
      </c>
      <c r="C2527" s="22"/>
      <c r="D2527" s="22"/>
      <c r="E2527" s="22"/>
      <c r="F2527" s="22"/>
      <c r="G2527" s="22"/>
      <c r="H2527" s="22"/>
      <c r="I2527" s="22"/>
      <c r="J2527" s="22"/>
      <c r="K2527" s="22"/>
      <c r="L2527" s="22"/>
      <c r="M2527" s="22"/>
      <c r="N2527" s="22"/>
    </row>
    <row r="2528" spans="1:14" x14ac:dyDescent="0.3">
      <c r="A2528" s="22" t="s">
        <v>5451</v>
      </c>
      <c r="B2528" s="22">
        <v>0</v>
      </c>
      <c r="C2528" s="22"/>
      <c r="D2528" s="22"/>
      <c r="E2528" s="22"/>
      <c r="F2528" s="22"/>
      <c r="G2528" s="22"/>
      <c r="H2528" s="22"/>
      <c r="I2528" s="22"/>
      <c r="J2528" s="22"/>
      <c r="K2528" s="22"/>
      <c r="L2528" s="22"/>
      <c r="M2528" s="22"/>
      <c r="N2528" s="22"/>
    </row>
    <row r="2529" spans="1:14" x14ac:dyDescent="0.3">
      <c r="A2529" s="22" t="s">
        <v>5452</v>
      </c>
      <c r="B2529" s="22">
        <v>0</v>
      </c>
      <c r="C2529" s="22"/>
      <c r="D2529" s="22"/>
      <c r="E2529" s="22"/>
      <c r="F2529" s="22"/>
      <c r="G2529" s="22"/>
      <c r="H2529" s="22"/>
      <c r="I2529" s="22"/>
      <c r="J2529" s="22"/>
      <c r="K2529" s="22"/>
      <c r="L2529" s="22"/>
      <c r="M2529" s="22"/>
      <c r="N2529" s="22"/>
    </row>
    <row r="2530" spans="1:14" x14ac:dyDescent="0.3">
      <c r="A2530" s="22" t="s">
        <v>5453</v>
      </c>
      <c r="B2530" s="22">
        <v>0</v>
      </c>
      <c r="C2530" s="22"/>
      <c r="D2530" s="22"/>
      <c r="E2530" s="22"/>
      <c r="F2530" s="22"/>
      <c r="G2530" s="22"/>
      <c r="H2530" s="22"/>
      <c r="I2530" s="22"/>
      <c r="J2530" s="22"/>
      <c r="K2530" s="22"/>
      <c r="L2530" s="22"/>
      <c r="M2530" s="22"/>
      <c r="N2530" s="22"/>
    </row>
    <row r="2531" spans="1:14" x14ac:dyDescent="0.3">
      <c r="A2531" s="22" t="s">
        <v>5454</v>
      </c>
      <c r="B2531" s="22">
        <v>0</v>
      </c>
      <c r="C2531" s="22"/>
      <c r="D2531" s="22"/>
      <c r="E2531" s="22"/>
      <c r="F2531" s="22"/>
      <c r="G2531" s="22"/>
      <c r="H2531" s="22"/>
      <c r="I2531" s="22"/>
      <c r="J2531" s="22"/>
      <c r="K2531" s="22"/>
      <c r="L2531" s="22"/>
      <c r="M2531" s="22"/>
      <c r="N2531" s="22"/>
    </row>
    <row r="2532" spans="1:14" x14ac:dyDescent="0.3">
      <c r="A2532" s="22" t="s">
        <v>5455</v>
      </c>
      <c r="B2532" s="22">
        <v>0</v>
      </c>
      <c r="C2532" s="22"/>
      <c r="D2532" s="22"/>
      <c r="E2532" s="22"/>
      <c r="F2532" s="22"/>
      <c r="G2532" s="22"/>
      <c r="H2532" s="22"/>
      <c r="I2532" s="22"/>
      <c r="J2532" s="22"/>
      <c r="K2532" s="22"/>
      <c r="L2532" s="22"/>
      <c r="M2532" s="22"/>
      <c r="N2532" s="22"/>
    </row>
    <row r="2533" spans="1:14" x14ac:dyDescent="0.3">
      <c r="A2533" s="22" t="s">
        <v>5456</v>
      </c>
      <c r="B2533" s="22">
        <v>0</v>
      </c>
      <c r="C2533" s="22"/>
      <c r="D2533" s="22"/>
      <c r="E2533" s="22"/>
      <c r="F2533" s="22"/>
      <c r="G2533" s="22"/>
      <c r="H2533" s="22"/>
      <c r="I2533" s="22"/>
      <c r="J2533" s="22"/>
      <c r="K2533" s="22"/>
      <c r="L2533" s="22"/>
      <c r="M2533" s="22"/>
      <c r="N2533" s="22"/>
    </row>
    <row r="2534" spans="1:14" x14ac:dyDescent="0.3">
      <c r="A2534" s="22" t="s">
        <v>5457</v>
      </c>
      <c r="B2534" s="22">
        <v>0</v>
      </c>
      <c r="C2534" s="22"/>
      <c r="D2534" s="22"/>
      <c r="E2534" s="22"/>
      <c r="F2534" s="22"/>
      <c r="G2534" s="22"/>
      <c r="H2534" s="22"/>
      <c r="I2534" s="22"/>
      <c r="J2534" s="22"/>
      <c r="K2534" s="22"/>
      <c r="L2534" s="22"/>
      <c r="M2534" s="22"/>
      <c r="N2534" s="22"/>
    </row>
    <row r="2535" spans="1:14" x14ac:dyDescent="0.3">
      <c r="A2535" s="22" t="s">
        <v>2955</v>
      </c>
      <c r="B2535" s="22">
        <v>0</v>
      </c>
      <c r="C2535" s="22"/>
      <c r="D2535" s="22"/>
      <c r="E2535" s="22"/>
      <c r="F2535" s="22"/>
      <c r="G2535" s="22"/>
      <c r="H2535" s="22"/>
      <c r="I2535" s="22"/>
      <c r="J2535" s="22"/>
      <c r="K2535" s="22"/>
      <c r="L2535" s="22"/>
      <c r="M2535" s="22"/>
      <c r="N2535" s="22"/>
    </row>
    <row r="2536" spans="1:14" x14ac:dyDescent="0.3">
      <c r="A2536" s="22" t="s">
        <v>3939</v>
      </c>
      <c r="B2536" s="22">
        <v>0</v>
      </c>
      <c r="C2536" s="22"/>
      <c r="D2536" s="22"/>
      <c r="E2536" s="22"/>
      <c r="F2536" s="22"/>
      <c r="G2536" s="22"/>
      <c r="H2536" s="22"/>
      <c r="I2536" s="22"/>
      <c r="J2536" s="22"/>
      <c r="K2536" s="22"/>
      <c r="L2536" s="22"/>
      <c r="M2536" s="22"/>
      <c r="N2536" s="22"/>
    </row>
    <row r="2537" spans="1:14" x14ac:dyDescent="0.3">
      <c r="A2537" s="22" t="s">
        <v>3940</v>
      </c>
      <c r="B2537" s="22">
        <v>0</v>
      </c>
      <c r="C2537" s="22"/>
      <c r="D2537" s="22"/>
      <c r="E2537" s="22"/>
      <c r="F2537" s="22"/>
      <c r="G2537" s="22"/>
      <c r="H2537" s="22"/>
      <c r="I2537" s="22"/>
      <c r="J2537" s="22"/>
      <c r="K2537" s="22"/>
      <c r="L2537" s="22"/>
      <c r="M2537" s="22"/>
      <c r="N2537" s="22"/>
    </row>
    <row r="2538" spans="1:14" x14ac:dyDescent="0.3">
      <c r="A2538" s="22" t="s">
        <v>3941</v>
      </c>
      <c r="B2538" s="22">
        <v>0</v>
      </c>
      <c r="C2538" s="22"/>
      <c r="D2538" s="22"/>
      <c r="E2538" s="22"/>
      <c r="F2538" s="22"/>
      <c r="G2538" s="22"/>
      <c r="H2538" s="22"/>
      <c r="I2538" s="22"/>
      <c r="J2538" s="22"/>
      <c r="K2538" s="22"/>
      <c r="L2538" s="22"/>
      <c r="M2538" s="22"/>
      <c r="N2538" s="22"/>
    </row>
    <row r="2539" spans="1:14" x14ac:dyDescent="0.3">
      <c r="A2539" s="22" t="s">
        <v>3942</v>
      </c>
      <c r="B2539" s="22">
        <v>0</v>
      </c>
      <c r="C2539" s="22"/>
      <c r="D2539" s="22"/>
      <c r="E2539" s="22"/>
      <c r="F2539" s="22"/>
      <c r="G2539" s="22"/>
      <c r="H2539" s="22"/>
      <c r="I2539" s="22"/>
      <c r="J2539" s="22"/>
      <c r="K2539" s="22"/>
      <c r="L2539" s="22"/>
      <c r="M2539" s="22"/>
      <c r="N2539" s="22"/>
    </row>
    <row r="2540" spans="1:14" x14ac:dyDescent="0.3">
      <c r="A2540" s="22" t="s">
        <v>3943</v>
      </c>
      <c r="B2540" s="22">
        <v>0</v>
      </c>
      <c r="C2540" s="22"/>
      <c r="D2540" s="22"/>
      <c r="E2540" s="22"/>
      <c r="F2540" s="22"/>
      <c r="G2540" s="22"/>
      <c r="H2540" s="22"/>
      <c r="I2540" s="22"/>
      <c r="J2540" s="22"/>
      <c r="K2540" s="22"/>
      <c r="L2540" s="22"/>
      <c r="M2540" s="22"/>
      <c r="N2540" s="22"/>
    </row>
    <row r="2541" spans="1:14" x14ac:dyDescent="0.3">
      <c r="A2541" s="22" t="s">
        <v>3944</v>
      </c>
      <c r="B2541" s="22">
        <v>0</v>
      </c>
      <c r="C2541" s="22"/>
      <c r="D2541" s="22"/>
      <c r="E2541" s="22"/>
      <c r="F2541" s="22"/>
      <c r="G2541" s="22"/>
      <c r="H2541" s="22"/>
      <c r="I2541" s="22"/>
      <c r="J2541" s="22"/>
      <c r="K2541" s="22"/>
      <c r="L2541" s="22"/>
      <c r="M2541" s="22"/>
      <c r="N2541" s="22"/>
    </row>
    <row r="2542" spans="1:14" x14ac:dyDescent="0.3">
      <c r="A2542" s="22" t="s">
        <v>3945</v>
      </c>
      <c r="B2542" s="22">
        <v>0</v>
      </c>
      <c r="C2542" s="22"/>
      <c r="D2542" s="22"/>
      <c r="E2542" s="22"/>
      <c r="F2542" s="22"/>
      <c r="G2542" s="22"/>
      <c r="H2542" s="22"/>
      <c r="I2542" s="22"/>
      <c r="J2542" s="22"/>
      <c r="K2542" s="22"/>
      <c r="L2542" s="22"/>
      <c r="M2542" s="22"/>
      <c r="N2542" s="22"/>
    </row>
    <row r="2543" spans="1:14" x14ac:dyDescent="0.3">
      <c r="A2543" s="22" t="s">
        <v>2959</v>
      </c>
      <c r="B2543" s="22">
        <v>0</v>
      </c>
      <c r="C2543" s="22"/>
      <c r="D2543" s="22"/>
      <c r="E2543" s="22"/>
      <c r="F2543" s="22"/>
      <c r="G2543" s="22"/>
      <c r="H2543" s="22"/>
      <c r="I2543" s="22"/>
      <c r="J2543" s="22"/>
      <c r="K2543" s="22"/>
      <c r="L2543" s="22"/>
      <c r="M2543" s="22"/>
      <c r="N2543" s="22"/>
    </row>
    <row r="2544" spans="1:14" x14ac:dyDescent="0.3">
      <c r="A2544" s="22" t="s">
        <v>3946</v>
      </c>
      <c r="B2544" s="22">
        <v>0</v>
      </c>
      <c r="C2544" s="22"/>
      <c r="D2544" s="22"/>
      <c r="E2544" s="22"/>
      <c r="F2544" s="22"/>
      <c r="G2544" s="22"/>
      <c r="H2544" s="22"/>
      <c r="I2544" s="22"/>
      <c r="J2544" s="22"/>
      <c r="K2544" s="22"/>
      <c r="L2544" s="22"/>
      <c r="M2544" s="22"/>
      <c r="N2544" s="22"/>
    </row>
    <row r="2545" spans="1:14" x14ac:dyDescent="0.3">
      <c r="A2545" s="22" t="s">
        <v>3947</v>
      </c>
      <c r="B2545" s="22">
        <v>0</v>
      </c>
      <c r="C2545" s="22"/>
      <c r="D2545" s="22"/>
      <c r="E2545" s="22"/>
      <c r="F2545" s="22"/>
      <c r="G2545" s="22"/>
      <c r="H2545" s="22"/>
      <c r="I2545" s="22"/>
      <c r="J2545" s="22"/>
      <c r="K2545" s="22"/>
      <c r="L2545" s="22"/>
      <c r="M2545" s="22"/>
      <c r="N2545" s="22"/>
    </row>
    <row r="2546" spans="1:14" x14ac:dyDescent="0.3">
      <c r="A2546" s="22" t="s">
        <v>3948</v>
      </c>
      <c r="B2546" s="22">
        <v>0</v>
      </c>
      <c r="C2546" s="22"/>
      <c r="D2546" s="22"/>
      <c r="E2546" s="22"/>
      <c r="F2546" s="22"/>
      <c r="G2546" s="22"/>
      <c r="H2546" s="22"/>
      <c r="I2546" s="22"/>
      <c r="J2546" s="22"/>
      <c r="K2546" s="22"/>
      <c r="L2546" s="22"/>
      <c r="M2546" s="22"/>
      <c r="N2546" s="22"/>
    </row>
    <row r="2547" spans="1:14" x14ac:dyDescent="0.3">
      <c r="A2547" s="22" t="s">
        <v>3949</v>
      </c>
      <c r="B2547" s="22">
        <v>0</v>
      </c>
      <c r="C2547" s="22"/>
      <c r="D2547" s="22"/>
      <c r="E2547" s="22"/>
      <c r="F2547" s="22"/>
      <c r="G2547" s="22"/>
      <c r="H2547" s="22"/>
      <c r="I2547" s="22"/>
      <c r="J2547" s="22"/>
      <c r="K2547" s="22"/>
      <c r="L2547" s="22"/>
      <c r="M2547" s="22"/>
      <c r="N2547" s="22"/>
    </row>
    <row r="2548" spans="1:14" x14ac:dyDescent="0.3">
      <c r="A2548" s="22" t="s">
        <v>3950</v>
      </c>
      <c r="B2548" s="22">
        <v>0</v>
      </c>
      <c r="C2548" s="22"/>
      <c r="D2548" s="22"/>
      <c r="E2548" s="22"/>
      <c r="F2548" s="22"/>
      <c r="G2548" s="22"/>
      <c r="H2548" s="22"/>
      <c r="I2548" s="22"/>
      <c r="J2548" s="22"/>
      <c r="K2548" s="22"/>
      <c r="L2548" s="22"/>
      <c r="M2548" s="22"/>
      <c r="N2548" s="22"/>
    </row>
    <row r="2549" spans="1:14" x14ac:dyDescent="0.3">
      <c r="A2549" s="22" t="s">
        <v>3951</v>
      </c>
      <c r="B2549" s="22">
        <v>0</v>
      </c>
      <c r="C2549" s="22"/>
      <c r="D2549" s="22"/>
      <c r="E2549" s="22"/>
      <c r="F2549" s="22"/>
      <c r="G2549" s="22"/>
      <c r="H2549" s="22"/>
      <c r="I2549" s="22"/>
      <c r="J2549" s="22"/>
      <c r="K2549" s="22"/>
      <c r="L2549" s="22"/>
      <c r="M2549" s="22"/>
      <c r="N2549" s="22"/>
    </row>
    <row r="2550" spans="1:14" x14ac:dyDescent="0.3">
      <c r="A2550" s="22" t="s">
        <v>3952</v>
      </c>
      <c r="B2550" s="22">
        <v>0</v>
      </c>
      <c r="C2550" s="22"/>
      <c r="D2550" s="22"/>
      <c r="E2550" s="22"/>
      <c r="F2550" s="22"/>
      <c r="G2550" s="22"/>
      <c r="H2550" s="22"/>
      <c r="I2550" s="22"/>
      <c r="J2550" s="22"/>
      <c r="K2550" s="22"/>
      <c r="L2550" s="22"/>
      <c r="M2550" s="22"/>
      <c r="N2550" s="22"/>
    </row>
    <row r="2551" spans="1:14" x14ac:dyDescent="0.3">
      <c r="A2551" s="22" t="s">
        <v>2960</v>
      </c>
      <c r="B2551" s="22">
        <v>1</v>
      </c>
      <c r="C2551" s="22"/>
      <c r="D2551" s="22"/>
      <c r="E2551" s="22"/>
      <c r="F2551" s="22"/>
      <c r="G2551" s="22"/>
      <c r="H2551" s="22"/>
      <c r="I2551" s="22"/>
      <c r="J2551" s="22"/>
      <c r="K2551" s="22"/>
      <c r="L2551" s="22"/>
      <c r="M2551" s="22"/>
      <c r="N2551" s="22"/>
    </row>
    <row r="2552" spans="1:14" x14ac:dyDescent="0.3">
      <c r="A2552" s="22" t="s">
        <v>3953</v>
      </c>
      <c r="B2552" s="22">
        <v>0</v>
      </c>
      <c r="C2552" s="22"/>
      <c r="D2552" s="22"/>
      <c r="E2552" s="22"/>
      <c r="F2552" s="22"/>
      <c r="G2552" s="22"/>
      <c r="H2552" s="22"/>
      <c r="I2552" s="22"/>
      <c r="J2552" s="22"/>
      <c r="K2552" s="22"/>
      <c r="L2552" s="22"/>
      <c r="M2552" s="22"/>
      <c r="N2552" s="22"/>
    </row>
    <row r="2553" spans="1:14" x14ac:dyDescent="0.3">
      <c r="A2553" s="22" t="s">
        <v>3954</v>
      </c>
      <c r="B2553" s="22">
        <v>0</v>
      </c>
      <c r="C2553" s="22"/>
      <c r="D2553" s="22"/>
      <c r="E2553" s="22"/>
      <c r="F2553" s="22"/>
      <c r="G2553" s="22"/>
      <c r="H2553" s="22"/>
      <c r="I2553" s="22"/>
      <c r="J2553" s="22"/>
      <c r="K2553" s="22"/>
      <c r="L2553" s="22"/>
      <c r="M2553" s="22"/>
      <c r="N2553" s="22"/>
    </row>
    <row r="2554" spans="1:14" x14ac:dyDescent="0.3">
      <c r="A2554" s="22" t="s">
        <v>3955</v>
      </c>
      <c r="B2554" s="22">
        <v>0</v>
      </c>
      <c r="C2554" s="22"/>
      <c r="D2554" s="22"/>
      <c r="E2554" s="22"/>
      <c r="F2554" s="22"/>
      <c r="G2554" s="22"/>
      <c r="H2554" s="22"/>
      <c r="I2554" s="22"/>
      <c r="J2554" s="22"/>
      <c r="K2554" s="22"/>
      <c r="L2554" s="22"/>
      <c r="M2554" s="22"/>
      <c r="N2554" s="22"/>
    </row>
    <row r="2555" spans="1:14" x14ac:dyDescent="0.3">
      <c r="A2555" s="22" t="s">
        <v>3956</v>
      </c>
      <c r="B2555" s="22">
        <v>0</v>
      </c>
      <c r="C2555" s="22"/>
      <c r="D2555" s="22"/>
      <c r="E2555" s="22"/>
      <c r="F2555" s="22"/>
      <c r="G2555" s="22"/>
      <c r="H2555" s="22"/>
      <c r="I2555" s="22"/>
      <c r="J2555" s="22"/>
      <c r="K2555" s="22"/>
      <c r="L2555" s="22"/>
      <c r="M2555" s="22"/>
      <c r="N2555" s="22"/>
    </row>
    <row r="2556" spans="1:14" x14ac:dyDescent="0.3">
      <c r="A2556" s="22" t="s">
        <v>3957</v>
      </c>
      <c r="B2556" s="22">
        <v>0</v>
      </c>
      <c r="C2556" s="22"/>
      <c r="D2556" s="22"/>
      <c r="E2556" s="22"/>
      <c r="F2556" s="22"/>
      <c r="G2556" s="22"/>
      <c r="H2556" s="22"/>
      <c r="I2556" s="22"/>
      <c r="J2556" s="22"/>
      <c r="K2556" s="22"/>
      <c r="L2556" s="22"/>
      <c r="M2556" s="22"/>
      <c r="N2556" s="22"/>
    </row>
    <row r="2557" spans="1:14" x14ac:dyDescent="0.3">
      <c r="A2557" s="22" t="s">
        <v>3958</v>
      </c>
      <c r="B2557" s="22">
        <v>0</v>
      </c>
      <c r="C2557" s="22"/>
      <c r="D2557" s="22"/>
      <c r="E2557" s="22"/>
      <c r="F2557" s="22"/>
      <c r="G2557" s="22"/>
      <c r="H2557" s="22"/>
      <c r="I2557" s="22"/>
      <c r="J2557" s="22"/>
      <c r="K2557" s="22"/>
      <c r="L2557" s="22"/>
      <c r="M2557" s="22"/>
      <c r="N2557" s="22"/>
    </row>
    <row r="2558" spans="1:14" x14ac:dyDescent="0.3">
      <c r="A2558" s="22" t="s">
        <v>3959</v>
      </c>
      <c r="B2558" s="22">
        <v>0</v>
      </c>
      <c r="C2558" s="22"/>
      <c r="D2558" s="22"/>
      <c r="E2558" s="22"/>
      <c r="F2558" s="22"/>
      <c r="G2558" s="22"/>
      <c r="H2558" s="22"/>
      <c r="I2558" s="22"/>
      <c r="J2558" s="22"/>
      <c r="K2558" s="22"/>
      <c r="L2558" s="22"/>
      <c r="M2558" s="22"/>
      <c r="N2558" s="22"/>
    </row>
    <row r="2559" spans="1:14" x14ac:dyDescent="0.3">
      <c r="A2559" s="22" t="s">
        <v>2963</v>
      </c>
      <c r="B2559" s="22">
        <v>0</v>
      </c>
      <c r="C2559" s="22"/>
      <c r="D2559" s="22"/>
      <c r="E2559" s="22"/>
      <c r="F2559" s="22"/>
      <c r="G2559" s="22"/>
      <c r="H2559" s="22"/>
      <c r="I2559" s="22"/>
      <c r="J2559" s="22"/>
      <c r="K2559" s="22"/>
      <c r="L2559" s="22"/>
      <c r="M2559" s="22"/>
      <c r="N2559" s="22"/>
    </row>
    <row r="2560" spans="1:14" x14ac:dyDescent="0.3">
      <c r="A2560" s="22" t="s">
        <v>3960</v>
      </c>
      <c r="B2560" s="22">
        <v>0</v>
      </c>
      <c r="C2560" s="22"/>
      <c r="D2560" s="22"/>
      <c r="E2560" s="22"/>
      <c r="F2560" s="22"/>
      <c r="G2560" s="22"/>
      <c r="H2560" s="22"/>
      <c r="I2560" s="22"/>
      <c r="J2560" s="22"/>
      <c r="K2560" s="22"/>
      <c r="L2560" s="22"/>
      <c r="M2560" s="22"/>
      <c r="N2560" s="22"/>
    </row>
    <row r="2561" spans="1:14" x14ac:dyDescent="0.3">
      <c r="A2561" s="22" t="s">
        <v>3961</v>
      </c>
      <c r="B2561" s="22">
        <v>0</v>
      </c>
      <c r="C2561" s="22"/>
      <c r="D2561" s="22"/>
      <c r="E2561" s="22"/>
      <c r="F2561" s="22"/>
      <c r="G2561" s="22"/>
      <c r="H2561" s="22"/>
      <c r="I2561" s="22"/>
      <c r="J2561" s="22"/>
      <c r="K2561" s="22"/>
      <c r="L2561" s="22"/>
      <c r="M2561" s="22"/>
      <c r="N2561" s="22"/>
    </row>
    <row r="2562" spans="1:14" x14ac:dyDescent="0.3">
      <c r="A2562" s="22" t="s">
        <v>3962</v>
      </c>
      <c r="B2562" s="22">
        <v>0</v>
      </c>
      <c r="C2562" s="22"/>
      <c r="D2562" s="22"/>
      <c r="E2562" s="22"/>
      <c r="F2562" s="22"/>
      <c r="G2562" s="22"/>
      <c r="H2562" s="22"/>
      <c r="I2562" s="22"/>
      <c r="J2562" s="22"/>
      <c r="K2562" s="22"/>
      <c r="L2562" s="22"/>
      <c r="M2562" s="22"/>
      <c r="N2562" s="22"/>
    </row>
    <row r="2563" spans="1:14" x14ac:dyDescent="0.3">
      <c r="A2563" s="22" t="s">
        <v>3963</v>
      </c>
      <c r="B2563" s="22">
        <v>0</v>
      </c>
      <c r="C2563" s="22"/>
      <c r="D2563" s="22"/>
      <c r="E2563" s="22"/>
      <c r="F2563" s="22"/>
      <c r="G2563" s="22"/>
      <c r="H2563" s="22"/>
      <c r="I2563" s="22"/>
      <c r="J2563" s="22"/>
      <c r="K2563" s="22"/>
      <c r="L2563" s="22"/>
      <c r="M2563" s="22"/>
      <c r="N2563" s="22"/>
    </row>
    <row r="2564" spans="1:14" x14ac:dyDescent="0.3">
      <c r="A2564" s="22" t="s">
        <v>3964</v>
      </c>
      <c r="B2564" s="22">
        <v>0</v>
      </c>
      <c r="C2564" s="22"/>
      <c r="D2564" s="22"/>
      <c r="E2564" s="22"/>
      <c r="F2564" s="22"/>
      <c r="G2564" s="22"/>
      <c r="H2564" s="22"/>
      <c r="I2564" s="22"/>
      <c r="J2564" s="22"/>
      <c r="K2564" s="22"/>
      <c r="L2564" s="22"/>
      <c r="M2564" s="22"/>
      <c r="N2564" s="22"/>
    </row>
    <row r="2565" spans="1:14" x14ac:dyDescent="0.3">
      <c r="A2565" s="22" t="s">
        <v>3965</v>
      </c>
      <c r="B2565" s="22">
        <v>0</v>
      </c>
      <c r="C2565" s="22"/>
      <c r="D2565" s="22"/>
      <c r="E2565" s="22"/>
      <c r="F2565" s="22"/>
      <c r="G2565" s="22"/>
      <c r="H2565" s="22"/>
      <c r="I2565" s="22"/>
      <c r="J2565" s="22"/>
      <c r="K2565" s="22"/>
      <c r="L2565" s="22"/>
      <c r="M2565" s="22"/>
      <c r="N2565" s="22"/>
    </row>
    <row r="2566" spans="1:14" x14ac:dyDescent="0.3">
      <c r="A2566" s="22" t="s">
        <v>3966</v>
      </c>
      <c r="B2566" s="22">
        <v>0</v>
      </c>
      <c r="C2566" s="22"/>
      <c r="D2566" s="22"/>
      <c r="E2566" s="22"/>
      <c r="F2566" s="22"/>
      <c r="G2566" s="22"/>
      <c r="H2566" s="22"/>
      <c r="I2566" s="22"/>
      <c r="J2566" s="22"/>
      <c r="K2566" s="22"/>
      <c r="L2566" s="22"/>
      <c r="M2566" s="22"/>
      <c r="N2566" s="22"/>
    </row>
    <row r="2567" spans="1:14" x14ac:dyDescent="0.3">
      <c r="A2567" s="22" t="s">
        <v>2964</v>
      </c>
      <c r="B2567" s="22">
        <v>0</v>
      </c>
      <c r="C2567" s="22"/>
      <c r="D2567" s="22"/>
      <c r="E2567" s="22"/>
      <c r="F2567" s="22"/>
      <c r="G2567" s="22"/>
      <c r="H2567" s="22"/>
      <c r="I2567" s="22"/>
      <c r="J2567" s="22"/>
      <c r="K2567" s="22"/>
      <c r="L2567" s="22"/>
      <c r="M2567" s="22"/>
      <c r="N2567" s="22"/>
    </row>
    <row r="2568" spans="1:14" x14ac:dyDescent="0.3">
      <c r="A2568" s="22" t="s">
        <v>3967</v>
      </c>
      <c r="B2568" s="22">
        <v>0</v>
      </c>
      <c r="C2568" s="22"/>
      <c r="D2568" s="22"/>
      <c r="E2568" s="22"/>
      <c r="F2568" s="22"/>
      <c r="G2568" s="22"/>
      <c r="H2568" s="22"/>
      <c r="I2568" s="22"/>
      <c r="J2568" s="22"/>
      <c r="K2568" s="22"/>
      <c r="L2568" s="22"/>
      <c r="M2568" s="22"/>
      <c r="N2568" s="22"/>
    </row>
    <row r="2569" spans="1:14" x14ac:dyDescent="0.3">
      <c r="A2569" s="22" t="s">
        <v>3968</v>
      </c>
      <c r="B2569" s="22">
        <v>0</v>
      </c>
      <c r="C2569" s="22"/>
      <c r="D2569" s="22"/>
      <c r="E2569" s="22"/>
      <c r="F2569" s="22"/>
      <c r="G2569" s="22"/>
      <c r="H2569" s="22"/>
      <c r="I2569" s="22"/>
      <c r="J2569" s="22"/>
      <c r="K2569" s="22"/>
      <c r="L2569" s="22"/>
      <c r="M2569" s="22"/>
      <c r="N2569" s="22"/>
    </row>
    <row r="2570" spans="1:14" x14ac:dyDescent="0.3">
      <c r="A2570" s="22" t="s">
        <v>3969</v>
      </c>
      <c r="B2570" s="22">
        <v>0</v>
      </c>
      <c r="C2570" s="22"/>
      <c r="D2570" s="22"/>
      <c r="E2570" s="22"/>
      <c r="F2570" s="22"/>
      <c r="G2570" s="22"/>
      <c r="H2570" s="22"/>
      <c r="I2570" s="22"/>
      <c r="J2570" s="22"/>
      <c r="K2570" s="22"/>
      <c r="L2570" s="22"/>
      <c r="M2570" s="22"/>
      <c r="N2570" s="22"/>
    </row>
    <row r="2571" spans="1:14" x14ac:dyDescent="0.3">
      <c r="A2571" s="22" t="s">
        <v>3970</v>
      </c>
      <c r="B2571" s="22">
        <v>0</v>
      </c>
      <c r="C2571" s="22"/>
      <c r="D2571" s="22"/>
      <c r="E2571" s="22"/>
      <c r="F2571" s="22"/>
      <c r="G2571" s="22"/>
      <c r="H2571" s="22"/>
      <c r="I2571" s="22"/>
      <c r="J2571" s="22"/>
      <c r="K2571" s="22"/>
      <c r="L2571" s="22"/>
      <c r="M2571" s="22"/>
      <c r="N2571" s="22"/>
    </row>
    <row r="2572" spans="1:14" x14ac:dyDescent="0.3">
      <c r="A2572" s="22" t="s">
        <v>3971</v>
      </c>
      <c r="B2572" s="22">
        <v>0</v>
      </c>
      <c r="C2572" s="22"/>
      <c r="D2572" s="22"/>
      <c r="E2572" s="22"/>
      <c r="F2572" s="22"/>
      <c r="G2572" s="22"/>
      <c r="H2572" s="22"/>
      <c r="I2572" s="22"/>
      <c r="J2572" s="22"/>
      <c r="K2572" s="22"/>
      <c r="L2572" s="22"/>
      <c r="M2572" s="22"/>
      <c r="N2572" s="22"/>
    </row>
    <row r="2573" spans="1:14" x14ac:dyDescent="0.3">
      <c r="A2573" s="22" t="s">
        <v>3972</v>
      </c>
      <c r="B2573" s="22">
        <v>0</v>
      </c>
      <c r="C2573" s="22"/>
      <c r="D2573" s="22"/>
      <c r="E2573" s="22"/>
      <c r="F2573" s="22"/>
      <c r="G2573" s="22"/>
      <c r="H2573" s="22"/>
      <c r="I2573" s="22"/>
      <c r="J2573" s="22"/>
      <c r="K2573" s="22"/>
      <c r="L2573" s="22"/>
      <c r="M2573" s="22"/>
      <c r="N2573" s="22"/>
    </row>
    <row r="2574" spans="1:14" x14ac:dyDescent="0.3">
      <c r="A2574" s="22" t="s">
        <v>3973</v>
      </c>
      <c r="B2574" s="22">
        <v>0</v>
      </c>
      <c r="C2574" s="22"/>
      <c r="D2574" s="22"/>
      <c r="E2574" s="22"/>
      <c r="F2574" s="22"/>
      <c r="G2574" s="22"/>
      <c r="H2574" s="22"/>
      <c r="I2574" s="22"/>
      <c r="J2574" s="22"/>
      <c r="K2574" s="22"/>
      <c r="L2574" s="22"/>
      <c r="M2574" s="22"/>
      <c r="N2574" s="22"/>
    </row>
    <row r="2575" spans="1:14" x14ac:dyDescent="0.3">
      <c r="A2575" s="22" t="s">
        <v>1511</v>
      </c>
      <c r="B2575" s="22">
        <v>59</v>
      </c>
      <c r="C2575" s="22"/>
      <c r="D2575" s="22"/>
      <c r="E2575" s="22"/>
      <c r="F2575" s="22"/>
      <c r="G2575" s="22"/>
      <c r="H2575" s="22"/>
      <c r="I2575" s="22"/>
      <c r="J2575" s="22"/>
      <c r="K2575" s="22"/>
      <c r="L2575" s="22"/>
      <c r="M2575" s="22"/>
      <c r="N2575" s="22"/>
    </row>
    <row r="2576" spans="1:14" x14ac:dyDescent="0.3">
      <c r="A2576" s="22" t="s">
        <v>3974</v>
      </c>
      <c r="B2576" s="22">
        <v>0</v>
      </c>
      <c r="C2576" s="22"/>
      <c r="D2576" s="22"/>
      <c r="E2576" s="22"/>
      <c r="F2576" s="22"/>
      <c r="G2576" s="22"/>
      <c r="H2576" s="22"/>
      <c r="I2576" s="22"/>
      <c r="J2576" s="22"/>
      <c r="K2576" s="22"/>
      <c r="L2576" s="22"/>
      <c r="M2576" s="22"/>
      <c r="N2576" s="22"/>
    </row>
    <row r="2577" spans="1:14" x14ac:dyDescent="0.3">
      <c r="A2577" s="22" t="s">
        <v>3975</v>
      </c>
      <c r="B2577" s="22">
        <v>0</v>
      </c>
      <c r="C2577" s="22"/>
      <c r="D2577" s="22"/>
      <c r="E2577" s="22"/>
      <c r="F2577" s="22"/>
      <c r="G2577" s="22"/>
      <c r="H2577" s="22"/>
      <c r="I2577" s="22"/>
      <c r="J2577" s="22"/>
      <c r="K2577" s="22"/>
      <c r="L2577" s="22"/>
      <c r="M2577" s="22"/>
      <c r="N2577" s="22"/>
    </row>
    <row r="2578" spans="1:14" x14ac:dyDescent="0.3">
      <c r="A2578" s="22" t="s">
        <v>3976</v>
      </c>
      <c r="B2578" s="22">
        <v>0</v>
      </c>
      <c r="C2578" s="22"/>
      <c r="D2578" s="22"/>
      <c r="E2578" s="22"/>
      <c r="F2578" s="22"/>
      <c r="G2578" s="22"/>
      <c r="H2578" s="22"/>
      <c r="I2578" s="22"/>
      <c r="J2578" s="22"/>
      <c r="K2578" s="22"/>
      <c r="L2578" s="22"/>
      <c r="M2578" s="22"/>
      <c r="N2578" s="22"/>
    </row>
    <row r="2579" spans="1:14" x14ac:dyDescent="0.3">
      <c r="A2579" s="22" t="s">
        <v>3977</v>
      </c>
      <c r="B2579" s="22">
        <v>0</v>
      </c>
      <c r="C2579" s="22"/>
      <c r="D2579" s="22"/>
      <c r="E2579" s="22"/>
      <c r="F2579" s="22"/>
      <c r="G2579" s="22"/>
      <c r="H2579" s="22"/>
      <c r="I2579" s="22"/>
      <c r="J2579" s="22"/>
      <c r="K2579" s="22"/>
      <c r="L2579" s="22"/>
      <c r="M2579" s="22"/>
      <c r="N2579" s="22"/>
    </row>
    <row r="2580" spans="1:14" x14ac:dyDescent="0.3">
      <c r="A2580" s="22" t="s">
        <v>3978</v>
      </c>
      <c r="B2580" s="22">
        <v>0</v>
      </c>
      <c r="C2580" s="22"/>
      <c r="D2580" s="22"/>
      <c r="E2580" s="22"/>
      <c r="F2580" s="22"/>
      <c r="G2580" s="22"/>
      <c r="H2580" s="22"/>
      <c r="I2580" s="22"/>
      <c r="J2580" s="22"/>
      <c r="K2580" s="22"/>
      <c r="L2580" s="22"/>
      <c r="M2580" s="22"/>
      <c r="N2580" s="22"/>
    </row>
    <row r="2581" spans="1:14" x14ac:dyDescent="0.3">
      <c r="A2581" s="22" t="s">
        <v>3979</v>
      </c>
      <c r="B2581" s="22">
        <v>0</v>
      </c>
      <c r="C2581" s="22"/>
      <c r="D2581" s="22"/>
      <c r="E2581" s="22"/>
      <c r="F2581" s="22"/>
      <c r="G2581" s="22"/>
      <c r="H2581" s="22"/>
      <c r="I2581" s="22"/>
      <c r="J2581" s="22"/>
      <c r="K2581" s="22"/>
      <c r="L2581" s="22"/>
      <c r="M2581" s="22"/>
      <c r="N2581" s="22"/>
    </row>
    <row r="2582" spans="1:14" x14ac:dyDescent="0.3">
      <c r="A2582" s="22" t="s">
        <v>3980</v>
      </c>
      <c r="B2582" s="22">
        <v>0</v>
      </c>
      <c r="C2582" s="22"/>
      <c r="D2582" s="22"/>
      <c r="E2582" s="22"/>
      <c r="F2582" s="22"/>
      <c r="G2582" s="22"/>
      <c r="H2582" s="22"/>
      <c r="I2582" s="22"/>
      <c r="J2582" s="22"/>
      <c r="K2582" s="22"/>
      <c r="L2582" s="22"/>
      <c r="M2582" s="22"/>
      <c r="N2582" s="22"/>
    </row>
    <row r="2583" spans="1:14" x14ac:dyDescent="0.3">
      <c r="A2583" s="22" t="s">
        <v>1513</v>
      </c>
      <c r="B2583" s="22">
        <v>0</v>
      </c>
      <c r="C2583" s="22"/>
      <c r="D2583" s="22"/>
      <c r="E2583" s="22"/>
      <c r="F2583" s="22"/>
      <c r="G2583" s="22"/>
      <c r="H2583" s="22"/>
      <c r="I2583" s="22"/>
      <c r="J2583" s="22"/>
      <c r="K2583" s="22"/>
      <c r="L2583" s="22"/>
      <c r="M2583" s="22"/>
      <c r="N2583" s="22"/>
    </row>
    <row r="2584" spans="1:14" x14ac:dyDescent="0.3">
      <c r="A2584" s="22" t="s">
        <v>3981</v>
      </c>
      <c r="B2584" s="22">
        <v>0</v>
      </c>
      <c r="C2584" s="22"/>
      <c r="D2584" s="22"/>
      <c r="E2584" s="22"/>
      <c r="F2584" s="22"/>
      <c r="G2584" s="22"/>
      <c r="H2584" s="22"/>
      <c r="I2584" s="22"/>
      <c r="J2584" s="22"/>
      <c r="K2584" s="22"/>
      <c r="L2584" s="22"/>
      <c r="M2584" s="22"/>
      <c r="N2584" s="22"/>
    </row>
    <row r="2585" spans="1:14" x14ac:dyDescent="0.3">
      <c r="A2585" s="22" t="s">
        <v>3982</v>
      </c>
      <c r="B2585" s="22">
        <v>0</v>
      </c>
      <c r="C2585" s="22"/>
      <c r="D2585" s="22"/>
      <c r="E2585" s="22"/>
      <c r="F2585" s="22"/>
      <c r="G2585" s="22"/>
      <c r="H2585" s="22"/>
      <c r="I2585" s="22"/>
      <c r="J2585" s="22"/>
      <c r="K2585" s="22"/>
      <c r="L2585" s="22"/>
      <c r="M2585" s="22"/>
      <c r="N2585" s="22"/>
    </row>
    <row r="2586" spans="1:14" x14ac:dyDescent="0.3">
      <c r="A2586" s="22" t="s">
        <v>3983</v>
      </c>
      <c r="B2586" s="22">
        <v>0</v>
      </c>
      <c r="C2586" s="22"/>
      <c r="D2586" s="22"/>
      <c r="E2586" s="22"/>
      <c r="F2586" s="22"/>
      <c r="G2586" s="22"/>
      <c r="H2586" s="22"/>
      <c r="I2586" s="22"/>
      <c r="J2586" s="22"/>
      <c r="K2586" s="22"/>
      <c r="L2586" s="22"/>
      <c r="M2586" s="22"/>
      <c r="N2586" s="22"/>
    </row>
    <row r="2587" spans="1:14" x14ac:dyDescent="0.3">
      <c r="A2587" s="22" t="s">
        <v>3984</v>
      </c>
      <c r="B2587" s="22">
        <v>0</v>
      </c>
      <c r="C2587" s="22"/>
      <c r="D2587" s="22"/>
      <c r="E2587" s="22"/>
      <c r="F2587" s="22"/>
      <c r="G2587" s="22"/>
      <c r="H2587" s="22"/>
      <c r="I2587" s="22"/>
      <c r="J2587" s="22"/>
      <c r="K2587" s="22"/>
      <c r="L2587" s="22"/>
      <c r="M2587" s="22"/>
      <c r="N2587" s="22"/>
    </row>
    <row r="2588" spans="1:14" x14ac:dyDescent="0.3">
      <c r="A2588" s="22" t="s">
        <v>3985</v>
      </c>
      <c r="B2588" s="22">
        <v>0</v>
      </c>
      <c r="C2588" s="22"/>
      <c r="D2588" s="22"/>
      <c r="E2588" s="22"/>
      <c r="F2588" s="22"/>
      <c r="G2588" s="22"/>
      <c r="H2588" s="22"/>
      <c r="I2588" s="22"/>
      <c r="J2588" s="22"/>
      <c r="K2588" s="22"/>
      <c r="L2588" s="22"/>
      <c r="M2588" s="22"/>
      <c r="N2588" s="22"/>
    </row>
    <row r="2589" spans="1:14" x14ac:dyDescent="0.3">
      <c r="A2589" s="22" t="s">
        <v>3986</v>
      </c>
      <c r="B2589" s="22">
        <v>0</v>
      </c>
      <c r="C2589" s="22"/>
      <c r="D2589" s="22"/>
      <c r="E2589" s="22"/>
      <c r="F2589" s="22"/>
      <c r="G2589" s="22"/>
      <c r="H2589" s="22"/>
      <c r="I2589" s="22"/>
      <c r="J2589" s="22"/>
      <c r="K2589" s="22"/>
      <c r="L2589" s="22"/>
      <c r="M2589" s="22"/>
      <c r="N2589" s="22"/>
    </row>
    <row r="2590" spans="1:14" x14ac:dyDescent="0.3">
      <c r="A2590" s="22" t="s">
        <v>3987</v>
      </c>
      <c r="B2590" s="22">
        <v>0</v>
      </c>
      <c r="C2590" s="22"/>
      <c r="D2590" s="22"/>
      <c r="E2590" s="22"/>
      <c r="F2590" s="22"/>
      <c r="G2590" s="22"/>
      <c r="H2590" s="22"/>
      <c r="I2590" s="22"/>
      <c r="J2590" s="22"/>
      <c r="K2590" s="22"/>
      <c r="L2590" s="22"/>
      <c r="M2590" s="22"/>
      <c r="N2590" s="22"/>
    </row>
    <row r="2591" spans="1:14" x14ac:dyDescent="0.3">
      <c r="A2591" s="22" t="s">
        <v>1276</v>
      </c>
      <c r="B2591" s="22">
        <v>0</v>
      </c>
      <c r="C2591" s="22"/>
      <c r="D2591" s="22"/>
      <c r="E2591" s="22"/>
      <c r="F2591" s="22"/>
      <c r="G2591" s="22"/>
      <c r="H2591" s="22"/>
      <c r="I2591" s="22"/>
      <c r="J2591" s="22"/>
      <c r="K2591" s="22"/>
      <c r="L2591" s="22"/>
      <c r="M2591" s="22"/>
      <c r="N2591" s="22"/>
    </row>
    <row r="2592" spans="1:14" x14ac:dyDescent="0.3">
      <c r="A2592" s="22" t="s">
        <v>1277</v>
      </c>
      <c r="B2592" s="22">
        <v>0</v>
      </c>
      <c r="C2592" s="22"/>
      <c r="D2592" s="22"/>
      <c r="E2592" s="22"/>
      <c r="F2592" s="22"/>
      <c r="G2592" s="22"/>
      <c r="H2592" s="22"/>
      <c r="I2592" s="22"/>
      <c r="J2592" s="22"/>
      <c r="K2592" s="22"/>
      <c r="L2592" s="22"/>
      <c r="M2592" s="22"/>
      <c r="N2592" s="22"/>
    </row>
    <row r="2593" spans="1:14" x14ac:dyDescent="0.3">
      <c r="A2593" s="22" t="s">
        <v>1278</v>
      </c>
      <c r="B2593" s="22">
        <v>0</v>
      </c>
      <c r="C2593" s="22"/>
      <c r="D2593" s="22"/>
      <c r="E2593" s="22"/>
      <c r="F2593" s="22"/>
      <c r="G2593" s="22"/>
      <c r="H2593" s="22"/>
      <c r="I2593" s="22"/>
      <c r="J2593" s="22"/>
      <c r="K2593" s="22"/>
      <c r="L2593" s="22"/>
      <c r="M2593" s="22"/>
      <c r="N2593" s="22"/>
    </row>
    <row r="2594" spans="1:14" x14ac:dyDescent="0.3">
      <c r="A2594" s="22" t="s">
        <v>1279</v>
      </c>
      <c r="B2594" s="22">
        <v>0</v>
      </c>
      <c r="C2594" s="22"/>
      <c r="D2594" s="22"/>
      <c r="E2594" s="22"/>
      <c r="F2594" s="22"/>
      <c r="G2594" s="22"/>
      <c r="H2594" s="22"/>
      <c r="I2594" s="22"/>
      <c r="J2594" s="22"/>
      <c r="K2594" s="22"/>
      <c r="L2594" s="22"/>
      <c r="M2594" s="22"/>
      <c r="N2594" s="22"/>
    </row>
    <row r="2595" spans="1:14" x14ac:dyDescent="0.3">
      <c r="A2595" s="22" t="s">
        <v>1280</v>
      </c>
      <c r="B2595" s="22">
        <v>0</v>
      </c>
      <c r="C2595" s="22"/>
      <c r="D2595" s="22"/>
      <c r="E2595" s="22"/>
      <c r="F2595" s="22"/>
      <c r="G2595" s="22"/>
      <c r="H2595" s="22"/>
      <c r="I2595" s="22"/>
      <c r="J2595" s="22"/>
      <c r="K2595" s="22"/>
      <c r="L2595" s="22"/>
      <c r="M2595" s="22"/>
      <c r="N2595" s="22"/>
    </row>
    <row r="2596" spans="1:14" x14ac:dyDescent="0.3">
      <c r="A2596" s="22" t="s">
        <v>1281</v>
      </c>
      <c r="B2596" s="22">
        <v>0</v>
      </c>
      <c r="C2596" s="22"/>
      <c r="D2596" s="22"/>
      <c r="E2596" s="22"/>
      <c r="F2596" s="22"/>
      <c r="G2596" s="22"/>
      <c r="H2596" s="22"/>
      <c r="I2596" s="22"/>
      <c r="J2596" s="22"/>
      <c r="K2596" s="22"/>
      <c r="L2596" s="22"/>
      <c r="M2596" s="22"/>
      <c r="N2596" s="22"/>
    </row>
    <row r="2597" spans="1:14" x14ac:dyDescent="0.3">
      <c r="A2597" s="22" t="s">
        <v>1282</v>
      </c>
      <c r="B2597" s="22">
        <v>0</v>
      </c>
      <c r="C2597" s="22"/>
      <c r="D2597" s="22"/>
      <c r="E2597" s="22"/>
      <c r="F2597" s="22"/>
      <c r="G2597" s="22"/>
      <c r="H2597" s="22"/>
      <c r="I2597" s="22"/>
      <c r="J2597" s="22"/>
      <c r="K2597" s="22"/>
      <c r="L2597" s="22"/>
      <c r="M2597" s="22"/>
      <c r="N2597" s="22"/>
    </row>
    <row r="2598" spans="1:14" x14ac:dyDescent="0.3">
      <c r="A2598" s="22" t="s">
        <v>1283</v>
      </c>
      <c r="B2598" s="22">
        <v>0</v>
      </c>
      <c r="C2598" s="22"/>
      <c r="D2598" s="22"/>
      <c r="E2598" s="22"/>
      <c r="F2598" s="22"/>
      <c r="G2598" s="22"/>
      <c r="H2598" s="22"/>
      <c r="I2598" s="22"/>
      <c r="J2598" s="22"/>
      <c r="K2598" s="22"/>
      <c r="L2598" s="22"/>
      <c r="M2598" s="22"/>
      <c r="N2598" s="22"/>
    </row>
    <row r="2599" spans="1:14" x14ac:dyDescent="0.3">
      <c r="A2599" s="22" t="s">
        <v>1284</v>
      </c>
      <c r="B2599" s="22">
        <v>6</v>
      </c>
      <c r="C2599" s="22"/>
      <c r="D2599" s="22"/>
      <c r="E2599" s="22"/>
      <c r="F2599" s="22"/>
      <c r="G2599" s="22"/>
      <c r="H2599" s="22"/>
      <c r="I2599" s="22"/>
      <c r="J2599" s="22"/>
      <c r="K2599" s="22"/>
      <c r="L2599" s="22"/>
      <c r="M2599" s="22"/>
      <c r="N2599" s="22"/>
    </row>
    <row r="2600" spans="1:14" x14ac:dyDescent="0.3">
      <c r="A2600" s="22" t="s">
        <v>1285</v>
      </c>
      <c r="B2600" s="22">
        <v>0</v>
      </c>
      <c r="C2600" s="22"/>
      <c r="D2600" s="22"/>
      <c r="E2600" s="22"/>
      <c r="F2600" s="22"/>
      <c r="G2600" s="22"/>
      <c r="H2600" s="22"/>
      <c r="I2600" s="22"/>
      <c r="J2600" s="22"/>
      <c r="K2600" s="22"/>
      <c r="L2600" s="22"/>
      <c r="M2600" s="22"/>
      <c r="N2600" s="22"/>
    </row>
    <row r="2601" spans="1:14" x14ac:dyDescent="0.3">
      <c r="A2601" s="22" t="s">
        <v>1286</v>
      </c>
      <c r="B2601" s="22">
        <v>0</v>
      </c>
      <c r="C2601" s="22"/>
      <c r="D2601" s="22"/>
      <c r="E2601" s="22"/>
      <c r="F2601" s="22"/>
      <c r="G2601" s="22"/>
      <c r="H2601" s="22"/>
      <c r="I2601" s="22"/>
      <c r="J2601" s="22"/>
      <c r="K2601" s="22"/>
      <c r="L2601" s="22"/>
      <c r="M2601" s="22"/>
      <c r="N2601" s="22"/>
    </row>
    <row r="2602" spans="1:14" x14ac:dyDescent="0.3">
      <c r="A2602" s="22" t="s">
        <v>1287</v>
      </c>
      <c r="B2602" s="22">
        <v>0</v>
      </c>
      <c r="C2602" s="22"/>
      <c r="D2602" s="22"/>
      <c r="E2602" s="22"/>
      <c r="F2602" s="22"/>
      <c r="G2602" s="22"/>
      <c r="H2602" s="22"/>
      <c r="I2602" s="22"/>
      <c r="J2602" s="22"/>
      <c r="K2602" s="22"/>
      <c r="L2602" s="22"/>
      <c r="M2602" s="22"/>
      <c r="N2602" s="22"/>
    </row>
    <row r="2603" spans="1:14" x14ac:dyDescent="0.3">
      <c r="A2603" s="22" t="s">
        <v>1288</v>
      </c>
      <c r="B2603" s="22">
        <v>0</v>
      </c>
      <c r="C2603" s="22"/>
      <c r="D2603" s="22"/>
      <c r="E2603" s="22"/>
      <c r="F2603" s="22"/>
      <c r="G2603" s="22"/>
      <c r="H2603" s="22"/>
      <c r="I2603" s="22"/>
      <c r="J2603" s="22"/>
      <c r="K2603" s="22"/>
      <c r="L2603" s="22"/>
      <c r="M2603" s="22"/>
      <c r="N2603" s="22"/>
    </row>
    <row r="2604" spans="1:14" x14ac:dyDescent="0.3">
      <c r="A2604" s="22" t="s">
        <v>1289</v>
      </c>
      <c r="B2604" s="22">
        <v>0</v>
      </c>
      <c r="C2604" s="22"/>
      <c r="D2604" s="22"/>
      <c r="E2604" s="22"/>
      <c r="F2604" s="22"/>
      <c r="G2604" s="22"/>
      <c r="H2604" s="22"/>
      <c r="I2604" s="22"/>
      <c r="J2604" s="22"/>
      <c r="K2604" s="22"/>
      <c r="L2604" s="22"/>
      <c r="M2604" s="22"/>
      <c r="N2604" s="22"/>
    </row>
    <row r="2605" spans="1:14" x14ac:dyDescent="0.3">
      <c r="A2605" s="22" t="s">
        <v>1290</v>
      </c>
      <c r="B2605" s="22">
        <v>0</v>
      </c>
      <c r="C2605" s="22"/>
      <c r="D2605" s="22"/>
      <c r="E2605" s="22"/>
      <c r="F2605" s="22"/>
      <c r="G2605" s="22"/>
      <c r="H2605" s="22"/>
      <c r="I2605" s="22"/>
      <c r="J2605" s="22"/>
      <c r="K2605" s="22"/>
      <c r="L2605" s="22"/>
      <c r="M2605" s="22"/>
      <c r="N2605" s="22"/>
    </row>
    <row r="2606" spans="1:14" x14ac:dyDescent="0.3">
      <c r="A2606" s="22" t="s">
        <v>1291</v>
      </c>
      <c r="B2606" s="22">
        <v>0</v>
      </c>
      <c r="C2606" s="22"/>
      <c r="D2606" s="22"/>
      <c r="E2606" s="22"/>
      <c r="F2606" s="22"/>
      <c r="G2606" s="22"/>
      <c r="H2606" s="22"/>
      <c r="I2606" s="22"/>
      <c r="J2606" s="22"/>
      <c r="K2606" s="22"/>
      <c r="L2606" s="22"/>
      <c r="M2606" s="22"/>
      <c r="N2606" s="22"/>
    </row>
    <row r="2607" spans="1:14" x14ac:dyDescent="0.3">
      <c r="A2607" s="22" t="s">
        <v>1512</v>
      </c>
      <c r="B2607" s="22">
        <v>2</v>
      </c>
      <c r="C2607" s="22"/>
      <c r="D2607" s="22"/>
      <c r="E2607" s="22"/>
      <c r="F2607" s="22"/>
      <c r="G2607" s="22"/>
      <c r="H2607" s="22"/>
      <c r="I2607" s="22"/>
      <c r="J2607" s="22"/>
      <c r="K2607" s="22"/>
      <c r="L2607" s="22"/>
      <c r="M2607" s="22"/>
      <c r="N2607" s="22"/>
    </row>
    <row r="2608" spans="1:14" x14ac:dyDescent="0.3">
      <c r="A2608" s="22" t="s">
        <v>3988</v>
      </c>
      <c r="B2608" s="22">
        <v>0</v>
      </c>
      <c r="C2608" s="22"/>
      <c r="D2608" s="22"/>
      <c r="E2608" s="22"/>
      <c r="F2608" s="22"/>
      <c r="G2608" s="22"/>
      <c r="H2608" s="22"/>
      <c r="I2608" s="22"/>
      <c r="J2608" s="22"/>
      <c r="K2608" s="22"/>
      <c r="L2608" s="22"/>
      <c r="M2608" s="22"/>
      <c r="N2608" s="22"/>
    </row>
    <row r="2609" spans="1:14" x14ac:dyDescent="0.3">
      <c r="A2609" s="22" t="s">
        <v>3989</v>
      </c>
      <c r="B2609" s="22">
        <v>0</v>
      </c>
      <c r="C2609" s="22"/>
      <c r="D2609" s="22"/>
      <c r="E2609" s="22"/>
      <c r="F2609" s="22"/>
      <c r="G2609" s="22"/>
      <c r="H2609" s="22"/>
      <c r="I2609" s="22"/>
      <c r="J2609" s="22"/>
      <c r="K2609" s="22"/>
      <c r="L2609" s="22"/>
      <c r="M2609" s="22"/>
      <c r="N2609" s="22"/>
    </row>
    <row r="2610" spans="1:14" x14ac:dyDescent="0.3">
      <c r="A2610" s="22" t="s">
        <v>3990</v>
      </c>
      <c r="B2610" s="22">
        <v>0</v>
      </c>
      <c r="C2610" s="22"/>
      <c r="D2610" s="22"/>
      <c r="E2610" s="22"/>
      <c r="F2610" s="22"/>
      <c r="G2610" s="22"/>
      <c r="H2610" s="22"/>
      <c r="I2610" s="22"/>
      <c r="J2610" s="22"/>
      <c r="K2610" s="22"/>
      <c r="L2610" s="22"/>
      <c r="M2610" s="22"/>
      <c r="N2610" s="22"/>
    </row>
    <row r="2611" spans="1:14" x14ac:dyDescent="0.3">
      <c r="A2611" s="22" t="s">
        <v>3991</v>
      </c>
      <c r="B2611" s="22">
        <v>0</v>
      </c>
      <c r="C2611" s="22"/>
      <c r="D2611" s="22"/>
      <c r="E2611" s="22"/>
      <c r="F2611" s="22"/>
      <c r="G2611" s="22"/>
      <c r="H2611" s="22"/>
      <c r="I2611" s="22"/>
      <c r="J2611" s="22"/>
      <c r="K2611" s="22"/>
      <c r="L2611" s="22"/>
      <c r="M2611" s="22"/>
      <c r="N2611" s="22"/>
    </row>
    <row r="2612" spans="1:14" x14ac:dyDescent="0.3">
      <c r="A2612" s="22" t="s">
        <v>3992</v>
      </c>
      <c r="B2612" s="22">
        <v>0</v>
      </c>
      <c r="C2612" s="22"/>
      <c r="D2612" s="22"/>
      <c r="E2612" s="22"/>
      <c r="F2612" s="22"/>
      <c r="G2612" s="22"/>
      <c r="H2612" s="22"/>
      <c r="I2612" s="22"/>
      <c r="J2612" s="22"/>
      <c r="K2612" s="22"/>
      <c r="L2612" s="22"/>
      <c r="M2612" s="22"/>
      <c r="N2612" s="22"/>
    </row>
    <row r="2613" spans="1:14" x14ac:dyDescent="0.3">
      <c r="A2613" s="22" t="s">
        <v>3993</v>
      </c>
      <c r="B2613" s="22">
        <v>0</v>
      </c>
      <c r="C2613" s="22"/>
      <c r="D2613" s="22"/>
      <c r="E2613" s="22"/>
      <c r="F2613" s="22"/>
      <c r="G2613" s="22"/>
      <c r="H2613" s="22"/>
      <c r="I2613" s="22"/>
      <c r="J2613" s="22"/>
      <c r="K2613" s="22"/>
      <c r="L2613" s="22"/>
      <c r="M2613" s="22"/>
      <c r="N2613" s="22"/>
    </row>
    <row r="2614" spans="1:14" x14ac:dyDescent="0.3">
      <c r="A2614" s="22" t="s">
        <v>3994</v>
      </c>
      <c r="B2614" s="22">
        <v>0</v>
      </c>
      <c r="C2614" s="22"/>
      <c r="D2614" s="22"/>
      <c r="E2614" s="22"/>
      <c r="F2614" s="22"/>
      <c r="G2614" s="22"/>
      <c r="H2614" s="22"/>
      <c r="I2614" s="22"/>
      <c r="J2614" s="22"/>
      <c r="K2614" s="22"/>
      <c r="L2614" s="22"/>
      <c r="M2614" s="22"/>
      <c r="N2614" s="22"/>
    </row>
    <row r="2615" spans="1:14" x14ac:dyDescent="0.3">
      <c r="A2615" s="22" t="s">
        <v>1514</v>
      </c>
      <c r="B2615" s="22">
        <v>0</v>
      </c>
      <c r="C2615" s="22"/>
      <c r="D2615" s="22"/>
      <c r="E2615" s="22"/>
      <c r="F2615" s="22"/>
      <c r="G2615" s="22"/>
      <c r="H2615" s="22"/>
      <c r="I2615" s="22"/>
      <c r="J2615" s="22"/>
      <c r="K2615" s="22"/>
      <c r="L2615" s="22"/>
      <c r="M2615" s="22"/>
      <c r="N2615" s="22"/>
    </row>
    <row r="2616" spans="1:14" x14ac:dyDescent="0.3">
      <c r="A2616" s="22" t="s">
        <v>3995</v>
      </c>
      <c r="B2616" s="22">
        <v>0</v>
      </c>
      <c r="C2616" s="22"/>
      <c r="D2616" s="22"/>
      <c r="E2616" s="22"/>
      <c r="F2616" s="22"/>
      <c r="G2616" s="22"/>
      <c r="H2616" s="22"/>
      <c r="I2616" s="22"/>
      <c r="J2616" s="22"/>
      <c r="K2616" s="22"/>
      <c r="L2616" s="22"/>
      <c r="M2616" s="22"/>
      <c r="N2616" s="22"/>
    </row>
    <row r="2617" spans="1:14" x14ac:dyDescent="0.3">
      <c r="A2617" s="22" t="s">
        <v>3996</v>
      </c>
      <c r="B2617" s="22">
        <v>0</v>
      </c>
      <c r="C2617" s="22"/>
      <c r="D2617" s="22"/>
      <c r="E2617" s="22"/>
      <c r="F2617" s="22"/>
      <c r="G2617" s="22"/>
      <c r="H2617" s="22"/>
      <c r="I2617" s="22"/>
      <c r="J2617" s="22"/>
      <c r="K2617" s="22"/>
      <c r="L2617" s="22"/>
      <c r="M2617" s="22"/>
      <c r="N2617" s="22"/>
    </row>
    <row r="2618" spans="1:14" x14ac:dyDescent="0.3">
      <c r="A2618" s="22" t="s">
        <v>3997</v>
      </c>
      <c r="B2618" s="22">
        <v>0</v>
      </c>
      <c r="C2618" s="22"/>
      <c r="D2618" s="22"/>
      <c r="E2618" s="22"/>
      <c r="F2618" s="22"/>
      <c r="G2618" s="22"/>
      <c r="H2618" s="22"/>
      <c r="I2618" s="22"/>
      <c r="J2618" s="22"/>
      <c r="K2618" s="22"/>
      <c r="L2618" s="22"/>
      <c r="M2618" s="22"/>
      <c r="N2618" s="22"/>
    </row>
    <row r="2619" spans="1:14" x14ac:dyDescent="0.3">
      <c r="A2619" s="22" t="s">
        <v>3998</v>
      </c>
      <c r="B2619" s="22">
        <v>0</v>
      </c>
      <c r="C2619" s="22"/>
      <c r="D2619" s="22"/>
      <c r="E2619" s="22"/>
      <c r="F2619" s="22"/>
      <c r="G2619" s="22"/>
      <c r="H2619" s="22"/>
      <c r="I2619" s="22"/>
      <c r="J2619" s="22"/>
      <c r="K2619" s="22"/>
      <c r="L2619" s="22"/>
      <c r="M2619" s="22"/>
      <c r="N2619" s="22"/>
    </row>
    <row r="2620" spans="1:14" x14ac:dyDescent="0.3">
      <c r="A2620" s="22" t="s">
        <v>3999</v>
      </c>
      <c r="B2620" s="22">
        <v>0</v>
      </c>
      <c r="C2620" s="22"/>
      <c r="D2620" s="22"/>
      <c r="E2620" s="22"/>
      <c r="F2620" s="22"/>
      <c r="G2620" s="22"/>
      <c r="H2620" s="22"/>
      <c r="I2620" s="22"/>
      <c r="J2620" s="22"/>
      <c r="K2620" s="22"/>
      <c r="L2620" s="22"/>
      <c r="M2620" s="22"/>
      <c r="N2620" s="22"/>
    </row>
    <row r="2621" spans="1:14" x14ac:dyDescent="0.3">
      <c r="A2621" s="22" t="s">
        <v>4000</v>
      </c>
      <c r="B2621" s="22">
        <v>0</v>
      </c>
      <c r="C2621" s="22"/>
      <c r="D2621" s="22"/>
      <c r="E2621" s="22"/>
      <c r="F2621" s="22"/>
      <c r="G2621" s="22"/>
      <c r="H2621" s="22"/>
      <c r="I2621" s="22"/>
      <c r="J2621" s="22"/>
      <c r="K2621" s="22"/>
      <c r="L2621" s="22"/>
      <c r="M2621" s="22"/>
      <c r="N2621" s="22"/>
    </row>
    <row r="2622" spans="1:14" x14ac:dyDescent="0.3">
      <c r="A2622" s="22" t="s">
        <v>4001</v>
      </c>
      <c r="B2622" s="22">
        <v>0</v>
      </c>
      <c r="C2622" s="22"/>
      <c r="D2622" s="22"/>
      <c r="E2622" s="22"/>
      <c r="F2622" s="22"/>
      <c r="G2622" s="22"/>
      <c r="H2622" s="22"/>
      <c r="I2622" s="22"/>
      <c r="J2622" s="22"/>
      <c r="K2622" s="22"/>
      <c r="L2622" s="22"/>
      <c r="M2622" s="22"/>
      <c r="N2622" s="22"/>
    </row>
    <row r="2623" spans="1:14" x14ac:dyDescent="0.3">
      <c r="A2623" s="22" t="s">
        <v>1515</v>
      </c>
      <c r="B2623" s="22">
        <v>59</v>
      </c>
      <c r="C2623" s="22"/>
      <c r="D2623" s="22"/>
      <c r="E2623" s="22"/>
      <c r="F2623" s="22"/>
      <c r="G2623" s="22"/>
      <c r="H2623" s="22"/>
      <c r="I2623" s="22"/>
      <c r="J2623" s="22"/>
      <c r="K2623" s="22"/>
      <c r="L2623" s="22"/>
      <c r="M2623" s="22"/>
      <c r="N2623" s="22"/>
    </row>
    <row r="2624" spans="1:14" x14ac:dyDescent="0.3">
      <c r="A2624" s="22" t="s">
        <v>4002</v>
      </c>
      <c r="B2624" s="22">
        <v>0</v>
      </c>
      <c r="C2624" s="22"/>
      <c r="D2624" s="22"/>
      <c r="E2624" s="22"/>
      <c r="F2624" s="22"/>
      <c r="G2624" s="22"/>
      <c r="H2624" s="22"/>
      <c r="I2624" s="22"/>
      <c r="J2624" s="22"/>
      <c r="K2624" s="22"/>
      <c r="L2624" s="22"/>
      <c r="M2624" s="22"/>
      <c r="N2624" s="22"/>
    </row>
    <row r="2625" spans="1:14" x14ac:dyDescent="0.3">
      <c r="A2625" s="22" t="s">
        <v>4003</v>
      </c>
      <c r="B2625" s="22">
        <v>0</v>
      </c>
      <c r="C2625" s="22"/>
      <c r="D2625" s="22"/>
      <c r="E2625" s="22"/>
      <c r="F2625" s="22"/>
      <c r="G2625" s="22"/>
      <c r="H2625" s="22"/>
      <c r="I2625" s="22"/>
      <c r="J2625" s="22"/>
      <c r="K2625" s="22"/>
      <c r="L2625" s="22"/>
      <c r="M2625" s="22"/>
      <c r="N2625" s="22"/>
    </row>
    <row r="2626" spans="1:14" x14ac:dyDescent="0.3">
      <c r="A2626" s="22" t="s">
        <v>4004</v>
      </c>
      <c r="B2626" s="22">
        <v>0</v>
      </c>
      <c r="C2626" s="22"/>
      <c r="D2626" s="22"/>
      <c r="E2626" s="22"/>
      <c r="F2626" s="22"/>
      <c r="G2626" s="22"/>
      <c r="H2626" s="22"/>
      <c r="I2626" s="22"/>
      <c r="J2626" s="22"/>
      <c r="K2626" s="22"/>
      <c r="L2626" s="22"/>
      <c r="M2626" s="22"/>
      <c r="N2626" s="22"/>
    </row>
    <row r="2627" spans="1:14" x14ac:dyDescent="0.3">
      <c r="A2627" s="22" t="s">
        <v>4005</v>
      </c>
      <c r="B2627" s="22">
        <v>0</v>
      </c>
      <c r="C2627" s="22"/>
      <c r="D2627" s="22"/>
      <c r="E2627" s="22"/>
      <c r="F2627" s="22"/>
      <c r="G2627" s="22"/>
      <c r="H2627" s="22"/>
      <c r="I2627" s="22"/>
      <c r="J2627" s="22"/>
      <c r="K2627" s="22"/>
      <c r="L2627" s="22"/>
      <c r="M2627" s="22"/>
      <c r="N2627" s="22"/>
    </row>
    <row r="2628" spans="1:14" x14ac:dyDescent="0.3">
      <c r="A2628" s="22" t="s">
        <v>4006</v>
      </c>
      <c r="B2628" s="22">
        <v>0</v>
      </c>
      <c r="C2628" s="22"/>
      <c r="D2628" s="22"/>
      <c r="E2628" s="22"/>
      <c r="F2628" s="22"/>
      <c r="G2628" s="22"/>
      <c r="H2628" s="22"/>
      <c r="I2628" s="22"/>
      <c r="J2628" s="22"/>
      <c r="K2628" s="22"/>
      <c r="L2628" s="22"/>
      <c r="M2628" s="22"/>
      <c r="N2628" s="22"/>
    </row>
    <row r="2629" spans="1:14" x14ac:dyDescent="0.3">
      <c r="A2629" s="22" t="s">
        <v>4007</v>
      </c>
      <c r="B2629" s="22">
        <v>0</v>
      </c>
      <c r="C2629" s="22"/>
      <c r="D2629" s="22"/>
      <c r="E2629" s="22"/>
      <c r="F2629" s="22"/>
      <c r="G2629" s="22"/>
      <c r="H2629" s="22"/>
      <c r="I2629" s="22"/>
      <c r="J2629" s="22"/>
      <c r="K2629" s="22"/>
      <c r="L2629" s="22"/>
      <c r="M2629" s="22"/>
      <c r="N2629" s="22"/>
    </row>
    <row r="2630" spans="1:14" x14ac:dyDescent="0.3">
      <c r="A2630" s="22" t="s">
        <v>4008</v>
      </c>
      <c r="B2630" s="22">
        <v>0</v>
      </c>
      <c r="C2630" s="22"/>
      <c r="D2630" s="22"/>
      <c r="E2630" s="22"/>
      <c r="F2630" s="22"/>
      <c r="G2630" s="22"/>
      <c r="H2630" s="22"/>
      <c r="I2630" s="22"/>
      <c r="J2630" s="22"/>
      <c r="K2630" s="22"/>
      <c r="L2630" s="22"/>
      <c r="M2630" s="22"/>
      <c r="N2630" s="22"/>
    </row>
    <row r="2631" spans="1:14" x14ac:dyDescent="0.3">
      <c r="A2631" s="22" t="s">
        <v>1517</v>
      </c>
      <c r="B2631" s="22">
        <v>2</v>
      </c>
      <c r="C2631" s="22"/>
      <c r="D2631" s="22"/>
      <c r="E2631" s="22"/>
      <c r="F2631" s="22"/>
      <c r="G2631" s="22"/>
      <c r="H2631" s="22"/>
      <c r="I2631" s="22"/>
      <c r="J2631" s="22"/>
      <c r="K2631" s="22"/>
      <c r="L2631" s="22"/>
      <c r="M2631" s="22"/>
      <c r="N2631" s="22"/>
    </row>
    <row r="2632" spans="1:14" x14ac:dyDescent="0.3">
      <c r="A2632" s="22" t="s">
        <v>4009</v>
      </c>
      <c r="B2632" s="22">
        <v>0</v>
      </c>
      <c r="C2632" s="22"/>
      <c r="D2632" s="22"/>
      <c r="E2632" s="22"/>
      <c r="F2632" s="22"/>
      <c r="G2632" s="22"/>
      <c r="H2632" s="22"/>
      <c r="I2632" s="22"/>
      <c r="J2632" s="22"/>
      <c r="K2632" s="22"/>
      <c r="L2632" s="22"/>
      <c r="M2632" s="22"/>
      <c r="N2632" s="22"/>
    </row>
    <row r="2633" spans="1:14" x14ac:dyDescent="0.3">
      <c r="A2633" s="22" t="s">
        <v>4010</v>
      </c>
      <c r="B2633" s="22">
        <v>0</v>
      </c>
      <c r="C2633" s="22"/>
      <c r="D2633" s="22"/>
      <c r="E2633" s="22"/>
      <c r="F2633" s="22"/>
      <c r="G2633" s="22"/>
      <c r="H2633" s="22"/>
      <c r="I2633" s="22"/>
      <c r="J2633" s="22"/>
      <c r="K2633" s="22"/>
      <c r="L2633" s="22"/>
      <c r="M2633" s="22"/>
      <c r="N2633" s="22"/>
    </row>
    <row r="2634" spans="1:14" x14ac:dyDescent="0.3">
      <c r="A2634" s="22" t="s">
        <v>4011</v>
      </c>
      <c r="B2634" s="22">
        <v>0</v>
      </c>
      <c r="C2634" s="22"/>
      <c r="D2634" s="22"/>
      <c r="E2634" s="22"/>
      <c r="F2634" s="22"/>
      <c r="G2634" s="22"/>
      <c r="H2634" s="22"/>
      <c r="I2634" s="22"/>
      <c r="J2634" s="22"/>
      <c r="K2634" s="22"/>
      <c r="L2634" s="22"/>
      <c r="M2634" s="22"/>
      <c r="N2634" s="22"/>
    </row>
    <row r="2635" spans="1:14" x14ac:dyDescent="0.3">
      <c r="A2635" s="22" t="s">
        <v>4012</v>
      </c>
      <c r="B2635" s="22">
        <v>0</v>
      </c>
      <c r="C2635" s="22"/>
      <c r="D2635" s="22"/>
      <c r="E2635" s="22"/>
      <c r="F2635" s="22"/>
      <c r="G2635" s="22"/>
      <c r="H2635" s="22"/>
      <c r="I2635" s="22"/>
      <c r="J2635" s="22"/>
      <c r="K2635" s="22"/>
      <c r="L2635" s="22"/>
      <c r="M2635" s="22"/>
      <c r="N2635" s="22"/>
    </row>
    <row r="2636" spans="1:14" x14ac:dyDescent="0.3">
      <c r="A2636" s="22" t="s">
        <v>4013</v>
      </c>
      <c r="B2636" s="22">
        <v>0</v>
      </c>
      <c r="C2636" s="22"/>
      <c r="D2636" s="22"/>
      <c r="E2636" s="22"/>
      <c r="F2636" s="22"/>
      <c r="G2636" s="22"/>
      <c r="H2636" s="22"/>
      <c r="I2636" s="22"/>
      <c r="J2636" s="22"/>
      <c r="K2636" s="22"/>
      <c r="L2636" s="22"/>
      <c r="M2636" s="22"/>
      <c r="N2636" s="22"/>
    </row>
    <row r="2637" spans="1:14" x14ac:dyDescent="0.3">
      <c r="A2637" s="22" t="s">
        <v>4014</v>
      </c>
      <c r="B2637" s="22">
        <v>0</v>
      </c>
      <c r="C2637" s="22"/>
      <c r="D2637" s="22"/>
      <c r="E2637" s="22"/>
      <c r="F2637" s="22"/>
      <c r="G2637" s="22"/>
      <c r="H2637" s="22"/>
      <c r="I2637" s="22"/>
      <c r="J2637" s="22"/>
      <c r="K2637" s="22"/>
      <c r="L2637" s="22"/>
      <c r="M2637" s="22"/>
      <c r="N2637" s="22"/>
    </row>
    <row r="2638" spans="1:14" x14ac:dyDescent="0.3">
      <c r="A2638" s="22" t="s">
        <v>4015</v>
      </c>
      <c r="B2638" s="22">
        <v>0</v>
      </c>
      <c r="C2638" s="22"/>
      <c r="D2638" s="22"/>
      <c r="E2638" s="22"/>
      <c r="F2638" s="22"/>
      <c r="G2638" s="22"/>
      <c r="H2638" s="22"/>
      <c r="I2638" s="22"/>
      <c r="J2638" s="22"/>
      <c r="K2638" s="22"/>
      <c r="L2638" s="22"/>
      <c r="M2638" s="22"/>
      <c r="N2638" s="22"/>
    </row>
    <row r="2639" spans="1:14" x14ac:dyDescent="0.3">
      <c r="A2639" s="22" t="s">
        <v>1292</v>
      </c>
      <c r="B2639" s="22">
        <v>35</v>
      </c>
      <c r="C2639" s="22"/>
      <c r="D2639" s="22"/>
      <c r="E2639" s="22"/>
      <c r="F2639" s="22"/>
      <c r="G2639" s="22"/>
      <c r="H2639" s="22"/>
      <c r="I2639" s="22"/>
      <c r="J2639" s="22"/>
      <c r="K2639" s="22"/>
      <c r="L2639" s="22"/>
      <c r="M2639" s="22"/>
      <c r="N2639" s="22"/>
    </row>
    <row r="2640" spans="1:14" x14ac:dyDescent="0.3">
      <c r="A2640" s="22" t="s">
        <v>1293</v>
      </c>
      <c r="B2640" s="22">
        <v>0</v>
      </c>
      <c r="C2640" s="22"/>
      <c r="D2640" s="22"/>
      <c r="E2640" s="22"/>
      <c r="F2640" s="22"/>
      <c r="G2640" s="22"/>
      <c r="H2640" s="22"/>
      <c r="I2640" s="22"/>
      <c r="J2640" s="22"/>
      <c r="K2640" s="22"/>
      <c r="L2640" s="22"/>
      <c r="M2640" s="22"/>
      <c r="N2640" s="22"/>
    </row>
    <row r="2641" spans="1:14" x14ac:dyDescent="0.3">
      <c r="A2641" s="22" t="s">
        <v>1294</v>
      </c>
      <c r="B2641" s="22">
        <v>0</v>
      </c>
      <c r="C2641" s="22"/>
      <c r="D2641" s="22"/>
      <c r="E2641" s="22"/>
      <c r="F2641" s="22"/>
      <c r="G2641" s="22"/>
      <c r="H2641" s="22"/>
      <c r="I2641" s="22"/>
      <c r="J2641" s="22"/>
      <c r="K2641" s="22"/>
      <c r="L2641" s="22"/>
      <c r="M2641" s="22"/>
      <c r="N2641" s="22"/>
    </row>
    <row r="2642" spans="1:14" x14ac:dyDescent="0.3">
      <c r="A2642" s="22" t="s">
        <v>1295</v>
      </c>
      <c r="B2642" s="22">
        <v>0</v>
      </c>
      <c r="C2642" s="22"/>
      <c r="D2642" s="22"/>
      <c r="E2642" s="22"/>
      <c r="F2642" s="22"/>
      <c r="G2642" s="22"/>
      <c r="H2642" s="22"/>
      <c r="I2642" s="22"/>
      <c r="J2642" s="22"/>
      <c r="K2642" s="22"/>
      <c r="L2642" s="22"/>
      <c r="M2642" s="22"/>
      <c r="N2642" s="22"/>
    </row>
    <row r="2643" spans="1:14" x14ac:dyDescent="0.3">
      <c r="A2643" s="22" t="s">
        <v>1296</v>
      </c>
      <c r="B2643" s="22">
        <v>0</v>
      </c>
      <c r="C2643" s="22"/>
      <c r="D2643" s="22"/>
      <c r="E2643" s="22"/>
      <c r="F2643" s="22"/>
      <c r="G2643" s="22"/>
      <c r="H2643" s="22"/>
      <c r="I2643" s="22"/>
      <c r="J2643" s="22"/>
      <c r="K2643" s="22"/>
      <c r="L2643" s="22"/>
      <c r="M2643" s="22"/>
      <c r="N2643" s="22"/>
    </row>
    <row r="2644" spans="1:14" x14ac:dyDescent="0.3">
      <c r="A2644" s="22" t="s">
        <v>1297</v>
      </c>
      <c r="B2644" s="22">
        <v>0</v>
      </c>
      <c r="C2644" s="22"/>
      <c r="D2644" s="22"/>
      <c r="E2644" s="22"/>
      <c r="F2644" s="22"/>
      <c r="G2644" s="22"/>
      <c r="H2644" s="22"/>
      <c r="I2644" s="22"/>
      <c r="J2644" s="22"/>
      <c r="K2644" s="22"/>
      <c r="L2644" s="22"/>
      <c r="M2644" s="22"/>
      <c r="N2644" s="22"/>
    </row>
    <row r="2645" spans="1:14" x14ac:dyDescent="0.3">
      <c r="A2645" s="22" t="s">
        <v>1298</v>
      </c>
      <c r="B2645" s="22">
        <v>0</v>
      </c>
      <c r="C2645" s="22"/>
      <c r="D2645" s="22"/>
      <c r="E2645" s="22"/>
      <c r="F2645" s="22"/>
      <c r="G2645" s="22"/>
      <c r="H2645" s="22"/>
      <c r="I2645" s="22"/>
      <c r="J2645" s="22"/>
      <c r="K2645" s="22"/>
      <c r="L2645" s="22"/>
      <c r="M2645" s="22"/>
      <c r="N2645" s="22"/>
    </row>
    <row r="2646" spans="1:14" x14ac:dyDescent="0.3">
      <c r="A2646" s="22" t="s">
        <v>1299</v>
      </c>
      <c r="B2646" s="22">
        <v>0</v>
      </c>
      <c r="C2646" s="22"/>
      <c r="D2646" s="22"/>
      <c r="E2646" s="22"/>
      <c r="F2646" s="22"/>
      <c r="G2646" s="22"/>
      <c r="H2646" s="22"/>
      <c r="I2646" s="22"/>
      <c r="J2646" s="22"/>
      <c r="K2646" s="22"/>
      <c r="L2646" s="22"/>
      <c r="M2646" s="22"/>
      <c r="N2646" s="22"/>
    </row>
    <row r="2647" spans="1:14" x14ac:dyDescent="0.3">
      <c r="A2647" s="22" t="s">
        <v>1300</v>
      </c>
      <c r="B2647" s="22">
        <v>0</v>
      </c>
      <c r="C2647" s="22"/>
      <c r="D2647" s="22"/>
      <c r="E2647" s="22"/>
      <c r="F2647" s="22"/>
      <c r="G2647" s="22"/>
      <c r="H2647" s="22"/>
      <c r="I2647" s="22"/>
      <c r="J2647" s="22"/>
      <c r="K2647" s="22"/>
      <c r="L2647" s="22"/>
      <c r="M2647" s="22"/>
      <c r="N2647" s="22"/>
    </row>
    <row r="2648" spans="1:14" x14ac:dyDescent="0.3">
      <c r="A2648" s="22" t="s">
        <v>1301</v>
      </c>
      <c r="B2648" s="22">
        <v>0</v>
      </c>
      <c r="C2648" s="22"/>
      <c r="D2648" s="22"/>
      <c r="E2648" s="22"/>
      <c r="F2648" s="22"/>
      <c r="G2648" s="22"/>
      <c r="H2648" s="22"/>
      <c r="I2648" s="22"/>
      <c r="J2648" s="22"/>
      <c r="K2648" s="22"/>
      <c r="L2648" s="22"/>
      <c r="M2648" s="22"/>
      <c r="N2648" s="22"/>
    </row>
    <row r="2649" spans="1:14" x14ac:dyDescent="0.3">
      <c r="A2649" s="22" t="s">
        <v>1302</v>
      </c>
      <c r="B2649" s="22">
        <v>0</v>
      </c>
      <c r="C2649" s="22"/>
      <c r="D2649" s="22"/>
      <c r="E2649" s="22"/>
      <c r="F2649" s="22"/>
      <c r="G2649" s="22"/>
      <c r="H2649" s="22"/>
      <c r="I2649" s="22"/>
      <c r="J2649" s="22"/>
      <c r="K2649" s="22"/>
      <c r="L2649" s="22"/>
      <c r="M2649" s="22"/>
      <c r="N2649" s="22"/>
    </row>
    <row r="2650" spans="1:14" x14ac:dyDescent="0.3">
      <c r="A2650" s="22" t="s">
        <v>1303</v>
      </c>
      <c r="B2650" s="22">
        <v>0</v>
      </c>
      <c r="C2650" s="22"/>
      <c r="D2650" s="22"/>
      <c r="E2650" s="22"/>
      <c r="F2650" s="22"/>
      <c r="G2650" s="22"/>
      <c r="H2650" s="22"/>
      <c r="I2650" s="22"/>
      <c r="J2650" s="22"/>
      <c r="K2650" s="22"/>
      <c r="L2650" s="22"/>
      <c r="M2650" s="22"/>
      <c r="N2650" s="22"/>
    </row>
    <row r="2651" spans="1:14" x14ac:dyDescent="0.3">
      <c r="A2651" s="22" t="s">
        <v>1304</v>
      </c>
      <c r="B2651" s="22">
        <v>0</v>
      </c>
      <c r="C2651" s="22"/>
      <c r="D2651" s="22"/>
      <c r="E2651" s="22"/>
      <c r="F2651" s="22"/>
      <c r="G2651" s="22"/>
      <c r="H2651" s="22"/>
      <c r="I2651" s="22"/>
      <c r="J2651" s="22"/>
      <c r="K2651" s="22"/>
      <c r="L2651" s="22"/>
      <c r="M2651" s="22"/>
      <c r="N2651" s="22"/>
    </row>
    <row r="2652" spans="1:14" x14ac:dyDescent="0.3">
      <c r="A2652" s="22" t="s">
        <v>1305</v>
      </c>
      <c r="B2652" s="22">
        <v>0</v>
      </c>
      <c r="C2652" s="22"/>
      <c r="D2652" s="22"/>
      <c r="E2652" s="22"/>
      <c r="F2652" s="22"/>
      <c r="G2652" s="22"/>
      <c r="H2652" s="22"/>
      <c r="I2652" s="22"/>
      <c r="J2652" s="22"/>
      <c r="K2652" s="22"/>
      <c r="L2652" s="22"/>
      <c r="M2652" s="22"/>
      <c r="N2652" s="22"/>
    </row>
    <row r="2653" spans="1:14" x14ac:dyDescent="0.3">
      <c r="A2653" s="22" t="s">
        <v>1306</v>
      </c>
      <c r="B2653" s="22">
        <v>0</v>
      </c>
      <c r="C2653" s="22"/>
      <c r="D2653" s="22"/>
      <c r="E2653" s="22"/>
      <c r="F2653" s="22"/>
      <c r="G2653" s="22"/>
      <c r="H2653" s="22"/>
      <c r="I2653" s="22"/>
      <c r="J2653" s="22"/>
      <c r="K2653" s="22"/>
      <c r="L2653" s="22"/>
      <c r="M2653" s="22"/>
      <c r="N2653" s="22"/>
    </row>
    <row r="2654" spans="1:14" x14ac:dyDescent="0.3">
      <c r="A2654" s="22" t="s">
        <v>1307</v>
      </c>
      <c r="B2654" s="22">
        <v>0</v>
      </c>
      <c r="C2654" s="22"/>
      <c r="D2654" s="22"/>
      <c r="E2654" s="22"/>
      <c r="F2654" s="22"/>
      <c r="G2654" s="22"/>
      <c r="H2654" s="22"/>
      <c r="I2654" s="22"/>
      <c r="J2654" s="22"/>
      <c r="K2654" s="22"/>
      <c r="L2654" s="22"/>
      <c r="M2654" s="22"/>
      <c r="N2654" s="22"/>
    </row>
    <row r="2655" spans="1:14" x14ac:dyDescent="0.3">
      <c r="A2655" s="22" t="s">
        <v>1516</v>
      </c>
      <c r="B2655" s="22">
        <v>0</v>
      </c>
      <c r="C2655" s="22"/>
      <c r="D2655" s="22"/>
      <c r="E2655" s="22"/>
      <c r="F2655" s="22"/>
      <c r="G2655" s="22"/>
      <c r="H2655" s="22"/>
      <c r="I2655" s="22"/>
      <c r="J2655" s="22"/>
      <c r="K2655" s="22"/>
      <c r="L2655" s="22"/>
      <c r="M2655" s="22"/>
      <c r="N2655" s="22"/>
    </row>
    <row r="2656" spans="1:14" x14ac:dyDescent="0.3">
      <c r="A2656" s="22" t="s">
        <v>4016</v>
      </c>
      <c r="B2656" s="22">
        <v>0</v>
      </c>
      <c r="C2656" s="22"/>
      <c r="D2656" s="22"/>
      <c r="E2656" s="22"/>
      <c r="F2656" s="22"/>
      <c r="G2656" s="22"/>
      <c r="H2656" s="22"/>
      <c r="I2656" s="22"/>
      <c r="J2656" s="22"/>
      <c r="K2656" s="22"/>
      <c r="L2656" s="22"/>
      <c r="M2656" s="22"/>
      <c r="N2656" s="22"/>
    </row>
    <row r="2657" spans="1:14" x14ac:dyDescent="0.3">
      <c r="A2657" s="22" t="s">
        <v>4017</v>
      </c>
      <c r="B2657" s="22">
        <v>0</v>
      </c>
      <c r="C2657" s="22"/>
      <c r="D2657" s="22"/>
      <c r="E2657" s="22"/>
      <c r="F2657" s="22"/>
      <c r="G2657" s="22"/>
      <c r="H2657" s="22"/>
      <c r="I2657" s="22"/>
      <c r="J2657" s="22"/>
      <c r="K2657" s="22"/>
      <c r="L2657" s="22"/>
      <c r="M2657" s="22"/>
      <c r="N2657" s="22"/>
    </row>
    <row r="2658" spans="1:14" x14ac:dyDescent="0.3">
      <c r="A2658" s="22" t="s">
        <v>4018</v>
      </c>
      <c r="B2658" s="22">
        <v>0</v>
      </c>
      <c r="C2658" s="22"/>
      <c r="D2658" s="22"/>
      <c r="E2658" s="22"/>
      <c r="F2658" s="22"/>
      <c r="G2658" s="22"/>
      <c r="H2658" s="22"/>
      <c r="I2658" s="22"/>
      <c r="J2658" s="22"/>
      <c r="K2658" s="22"/>
      <c r="L2658" s="22"/>
      <c r="M2658" s="22"/>
      <c r="N2658" s="22"/>
    </row>
    <row r="2659" spans="1:14" x14ac:dyDescent="0.3">
      <c r="A2659" s="22" t="s">
        <v>4019</v>
      </c>
      <c r="B2659" s="22">
        <v>0</v>
      </c>
      <c r="C2659" s="22"/>
      <c r="D2659" s="22"/>
      <c r="E2659" s="22"/>
      <c r="F2659" s="22"/>
      <c r="G2659" s="22"/>
      <c r="H2659" s="22"/>
      <c r="I2659" s="22"/>
      <c r="J2659" s="22"/>
      <c r="K2659" s="22"/>
      <c r="L2659" s="22"/>
      <c r="M2659" s="22"/>
      <c r="N2659" s="22"/>
    </row>
    <row r="2660" spans="1:14" x14ac:dyDescent="0.3">
      <c r="A2660" s="22" t="s">
        <v>4020</v>
      </c>
      <c r="B2660" s="22">
        <v>0</v>
      </c>
      <c r="C2660" s="22"/>
      <c r="D2660" s="22"/>
      <c r="E2660" s="22"/>
      <c r="F2660" s="22"/>
      <c r="G2660" s="22"/>
      <c r="H2660" s="22"/>
      <c r="I2660" s="22"/>
      <c r="J2660" s="22"/>
      <c r="K2660" s="22"/>
      <c r="L2660" s="22"/>
      <c r="M2660" s="22"/>
      <c r="N2660" s="22"/>
    </row>
    <row r="2661" spans="1:14" x14ac:dyDescent="0.3">
      <c r="A2661" s="22" t="s">
        <v>4021</v>
      </c>
      <c r="B2661" s="22">
        <v>0</v>
      </c>
      <c r="C2661" s="22"/>
      <c r="D2661" s="22"/>
      <c r="E2661" s="22"/>
      <c r="F2661" s="22"/>
      <c r="G2661" s="22"/>
      <c r="H2661" s="22"/>
      <c r="I2661" s="22"/>
      <c r="J2661" s="22"/>
      <c r="K2661" s="22"/>
      <c r="L2661" s="22"/>
      <c r="M2661" s="22"/>
      <c r="N2661" s="22"/>
    </row>
    <row r="2662" spans="1:14" x14ac:dyDescent="0.3">
      <c r="A2662" s="22" t="s">
        <v>4022</v>
      </c>
      <c r="B2662" s="22">
        <v>0</v>
      </c>
      <c r="C2662" s="22"/>
      <c r="D2662" s="22"/>
      <c r="E2662" s="22"/>
      <c r="F2662" s="22"/>
      <c r="G2662" s="22"/>
      <c r="H2662" s="22"/>
      <c r="I2662" s="22"/>
      <c r="J2662" s="22"/>
      <c r="K2662" s="22"/>
      <c r="L2662" s="22"/>
      <c r="M2662" s="22"/>
      <c r="N2662" s="22"/>
    </row>
    <row r="2663" spans="1:14" x14ac:dyDescent="0.3">
      <c r="A2663" s="22" t="s">
        <v>1518</v>
      </c>
      <c r="B2663" s="22">
        <v>25</v>
      </c>
      <c r="C2663" s="22"/>
      <c r="D2663" s="22"/>
      <c r="E2663" s="22"/>
      <c r="F2663" s="22"/>
      <c r="G2663" s="22"/>
      <c r="H2663" s="22"/>
      <c r="I2663" s="22"/>
      <c r="J2663" s="22"/>
      <c r="K2663" s="22"/>
      <c r="L2663" s="22"/>
      <c r="M2663" s="22"/>
      <c r="N2663" s="22"/>
    </row>
    <row r="2664" spans="1:14" x14ac:dyDescent="0.3">
      <c r="A2664" s="22" t="s">
        <v>4023</v>
      </c>
      <c r="B2664" s="22">
        <v>0</v>
      </c>
      <c r="C2664" s="22"/>
      <c r="D2664" s="22"/>
      <c r="E2664" s="22"/>
      <c r="F2664" s="22"/>
      <c r="G2664" s="22"/>
      <c r="H2664" s="22"/>
      <c r="I2664" s="22"/>
      <c r="J2664" s="22"/>
      <c r="K2664" s="22"/>
      <c r="L2664" s="22"/>
      <c r="M2664" s="22"/>
      <c r="N2664" s="22"/>
    </row>
    <row r="2665" spans="1:14" x14ac:dyDescent="0.3">
      <c r="A2665" s="22" t="s">
        <v>4024</v>
      </c>
      <c r="B2665" s="22">
        <v>0</v>
      </c>
      <c r="C2665" s="22"/>
      <c r="D2665" s="22"/>
      <c r="E2665" s="22"/>
      <c r="F2665" s="22"/>
      <c r="G2665" s="22"/>
      <c r="H2665" s="22"/>
      <c r="I2665" s="22"/>
      <c r="J2665" s="22"/>
      <c r="K2665" s="22"/>
      <c r="L2665" s="22"/>
      <c r="M2665" s="22"/>
      <c r="N2665" s="22"/>
    </row>
    <row r="2666" spans="1:14" x14ac:dyDescent="0.3">
      <c r="A2666" s="22" t="s">
        <v>4025</v>
      </c>
      <c r="B2666" s="22">
        <v>0</v>
      </c>
      <c r="C2666" s="22"/>
      <c r="D2666" s="22"/>
      <c r="E2666" s="22"/>
      <c r="F2666" s="22"/>
      <c r="G2666" s="22"/>
      <c r="H2666" s="22"/>
      <c r="I2666" s="22"/>
      <c r="J2666" s="22"/>
      <c r="K2666" s="22"/>
      <c r="L2666" s="22"/>
      <c r="M2666" s="22"/>
      <c r="N2666" s="22"/>
    </row>
    <row r="2667" spans="1:14" x14ac:dyDescent="0.3">
      <c r="A2667" s="22" t="s">
        <v>4026</v>
      </c>
      <c r="B2667" s="22">
        <v>0</v>
      </c>
      <c r="C2667" s="22"/>
      <c r="D2667" s="22"/>
      <c r="E2667" s="22"/>
      <c r="F2667" s="22"/>
      <c r="G2667" s="22"/>
      <c r="H2667" s="22"/>
      <c r="I2667" s="22"/>
      <c r="J2667" s="22"/>
      <c r="K2667" s="22"/>
      <c r="L2667" s="22"/>
      <c r="M2667" s="22"/>
      <c r="N2667" s="22"/>
    </row>
    <row r="2668" spans="1:14" x14ac:dyDescent="0.3">
      <c r="A2668" s="22" t="s">
        <v>4027</v>
      </c>
      <c r="B2668" s="22">
        <v>0</v>
      </c>
      <c r="C2668" s="22"/>
      <c r="D2668" s="22"/>
      <c r="E2668" s="22"/>
      <c r="F2668" s="22"/>
      <c r="G2668" s="22"/>
      <c r="H2668" s="22"/>
      <c r="I2668" s="22"/>
      <c r="J2668" s="22"/>
      <c r="K2668" s="22"/>
      <c r="L2668" s="22"/>
      <c r="M2668" s="22"/>
      <c r="N2668" s="22"/>
    </row>
    <row r="2669" spans="1:14" x14ac:dyDescent="0.3">
      <c r="A2669" s="22" t="s">
        <v>4028</v>
      </c>
      <c r="B2669" s="22">
        <v>0</v>
      </c>
      <c r="C2669" s="22"/>
      <c r="D2669" s="22"/>
      <c r="E2669" s="22"/>
      <c r="F2669" s="22"/>
      <c r="G2669" s="22"/>
      <c r="H2669" s="22"/>
      <c r="I2669" s="22"/>
      <c r="J2669" s="22"/>
      <c r="K2669" s="22"/>
      <c r="L2669" s="22"/>
      <c r="M2669" s="22"/>
      <c r="N2669" s="22"/>
    </row>
    <row r="2670" spans="1:14" x14ac:dyDescent="0.3">
      <c r="A2670" s="22" t="s">
        <v>4029</v>
      </c>
      <c r="B2670" s="22">
        <v>0</v>
      </c>
      <c r="C2670" s="22"/>
      <c r="D2670" s="22"/>
      <c r="E2670" s="22"/>
      <c r="F2670" s="22"/>
      <c r="G2670" s="22"/>
      <c r="H2670" s="22"/>
      <c r="I2670" s="22"/>
      <c r="J2670" s="22"/>
      <c r="K2670" s="22"/>
      <c r="L2670" s="22"/>
      <c r="M2670" s="22"/>
      <c r="N2670" s="22"/>
    </row>
    <row r="2671" spans="1:14" x14ac:dyDescent="0.3">
      <c r="A2671" s="22" t="s">
        <v>1519</v>
      </c>
      <c r="B2671" s="22">
        <v>0</v>
      </c>
      <c r="C2671" s="22"/>
      <c r="D2671" s="22"/>
      <c r="E2671" s="22"/>
      <c r="F2671" s="22"/>
      <c r="G2671" s="22"/>
      <c r="H2671" s="22"/>
      <c r="I2671" s="22"/>
      <c r="J2671" s="22"/>
      <c r="K2671" s="22"/>
      <c r="L2671" s="22"/>
      <c r="M2671" s="22"/>
      <c r="N2671" s="22"/>
    </row>
    <row r="2672" spans="1:14" x14ac:dyDescent="0.3">
      <c r="A2672" s="22" t="s">
        <v>4030</v>
      </c>
      <c r="B2672" s="22">
        <v>0</v>
      </c>
      <c r="C2672" s="22"/>
      <c r="D2672" s="22"/>
      <c r="E2672" s="22"/>
      <c r="F2672" s="22"/>
      <c r="G2672" s="22"/>
      <c r="H2672" s="22"/>
      <c r="I2672" s="22"/>
      <c r="J2672" s="22"/>
      <c r="K2672" s="22"/>
      <c r="L2672" s="22"/>
      <c r="M2672" s="22"/>
      <c r="N2672" s="22"/>
    </row>
    <row r="2673" spans="1:14" x14ac:dyDescent="0.3">
      <c r="A2673" s="22" t="s">
        <v>4031</v>
      </c>
      <c r="B2673" s="22">
        <v>0</v>
      </c>
      <c r="C2673" s="22"/>
      <c r="D2673" s="22"/>
      <c r="E2673" s="22"/>
      <c r="F2673" s="22"/>
      <c r="G2673" s="22"/>
      <c r="H2673" s="22"/>
      <c r="I2673" s="22"/>
      <c r="J2673" s="22"/>
      <c r="K2673" s="22"/>
      <c r="L2673" s="22"/>
      <c r="M2673" s="22"/>
      <c r="N2673" s="22"/>
    </row>
    <row r="2674" spans="1:14" x14ac:dyDescent="0.3">
      <c r="A2674" s="22" t="s">
        <v>4032</v>
      </c>
      <c r="B2674" s="22">
        <v>0</v>
      </c>
      <c r="C2674" s="22"/>
      <c r="D2674" s="22"/>
      <c r="E2674" s="22"/>
      <c r="F2674" s="22"/>
      <c r="G2674" s="22"/>
      <c r="H2674" s="22"/>
      <c r="I2674" s="22"/>
      <c r="J2674" s="22"/>
      <c r="K2674" s="22"/>
      <c r="L2674" s="22"/>
      <c r="M2674" s="22"/>
      <c r="N2674" s="22"/>
    </row>
    <row r="2675" spans="1:14" x14ac:dyDescent="0.3">
      <c r="A2675" s="22" t="s">
        <v>4033</v>
      </c>
      <c r="B2675" s="22">
        <v>0</v>
      </c>
      <c r="C2675" s="22"/>
      <c r="D2675" s="22"/>
      <c r="E2675" s="22"/>
      <c r="F2675" s="22"/>
      <c r="G2675" s="22"/>
      <c r="H2675" s="22"/>
      <c r="I2675" s="22"/>
      <c r="J2675" s="22"/>
      <c r="K2675" s="22"/>
      <c r="L2675" s="22"/>
      <c r="M2675" s="22"/>
      <c r="N2675" s="22"/>
    </row>
    <row r="2676" spans="1:14" x14ac:dyDescent="0.3">
      <c r="A2676" s="22" t="s">
        <v>4034</v>
      </c>
      <c r="B2676" s="22">
        <v>0</v>
      </c>
      <c r="C2676" s="22"/>
      <c r="D2676" s="22"/>
      <c r="E2676" s="22"/>
      <c r="F2676" s="22"/>
      <c r="G2676" s="22"/>
      <c r="H2676" s="22"/>
      <c r="I2676" s="22"/>
      <c r="J2676" s="22"/>
      <c r="K2676" s="22"/>
      <c r="L2676" s="22"/>
      <c r="M2676" s="22"/>
      <c r="N2676" s="22"/>
    </row>
    <row r="2677" spans="1:14" x14ac:dyDescent="0.3">
      <c r="A2677" s="22" t="s">
        <v>4035</v>
      </c>
      <c r="B2677" s="22">
        <v>0</v>
      </c>
      <c r="C2677" s="22"/>
      <c r="D2677" s="22"/>
      <c r="E2677" s="22"/>
      <c r="F2677" s="22"/>
      <c r="G2677" s="22"/>
      <c r="H2677" s="22"/>
      <c r="I2677" s="22"/>
      <c r="J2677" s="22"/>
      <c r="K2677" s="22"/>
      <c r="L2677" s="22"/>
      <c r="M2677" s="22"/>
      <c r="N2677" s="22"/>
    </row>
    <row r="2678" spans="1:14" x14ac:dyDescent="0.3">
      <c r="A2678" s="22" t="s">
        <v>4036</v>
      </c>
      <c r="B2678" s="22">
        <v>0</v>
      </c>
      <c r="C2678" s="22"/>
      <c r="D2678" s="22"/>
      <c r="E2678" s="22"/>
      <c r="F2678" s="22"/>
      <c r="G2678" s="22"/>
      <c r="H2678" s="22"/>
      <c r="I2678" s="22"/>
      <c r="J2678" s="22"/>
      <c r="K2678" s="22"/>
      <c r="L2678" s="22"/>
      <c r="M2678" s="22"/>
      <c r="N2678" s="22"/>
    </row>
    <row r="2679" spans="1:14" x14ac:dyDescent="0.3">
      <c r="A2679" s="22" t="s">
        <v>1308</v>
      </c>
      <c r="B2679" s="22">
        <v>83</v>
      </c>
      <c r="C2679" s="22"/>
      <c r="D2679" s="22"/>
      <c r="E2679" s="22"/>
      <c r="F2679" s="22"/>
      <c r="G2679" s="22"/>
      <c r="H2679" s="22"/>
      <c r="I2679" s="22"/>
      <c r="J2679" s="22"/>
      <c r="K2679" s="22"/>
      <c r="L2679" s="22"/>
      <c r="M2679" s="22"/>
      <c r="N2679" s="22"/>
    </row>
    <row r="2680" spans="1:14" x14ac:dyDescent="0.3">
      <c r="A2680" s="22" t="s">
        <v>4866</v>
      </c>
      <c r="B2680" s="22">
        <v>0</v>
      </c>
      <c r="C2680" s="22"/>
      <c r="D2680" s="22"/>
      <c r="E2680" s="22"/>
      <c r="F2680" s="22"/>
      <c r="G2680" s="22"/>
      <c r="H2680" s="22"/>
      <c r="I2680" s="22"/>
      <c r="J2680" s="22"/>
      <c r="K2680" s="22"/>
      <c r="L2680" s="22"/>
      <c r="M2680" s="22"/>
      <c r="N2680" s="22"/>
    </row>
    <row r="2681" spans="1:14" x14ac:dyDescent="0.3">
      <c r="A2681" s="22" t="s">
        <v>4867</v>
      </c>
      <c r="B2681" s="22">
        <v>0</v>
      </c>
      <c r="C2681" s="22"/>
      <c r="D2681" s="22"/>
      <c r="E2681" s="22"/>
      <c r="F2681" s="22"/>
      <c r="G2681" s="22"/>
      <c r="H2681" s="22"/>
      <c r="I2681" s="22"/>
      <c r="J2681" s="22"/>
      <c r="K2681" s="22"/>
      <c r="L2681" s="22"/>
      <c r="M2681" s="22"/>
      <c r="N2681" s="22"/>
    </row>
    <row r="2682" spans="1:14" x14ac:dyDescent="0.3">
      <c r="A2682" s="22" t="s">
        <v>4868</v>
      </c>
      <c r="B2682" s="22">
        <v>0</v>
      </c>
      <c r="C2682" s="22"/>
      <c r="D2682" s="22"/>
      <c r="E2682" s="22"/>
      <c r="F2682" s="22"/>
      <c r="G2682" s="22"/>
      <c r="H2682" s="22"/>
      <c r="I2682" s="22"/>
      <c r="J2682" s="22"/>
      <c r="K2682" s="22"/>
      <c r="L2682" s="22"/>
      <c r="M2682" s="22"/>
      <c r="N2682" s="22"/>
    </row>
    <row r="2683" spans="1:14" x14ac:dyDescent="0.3">
      <c r="A2683" s="22" t="s">
        <v>4869</v>
      </c>
      <c r="B2683" s="22">
        <v>0</v>
      </c>
      <c r="C2683" s="22"/>
      <c r="D2683" s="22"/>
      <c r="E2683" s="22"/>
      <c r="F2683" s="22"/>
      <c r="G2683" s="22"/>
      <c r="H2683" s="22"/>
      <c r="I2683" s="22"/>
      <c r="J2683" s="22"/>
      <c r="K2683" s="22"/>
      <c r="L2683" s="22"/>
      <c r="M2683" s="22"/>
      <c r="N2683" s="22"/>
    </row>
    <row r="2684" spans="1:14" x14ac:dyDescent="0.3">
      <c r="A2684" s="22" t="s">
        <v>4870</v>
      </c>
      <c r="B2684" s="22">
        <v>0</v>
      </c>
      <c r="C2684" s="22"/>
      <c r="D2684" s="22"/>
      <c r="E2684" s="22"/>
      <c r="F2684" s="22"/>
      <c r="G2684" s="22"/>
      <c r="H2684" s="22"/>
      <c r="I2684" s="22"/>
      <c r="J2684" s="22"/>
      <c r="K2684" s="22"/>
      <c r="L2684" s="22"/>
      <c r="M2684" s="22"/>
      <c r="N2684" s="22"/>
    </row>
    <row r="2685" spans="1:14" x14ac:dyDescent="0.3">
      <c r="A2685" s="22" t="s">
        <v>4871</v>
      </c>
      <c r="B2685" s="22">
        <v>0</v>
      </c>
      <c r="C2685" s="22"/>
      <c r="D2685" s="22"/>
      <c r="E2685" s="22"/>
      <c r="F2685" s="22"/>
      <c r="G2685" s="22"/>
      <c r="H2685" s="22"/>
      <c r="I2685" s="22"/>
      <c r="J2685" s="22"/>
      <c r="K2685" s="22"/>
      <c r="L2685" s="22"/>
      <c r="M2685" s="22"/>
      <c r="N2685" s="22"/>
    </row>
    <row r="2686" spans="1:14" x14ac:dyDescent="0.3">
      <c r="A2686" s="22" t="s">
        <v>4872</v>
      </c>
      <c r="B2686" s="22">
        <v>0</v>
      </c>
      <c r="C2686" s="22"/>
      <c r="D2686" s="22"/>
      <c r="E2686" s="22"/>
      <c r="F2686" s="22"/>
      <c r="G2686" s="22"/>
      <c r="H2686" s="22"/>
      <c r="I2686" s="22"/>
      <c r="J2686" s="22"/>
      <c r="K2686" s="22"/>
      <c r="L2686" s="22"/>
      <c r="M2686" s="22"/>
      <c r="N2686" s="22"/>
    </row>
    <row r="2687" spans="1:14" x14ac:dyDescent="0.3">
      <c r="A2687" s="22" t="s">
        <v>1309</v>
      </c>
      <c r="B2687" s="22">
        <v>0</v>
      </c>
      <c r="C2687" s="22"/>
      <c r="D2687" s="22"/>
      <c r="E2687" s="22"/>
      <c r="F2687" s="22"/>
      <c r="G2687" s="22"/>
      <c r="H2687" s="22"/>
      <c r="I2687" s="22"/>
      <c r="J2687" s="22"/>
      <c r="K2687" s="22"/>
      <c r="L2687" s="22"/>
      <c r="M2687" s="22"/>
      <c r="N2687" s="22"/>
    </row>
    <row r="2688" spans="1:14" x14ac:dyDescent="0.3">
      <c r="A2688" s="22" t="s">
        <v>1310</v>
      </c>
      <c r="B2688" s="22">
        <v>0</v>
      </c>
      <c r="C2688" s="22"/>
      <c r="D2688" s="22"/>
      <c r="E2688" s="22"/>
      <c r="F2688" s="22"/>
      <c r="G2688" s="22"/>
      <c r="H2688" s="22"/>
      <c r="I2688" s="22"/>
      <c r="J2688" s="22"/>
      <c r="K2688" s="22"/>
      <c r="L2688" s="22"/>
      <c r="M2688" s="22"/>
      <c r="N2688" s="22"/>
    </row>
    <row r="2689" spans="1:14" x14ac:dyDescent="0.3">
      <c r="A2689" s="22" t="s">
        <v>1311</v>
      </c>
      <c r="B2689" s="22">
        <v>0</v>
      </c>
      <c r="C2689" s="22"/>
      <c r="D2689" s="22"/>
      <c r="E2689" s="22"/>
      <c r="F2689" s="22"/>
      <c r="G2689" s="22"/>
      <c r="H2689" s="22"/>
      <c r="I2689" s="22"/>
      <c r="J2689" s="22"/>
      <c r="K2689" s="22"/>
      <c r="L2689" s="22"/>
      <c r="M2689" s="22"/>
      <c r="N2689" s="22"/>
    </row>
    <row r="2690" spans="1:14" x14ac:dyDescent="0.3">
      <c r="A2690" s="22" t="s">
        <v>1312</v>
      </c>
      <c r="B2690" s="22">
        <v>0</v>
      </c>
      <c r="C2690" s="22"/>
      <c r="D2690" s="22"/>
      <c r="E2690" s="22"/>
      <c r="F2690" s="22"/>
      <c r="G2690" s="22"/>
      <c r="H2690" s="22"/>
      <c r="I2690" s="22"/>
      <c r="J2690" s="22"/>
      <c r="K2690" s="22"/>
      <c r="L2690" s="22"/>
      <c r="M2690" s="22"/>
      <c r="N2690" s="22"/>
    </row>
    <row r="2691" spans="1:14" x14ac:dyDescent="0.3">
      <c r="A2691" s="22" t="s">
        <v>1313</v>
      </c>
      <c r="B2691" s="22">
        <v>0</v>
      </c>
      <c r="C2691" s="22"/>
      <c r="D2691" s="22"/>
      <c r="E2691" s="22"/>
      <c r="F2691" s="22"/>
      <c r="G2691" s="22"/>
      <c r="H2691" s="22"/>
      <c r="I2691" s="22"/>
      <c r="J2691" s="22"/>
      <c r="K2691" s="22"/>
      <c r="L2691" s="22"/>
      <c r="M2691" s="22"/>
      <c r="N2691" s="22"/>
    </row>
    <row r="2692" spans="1:14" x14ac:dyDescent="0.3">
      <c r="A2692" s="22" t="s">
        <v>1314</v>
      </c>
      <c r="B2692" s="22">
        <v>0</v>
      </c>
      <c r="C2692" s="22"/>
      <c r="D2692" s="22"/>
      <c r="E2692" s="22"/>
      <c r="F2692" s="22"/>
      <c r="G2692" s="22"/>
      <c r="H2692" s="22"/>
      <c r="I2692" s="22"/>
      <c r="J2692" s="22"/>
      <c r="K2692" s="22"/>
      <c r="L2692" s="22"/>
      <c r="M2692" s="22"/>
      <c r="N2692" s="22"/>
    </row>
    <row r="2693" spans="1:14" x14ac:dyDescent="0.3">
      <c r="A2693" s="22" t="s">
        <v>1315</v>
      </c>
      <c r="B2693" s="22">
        <v>0</v>
      </c>
      <c r="C2693" s="22"/>
      <c r="D2693" s="22"/>
      <c r="E2693" s="22"/>
      <c r="F2693" s="22"/>
      <c r="G2693" s="22"/>
      <c r="H2693" s="22"/>
      <c r="I2693" s="22"/>
      <c r="J2693" s="22"/>
      <c r="K2693" s="22"/>
      <c r="L2693" s="22"/>
      <c r="M2693" s="22"/>
      <c r="N2693" s="22"/>
    </row>
    <row r="2694" spans="1:14" x14ac:dyDescent="0.3">
      <c r="A2694" s="22" t="s">
        <v>1316</v>
      </c>
      <c r="B2694" s="22">
        <v>0</v>
      </c>
      <c r="C2694" s="22"/>
      <c r="D2694" s="22"/>
      <c r="E2694" s="22"/>
      <c r="F2694" s="22"/>
      <c r="G2694" s="22"/>
      <c r="H2694" s="22"/>
      <c r="I2694" s="22"/>
      <c r="J2694" s="22"/>
      <c r="K2694" s="22"/>
      <c r="L2694" s="22"/>
      <c r="M2694" s="22"/>
      <c r="N2694" s="22"/>
    </row>
    <row r="2695" spans="1:14" x14ac:dyDescent="0.3">
      <c r="A2695" s="22" t="s">
        <v>1520</v>
      </c>
      <c r="B2695" s="22">
        <v>2</v>
      </c>
      <c r="C2695" s="22"/>
      <c r="D2695" s="22"/>
      <c r="E2695" s="22"/>
      <c r="F2695" s="22"/>
      <c r="G2695" s="22"/>
      <c r="H2695" s="22"/>
      <c r="I2695" s="22"/>
      <c r="J2695" s="22"/>
      <c r="K2695" s="22"/>
      <c r="L2695" s="22"/>
      <c r="M2695" s="22"/>
      <c r="N2695" s="22"/>
    </row>
    <row r="2696" spans="1:14" x14ac:dyDescent="0.3">
      <c r="A2696" s="22" t="s">
        <v>4908</v>
      </c>
      <c r="B2696" s="22">
        <v>0</v>
      </c>
      <c r="C2696" s="22"/>
      <c r="D2696" s="22"/>
      <c r="E2696" s="22"/>
      <c r="F2696" s="22"/>
      <c r="G2696" s="22"/>
      <c r="H2696" s="22"/>
      <c r="I2696" s="22"/>
      <c r="J2696" s="22"/>
      <c r="K2696" s="22"/>
      <c r="L2696" s="22"/>
      <c r="M2696" s="22"/>
      <c r="N2696" s="22"/>
    </row>
    <row r="2697" spans="1:14" x14ac:dyDescent="0.3">
      <c r="A2697" s="22" t="s">
        <v>4909</v>
      </c>
      <c r="B2697" s="22">
        <v>0</v>
      </c>
      <c r="C2697" s="22"/>
      <c r="D2697" s="22"/>
      <c r="E2697" s="22"/>
      <c r="F2697" s="22"/>
      <c r="G2697" s="22"/>
      <c r="H2697" s="22"/>
      <c r="I2697" s="22"/>
      <c r="J2697" s="22"/>
      <c r="K2697" s="22"/>
      <c r="L2697" s="22"/>
      <c r="M2697" s="22"/>
      <c r="N2697" s="22"/>
    </row>
    <row r="2698" spans="1:14" x14ac:dyDescent="0.3">
      <c r="A2698" s="22" t="s">
        <v>4910</v>
      </c>
      <c r="B2698" s="22">
        <v>0</v>
      </c>
      <c r="C2698" s="22"/>
      <c r="D2698" s="22"/>
      <c r="E2698" s="22"/>
      <c r="F2698" s="22"/>
      <c r="G2698" s="22"/>
      <c r="H2698" s="22"/>
      <c r="I2698" s="22"/>
      <c r="J2698" s="22"/>
      <c r="K2698" s="22"/>
      <c r="L2698" s="22"/>
      <c r="M2698" s="22"/>
      <c r="N2698" s="22"/>
    </row>
    <row r="2699" spans="1:14" x14ac:dyDescent="0.3">
      <c r="A2699" s="22" t="s">
        <v>4911</v>
      </c>
      <c r="B2699" s="22">
        <v>1</v>
      </c>
      <c r="C2699" s="22"/>
      <c r="D2699" s="22"/>
      <c r="E2699" s="22"/>
      <c r="F2699" s="22"/>
      <c r="G2699" s="22"/>
      <c r="H2699" s="22"/>
      <c r="I2699" s="22"/>
      <c r="J2699" s="22"/>
      <c r="K2699" s="22"/>
      <c r="L2699" s="22"/>
      <c r="M2699" s="22"/>
      <c r="N2699" s="22"/>
    </row>
    <row r="2700" spans="1:14" x14ac:dyDescent="0.3">
      <c r="A2700" s="22" t="s">
        <v>4912</v>
      </c>
      <c r="B2700" s="22">
        <v>0</v>
      </c>
      <c r="C2700" s="22"/>
      <c r="D2700" s="22"/>
      <c r="E2700" s="22"/>
      <c r="F2700" s="22"/>
      <c r="G2700" s="22"/>
      <c r="H2700" s="22"/>
      <c r="I2700" s="22"/>
      <c r="J2700" s="22"/>
      <c r="K2700" s="22"/>
      <c r="L2700" s="22"/>
      <c r="M2700" s="22"/>
      <c r="N2700" s="22"/>
    </row>
    <row r="2701" spans="1:14" x14ac:dyDescent="0.3">
      <c r="A2701" s="22" t="s">
        <v>4913</v>
      </c>
      <c r="B2701" s="22">
        <v>0</v>
      </c>
      <c r="C2701" s="22"/>
      <c r="D2701" s="22"/>
      <c r="E2701" s="22"/>
      <c r="F2701" s="22"/>
      <c r="G2701" s="22"/>
      <c r="H2701" s="22"/>
      <c r="I2701" s="22"/>
      <c r="J2701" s="22"/>
      <c r="K2701" s="22"/>
      <c r="L2701" s="22"/>
      <c r="M2701" s="22"/>
      <c r="N2701" s="22"/>
    </row>
    <row r="2702" spans="1:14" x14ac:dyDescent="0.3">
      <c r="A2702" s="22" t="s">
        <v>4914</v>
      </c>
      <c r="B2702" s="22">
        <v>0</v>
      </c>
      <c r="C2702" s="22"/>
      <c r="D2702" s="22"/>
      <c r="E2702" s="22"/>
      <c r="F2702" s="22"/>
      <c r="G2702" s="22"/>
      <c r="H2702" s="22"/>
      <c r="I2702" s="22"/>
      <c r="J2702" s="22"/>
      <c r="K2702" s="22"/>
      <c r="L2702" s="22"/>
      <c r="M2702" s="22"/>
      <c r="N2702" s="22"/>
    </row>
    <row r="2703" spans="1:14" x14ac:dyDescent="0.3">
      <c r="A2703" s="22" t="s">
        <v>1522</v>
      </c>
      <c r="B2703" s="22">
        <v>1</v>
      </c>
      <c r="C2703" s="22"/>
      <c r="D2703" s="22"/>
      <c r="E2703" s="22"/>
      <c r="F2703" s="22"/>
      <c r="G2703" s="22"/>
      <c r="H2703" s="22"/>
      <c r="I2703" s="22"/>
      <c r="J2703" s="22"/>
      <c r="K2703" s="22"/>
      <c r="L2703" s="22"/>
      <c r="M2703" s="22"/>
      <c r="N2703" s="22"/>
    </row>
    <row r="2704" spans="1:14" x14ac:dyDescent="0.3">
      <c r="A2704" s="22" t="s">
        <v>4037</v>
      </c>
      <c r="B2704" s="22">
        <v>0</v>
      </c>
      <c r="C2704" s="22"/>
      <c r="D2704" s="22"/>
      <c r="E2704" s="22"/>
      <c r="F2704" s="22"/>
      <c r="G2704" s="22"/>
      <c r="H2704" s="22"/>
      <c r="I2704" s="22"/>
      <c r="J2704" s="22"/>
      <c r="K2704" s="22"/>
      <c r="L2704" s="22"/>
      <c r="M2704" s="22"/>
      <c r="N2704" s="22"/>
    </row>
    <row r="2705" spans="1:14" x14ac:dyDescent="0.3">
      <c r="A2705" s="22" t="s">
        <v>4038</v>
      </c>
      <c r="B2705" s="22">
        <v>0</v>
      </c>
      <c r="C2705" s="22"/>
      <c r="D2705" s="22"/>
      <c r="E2705" s="22"/>
      <c r="F2705" s="22"/>
      <c r="G2705" s="22"/>
      <c r="H2705" s="22"/>
      <c r="I2705" s="22"/>
      <c r="J2705" s="22"/>
      <c r="K2705" s="22"/>
      <c r="L2705" s="22"/>
      <c r="M2705" s="22"/>
      <c r="N2705" s="22"/>
    </row>
    <row r="2706" spans="1:14" x14ac:dyDescent="0.3">
      <c r="A2706" s="22" t="s">
        <v>4039</v>
      </c>
      <c r="B2706" s="22">
        <v>0</v>
      </c>
      <c r="C2706" s="22"/>
      <c r="D2706" s="22"/>
      <c r="E2706" s="22"/>
      <c r="F2706" s="22"/>
      <c r="G2706" s="22"/>
      <c r="H2706" s="22"/>
      <c r="I2706" s="22"/>
      <c r="J2706" s="22"/>
      <c r="K2706" s="22"/>
      <c r="L2706" s="22"/>
      <c r="M2706" s="22"/>
      <c r="N2706" s="22"/>
    </row>
    <row r="2707" spans="1:14" x14ac:dyDescent="0.3">
      <c r="A2707" s="22" t="s">
        <v>4040</v>
      </c>
      <c r="B2707" s="22">
        <v>0</v>
      </c>
      <c r="C2707" s="22"/>
      <c r="D2707" s="22"/>
      <c r="E2707" s="22"/>
      <c r="F2707" s="22"/>
      <c r="G2707" s="22"/>
      <c r="H2707" s="22"/>
      <c r="I2707" s="22"/>
      <c r="J2707" s="22"/>
      <c r="K2707" s="22"/>
      <c r="L2707" s="22"/>
      <c r="M2707" s="22"/>
      <c r="N2707" s="22"/>
    </row>
    <row r="2708" spans="1:14" x14ac:dyDescent="0.3">
      <c r="A2708" s="22" t="s">
        <v>4041</v>
      </c>
      <c r="B2708" s="22">
        <v>0</v>
      </c>
      <c r="C2708" s="22"/>
      <c r="D2708" s="22"/>
      <c r="E2708" s="22"/>
      <c r="F2708" s="22"/>
      <c r="G2708" s="22"/>
      <c r="H2708" s="22"/>
      <c r="I2708" s="22"/>
      <c r="J2708" s="22"/>
      <c r="K2708" s="22"/>
      <c r="L2708" s="22"/>
      <c r="M2708" s="22"/>
      <c r="N2708" s="22"/>
    </row>
    <row r="2709" spans="1:14" x14ac:dyDescent="0.3">
      <c r="A2709" s="22" t="s">
        <v>4042</v>
      </c>
      <c r="B2709" s="22">
        <v>0</v>
      </c>
      <c r="C2709" s="22"/>
      <c r="D2709" s="22"/>
      <c r="E2709" s="22"/>
      <c r="F2709" s="22"/>
      <c r="G2709" s="22"/>
      <c r="H2709" s="22"/>
      <c r="I2709" s="22"/>
      <c r="J2709" s="22"/>
      <c r="K2709" s="22"/>
      <c r="L2709" s="22"/>
      <c r="M2709" s="22"/>
      <c r="N2709" s="22"/>
    </row>
    <row r="2710" spans="1:14" x14ac:dyDescent="0.3">
      <c r="A2710" s="22" t="s">
        <v>4043</v>
      </c>
      <c r="B2710" s="22">
        <v>0</v>
      </c>
      <c r="C2710" s="22"/>
      <c r="D2710" s="22"/>
      <c r="E2710" s="22"/>
      <c r="F2710" s="22"/>
      <c r="G2710" s="22"/>
      <c r="H2710" s="22"/>
      <c r="I2710" s="22"/>
      <c r="J2710" s="22"/>
      <c r="K2710" s="22"/>
      <c r="L2710" s="22"/>
      <c r="M2710" s="22"/>
      <c r="N2710" s="22"/>
    </row>
    <row r="2711" spans="1:14" x14ac:dyDescent="0.3">
      <c r="A2711" s="22" t="s">
        <v>1523</v>
      </c>
      <c r="B2711" s="22">
        <v>3</v>
      </c>
      <c r="C2711" s="22"/>
      <c r="D2711" s="22"/>
      <c r="E2711" s="22"/>
      <c r="F2711" s="22"/>
      <c r="G2711" s="22"/>
      <c r="H2711" s="22"/>
      <c r="I2711" s="22"/>
      <c r="J2711" s="22"/>
      <c r="K2711" s="22"/>
      <c r="L2711" s="22"/>
      <c r="M2711" s="22"/>
      <c r="N2711" s="22"/>
    </row>
    <row r="2712" spans="1:14" x14ac:dyDescent="0.3">
      <c r="A2712" s="22" t="s">
        <v>4971</v>
      </c>
      <c r="B2712" s="22">
        <v>0</v>
      </c>
      <c r="C2712" s="22"/>
      <c r="D2712" s="22"/>
      <c r="E2712" s="22"/>
      <c r="F2712" s="22"/>
      <c r="G2712" s="22"/>
      <c r="H2712" s="22"/>
      <c r="I2712" s="22"/>
      <c r="J2712" s="22"/>
      <c r="K2712" s="22"/>
      <c r="L2712" s="22"/>
      <c r="M2712" s="22"/>
      <c r="N2712" s="22"/>
    </row>
    <row r="2713" spans="1:14" x14ac:dyDescent="0.3">
      <c r="A2713" s="22" t="s">
        <v>4972</v>
      </c>
      <c r="B2713" s="22">
        <v>0</v>
      </c>
      <c r="C2713" s="22"/>
      <c r="D2713" s="22"/>
      <c r="E2713" s="22"/>
      <c r="F2713" s="22"/>
      <c r="G2713" s="22"/>
      <c r="H2713" s="22"/>
      <c r="I2713" s="22"/>
      <c r="J2713" s="22"/>
      <c r="K2713" s="22"/>
      <c r="L2713" s="22"/>
      <c r="M2713" s="22"/>
      <c r="N2713" s="22"/>
    </row>
    <row r="2714" spans="1:14" x14ac:dyDescent="0.3">
      <c r="A2714" s="22" t="s">
        <v>4973</v>
      </c>
      <c r="B2714" s="22">
        <v>0</v>
      </c>
      <c r="C2714" s="22"/>
      <c r="D2714" s="22"/>
      <c r="E2714" s="22"/>
      <c r="F2714" s="22"/>
      <c r="G2714" s="22"/>
      <c r="H2714" s="22"/>
      <c r="I2714" s="22"/>
      <c r="J2714" s="22"/>
      <c r="K2714" s="22"/>
      <c r="L2714" s="22"/>
      <c r="M2714" s="22"/>
      <c r="N2714" s="22"/>
    </row>
    <row r="2715" spans="1:14" x14ac:dyDescent="0.3">
      <c r="A2715" s="22" t="s">
        <v>4974</v>
      </c>
      <c r="B2715" s="22">
        <v>0</v>
      </c>
      <c r="C2715" s="22"/>
      <c r="D2715" s="22"/>
      <c r="E2715" s="22"/>
      <c r="F2715" s="22"/>
      <c r="G2715" s="22"/>
      <c r="H2715" s="22"/>
      <c r="I2715" s="22"/>
      <c r="J2715" s="22"/>
      <c r="K2715" s="22"/>
      <c r="L2715" s="22"/>
      <c r="M2715" s="22"/>
      <c r="N2715" s="22"/>
    </row>
    <row r="2716" spans="1:14" x14ac:dyDescent="0.3">
      <c r="A2716" s="22" t="s">
        <v>4975</v>
      </c>
      <c r="B2716" s="22">
        <v>0</v>
      </c>
      <c r="C2716" s="22"/>
      <c r="D2716" s="22"/>
      <c r="E2716" s="22"/>
      <c r="F2716" s="22"/>
      <c r="G2716" s="22"/>
      <c r="H2716" s="22"/>
      <c r="I2716" s="22"/>
      <c r="J2716" s="22"/>
      <c r="K2716" s="22"/>
      <c r="L2716" s="22"/>
      <c r="M2716" s="22"/>
      <c r="N2716" s="22"/>
    </row>
    <row r="2717" spans="1:14" x14ac:dyDescent="0.3">
      <c r="A2717" s="22" t="s">
        <v>4976</v>
      </c>
      <c r="B2717" s="22">
        <v>0</v>
      </c>
      <c r="C2717" s="22"/>
      <c r="D2717" s="22"/>
      <c r="E2717" s="22"/>
      <c r="F2717" s="22"/>
      <c r="G2717" s="22"/>
      <c r="H2717" s="22"/>
      <c r="I2717" s="22"/>
      <c r="J2717" s="22"/>
      <c r="K2717" s="22"/>
      <c r="L2717" s="22"/>
      <c r="M2717" s="22"/>
      <c r="N2717" s="22"/>
    </row>
    <row r="2718" spans="1:14" x14ac:dyDescent="0.3">
      <c r="A2718" s="22" t="s">
        <v>4977</v>
      </c>
      <c r="B2718" s="22">
        <v>0</v>
      </c>
      <c r="C2718" s="22"/>
      <c r="D2718" s="22"/>
      <c r="E2718" s="22"/>
      <c r="F2718" s="22"/>
      <c r="G2718" s="22"/>
      <c r="H2718" s="22"/>
      <c r="I2718" s="22"/>
      <c r="J2718" s="22"/>
      <c r="K2718" s="22"/>
      <c r="L2718" s="22"/>
      <c r="M2718" s="22"/>
      <c r="N2718" s="22"/>
    </row>
    <row r="2719" spans="1:14" x14ac:dyDescent="0.3">
      <c r="A2719" s="22" t="s">
        <v>1317</v>
      </c>
      <c r="B2719" s="22">
        <v>1</v>
      </c>
      <c r="C2719" s="22"/>
      <c r="D2719" s="22"/>
      <c r="E2719" s="22"/>
      <c r="F2719" s="22"/>
      <c r="G2719" s="22"/>
      <c r="H2719" s="22"/>
      <c r="I2719" s="22"/>
      <c r="J2719" s="22"/>
      <c r="K2719" s="22"/>
      <c r="L2719" s="22"/>
      <c r="M2719" s="22"/>
      <c r="N2719" s="22"/>
    </row>
    <row r="2720" spans="1:14" x14ac:dyDescent="0.3">
      <c r="A2720" s="22" t="s">
        <v>4915</v>
      </c>
      <c r="B2720" s="22">
        <v>0</v>
      </c>
      <c r="C2720" s="22"/>
      <c r="D2720" s="22"/>
      <c r="E2720" s="22"/>
      <c r="F2720" s="22"/>
      <c r="G2720" s="22"/>
      <c r="H2720" s="22"/>
      <c r="I2720" s="22"/>
      <c r="J2720" s="22"/>
      <c r="K2720" s="22"/>
      <c r="L2720" s="22"/>
      <c r="M2720" s="22"/>
      <c r="N2720" s="22"/>
    </row>
    <row r="2721" spans="1:14" x14ac:dyDescent="0.3">
      <c r="A2721" s="22" t="s">
        <v>4916</v>
      </c>
      <c r="B2721" s="22">
        <v>0</v>
      </c>
      <c r="C2721" s="22"/>
      <c r="D2721" s="22"/>
      <c r="E2721" s="22"/>
      <c r="F2721" s="22"/>
      <c r="G2721" s="22"/>
      <c r="H2721" s="22"/>
      <c r="I2721" s="22"/>
      <c r="J2721" s="22"/>
      <c r="K2721" s="22"/>
      <c r="L2721" s="22"/>
      <c r="M2721" s="22"/>
      <c r="N2721" s="22"/>
    </row>
    <row r="2722" spans="1:14" x14ac:dyDescent="0.3">
      <c r="A2722" s="22" t="s">
        <v>4917</v>
      </c>
      <c r="B2722" s="22">
        <v>0</v>
      </c>
      <c r="C2722" s="22"/>
      <c r="D2722" s="22"/>
      <c r="E2722" s="22"/>
      <c r="F2722" s="22"/>
      <c r="G2722" s="22"/>
      <c r="H2722" s="22"/>
      <c r="I2722" s="22"/>
      <c r="J2722" s="22"/>
      <c r="K2722" s="22"/>
      <c r="L2722" s="22"/>
      <c r="M2722" s="22"/>
      <c r="N2722" s="22"/>
    </row>
    <row r="2723" spans="1:14" x14ac:dyDescent="0.3">
      <c r="A2723" s="22" t="s">
        <v>4918</v>
      </c>
      <c r="B2723" s="22">
        <v>0</v>
      </c>
      <c r="C2723" s="22"/>
      <c r="D2723" s="22"/>
      <c r="E2723" s="22"/>
      <c r="F2723" s="22"/>
      <c r="G2723" s="22"/>
      <c r="H2723" s="22"/>
      <c r="I2723" s="22"/>
      <c r="J2723" s="22"/>
      <c r="K2723" s="22"/>
      <c r="L2723" s="22"/>
      <c r="M2723" s="22"/>
      <c r="N2723" s="22"/>
    </row>
    <row r="2724" spans="1:14" x14ac:dyDescent="0.3">
      <c r="A2724" s="22" t="s">
        <v>4919</v>
      </c>
      <c r="B2724" s="22">
        <v>0</v>
      </c>
      <c r="C2724" s="22"/>
      <c r="D2724" s="22"/>
      <c r="E2724" s="22"/>
      <c r="F2724" s="22"/>
      <c r="G2724" s="22"/>
      <c r="H2724" s="22"/>
      <c r="I2724" s="22"/>
      <c r="J2724" s="22"/>
      <c r="K2724" s="22"/>
      <c r="L2724" s="22"/>
      <c r="M2724" s="22"/>
      <c r="N2724" s="22"/>
    </row>
    <row r="2725" spans="1:14" x14ac:dyDescent="0.3">
      <c r="A2725" s="22" t="s">
        <v>4920</v>
      </c>
      <c r="B2725" s="22">
        <v>0</v>
      </c>
      <c r="C2725" s="22"/>
      <c r="D2725" s="22"/>
      <c r="E2725" s="22"/>
      <c r="F2725" s="22"/>
      <c r="G2725" s="22"/>
      <c r="H2725" s="22"/>
      <c r="I2725" s="22"/>
      <c r="J2725" s="22"/>
      <c r="K2725" s="22"/>
      <c r="L2725" s="22"/>
      <c r="M2725" s="22"/>
      <c r="N2725" s="22"/>
    </row>
    <row r="2726" spans="1:14" x14ac:dyDescent="0.3">
      <c r="A2726" s="22" t="s">
        <v>4921</v>
      </c>
      <c r="B2726" s="22">
        <v>0</v>
      </c>
      <c r="C2726" s="22"/>
      <c r="D2726" s="22"/>
      <c r="E2726" s="22"/>
      <c r="F2726" s="22"/>
      <c r="G2726" s="22"/>
      <c r="H2726" s="22"/>
      <c r="I2726" s="22"/>
      <c r="J2726" s="22"/>
      <c r="K2726" s="22"/>
      <c r="L2726" s="22"/>
      <c r="M2726" s="22"/>
      <c r="N2726" s="22"/>
    </row>
    <row r="2727" spans="1:14" x14ac:dyDescent="0.3">
      <c r="A2727" s="22" t="s">
        <v>1318</v>
      </c>
      <c r="B2727" s="22">
        <v>2</v>
      </c>
      <c r="C2727" s="22"/>
      <c r="D2727" s="22"/>
      <c r="E2727" s="22"/>
      <c r="F2727" s="22"/>
      <c r="G2727" s="22"/>
      <c r="H2727" s="22"/>
      <c r="I2727" s="22"/>
      <c r="J2727" s="22"/>
      <c r="K2727" s="22"/>
      <c r="L2727" s="22"/>
      <c r="M2727" s="22"/>
      <c r="N2727" s="22"/>
    </row>
    <row r="2728" spans="1:14" x14ac:dyDescent="0.3">
      <c r="A2728" s="22" t="s">
        <v>1319</v>
      </c>
      <c r="B2728" s="22">
        <v>0</v>
      </c>
      <c r="C2728" s="22"/>
      <c r="D2728" s="22"/>
      <c r="E2728" s="22"/>
      <c r="F2728" s="22"/>
      <c r="G2728" s="22"/>
      <c r="H2728" s="22"/>
      <c r="I2728" s="22"/>
      <c r="J2728" s="22"/>
      <c r="K2728" s="22"/>
      <c r="L2728" s="22"/>
      <c r="M2728" s="22"/>
      <c r="N2728" s="22"/>
    </row>
    <row r="2729" spans="1:14" x14ac:dyDescent="0.3">
      <c r="A2729" s="22" t="s">
        <v>1320</v>
      </c>
      <c r="B2729" s="22">
        <v>0</v>
      </c>
      <c r="C2729" s="22"/>
      <c r="D2729" s="22"/>
      <c r="E2729" s="22"/>
      <c r="F2729" s="22"/>
      <c r="G2729" s="22"/>
      <c r="H2729" s="22"/>
      <c r="I2729" s="22"/>
      <c r="J2729" s="22"/>
      <c r="K2729" s="22"/>
      <c r="L2729" s="22"/>
      <c r="M2729" s="22"/>
      <c r="N2729" s="22"/>
    </row>
    <row r="2730" spans="1:14" x14ac:dyDescent="0.3">
      <c r="A2730" s="22" t="s">
        <v>1321</v>
      </c>
      <c r="B2730" s="22">
        <v>0</v>
      </c>
      <c r="C2730" s="22"/>
      <c r="D2730" s="22"/>
      <c r="E2730" s="22"/>
      <c r="F2730" s="22"/>
      <c r="G2730" s="22"/>
      <c r="H2730" s="22"/>
      <c r="I2730" s="22"/>
      <c r="J2730" s="22"/>
      <c r="K2730" s="22"/>
      <c r="L2730" s="22"/>
      <c r="M2730" s="22"/>
      <c r="N2730" s="22"/>
    </row>
    <row r="2731" spans="1:14" x14ac:dyDescent="0.3">
      <c r="A2731" s="22" t="s">
        <v>1322</v>
      </c>
      <c r="B2731" s="22">
        <v>0</v>
      </c>
      <c r="C2731" s="22"/>
      <c r="D2731" s="22"/>
      <c r="E2731" s="22"/>
      <c r="F2731" s="22"/>
      <c r="G2731" s="22"/>
      <c r="H2731" s="22"/>
      <c r="I2731" s="22"/>
      <c r="J2731" s="22"/>
      <c r="K2731" s="22"/>
      <c r="L2731" s="22"/>
      <c r="M2731" s="22"/>
      <c r="N2731" s="22"/>
    </row>
    <row r="2732" spans="1:14" x14ac:dyDescent="0.3">
      <c r="A2732" s="22" t="s">
        <v>1323</v>
      </c>
      <c r="B2732" s="22">
        <v>0</v>
      </c>
      <c r="C2732" s="22"/>
      <c r="D2732" s="22"/>
      <c r="E2732" s="22"/>
      <c r="F2732" s="22"/>
      <c r="G2732" s="22"/>
      <c r="H2732" s="22"/>
      <c r="I2732" s="22"/>
      <c r="J2732" s="22"/>
      <c r="K2732" s="22"/>
      <c r="L2732" s="22"/>
      <c r="M2732" s="22"/>
      <c r="N2732" s="22"/>
    </row>
    <row r="2733" spans="1:14" x14ac:dyDescent="0.3">
      <c r="A2733" s="22" t="s">
        <v>1324</v>
      </c>
      <c r="B2733" s="22">
        <v>0</v>
      </c>
      <c r="C2733" s="22"/>
      <c r="D2733" s="22"/>
      <c r="E2733" s="22"/>
      <c r="F2733" s="22"/>
      <c r="G2733" s="22"/>
      <c r="H2733" s="22"/>
      <c r="I2733" s="22"/>
      <c r="J2733" s="22"/>
      <c r="K2733" s="22"/>
      <c r="L2733" s="22"/>
      <c r="M2733" s="22"/>
      <c r="N2733" s="22"/>
    </row>
    <row r="2734" spans="1:14" x14ac:dyDescent="0.3">
      <c r="A2734" s="22" t="s">
        <v>1325</v>
      </c>
      <c r="B2734" s="22">
        <v>0</v>
      </c>
      <c r="C2734" s="22"/>
      <c r="D2734" s="22"/>
      <c r="E2734" s="22"/>
      <c r="F2734" s="22"/>
      <c r="G2734" s="22"/>
      <c r="H2734" s="22"/>
      <c r="I2734" s="22"/>
      <c r="J2734" s="22"/>
      <c r="K2734" s="22"/>
      <c r="L2734" s="22"/>
      <c r="M2734" s="22"/>
      <c r="N2734" s="22"/>
    </row>
    <row r="2735" spans="1:14" x14ac:dyDescent="0.3">
      <c r="A2735" s="22" t="s">
        <v>1524</v>
      </c>
      <c r="B2735" s="22">
        <v>76</v>
      </c>
      <c r="C2735" s="22"/>
      <c r="D2735" s="22"/>
      <c r="E2735" s="22"/>
      <c r="F2735" s="22"/>
      <c r="G2735" s="22"/>
      <c r="H2735" s="22"/>
      <c r="I2735" s="22"/>
      <c r="J2735" s="22"/>
      <c r="K2735" s="22"/>
      <c r="L2735" s="22"/>
      <c r="M2735" s="22"/>
      <c r="N2735" s="22"/>
    </row>
    <row r="2736" spans="1:14" x14ac:dyDescent="0.3">
      <c r="A2736" s="22" t="s">
        <v>4922</v>
      </c>
      <c r="B2736" s="22">
        <v>0</v>
      </c>
      <c r="C2736" s="22"/>
      <c r="D2736" s="22"/>
      <c r="E2736" s="22"/>
      <c r="F2736" s="22"/>
      <c r="G2736" s="22"/>
      <c r="H2736" s="22"/>
      <c r="I2736" s="22"/>
      <c r="J2736" s="22"/>
      <c r="K2736" s="22"/>
      <c r="L2736" s="22"/>
      <c r="M2736" s="22"/>
      <c r="N2736" s="22"/>
    </row>
    <row r="2737" spans="1:14" x14ac:dyDescent="0.3">
      <c r="A2737" s="22" t="s">
        <v>4923</v>
      </c>
      <c r="B2737" s="22">
        <v>0</v>
      </c>
      <c r="C2737" s="22"/>
      <c r="D2737" s="22"/>
      <c r="E2737" s="22"/>
      <c r="F2737" s="22"/>
      <c r="G2737" s="22"/>
      <c r="H2737" s="22"/>
      <c r="I2737" s="22"/>
      <c r="J2737" s="22"/>
      <c r="K2737" s="22"/>
      <c r="L2737" s="22"/>
      <c r="M2737" s="22"/>
      <c r="N2737" s="22"/>
    </row>
    <row r="2738" spans="1:14" x14ac:dyDescent="0.3">
      <c r="A2738" s="22" t="s">
        <v>4924</v>
      </c>
      <c r="B2738" s="22">
        <v>0</v>
      </c>
      <c r="C2738" s="22"/>
      <c r="D2738" s="22"/>
      <c r="E2738" s="22"/>
      <c r="F2738" s="22"/>
      <c r="G2738" s="22"/>
      <c r="H2738" s="22"/>
      <c r="I2738" s="22"/>
      <c r="J2738" s="22"/>
      <c r="K2738" s="22"/>
      <c r="L2738" s="22"/>
      <c r="M2738" s="22"/>
      <c r="N2738" s="22"/>
    </row>
    <row r="2739" spans="1:14" x14ac:dyDescent="0.3">
      <c r="A2739" s="22" t="s">
        <v>4925</v>
      </c>
      <c r="B2739" s="22">
        <v>0</v>
      </c>
      <c r="C2739" s="22"/>
      <c r="D2739" s="22"/>
      <c r="E2739" s="22"/>
      <c r="F2739" s="22"/>
      <c r="G2739" s="22"/>
      <c r="H2739" s="22"/>
      <c r="I2739" s="22"/>
      <c r="J2739" s="22"/>
      <c r="K2739" s="22"/>
      <c r="L2739" s="22"/>
      <c r="M2739" s="22"/>
      <c r="N2739" s="22"/>
    </row>
    <row r="2740" spans="1:14" x14ac:dyDescent="0.3">
      <c r="A2740" s="22" t="s">
        <v>4926</v>
      </c>
      <c r="B2740" s="22">
        <v>0</v>
      </c>
      <c r="C2740" s="22"/>
      <c r="D2740" s="22"/>
      <c r="E2740" s="22"/>
      <c r="F2740" s="22"/>
      <c r="G2740" s="22"/>
      <c r="H2740" s="22"/>
      <c r="I2740" s="22"/>
      <c r="J2740" s="22"/>
      <c r="K2740" s="22"/>
      <c r="L2740" s="22"/>
      <c r="M2740" s="22"/>
      <c r="N2740" s="22"/>
    </row>
    <row r="2741" spans="1:14" x14ac:dyDescent="0.3">
      <c r="A2741" s="22" t="s">
        <v>4927</v>
      </c>
      <c r="B2741" s="22">
        <v>0</v>
      </c>
      <c r="C2741" s="22"/>
      <c r="D2741" s="22"/>
      <c r="E2741" s="22"/>
      <c r="F2741" s="22"/>
      <c r="G2741" s="22"/>
      <c r="H2741" s="22"/>
      <c r="I2741" s="22"/>
      <c r="J2741" s="22"/>
      <c r="K2741" s="22"/>
      <c r="L2741" s="22"/>
      <c r="M2741" s="22"/>
      <c r="N2741" s="22"/>
    </row>
    <row r="2742" spans="1:14" x14ac:dyDescent="0.3">
      <c r="A2742" s="22" t="s">
        <v>4928</v>
      </c>
      <c r="B2742" s="22">
        <v>0</v>
      </c>
      <c r="C2742" s="22"/>
      <c r="D2742" s="22"/>
      <c r="E2742" s="22"/>
      <c r="F2742" s="22"/>
      <c r="G2742" s="22"/>
      <c r="H2742" s="22"/>
      <c r="I2742" s="22"/>
      <c r="J2742" s="22"/>
      <c r="K2742" s="22"/>
      <c r="L2742" s="22"/>
      <c r="M2742" s="22"/>
      <c r="N2742" s="22"/>
    </row>
    <row r="2743" spans="1:14" x14ac:dyDescent="0.3">
      <c r="A2743" s="22" t="s">
        <v>1326</v>
      </c>
      <c r="B2743" s="22">
        <v>0</v>
      </c>
      <c r="C2743" s="22"/>
      <c r="D2743" s="22"/>
      <c r="E2743" s="22"/>
      <c r="F2743" s="22"/>
      <c r="G2743" s="22"/>
      <c r="H2743" s="22"/>
      <c r="I2743" s="22"/>
      <c r="J2743" s="22"/>
      <c r="K2743" s="22"/>
      <c r="L2743" s="22"/>
      <c r="M2743" s="22"/>
      <c r="N2743" s="22"/>
    </row>
    <row r="2744" spans="1:14" x14ac:dyDescent="0.3">
      <c r="A2744" s="22" t="s">
        <v>4929</v>
      </c>
      <c r="B2744" s="22">
        <v>0</v>
      </c>
      <c r="C2744" s="22"/>
      <c r="D2744" s="22"/>
      <c r="E2744" s="22"/>
      <c r="F2744" s="22"/>
      <c r="G2744" s="22"/>
      <c r="H2744" s="22"/>
      <c r="I2744" s="22"/>
      <c r="J2744" s="22"/>
      <c r="K2744" s="22"/>
      <c r="L2744" s="22"/>
      <c r="M2744" s="22"/>
      <c r="N2744" s="22"/>
    </row>
    <row r="2745" spans="1:14" x14ac:dyDescent="0.3">
      <c r="A2745" s="22" t="s">
        <v>4930</v>
      </c>
      <c r="B2745" s="22">
        <v>0</v>
      </c>
      <c r="C2745" s="22"/>
      <c r="D2745" s="22"/>
      <c r="E2745" s="22"/>
      <c r="F2745" s="22"/>
      <c r="G2745" s="22"/>
      <c r="H2745" s="22"/>
      <c r="I2745" s="22"/>
      <c r="J2745" s="22"/>
      <c r="K2745" s="22"/>
      <c r="L2745" s="22"/>
      <c r="M2745" s="22"/>
      <c r="N2745" s="22"/>
    </row>
    <row r="2746" spans="1:14" x14ac:dyDescent="0.3">
      <c r="A2746" s="22" t="s">
        <v>4931</v>
      </c>
      <c r="B2746" s="22">
        <v>0</v>
      </c>
      <c r="C2746" s="22"/>
      <c r="D2746" s="22"/>
      <c r="E2746" s="22"/>
      <c r="F2746" s="22"/>
      <c r="G2746" s="22"/>
      <c r="H2746" s="22"/>
      <c r="I2746" s="22"/>
      <c r="J2746" s="22"/>
      <c r="K2746" s="22"/>
      <c r="L2746" s="22"/>
      <c r="M2746" s="22"/>
      <c r="N2746" s="22"/>
    </row>
    <row r="2747" spans="1:14" x14ac:dyDescent="0.3">
      <c r="A2747" s="22" t="s">
        <v>4932</v>
      </c>
      <c r="B2747" s="22">
        <v>0</v>
      </c>
      <c r="C2747" s="22"/>
      <c r="D2747" s="22"/>
      <c r="E2747" s="22"/>
      <c r="F2747" s="22"/>
      <c r="G2747" s="22"/>
      <c r="H2747" s="22"/>
      <c r="I2747" s="22"/>
      <c r="J2747" s="22"/>
      <c r="K2747" s="22"/>
      <c r="L2747" s="22"/>
      <c r="M2747" s="22"/>
      <c r="N2747" s="22"/>
    </row>
    <row r="2748" spans="1:14" x14ac:dyDescent="0.3">
      <c r="A2748" s="22" t="s">
        <v>4933</v>
      </c>
      <c r="B2748" s="22">
        <v>0</v>
      </c>
      <c r="C2748" s="22"/>
      <c r="D2748" s="22"/>
      <c r="E2748" s="22"/>
      <c r="F2748" s="22"/>
      <c r="G2748" s="22"/>
      <c r="H2748" s="22"/>
      <c r="I2748" s="22"/>
      <c r="J2748" s="22"/>
      <c r="K2748" s="22"/>
      <c r="L2748" s="22"/>
      <c r="M2748" s="22"/>
      <c r="N2748" s="22"/>
    </row>
    <row r="2749" spans="1:14" x14ac:dyDescent="0.3">
      <c r="A2749" s="22" t="s">
        <v>4934</v>
      </c>
      <c r="B2749" s="22">
        <v>0</v>
      </c>
      <c r="C2749" s="22"/>
      <c r="D2749" s="22"/>
      <c r="E2749" s="22"/>
      <c r="F2749" s="22"/>
      <c r="G2749" s="22"/>
      <c r="H2749" s="22"/>
      <c r="I2749" s="22"/>
      <c r="J2749" s="22"/>
      <c r="K2749" s="22"/>
      <c r="L2749" s="22"/>
      <c r="M2749" s="22"/>
      <c r="N2749" s="22"/>
    </row>
    <row r="2750" spans="1:14" x14ac:dyDescent="0.3">
      <c r="A2750" s="22" t="s">
        <v>4935</v>
      </c>
      <c r="B2750" s="22">
        <v>0</v>
      </c>
      <c r="C2750" s="22"/>
      <c r="D2750" s="22"/>
      <c r="E2750" s="22"/>
      <c r="F2750" s="22"/>
      <c r="G2750" s="22"/>
      <c r="H2750" s="22"/>
      <c r="I2750" s="22"/>
      <c r="J2750" s="22"/>
      <c r="K2750" s="22"/>
      <c r="L2750" s="22"/>
      <c r="M2750" s="22"/>
      <c r="N2750" s="22"/>
    </row>
    <row r="2751" spans="1:14" x14ac:dyDescent="0.3">
      <c r="A2751" s="22" t="s">
        <v>1527</v>
      </c>
      <c r="B2751" s="22">
        <v>132</v>
      </c>
      <c r="C2751" s="22"/>
      <c r="D2751" s="22"/>
      <c r="E2751" s="22"/>
      <c r="F2751" s="22"/>
      <c r="G2751" s="22"/>
      <c r="H2751" s="22"/>
      <c r="I2751" s="22"/>
      <c r="J2751" s="22"/>
      <c r="K2751" s="22"/>
      <c r="L2751" s="22"/>
      <c r="M2751" s="22"/>
      <c r="N2751" s="22"/>
    </row>
    <row r="2752" spans="1:14" x14ac:dyDescent="0.3">
      <c r="A2752" s="22" t="s">
        <v>5198</v>
      </c>
      <c r="B2752" s="22">
        <v>0</v>
      </c>
      <c r="C2752" s="22"/>
      <c r="D2752" s="22"/>
      <c r="E2752" s="22"/>
      <c r="F2752" s="22"/>
      <c r="G2752" s="22"/>
      <c r="H2752" s="22"/>
      <c r="I2752" s="22"/>
      <c r="J2752" s="22"/>
      <c r="K2752" s="22"/>
      <c r="L2752" s="22"/>
      <c r="M2752" s="22"/>
      <c r="N2752" s="22"/>
    </row>
    <row r="2753" spans="1:14" x14ac:dyDescent="0.3">
      <c r="A2753" s="22" t="s">
        <v>5199</v>
      </c>
      <c r="B2753" s="22">
        <v>0</v>
      </c>
      <c r="C2753" s="22"/>
      <c r="D2753" s="22"/>
      <c r="E2753" s="22"/>
      <c r="F2753" s="22"/>
      <c r="G2753" s="22"/>
      <c r="H2753" s="22"/>
      <c r="I2753" s="22"/>
      <c r="J2753" s="22"/>
      <c r="K2753" s="22"/>
      <c r="L2753" s="22"/>
      <c r="M2753" s="22"/>
      <c r="N2753" s="22"/>
    </row>
    <row r="2754" spans="1:14" x14ac:dyDescent="0.3">
      <c r="A2754" s="22" t="s">
        <v>5200</v>
      </c>
      <c r="B2754" s="22">
        <v>0</v>
      </c>
      <c r="C2754" s="22"/>
      <c r="D2754" s="22"/>
      <c r="E2754" s="22"/>
      <c r="F2754" s="22"/>
      <c r="G2754" s="22"/>
      <c r="H2754" s="22"/>
      <c r="I2754" s="22"/>
      <c r="J2754" s="22"/>
      <c r="K2754" s="22"/>
      <c r="L2754" s="22"/>
      <c r="M2754" s="22"/>
      <c r="N2754" s="22"/>
    </row>
    <row r="2755" spans="1:14" x14ac:dyDescent="0.3">
      <c r="A2755" s="22" t="s">
        <v>5201</v>
      </c>
      <c r="B2755" s="22">
        <v>0</v>
      </c>
      <c r="C2755" s="22"/>
      <c r="D2755" s="22"/>
      <c r="E2755" s="22"/>
      <c r="F2755" s="22"/>
      <c r="G2755" s="22"/>
      <c r="H2755" s="22"/>
      <c r="I2755" s="22"/>
      <c r="J2755" s="22"/>
      <c r="K2755" s="22"/>
      <c r="L2755" s="22"/>
      <c r="M2755" s="22"/>
      <c r="N2755" s="22"/>
    </row>
    <row r="2756" spans="1:14" x14ac:dyDescent="0.3">
      <c r="A2756" s="22" t="s">
        <v>5202</v>
      </c>
      <c r="B2756" s="22">
        <v>0</v>
      </c>
      <c r="C2756" s="22"/>
      <c r="D2756" s="22"/>
      <c r="E2756" s="22"/>
      <c r="F2756" s="22"/>
      <c r="G2756" s="22"/>
      <c r="H2756" s="22"/>
      <c r="I2756" s="22"/>
      <c r="J2756" s="22"/>
      <c r="K2756" s="22"/>
      <c r="L2756" s="22"/>
      <c r="M2756" s="22"/>
      <c r="N2756" s="22"/>
    </row>
    <row r="2757" spans="1:14" x14ac:dyDescent="0.3">
      <c r="A2757" s="22" t="s">
        <v>5203</v>
      </c>
      <c r="B2757" s="22">
        <v>0</v>
      </c>
      <c r="C2757" s="22"/>
      <c r="D2757" s="22"/>
      <c r="E2757" s="22"/>
      <c r="F2757" s="22"/>
      <c r="G2757" s="22"/>
      <c r="H2757" s="22"/>
      <c r="I2757" s="22"/>
      <c r="J2757" s="22"/>
      <c r="K2757" s="22"/>
      <c r="L2757" s="22"/>
      <c r="M2757" s="22"/>
      <c r="N2757" s="22"/>
    </row>
    <row r="2758" spans="1:14" x14ac:dyDescent="0.3">
      <c r="A2758" s="22" t="s">
        <v>5204</v>
      </c>
      <c r="B2758" s="22">
        <v>0</v>
      </c>
      <c r="C2758" s="22"/>
      <c r="D2758" s="22"/>
      <c r="E2758" s="22"/>
      <c r="F2758" s="22"/>
      <c r="G2758" s="22"/>
      <c r="H2758" s="22"/>
      <c r="I2758" s="22"/>
      <c r="J2758" s="22"/>
      <c r="K2758" s="22"/>
      <c r="L2758" s="22"/>
      <c r="M2758" s="22"/>
      <c r="N2758" s="22"/>
    </row>
    <row r="2759" spans="1:14" x14ac:dyDescent="0.3">
      <c r="A2759" s="22" t="s">
        <v>1327</v>
      </c>
      <c r="B2759" s="22">
        <v>128</v>
      </c>
      <c r="C2759" s="22"/>
      <c r="D2759" s="22"/>
      <c r="E2759" s="22"/>
      <c r="F2759" s="22"/>
      <c r="G2759" s="22"/>
      <c r="H2759" s="22"/>
      <c r="I2759" s="22"/>
      <c r="J2759" s="22"/>
      <c r="K2759" s="22"/>
      <c r="L2759" s="22"/>
      <c r="M2759" s="22"/>
      <c r="N2759" s="22"/>
    </row>
    <row r="2760" spans="1:14" x14ac:dyDescent="0.3">
      <c r="A2760" s="22" t="s">
        <v>5006</v>
      </c>
      <c r="B2760" s="22">
        <v>42</v>
      </c>
      <c r="C2760" s="22"/>
      <c r="D2760" s="22"/>
      <c r="E2760" s="22"/>
      <c r="F2760" s="22"/>
      <c r="G2760" s="22"/>
      <c r="H2760" s="22"/>
      <c r="I2760" s="22"/>
      <c r="J2760" s="22"/>
      <c r="K2760" s="22"/>
      <c r="L2760" s="22"/>
      <c r="M2760" s="22"/>
      <c r="N2760" s="22"/>
    </row>
    <row r="2761" spans="1:14" x14ac:dyDescent="0.3">
      <c r="A2761" s="22" t="s">
        <v>5007</v>
      </c>
      <c r="B2761" s="22">
        <v>0</v>
      </c>
      <c r="C2761" s="22"/>
      <c r="D2761" s="22"/>
      <c r="E2761" s="22"/>
      <c r="F2761" s="22"/>
      <c r="G2761" s="22"/>
      <c r="H2761" s="22"/>
      <c r="I2761" s="22"/>
      <c r="J2761" s="22"/>
      <c r="K2761" s="22"/>
      <c r="L2761" s="22"/>
      <c r="M2761" s="22"/>
      <c r="N2761" s="22"/>
    </row>
    <row r="2762" spans="1:14" x14ac:dyDescent="0.3">
      <c r="A2762" s="22" t="s">
        <v>5008</v>
      </c>
      <c r="B2762" s="22">
        <v>0</v>
      </c>
      <c r="C2762" s="22"/>
      <c r="D2762" s="22"/>
      <c r="E2762" s="22"/>
      <c r="F2762" s="22"/>
      <c r="G2762" s="22"/>
      <c r="H2762" s="22"/>
      <c r="I2762" s="22"/>
      <c r="J2762" s="22"/>
      <c r="K2762" s="22"/>
      <c r="L2762" s="22"/>
      <c r="M2762" s="22"/>
      <c r="N2762" s="22"/>
    </row>
    <row r="2763" spans="1:14" x14ac:dyDescent="0.3">
      <c r="A2763" s="22" t="s">
        <v>5009</v>
      </c>
      <c r="B2763" s="22">
        <v>0</v>
      </c>
      <c r="C2763" s="22"/>
      <c r="D2763" s="22"/>
      <c r="E2763" s="22"/>
      <c r="F2763" s="22"/>
      <c r="G2763" s="22"/>
      <c r="H2763" s="22"/>
      <c r="I2763" s="22"/>
      <c r="J2763" s="22"/>
      <c r="K2763" s="22"/>
      <c r="L2763" s="22"/>
      <c r="M2763" s="22"/>
      <c r="N2763" s="22"/>
    </row>
    <row r="2764" spans="1:14" x14ac:dyDescent="0.3">
      <c r="A2764" s="22" t="s">
        <v>5010</v>
      </c>
      <c r="B2764" s="22">
        <v>0</v>
      </c>
      <c r="C2764" s="22"/>
      <c r="D2764" s="22"/>
      <c r="E2764" s="22"/>
      <c r="F2764" s="22"/>
      <c r="G2764" s="22"/>
      <c r="H2764" s="22"/>
      <c r="I2764" s="22"/>
      <c r="J2764" s="22"/>
      <c r="K2764" s="22"/>
      <c r="L2764" s="22"/>
      <c r="M2764" s="22"/>
      <c r="N2764" s="22"/>
    </row>
    <row r="2765" spans="1:14" x14ac:dyDescent="0.3">
      <c r="A2765" s="22" t="s">
        <v>5011</v>
      </c>
      <c r="B2765" s="22">
        <v>0</v>
      </c>
      <c r="C2765" s="22"/>
      <c r="D2765" s="22"/>
      <c r="E2765" s="22"/>
      <c r="F2765" s="22"/>
      <c r="G2765" s="22"/>
      <c r="H2765" s="22"/>
      <c r="I2765" s="22"/>
      <c r="J2765" s="22"/>
      <c r="K2765" s="22"/>
      <c r="L2765" s="22"/>
      <c r="M2765" s="22"/>
      <c r="N2765" s="22"/>
    </row>
    <row r="2766" spans="1:14" x14ac:dyDescent="0.3">
      <c r="A2766" s="22" t="s">
        <v>5012</v>
      </c>
      <c r="B2766" s="22">
        <v>0</v>
      </c>
      <c r="C2766" s="22"/>
      <c r="D2766" s="22"/>
      <c r="E2766" s="22"/>
      <c r="F2766" s="22"/>
      <c r="G2766" s="22"/>
      <c r="H2766" s="22"/>
      <c r="I2766" s="22"/>
      <c r="J2766" s="22"/>
      <c r="K2766" s="22"/>
      <c r="L2766" s="22"/>
      <c r="M2766" s="22"/>
      <c r="N2766" s="22"/>
    </row>
    <row r="2767" spans="1:14" x14ac:dyDescent="0.3">
      <c r="A2767" s="22" t="s">
        <v>1328</v>
      </c>
      <c r="B2767" s="22">
        <v>94</v>
      </c>
      <c r="C2767" s="22"/>
      <c r="D2767" s="22"/>
      <c r="E2767" s="22"/>
      <c r="F2767" s="22"/>
      <c r="G2767" s="22"/>
      <c r="H2767" s="22"/>
      <c r="I2767" s="22"/>
      <c r="J2767" s="22"/>
      <c r="K2767" s="22"/>
      <c r="L2767" s="22"/>
      <c r="M2767" s="22"/>
      <c r="N2767" s="22"/>
    </row>
    <row r="2768" spans="1:14" x14ac:dyDescent="0.3">
      <c r="A2768" s="22" t="s">
        <v>5514</v>
      </c>
      <c r="B2768" s="22">
        <v>30</v>
      </c>
      <c r="C2768" s="22"/>
      <c r="D2768" s="22"/>
      <c r="E2768" s="22"/>
      <c r="F2768" s="22"/>
      <c r="G2768" s="22"/>
      <c r="H2768" s="22"/>
      <c r="I2768" s="22"/>
      <c r="J2768" s="22"/>
      <c r="K2768" s="22"/>
      <c r="L2768" s="22"/>
      <c r="M2768" s="22"/>
      <c r="N2768" s="22"/>
    </row>
    <row r="2769" spans="1:14" x14ac:dyDescent="0.3">
      <c r="A2769" s="22" t="s">
        <v>5515</v>
      </c>
      <c r="B2769" s="22">
        <v>0</v>
      </c>
      <c r="C2769" s="22"/>
      <c r="D2769" s="22"/>
      <c r="E2769" s="22"/>
      <c r="F2769" s="22"/>
      <c r="G2769" s="22"/>
      <c r="H2769" s="22"/>
      <c r="I2769" s="22"/>
      <c r="J2769" s="22"/>
      <c r="K2769" s="22"/>
      <c r="L2769" s="22"/>
      <c r="M2769" s="22"/>
      <c r="N2769" s="22"/>
    </row>
    <row r="2770" spans="1:14" x14ac:dyDescent="0.3">
      <c r="A2770" s="22" t="s">
        <v>5516</v>
      </c>
      <c r="B2770" s="22">
        <v>0</v>
      </c>
      <c r="C2770" s="22"/>
      <c r="D2770" s="22"/>
      <c r="E2770" s="22"/>
      <c r="F2770" s="22"/>
      <c r="G2770" s="22"/>
      <c r="H2770" s="22"/>
      <c r="I2770" s="22"/>
      <c r="J2770" s="22"/>
      <c r="K2770" s="22"/>
      <c r="L2770" s="22"/>
      <c r="M2770" s="22"/>
      <c r="N2770" s="22"/>
    </row>
    <row r="2771" spans="1:14" x14ac:dyDescent="0.3">
      <c r="A2771" s="22" t="s">
        <v>5517</v>
      </c>
      <c r="B2771" s="22">
        <v>0</v>
      </c>
      <c r="C2771" s="22"/>
      <c r="D2771" s="22"/>
      <c r="E2771" s="22"/>
      <c r="F2771" s="22"/>
      <c r="G2771" s="22"/>
      <c r="H2771" s="22"/>
      <c r="I2771" s="22"/>
      <c r="J2771" s="22"/>
      <c r="K2771" s="22"/>
      <c r="L2771" s="22"/>
      <c r="M2771" s="22"/>
      <c r="N2771" s="22"/>
    </row>
    <row r="2772" spans="1:14" x14ac:dyDescent="0.3">
      <c r="A2772" s="22" t="s">
        <v>5518</v>
      </c>
      <c r="B2772" s="22">
        <v>0</v>
      </c>
      <c r="C2772" s="22"/>
      <c r="D2772" s="22"/>
      <c r="E2772" s="22"/>
      <c r="F2772" s="22"/>
      <c r="G2772" s="22"/>
      <c r="H2772" s="22"/>
      <c r="I2772" s="22"/>
      <c r="J2772" s="22"/>
      <c r="K2772" s="22"/>
      <c r="L2772" s="22"/>
      <c r="M2772" s="22"/>
      <c r="N2772" s="22"/>
    </row>
    <row r="2773" spans="1:14" x14ac:dyDescent="0.3">
      <c r="A2773" s="22" t="s">
        <v>5519</v>
      </c>
      <c r="B2773" s="22">
        <v>0</v>
      </c>
      <c r="C2773" s="22"/>
      <c r="D2773" s="22"/>
      <c r="E2773" s="22"/>
      <c r="F2773" s="22"/>
      <c r="G2773" s="22"/>
      <c r="H2773" s="22"/>
      <c r="I2773" s="22"/>
      <c r="J2773" s="22"/>
      <c r="K2773" s="22"/>
      <c r="L2773" s="22"/>
      <c r="M2773" s="22"/>
      <c r="N2773" s="22"/>
    </row>
    <row r="2774" spans="1:14" x14ac:dyDescent="0.3">
      <c r="A2774" s="22" t="s">
        <v>5520</v>
      </c>
      <c r="B2774" s="22">
        <v>0</v>
      </c>
      <c r="C2774" s="22"/>
      <c r="D2774" s="22"/>
      <c r="E2774" s="22"/>
      <c r="F2774" s="22"/>
      <c r="G2774" s="22"/>
      <c r="H2774" s="22"/>
      <c r="I2774" s="22"/>
      <c r="J2774" s="22"/>
      <c r="K2774" s="22"/>
      <c r="L2774" s="22"/>
      <c r="M2774" s="22"/>
      <c r="N2774" s="22"/>
    </row>
    <row r="2775" spans="1:14" x14ac:dyDescent="0.3">
      <c r="A2775" s="22" t="s">
        <v>1529</v>
      </c>
      <c r="B2775" s="22">
        <v>0</v>
      </c>
      <c r="C2775" s="22"/>
      <c r="D2775" s="22"/>
      <c r="E2775" s="22"/>
      <c r="F2775" s="22"/>
      <c r="G2775" s="22"/>
      <c r="H2775" s="22"/>
      <c r="I2775" s="22"/>
      <c r="J2775" s="22"/>
      <c r="K2775" s="22"/>
      <c r="L2775" s="22"/>
      <c r="M2775" s="22"/>
      <c r="N2775" s="22"/>
    </row>
    <row r="2776" spans="1:14" x14ac:dyDescent="0.3">
      <c r="A2776" s="22" t="s">
        <v>5034</v>
      </c>
      <c r="B2776" s="22">
        <v>0</v>
      </c>
      <c r="C2776" s="22"/>
      <c r="D2776" s="22"/>
      <c r="E2776" s="22"/>
      <c r="F2776" s="22"/>
      <c r="G2776" s="22"/>
      <c r="H2776" s="22"/>
      <c r="I2776" s="22"/>
      <c r="J2776" s="22"/>
      <c r="K2776" s="22"/>
      <c r="L2776" s="22"/>
      <c r="M2776" s="22"/>
      <c r="N2776" s="22"/>
    </row>
    <row r="2777" spans="1:14" x14ac:dyDescent="0.3">
      <c r="A2777" s="22" t="s">
        <v>5035</v>
      </c>
      <c r="B2777" s="22">
        <v>0</v>
      </c>
      <c r="C2777" s="22"/>
      <c r="D2777" s="22"/>
      <c r="E2777" s="22"/>
      <c r="F2777" s="22"/>
      <c r="G2777" s="22"/>
      <c r="H2777" s="22"/>
      <c r="I2777" s="22"/>
      <c r="J2777" s="22"/>
      <c r="K2777" s="22"/>
      <c r="L2777" s="22"/>
      <c r="M2777" s="22"/>
      <c r="N2777" s="22"/>
    </row>
    <row r="2778" spans="1:14" x14ac:dyDescent="0.3">
      <c r="A2778" s="22" t="s">
        <v>5036</v>
      </c>
      <c r="B2778" s="22">
        <v>0</v>
      </c>
      <c r="C2778" s="22"/>
      <c r="D2778" s="22"/>
      <c r="E2778" s="22"/>
      <c r="F2778" s="22"/>
      <c r="G2778" s="22"/>
      <c r="H2778" s="22"/>
      <c r="I2778" s="22"/>
      <c r="J2778" s="22"/>
      <c r="K2778" s="22"/>
      <c r="L2778" s="22"/>
      <c r="M2778" s="22"/>
      <c r="N2778" s="22"/>
    </row>
    <row r="2779" spans="1:14" x14ac:dyDescent="0.3">
      <c r="A2779" s="22" t="s">
        <v>5037</v>
      </c>
      <c r="B2779" s="22">
        <v>0</v>
      </c>
      <c r="C2779" s="22"/>
      <c r="D2779" s="22"/>
      <c r="E2779" s="22"/>
      <c r="F2779" s="22"/>
      <c r="G2779" s="22"/>
      <c r="H2779" s="22"/>
      <c r="I2779" s="22"/>
      <c r="J2779" s="22"/>
      <c r="K2779" s="22"/>
      <c r="L2779" s="22"/>
      <c r="M2779" s="22"/>
      <c r="N2779" s="22"/>
    </row>
    <row r="2780" spans="1:14" x14ac:dyDescent="0.3">
      <c r="A2780" s="22" t="s">
        <v>5038</v>
      </c>
      <c r="B2780" s="22">
        <v>0</v>
      </c>
      <c r="C2780" s="22"/>
      <c r="D2780" s="22"/>
      <c r="E2780" s="22"/>
      <c r="F2780" s="22"/>
      <c r="G2780" s="22"/>
      <c r="H2780" s="22"/>
      <c r="I2780" s="22"/>
      <c r="J2780" s="22"/>
      <c r="K2780" s="22"/>
      <c r="L2780" s="22"/>
      <c r="M2780" s="22"/>
      <c r="N2780" s="22"/>
    </row>
    <row r="2781" spans="1:14" x14ac:dyDescent="0.3">
      <c r="A2781" s="22" t="s">
        <v>5039</v>
      </c>
      <c r="B2781" s="22">
        <v>0</v>
      </c>
      <c r="C2781" s="22"/>
      <c r="D2781" s="22"/>
      <c r="E2781" s="22"/>
      <c r="F2781" s="22"/>
      <c r="G2781" s="22"/>
      <c r="H2781" s="22"/>
      <c r="I2781" s="22"/>
      <c r="J2781" s="22"/>
      <c r="K2781" s="22"/>
      <c r="L2781" s="22"/>
      <c r="M2781" s="22"/>
      <c r="N2781" s="22"/>
    </row>
    <row r="2782" spans="1:14" x14ac:dyDescent="0.3">
      <c r="A2782" s="22" t="s">
        <v>5040</v>
      </c>
      <c r="B2782" s="22">
        <v>0</v>
      </c>
      <c r="C2782" s="22"/>
      <c r="D2782" s="22"/>
      <c r="E2782" s="22"/>
      <c r="F2782" s="22"/>
      <c r="G2782" s="22"/>
      <c r="H2782" s="22"/>
      <c r="I2782" s="22"/>
      <c r="J2782" s="22"/>
      <c r="K2782" s="22"/>
      <c r="L2782" s="22"/>
      <c r="M2782" s="22"/>
      <c r="N2782" s="22"/>
    </row>
    <row r="2783" spans="1:14" x14ac:dyDescent="0.3">
      <c r="A2783" s="22" t="s">
        <v>1329</v>
      </c>
      <c r="B2783" s="22">
        <v>31</v>
      </c>
      <c r="C2783" s="22"/>
      <c r="D2783" s="22"/>
      <c r="E2783" s="22"/>
      <c r="F2783" s="22"/>
      <c r="G2783" s="22"/>
      <c r="H2783" s="22"/>
      <c r="I2783" s="22"/>
      <c r="J2783" s="22"/>
      <c r="K2783" s="22"/>
      <c r="L2783" s="22"/>
      <c r="M2783" s="22"/>
      <c r="N2783" s="22"/>
    </row>
    <row r="2784" spans="1:14" x14ac:dyDescent="0.3">
      <c r="A2784" s="22" t="s">
        <v>5041</v>
      </c>
      <c r="B2784" s="22">
        <v>0</v>
      </c>
      <c r="C2784" s="22"/>
      <c r="D2784" s="22"/>
      <c r="E2784" s="22"/>
      <c r="F2784" s="22"/>
      <c r="G2784" s="22"/>
      <c r="H2784" s="22"/>
      <c r="I2784" s="22"/>
      <c r="J2784" s="22"/>
      <c r="K2784" s="22"/>
      <c r="L2784" s="22"/>
      <c r="M2784" s="22"/>
      <c r="N2784" s="22"/>
    </row>
    <row r="2785" spans="1:14" x14ac:dyDescent="0.3">
      <c r="A2785" s="22" t="s">
        <v>5042</v>
      </c>
      <c r="B2785" s="22">
        <v>0</v>
      </c>
      <c r="C2785" s="22"/>
      <c r="D2785" s="22"/>
      <c r="E2785" s="22"/>
      <c r="F2785" s="22"/>
      <c r="G2785" s="22"/>
      <c r="H2785" s="22"/>
      <c r="I2785" s="22"/>
      <c r="J2785" s="22"/>
      <c r="K2785" s="22"/>
      <c r="L2785" s="22"/>
      <c r="M2785" s="22"/>
      <c r="N2785" s="22"/>
    </row>
    <row r="2786" spans="1:14" x14ac:dyDescent="0.3">
      <c r="A2786" s="22" t="s">
        <v>5043</v>
      </c>
      <c r="B2786" s="22">
        <v>0</v>
      </c>
      <c r="C2786" s="22"/>
      <c r="D2786" s="22"/>
      <c r="E2786" s="22"/>
      <c r="F2786" s="22"/>
      <c r="G2786" s="22"/>
      <c r="H2786" s="22"/>
      <c r="I2786" s="22"/>
      <c r="J2786" s="22"/>
      <c r="K2786" s="22"/>
      <c r="L2786" s="22"/>
      <c r="M2786" s="22"/>
      <c r="N2786" s="22"/>
    </row>
    <row r="2787" spans="1:14" x14ac:dyDescent="0.3">
      <c r="A2787" s="22" t="s">
        <v>5044</v>
      </c>
      <c r="B2787" s="22">
        <v>0</v>
      </c>
      <c r="C2787" s="22"/>
      <c r="D2787" s="22"/>
      <c r="E2787" s="22"/>
      <c r="F2787" s="22"/>
      <c r="G2787" s="22"/>
      <c r="H2787" s="22"/>
      <c r="I2787" s="22"/>
      <c r="J2787" s="22"/>
      <c r="K2787" s="22"/>
      <c r="L2787" s="22"/>
      <c r="M2787" s="22"/>
      <c r="N2787" s="22"/>
    </row>
    <row r="2788" spans="1:14" x14ac:dyDescent="0.3">
      <c r="A2788" s="22" t="s">
        <v>5045</v>
      </c>
      <c r="B2788" s="22">
        <v>0</v>
      </c>
      <c r="C2788" s="22"/>
      <c r="D2788" s="22"/>
      <c r="E2788" s="22"/>
      <c r="F2788" s="22"/>
      <c r="G2788" s="22"/>
      <c r="H2788" s="22"/>
      <c r="I2788" s="22"/>
      <c r="J2788" s="22"/>
      <c r="K2788" s="22"/>
      <c r="L2788" s="22"/>
      <c r="M2788" s="22"/>
      <c r="N2788" s="22"/>
    </row>
    <row r="2789" spans="1:14" x14ac:dyDescent="0.3">
      <c r="A2789" s="22" t="s">
        <v>5046</v>
      </c>
      <c r="B2789" s="22">
        <v>0</v>
      </c>
      <c r="C2789" s="22"/>
      <c r="D2789" s="22"/>
      <c r="E2789" s="22"/>
      <c r="F2789" s="22"/>
      <c r="G2789" s="22"/>
      <c r="H2789" s="22"/>
      <c r="I2789" s="22"/>
      <c r="J2789" s="22"/>
      <c r="K2789" s="22"/>
      <c r="L2789" s="22"/>
      <c r="M2789" s="22"/>
      <c r="N2789" s="22"/>
    </row>
    <row r="2790" spans="1:14" x14ac:dyDescent="0.3">
      <c r="A2790" s="22" t="s">
        <v>5047</v>
      </c>
      <c r="B2790" s="22">
        <v>0</v>
      </c>
      <c r="C2790" s="22"/>
      <c r="D2790" s="22"/>
      <c r="E2790" s="22"/>
      <c r="F2790" s="22"/>
      <c r="G2790" s="22"/>
      <c r="H2790" s="22"/>
      <c r="I2790" s="22"/>
      <c r="J2790" s="22"/>
      <c r="K2790" s="22"/>
      <c r="L2790" s="22"/>
      <c r="M2790" s="22"/>
      <c r="N2790" s="22"/>
    </row>
    <row r="2791" spans="1:14" x14ac:dyDescent="0.3">
      <c r="A2791" s="22" t="s">
        <v>1530</v>
      </c>
      <c r="B2791" s="22">
        <v>0</v>
      </c>
      <c r="C2791" s="22"/>
      <c r="D2791" s="22"/>
      <c r="E2791" s="22"/>
      <c r="F2791" s="22"/>
      <c r="G2791" s="22"/>
      <c r="H2791" s="22"/>
      <c r="I2791" s="22"/>
      <c r="J2791" s="22"/>
      <c r="K2791" s="22"/>
      <c r="L2791" s="22"/>
      <c r="M2791" s="22"/>
      <c r="N2791" s="22"/>
    </row>
    <row r="2792" spans="1:14" x14ac:dyDescent="0.3">
      <c r="A2792" s="22" t="s">
        <v>5184</v>
      </c>
      <c r="B2792" s="22">
        <v>0</v>
      </c>
      <c r="C2792" s="22"/>
      <c r="D2792" s="22"/>
      <c r="E2792" s="22"/>
      <c r="F2792" s="22"/>
      <c r="G2792" s="22"/>
      <c r="H2792" s="22"/>
      <c r="I2792" s="22"/>
      <c r="J2792" s="22"/>
      <c r="K2792" s="22"/>
      <c r="L2792" s="22"/>
      <c r="M2792" s="22"/>
      <c r="N2792" s="22"/>
    </row>
    <row r="2793" spans="1:14" x14ac:dyDescent="0.3">
      <c r="A2793" s="22" t="s">
        <v>5185</v>
      </c>
      <c r="B2793" s="22">
        <v>0</v>
      </c>
      <c r="C2793" s="22"/>
      <c r="D2793" s="22"/>
      <c r="E2793" s="22"/>
      <c r="F2793" s="22"/>
      <c r="G2793" s="22"/>
      <c r="H2793" s="22"/>
      <c r="I2793" s="22"/>
      <c r="J2793" s="22"/>
      <c r="K2793" s="22"/>
      <c r="L2793" s="22"/>
      <c r="M2793" s="22"/>
      <c r="N2793" s="22"/>
    </row>
    <row r="2794" spans="1:14" x14ac:dyDescent="0.3">
      <c r="A2794" s="22" t="s">
        <v>5186</v>
      </c>
      <c r="B2794" s="22">
        <v>0</v>
      </c>
      <c r="C2794" s="22"/>
      <c r="D2794" s="22"/>
      <c r="E2794" s="22"/>
      <c r="F2794" s="22"/>
      <c r="G2794" s="22"/>
      <c r="H2794" s="22"/>
      <c r="I2794" s="22"/>
      <c r="J2794" s="22"/>
      <c r="K2794" s="22"/>
      <c r="L2794" s="22"/>
      <c r="M2794" s="22"/>
      <c r="N2794" s="22"/>
    </row>
    <row r="2795" spans="1:14" x14ac:dyDescent="0.3">
      <c r="A2795" s="22" t="s">
        <v>5187</v>
      </c>
      <c r="B2795" s="22">
        <v>0</v>
      </c>
      <c r="C2795" s="22"/>
      <c r="D2795" s="22"/>
      <c r="E2795" s="22"/>
      <c r="F2795" s="22"/>
      <c r="G2795" s="22"/>
      <c r="H2795" s="22"/>
      <c r="I2795" s="22"/>
      <c r="J2795" s="22"/>
      <c r="K2795" s="22"/>
      <c r="L2795" s="22"/>
      <c r="M2795" s="22"/>
      <c r="N2795" s="22"/>
    </row>
    <row r="2796" spans="1:14" x14ac:dyDescent="0.3">
      <c r="A2796" s="22" t="s">
        <v>5188</v>
      </c>
      <c r="B2796" s="22">
        <v>0</v>
      </c>
      <c r="C2796" s="22"/>
      <c r="D2796" s="22"/>
      <c r="E2796" s="22"/>
      <c r="F2796" s="22"/>
      <c r="G2796" s="22"/>
      <c r="H2796" s="22"/>
      <c r="I2796" s="22"/>
      <c r="J2796" s="22"/>
      <c r="K2796" s="22"/>
      <c r="L2796" s="22"/>
      <c r="M2796" s="22"/>
      <c r="N2796" s="22"/>
    </row>
    <row r="2797" spans="1:14" x14ac:dyDescent="0.3">
      <c r="A2797" s="22" t="s">
        <v>5189</v>
      </c>
      <c r="B2797" s="22">
        <v>0</v>
      </c>
      <c r="C2797" s="22"/>
      <c r="D2797" s="22"/>
      <c r="E2797" s="22"/>
      <c r="F2797" s="22"/>
      <c r="G2797" s="22"/>
      <c r="H2797" s="22"/>
      <c r="I2797" s="22"/>
      <c r="J2797" s="22"/>
      <c r="K2797" s="22"/>
      <c r="L2797" s="22"/>
      <c r="M2797" s="22"/>
      <c r="N2797" s="22"/>
    </row>
    <row r="2798" spans="1:14" x14ac:dyDescent="0.3">
      <c r="A2798" s="22" t="s">
        <v>5190</v>
      </c>
      <c r="B2798" s="22">
        <v>0</v>
      </c>
      <c r="C2798" s="22"/>
      <c r="D2798" s="22"/>
      <c r="E2798" s="22"/>
      <c r="F2798" s="22"/>
      <c r="G2798" s="22"/>
      <c r="H2798" s="22"/>
      <c r="I2798" s="22"/>
      <c r="J2798" s="22"/>
      <c r="K2798" s="22"/>
      <c r="L2798" s="22"/>
      <c r="M2798" s="22"/>
      <c r="N2798" s="22"/>
    </row>
    <row r="2799" spans="1:14" x14ac:dyDescent="0.3">
      <c r="A2799" s="22" t="s">
        <v>1532</v>
      </c>
      <c r="B2799" s="22">
        <v>0</v>
      </c>
      <c r="C2799" s="22"/>
      <c r="D2799" s="22"/>
      <c r="E2799" s="22"/>
      <c r="F2799" s="22"/>
      <c r="G2799" s="22"/>
      <c r="H2799" s="22"/>
      <c r="I2799" s="22"/>
      <c r="J2799" s="22"/>
      <c r="K2799" s="22"/>
      <c r="L2799" s="22"/>
      <c r="M2799" s="22"/>
      <c r="N2799" s="22"/>
    </row>
    <row r="2800" spans="1:14" x14ac:dyDescent="0.3">
      <c r="A2800" s="22" t="s">
        <v>5134</v>
      </c>
      <c r="B2800" s="22">
        <v>0</v>
      </c>
      <c r="C2800" s="22"/>
      <c r="D2800" s="22"/>
      <c r="E2800" s="22"/>
      <c r="F2800" s="22"/>
      <c r="G2800" s="22"/>
      <c r="H2800" s="22"/>
      <c r="I2800" s="22"/>
      <c r="J2800" s="22"/>
      <c r="K2800" s="22"/>
      <c r="L2800" s="22"/>
      <c r="M2800" s="22"/>
      <c r="N2800" s="22"/>
    </row>
    <row r="2801" spans="1:14" x14ac:dyDescent="0.3">
      <c r="A2801" s="22" t="s">
        <v>5135</v>
      </c>
      <c r="B2801" s="22">
        <v>0</v>
      </c>
      <c r="C2801" s="22"/>
      <c r="D2801" s="22"/>
      <c r="E2801" s="22"/>
      <c r="F2801" s="22"/>
      <c r="G2801" s="22"/>
      <c r="H2801" s="22"/>
      <c r="I2801" s="22"/>
      <c r="J2801" s="22"/>
      <c r="K2801" s="22"/>
      <c r="L2801" s="22"/>
      <c r="M2801" s="22"/>
      <c r="N2801" s="22"/>
    </row>
    <row r="2802" spans="1:14" x14ac:dyDescent="0.3">
      <c r="A2802" s="22" t="s">
        <v>5136</v>
      </c>
      <c r="B2802" s="22">
        <v>0</v>
      </c>
      <c r="C2802" s="22"/>
      <c r="D2802" s="22"/>
      <c r="E2802" s="22"/>
      <c r="F2802" s="22"/>
      <c r="G2802" s="22"/>
      <c r="H2802" s="22"/>
      <c r="I2802" s="22"/>
      <c r="J2802" s="22"/>
      <c r="K2802" s="22"/>
      <c r="L2802" s="22"/>
      <c r="M2802" s="22"/>
      <c r="N2802" s="22"/>
    </row>
    <row r="2803" spans="1:14" x14ac:dyDescent="0.3">
      <c r="A2803" s="22" t="s">
        <v>5137</v>
      </c>
      <c r="B2803" s="22">
        <v>0</v>
      </c>
      <c r="C2803" s="22"/>
      <c r="D2803" s="22"/>
      <c r="E2803" s="22"/>
      <c r="F2803" s="22"/>
      <c r="G2803" s="22"/>
      <c r="H2803" s="22"/>
      <c r="I2803" s="22"/>
      <c r="J2803" s="22"/>
      <c r="K2803" s="22"/>
      <c r="L2803" s="22"/>
      <c r="M2803" s="22"/>
      <c r="N2803" s="22"/>
    </row>
    <row r="2804" spans="1:14" x14ac:dyDescent="0.3">
      <c r="A2804" s="22" t="s">
        <v>5138</v>
      </c>
      <c r="B2804" s="22">
        <v>0</v>
      </c>
      <c r="C2804" s="22"/>
      <c r="D2804" s="22"/>
      <c r="E2804" s="22"/>
      <c r="F2804" s="22"/>
      <c r="G2804" s="22"/>
      <c r="H2804" s="22"/>
      <c r="I2804" s="22"/>
      <c r="J2804" s="22"/>
      <c r="K2804" s="22"/>
      <c r="L2804" s="22"/>
      <c r="M2804" s="22"/>
      <c r="N2804" s="22"/>
    </row>
    <row r="2805" spans="1:14" x14ac:dyDescent="0.3">
      <c r="A2805" s="22" t="s">
        <v>5139</v>
      </c>
      <c r="B2805" s="22">
        <v>0</v>
      </c>
      <c r="C2805" s="22"/>
      <c r="D2805" s="22"/>
      <c r="E2805" s="22"/>
      <c r="F2805" s="22"/>
      <c r="G2805" s="22"/>
      <c r="H2805" s="22"/>
      <c r="I2805" s="22"/>
      <c r="J2805" s="22"/>
      <c r="K2805" s="22"/>
      <c r="L2805" s="22"/>
      <c r="M2805" s="22"/>
      <c r="N2805" s="22"/>
    </row>
    <row r="2806" spans="1:14" x14ac:dyDescent="0.3">
      <c r="A2806" s="22" t="s">
        <v>5140</v>
      </c>
      <c r="B2806" s="22">
        <v>0</v>
      </c>
      <c r="C2806" s="22"/>
      <c r="D2806" s="22"/>
      <c r="E2806" s="22"/>
      <c r="F2806" s="22"/>
      <c r="G2806" s="22"/>
      <c r="H2806" s="22"/>
      <c r="I2806" s="22"/>
      <c r="J2806" s="22"/>
      <c r="K2806" s="22"/>
      <c r="L2806" s="22"/>
      <c r="M2806" s="22"/>
      <c r="N2806" s="22"/>
    </row>
    <row r="2807" spans="1:14" x14ac:dyDescent="0.3">
      <c r="A2807" s="22" t="s">
        <v>1534</v>
      </c>
      <c r="B2807" s="22">
        <v>0</v>
      </c>
      <c r="C2807" s="22"/>
      <c r="D2807" s="22"/>
      <c r="E2807" s="22"/>
      <c r="F2807" s="22"/>
      <c r="G2807" s="22"/>
      <c r="H2807" s="22"/>
      <c r="I2807" s="22"/>
      <c r="J2807" s="22"/>
      <c r="K2807" s="22"/>
      <c r="L2807" s="22"/>
      <c r="M2807" s="22"/>
      <c r="N2807" s="22"/>
    </row>
    <row r="2808" spans="1:14" x14ac:dyDescent="0.3">
      <c r="A2808" s="22" t="s">
        <v>5141</v>
      </c>
      <c r="B2808" s="22">
        <v>0</v>
      </c>
      <c r="C2808" s="22"/>
      <c r="D2808" s="22"/>
      <c r="E2808" s="22"/>
      <c r="F2808" s="22"/>
      <c r="G2808" s="22"/>
      <c r="H2808" s="22"/>
      <c r="I2808" s="22"/>
      <c r="J2808" s="22"/>
      <c r="K2808" s="22"/>
      <c r="L2808" s="22"/>
      <c r="M2808" s="22"/>
      <c r="N2808" s="22"/>
    </row>
    <row r="2809" spans="1:14" x14ac:dyDescent="0.3">
      <c r="A2809" s="22" t="s">
        <v>5142</v>
      </c>
      <c r="B2809" s="22">
        <v>0</v>
      </c>
      <c r="C2809" s="22"/>
      <c r="D2809" s="22"/>
      <c r="E2809" s="22"/>
      <c r="F2809" s="22"/>
      <c r="G2809" s="22"/>
      <c r="H2809" s="22"/>
      <c r="I2809" s="22"/>
      <c r="J2809" s="22"/>
      <c r="K2809" s="22"/>
      <c r="L2809" s="22"/>
      <c r="M2809" s="22"/>
      <c r="N2809" s="22"/>
    </row>
    <row r="2810" spans="1:14" x14ac:dyDescent="0.3">
      <c r="A2810" s="22" t="s">
        <v>5143</v>
      </c>
      <c r="B2810" s="22">
        <v>0</v>
      </c>
      <c r="C2810" s="22"/>
      <c r="D2810" s="22"/>
      <c r="E2810" s="22"/>
      <c r="F2810" s="22"/>
      <c r="G2810" s="22"/>
      <c r="H2810" s="22"/>
      <c r="I2810" s="22"/>
      <c r="J2810" s="22"/>
      <c r="K2810" s="22"/>
      <c r="L2810" s="22"/>
      <c r="M2810" s="22"/>
      <c r="N2810" s="22"/>
    </row>
    <row r="2811" spans="1:14" x14ac:dyDescent="0.3">
      <c r="A2811" s="22" t="s">
        <v>5144</v>
      </c>
      <c r="B2811" s="22">
        <v>0</v>
      </c>
      <c r="C2811" s="22"/>
      <c r="D2811" s="22"/>
      <c r="E2811" s="22"/>
      <c r="F2811" s="22"/>
      <c r="G2811" s="22"/>
      <c r="H2811" s="22"/>
      <c r="I2811" s="22"/>
      <c r="J2811" s="22"/>
      <c r="K2811" s="22"/>
      <c r="L2811" s="22"/>
      <c r="M2811" s="22"/>
      <c r="N2811" s="22"/>
    </row>
    <row r="2812" spans="1:14" x14ac:dyDescent="0.3">
      <c r="A2812" s="22" t="s">
        <v>5145</v>
      </c>
      <c r="B2812" s="22">
        <v>0</v>
      </c>
      <c r="C2812" s="22"/>
      <c r="D2812" s="22"/>
      <c r="E2812" s="22"/>
      <c r="F2812" s="22"/>
      <c r="G2812" s="22"/>
      <c r="H2812" s="22"/>
      <c r="I2812" s="22"/>
      <c r="J2812" s="22"/>
      <c r="K2812" s="22"/>
      <c r="L2812" s="22"/>
      <c r="M2812" s="22"/>
      <c r="N2812" s="22"/>
    </row>
    <row r="2813" spans="1:14" x14ac:dyDescent="0.3">
      <c r="A2813" s="22" t="s">
        <v>5146</v>
      </c>
      <c r="B2813" s="22">
        <v>0</v>
      </c>
      <c r="C2813" s="22"/>
      <c r="D2813" s="22"/>
      <c r="E2813" s="22"/>
      <c r="F2813" s="22"/>
      <c r="G2813" s="22"/>
      <c r="H2813" s="22"/>
      <c r="I2813" s="22"/>
      <c r="J2813" s="22"/>
      <c r="K2813" s="22"/>
      <c r="L2813" s="22"/>
      <c r="M2813" s="22"/>
      <c r="N2813" s="22"/>
    </row>
    <row r="2814" spans="1:14" x14ac:dyDescent="0.3">
      <c r="A2814" s="22" t="s">
        <v>5147</v>
      </c>
      <c r="B2814" s="22">
        <v>0</v>
      </c>
      <c r="C2814" s="22"/>
      <c r="D2814" s="22"/>
      <c r="E2814" s="22"/>
      <c r="F2814" s="22"/>
      <c r="G2814" s="22"/>
      <c r="H2814" s="22"/>
      <c r="I2814" s="22"/>
      <c r="J2814" s="22"/>
      <c r="K2814" s="22"/>
      <c r="L2814" s="22"/>
      <c r="M2814" s="22"/>
      <c r="N2814" s="22"/>
    </row>
    <row r="2815" spans="1:14" x14ac:dyDescent="0.3">
      <c r="A2815" s="22" t="s">
        <v>1535</v>
      </c>
      <c r="B2815" s="22">
        <v>14</v>
      </c>
      <c r="C2815" s="22"/>
      <c r="D2815" s="22"/>
      <c r="E2815" s="22"/>
      <c r="F2815" s="22"/>
      <c r="G2815" s="22"/>
      <c r="H2815" s="22"/>
      <c r="I2815" s="22"/>
      <c r="J2815" s="22"/>
      <c r="K2815" s="22"/>
      <c r="L2815" s="22"/>
      <c r="M2815" s="22"/>
      <c r="N2815" s="22"/>
    </row>
    <row r="2816" spans="1:14" x14ac:dyDescent="0.3">
      <c r="A2816" s="22" t="s">
        <v>5262</v>
      </c>
      <c r="B2816" s="22">
        <v>0</v>
      </c>
      <c r="C2816" s="22"/>
      <c r="D2816" s="22"/>
      <c r="E2816" s="22"/>
      <c r="F2816" s="22"/>
      <c r="G2816" s="22"/>
      <c r="H2816" s="22"/>
      <c r="I2816" s="22"/>
      <c r="J2816" s="22"/>
      <c r="K2816" s="22"/>
      <c r="L2816" s="22"/>
      <c r="M2816" s="22"/>
      <c r="N2816" s="22"/>
    </row>
    <row r="2817" spans="1:14" x14ac:dyDescent="0.3">
      <c r="A2817" s="22" t="s">
        <v>5263</v>
      </c>
      <c r="B2817" s="22">
        <v>0</v>
      </c>
      <c r="C2817" s="22"/>
      <c r="D2817" s="22"/>
      <c r="E2817" s="22"/>
      <c r="F2817" s="22"/>
      <c r="G2817" s="22"/>
      <c r="H2817" s="22"/>
      <c r="I2817" s="22"/>
      <c r="J2817" s="22"/>
      <c r="K2817" s="22"/>
      <c r="L2817" s="22"/>
      <c r="M2817" s="22"/>
      <c r="N2817" s="22"/>
    </row>
    <row r="2818" spans="1:14" x14ac:dyDescent="0.3">
      <c r="A2818" s="22" t="s">
        <v>5264</v>
      </c>
      <c r="B2818" s="22">
        <v>0</v>
      </c>
      <c r="C2818" s="22"/>
      <c r="D2818" s="22"/>
      <c r="E2818" s="22"/>
      <c r="F2818" s="22"/>
      <c r="G2818" s="22"/>
      <c r="H2818" s="22"/>
      <c r="I2818" s="22"/>
      <c r="J2818" s="22"/>
      <c r="K2818" s="22"/>
      <c r="L2818" s="22"/>
      <c r="M2818" s="22"/>
      <c r="N2818" s="22"/>
    </row>
    <row r="2819" spans="1:14" x14ac:dyDescent="0.3">
      <c r="A2819" s="22" t="s">
        <v>5265</v>
      </c>
      <c r="B2819" s="22">
        <v>0</v>
      </c>
      <c r="C2819" s="22"/>
      <c r="D2819" s="22"/>
      <c r="E2819" s="22"/>
      <c r="F2819" s="22"/>
      <c r="G2819" s="22"/>
      <c r="H2819" s="22"/>
      <c r="I2819" s="22"/>
      <c r="J2819" s="22"/>
      <c r="K2819" s="22"/>
      <c r="L2819" s="22"/>
      <c r="M2819" s="22"/>
      <c r="N2819" s="22"/>
    </row>
    <row r="2820" spans="1:14" x14ac:dyDescent="0.3">
      <c r="A2820" s="22" t="s">
        <v>5266</v>
      </c>
      <c r="B2820" s="22">
        <v>0</v>
      </c>
      <c r="C2820" s="22"/>
      <c r="D2820" s="22"/>
      <c r="E2820" s="22"/>
      <c r="F2820" s="22"/>
      <c r="G2820" s="22"/>
      <c r="H2820" s="22"/>
      <c r="I2820" s="22"/>
      <c r="J2820" s="22"/>
      <c r="K2820" s="22"/>
      <c r="L2820" s="22"/>
      <c r="M2820" s="22"/>
      <c r="N2820" s="22"/>
    </row>
    <row r="2821" spans="1:14" x14ac:dyDescent="0.3">
      <c r="A2821" s="22" t="s">
        <v>5267</v>
      </c>
      <c r="B2821" s="22">
        <v>0</v>
      </c>
      <c r="C2821" s="22"/>
      <c r="D2821" s="22"/>
      <c r="E2821" s="22"/>
      <c r="F2821" s="22"/>
      <c r="G2821" s="22"/>
      <c r="H2821" s="22"/>
      <c r="I2821" s="22"/>
      <c r="J2821" s="22"/>
      <c r="K2821" s="22"/>
      <c r="L2821" s="22"/>
      <c r="M2821" s="22"/>
      <c r="N2821" s="22"/>
    </row>
    <row r="2822" spans="1:14" x14ac:dyDescent="0.3">
      <c r="A2822" s="22" t="s">
        <v>5268</v>
      </c>
      <c r="B2822" s="22">
        <v>0</v>
      </c>
      <c r="C2822" s="22"/>
      <c r="D2822" s="22"/>
      <c r="E2822" s="22"/>
      <c r="F2822" s="22"/>
      <c r="G2822" s="22"/>
      <c r="H2822" s="22"/>
      <c r="I2822" s="22"/>
      <c r="J2822" s="22"/>
      <c r="K2822" s="22"/>
      <c r="L2822" s="22"/>
      <c r="M2822" s="22"/>
      <c r="N2822" s="22"/>
    </row>
    <row r="2823" spans="1:14" x14ac:dyDescent="0.3">
      <c r="A2823" s="22" t="s">
        <v>1538</v>
      </c>
      <c r="B2823" s="22">
        <v>130</v>
      </c>
      <c r="C2823" s="22"/>
      <c r="D2823" s="22"/>
      <c r="E2823" s="22"/>
      <c r="F2823" s="22"/>
      <c r="G2823" s="22"/>
      <c r="H2823" s="22"/>
      <c r="I2823" s="22"/>
      <c r="J2823" s="22"/>
      <c r="K2823" s="22"/>
      <c r="L2823" s="22"/>
      <c r="M2823" s="22"/>
      <c r="N2823" s="22"/>
    </row>
    <row r="2824" spans="1:14" x14ac:dyDescent="0.3">
      <c r="A2824" s="22" t="s">
        <v>5233</v>
      </c>
      <c r="B2824" s="22">
        <v>41</v>
      </c>
      <c r="C2824" s="22"/>
      <c r="D2824" s="22"/>
      <c r="E2824" s="22"/>
      <c r="F2824" s="22"/>
      <c r="G2824" s="22"/>
      <c r="H2824" s="22"/>
      <c r="I2824" s="22"/>
      <c r="J2824" s="22"/>
      <c r="K2824" s="22"/>
      <c r="L2824" s="22"/>
      <c r="M2824" s="22"/>
      <c r="N2824" s="22"/>
    </row>
    <row r="2825" spans="1:14" x14ac:dyDescent="0.3">
      <c r="A2825" s="22" t="s">
        <v>5234</v>
      </c>
      <c r="B2825" s="22">
        <v>0</v>
      </c>
      <c r="C2825" s="22"/>
      <c r="D2825" s="22"/>
      <c r="E2825" s="22"/>
      <c r="F2825" s="22"/>
      <c r="G2825" s="22"/>
      <c r="H2825" s="22"/>
      <c r="I2825" s="22"/>
      <c r="J2825" s="22"/>
      <c r="K2825" s="22"/>
      <c r="L2825" s="22"/>
      <c r="M2825" s="22"/>
      <c r="N2825" s="22"/>
    </row>
    <row r="2826" spans="1:14" x14ac:dyDescent="0.3">
      <c r="A2826" s="22" t="s">
        <v>5235</v>
      </c>
      <c r="B2826" s="22">
        <v>0</v>
      </c>
      <c r="C2826" s="22"/>
      <c r="D2826" s="22"/>
      <c r="E2826" s="22"/>
      <c r="F2826" s="22"/>
      <c r="G2826" s="22"/>
      <c r="H2826" s="22"/>
      <c r="I2826" s="22"/>
      <c r="J2826" s="22"/>
      <c r="K2826" s="22"/>
      <c r="L2826" s="22"/>
      <c r="M2826" s="22"/>
      <c r="N2826" s="22"/>
    </row>
    <row r="2827" spans="1:14" x14ac:dyDescent="0.3">
      <c r="A2827" s="22" t="s">
        <v>5236</v>
      </c>
      <c r="B2827" s="22">
        <v>0</v>
      </c>
      <c r="C2827" s="22"/>
      <c r="D2827" s="22"/>
      <c r="E2827" s="22"/>
      <c r="F2827" s="22"/>
      <c r="G2827" s="22"/>
      <c r="H2827" s="22"/>
      <c r="I2827" s="22"/>
      <c r="J2827" s="22"/>
      <c r="K2827" s="22"/>
      <c r="L2827" s="22"/>
      <c r="M2827" s="22"/>
      <c r="N2827" s="22"/>
    </row>
    <row r="2828" spans="1:14" x14ac:dyDescent="0.3">
      <c r="A2828" s="22" t="s">
        <v>5237</v>
      </c>
      <c r="B2828" s="22">
        <v>0</v>
      </c>
      <c r="C2828" s="22"/>
      <c r="D2828" s="22"/>
      <c r="E2828" s="22"/>
      <c r="F2828" s="22"/>
      <c r="G2828" s="22"/>
      <c r="H2828" s="22"/>
      <c r="I2828" s="22"/>
      <c r="J2828" s="22"/>
      <c r="K2828" s="22"/>
      <c r="L2828" s="22"/>
      <c r="M2828" s="22"/>
      <c r="N2828" s="22"/>
    </row>
    <row r="2829" spans="1:14" x14ac:dyDescent="0.3">
      <c r="A2829" s="22" t="s">
        <v>5238</v>
      </c>
      <c r="B2829" s="22">
        <v>0</v>
      </c>
      <c r="C2829" s="22"/>
      <c r="D2829" s="22"/>
      <c r="E2829" s="22"/>
      <c r="F2829" s="22"/>
      <c r="G2829" s="22"/>
      <c r="H2829" s="22"/>
      <c r="I2829" s="22"/>
      <c r="J2829" s="22"/>
      <c r="K2829" s="22"/>
      <c r="L2829" s="22"/>
      <c r="M2829" s="22"/>
      <c r="N2829" s="22"/>
    </row>
    <row r="2830" spans="1:14" x14ac:dyDescent="0.3">
      <c r="A2830" s="22" t="s">
        <v>5239</v>
      </c>
      <c r="B2830" s="22">
        <v>0</v>
      </c>
      <c r="C2830" s="22"/>
      <c r="D2830" s="22"/>
      <c r="E2830" s="22"/>
      <c r="F2830" s="22"/>
      <c r="G2830" s="22"/>
      <c r="H2830" s="22"/>
      <c r="I2830" s="22"/>
      <c r="J2830" s="22"/>
      <c r="K2830" s="22"/>
      <c r="L2830" s="22"/>
      <c r="M2830" s="22"/>
      <c r="N2830" s="22"/>
    </row>
    <row r="2831" spans="1:14" x14ac:dyDescent="0.3">
      <c r="A2831" s="22" t="s">
        <v>1334</v>
      </c>
      <c r="B2831" s="22">
        <v>115</v>
      </c>
      <c r="C2831" s="22"/>
      <c r="D2831" s="22"/>
      <c r="E2831" s="22"/>
      <c r="F2831" s="22"/>
      <c r="G2831" s="22"/>
      <c r="H2831" s="22"/>
      <c r="I2831" s="22"/>
      <c r="J2831" s="22"/>
      <c r="K2831" s="22"/>
      <c r="L2831" s="22"/>
      <c r="M2831" s="22"/>
      <c r="N2831" s="22"/>
    </row>
    <row r="2832" spans="1:14" x14ac:dyDescent="0.3">
      <c r="A2832" s="22" t="s">
        <v>5240</v>
      </c>
      <c r="B2832" s="22">
        <v>33</v>
      </c>
      <c r="C2832" s="22"/>
      <c r="D2832" s="22"/>
      <c r="E2832" s="22"/>
      <c r="F2832" s="22"/>
      <c r="G2832" s="22"/>
      <c r="H2832" s="22"/>
      <c r="I2832" s="22"/>
      <c r="J2832" s="22"/>
      <c r="K2832" s="22"/>
      <c r="L2832" s="22"/>
      <c r="M2832" s="22"/>
      <c r="N2832" s="22"/>
    </row>
    <row r="2833" spans="1:14" x14ac:dyDescent="0.3">
      <c r="A2833" s="22" t="s">
        <v>5241</v>
      </c>
      <c r="B2833" s="22">
        <v>0</v>
      </c>
      <c r="C2833" s="22"/>
      <c r="D2833" s="22"/>
      <c r="E2833" s="22"/>
      <c r="F2833" s="22"/>
      <c r="G2833" s="22"/>
      <c r="H2833" s="22"/>
      <c r="I2833" s="22"/>
      <c r="J2833" s="22"/>
      <c r="K2833" s="22"/>
      <c r="L2833" s="22"/>
      <c r="M2833" s="22"/>
      <c r="N2833" s="22"/>
    </row>
    <row r="2834" spans="1:14" x14ac:dyDescent="0.3">
      <c r="A2834" s="22" t="s">
        <v>5242</v>
      </c>
      <c r="B2834" s="22">
        <v>0</v>
      </c>
      <c r="C2834" s="22"/>
      <c r="D2834" s="22"/>
      <c r="E2834" s="22"/>
      <c r="F2834" s="22"/>
      <c r="G2834" s="22"/>
      <c r="H2834" s="22"/>
      <c r="I2834" s="22"/>
      <c r="J2834" s="22"/>
      <c r="K2834" s="22"/>
      <c r="L2834" s="22"/>
      <c r="M2834" s="22"/>
      <c r="N2834" s="22"/>
    </row>
    <row r="2835" spans="1:14" x14ac:dyDescent="0.3">
      <c r="A2835" s="22" t="s">
        <v>5243</v>
      </c>
      <c r="B2835" s="22">
        <v>0</v>
      </c>
      <c r="C2835" s="22"/>
      <c r="D2835" s="22"/>
      <c r="E2835" s="22"/>
      <c r="F2835" s="22"/>
      <c r="G2835" s="22"/>
      <c r="H2835" s="22"/>
      <c r="I2835" s="22"/>
      <c r="J2835" s="22"/>
      <c r="K2835" s="22"/>
      <c r="L2835" s="22"/>
      <c r="M2835" s="22"/>
      <c r="N2835" s="22"/>
    </row>
    <row r="2836" spans="1:14" x14ac:dyDescent="0.3">
      <c r="A2836" s="22" t="s">
        <v>5244</v>
      </c>
      <c r="B2836" s="22">
        <v>0</v>
      </c>
      <c r="C2836" s="22"/>
      <c r="D2836" s="22"/>
      <c r="E2836" s="22"/>
      <c r="F2836" s="22"/>
      <c r="G2836" s="22"/>
      <c r="H2836" s="22"/>
      <c r="I2836" s="22"/>
      <c r="J2836" s="22"/>
      <c r="K2836" s="22"/>
      <c r="L2836" s="22"/>
      <c r="M2836" s="22"/>
      <c r="N2836" s="22"/>
    </row>
    <row r="2837" spans="1:14" x14ac:dyDescent="0.3">
      <c r="A2837" s="22" t="s">
        <v>5245</v>
      </c>
      <c r="B2837" s="22">
        <v>0</v>
      </c>
      <c r="C2837" s="22"/>
      <c r="D2837" s="22"/>
      <c r="E2837" s="22"/>
      <c r="F2837" s="22"/>
      <c r="G2837" s="22"/>
      <c r="H2837" s="22"/>
      <c r="I2837" s="22"/>
      <c r="J2837" s="22"/>
      <c r="K2837" s="22"/>
      <c r="L2837" s="22"/>
      <c r="M2837" s="22"/>
      <c r="N2837" s="22"/>
    </row>
    <row r="2838" spans="1:14" x14ac:dyDescent="0.3">
      <c r="A2838" s="22" t="s">
        <v>5246</v>
      </c>
      <c r="B2838" s="22">
        <v>0</v>
      </c>
      <c r="C2838" s="22"/>
      <c r="D2838" s="22"/>
      <c r="E2838" s="22"/>
      <c r="F2838" s="22"/>
      <c r="G2838" s="22"/>
      <c r="H2838" s="22"/>
      <c r="I2838" s="22"/>
      <c r="J2838" s="22"/>
      <c r="K2838" s="22"/>
      <c r="L2838" s="22"/>
      <c r="M2838" s="22"/>
      <c r="N2838" s="22"/>
    </row>
    <row r="2839" spans="1:14" x14ac:dyDescent="0.3">
      <c r="A2839" s="22" t="s">
        <v>1539</v>
      </c>
      <c r="B2839" s="22">
        <v>2</v>
      </c>
      <c r="C2839" s="22"/>
      <c r="D2839" s="22"/>
      <c r="E2839" s="22"/>
      <c r="F2839" s="22"/>
      <c r="G2839" s="22"/>
      <c r="H2839" s="22"/>
      <c r="I2839" s="22"/>
      <c r="J2839" s="22"/>
      <c r="K2839" s="22"/>
      <c r="L2839" s="22"/>
      <c r="M2839" s="22"/>
      <c r="N2839" s="22"/>
    </row>
    <row r="2840" spans="1:14" x14ac:dyDescent="0.3">
      <c r="A2840" s="22" t="s">
        <v>5283</v>
      </c>
      <c r="B2840" s="22">
        <v>0</v>
      </c>
      <c r="C2840" s="22"/>
      <c r="D2840" s="22"/>
      <c r="E2840" s="22"/>
      <c r="F2840" s="22"/>
      <c r="G2840" s="22"/>
      <c r="H2840" s="22"/>
      <c r="I2840" s="22"/>
      <c r="J2840" s="22"/>
      <c r="K2840" s="22"/>
      <c r="L2840" s="22"/>
      <c r="M2840" s="22"/>
      <c r="N2840" s="22"/>
    </row>
    <row r="2841" spans="1:14" x14ac:dyDescent="0.3">
      <c r="A2841" s="22" t="s">
        <v>5284</v>
      </c>
      <c r="B2841" s="22">
        <v>0</v>
      </c>
      <c r="C2841" s="22"/>
      <c r="D2841" s="22"/>
      <c r="E2841" s="22"/>
      <c r="F2841" s="22"/>
      <c r="G2841" s="22"/>
      <c r="H2841" s="22"/>
      <c r="I2841" s="22"/>
      <c r="J2841" s="22"/>
      <c r="K2841" s="22"/>
      <c r="L2841" s="22"/>
      <c r="M2841" s="22"/>
      <c r="N2841" s="22"/>
    </row>
    <row r="2842" spans="1:14" x14ac:dyDescent="0.3">
      <c r="A2842" s="22" t="s">
        <v>5285</v>
      </c>
      <c r="B2842" s="22">
        <v>0</v>
      </c>
      <c r="C2842" s="22"/>
      <c r="D2842" s="22"/>
      <c r="E2842" s="22"/>
      <c r="F2842" s="22"/>
      <c r="G2842" s="22"/>
      <c r="H2842" s="22"/>
      <c r="I2842" s="22"/>
      <c r="J2842" s="22"/>
      <c r="K2842" s="22"/>
      <c r="L2842" s="22"/>
      <c r="M2842" s="22"/>
      <c r="N2842" s="22"/>
    </row>
    <row r="2843" spans="1:14" x14ac:dyDescent="0.3">
      <c r="A2843" s="22" t="s">
        <v>5286</v>
      </c>
      <c r="B2843" s="22">
        <v>0</v>
      </c>
      <c r="C2843" s="22"/>
      <c r="D2843" s="22"/>
      <c r="E2843" s="22"/>
      <c r="F2843" s="22"/>
      <c r="G2843" s="22"/>
      <c r="H2843" s="22"/>
      <c r="I2843" s="22"/>
      <c r="J2843" s="22"/>
      <c r="K2843" s="22"/>
      <c r="L2843" s="22"/>
      <c r="M2843" s="22"/>
      <c r="N2843" s="22"/>
    </row>
    <row r="2844" spans="1:14" x14ac:dyDescent="0.3">
      <c r="A2844" s="22" t="s">
        <v>5287</v>
      </c>
      <c r="B2844" s="22">
        <v>0</v>
      </c>
      <c r="C2844" s="22"/>
      <c r="D2844" s="22"/>
      <c r="E2844" s="22"/>
      <c r="F2844" s="22"/>
      <c r="G2844" s="22"/>
      <c r="H2844" s="22"/>
      <c r="I2844" s="22"/>
      <c r="J2844" s="22"/>
      <c r="K2844" s="22"/>
      <c r="L2844" s="22"/>
      <c r="M2844" s="22"/>
      <c r="N2844" s="22"/>
    </row>
    <row r="2845" spans="1:14" x14ac:dyDescent="0.3">
      <c r="A2845" s="22" t="s">
        <v>5288</v>
      </c>
      <c r="B2845" s="22">
        <v>0</v>
      </c>
      <c r="C2845" s="22"/>
      <c r="D2845" s="22"/>
      <c r="E2845" s="22"/>
      <c r="F2845" s="22"/>
      <c r="G2845" s="22"/>
      <c r="H2845" s="22"/>
      <c r="I2845" s="22"/>
      <c r="J2845" s="22"/>
      <c r="K2845" s="22"/>
      <c r="L2845" s="22"/>
      <c r="M2845" s="22"/>
      <c r="N2845" s="22"/>
    </row>
    <row r="2846" spans="1:14" x14ac:dyDescent="0.3">
      <c r="A2846" s="22" t="s">
        <v>5289</v>
      </c>
      <c r="B2846" s="22">
        <v>0</v>
      </c>
      <c r="C2846" s="22"/>
      <c r="D2846" s="22"/>
      <c r="E2846" s="22"/>
      <c r="F2846" s="22"/>
      <c r="G2846" s="22"/>
      <c r="H2846" s="22"/>
      <c r="I2846" s="22"/>
      <c r="J2846" s="22"/>
      <c r="K2846" s="22"/>
      <c r="L2846" s="22"/>
      <c r="M2846" s="22"/>
      <c r="N2846" s="22"/>
    </row>
    <row r="2847" spans="1:14" x14ac:dyDescent="0.3">
      <c r="A2847" s="22" t="s">
        <v>1542</v>
      </c>
      <c r="B2847" s="22">
        <v>72</v>
      </c>
      <c r="C2847" s="22"/>
      <c r="D2847" s="22"/>
      <c r="E2847" s="22"/>
      <c r="F2847" s="22"/>
      <c r="G2847" s="22"/>
      <c r="H2847" s="22"/>
      <c r="I2847" s="22"/>
      <c r="J2847" s="22"/>
      <c r="K2847" s="22"/>
      <c r="L2847" s="22"/>
      <c r="M2847" s="22"/>
      <c r="N2847" s="22"/>
    </row>
    <row r="2848" spans="1:14" x14ac:dyDescent="0.3">
      <c r="A2848" s="22" t="s">
        <v>5903</v>
      </c>
      <c r="B2848" s="22">
        <v>0</v>
      </c>
      <c r="C2848" s="22"/>
      <c r="D2848" s="22"/>
      <c r="E2848" s="22"/>
      <c r="F2848" s="22"/>
      <c r="G2848" s="22"/>
      <c r="H2848" s="22"/>
      <c r="I2848" s="22"/>
      <c r="J2848" s="22"/>
      <c r="K2848" s="22"/>
      <c r="L2848" s="22"/>
      <c r="M2848" s="22"/>
      <c r="N2848" s="22"/>
    </row>
    <row r="2849" spans="1:14" x14ac:dyDescent="0.3">
      <c r="A2849" s="22" t="s">
        <v>5904</v>
      </c>
      <c r="B2849" s="22">
        <v>0</v>
      </c>
      <c r="C2849" s="22"/>
      <c r="D2849" s="22"/>
      <c r="E2849" s="22"/>
      <c r="F2849" s="22"/>
      <c r="G2849" s="22"/>
      <c r="H2849" s="22"/>
      <c r="I2849" s="22"/>
      <c r="J2849" s="22"/>
      <c r="K2849" s="22"/>
      <c r="L2849" s="22"/>
      <c r="M2849" s="22"/>
      <c r="N2849" s="22"/>
    </row>
    <row r="2850" spans="1:14" x14ac:dyDescent="0.3">
      <c r="A2850" s="22" t="s">
        <v>5905</v>
      </c>
      <c r="B2850" s="22">
        <v>0</v>
      </c>
      <c r="C2850" s="22"/>
      <c r="D2850" s="22"/>
      <c r="E2850" s="22"/>
      <c r="F2850" s="22"/>
      <c r="G2850" s="22"/>
      <c r="H2850" s="22"/>
      <c r="I2850" s="22"/>
      <c r="J2850" s="22"/>
      <c r="K2850" s="22"/>
      <c r="L2850" s="22"/>
      <c r="M2850" s="22"/>
      <c r="N2850" s="22"/>
    </row>
    <row r="2851" spans="1:14" x14ac:dyDescent="0.3">
      <c r="A2851" s="22" t="s">
        <v>5906</v>
      </c>
      <c r="B2851" s="22">
        <v>0</v>
      </c>
      <c r="C2851" s="22"/>
      <c r="D2851" s="22"/>
      <c r="E2851" s="22"/>
      <c r="F2851" s="22"/>
      <c r="G2851" s="22"/>
      <c r="H2851" s="22"/>
      <c r="I2851" s="22"/>
      <c r="J2851" s="22"/>
      <c r="K2851" s="22"/>
      <c r="L2851" s="22"/>
      <c r="M2851" s="22"/>
      <c r="N2851" s="22"/>
    </row>
    <row r="2852" spans="1:14" x14ac:dyDescent="0.3">
      <c r="A2852" s="22" t="s">
        <v>5907</v>
      </c>
      <c r="B2852" s="22">
        <v>0</v>
      </c>
      <c r="C2852" s="22"/>
      <c r="D2852" s="22"/>
      <c r="E2852" s="22"/>
      <c r="F2852" s="22"/>
      <c r="G2852" s="22"/>
      <c r="H2852" s="22"/>
      <c r="I2852" s="22"/>
      <c r="J2852" s="22"/>
      <c r="K2852" s="22"/>
      <c r="L2852" s="22"/>
      <c r="M2852" s="22"/>
      <c r="N2852" s="22"/>
    </row>
    <row r="2853" spans="1:14" x14ac:dyDescent="0.3">
      <c r="A2853" s="22" t="s">
        <v>5908</v>
      </c>
      <c r="B2853" s="22">
        <v>0</v>
      </c>
      <c r="C2853" s="22"/>
      <c r="D2853" s="22"/>
      <c r="E2853" s="22"/>
      <c r="F2853" s="22"/>
      <c r="G2853" s="22"/>
      <c r="H2853" s="22"/>
      <c r="I2853" s="22"/>
      <c r="J2853" s="22"/>
      <c r="K2853" s="22"/>
      <c r="L2853" s="22"/>
      <c r="M2853" s="22"/>
      <c r="N2853" s="22"/>
    </row>
    <row r="2854" spans="1:14" x14ac:dyDescent="0.3">
      <c r="A2854" s="22" t="s">
        <v>5909</v>
      </c>
      <c r="B2854" s="22">
        <v>0</v>
      </c>
      <c r="C2854" s="22"/>
      <c r="D2854" s="22"/>
      <c r="E2854" s="22"/>
      <c r="F2854" s="22"/>
      <c r="G2854" s="22"/>
      <c r="H2854" s="22"/>
      <c r="I2854" s="22"/>
      <c r="J2854" s="22"/>
      <c r="K2854" s="22"/>
      <c r="L2854" s="22"/>
      <c r="M2854" s="22"/>
      <c r="N2854" s="22"/>
    </row>
    <row r="2855" spans="1:14" x14ac:dyDescent="0.3">
      <c r="A2855" s="22" t="s">
        <v>1336</v>
      </c>
      <c r="B2855" s="22">
        <v>7</v>
      </c>
      <c r="C2855" s="22"/>
      <c r="D2855" s="22"/>
      <c r="E2855" s="22"/>
      <c r="F2855" s="22"/>
      <c r="G2855" s="22"/>
      <c r="H2855" s="22"/>
      <c r="I2855" s="22"/>
      <c r="J2855" s="22"/>
      <c r="K2855" s="22"/>
      <c r="L2855" s="22"/>
      <c r="M2855" s="22"/>
      <c r="N2855" s="22"/>
    </row>
    <row r="2856" spans="1:14" x14ac:dyDescent="0.3">
      <c r="A2856" s="22" t="s">
        <v>5290</v>
      </c>
      <c r="B2856" s="22">
        <v>0</v>
      </c>
      <c r="C2856" s="22"/>
      <c r="D2856" s="22"/>
      <c r="E2856" s="22"/>
      <c r="F2856" s="22"/>
      <c r="G2856" s="22"/>
      <c r="H2856" s="22"/>
      <c r="I2856" s="22"/>
      <c r="J2856" s="22"/>
      <c r="K2856" s="22"/>
      <c r="L2856" s="22"/>
      <c r="M2856" s="22"/>
      <c r="N2856" s="22"/>
    </row>
    <row r="2857" spans="1:14" x14ac:dyDescent="0.3">
      <c r="A2857" s="22" t="s">
        <v>5291</v>
      </c>
      <c r="B2857" s="22">
        <v>0</v>
      </c>
      <c r="C2857" s="22"/>
      <c r="D2857" s="22"/>
      <c r="E2857" s="22"/>
      <c r="F2857" s="22"/>
      <c r="G2857" s="22"/>
      <c r="H2857" s="22"/>
      <c r="I2857" s="22"/>
      <c r="J2857" s="22"/>
      <c r="K2857" s="22"/>
      <c r="L2857" s="22"/>
      <c r="M2857" s="22"/>
      <c r="N2857" s="22"/>
    </row>
    <row r="2858" spans="1:14" x14ac:dyDescent="0.3">
      <c r="A2858" s="22" t="s">
        <v>5292</v>
      </c>
      <c r="B2858" s="22">
        <v>0</v>
      </c>
      <c r="C2858" s="22"/>
      <c r="D2858" s="22"/>
      <c r="E2858" s="22"/>
      <c r="F2858" s="22"/>
      <c r="G2858" s="22"/>
      <c r="H2858" s="22"/>
      <c r="I2858" s="22"/>
      <c r="J2858" s="22"/>
      <c r="K2858" s="22"/>
      <c r="L2858" s="22"/>
      <c r="M2858" s="22"/>
      <c r="N2858" s="22"/>
    </row>
    <row r="2859" spans="1:14" x14ac:dyDescent="0.3">
      <c r="A2859" s="22" t="s">
        <v>5293</v>
      </c>
      <c r="B2859" s="22">
        <v>0</v>
      </c>
      <c r="C2859" s="22"/>
      <c r="D2859" s="22"/>
      <c r="E2859" s="22"/>
      <c r="F2859" s="22"/>
      <c r="G2859" s="22"/>
      <c r="H2859" s="22"/>
      <c r="I2859" s="22"/>
      <c r="J2859" s="22"/>
      <c r="K2859" s="22"/>
      <c r="L2859" s="22"/>
      <c r="M2859" s="22"/>
      <c r="N2859" s="22"/>
    </row>
    <row r="2860" spans="1:14" x14ac:dyDescent="0.3">
      <c r="A2860" s="22" t="s">
        <v>5294</v>
      </c>
      <c r="B2860" s="22">
        <v>0</v>
      </c>
      <c r="C2860" s="22"/>
      <c r="D2860" s="22"/>
      <c r="E2860" s="22"/>
      <c r="F2860" s="22"/>
      <c r="G2860" s="22"/>
      <c r="H2860" s="22"/>
      <c r="I2860" s="22"/>
      <c r="J2860" s="22"/>
      <c r="K2860" s="22"/>
      <c r="L2860" s="22"/>
      <c r="M2860" s="22"/>
      <c r="N2860" s="22"/>
    </row>
    <row r="2861" spans="1:14" x14ac:dyDescent="0.3">
      <c r="A2861" s="22" t="s">
        <v>5295</v>
      </c>
      <c r="B2861" s="22">
        <v>0</v>
      </c>
      <c r="C2861" s="22"/>
      <c r="D2861" s="22"/>
      <c r="E2861" s="22"/>
      <c r="F2861" s="22"/>
      <c r="G2861" s="22"/>
      <c r="H2861" s="22"/>
      <c r="I2861" s="22"/>
      <c r="J2861" s="22"/>
      <c r="K2861" s="22"/>
      <c r="L2861" s="22"/>
      <c r="M2861" s="22"/>
      <c r="N2861" s="22"/>
    </row>
    <row r="2862" spans="1:14" x14ac:dyDescent="0.3">
      <c r="A2862" s="22" t="s">
        <v>5296</v>
      </c>
      <c r="B2862" s="22">
        <v>0</v>
      </c>
      <c r="C2862" s="22"/>
      <c r="D2862" s="22"/>
      <c r="E2862" s="22"/>
      <c r="F2862" s="22"/>
      <c r="G2862" s="22"/>
      <c r="H2862" s="22"/>
      <c r="I2862" s="22"/>
      <c r="J2862" s="22"/>
      <c r="K2862" s="22"/>
      <c r="L2862" s="22"/>
      <c r="M2862" s="22"/>
      <c r="N2862" s="22"/>
    </row>
    <row r="2863" spans="1:14" x14ac:dyDescent="0.3">
      <c r="A2863" s="22" t="s">
        <v>1543</v>
      </c>
      <c r="B2863" s="22">
        <v>1</v>
      </c>
      <c r="C2863" s="22"/>
      <c r="D2863" s="22"/>
      <c r="E2863" s="22"/>
      <c r="F2863" s="22"/>
      <c r="G2863" s="22"/>
      <c r="H2863" s="22"/>
      <c r="I2863" s="22"/>
      <c r="J2863" s="22"/>
      <c r="K2863" s="22"/>
      <c r="L2863" s="22"/>
      <c r="M2863" s="22"/>
      <c r="N2863" s="22"/>
    </row>
    <row r="2864" spans="1:14" x14ac:dyDescent="0.3">
      <c r="A2864" s="22" t="s">
        <v>5458</v>
      </c>
      <c r="B2864" s="22">
        <v>0</v>
      </c>
      <c r="C2864" s="22"/>
      <c r="D2864" s="22"/>
      <c r="E2864" s="22"/>
      <c r="F2864" s="22"/>
      <c r="G2864" s="22"/>
      <c r="H2864" s="22"/>
      <c r="I2864" s="22"/>
      <c r="J2864" s="22"/>
      <c r="K2864" s="22"/>
      <c r="L2864" s="22"/>
      <c r="M2864" s="22"/>
      <c r="N2864" s="22"/>
    </row>
    <row r="2865" spans="1:14" x14ac:dyDescent="0.3">
      <c r="A2865" s="22" t="s">
        <v>5459</v>
      </c>
      <c r="B2865" s="22">
        <v>0</v>
      </c>
      <c r="C2865" s="22"/>
      <c r="D2865" s="22"/>
      <c r="E2865" s="22"/>
      <c r="F2865" s="22"/>
      <c r="G2865" s="22"/>
      <c r="H2865" s="22"/>
      <c r="I2865" s="22"/>
      <c r="J2865" s="22"/>
      <c r="K2865" s="22"/>
      <c r="L2865" s="22"/>
      <c r="M2865" s="22"/>
      <c r="N2865" s="22"/>
    </row>
    <row r="2866" spans="1:14" x14ac:dyDescent="0.3">
      <c r="A2866" s="22" t="s">
        <v>5460</v>
      </c>
      <c r="B2866" s="22">
        <v>0</v>
      </c>
      <c r="C2866" s="22"/>
      <c r="D2866" s="22"/>
      <c r="E2866" s="22"/>
      <c r="F2866" s="22"/>
      <c r="G2866" s="22"/>
      <c r="H2866" s="22"/>
      <c r="I2866" s="22"/>
      <c r="J2866" s="22"/>
      <c r="K2866" s="22"/>
      <c r="L2866" s="22"/>
      <c r="M2866" s="22"/>
      <c r="N2866" s="22"/>
    </row>
    <row r="2867" spans="1:14" x14ac:dyDescent="0.3">
      <c r="A2867" s="22" t="s">
        <v>5461</v>
      </c>
      <c r="B2867" s="22">
        <v>0</v>
      </c>
      <c r="C2867" s="22"/>
      <c r="D2867" s="22"/>
      <c r="E2867" s="22"/>
      <c r="F2867" s="22"/>
      <c r="G2867" s="22"/>
      <c r="H2867" s="22"/>
      <c r="I2867" s="22"/>
      <c r="J2867" s="22"/>
      <c r="K2867" s="22"/>
      <c r="L2867" s="22"/>
      <c r="M2867" s="22"/>
      <c r="N2867" s="22"/>
    </row>
    <row r="2868" spans="1:14" x14ac:dyDescent="0.3">
      <c r="A2868" s="22" t="s">
        <v>5462</v>
      </c>
      <c r="B2868" s="22">
        <v>0</v>
      </c>
      <c r="C2868" s="22"/>
      <c r="D2868" s="22"/>
      <c r="E2868" s="22"/>
      <c r="F2868" s="22"/>
      <c r="G2868" s="22"/>
      <c r="H2868" s="22"/>
      <c r="I2868" s="22"/>
      <c r="J2868" s="22"/>
      <c r="K2868" s="22"/>
      <c r="L2868" s="22"/>
      <c r="M2868" s="22"/>
      <c r="N2868" s="22"/>
    </row>
    <row r="2869" spans="1:14" x14ac:dyDescent="0.3">
      <c r="A2869" s="22" t="s">
        <v>5463</v>
      </c>
      <c r="B2869" s="22">
        <v>0</v>
      </c>
      <c r="C2869" s="22"/>
      <c r="D2869" s="22"/>
      <c r="E2869" s="22"/>
      <c r="F2869" s="22"/>
      <c r="G2869" s="22"/>
      <c r="H2869" s="22"/>
      <c r="I2869" s="22"/>
      <c r="J2869" s="22"/>
      <c r="K2869" s="22"/>
      <c r="L2869" s="22"/>
      <c r="M2869" s="22"/>
      <c r="N2869" s="22"/>
    </row>
    <row r="2870" spans="1:14" x14ac:dyDescent="0.3">
      <c r="A2870" s="22" t="s">
        <v>5464</v>
      </c>
      <c r="B2870" s="22">
        <v>0</v>
      </c>
      <c r="C2870" s="22"/>
      <c r="D2870" s="22"/>
      <c r="E2870" s="22"/>
      <c r="F2870" s="22"/>
      <c r="G2870" s="22"/>
      <c r="H2870" s="22"/>
      <c r="I2870" s="22"/>
      <c r="J2870" s="22"/>
      <c r="K2870" s="22"/>
      <c r="L2870" s="22"/>
      <c r="M2870" s="22"/>
      <c r="N2870" s="22"/>
    </row>
    <row r="2871" spans="1:14" x14ac:dyDescent="0.3">
      <c r="A2871" s="22" t="s">
        <v>1546</v>
      </c>
      <c r="B2871" s="22">
        <v>123</v>
      </c>
      <c r="C2871" s="22"/>
      <c r="D2871" s="22"/>
      <c r="E2871" s="22"/>
      <c r="F2871" s="22"/>
      <c r="G2871" s="22"/>
      <c r="H2871" s="22"/>
      <c r="I2871" s="22"/>
      <c r="J2871" s="22"/>
      <c r="K2871" s="22"/>
      <c r="L2871" s="22"/>
      <c r="M2871" s="22"/>
      <c r="N2871" s="22"/>
    </row>
    <row r="2872" spans="1:14" x14ac:dyDescent="0.3">
      <c r="A2872" s="22" t="s">
        <v>5549</v>
      </c>
      <c r="B2872" s="22">
        <v>0</v>
      </c>
      <c r="C2872" s="22"/>
      <c r="D2872" s="22"/>
      <c r="E2872" s="22"/>
      <c r="F2872" s="22"/>
      <c r="G2872" s="22"/>
      <c r="H2872" s="22"/>
      <c r="I2872" s="22"/>
      <c r="J2872" s="22"/>
      <c r="K2872" s="22"/>
      <c r="L2872" s="22"/>
      <c r="M2872" s="22"/>
      <c r="N2872" s="22"/>
    </row>
    <row r="2873" spans="1:14" x14ac:dyDescent="0.3">
      <c r="A2873" s="22" t="s">
        <v>5550</v>
      </c>
      <c r="B2873" s="22">
        <v>0</v>
      </c>
      <c r="C2873" s="22"/>
      <c r="D2873" s="22"/>
      <c r="E2873" s="22"/>
      <c r="F2873" s="22"/>
      <c r="G2873" s="22"/>
      <c r="H2873" s="22"/>
      <c r="I2873" s="22"/>
      <c r="J2873" s="22"/>
      <c r="K2873" s="22"/>
      <c r="L2873" s="22"/>
      <c r="M2873" s="22"/>
      <c r="N2873" s="22"/>
    </row>
    <row r="2874" spans="1:14" x14ac:dyDescent="0.3">
      <c r="A2874" s="22" t="s">
        <v>5551</v>
      </c>
      <c r="B2874" s="22">
        <v>0</v>
      </c>
      <c r="C2874" s="22"/>
      <c r="D2874" s="22"/>
      <c r="E2874" s="22"/>
      <c r="F2874" s="22"/>
      <c r="G2874" s="22"/>
      <c r="H2874" s="22"/>
      <c r="I2874" s="22"/>
      <c r="J2874" s="22"/>
      <c r="K2874" s="22"/>
      <c r="L2874" s="22"/>
      <c r="M2874" s="22"/>
      <c r="N2874" s="22"/>
    </row>
    <row r="2875" spans="1:14" x14ac:dyDescent="0.3">
      <c r="A2875" s="22" t="s">
        <v>5552</v>
      </c>
      <c r="B2875" s="22">
        <v>0</v>
      </c>
      <c r="C2875" s="22"/>
      <c r="D2875" s="22"/>
      <c r="E2875" s="22"/>
      <c r="F2875" s="22"/>
      <c r="G2875" s="22"/>
      <c r="H2875" s="22"/>
      <c r="I2875" s="22"/>
      <c r="J2875" s="22"/>
      <c r="K2875" s="22"/>
      <c r="L2875" s="22"/>
      <c r="M2875" s="22"/>
      <c r="N2875" s="22"/>
    </row>
    <row r="2876" spans="1:14" x14ac:dyDescent="0.3">
      <c r="A2876" s="22" t="s">
        <v>5553</v>
      </c>
      <c r="B2876" s="22">
        <v>0</v>
      </c>
      <c r="C2876" s="22"/>
      <c r="D2876" s="22"/>
      <c r="E2876" s="22"/>
      <c r="F2876" s="22"/>
      <c r="G2876" s="22"/>
      <c r="H2876" s="22"/>
      <c r="I2876" s="22"/>
      <c r="J2876" s="22"/>
      <c r="K2876" s="22"/>
      <c r="L2876" s="22"/>
      <c r="M2876" s="22"/>
      <c r="N2876" s="22"/>
    </row>
    <row r="2877" spans="1:14" x14ac:dyDescent="0.3">
      <c r="A2877" s="22" t="s">
        <v>5554</v>
      </c>
      <c r="B2877" s="22">
        <v>0</v>
      </c>
      <c r="C2877" s="22"/>
      <c r="D2877" s="22"/>
      <c r="E2877" s="22"/>
      <c r="F2877" s="22"/>
      <c r="G2877" s="22"/>
      <c r="H2877" s="22"/>
      <c r="I2877" s="22"/>
      <c r="J2877" s="22"/>
      <c r="K2877" s="22"/>
      <c r="L2877" s="22"/>
      <c r="M2877" s="22"/>
      <c r="N2877" s="22"/>
    </row>
    <row r="2878" spans="1:14" x14ac:dyDescent="0.3">
      <c r="A2878" s="22" t="s">
        <v>5555</v>
      </c>
      <c r="B2878" s="22">
        <v>0</v>
      </c>
      <c r="C2878" s="22"/>
      <c r="D2878" s="22"/>
      <c r="E2878" s="22"/>
      <c r="F2878" s="22"/>
      <c r="G2878" s="22"/>
      <c r="H2878" s="22"/>
      <c r="I2878" s="22"/>
      <c r="J2878" s="22"/>
      <c r="K2878" s="22"/>
      <c r="L2878" s="22"/>
      <c r="M2878" s="22"/>
      <c r="N2878" s="22"/>
    </row>
    <row r="2879" spans="1:14" x14ac:dyDescent="0.3">
      <c r="A2879" s="22" t="s">
        <v>1338</v>
      </c>
      <c r="B2879" s="22">
        <v>3</v>
      </c>
      <c r="C2879" s="22"/>
      <c r="D2879" s="22"/>
      <c r="E2879" s="22"/>
      <c r="F2879" s="22"/>
      <c r="G2879" s="22"/>
      <c r="H2879" s="22"/>
      <c r="I2879" s="22"/>
      <c r="J2879" s="22"/>
      <c r="K2879" s="22"/>
      <c r="L2879" s="22"/>
      <c r="M2879" s="22"/>
      <c r="N2879" s="22"/>
    </row>
    <row r="2880" spans="1:14" x14ac:dyDescent="0.3">
      <c r="A2880" s="22" t="s">
        <v>5588</v>
      </c>
      <c r="B2880" s="22">
        <v>0</v>
      </c>
      <c r="C2880" s="22"/>
      <c r="D2880" s="22"/>
      <c r="E2880" s="22"/>
      <c r="F2880" s="22"/>
      <c r="G2880" s="22"/>
      <c r="H2880" s="22"/>
      <c r="I2880" s="22"/>
      <c r="J2880" s="22"/>
      <c r="K2880" s="22"/>
      <c r="L2880" s="22"/>
      <c r="M2880" s="22"/>
      <c r="N2880" s="22"/>
    </row>
    <row r="2881" spans="1:14" x14ac:dyDescent="0.3">
      <c r="A2881" s="22" t="s">
        <v>5589</v>
      </c>
      <c r="B2881" s="22">
        <v>0</v>
      </c>
      <c r="C2881" s="22"/>
      <c r="D2881" s="22"/>
      <c r="E2881" s="22"/>
      <c r="F2881" s="22"/>
      <c r="G2881" s="22"/>
      <c r="H2881" s="22"/>
      <c r="I2881" s="22"/>
      <c r="J2881" s="22"/>
      <c r="K2881" s="22"/>
      <c r="L2881" s="22"/>
      <c r="M2881" s="22"/>
      <c r="N2881" s="22"/>
    </row>
    <row r="2882" spans="1:14" x14ac:dyDescent="0.3">
      <c r="A2882" s="22" t="s">
        <v>5590</v>
      </c>
      <c r="B2882" s="22">
        <v>0</v>
      </c>
      <c r="C2882" s="22"/>
      <c r="D2882" s="22"/>
      <c r="E2882" s="22"/>
      <c r="F2882" s="22"/>
      <c r="G2882" s="22"/>
      <c r="H2882" s="22"/>
      <c r="I2882" s="22"/>
      <c r="J2882" s="22"/>
      <c r="K2882" s="22"/>
      <c r="L2882" s="22"/>
      <c r="M2882" s="22"/>
      <c r="N2882" s="22"/>
    </row>
    <row r="2883" spans="1:14" x14ac:dyDescent="0.3">
      <c r="A2883" s="22" t="s">
        <v>5591</v>
      </c>
      <c r="B2883" s="22">
        <v>0</v>
      </c>
      <c r="C2883" s="22"/>
      <c r="D2883" s="22"/>
      <c r="E2883" s="22"/>
      <c r="F2883" s="22"/>
      <c r="G2883" s="22"/>
      <c r="H2883" s="22"/>
      <c r="I2883" s="22"/>
      <c r="J2883" s="22"/>
      <c r="K2883" s="22"/>
      <c r="L2883" s="22"/>
      <c r="M2883" s="22"/>
      <c r="N2883" s="22"/>
    </row>
    <row r="2884" spans="1:14" x14ac:dyDescent="0.3">
      <c r="A2884" s="22" t="s">
        <v>5592</v>
      </c>
      <c r="B2884" s="22">
        <v>0</v>
      </c>
      <c r="C2884" s="22"/>
      <c r="D2884" s="22"/>
      <c r="E2884" s="22"/>
      <c r="F2884" s="22"/>
      <c r="G2884" s="22"/>
      <c r="H2884" s="22"/>
      <c r="I2884" s="22"/>
      <c r="J2884" s="22"/>
      <c r="K2884" s="22"/>
      <c r="L2884" s="22"/>
      <c r="M2884" s="22"/>
      <c r="N2884" s="22"/>
    </row>
    <row r="2885" spans="1:14" x14ac:dyDescent="0.3">
      <c r="A2885" s="22" t="s">
        <v>5593</v>
      </c>
      <c r="B2885" s="22">
        <v>0</v>
      </c>
      <c r="C2885" s="22"/>
      <c r="D2885" s="22"/>
      <c r="E2885" s="22"/>
      <c r="F2885" s="22"/>
      <c r="G2885" s="22"/>
      <c r="H2885" s="22"/>
      <c r="I2885" s="22"/>
      <c r="J2885" s="22"/>
      <c r="K2885" s="22"/>
      <c r="L2885" s="22"/>
      <c r="M2885" s="22"/>
      <c r="N2885" s="22"/>
    </row>
    <row r="2886" spans="1:14" x14ac:dyDescent="0.3">
      <c r="A2886" s="22" t="s">
        <v>5594</v>
      </c>
      <c r="B2886" s="22">
        <v>0</v>
      </c>
      <c r="C2886" s="22"/>
      <c r="D2886" s="22"/>
      <c r="E2886" s="22"/>
      <c r="F2886" s="22"/>
      <c r="G2886" s="22"/>
      <c r="H2886" s="22"/>
      <c r="I2886" s="22"/>
      <c r="J2886" s="22"/>
      <c r="K2886" s="22"/>
      <c r="L2886" s="22"/>
      <c r="M2886" s="22"/>
      <c r="N2886" s="22"/>
    </row>
    <row r="2887" spans="1:14" x14ac:dyDescent="0.3">
      <c r="A2887" s="22" t="s">
        <v>1547</v>
      </c>
      <c r="B2887" s="22">
        <v>14</v>
      </c>
      <c r="C2887" s="22"/>
      <c r="D2887" s="22"/>
      <c r="E2887" s="22"/>
      <c r="F2887" s="22"/>
      <c r="G2887" s="22"/>
      <c r="H2887" s="22"/>
      <c r="I2887" s="22"/>
      <c r="J2887" s="22"/>
      <c r="K2887" s="22"/>
      <c r="L2887" s="22"/>
      <c r="M2887" s="22"/>
      <c r="N2887" s="22"/>
    </row>
    <row r="2888" spans="1:14" x14ac:dyDescent="0.3">
      <c r="A2888" s="22" t="s">
        <v>5771</v>
      </c>
      <c r="B2888" s="22">
        <v>0</v>
      </c>
      <c r="C2888" s="22"/>
      <c r="D2888" s="22"/>
      <c r="E2888" s="22"/>
      <c r="F2888" s="22"/>
      <c r="G2888" s="22"/>
      <c r="H2888" s="22"/>
      <c r="I2888" s="22"/>
      <c r="J2888" s="22"/>
      <c r="K2888" s="22"/>
      <c r="L2888" s="22"/>
      <c r="M2888" s="22"/>
      <c r="N2888" s="22"/>
    </row>
    <row r="2889" spans="1:14" x14ac:dyDescent="0.3">
      <c r="A2889" s="22" t="s">
        <v>5772</v>
      </c>
      <c r="B2889" s="22">
        <v>0</v>
      </c>
      <c r="C2889" s="22"/>
      <c r="D2889" s="22"/>
      <c r="E2889" s="22"/>
      <c r="F2889" s="22"/>
      <c r="G2889" s="22"/>
      <c r="H2889" s="22"/>
      <c r="I2889" s="22"/>
      <c r="J2889" s="22"/>
      <c r="K2889" s="22"/>
      <c r="L2889" s="22"/>
      <c r="M2889" s="22"/>
      <c r="N2889" s="22"/>
    </row>
    <row r="2890" spans="1:14" x14ac:dyDescent="0.3">
      <c r="A2890" s="22" t="s">
        <v>5773</v>
      </c>
      <c r="B2890" s="22">
        <v>0</v>
      </c>
      <c r="C2890" s="22"/>
      <c r="D2890" s="22"/>
      <c r="E2890" s="22"/>
      <c r="F2890" s="22"/>
      <c r="G2890" s="22"/>
      <c r="H2890" s="22"/>
      <c r="I2890" s="22"/>
      <c r="J2890" s="22"/>
      <c r="K2890" s="22"/>
      <c r="L2890" s="22"/>
      <c r="M2890" s="22"/>
      <c r="N2890" s="22"/>
    </row>
    <row r="2891" spans="1:14" x14ac:dyDescent="0.3">
      <c r="A2891" s="22" t="s">
        <v>5774</v>
      </c>
      <c r="B2891" s="22">
        <v>0</v>
      </c>
      <c r="C2891" s="22"/>
      <c r="D2891" s="22"/>
      <c r="E2891" s="22"/>
      <c r="F2891" s="22"/>
      <c r="G2891" s="22"/>
      <c r="H2891" s="22"/>
      <c r="I2891" s="22"/>
      <c r="J2891" s="22"/>
      <c r="K2891" s="22"/>
      <c r="L2891" s="22"/>
      <c r="M2891" s="22"/>
      <c r="N2891" s="22"/>
    </row>
    <row r="2892" spans="1:14" x14ac:dyDescent="0.3">
      <c r="A2892" s="22" t="s">
        <v>5775</v>
      </c>
      <c r="B2892" s="22">
        <v>0</v>
      </c>
      <c r="C2892" s="22"/>
      <c r="D2892" s="22"/>
      <c r="E2892" s="22"/>
      <c r="F2892" s="22"/>
      <c r="G2892" s="22"/>
      <c r="H2892" s="22"/>
      <c r="I2892" s="22"/>
      <c r="J2892" s="22"/>
      <c r="K2892" s="22"/>
      <c r="L2892" s="22"/>
      <c r="M2892" s="22"/>
      <c r="N2892" s="22"/>
    </row>
    <row r="2893" spans="1:14" x14ac:dyDescent="0.3">
      <c r="A2893" s="22" t="s">
        <v>5776</v>
      </c>
      <c r="B2893" s="22">
        <v>0</v>
      </c>
      <c r="C2893" s="22"/>
      <c r="D2893" s="22"/>
      <c r="E2893" s="22"/>
      <c r="F2893" s="22"/>
      <c r="G2893" s="22"/>
      <c r="H2893" s="22"/>
      <c r="I2893" s="22"/>
      <c r="J2893" s="22"/>
      <c r="K2893" s="22"/>
      <c r="L2893" s="22"/>
      <c r="M2893" s="22"/>
      <c r="N2893" s="22"/>
    </row>
    <row r="2894" spans="1:14" x14ac:dyDescent="0.3">
      <c r="A2894" s="22" t="s">
        <v>5777</v>
      </c>
      <c r="B2894" s="22">
        <v>0</v>
      </c>
      <c r="C2894" s="22"/>
      <c r="D2894" s="22"/>
      <c r="E2894" s="22"/>
      <c r="F2894" s="22"/>
      <c r="G2894" s="22"/>
      <c r="H2894" s="22"/>
      <c r="I2894" s="22"/>
      <c r="J2894" s="22"/>
      <c r="K2894" s="22"/>
      <c r="L2894" s="22"/>
      <c r="M2894" s="22"/>
      <c r="N2894" s="22"/>
    </row>
    <row r="2895" spans="1:14" x14ac:dyDescent="0.3">
      <c r="A2895" s="22" t="s">
        <v>1550</v>
      </c>
      <c r="B2895" s="22">
        <v>0</v>
      </c>
      <c r="C2895" s="22"/>
      <c r="D2895" s="22"/>
      <c r="E2895" s="22"/>
      <c r="F2895" s="22"/>
      <c r="G2895" s="22"/>
      <c r="H2895" s="22"/>
      <c r="I2895" s="22"/>
      <c r="J2895" s="22"/>
      <c r="K2895" s="22"/>
      <c r="L2895" s="22"/>
      <c r="M2895" s="22"/>
      <c r="N2895" s="22"/>
    </row>
    <row r="2896" spans="1:14" x14ac:dyDescent="0.3">
      <c r="A2896" s="22" t="s">
        <v>5778</v>
      </c>
      <c r="B2896" s="22">
        <v>0</v>
      </c>
      <c r="C2896" s="22"/>
      <c r="D2896" s="22"/>
      <c r="E2896" s="22"/>
      <c r="F2896" s="22"/>
      <c r="G2896" s="22"/>
      <c r="H2896" s="22"/>
      <c r="I2896" s="22"/>
      <c r="J2896" s="22"/>
      <c r="K2896" s="22"/>
      <c r="L2896" s="22"/>
      <c r="M2896" s="22"/>
      <c r="N2896" s="22"/>
    </row>
    <row r="2897" spans="1:14" x14ac:dyDescent="0.3">
      <c r="A2897" s="22" t="s">
        <v>5779</v>
      </c>
      <c r="B2897" s="22">
        <v>0</v>
      </c>
      <c r="C2897" s="22"/>
      <c r="D2897" s="22"/>
      <c r="E2897" s="22"/>
      <c r="F2897" s="22"/>
      <c r="G2897" s="22"/>
      <c r="H2897" s="22"/>
      <c r="I2897" s="22"/>
      <c r="J2897" s="22"/>
      <c r="K2897" s="22"/>
      <c r="L2897" s="22"/>
      <c r="M2897" s="22"/>
      <c r="N2897" s="22"/>
    </row>
    <row r="2898" spans="1:14" x14ac:dyDescent="0.3">
      <c r="A2898" s="22" t="s">
        <v>5780</v>
      </c>
      <c r="B2898" s="22">
        <v>0</v>
      </c>
      <c r="C2898" s="22"/>
      <c r="D2898" s="22"/>
      <c r="E2898" s="22"/>
      <c r="F2898" s="22"/>
      <c r="G2898" s="22"/>
      <c r="H2898" s="22"/>
      <c r="I2898" s="22"/>
      <c r="J2898" s="22"/>
      <c r="K2898" s="22"/>
      <c r="L2898" s="22"/>
      <c r="M2898" s="22"/>
      <c r="N2898" s="22"/>
    </row>
    <row r="2899" spans="1:14" x14ac:dyDescent="0.3">
      <c r="A2899" s="22" t="s">
        <v>5781</v>
      </c>
      <c r="B2899" s="22">
        <v>0</v>
      </c>
      <c r="C2899" s="22"/>
      <c r="D2899" s="22"/>
      <c r="E2899" s="22"/>
      <c r="F2899" s="22"/>
      <c r="G2899" s="22"/>
      <c r="H2899" s="22"/>
      <c r="I2899" s="22"/>
      <c r="J2899" s="22"/>
      <c r="K2899" s="22"/>
      <c r="L2899" s="22"/>
      <c r="M2899" s="22"/>
      <c r="N2899" s="22"/>
    </row>
    <row r="2900" spans="1:14" x14ac:dyDescent="0.3">
      <c r="A2900" s="22" t="s">
        <v>5782</v>
      </c>
      <c r="B2900" s="22">
        <v>0</v>
      </c>
      <c r="C2900" s="22"/>
      <c r="D2900" s="22"/>
      <c r="E2900" s="22"/>
      <c r="F2900" s="22"/>
      <c r="G2900" s="22"/>
      <c r="H2900" s="22"/>
      <c r="I2900" s="22"/>
      <c r="J2900" s="22"/>
      <c r="K2900" s="22"/>
      <c r="L2900" s="22"/>
      <c r="M2900" s="22"/>
      <c r="N2900" s="22"/>
    </row>
    <row r="2901" spans="1:14" x14ac:dyDescent="0.3">
      <c r="A2901" s="22" t="s">
        <v>5783</v>
      </c>
      <c r="B2901" s="22">
        <v>0</v>
      </c>
      <c r="C2901" s="22"/>
      <c r="D2901" s="22"/>
      <c r="E2901" s="22"/>
      <c r="F2901" s="22"/>
      <c r="G2901" s="22"/>
      <c r="H2901" s="22"/>
      <c r="I2901" s="22"/>
      <c r="J2901" s="22"/>
      <c r="K2901" s="22"/>
      <c r="L2901" s="22"/>
      <c r="M2901" s="22"/>
      <c r="N2901" s="22"/>
    </row>
    <row r="2902" spans="1:14" x14ac:dyDescent="0.3">
      <c r="A2902" s="22" t="s">
        <v>5784</v>
      </c>
      <c r="B2902" s="22">
        <v>0</v>
      </c>
      <c r="C2902" s="22"/>
      <c r="D2902" s="22"/>
      <c r="E2902" s="22"/>
      <c r="F2902" s="22"/>
      <c r="G2902" s="22"/>
      <c r="H2902" s="22"/>
      <c r="I2902" s="22"/>
      <c r="J2902" s="22"/>
      <c r="K2902" s="22"/>
      <c r="L2902" s="22"/>
      <c r="M2902" s="22"/>
      <c r="N2902" s="22"/>
    </row>
    <row r="2903" spans="1:14" x14ac:dyDescent="0.3">
      <c r="A2903" s="22" t="s">
        <v>1340</v>
      </c>
      <c r="B2903" s="22">
        <v>154</v>
      </c>
      <c r="C2903" s="22"/>
      <c r="D2903" s="22"/>
      <c r="E2903" s="22"/>
      <c r="F2903" s="22"/>
      <c r="G2903" s="22"/>
      <c r="H2903" s="22"/>
      <c r="I2903" s="22"/>
      <c r="J2903" s="22"/>
      <c r="K2903" s="22"/>
      <c r="L2903" s="22"/>
      <c r="M2903" s="22"/>
      <c r="N2903" s="22"/>
    </row>
    <row r="2904" spans="1:14" x14ac:dyDescent="0.3">
      <c r="A2904" s="22" t="s">
        <v>5785</v>
      </c>
      <c r="B2904" s="22">
        <v>7</v>
      </c>
      <c r="C2904" s="22"/>
      <c r="D2904" s="22"/>
      <c r="E2904" s="22"/>
      <c r="F2904" s="22"/>
      <c r="G2904" s="22"/>
      <c r="H2904" s="22"/>
      <c r="I2904" s="22"/>
      <c r="J2904" s="22"/>
      <c r="K2904" s="22"/>
      <c r="L2904" s="22"/>
      <c r="M2904" s="22"/>
      <c r="N2904" s="22"/>
    </row>
    <row r="2905" spans="1:14" x14ac:dyDescent="0.3">
      <c r="A2905" s="22" t="s">
        <v>5786</v>
      </c>
      <c r="B2905" s="22">
        <v>0</v>
      </c>
      <c r="C2905" s="22"/>
      <c r="D2905" s="22"/>
      <c r="E2905" s="22"/>
      <c r="F2905" s="22"/>
      <c r="G2905" s="22"/>
      <c r="H2905" s="22"/>
      <c r="I2905" s="22"/>
      <c r="J2905" s="22"/>
      <c r="K2905" s="22"/>
      <c r="L2905" s="22"/>
      <c r="M2905" s="22"/>
      <c r="N2905" s="22"/>
    </row>
    <row r="2906" spans="1:14" x14ac:dyDescent="0.3">
      <c r="A2906" s="22" t="s">
        <v>5787</v>
      </c>
      <c r="B2906" s="22">
        <v>0</v>
      </c>
      <c r="C2906" s="22"/>
      <c r="D2906" s="22"/>
      <c r="E2906" s="22"/>
      <c r="F2906" s="22"/>
      <c r="G2906" s="22"/>
      <c r="H2906" s="22"/>
      <c r="I2906" s="22"/>
      <c r="J2906" s="22"/>
      <c r="K2906" s="22"/>
      <c r="L2906" s="22"/>
      <c r="M2906" s="22"/>
      <c r="N2906" s="22"/>
    </row>
    <row r="2907" spans="1:14" x14ac:dyDescent="0.3">
      <c r="A2907" s="22" t="s">
        <v>5788</v>
      </c>
      <c r="B2907" s="22">
        <v>0</v>
      </c>
      <c r="C2907" s="22"/>
      <c r="D2907" s="22"/>
      <c r="E2907" s="22"/>
      <c r="F2907" s="22"/>
      <c r="G2907" s="22"/>
      <c r="H2907" s="22"/>
      <c r="I2907" s="22"/>
      <c r="J2907" s="22"/>
      <c r="K2907" s="22"/>
      <c r="L2907" s="22"/>
      <c r="M2907" s="22"/>
      <c r="N2907" s="22"/>
    </row>
    <row r="2908" spans="1:14" x14ac:dyDescent="0.3">
      <c r="A2908" s="22" t="s">
        <v>5789</v>
      </c>
      <c r="B2908" s="22">
        <v>0</v>
      </c>
      <c r="C2908" s="22"/>
      <c r="D2908" s="22"/>
      <c r="E2908" s="22"/>
      <c r="F2908" s="22"/>
      <c r="G2908" s="22"/>
      <c r="H2908" s="22"/>
      <c r="I2908" s="22"/>
      <c r="J2908" s="22"/>
      <c r="K2908" s="22"/>
      <c r="L2908" s="22"/>
      <c r="M2908" s="22"/>
      <c r="N2908" s="22"/>
    </row>
    <row r="2909" spans="1:14" x14ac:dyDescent="0.3">
      <c r="A2909" s="22" t="s">
        <v>5790</v>
      </c>
      <c r="B2909" s="22">
        <v>0</v>
      </c>
      <c r="C2909" s="22"/>
      <c r="D2909" s="22"/>
      <c r="E2909" s="22"/>
      <c r="F2909" s="22"/>
      <c r="G2909" s="22"/>
      <c r="H2909" s="22"/>
      <c r="I2909" s="22"/>
      <c r="J2909" s="22"/>
      <c r="K2909" s="22"/>
      <c r="L2909" s="22"/>
      <c r="M2909" s="22"/>
      <c r="N2909" s="22"/>
    </row>
    <row r="2910" spans="1:14" x14ac:dyDescent="0.3">
      <c r="A2910" s="22" t="s">
        <v>5791</v>
      </c>
      <c r="B2910" s="22">
        <v>0</v>
      </c>
      <c r="C2910" s="22"/>
      <c r="D2910" s="22"/>
      <c r="E2910" s="22"/>
      <c r="F2910" s="22"/>
      <c r="G2910" s="22"/>
      <c r="H2910" s="22"/>
      <c r="I2910" s="22"/>
      <c r="J2910" s="22"/>
      <c r="K2910" s="22"/>
      <c r="L2910" s="22"/>
      <c r="M2910" s="22"/>
      <c r="N2910" s="22"/>
    </row>
    <row r="2911" spans="1:14" x14ac:dyDescent="0.3">
      <c r="A2911" s="22" t="s">
        <v>1551</v>
      </c>
      <c r="B2911" s="22">
        <v>177</v>
      </c>
      <c r="C2911" s="22"/>
      <c r="D2911" s="22"/>
      <c r="E2911" s="22"/>
      <c r="F2911" s="22"/>
      <c r="G2911" s="22"/>
      <c r="H2911" s="22"/>
      <c r="I2911" s="22"/>
      <c r="J2911" s="22"/>
      <c r="K2911" s="22"/>
      <c r="L2911" s="22"/>
      <c r="M2911" s="22"/>
      <c r="N2911" s="22"/>
    </row>
    <row r="2912" spans="1:14" x14ac:dyDescent="0.3">
      <c r="A2912" s="22" t="s">
        <v>5792</v>
      </c>
      <c r="B2912" s="22">
        <v>0</v>
      </c>
      <c r="C2912" s="22"/>
      <c r="D2912" s="22"/>
      <c r="E2912" s="22"/>
      <c r="F2912" s="22"/>
      <c r="G2912" s="22"/>
      <c r="H2912" s="22"/>
      <c r="I2912" s="22"/>
      <c r="J2912" s="22"/>
      <c r="K2912" s="22"/>
      <c r="L2912" s="22"/>
      <c r="M2912" s="22"/>
      <c r="N2912" s="22"/>
    </row>
    <row r="2913" spans="1:14" x14ac:dyDescent="0.3">
      <c r="A2913" s="22" t="s">
        <v>5793</v>
      </c>
      <c r="B2913" s="22">
        <v>0</v>
      </c>
      <c r="C2913" s="22"/>
      <c r="D2913" s="22"/>
      <c r="E2913" s="22"/>
      <c r="F2913" s="22"/>
      <c r="G2913" s="22"/>
      <c r="H2913" s="22"/>
      <c r="I2913" s="22"/>
      <c r="J2913" s="22"/>
      <c r="K2913" s="22"/>
      <c r="L2913" s="22"/>
      <c r="M2913" s="22"/>
      <c r="N2913" s="22"/>
    </row>
    <row r="2914" spans="1:14" x14ac:dyDescent="0.3">
      <c r="A2914" s="22" t="s">
        <v>5794</v>
      </c>
      <c r="B2914" s="22">
        <v>0</v>
      </c>
      <c r="C2914" s="22"/>
      <c r="D2914" s="22"/>
      <c r="E2914" s="22"/>
      <c r="F2914" s="22"/>
      <c r="G2914" s="22"/>
      <c r="H2914" s="22"/>
      <c r="I2914" s="22"/>
      <c r="J2914" s="22"/>
      <c r="K2914" s="22"/>
      <c r="L2914" s="22"/>
      <c r="M2914" s="22"/>
      <c r="N2914" s="22"/>
    </row>
    <row r="2915" spans="1:14" x14ac:dyDescent="0.3">
      <c r="A2915" s="22" t="s">
        <v>5795</v>
      </c>
      <c r="B2915" s="22">
        <v>0</v>
      </c>
      <c r="C2915" s="22"/>
      <c r="D2915" s="22"/>
      <c r="E2915" s="22"/>
      <c r="F2915" s="22"/>
      <c r="G2915" s="22"/>
      <c r="H2915" s="22"/>
      <c r="I2915" s="22"/>
      <c r="J2915" s="22"/>
      <c r="K2915" s="22"/>
      <c r="L2915" s="22"/>
      <c r="M2915" s="22"/>
      <c r="N2915" s="22"/>
    </row>
    <row r="2916" spans="1:14" x14ac:dyDescent="0.3">
      <c r="A2916" s="22" t="s">
        <v>5796</v>
      </c>
      <c r="B2916" s="22">
        <v>0</v>
      </c>
      <c r="C2916" s="22"/>
      <c r="D2916" s="22"/>
      <c r="E2916" s="22"/>
      <c r="F2916" s="22"/>
      <c r="G2916" s="22"/>
      <c r="H2916" s="22"/>
      <c r="I2916" s="22"/>
      <c r="J2916" s="22"/>
      <c r="K2916" s="22"/>
      <c r="L2916" s="22"/>
      <c r="M2916" s="22"/>
      <c r="N2916" s="22"/>
    </row>
    <row r="2917" spans="1:14" x14ac:dyDescent="0.3">
      <c r="A2917" s="22" t="s">
        <v>5797</v>
      </c>
      <c r="B2917" s="22">
        <v>0</v>
      </c>
      <c r="C2917" s="22"/>
      <c r="D2917" s="22"/>
      <c r="E2917" s="22"/>
      <c r="F2917" s="22"/>
      <c r="G2917" s="22"/>
      <c r="H2917" s="22"/>
      <c r="I2917" s="22"/>
      <c r="J2917" s="22"/>
      <c r="K2917" s="22"/>
      <c r="L2917" s="22"/>
      <c r="M2917" s="22"/>
      <c r="N2917" s="22"/>
    </row>
    <row r="2918" spans="1:14" x14ac:dyDescent="0.3">
      <c r="A2918" s="22" t="s">
        <v>5798</v>
      </c>
      <c r="B2918" s="22">
        <v>0</v>
      </c>
      <c r="C2918" s="22"/>
      <c r="D2918" s="22"/>
      <c r="E2918" s="22"/>
      <c r="F2918" s="22"/>
      <c r="G2918" s="22"/>
      <c r="H2918" s="22"/>
      <c r="I2918" s="22"/>
      <c r="J2918" s="22"/>
      <c r="K2918" s="22"/>
      <c r="L2918" s="22"/>
      <c r="M2918" s="22"/>
      <c r="N2918" s="22"/>
    </row>
    <row r="2919" spans="1:14" x14ac:dyDescent="0.3">
      <c r="A2919" s="22" t="s">
        <v>1554</v>
      </c>
      <c r="B2919" s="22">
        <v>81</v>
      </c>
      <c r="C2919" s="22"/>
      <c r="D2919" s="22"/>
      <c r="E2919" s="22"/>
      <c r="F2919" s="22"/>
      <c r="G2919" s="22"/>
      <c r="H2919" s="22"/>
      <c r="I2919" s="22"/>
      <c r="J2919" s="22"/>
      <c r="K2919" s="22"/>
      <c r="L2919" s="22"/>
      <c r="M2919" s="22"/>
      <c r="N2919" s="22"/>
    </row>
    <row r="2920" spans="1:14" x14ac:dyDescent="0.3">
      <c r="A2920" s="22" t="s">
        <v>5571</v>
      </c>
      <c r="B2920" s="22">
        <v>0</v>
      </c>
      <c r="C2920" s="22"/>
      <c r="D2920" s="22"/>
      <c r="E2920" s="22"/>
      <c r="F2920" s="22"/>
      <c r="G2920" s="22"/>
      <c r="H2920" s="22"/>
      <c r="I2920" s="22"/>
      <c r="J2920" s="22"/>
      <c r="K2920" s="22"/>
      <c r="L2920" s="22"/>
      <c r="M2920" s="22"/>
      <c r="N2920" s="22"/>
    </row>
    <row r="2921" spans="1:14" x14ac:dyDescent="0.3">
      <c r="A2921" s="22" t="s">
        <v>5572</v>
      </c>
      <c r="B2921" s="22">
        <v>0</v>
      </c>
      <c r="C2921" s="22"/>
      <c r="D2921" s="22"/>
      <c r="E2921" s="22"/>
      <c r="F2921" s="22"/>
      <c r="G2921" s="22"/>
      <c r="H2921" s="22"/>
      <c r="I2921" s="22"/>
      <c r="J2921" s="22"/>
      <c r="K2921" s="22"/>
      <c r="L2921" s="22"/>
      <c r="M2921" s="22"/>
      <c r="N2921" s="22"/>
    </row>
    <row r="2922" spans="1:14" x14ac:dyDescent="0.3">
      <c r="A2922" s="22" t="s">
        <v>5573</v>
      </c>
      <c r="B2922" s="22">
        <v>0</v>
      </c>
      <c r="C2922" s="22"/>
      <c r="D2922" s="22"/>
      <c r="E2922" s="22"/>
      <c r="F2922" s="22"/>
      <c r="G2922" s="22"/>
      <c r="H2922" s="22"/>
      <c r="I2922" s="22"/>
      <c r="J2922" s="22"/>
      <c r="K2922" s="22"/>
      <c r="L2922" s="22"/>
      <c r="M2922" s="22"/>
      <c r="N2922" s="22"/>
    </row>
    <row r="2923" spans="1:14" x14ac:dyDescent="0.3">
      <c r="A2923" s="22" t="s">
        <v>5574</v>
      </c>
      <c r="B2923" s="22">
        <v>0</v>
      </c>
      <c r="C2923" s="22"/>
      <c r="D2923" s="22"/>
      <c r="E2923" s="22"/>
      <c r="F2923" s="22"/>
      <c r="G2923" s="22"/>
      <c r="H2923" s="22"/>
      <c r="I2923" s="22"/>
      <c r="J2923" s="22"/>
      <c r="K2923" s="22"/>
      <c r="L2923" s="22"/>
      <c r="M2923" s="22"/>
      <c r="N2923" s="22"/>
    </row>
    <row r="2924" spans="1:14" x14ac:dyDescent="0.3">
      <c r="A2924" s="22" t="s">
        <v>5575</v>
      </c>
      <c r="B2924" s="22">
        <v>0</v>
      </c>
      <c r="C2924" s="22"/>
      <c r="D2924" s="22"/>
      <c r="E2924" s="22"/>
      <c r="F2924" s="22"/>
      <c r="G2924" s="22"/>
      <c r="H2924" s="22"/>
      <c r="I2924" s="22"/>
      <c r="J2924" s="22"/>
      <c r="K2924" s="22"/>
      <c r="L2924" s="22"/>
      <c r="M2924" s="22"/>
      <c r="N2924" s="22"/>
    </row>
    <row r="2925" spans="1:14" x14ac:dyDescent="0.3">
      <c r="A2925" s="22" t="s">
        <v>5576</v>
      </c>
      <c r="B2925" s="22">
        <v>0</v>
      </c>
      <c r="C2925" s="22"/>
      <c r="D2925" s="22"/>
      <c r="E2925" s="22"/>
      <c r="F2925" s="22"/>
      <c r="G2925" s="22"/>
      <c r="H2925" s="22"/>
      <c r="I2925" s="22"/>
      <c r="J2925" s="22"/>
      <c r="K2925" s="22"/>
      <c r="L2925" s="22"/>
      <c r="M2925" s="22"/>
      <c r="N2925" s="22"/>
    </row>
    <row r="2926" spans="1:14" x14ac:dyDescent="0.3">
      <c r="A2926" s="22" t="s">
        <v>5577</v>
      </c>
      <c r="B2926" s="22">
        <v>0</v>
      </c>
      <c r="C2926" s="22"/>
      <c r="D2926" s="22"/>
      <c r="E2926" s="22"/>
      <c r="F2926" s="22"/>
      <c r="G2926" s="22"/>
      <c r="H2926" s="22"/>
      <c r="I2926" s="22"/>
      <c r="J2926" s="22"/>
      <c r="K2926" s="22"/>
      <c r="L2926" s="22"/>
      <c r="M2926" s="22"/>
      <c r="N2926" s="22"/>
    </row>
    <row r="2927" spans="1:14" x14ac:dyDescent="0.3">
      <c r="A2927" s="22" t="s">
        <v>1342</v>
      </c>
      <c r="B2927" s="22">
        <v>0</v>
      </c>
      <c r="C2927" s="22"/>
      <c r="D2927" s="22"/>
      <c r="E2927" s="22"/>
      <c r="F2927" s="22"/>
      <c r="G2927" s="22"/>
      <c r="H2927" s="22"/>
      <c r="I2927" s="22"/>
      <c r="J2927" s="22"/>
      <c r="K2927" s="22"/>
      <c r="L2927" s="22"/>
      <c r="M2927" s="22"/>
      <c r="N2927" s="22"/>
    </row>
    <row r="2928" spans="1:14" x14ac:dyDescent="0.3">
      <c r="A2928" s="22" t="s">
        <v>5799</v>
      </c>
      <c r="B2928" s="22">
        <v>0</v>
      </c>
      <c r="C2928" s="22"/>
      <c r="D2928" s="22"/>
      <c r="E2928" s="22"/>
      <c r="F2928" s="22"/>
      <c r="G2928" s="22"/>
      <c r="H2928" s="22"/>
      <c r="I2928" s="22"/>
      <c r="J2928" s="22"/>
      <c r="K2928" s="22"/>
      <c r="L2928" s="22"/>
      <c r="M2928" s="22"/>
      <c r="N2928" s="22"/>
    </row>
    <row r="2929" spans="1:14" x14ac:dyDescent="0.3">
      <c r="A2929" s="22" t="s">
        <v>5800</v>
      </c>
      <c r="B2929" s="22">
        <v>0</v>
      </c>
      <c r="C2929" s="22"/>
      <c r="D2929" s="22"/>
      <c r="E2929" s="22"/>
      <c r="F2929" s="22"/>
      <c r="G2929" s="22"/>
      <c r="H2929" s="22"/>
      <c r="I2929" s="22"/>
      <c r="J2929" s="22"/>
      <c r="K2929" s="22"/>
      <c r="L2929" s="22"/>
      <c r="M2929" s="22"/>
      <c r="N2929" s="22"/>
    </row>
    <row r="2930" spans="1:14" x14ac:dyDescent="0.3">
      <c r="A2930" s="22" t="s">
        <v>5801</v>
      </c>
      <c r="B2930" s="22">
        <v>0</v>
      </c>
      <c r="C2930" s="22"/>
      <c r="D2930" s="22"/>
      <c r="E2930" s="22"/>
      <c r="F2930" s="22"/>
      <c r="G2930" s="22"/>
      <c r="H2930" s="22"/>
      <c r="I2930" s="22"/>
      <c r="J2930" s="22"/>
      <c r="K2930" s="22"/>
      <c r="L2930" s="22"/>
      <c r="M2930" s="22"/>
      <c r="N2930" s="22"/>
    </row>
    <row r="2931" spans="1:14" x14ac:dyDescent="0.3">
      <c r="A2931" s="22" t="s">
        <v>5802</v>
      </c>
      <c r="B2931" s="22">
        <v>0</v>
      </c>
      <c r="C2931" s="22"/>
      <c r="D2931" s="22"/>
      <c r="E2931" s="22"/>
      <c r="F2931" s="22"/>
      <c r="G2931" s="22"/>
      <c r="H2931" s="22"/>
      <c r="I2931" s="22"/>
      <c r="J2931" s="22"/>
      <c r="K2931" s="22"/>
      <c r="L2931" s="22"/>
      <c r="M2931" s="22"/>
      <c r="N2931" s="22"/>
    </row>
    <row r="2932" spans="1:14" x14ac:dyDescent="0.3">
      <c r="A2932" s="22" t="s">
        <v>5803</v>
      </c>
      <c r="B2932" s="22">
        <v>0</v>
      </c>
      <c r="C2932" s="22"/>
      <c r="D2932" s="22"/>
      <c r="E2932" s="22"/>
      <c r="F2932" s="22"/>
      <c r="G2932" s="22"/>
      <c r="H2932" s="22"/>
      <c r="I2932" s="22"/>
      <c r="J2932" s="22"/>
      <c r="K2932" s="22"/>
      <c r="L2932" s="22"/>
      <c r="M2932" s="22"/>
      <c r="N2932" s="22"/>
    </row>
    <row r="2933" spans="1:14" x14ac:dyDescent="0.3">
      <c r="A2933" s="22" t="s">
        <v>5804</v>
      </c>
      <c r="B2933" s="22">
        <v>0</v>
      </c>
      <c r="C2933" s="22"/>
      <c r="D2933" s="22"/>
      <c r="E2933" s="22"/>
      <c r="F2933" s="22"/>
      <c r="G2933" s="22"/>
      <c r="H2933" s="22"/>
      <c r="I2933" s="22"/>
      <c r="J2933" s="22"/>
      <c r="K2933" s="22"/>
      <c r="L2933" s="22"/>
      <c r="M2933" s="22"/>
      <c r="N2933" s="22"/>
    </row>
    <row r="2934" spans="1:14" x14ac:dyDescent="0.3">
      <c r="A2934" s="22" t="s">
        <v>5805</v>
      </c>
      <c r="B2934" s="22">
        <v>0</v>
      </c>
      <c r="C2934" s="22"/>
      <c r="D2934" s="22"/>
      <c r="E2934" s="22"/>
      <c r="F2934" s="22"/>
      <c r="G2934" s="22"/>
      <c r="H2934" s="22"/>
      <c r="I2934" s="22"/>
      <c r="J2934" s="22"/>
      <c r="K2934" s="22"/>
      <c r="L2934" s="22"/>
      <c r="M2934" s="22"/>
      <c r="N2934" s="22"/>
    </row>
    <row r="2935" spans="1:14" x14ac:dyDescent="0.3">
      <c r="A2935" s="22" t="s">
        <v>1555</v>
      </c>
      <c r="B2935" s="22">
        <v>13</v>
      </c>
      <c r="C2935" s="22"/>
      <c r="D2935" s="22"/>
      <c r="E2935" s="22"/>
      <c r="F2935" s="22"/>
      <c r="G2935" s="22"/>
      <c r="H2935" s="22"/>
      <c r="I2935" s="22"/>
      <c r="J2935" s="22"/>
      <c r="K2935" s="22"/>
      <c r="L2935" s="22"/>
      <c r="M2935" s="22"/>
      <c r="N2935" s="22"/>
    </row>
    <row r="2936" spans="1:14" x14ac:dyDescent="0.3">
      <c r="A2936" s="22" t="s">
        <v>5806</v>
      </c>
      <c r="B2936" s="22">
        <v>0</v>
      </c>
      <c r="C2936" s="22"/>
      <c r="D2936" s="22"/>
      <c r="E2936" s="22"/>
      <c r="F2936" s="22"/>
      <c r="G2936" s="22"/>
      <c r="H2936" s="22"/>
      <c r="I2936" s="22"/>
      <c r="J2936" s="22"/>
      <c r="K2936" s="22"/>
      <c r="L2936" s="22"/>
      <c r="M2936" s="22"/>
      <c r="N2936" s="22"/>
    </row>
    <row r="2937" spans="1:14" x14ac:dyDescent="0.3">
      <c r="A2937" s="22" t="s">
        <v>5807</v>
      </c>
      <c r="B2937" s="22">
        <v>0</v>
      </c>
      <c r="C2937" s="22"/>
      <c r="D2937" s="22"/>
      <c r="E2937" s="22"/>
      <c r="F2937" s="22"/>
      <c r="G2937" s="22"/>
      <c r="H2937" s="22"/>
      <c r="I2937" s="22"/>
      <c r="J2937" s="22"/>
      <c r="K2937" s="22"/>
      <c r="L2937" s="22"/>
      <c r="M2937" s="22"/>
      <c r="N2937" s="22"/>
    </row>
    <row r="2938" spans="1:14" x14ac:dyDescent="0.3">
      <c r="A2938" s="22" t="s">
        <v>5808</v>
      </c>
      <c r="B2938" s="22">
        <v>0</v>
      </c>
      <c r="C2938" s="22"/>
      <c r="D2938" s="22"/>
      <c r="E2938" s="22"/>
      <c r="F2938" s="22"/>
      <c r="G2938" s="22"/>
      <c r="H2938" s="22"/>
      <c r="I2938" s="22"/>
      <c r="J2938" s="22"/>
      <c r="K2938" s="22"/>
      <c r="L2938" s="22"/>
      <c r="M2938" s="22"/>
      <c r="N2938" s="22"/>
    </row>
    <row r="2939" spans="1:14" x14ac:dyDescent="0.3">
      <c r="A2939" s="22" t="s">
        <v>5809</v>
      </c>
      <c r="B2939" s="22">
        <v>0</v>
      </c>
      <c r="C2939" s="22"/>
      <c r="D2939" s="22"/>
      <c r="E2939" s="22"/>
      <c r="F2939" s="22"/>
      <c r="G2939" s="22"/>
      <c r="H2939" s="22"/>
      <c r="I2939" s="22"/>
      <c r="J2939" s="22"/>
      <c r="K2939" s="22"/>
      <c r="L2939" s="22"/>
      <c r="M2939" s="22"/>
      <c r="N2939" s="22"/>
    </row>
    <row r="2940" spans="1:14" x14ac:dyDescent="0.3">
      <c r="A2940" s="22" t="s">
        <v>5810</v>
      </c>
      <c r="B2940" s="22">
        <v>0</v>
      </c>
      <c r="C2940" s="22"/>
      <c r="D2940" s="22"/>
      <c r="E2940" s="22"/>
      <c r="F2940" s="22"/>
      <c r="G2940" s="22"/>
      <c r="H2940" s="22"/>
      <c r="I2940" s="22"/>
      <c r="J2940" s="22"/>
      <c r="K2940" s="22"/>
      <c r="L2940" s="22"/>
      <c r="M2940" s="22"/>
      <c r="N2940" s="22"/>
    </row>
    <row r="2941" spans="1:14" x14ac:dyDescent="0.3">
      <c r="A2941" s="22" t="s">
        <v>5811</v>
      </c>
      <c r="B2941" s="22">
        <v>0</v>
      </c>
      <c r="C2941" s="22"/>
      <c r="D2941" s="22"/>
      <c r="E2941" s="22"/>
      <c r="F2941" s="22"/>
      <c r="G2941" s="22"/>
      <c r="H2941" s="22"/>
      <c r="I2941" s="22"/>
      <c r="J2941" s="22"/>
      <c r="K2941" s="22"/>
      <c r="L2941" s="22"/>
      <c r="M2941" s="22"/>
      <c r="N2941" s="22"/>
    </row>
    <row r="2942" spans="1:14" x14ac:dyDescent="0.3">
      <c r="A2942" s="22" t="s">
        <v>5812</v>
      </c>
      <c r="B2942" s="22">
        <v>0</v>
      </c>
      <c r="C2942" s="22"/>
      <c r="D2942" s="22"/>
      <c r="E2942" s="22"/>
      <c r="F2942" s="22"/>
      <c r="G2942" s="22"/>
      <c r="H2942" s="22"/>
      <c r="I2942" s="22"/>
      <c r="J2942" s="22"/>
      <c r="K2942" s="22"/>
      <c r="L2942" s="22"/>
      <c r="M2942" s="22"/>
      <c r="N2942" s="22"/>
    </row>
    <row r="2943" spans="1:14" x14ac:dyDescent="0.3">
      <c r="A2943" s="22" t="s">
        <v>1558</v>
      </c>
      <c r="B2943" s="22">
        <v>150</v>
      </c>
      <c r="C2943" s="22"/>
      <c r="D2943" s="22"/>
      <c r="E2943" s="22"/>
      <c r="F2943" s="22"/>
      <c r="G2943" s="22"/>
      <c r="H2943" s="22"/>
      <c r="I2943" s="22"/>
      <c r="J2943" s="22"/>
      <c r="K2943" s="22"/>
      <c r="L2943" s="22"/>
      <c r="M2943" s="22"/>
      <c r="N2943" s="22"/>
    </row>
    <row r="2944" spans="1:14" x14ac:dyDescent="0.3">
      <c r="A2944" s="22" t="s">
        <v>5813</v>
      </c>
      <c r="B2944" s="22">
        <v>0</v>
      </c>
      <c r="C2944" s="22"/>
      <c r="D2944" s="22"/>
      <c r="E2944" s="22"/>
      <c r="F2944" s="22"/>
      <c r="G2944" s="22"/>
      <c r="H2944" s="22"/>
      <c r="I2944" s="22"/>
      <c r="J2944" s="22"/>
      <c r="K2944" s="22"/>
      <c r="L2944" s="22"/>
      <c r="M2944" s="22"/>
      <c r="N2944" s="22"/>
    </row>
    <row r="2945" spans="1:14" x14ac:dyDescent="0.3">
      <c r="A2945" s="22" t="s">
        <v>5814</v>
      </c>
      <c r="B2945" s="22">
        <v>0</v>
      </c>
      <c r="C2945" s="22"/>
      <c r="D2945" s="22"/>
      <c r="E2945" s="22"/>
      <c r="F2945" s="22"/>
      <c r="G2945" s="22"/>
      <c r="H2945" s="22"/>
      <c r="I2945" s="22"/>
      <c r="J2945" s="22"/>
      <c r="K2945" s="22"/>
      <c r="L2945" s="22"/>
      <c r="M2945" s="22"/>
      <c r="N2945" s="22"/>
    </row>
    <row r="2946" spans="1:14" x14ac:dyDescent="0.3">
      <c r="A2946" s="22" t="s">
        <v>5815</v>
      </c>
      <c r="B2946" s="22">
        <v>0</v>
      </c>
      <c r="C2946" s="22"/>
      <c r="D2946" s="22"/>
      <c r="E2946" s="22"/>
      <c r="F2946" s="22"/>
      <c r="G2946" s="22"/>
      <c r="H2946" s="22"/>
      <c r="I2946" s="22"/>
      <c r="J2946" s="22"/>
      <c r="K2946" s="22"/>
      <c r="L2946" s="22"/>
      <c r="M2946" s="22"/>
      <c r="N2946" s="22"/>
    </row>
    <row r="2947" spans="1:14" x14ac:dyDescent="0.3">
      <c r="A2947" s="22" t="s">
        <v>5816</v>
      </c>
      <c r="B2947" s="22">
        <v>0</v>
      </c>
      <c r="C2947" s="22"/>
      <c r="D2947" s="22"/>
      <c r="E2947" s="22"/>
      <c r="F2947" s="22"/>
      <c r="G2947" s="22"/>
      <c r="H2947" s="22"/>
      <c r="I2947" s="22"/>
      <c r="J2947" s="22"/>
      <c r="K2947" s="22"/>
      <c r="L2947" s="22"/>
      <c r="M2947" s="22"/>
      <c r="N2947" s="22"/>
    </row>
    <row r="2948" spans="1:14" x14ac:dyDescent="0.3">
      <c r="A2948" s="22" t="s">
        <v>5817</v>
      </c>
      <c r="B2948" s="22">
        <v>0</v>
      </c>
      <c r="C2948" s="22"/>
      <c r="D2948" s="22"/>
      <c r="E2948" s="22"/>
      <c r="F2948" s="22"/>
      <c r="G2948" s="22"/>
      <c r="H2948" s="22"/>
      <c r="I2948" s="22"/>
      <c r="J2948" s="22"/>
      <c r="K2948" s="22"/>
      <c r="L2948" s="22"/>
      <c r="M2948" s="22"/>
      <c r="N2948" s="22"/>
    </row>
    <row r="2949" spans="1:14" x14ac:dyDescent="0.3">
      <c r="A2949" s="22" t="s">
        <v>5818</v>
      </c>
      <c r="B2949" s="22">
        <v>0</v>
      </c>
      <c r="C2949" s="22"/>
      <c r="D2949" s="22"/>
      <c r="E2949" s="22"/>
      <c r="F2949" s="22"/>
      <c r="G2949" s="22"/>
      <c r="H2949" s="22"/>
      <c r="I2949" s="22"/>
      <c r="J2949" s="22"/>
      <c r="K2949" s="22"/>
      <c r="L2949" s="22"/>
      <c r="M2949" s="22"/>
      <c r="N2949" s="22"/>
    </row>
    <row r="2950" spans="1:14" x14ac:dyDescent="0.3">
      <c r="A2950" s="22" t="s">
        <v>5819</v>
      </c>
      <c r="B2950" s="22">
        <v>0</v>
      </c>
      <c r="C2950" s="22"/>
      <c r="D2950" s="22"/>
      <c r="E2950" s="22"/>
      <c r="F2950" s="22"/>
      <c r="G2950" s="22"/>
      <c r="H2950" s="22"/>
      <c r="I2950" s="22"/>
      <c r="J2950" s="22"/>
      <c r="K2950" s="22"/>
      <c r="L2950" s="22"/>
      <c r="M2950" s="22"/>
      <c r="N2950" s="22"/>
    </row>
    <row r="2951" spans="1:14" x14ac:dyDescent="0.3">
      <c r="A2951" s="22" t="s">
        <v>1560</v>
      </c>
      <c r="B2951" s="22">
        <v>3</v>
      </c>
      <c r="C2951" s="22"/>
      <c r="D2951" s="22"/>
      <c r="E2951" s="22"/>
      <c r="F2951" s="22"/>
      <c r="G2951" s="22"/>
      <c r="H2951" s="22"/>
      <c r="I2951" s="22"/>
      <c r="J2951" s="22"/>
      <c r="K2951" s="22"/>
      <c r="L2951" s="22"/>
      <c r="M2951" s="22"/>
      <c r="N2951" s="22"/>
    </row>
    <row r="2952" spans="1:14" x14ac:dyDescent="0.3">
      <c r="A2952" s="22" t="s">
        <v>5820</v>
      </c>
      <c r="B2952" s="22">
        <v>0</v>
      </c>
      <c r="C2952" s="22"/>
      <c r="D2952" s="22"/>
      <c r="E2952" s="22"/>
      <c r="F2952" s="22"/>
      <c r="G2952" s="22"/>
      <c r="H2952" s="22"/>
      <c r="I2952" s="22"/>
      <c r="J2952" s="22"/>
      <c r="K2952" s="22"/>
      <c r="L2952" s="22"/>
      <c r="M2952" s="22"/>
      <c r="N2952" s="22"/>
    </row>
    <row r="2953" spans="1:14" x14ac:dyDescent="0.3">
      <c r="A2953" s="22" t="s">
        <v>5821</v>
      </c>
      <c r="B2953" s="22">
        <v>0</v>
      </c>
      <c r="C2953" s="22"/>
      <c r="D2953" s="22"/>
      <c r="E2953" s="22"/>
      <c r="F2953" s="22"/>
      <c r="G2953" s="22"/>
      <c r="H2953" s="22"/>
      <c r="I2953" s="22"/>
      <c r="J2953" s="22"/>
      <c r="K2953" s="22"/>
      <c r="L2953" s="22"/>
      <c r="M2953" s="22"/>
      <c r="N2953" s="22"/>
    </row>
    <row r="2954" spans="1:14" x14ac:dyDescent="0.3">
      <c r="A2954" s="22" t="s">
        <v>5822</v>
      </c>
      <c r="B2954" s="22">
        <v>0</v>
      </c>
      <c r="C2954" s="22"/>
      <c r="D2954" s="22"/>
      <c r="E2954" s="22"/>
      <c r="F2954" s="22"/>
      <c r="G2954" s="22"/>
      <c r="H2954" s="22"/>
      <c r="I2954" s="22"/>
      <c r="J2954" s="22"/>
      <c r="K2954" s="22"/>
      <c r="L2954" s="22"/>
      <c r="M2954" s="22"/>
      <c r="N2954" s="22"/>
    </row>
    <row r="2955" spans="1:14" x14ac:dyDescent="0.3">
      <c r="A2955" s="22" t="s">
        <v>5823</v>
      </c>
      <c r="B2955" s="22">
        <v>0</v>
      </c>
      <c r="C2955" s="22"/>
      <c r="D2955" s="22"/>
      <c r="E2955" s="22"/>
      <c r="F2955" s="22"/>
      <c r="G2955" s="22"/>
      <c r="H2955" s="22"/>
      <c r="I2955" s="22"/>
      <c r="J2955" s="22"/>
      <c r="K2955" s="22"/>
      <c r="L2955" s="22"/>
      <c r="M2955" s="22"/>
      <c r="N2955" s="22"/>
    </row>
    <row r="2956" spans="1:14" x14ac:dyDescent="0.3">
      <c r="A2956" s="22" t="s">
        <v>5824</v>
      </c>
      <c r="B2956" s="22">
        <v>0</v>
      </c>
      <c r="C2956" s="22"/>
      <c r="D2956" s="22"/>
      <c r="E2956" s="22"/>
      <c r="F2956" s="22"/>
      <c r="G2956" s="22"/>
      <c r="H2956" s="22"/>
      <c r="I2956" s="22"/>
      <c r="J2956" s="22"/>
      <c r="K2956" s="22"/>
      <c r="L2956" s="22"/>
      <c r="M2956" s="22"/>
      <c r="N2956" s="22"/>
    </row>
    <row r="2957" spans="1:14" x14ac:dyDescent="0.3">
      <c r="A2957" s="22" t="s">
        <v>5825</v>
      </c>
      <c r="B2957" s="22">
        <v>0</v>
      </c>
      <c r="C2957" s="22"/>
      <c r="D2957" s="22"/>
      <c r="E2957" s="22"/>
      <c r="F2957" s="22"/>
      <c r="G2957" s="22"/>
      <c r="H2957" s="22"/>
      <c r="I2957" s="22"/>
      <c r="J2957" s="22"/>
      <c r="K2957" s="22"/>
      <c r="L2957" s="22"/>
      <c r="M2957" s="22"/>
      <c r="N2957" s="22"/>
    </row>
    <row r="2958" spans="1:14" x14ac:dyDescent="0.3">
      <c r="A2958" s="22" t="s">
        <v>5826</v>
      </c>
      <c r="B2958" s="22">
        <v>0</v>
      </c>
      <c r="C2958" s="22"/>
      <c r="D2958" s="22"/>
      <c r="E2958" s="22"/>
      <c r="F2958" s="22"/>
      <c r="G2958" s="22"/>
      <c r="H2958" s="22"/>
      <c r="I2958" s="22"/>
      <c r="J2958" s="22"/>
      <c r="K2958" s="22"/>
      <c r="L2958" s="22"/>
      <c r="M2958" s="22"/>
      <c r="N2958" s="22"/>
    </row>
    <row r="2959" spans="1:14" x14ac:dyDescent="0.3">
      <c r="A2959" s="22" t="s">
        <v>1344</v>
      </c>
      <c r="B2959" s="22">
        <v>70</v>
      </c>
      <c r="C2959" s="22"/>
      <c r="D2959" s="22"/>
      <c r="E2959" s="22"/>
      <c r="F2959" s="22"/>
      <c r="G2959" s="22"/>
      <c r="H2959" s="22"/>
      <c r="I2959" s="22"/>
      <c r="J2959" s="22"/>
      <c r="K2959" s="22"/>
      <c r="L2959" s="22"/>
      <c r="M2959" s="22"/>
      <c r="N2959" s="22"/>
    </row>
    <row r="2960" spans="1:14" x14ac:dyDescent="0.3">
      <c r="A2960" s="22" t="s">
        <v>5827</v>
      </c>
      <c r="B2960" s="22">
        <v>0</v>
      </c>
      <c r="C2960" s="22"/>
      <c r="D2960" s="22"/>
      <c r="E2960" s="22"/>
      <c r="F2960" s="22"/>
      <c r="G2960" s="22"/>
      <c r="H2960" s="22"/>
      <c r="I2960" s="22"/>
      <c r="J2960" s="22"/>
      <c r="K2960" s="22"/>
      <c r="L2960" s="22"/>
      <c r="M2960" s="22"/>
      <c r="N2960" s="22"/>
    </row>
    <row r="2961" spans="1:14" x14ac:dyDescent="0.3">
      <c r="A2961" s="22" t="s">
        <v>5828</v>
      </c>
      <c r="B2961" s="22">
        <v>0</v>
      </c>
      <c r="C2961" s="22"/>
      <c r="D2961" s="22"/>
      <c r="E2961" s="22"/>
      <c r="F2961" s="22"/>
      <c r="G2961" s="22"/>
      <c r="H2961" s="22"/>
      <c r="I2961" s="22"/>
      <c r="J2961" s="22"/>
      <c r="K2961" s="22"/>
      <c r="L2961" s="22"/>
      <c r="M2961" s="22"/>
      <c r="N2961" s="22"/>
    </row>
    <row r="2962" spans="1:14" x14ac:dyDescent="0.3">
      <c r="A2962" s="22" t="s">
        <v>5829</v>
      </c>
      <c r="B2962" s="22">
        <v>0</v>
      </c>
      <c r="C2962" s="22"/>
      <c r="D2962" s="22"/>
      <c r="E2962" s="22"/>
      <c r="F2962" s="22"/>
      <c r="G2962" s="22"/>
      <c r="H2962" s="22"/>
      <c r="I2962" s="22"/>
      <c r="J2962" s="22"/>
      <c r="K2962" s="22"/>
      <c r="L2962" s="22"/>
      <c r="M2962" s="22"/>
      <c r="N2962" s="22"/>
    </row>
    <row r="2963" spans="1:14" x14ac:dyDescent="0.3">
      <c r="A2963" s="22" t="s">
        <v>5830</v>
      </c>
      <c r="B2963" s="22">
        <v>0</v>
      </c>
      <c r="C2963" s="22"/>
      <c r="D2963" s="22"/>
      <c r="E2963" s="22"/>
      <c r="F2963" s="22"/>
      <c r="G2963" s="22"/>
      <c r="H2963" s="22"/>
      <c r="I2963" s="22"/>
      <c r="J2963" s="22"/>
      <c r="K2963" s="22"/>
      <c r="L2963" s="22"/>
      <c r="M2963" s="22"/>
      <c r="N2963" s="22"/>
    </row>
    <row r="2964" spans="1:14" x14ac:dyDescent="0.3">
      <c r="A2964" s="22" t="s">
        <v>5831</v>
      </c>
      <c r="B2964" s="22">
        <v>0</v>
      </c>
      <c r="C2964" s="22"/>
      <c r="D2964" s="22"/>
      <c r="E2964" s="22"/>
      <c r="F2964" s="22"/>
      <c r="G2964" s="22"/>
      <c r="H2964" s="22"/>
      <c r="I2964" s="22"/>
      <c r="J2964" s="22"/>
      <c r="K2964" s="22"/>
      <c r="L2964" s="22"/>
      <c r="M2964" s="22"/>
      <c r="N2964" s="22"/>
    </row>
    <row r="2965" spans="1:14" x14ac:dyDescent="0.3">
      <c r="A2965" s="22" t="s">
        <v>5832</v>
      </c>
      <c r="B2965" s="22">
        <v>0</v>
      </c>
      <c r="C2965" s="22"/>
      <c r="D2965" s="22"/>
      <c r="E2965" s="22"/>
      <c r="F2965" s="22"/>
      <c r="G2965" s="22"/>
      <c r="H2965" s="22"/>
      <c r="I2965" s="22"/>
      <c r="J2965" s="22"/>
      <c r="K2965" s="22"/>
      <c r="L2965" s="22"/>
      <c r="M2965" s="22"/>
      <c r="N2965" s="22"/>
    </row>
    <row r="2966" spans="1:14" x14ac:dyDescent="0.3">
      <c r="A2966" s="22" t="s">
        <v>5833</v>
      </c>
      <c r="B2966" s="22">
        <v>0</v>
      </c>
      <c r="C2966" s="22"/>
      <c r="D2966" s="22"/>
      <c r="E2966" s="22"/>
      <c r="F2966" s="22"/>
      <c r="G2966" s="22"/>
      <c r="H2966" s="22"/>
      <c r="I2966" s="22"/>
      <c r="J2966" s="22"/>
      <c r="K2966" s="22"/>
      <c r="L2966" s="22"/>
      <c r="M2966" s="22"/>
      <c r="N2966" s="22"/>
    </row>
    <row r="2967" spans="1:14" x14ac:dyDescent="0.3">
      <c r="A2967" s="22" t="s">
        <v>1561</v>
      </c>
      <c r="B2967" s="22">
        <v>333</v>
      </c>
      <c r="C2967" s="22"/>
      <c r="D2967" s="22"/>
      <c r="E2967" s="22"/>
      <c r="F2967" s="22"/>
      <c r="G2967" s="22"/>
      <c r="H2967" s="22"/>
      <c r="I2967" s="22"/>
      <c r="J2967" s="22"/>
      <c r="K2967" s="22"/>
      <c r="L2967" s="22"/>
      <c r="M2967" s="22"/>
      <c r="N2967" s="22"/>
    </row>
    <row r="2968" spans="1:14" x14ac:dyDescent="0.3">
      <c r="A2968" s="22" t="s">
        <v>5834</v>
      </c>
      <c r="B2968" s="22">
        <v>129</v>
      </c>
      <c r="C2968" s="22"/>
      <c r="D2968" s="22"/>
      <c r="E2968" s="22"/>
      <c r="F2968" s="22"/>
      <c r="G2968" s="22"/>
      <c r="H2968" s="22"/>
      <c r="I2968" s="22"/>
      <c r="J2968" s="22"/>
      <c r="K2968" s="22"/>
      <c r="L2968" s="22"/>
      <c r="M2968" s="22"/>
      <c r="N2968" s="22"/>
    </row>
    <row r="2969" spans="1:14" x14ac:dyDescent="0.3">
      <c r="A2969" s="22" t="s">
        <v>5835</v>
      </c>
      <c r="B2969" s="22">
        <v>0</v>
      </c>
      <c r="C2969" s="22"/>
      <c r="D2969" s="22"/>
      <c r="E2969" s="22"/>
      <c r="F2969" s="22"/>
      <c r="G2969" s="22"/>
      <c r="H2969" s="22"/>
      <c r="I2969" s="22"/>
      <c r="J2969" s="22"/>
      <c r="K2969" s="22"/>
      <c r="L2969" s="22"/>
      <c r="M2969" s="22"/>
      <c r="N2969" s="22"/>
    </row>
    <row r="2970" spans="1:14" x14ac:dyDescent="0.3">
      <c r="A2970" s="22" t="s">
        <v>5836</v>
      </c>
      <c r="B2970" s="22">
        <v>0</v>
      </c>
      <c r="C2970" s="22"/>
      <c r="D2970" s="22"/>
      <c r="E2970" s="22"/>
      <c r="F2970" s="22"/>
      <c r="G2970" s="22"/>
      <c r="H2970" s="22"/>
      <c r="I2970" s="22"/>
      <c r="J2970" s="22"/>
      <c r="K2970" s="22"/>
      <c r="L2970" s="22"/>
      <c r="M2970" s="22"/>
      <c r="N2970" s="22"/>
    </row>
    <row r="2971" spans="1:14" x14ac:dyDescent="0.3">
      <c r="A2971" s="22" t="s">
        <v>5837</v>
      </c>
      <c r="B2971" s="22">
        <v>0</v>
      </c>
      <c r="C2971" s="22"/>
      <c r="D2971" s="22"/>
      <c r="E2971" s="22"/>
      <c r="F2971" s="22"/>
      <c r="G2971" s="22"/>
      <c r="H2971" s="22"/>
      <c r="I2971" s="22"/>
      <c r="J2971" s="22"/>
      <c r="K2971" s="22"/>
      <c r="L2971" s="22"/>
      <c r="M2971" s="22"/>
      <c r="N2971" s="22"/>
    </row>
    <row r="2972" spans="1:14" x14ac:dyDescent="0.3">
      <c r="A2972" s="22" t="s">
        <v>5838</v>
      </c>
      <c r="B2972" s="22">
        <v>0</v>
      </c>
      <c r="C2972" s="22"/>
      <c r="D2972" s="22"/>
      <c r="E2972" s="22"/>
      <c r="F2972" s="22"/>
      <c r="G2972" s="22"/>
      <c r="H2972" s="22"/>
      <c r="I2972" s="22"/>
      <c r="J2972" s="22"/>
      <c r="K2972" s="22"/>
      <c r="L2972" s="22"/>
      <c r="M2972" s="22"/>
      <c r="N2972" s="22"/>
    </row>
    <row r="2973" spans="1:14" x14ac:dyDescent="0.3">
      <c r="A2973" s="22" t="s">
        <v>5839</v>
      </c>
      <c r="B2973" s="22">
        <v>0</v>
      </c>
      <c r="C2973" s="22"/>
      <c r="D2973" s="22"/>
      <c r="E2973" s="22"/>
      <c r="F2973" s="22"/>
      <c r="G2973" s="22"/>
      <c r="H2973" s="22"/>
      <c r="I2973" s="22"/>
      <c r="J2973" s="22"/>
      <c r="K2973" s="22"/>
      <c r="L2973" s="22"/>
      <c r="M2973" s="22"/>
      <c r="N2973" s="22"/>
    </row>
    <row r="2974" spans="1:14" x14ac:dyDescent="0.3">
      <c r="A2974" s="22" t="s">
        <v>5840</v>
      </c>
      <c r="B2974" s="22">
        <v>0</v>
      </c>
      <c r="C2974" s="22"/>
      <c r="D2974" s="22"/>
      <c r="E2974" s="22"/>
      <c r="F2974" s="22"/>
      <c r="G2974" s="22"/>
      <c r="H2974" s="22"/>
      <c r="I2974" s="22"/>
      <c r="J2974" s="22"/>
      <c r="K2974" s="22"/>
      <c r="L2974" s="22"/>
      <c r="M2974" s="22"/>
      <c r="N2974" s="22"/>
    </row>
    <row r="2975" spans="1:14" x14ac:dyDescent="0.3">
      <c r="A2975" s="22" t="s">
        <v>1564</v>
      </c>
      <c r="B2975" s="22">
        <v>40</v>
      </c>
      <c r="C2975" s="22"/>
      <c r="D2975" s="22"/>
      <c r="E2975" s="22"/>
      <c r="F2975" s="22"/>
      <c r="G2975" s="22"/>
      <c r="H2975" s="22"/>
      <c r="I2975" s="22"/>
      <c r="J2975" s="22"/>
      <c r="K2975" s="22"/>
      <c r="L2975" s="22"/>
      <c r="M2975" s="22"/>
      <c r="N2975" s="22"/>
    </row>
    <row r="2976" spans="1:14" x14ac:dyDescent="0.3">
      <c r="A2976" s="22" t="s">
        <v>5841</v>
      </c>
      <c r="B2976" s="22">
        <v>0</v>
      </c>
      <c r="C2976" s="22"/>
      <c r="D2976" s="22"/>
      <c r="E2976" s="22"/>
      <c r="F2976" s="22"/>
      <c r="G2976" s="22"/>
      <c r="H2976" s="22"/>
      <c r="I2976" s="22"/>
      <c r="J2976" s="22"/>
      <c r="K2976" s="22"/>
      <c r="L2976" s="22"/>
      <c r="M2976" s="22"/>
      <c r="N2976" s="22"/>
    </row>
    <row r="2977" spans="1:14" x14ac:dyDescent="0.3">
      <c r="A2977" s="22" t="s">
        <v>5842</v>
      </c>
      <c r="B2977" s="22">
        <v>0</v>
      </c>
      <c r="C2977" s="22"/>
      <c r="D2977" s="22"/>
      <c r="E2977" s="22"/>
      <c r="F2977" s="22"/>
      <c r="G2977" s="22"/>
      <c r="H2977" s="22"/>
      <c r="I2977" s="22"/>
      <c r="J2977" s="22"/>
      <c r="K2977" s="22"/>
      <c r="L2977" s="22"/>
      <c r="M2977" s="22"/>
      <c r="N2977" s="22"/>
    </row>
    <row r="2978" spans="1:14" x14ac:dyDescent="0.3">
      <c r="A2978" s="22" t="s">
        <v>5843</v>
      </c>
      <c r="B2978" s="22">
        <v>0</v>
      </c>
      <c r="C2978" s="22"/>
      <c r="D2978" s="22"/>
      <c r="E2978" s="22"/>
      <c r="F2978" s="22"/>
      <c r="G2978" s="22"/>
      <c r="H2978" s="22"/>
      <c r="I2978" s="22"/>
      <c r="J2978" s="22"/>
      <c r="K2978" s="22"/>
      <c r="L2978" s="22"/>
      <c r="M2978" s="22"/>
      <c r="N2978" s="22"/>
    </row>
    <row r="2979" spans="1:14" x14ac:dyDescent="0.3">
      <c r="A2979" s="22" t="s">
        <v>5844</v>
      </c>
      <c r="B2979" s="22">
        <v>0</v>
      </c>
      <c r="C2979" s="22"/>
      <c r="D2979" s="22"/>
      <c r="E2979" s="22"/>
      <c r="F2979" s="22"/>
      <c r="G2979" s="22"/>
      <c r="H2979" s="22"/>
      <c r="I2979" s="22"/>
      <c r="J2979" s="22"/>
      <c r="K2979" s="22"/>
      <c r="L2979" s="22"/>
      <c r="M2979" s="22"/>
      <c r="N2979" s="22"/>
    </row>
    <row r="2980" spans="1:14" x14ac:dyDescent="0.3">
      <c r="A2980" s="22" t="s">
        <v>5845</v>
      </c>
      <c r="B2980" s="22">
        <v>0</v>
      </c>
      <c r="C2980" s="22"/>
      <c r="D2980" s="22"/>
      <c r="E2980" s="22"/>
      <c r="F2980" s="22"/>
      <c r="G2980" s="22"/>
      <c r="H2980" s="22"/>
      <c r="I2980" s="22"/>
      <c r="J2980" s="22"/>
      <c r="K2980" s="22"/>
      <c r="L2980" s="22"/>
      <c r="M2980" s="22"/>
      <c r="N2980" s="22"/>
    </row>
    <row r="2981" spans="1:14" x14ac:dyDescent="0.3">
      <c r="A2981" s="22" t="s">
        <v>5846</v>
      </c>
      <c r="B2981" s="22">
        <v>0</v>
      </c>
      <c r="C2981" s="22"/>
      <c r="D2981" s="22"/>
      <c r="E2981" s="22"/>
      <c r="F2981" s="22"/>
      <c r="G2981" s="22"/>
      <c r="H2981" s="22"/>
      <c r="I2981" s="22"/>
      <c r="J2981" s="22"/>
      <c r="K2981" s="22"/>
      <c r="L2981" s="22"/>
      <c r="M2981" s="22"/>
      <c r="N2981" s="22"/>
    </row>
    <row r="2982" spans="1:14" x14ac:dyDescent="0.3">
      <c r="A2982" s="22" t="s">
        <v>5847</v>
      </c>
      <c r="B2982" s="22">
        <v>0</v>
      </c>
      <c r="C2982" s="22"/>
      <c r="D2982" s="22"/>
      <c r="E2982" s="22"/>
      <c r="F2982" s="22"/>
      <c r="G2982" s="22"/>
      <c r="H2982" s="22"/>
      <c r="I2982" s="22"/>
      <c r="J2982" s="22"/>
      <c r="K2982" s="22"/>
      <c r="L2982" s="22"/>
      <c r="M2982" s="22"/>
      <c r="N2982" s="22"/>
    </row>
    <row r="2983" spans="1:14" x14ac:dyDescent="0.3">
      <c r="A2983" s="22" t="s">
        <v>1346</v>
      </c>
      <c r="B2983" s="22">
        <v>63</v>
      </c>
      <c r="C2983" s="22"/>
      <c r="D2983" s="22"/>
      <c r="E2983" s="22"/>
      <c r="F2983" s="22"/>
      <c r="G2983" s="22"/>
      <c r="H2983" s="22"/>
      <c r="I2983" s="22"/>
      <c r="J2983" s="22"/>
      <c r="K2983" s="22"/>
      <c r="L2983" s="22"/>
      <c r="M2983" s="22"/>
      <c r="N2983" s="22"/>
    </row>
    <row r="2984" spans="1:14" x14ac:dyDescent="0.3">
      <c r="A2984" s="22" t="s">
        <v>5848</v>
      </c>
      <c r="B2984" s="22">
        <v>1</v>
      </c>
      <c r="C2984" s="22"/>
      <c r="D2984" s="22"/>
      <c r="E2984" s="22"/>
      <c r="F2984" s="22"/>
      <c r="G2984" s="22"/>
      <c r="H2984" s="22"/>
      <c r="I2984" s="22"/>
      <c r="J2984" s="22"/>
      <c r="K2984" s="22"/>
      <c r="L2984" s="22"/>
      <c r="M2984" s="22"/>
      <c r="N2984" s="22"/>
    </row>
    <row r="2985" spans="1:14" x14ac:dyDescent="0.3">
      <c r="A2985" s="22" t="s">
        <v>5849</v>
      </c>
      <c r="B2985" s="22">
        <v>0</v>
      </c>
      <c r="C2985" s="22"/>
      <c r="D2985" s="22"/>
      <c r="E2985" s="22"/>
      <c r="F2985" s="22"/>
      <c r="G2985" s="22"/>
      <c r="H2985" s="22"/>
      <c r="I2985" s="22"/>
      <c r="J2985" s="22"/>
      <c r="K2985" s="22"/>
      <c r="L2985" s="22"/>
      <c r="M2985" s="22"/>
      <c r="N2985" s="22"/>
    </row>
    <row r="2986" spans="1:14" x14ac:dyDescent="0.3">
      <c r="A2986" s="22" t="s">
        <v>5850</v>
      </c>
      <c r="B2986" s="22">
        <v>0</v>
      </c>
      <c r="C2986" s="22"/>
      <c r="D2986" s="22"/>
      <c r="E2986" s="22"/>
      <c r="F2986" s="22"/>
      <c r="G2986" s="22"/>
      <c r="H2986" s="22"/>
      <c r="I2986" s="22"/>
      <c r="J2986" s="22"/>
      <c r="K2986" s="22"/>
      <c r="L2986" s="22"/>
      <c r="M2986" s="22"/>
      <c r="N2986" s="22"/>
    </row>
    <row r="2987" spans="1:14" x14ac:dyDescent="0.3">
      <c r="A2987" s="22" t="s">
        <v>5851</v>
      </c>
      <c r="B2987" s="22">
        <v>0</v>
      </c>
      <c r="C2987" s="22"/>
      <c r="D2987" s="22"/>
      <c r="E2987" s="22"/>
      <c r="F2987" s="22"/>
      <c r="G2987" s="22"/>
      <c r="H2987" s="22"/>
      <c r="I2987" s="22"/>
      <c r="J2987" s="22"/>
      <c r="K2987" s="22"/>
      <c r="L2987" s="22"/>
      <c r="M2987" s="22"/>
      <c r="N2987" s="22"/>
    </row>
    <row r="2988" spans="1:14" x14ac:dyDescent="0.3">
      <c r="A2988" s="22" t="s">
        <v>5852</v>
      </c>
      <c r="B2988" s="22">
        <v>0</v>
      </c>
      <c r="C2988" s="22"/>
      <c r="D2988" s="22"/>
      <c r="E2988" s="22"/>
      <c r="F2988" s="22"/>
      <c r="G2988" s="22"/>
      <c r="H2988" s="22"/>
      <c r="I2988" s="22"/>
      <c r="J2988" s="22"/>
      <c r="K2988" s="22"/>
      <c r="L2988" s="22"/>
      <c r="M2988" s="22"/>
      <c r="N2988" s="22"/>
    </row>
    <row r="2989" spans="1:14" x14ac:dyDescent="0.3">
      <c r="A2989" s="22" t="s">
        <v>5853</v>
      </c>
      <c r="B2989" s="22">
        <v>0</v>
      </c>
      <c r="C2989" s="22"/>
      <c r="D2989" s="22"/>
      <c r="E2989" s="22"/>
      <c r="F2989" s="22"/>
      <c r="G2989" s="22"/>
      <c r="H2989" s="22"/>
      <c r="I2989" s="22"/>
      <c r="J2989" s="22"/>
      <c r="K2989" s="22"/>
      <c r="L2989" s="22"/>
      <c r="M2989" s="22"/>
      <c r="N2989" s="22"/>
    </row>
    <row r="2990" spans="1:14" x14ac:dyDescent="0.3">
      <c r="A2990" s="22" t="s">
        <v>5854</v>
      </c>
      <c r="B2990" s="22">
        <v>0</v>
      </c>
      <c r="C2990" s="22"/>
      <c r="D2990" s="22"/>
      <c r="E2990" s="22"/>
      <c r="F2990" s="22"/>
      <c r="G2990" s="22"/>
      <c r="H2990" s="22"/>
      <c r="I2990" s="22"/>
      <c r="J2990" s="22"/>
      <c r="K2990" s="22"/>
      <c r="L2990" s="22"/>
      <c r="M2990" s="22"/>
      <c r="N2990" s="22"/>
    </row>
    <row r="2991" spans="1:14" x14ac:dyDescent="0.3">
      <c r="A2991" s="22" t="s">
        <v>1565</v>
      </c>
      <c r="B2991" s="22">
        <v>258</v>
      </c>
      <c r="C2991" s="22"/>
      <c r="D2991" s="22"/>
      <c r="E2991" s="22"/>
      <c r="F2991" s="22"/>
      <c r="G2991" s="22"/>
      <c r="H2991" s="22"/>
      <c r="I2991" s="22"/>
      <c r="J2991" s="22"/>
      <c r="K2991" s="22"/>
      <c r="L2991" s="22"/>
      <c r="M2991" s="22"/>
      <c r="N2991" s="22"/>
    </row>
    <row r="2992" spans="1:14" x14ac:dyDescent="0.3">
      <c r="A2992" s="22" t="s">
        <v>5855</v>
      </c>
      <c r="B2992" s="22">
        <v>0</v>
      </c>
      <c r="C2992" s="22"/>
      <c r="D2992" s="22"/>
      <c r="E2992" s="22"/>
      <c r="F2992" s="22"/>
      <c r="G2992" s="22"/>
      <c r="H2992" s="22"/>
      <c r="I2992" s="22"/>
      <c r="J2992" s="22"/>
      <c r="K2992" s="22"/>
      <c r="L2992" s="22"/>
      <c r="M2992" s="22"/>
      <c r="N2992" s="22"/>
    </row>
    <row r="2993" spans="1:14" x14ac:dyDescent="0.3">
      <c r="A2993" s="22" t="s">
        <v>5856</v>
      </c>
      <c r="B2993" s="22">
        <v>0</v>
      </c>
      <c r="C2993" s="22"/>
      <c r="D2993" s="22"/>
      <c r="E2993" s="22"/>
      <c r="F2993" s="22"/>
      <c r="G2993" s="22"/>
      <c r="H2993" s="22"/>
      <c r="I2993" s="22"/>
      <c r="J2993" s="22"/>
      <c r="K2993" s="22"/>
      <c r="L2993" s="22"/>
      <c r="M2993" s="22"/>
      <c r="N2993" s="22"/>
    </row>
    <row r="2994" spans="1:14" x14ac:dyDescent="0.3">
      <c r="A2994" s="22" t="s">
        <v>5857</v>
      </c>
      <c r="B2994" s="22">
        <v>0</v>
      </c>
      <c r="C2994" s="22"/>
      <c r="D2994" s="22"/>
      <c r="E2994" s="22"/>
      <c r="F2994" s="22"/>
      <c r="G2994" s="22"/>
      <c r="H2994" s="22"/>
      <c r="I2994" s="22"/>
      <c r="J2994" s="22"/>
      <c r="K2994" s="22"/>
      <c r="L2994" s="22"/>
      <c r="M2994" s="22"/>
      <c r="N2994" s="22"/>
    </row>
    <row r="2995" spans="1:14" x14ac:dyDescent="0.3">
      <c r="A2995" s="22" t="s">
        <v>5858</v>
      </c>
      <c r="B2995" s="22">
        <v>0</v>
      </c>
      <c r="C2995" s="22"/>
      <c r="D2995" s="22"/>
      <c r="E2995" s="22"/>
      <c r="F2995" s="22"/>
      <c r="G2995" s="22"/>
      <c r="H2995" s="22"/>
      <c r="I2995" s="22"/>
      <c r="J2995" s="22"/>
      <c r="K2995" s="22"/>
      <c r="L2995" s="22"/>
      <c r="M2995" s="22"/>
      <c r="N2995" s="22"/>
    </row>
    <row r="2996" spans="1:14" x14ac:dyDescent="0.3">
      <c r="A2996" s="22" t="s">
        <v>5859</v>
      </c>
      <c r="B2996" s="22">
        <v>0</v>
      </c>
      <c r="C2996" s="22"/>
      <c r="D2996" s="22"/>
      <c r="E2996" s="22"/>
      <c r="F2996" s="22"/>
      <c r="G2996" s="22"/>
      <c r="H2996" s="22"/>
      <c r="I2996" s="22"/>
      <c r="J2996" s="22"/>
      <c r="K2996" s="22"/>
      <c r="L2996" s="22"/>
      <c r="M2996" s="22"/>
      <c r="N2996" s="22"/>
    </row>
    <row r="2997" spans="1:14" x14ac:dyDescent="0.3">
      <c r="A2997" s="22" t="s">
        <v>5860</v>
      </c>
      <c r="B2997" s="22">
        <v>0</v>
      </c>
      <c r="C2997" s="22"/>
      <c r="D2997" s="22"/>
      <c r="E2997" s="22"/>
      <c r="F2997" s="22"/>
      <c r="G2997" s="22"/>
      <c r="H2997" s="22"/>
      <c r="I2997" s="22"/>
      <c r="J2997" s="22"/>
      <c r="K2997" s="22"/>
      <c r="L2997" s="22"/>
      <c r="M2997" s="22"/>
      <c r="N2997" s="22"/>
    </row>
    <row r="2998" spans="1:14" x14ac:dyDescent="0.3">
      <c r="A2998" s="22" t="s">
        <v>5861</v>
      </c>
      <c r="B2998" s="22">
        <v>0</v>
      </c>
      <c r="C2998" s="22"/>
      <c r="D2998" s="22"/>
      <c r="E2998" s="22"/>
      <c r="F2998" s="22"/>
      <c r="G2998" s="22"/>
      <c r="H2998" s="22"/>
      <c r="I2998" s="22"/>
      <c r="J2998" s="22"/>
      <c r="K2998" s="22"/>
      <c r="L2998" s="22"/>
      <c r="M2998" s="22"/>
      <c r="N2998" s="22"/>
    </row>
    <row r="2999" spans="1:14" x14ac:dyDescent="0.3">
      <c r="A2999" s="22" t="s">
        <v>1568</v>
      </c>
      <c r="B2999" s="22">
        <v>190</v>
      </c>
      <c r="C2999" s="22"/>
      <c r="D2999" s="22"/>
      <c r="E2999" s="22"/>
      <c r="F2999" s="22"/>
      <c r="G2999" s="22"/>
      <c r="H2999" s="22"/>
      <c r="I2999" s="22"/>
      <c r="J2999" s="22"/>
      <c r="K2999" s="22"/>
      <c r="L2999" s="22"/>
      <c r="M2999" s="22"/>
      <c r="N2999" s="22"/>
    </row>
    <row r="3000" spans="1:14" x14ac:dyDescent="0.3">
      <c r="A3000" s="22" t="s">
        <v>5862</v>
      </c>
      <c r="B3000" s="22">
        <v>128</v>
      </c>
      <c r="C3000" s="22"/>
      <c r="D3000" s="22"/>
      <c r="E3000" s="22"/>
      <c r="F3000" s="22"/>
      <c r="G3000" s="22"/>
      <c r="H3000" s="22"/>
      <c r="I3000" s="22"/>
      <c r="J3000" s="22"/>
      <c r="K3000" s="22"/>
      <c r="L3000" s="22"/>
      <c r="M3000" s="22"/>
      <c r="N3000" s="22"/>
    </row>
    <row r="3001" spans="1:14" x14ac:dyDescent="0.3">
      <c r="A3001" s="22" t="s">
        <v>5863</v>
      </c>
      <c r="B3001" s="22">
        <v>0</v>
      </c>
      <c r="C3001" s="22"/>
      <c r="D3001" s="22"/>
      <c r="E3001" s="22"/>
      <c r="F3001" s="22"/>
      <c r="G3001" s="22"/>
      <c r="H3001" s="22"/>
      <c r="I3001" s="22"/>
      <c r="J3001" s="22"/>
      <c r="K3001" s="22"/>
      <c r="L3001" s="22"/>
      <c r="M3001" s="22"/>
      <c r="N3001" s="22"/>
    </row>
    <row r="3002" spans="1:14" x14ac:dyDescent="0.3">
      <c r="A3002" s="22" t="s">
        <v>5864</v>
      </c>
      <c r="B3002" s="22">
        <v>0</v>
      </c>
      <c r="C3002" s="22"/>
      <c r="D3002" s="22"/>
      <c r="E3002" s="22"/>
      <c r="F3002" s="22"/>
      <c r="G3002" s="22"/>
      <c r="H3002" s="22"/>
      <c r="I3002" s="22"/>
      <c r="J3002" s="22"/>
      <c r="K3002" s="22"/>
      <c r="L3002" s="22"/>
      <c r="M3002" s="22"/>
      <c r="N3002" s="22"/>
    </row>
    <row r="3003" spans="1:14" x14ac:dyDescent="0.3">
      <c r="A3003" s="22" t="s">
        <v>5865</v>
      </c>
      <c r="B3003" s="22">
        <v>0</v>
      </c>
      <c r="C3003" s="22"/>
      <c r="D3003" s="22"/>
      <c r="E3003" s="22"/>
      <c r="F3003" s="22"/>
      <c r="G3003" s="22"/>
      <c r="H3003" s="22"/>
      <c r="I3003" s="22"/>
      <c r="J3003" s="22"/>
      <c r="K3003" s="22"/>
      <c r="L3003" s="22"/>
      <c r="M3003" s="22"/>
      <c r="N3003" s="22"/>
    </row>
    <row r="3004" spans="1:14" x14ac:dyDescent="0.3">
      <c r="A3004" s="22" t="s">
        <v>5866</v>
      </c>
      <c r="B3004" s="22">
        <v>0</v>
      </c>
      <c r="C3004" s="22"/>
      <c r="D3004" s="22"/>
      <c r="E3004" s="22"/>
      <c r="F3004" s="22"/>
      <c r="G3004" s="22"/>
      <c r="H3004" s="22"/>
      <c r="I3004" s="22"/>
      <c r="J3004" s="22"/>
      <c r="K3004" s="22"/>
      <c r="L3004" s="22"/>
      <c r="M3004" s="22"/>
      <c r="N3004" s="22"/>
    </row>
    <row r="3005" spans="1:14" x14ac:dyDescent="0.3">
      <c r="A3005" s="22" t="s">
        <v>5867</v>
      </c>
      <c r="B3005" s="22">
        <v>0</v>
      </c>
      <c r="C3005" s="22"/>
      <c r="D3005" s="22"/>
      <c r="E3005" s="22"/>
      <c r="F3005" s="22"/>
      <c r="G3005" s="22"/>
      <c r="H3005" s="22"/>
      <c r="I3005" s="22"/>
      <c r="J3005" s="22"/>
      <c r="K3005" s="22"/>
      <c r="L3005" s="22"/>
      <c r="M3005" s="22"/>
      <c r="N3005" s="22"/>
    </row>
    <row r="3006" spans="1:14" x14ac:dyDescent="0.3">
      <c r="A3006" s="22" t="s">
        <v>5868</v>
      </c>
      <c r="B3006" s="22">
        <v>0</v>
      </c>
      <c r="C3006" s="22"/>
      <c r="D3006" s="22"/>
      <c r="E3006" s="22"/>
      <c r="F3006" s="22"/>
      <c r="G3006" s="22"/>
      <c r="H3006" s="22"/>
      <c r="I3006" s="22"/>
      <c r="J3006" s="22"/>
      <c r="K3006" s="22"/>
      <c r="L3006" s="22"/>
      <c r="M3006" s="22"/>
      <c r="N3006" s="22"/>
    </row>
    <row r="3007" spans="1:14" x14ac:dyDescent="0.3">
      <c r="A3007" s="22" t="s">
        <v>1348</v>
      </c>
      <c r="B3007" s="22">
        <v>61</v>
      </c>
      <c r="C3007" s="22"/>
      <c r="D3007" s="22"/>
      <c r="E3007" s="22"/>
      <c r="F3007" s="22"/>
      <c r="G3007" s="22"/>
      <c r="H3007" s="22"/>
      <c r="I3007" s="22"/>
      <c r="J3007" s="22"/>
      <c r="K3007" s="22"/>
      <c r="L3007" s="22"/>
      <c r="M3007" s="22"/>
      <c r="N3007" s="22"/>
    </row>
    <row r="3008" spans="1:14" x14ac:dyDescent="0.3">
      <c r="A3008" s="22" t="s">
        <v>5869</v>
      </c>
      <c r="B3008" s="22">
        <v>0</v>
      </c>
      <c r="C3008" s="22"/>
      <c r="D3008" s="22"/>
      <c r="E3008" s="22"/>
      <c r="F3008" s="22"/>
      <c r="G3008" s="22"/>
      <c r="H3008" s="22"/>
      <c r="I3008" s="22"/>
      <c r="J3008" s="22"/>
      <c r="K3008" s="22"/>
      <c r="L3008" s="22"/>
      <c r="M3008" s="22"/>
      <c r="N3008" s="22"/>
    </row>
    <row r="3009" spans="1:14" x14ac:dyDescent="0.3">
      <c r="A3009" s="22" t="s">
        <v>5870</v>
      </c>
      <c r="B3009" s="22">
        <v>0</v>
      </c>
      <c r="C3009" s="22"/>
      <c r="D3009" s="22"/>
      <c r="E3009" s="22"/>
      <c r="F3009" s="22"/>
      <c r="G3009" s="22"/>
      <c r="H3009" s="22"/>
      <c r="I3009" s="22"/>
      <c r="J3009" s="22"/>
      <c r="K3009" s="22"/>
      <c r="L3009" s="22"/>
      <c r="M3009" s="22"/>
      <c r="N3009" s="22"/>
    </row>
    <row r="3010" spans="1:14" x14ac:dyDescent="0.3">
      <c r="A3010" s="22" t="s">
        <v>5871</v>
      </c>
      <c r="B3010" s="22">
        <v>0</v>
      </c>
      <c r="C3010" s="22"/>
      <c r="D3010" s="22"/>
      <c r="E3010" s="22"/>
      <c r="F3010" s="22"/>
      <c r="G3010" s="22"/>
      <c r="H3010" s="22"/>
      <c r="I3010" s="22"/>
      <c r="J3010" s="22"/>
      <c r="K3010" s="22"/>
      <c r="L3010" s="22"/>
      <c r="M3010" s="22"/>
      <c r="N3010" s="22"/>
    </row>
    <row r="3011" spans="1:14" x14ac:dyDescent="0.3">
      <c r="A3011" s="22" t="s">
        <v>5872</v>
      </c>
      <c r="B3011" s="22">
        <v>0</v>
      </c>
      <c r="C3011" s="22"/>
      <c r="D3011" s="22"/>
      <c r="E3011" s="22"/>
      <c r="F3011" s="22"/>
      <c r="G3011" s="22"/>
      <c r="H3011" s="22"/>
      <c r="I3011" s="22"/>
      <c r="J3011" s="22"/>
      <c r="K3011" s="22"/>
      <c r="L3011" s="22"/>
      <c r="M3011" s="22"/>
      <c r="N3011" s="22"/>
    </row>
    <row r="3012" spans="1:14" x14ac:dyDescent="0.3">
      <c r="A3012" s="22" t="s">
        <v>5873</v>
      </c>
      <c r="B3012" s="22">
        <v>0</v>
      </c>
      <c r="C3012" s="22"/>
      <c r="D3012" s="22"/>
      <c r="E3012" s="22"/>
      <c r="F3012" s="22"/>
      <c r="G3012" s="22"/>
      <c r="H3012" s="22"/>
      <c r="I3012" s="22"/>
      <c r="J3012" s="22"/>
      <c r="K3012" s="22"/>
      <c r="L3012" s="22"/>
      <c r="M3012" s="22"/>
      <c r="N3012" s="22"/>
    </row>
    <row r="3013" spans="1:14" x14ac:dyDescent="0.3">
      <c r="A3013" s="22" t="s">
        <v>5874</v>
      </c>
      <c r="B3013" s="22">
        <v>0</v>
      </c>
      <c r="C3013" s="22"/>
      <c r="D3013" s="22"/>
      <c r="E3013" s="22"/>
      <c r="F3013" s="22"/>
      <c r="G3013" s="22"/>
      <c r="H3013" s="22"/>
      <c r="I3013" s="22"/>
      <c r="J3013" s="22"/>
      <c r="K3013" s="22"/>
      <c r="L3013" s="22"/>
      <c r="M3013" s="22"/>
      <c r="N3013" s="22"/>
    </row>
    <row r="3014" spans="1:14" x14ac:dyDescent="0.3">
      <c r="A3014" s="22" t="s">
        <v>5875</v>
      </c>
      <c r="B3014" s="22">
        <v>0</v>
      </c>
      <c r="C3014" s="22"/>
      <c r="D3014" s="22"/>
      <c r="E3014" s="22"/>
      <c r="F3014" s="22"/>
      <c r="G3014" s="22"/>
      <c r="H3014" s="22"/>
      <c r="I3014" s="22"/>
      <c r="J3014" s="22"/>
      <c r="K3014" s="22"/>
      <c r="L3014" s="22"/>
      <c r="M3014" s="22"/>
      <c r="N3014" s="22"/>
    </row>
    <row r="3015" spans="1:14" x14ac:dyDescent="0.3">
      <c r="A3015" s="22" t="s">
        <v>1569</v>
      </c>
      <c r="B3015" s="22">
        <v>210</v>
      </c>
      <c r="C3015" s="22"/>
      <c r="D3015" s="22"/>
      <c r="E3015" s="22"/>
      <c r="F3015" s="22"/>
      <c r="G3015" s="22"/>
      <c r="H3015" s="22"/>
      <c r="I3015" s="22"/>
      <c r="J3015" s="22"/>
      <c r="K3015" s="22"/>
      <c r="L3015" s="22"/>
      <c r="M3015" s="22"/>
      <c r="N3015" s="22"/>
    </row>
    <row r="3016" spans="1:14" x14ac:dyDescent="0.3">
      <c r="A3016" s="22" t="s">
        <v>5876</v>
      </c>
      <c r="B3016" s="22">
        <v>197</v>
      </c>
      <c r="C3016" s="22"/>
      <c r="D3016" s="22"/>
      <c r="E3016" s="22"/>
      <c r="F3016" s="22"/>
      <c r="G3016" s="22"/>
      <c r="H3016" s="22"/>
      <c r="I3016" s="22"/>
      <c r="J3016" s="22"/>
      <c r="K3016" s="22"/>
      <c r="L3016" s="22"/>
      <c r="M3016" s="22"/>
      <c r="N3016" s="22"/>
    </row>
    <row r="3017" spans="1:14" x14ac:dyDescent="0.3">
      <c r="A3017" s="22" t="s">
        <v>5877</v>
      </c>
      <c r="B3017" s="22">
        <v>0</v>
      </c>
      <c r="C3017" s="22"/>
      <c r="D3017" s="22"/>
      <c r="E3017" s="22"/>
      <c r="F3017" s="22"/>
      <c r="G3017" s="22"/>
      <c r="H3017" s="22"/>
      <c r="I3017" s="22"/>
      <c r="J3017" s="22"/>
      <c r="K3017" s="22"/>
      <c r="L3017" s="22"/>
      <c r="M3017" s="22"/>
      <c r="N3017" s="22"/>
    </row>
    <row r="3018" spans="1:14" x14ac:dyDescent="0.3">
      <c r="A3018" s="22" t="s">
        <v>5878</v>
      </c>
      <c r="B3018" s="22">
        <v>0</v>
      </c>
      <c r="C3018" s="22"/>
      <c r="D3018" s="22"/>
      <c r="E3018" s="22"/>
      <c r="F3018" s="22"/>
      <c r="G3018" s="22"/>
      <c r="H3018" s="22"/>
      <c r="I3018" s="22"/>
      <c r="J3018" s="22"/>
      <c r="K3018" s="22"/>
      <c r="L3018" s="22"/>
      <c r="M3018" s="22"/>
      <c r="N3018" s="22"/>
    </row>
    <row r="3019" spans="1:14" x14ac:dyDescent="0.3">
      <c r="A3019" s="22" t="s">
        <v>5879</v>
      </c>
      <c r="B3019" s="22">
        <v>0</v>
      </c>
      <c r="C3019" s="22"/>
      <c r="D3019" s="22"/>
      <c r="E3019" s="22"/>
      <c r="F3019" s="22"/>
      <c r="G3019" s="22"/>
      <c r="H3019" s="22"/>
      <c r="I3019" s="22"/>
      <c r="J3019" s="22"/>
      <c r="K3019" s="22"/>
      <c r="L3019" s="22"/>
      <c r="M3019" s="22"/>
      <c r="N3019" s="22"/>
    </row>
    <row r="3020" spans="1:14" x14ac:dyDescent="0.3">
      <c r="A3020" s="22" t="s">
        <v>5880</v>
      </c>
      <c r="B3020" s="22">
        <v>0</v>
      </c>
      <c r="C3020" s="22"/>
      <c r="D3020" s="22"/>
      <c r="E3020" s="22"/>
      <c r="F3020" s="22"/>
      <c r="G3020" s="22"/>
      <c r="H3020" s="22"/>
      <c r="I3020" s="22"/>
      <c r="J3020" s="22"/>
      <c r="K3020" s="22"/>
      <c r="L3020" s="22"/>
      <c r="M3020" s="22"/>
      <c r="N3020" s="22"/>
    </row>
    <row r="3021" spans="1:14" x14ac:dyDescent="0.3">
      <c r="A3021" s="22" t="s">
        <v>5881</v>
      </c>
      <c r="B3021" s="22">
        <v>0</v>
      </c>
      <c r="C3021" s="22"/>
      <c r="D3021" s="22"/>
      <c r="E3021" s="22"/>
      <c r="F3021" s="22"/>
      <c r="G3021" s="22"/>
      <c r="H3021" s="22"/>
      <c r="I3021" s="22"/>
      <c r="J3021" s="22"/>
      <c r="K3021" s="22"/>
      <c r="L3021" s="22"/>
      <c r="M3021" s="22"/>
      <c r="N3021" s="22"/>
    </row>
    <row r="3022" spans="1:14" x14ac:dyDescent="0.3">
      <c r="A3022" s="22" t="s">
        <v>5882</v>
      </c>
      <c r="B3022" s="22">
        <v>0</v>
      </c>
      <c r="C3022" s="22"/>
      <c r="D3022" s="22"/>
      <c r="E3022" s="22"/>
      <c r="F3022" s="22"/>
      <c r="G3022" s="22"/>
      <c r="H3022" s="22"/>
      <c r="I3022" s="22"/>
      <c r="J3022" s="22"/>
      <c r="K3022" s="22"/>
      <c r="L3022" s="22"/>
      <c r="M3022" s="22"/>
      <c r="N3022" s="22"/>
    </row>
    <row r="3023" spans="1:14" x14ac:dyDescent="0.3">
      <c r="A3023" s="22" t="s">
        <v>1572</v>
      </c>
      <c r="B3023" s="22">
        <v>25</v>
      </c>
      <c r="C3023" s="22"/>
      <c r="D3023" s="22"/>
      <c r="E3023" s="22"/>
      <c r="F3023" s="22"/>
      <c r="G3023" s="22"/>
      <c r="H3023" s="22"/>
      <c r="I3023" s="22"/>
      <c r="J3023" s="22"/>
      <c r="K3023" s="22"/>
      <c r="L3023" s="22"/>
      <c r="M3023" s="22"/>
      <c r="N3023" s="22"/>
    </row>
    <row r="3024" spans="1:14" x14ac:dyDescent="0.3">
      <c r="A3024" s="22" t="s">
        <v>5521</v>
      </c>
      <c r="B3024" s="22">
        <v>0</v>
      </c>
      <c r="C3024" s="22"/>
      <c r="D3024" s="22"/>
      <c r="E3024" s="22"/>
      <c r="F3024" s="22"/>
      <c r="G3024" s="22"/>
      <c r="H3024" s="22"/>
      <c r="I3024" s="22"/>
      <c r="J3024" s="22"/>
      <c r="K3024" s="22"/>
      <c r="L3024" s="22"/>
      <c r="M3024" s="22"/>
      <c r="N3024" s="22"/>
    </row>
    <row r="3025" spans="1:14" x14ac:dyDescent="0.3">
      <c r="A3025" s="22" t="s">
        <v>5522</v>
      </c>
      <c r="B3025" s="22">
        <v>0</v>
      </c>
      <c r="C3025" s="22"/>
      <c r="D3025" s="22"/>
      <c r="E3025" s="22"/>
      <c r="F3025" s="22"/>
      <c r="G3025" s="22"/>
      <c r="H3025" s="22"/>
      <c r="I3025" s="22"/>
      <c r="J3025" s="22"/>
      <c r="K3025" s="22"/>
      <c r="L3025" s="22"/>
      <c r="M3025" s="22"/>
      <c r="N3025" s="22"/>
    </row>
    <row r="3026" spans="1:14" x14ac:dyDescent="0.3">
      <c r="A3026" s="22" t="s">
        <v>5523</v>
      </c>
      <c r="B3026" s="22">
        <v>0</v>
      </c>
      <c r="C3026" s="22"/>
      <c r="D3026" s="22"/>
      <c r="E3026" s="22"/>
      <c r="F3026" s="22"/>
      <c r="G3026" s="22"/>
      <c r="H3026" s="22"/>
      <c r="I3026" s="22"/>
      <c r="J3026" s="22"/>
      <c r="K3026" s="22"/>
      <c r="L3026" s="22"/>
      <c r="M3026" s="22"/>
      <c r="N3026" s="22"/>
    </row>
    <row r="3027" spans="1:14" x14ac:dyDescent="0.3">
      <c r="A3027" s="22" t="s">
        <v>5524</v>
      </c>
      <c r="B3027" s="22">
        <v>0</v>
      </c>
      <c r="C3027" s="22"/>
      <c r="D3027" s="22"/>
      <c r="E3027" s="22"/>
      <c r="F3027" s="22"/>
      <c r="G3027" s="22"/>
      <c r="H3027" s="22"/>
      <c r="I3027" s="22"/>
      <c r="J3027" s="22"/>
      <c r="K3027" s="22"/>
      <c r="L3027" s="22"/>
      <c r="M3027" s="22"/>
      <c r="N3027" s="22"/>
    </row>
    <row r="3028" spans="1:14" x14ac:dyDescent="0.3">
      <c r="A3028" s="22" t="s">
        <v>5525</v>
      </c>
      <c r="B3028" s="22">
        <v>0</v>
      </c>
      <c r="C3028" s="22"/>
      <c r="D3028" s="22"/>
      <c r="E3028" s="22"/>
      <c r="F3028" s="22"/>
      <c r="G3028" s="22"/>
      <c r="H3028" s="22"/>
      <c r="I3028" s="22"/>
      <c r="J3028" s="22"/>
      <c r="K3028" s="22"/>
      <c r="L3028" s="22"/>
      <c r="M3028" s="22"/>
      <c r="N3028" s="22"/>
    </row>
    <row r="3029" spans="1:14" x14ac:dyDescent="0.3">
      <c r="A3029" s="22" t="s">
        <v>5526</v>
      </c>
      <c r="B3029" s="22">
        <v>0</v>
      </c>
      <c r="C3029" s="22"/>
      <c r="D3029" s="22"/>
      <c r="E3029" s="22"/>
      <c r="F3029" s="22"/>
      <c r="G3029" s="22"/>
      <c r="H3029" s="22"/>
      <c r="I3029" s="22"/>
      <c r="J3029" s="22"/>
      <c r="K3029" s="22"/>
      <c r="L3029" s="22"/>
      <c r="M3029" s="22"/>
      <c r="N3029" s="22"/>
    </row>
    <row r="3030" spans="1:14" x14ac:dyDescent="0.3">
      <c r="A3030" s="22" t="s">
        <v>5527</v>
      </c>
      <c r="B3030" s="22">
        <v>0</v>
      </c>
      <c r="C3030" s="22"/>
      <c r="D3030" s="22"/>
      <c r="E3030" s="22"/>
      <c r="F3030" s="22"/>
      <c r="G3030" s="22"/>
      <c r="H3030" s="22"/>
      <c r="I3030" s="22"/>
      <c r="J3030" s="22"/>
      <c r="K3030" s="22"/>
      <c r="L3030" s="22"/>
      <c r="M3030" s="22"/>
      <c r="N3030" s="22"/>
    </row>
    <row r="3031" spans="1:14" x14ac:dyDescent="0.3">
      <c r="A3031" s="22" t="s">
        <v>5063</v>
      </c>
      <c r="B3031" s="22">
        <v>3182</v>
      </c>
      <c r="C3031" s="22"/>
      <c r="D3031" s="22"/>
      <c r="E3031" s="22"/>
      <c r="F3031" s="22"/>
      <c r="G3031" s="22"/>
      <c r="H3031" s="22"/>
      <c r="I3031" s="22"/>
      <c r="J3031" s="22"/>
      <c r="K3031" s="22"/>
      <c r="L3031" s="22"/>
      <c r="M3031" s="22"/>
      <c r="N3031" s="22"/>
    </row>
    <row r="3032" spans="1:14" x14ac:dyDescent="0.3">
      <c r="A3032" s="22" t="s">
        <v>5064</v>
      </c>
      <c r="B3032" s="22">
        <v>561</v>
      </c>
      <c r="C3032" s="22"/>
      <c r="D3032" s="22"/>
      <c r="E3032" s="22"/>
      <c r="F3032" s="22"/>
      <c r="G3032" s="22"/>
      <c r="H3032" s="22"/>
      <c r="I3032" s="22"/>
      <c r="J3032" s="22"/>
      <c r="K3032" s="22"/>
      <c r="L3032" s="22"/>
      <c r="M3032" s="22"/>
      <c r="N3032" s="22"/>
    </row>
    <row r="3033" spans="1:14" x14ac:dyDescent="0.3">
      <c r="A3033" s="22" t="s">
        <v>5065</v>
      </c>
      <c r="B3033" s="22">
        <v>0</v>
      </c>
      <c r="C3033" s="22"/>
      <c r="D3033" s="22"/>
      <c r="E3033" s="22"/>
      <c r="F3033" s="22"/>
      <c r="G3033" s="22"/>
      <c r="H3033" s="22"/>
      <c r="I3033" s="22"/>
      <c r="J3033" s="22"/>
      <c r="K3033" s="22"/>
      <c r="L3033" s="22"/>
      <c r="M3033" s="22"/>
      <c r="N3033" s="22"/>
    </row>
    <row r="3034" spans="1:14" x14ac:dyDescent="0.3">
      <c r="A3034" s="22" t="s">
        <v>5066</v>
      </c>
      <c r="B3034" s="22">
        <v>27</v>
      </c>
      <c r="C3034" s="22"/>
      <c r="D3034" s="22"/>
      <c r="E3034" s="22"/>
      <c r="F3034" s="22"/>
      <c r="G3034" s="22"/>
      <c r="H3034" s="22"/>
      <c r="I3034" s="22"/>
      <c r="J3034" s="22"/>
      <c r="K3034" s="22"/>
      <c r="L3034" s="22"/>
      <c r="M3034" s="22"/>
      <c r="N3034" s="22"/>
    </row>
    <row r="3035" spans="1:14" x14ac:dyDescent="0.3">
      <c r="A3035" s="22" t="s">
        <v>5067</v>
      </c>
      <c r="B3035" s="22">
        <v>2</v>
      </c>
      <c r="C3035" s="22"/>
      <c r="D3035" s="22"/>
      <c r="E3035" s="22"/>
      <c r="F3035" s="22"/>
      <c r="G3035" s="22"/>
      <c r="H3035" s="22"/>
      <c r="I3035" s="22"/>
      <c r="J3035" s="22"/>
      <c r="K3035" s="22"/>
      <c r="L3035" s="22"/>
      <c r="M3035" s="22"/>
      <c r="N3035" s="22"/>
    </row>
    <row r="3036" spans="1:14" x14ac:dyDescent="0.3">
      <c r="A3036" s="22" t="s">
        <v>5068</v>
      </c>
      <c r="B3036" s="22">
        <v>0</v>
      </c>
      <c r="C3036" s="22"/>
      <c r="D3036" s="22"/>
      <c r="E3036" s="22"/>
      <c r="F3036" s="22"/>
      <c r="G3036" s="22"/>
      <c r="H3036" s="22"/>
      <c r="I3036" s="22"/>
      <c r="J3036" s="22"/>
      <c r="K3036" s="22"/>
      <c r="L3036" s="22"/>
      <c r="M3036" s="22"/>
      <c r="N3036" s="22"/>
    </row>
    <row r="3037" spans="1:14" x14ac:dyDescent="0.3">
      <c r="A3037" s="22" t="s">
        <v>5069</v>
      </c>
      <c r="B3037" s="22">
        <v>0</v>
      </c>
      <c r="C3037" s="22"/>
      <c r="D3037" s="22"/>
      <c r="E3037" s="22"/>
      <c r="F3037" s="22"/>
      <c r="G3037" s="22"/>
      <c r="H3037" s="22"/>
      <c r="I3037" s="22"/>
      <c r="J3037" s="22"/>
      <c r="K3037" s="22"/>
      <c r="L3037" s="22"/>
      <c r="M3037" s="22"/>
      <c r="N3037" s="22"/>
    </row>
    <row r="3038" spans="1:14" x14ac:dyDescent="0.3">
      <c r="A3038" s="22" t="s">
        <v>5070</v>
      </c>
      <c r="B3038" s="22">
        <v>0</v>
      </c>
      <c r="C3038" s="22"/>
      <c r="D3038" s="22"/>
      <c r="E3038" s="22"/>
      <c r="F3038" s="22"/>
      <c r="G3038" s="22"/>
      <c r="H3038" s="22"/>
      <c r="I3038" s="22"/>
      <c r="J3038" s="22"/>
      <c r="K3038" s="22"/>
      <c r="L3038" s="22"/>
      <c r="M3038" s="22"/>
      <c r="N3038" s="22"/>
    </row>
    <row r="3039" spans="1:14" x14ac:dyDescent="0.3">
      <c r="A3039" s="22" t="s">
        <v>5048</v>
      </c>
      <c r="B3039" s="22">
        <v>53</v>
      </c>
      <c r="C3039" s="22"/>
      <c r="D3039" s="22"/>
      <c r="E3039" s="22"/>
      <c r="F3039" s="22"/>
      <c r="G3039" s="22"/>
      <c r="H3039" s="22"/>
      <c r="I3039" s="22"/>
      <c r="J3039" s="22"/>
      <c r="K3039" s="22"/>
      <c r="L3039" s="22"/>
      <c r="M3039" s="22"/>
      <c r="N3039" s="22"/>
    </row>
    <row r="3040" spans="1:14" x14ac:dyDescent="0.3">
      <c r="A3040" s="22" t="s">
        <v>5049</v>
      </c>
      <c r="B3040" s="22">
        <v>90</v>
      </c>
      <c r="C3040" s="22"/>
      <c r="D3040" s="22"/>
      <c r="E3040" s="22"/>
      <c r="F3040" s="22"/>
      <c r="G3040" s="22"/>
      <c r="H3040" s="22"/>
      <c r="I3040" s="22"/>
      <c r="J3040" s="22"/>
      <c r="K3040" s="22"/>
      <c r="L3040" s="22"/>
      <c r="M3040" s="22"/>
      <c r="N3040" s="22"/>
    </row>
    <row r="3041" spans="1:14" x14ac:dyDescent="0.3">
      <c r="A3041" s="22" t="s">
        <v>5050</v>
      </c>
      <c r="B3041" s="22">
        <v>0</v>
      </c>
      <c r="C3041" s="22"/>
      <c r="D3041" s="22"/>
      <c r="E3041" s="22"/>
      <c r="F3041" s="22"/>
      <c r="G3041" s="22"/>
      <c r="H3041" s="22"/>
      <c r="I3041" s="22"/>
      <c r="J3041" s="22"/>
      <c r="K3041" s="22"/>
      <c r="L3041" s="22"/>
      <c r="M3041" s="22"/>
      <c r="N3041" s="22"/>
    </row>
    <row r="3042" spans="1:14" x14ac:dyDescent="0.3">
      <c r="A3042" s="22" t="s">
        <v>5051</v>
      </c>
      <c r="B3042" s="22">
        <v>4</v>
      </c>
      <c r="C3042" s="22"/>
      <c r="D3042" s="22"/>
      <c r="E3042" s="22"/>
      <c r="F3042" s="22"/>
      <c r="G3042" s="22"/>
      <c r="H3042" s="22"/>
      <c r="I3042" s="22"/>
      <c r="J3042" s="22"/>
      <c r="K3042" s="22"/>
      <c r="L3042" s="22"/>
      <c r="M3042" s="22"/>
      <c r="N3042" s="22"/>
    </row>
    <row r="3043" spans="1:14" x14ac:dyDescent="0.3">
      <c r="A3043" s="22" t="s">
        <v>5052</v>
      </c>
      <c r="B3043" s="22">
        <v>47</v>
      </c>
      <c r="C3043" s="22"/>
      <c r="D3043" s="22"/>
      <c r="E3043" s="22"/>
      <c r="F3043" s="22"/>
      <c r="G3043" s="22"/>
      <c r="H3043" s="22"/>
      <c r="I3043" s="22"/>
      <c r="J3043" s="22"/>
      <c r="K3043" s="22"/>
      <c r="L3043" s="22"/>
      <c r="M3043" s="22"/>
      <c r="N3043" s="22"/>
    </row>
    <row r="3044" spans="1:14" x14ac:dyDescent="0.3">
      <c r="A3044" s="22" t="s">
        <v>5053</v>
      </c>
      <c r="B3044" s="22">
        <v>0</v>
      </c>
      <c r="C3044" s="22"/>
      <c r="D3044" s="22"/>
      <c r="E3044" s="22"/>
      <c r="F3044" s="22"/>
      <c r="G3044" s="22"/>
      <c r="H3044" s="22"/>
      <c r="I3044" s="22"/>
      <c r="J3044" s="22"/>
      <c r="K3044" s="22"/>
      <c r="L3044" s="22"/>
      <c r="M3044" s="22"/>
      <c r="N3044" s="22"/>
    </row>
    <row r="3045" spans="1:14" x14ac:dyDescent="0.3">
      <c r="A3045" s="22" t="s">
        <v>5054</v>
      </c>
      <c r="B3045" s="22">
        <v>0</v>
      </c>
      <c r="C3045" s="22"/>
      <c r="D3045" s="22"/>
      <c r="E3045" s="22"/>
      <c r="F3045" s="22"/>
      <c r="G3045" s="22"/>
      <c r="H3045" s="22"/>
      <c r="I3045" s="22"/>
      <c r="J3045" s="22"/>
      <c r="K3045" s="22"/>
      <c r="L3045" s="22"/>
      <c r="M3045" s="22"/>
      <c r="N3045" s="22"/>
    </row>
    <row r="3046" spans="1:14" x14ac:dyDescent="0.3">
      <c r="A3046" s="22" t="s">
        <v>5055</v>
      </c>
      <c r="B3046" s="22">
        <v>0</v>
      </c>
      <c r="C3046" s="22"/>
      <c r="D3046" s="22"/>
      <c r="E3046" s="22"/>
      <c r="F3046" s="22"/>
      <c r="G3046" s="22"/>
      <c r="H3046" s="22"/>
      <c r="I3046" s="22"/>
      <c r="J3046" s="22"/>
      <c r="K3046" s="22"/>
      <c r="L3046" s="22"/>
      <c r="M3046" s="22"/>
      <c r="N3046" s="22"/>
    </row>
    <row r="3047" spans="1:14" x14ac:dyDescent="0.3">
      <c r="A3047" s="22" t="s">
        <v>1350</v>
      </c>
      <c r="B3047" s="22">
        <v>344</v>
      </c>
      <c r="C3047" s="22"/>
      <c r="D3047" s="22"/>
      <c r="E3047" s="22"/>
      <c r="F3047" s="22"/>
      <c r="G3047" s="22"/>
      <c r="H3047" s="22"/>
      <c r="I3047" s="22"/>
      <c r="J3047" s="22"/>
      <c r="K3047" s="22"/>
      <c r="L3047" s="22"/>
      <c r="M3047" s="22"/>
      <c r="N3047" s="22"/>
    </row>
    <row r="3048" spans="1:14" x14ac:dyDescent="0.3">
      <c r="A3048" s="22" t="s">
        <v>1351</v>
      </c>
      <c r="B3048" s="22">
        <v>89</v>
      </c>
      <c r="C3048" s="22"/>
      <c r="D3048" s="22"/>
      <c r="E3048" s="22"/>
      <c r="F3048" s="22"/>
      <c r="G3048" s="22"/>
      <c r="H3048" s="22"/>
      <c r="I3048" s="22"/>
      <c r="J3048" s="22"/>
      <c r="K3048" s="22"/>
      <c r="L3048" s="22"/>
      <c r="M3048" s="22"/>
      <c r="N3048" s="22"/>
    </row>
    <row r="3049" spans="1:14" x14ac:dyDescent="0.3">
      <c r="A3049" s="22" t="s">
        <v>1352</v>
      </c>
      <c r="B3049" s="22">
        <v>0</v>
      </c>
      <c r="C3049" s="22"/>
      <c r="D3049" s="22"/>
      <c r="E3049" s="22"/>
      <c r="F3049" s="22"/>
      <c r="G3049" s="22"/>
      <c r="H3049" s="22"/>
      <c r="I3049" s="22"/>
      <c r="J3049" s="22"/>
      <c r="K3049" s="22"/>
      <c r="L3049" s="22"/>
      <c r="M3049" s="22"/>
      <c r="N3049" s="22"/>
    </row>
    <row r="3050" spans="1:14" x14ac:dyDescent="0.3">
      <c r="A3050" s="22" t="s">
        <v>1353</v>
      </c>
      <c r="B3050" s="22">
        <v>0</v>
      </c>
      <c r="C3050" s="22"/>
      <c r="D3050" s="22"/>
      <c r="E3050" s="22"/>
      <c r="F3050" s="22"/>
      <c r="G3050" s="22"/>
      <c r="H3050" s="22"/>
      <c r="I3050" s="22"/>
      <c r="J3050" s="22"/>
      <c r="K3050" s="22"/>
      <c r="L3050" s="22"/>
      <c r="M3050" s="22"/>
      <c r="N3050" s="22"/>
    </row>
    <row r="3051" spans="1:14" x14ac:dyDescent="0.3">
      <c r="A3051" s="22" t="s">
        <v>1354</v>
      </c>
      <c r="B3051" s="22">
        <v>0</v>
      </c>
      <c r="C3051" s="22"/>
      <c r="D3051" s="22"/>
      <c r="E3051" s="22"/>
      <c r="F3051" s="22"/>
      <c r="G3051" s="22"/>
      <c r="H3051" s="22"/>
      <c r="I3051" s="22"/>
      <c r="J3051" s="22"/>
      <c r="K3051" s="22"/>
      <c r="L3051" s="22"/>
      <c r="M3051" s="22"/>
      <c r="N3051" s="22"/>
    </row>
    <row r="3052" spans="1:14" x14ac:dyDescent="0.3">
      <c r="A3052" s="22" t="s">
        <v>1355</v>
      </c>
      <c r="B3052" s="22">
        <v>0</v>
      </c>
      <c r="C3052" s="22"/>
      <c r="D3052" s="22"/>
      <c r="E3052" s="22"/>
      <c r="F3052" s="22"/>
      <c r="G3052" s="22"/>
      <c r="H3052" s="22"/>
      <c r="I3052" s="22"/>
      <c r="J3052" s="22"/>
      <c r="K3052" s="22"/>
      <c r="L3052" s="22"/>
      <c r="M3052" s="22"/>
      <c r="N3052" s="22"/>
    </row>
    <row r="3053" spans="1:14" x14ac:dyDescent="0.3">
      <c r="A3053" s="22" t="s">
        <v>1356</v>
      </c>
      <c r="B3053" s="22">
        <v>0</v>
      </c>
      <c r="C3053" s="22"/>
      <c r="D3053" s="22"/>
      <c r="E3053" s="22"/>
      <c r="F3053" s="22"/>
      <c r="G3053" s="22"/>
      <c r="H3053" s="22"/>
      <c r="I3053" s="22"/>
      <c r="J3053" s="22"/>
      <c r="K3053" s="22"/>
      <c r="L3053" s="22"/>
      <c r="M3053" s="22"/>
      <c r="N3053" s="22"/>
    </row>
    <row r="3054" spans="1:14" x14ac:dyDescent="0.3">
      <c r="A3054" s="22" t="s">
        <v>1357</v>
      </c>
      <c r="B3054" s="22">
        <v>0</v>
      </c>
      <c r="C3054" s="22"/>
      <c r="D3054" s="22"/>
      <c r="E3054" s="22"/>
      <c r="F3054" s="22"/>
      <c r="G3054" s="22"/>
      <c r="H3054" s="22"/>
      <c r="I3054" s="22"/>
      <c r="J3054" s="22"/>
      <c r="K3054" s="22"/>
      <c r="L3054" s="22"/>
      <c r="M3054" s="22"/>
      <c r="N3054" s="22"/>
    </row>
    <row r="3055" spans="1:14" x14ac:dyDescent="0.3">
      <c r="A3055" s="22" t="s">
        <v>1573</v>
      </c>
      <c r="B3055" s="22">
        <v>22</v>
      </c>
      <c r="C3055" s="22"/>
      <c r="D3055" s="22"/>
      <c r="E3055" s="22"/>
      <c r="F3055" s="22"/>
      <c r="G3055" s="22"/>
      <c r="H3055" s="22"/>
      <c r="I3055" s="22"/>
      <c r="J3055" s="22"/>
      <c r="K3055" s="22"/>
      <c r="L3055" s="22"/>
      <c r="M3055" s="22"/>
      <c r="N3055" s="22"/>
    </row>
    <row r="3056" spans="1:14" x14ac:dyDescent="0.3">
      <c r="A3056" s="22" t="s">
        <v>4044</v>
      </c>
      <c r="B3056" s="22">
        <v>8</v>
      </c>
      <c r="C3056" s="22"/>
      <c r="D3056" s="22"/>
      <c r="E3056" s="22"/>
      <c r="F3056" s="22"/>
      <c r="G3056" s="22"/>
      <c r="H3056" s="22"/>
      <c r="I3056" s="22"/>
      <c r="J3056" s="22"/>
      <c r="K3056" s="22"/>
      <c r="L3056" s="22"/>
      <c r="M3056" s="22"/>
      <c r="N3056" s="22"/>
    </row>
    <row r="3057" spans="1:14" x14ac:dyDescent="0.3">
      <c r="A3057" s="22" t="s">
        <v>4045</v>
      </c>
      <c r="B3057" s="22">
        <v>0</v>
      </c>
      <c r="C3057" s="22"/>
      <c r="D3057" s="22"/>
      <c r="E3057" s="22"/>
      <c r="F3057" s="22"/>
      <c r="G3057" s="22"/>
      <c r="H3057" s="22"/>
      <c r="I3057" s="22"/>
      <c r="J3057" s="22"/>
      <c r="K3057" s="22"/>
      <c r="L3057" s="22"/>
      <c r="M3057" s="22"/>
      <c r="N3057" s="22"/>
    </row>
    <row r="3058" spans="1:14" x14ac:dyDescent="0.3">
      <c r="A3058" s="22" t="s">
        <v>4046</v>
      </c>
      <c r="B3058" s="22">
        <v>0</v>
      </c>
      <c r="C3058" s="22"/>
      <c r="D3058" s="22"/>
      <c r="E3058" s="22"/>
      <c r="F3058" s="22"/>
      <c r="G3058" s="22"/>
      <c r="H3058" s="22"/>
      <c r="I3058" s="22"/>
      <c r="J3058" s="22"/>
      <c r="K3058" s="22"/>
      <c r="L3058" s="22"/>
      <c r="M3058" s="22"/>
      <c r="N3058" s="22"/>
    </row>
    <row r="3059" spans="1:14" x14ac:dyDescent="0.3">
      <c r="A3059" s="22" t="s">
        <v>4047</v>
      </c>
      <c r="B3059" s="22">
        <v>0</v>
      </c>
      <c r="C3059" s="22"/>
      <c r="D3059" s="22"/>
      <c r="E3059" s="22"/>
      <c r="F3059" s="22"/>
      <c r="G3059" s="22"/>
      <c r="H3059" s="22"/>
      <c r="I3059" s="22"/>
      <c r="J3059" s="22"/>
      <c r="K3059" s="22"/>
      <c r="L3059" s="22"/>
      <c r="M3059" s="22"/>
      <c r="N3059" s="22"/>
    </row>
    <row r="3060" spans="1:14" x14ac:dyDescent="0.3">
      <c r="A3060" s="22" t="s">
        <v>4048</v>
      </c>
      <c r="B3060" s="22">
        <v>0</v>
      </c>
      <c r="C3060" s="22"/>
      <c r="D3060" s="22"/>
      <c r="E3060" s="22"/>
      <c r="F3060" s="22"/>
      <c r="G3060" s="22"/>
      <c r="H3060" s="22"/>
      <c r="I3060" s="22"/>
      <c r="J3060" s="22"/>
      <c r="K3060" s="22"/>
      <c r="L3060" s="22"/>
      <c r="M3060" s="22"/>
      <c r="N3060" s="22"/>
    </row>
    <row r="3061" spans="1:14" x14ac:dyDescent="0.3">
      <c r="A3061" s="22" t="s">
        <v>4049</v>
      </c>
      <c r="B3061" s="22">
        <v>0</v>
      </c>
      <c r="C3061" s="22"/>
      <c r="D3061" s="22"/>
      <c r="E3061" s="22"/>
      <c r="F3061" s="22"/>
      <c r="G3061" s="22"/>
      <c r="H3061" s="22"/>
      <c r="I3061" s="22"/>
      <c r="J3061" s="22"/>
      <c r="K3061" s="22"/>
      <c r="L3061" s="22"/>
      <c r="M3061" s="22"/>
      <c r="N3061" s="22"/>
    </row>
    <row r="3062" spans="1:14" x14ac:dyDescent="0.3">
      <c r="A3062" s="22" t="s">
        <v>4050</v>
      </c>
      <c r="B3062" s="22">
        <v>0</v>
      </c>
      <c r="C3062" s="22"/>
      <c r="D3062" s="22"/>
      <c r="E3062" s="22"/>
      <c r="F3062" s="22"/>
      <c r="G3062" s="22"/>
      <c r="H3062" s="22"/>
      <c r="I3062" s="22"/>
      <c r="J3062" s="22"/>
      <c r="K3062" s="22"/>
      <c r="L3062" s="22"/>
      <c r="M3062" s="22"/>
      <c r="N3062" s="22"/>
    </row>
    <row r="3063" spans="1:14" x14ac:dyDescent="0.3">
      <c r="A3063" s="22" t="s">
        <v>1574</v>
      </c>
      <c r="B3063" s="22">
        <v>0</v>
      </c>
      <c r="C3063" s="22"/>
      <c r="D3063" s="22"/>
      <c r="E3063" s="22"/>
      <c r="F3063" s="22"/>
      <c r="G3063" s="22"/>
      <c r="H3063" s="22"/>
      <c r="I3063" s="22"/>
      <c r="J3063" s="22"/>
      <c r="K3063" s="22"/>
      <c r="L3063" s="22"/>
      <c r="M3063" s="22"/>
      <c r="N3063" s="22"/>
    </row>
    <row r="3064" spans="1:14" x14ac:dyDescent="0.3">
      <c r="A3064" s="22" t="s">
        <v>5339</v>
      </c>
      <c r="B3064" s="22">
        <v>0</v>
      </c>
      <c r="C3064" s="22"/>
      <c r="D3064" s="22"/>
      <c r="E3064" s="22"/>
      <c r="F3064" s="22"/>
      <c r="G3064" s="22"/>
      <c r="H3064" s="22"/>
      <c r="I3064" s="22"/>
      <c r="J3064" s="22"/>
      <c r="K3064" s="22"/>
      <c r="L3064" s="22"/>
      <c r="M3064" s="22"/>
      <c r="N3064" s="22"/>
    </row>
    <row r="3065" spans="1:14" x14ac:dyDescent="0.3">
      <c r="A3065" s="22" t="s">
        <v>5340</v>
      </c>
      <c r="B3065" s="22">
        <v>0</v>
      </c>
      <c r="C3065" s="22"/>
      <c r="D3065" s="22"/>
      <c r="E3065" s="22"/>
      <c r="F3065" s="22"/>
      <c r="G3065" s="22"/>
      <c r="H3065" s="22"/>
      <c r="I3065" s="22"/>
      <c r="J3065" s="22"/>
      <c r="K3065" s="22"/>
      <c r="L3065" s="22"/>
      <c r="M3065" s="22"/>
      <c r="N3065" s="22"/>
    </row>
    <row r="3066" spans="1:14" x14ac:dyDescent="0.3">
      <c r="A3066" s="22" t="s">
        <v>5341</v>
      </c>
      <c r="B3066" s="22">
        <v>0</v>
      </c>
      <c r="C3066" s="22"/>
      <c r="D3066" s="22"/>
      <c r="E3066" s="22"/>
      <c r="F3066" s="22"/>
      <c r="G3066" s="22"/>
      <c r="H3066" s="22"/>
      <c r="I3066" s="22"/>
      <c r="J3066" s="22"/>
      <c r="K3066" s="22"/>
      <c r="L3066" s="22"/>
      <c r="M3066" s="22"/>
      <c r="N3066" s="22"/>
    </row>
    <row r="3067" spans="1:14" x14ac:dyDescent="0.3">
      <c r="A3067" s="22" t="s">
        <v>5342</v>
      </c>
      <c r="B3067" s="22">
        <v>0</v>
      </c>
      <c r="C3067" s="22"/>
      <c r="D3067" s="22"/>
      <c r="E3067" s="22"/>
      <c r="F3067" s="22"/>
      <c r="G3067" s="22"/>
      <c r="H3067" s="22"/>
      <c r="I3067" s="22"/>
      <c r="J3067" s="22"/>
      <c r="K3067" s="22"/>
      <c r="L3067" s="22"/>
      <c r="M3067" s="22"/>
      <c r="N3067" s="22"/>
    </row>
    <row r="3068" spans="1:14" x14ac:dyDescent="0.3">
      <c r="A3068" s="22" t="s">
        <v>5343</v>
      </c>
      <c r="B3068" s="22">
        <v>0</v>
      </c>
      <c r="C3068" s="22"/>
      <c r="D3068" s="22"/>
      <c r="E3068" s="22"/>
      <c r="F3068" s="22"/>
      <c r="G3068" s="22"/>
      <c r="H3068" s="22"/>
      <c r="I3068" s="22"/>
      <c r="J3068" s="22"/>
      <c r="K3068" s="22"/>
      <c r="L3068" s="22"/>
      <c r="M3068" s="22"/>
      <c r="N3068" s="22"/>
    </row>
    <row r="3069" spans="1:14" x14ac:dyDescent="0.3">
      <c r="A3069" s="22" t="s">
        <v>5344</v>
      </c>
      <c r="B3069" s="22">
        <v>0</v>
      </c>
      <c r="C3069" s="22"/>
      <c r="D3069" s="22"/>
      <c r="E3069" s="22"/>
      <c r="F3069" s="22"/>
      <c r="G3069" s="22"/>
      <c r="H3069" s="22"/>
      <c r="I3069" s="22"/>
      <c r="J3069" s="22"/>
      <c r="K3069" s="22"/>
      <c r="L3069" s="22"/>
      <c r="M3069" s="22"/>
      <c r="N3069" s="22"/>
    </row>
    <row r="3070" spans="1:14" x14ac:dyDescent="0.3">
      <c r="A3070" s="22" t="s">
        <v>5345</v>
      </c>
      <c r="B3070" s="22">
        <v>0</v>
      </c>
      <c r="C3070" s="22"/>
      <c r="D3070" s="22"/>
      <c r="E3070" s="22"/>
      <c r="F3070" s="22"/>
      <c r="G3070" s="22"/>
      <c r="H3070" s="22"/>
      <c r="I3070" s="22"/>
      <c r="J3070" s="22"/>
      <c r="K3070" s="22"/>
      <c r="L3070" s="22"/>
      <c r="M3070" s="22"/>
      <c r="N3070" s="22"/>
    </row>
    <row r="3071" spans="1:14" x14ac:dyDescent="0.3">
      <c r="A3071" s="22" t="s">
        <v>1577</v>
      </c>
      <c r="B3071" s="22">
        <v>1256</v>
      </c>
      <c r="C3071" s="22"/>
      <c r="D3071" s="22"/>
      <c r="E3071" s="22"/>
      <c r="F3071" s="22"/>
      <c r="G3071" s="22"/>
      <c r="H3071" s="22"/>
      <c r="I3071" s="22"/>
      <c r="J3071" s="22"/>
      <c r="K3071" s="22"/>
      <c r="L3071" s="22"/>
      <c r="M3071" s="22"/>
      <c r="N3071" s="22"/>
    </row>
    <row r="3072" spans="1:14" x14ac:dyDescent="0.3">
      <c r="A3072" s="22" t="s">
        <v>4051</v>
      </c>
      <c r="B3072" s="22">
        <v>0</v>
      </c>
      <c r="C3072" s="22"/>
      <c r="D3072" s="22"/>
      <c r="E3072" s="22"/>
      <c r="F3072" s="22"/>
      <c r="G3072" s="22"/>
      <c r="H3072" s="22"/>
      <c r="I3072" s="22"/>
      <c r="J3072" s="22"/>
      <c r="K3072" s="22"/>
      <c r="L3072" s="22"/>
      <c r="M3072" s="22"/>
      <c r="N3072" s="22"/>
    </row>
    <row r="3073" spans="1:14" x14ac:dyDescent="0.3">
      <c r="A3073" s="22" t="s">
        <v>4052</v>
      </c>
      <c r="B3073" s="22">
        <v>0</v>
      </c>
      <c r="C3073" s="22"/>
      <c r="D3073" s="22"/>
      <c r="E3073" s="22"/>
      <c r="F3073" s="22"/>
      <c r="G3073" s="22"/>
      <c r="H3073" s="22"/>
      <c r="I3073" s="22"/>
      <c r="J3073" s="22"/>
      <c r="K3073" s="22"/>
      <c r="L3073" s="22"/>
      <c r="M3073" s="22"/>
      <c r="N3073" s="22"/>
    </row>
    <row r="3074" spans="1:14" x14ac:dyDescent="0.3">
      <c r="A3074" s="22" t="s">
        <v>4053</v>
      </c>
      <c r="B3074" s="22">
        <v>0</v>
      </c>
      <c r="C3074" s="22"/>
      <c r="D3074" s="22"/>
      <c r="E3074" s="22"/>
      <c r="F3074" s="22"/>
      <c r="G3074" s="22"/>
      <c r="H3074" s="22"/>
      <c r="I3074" s="22"/>
      <c r="J3074" s="22"/>
      <c r="K3074" s="22"/>
      <c r="L3074" s="22"/>
      <c r="M3074" s="22"/>
      <c r="N3074" s="22"/>
    </row>
    <row r="3075" spans="1:14" x14ac:dyDescent="0.3">
      <c r="A3075" s="22" t="s">
        <v>4054</v>
      </c>
      <c r="B3075" s="22">
        <v>1</v>
      </c>
      <c r="C3075" s="22"/>
      <c r="D3075" s="22"/>
      <c r="E3075" s="22"/>
      <c r="F3075" s="22"/>
      <c r="G3075" s="22"/>
      <c r="H3075" s="22"/>
      <c r="I3075" s="22"/>
      <c r="J3075" s="22"/>
      <c r="K3075" s="22"/>
      <c r="L3075" s="22"/>
      <c r="M3075" s="22"/>
      <c r="N3075" s="22"/>
    </row>
    <row r="3076" spans="1:14" x14ac:dyDescent="0.3">
      <c r="A3076" s="22" t="s">
        <v>4055</v>
      </c>
      <c r="B3076" s="22">
        <v>0</v>
      </c>
      <c r="C3076" s="22"/>
      <c r="D3076" s="22"/>
      <c r="E3076" s="22"/>
      <c r="F3076" s="22"/>
      <c r="G3076" s="22"/>
      <c r="H3076" s="22"/>
      <c r="I3076" s="22"/>
      <c r="J3076" s="22"/>
      <c r="K3076" s="22"/>
      <c r="L3076" s="22"/>
      <c r="M3076" s="22"/>
      <c r="N3076" s="22"/>
    </row>
    <row r="3077" spans="1:14" x14ac:dyDescent="0.3">
      <c r="A3077" s="22" t="s">
        <v>4056</v>
      </c>
      <c r="B3077" s="22">
        <v>0</v>
      </c>
      <c r="C3077" s="22"/>
      <c r="D3077" s="22"/>
      <c r="E3077" s="22"/>
      <c r="F3077" s="22"/>
      <c r="G3077" s="22"/>
      <c r="H3077" s="22"/>
      <c r="I3077" s="22"/>
      <c r="J3077" s="22"/>
      <c r="K3077" s="22"/>
      <c r="L3077" s="22"/>
      <c r="M3077" s="22"/>
      <c r="N3077" s="22"/>
    </row>
    <row r="3078" spans="1:14" x14ac:dyDescent="0.3">
      <c r="A3078" s="22" t="s">
        <v>4057</v>
      </c>
      <c r="B3078" s="22">
        <v>0</v>
      </c>
      <c r="C3078" s="22"/>
      <c r="D3078" s="22"/>
      <c r="E3078" s="22"/>
      <c r="F3078" s="22"/>
      <c r="G3078" s="22"/>
      <c r="H3078" s="22"/>
      <c r="I3078" s="22"/>
      <c r="J3078" s="22"/>
      <c r="K3078" s="22"/>
      <c r="L3078" s="22"/>
      <c r="M3078" s="22"/>
      <c r="N3078" s="22"/>
    </row>
    <row r="3079" spans="1:14" x14ac:dyDescent="0.3">
      <c r="A3079" s="22" t="s">
        <v>1579</v>
      </c>
      <c r="B3079" s="22">
        <v>708</v>
      </c>
      <c r="C3079" s="22"/>
      <c r="D3079" s="22"/>
      <c r="E3079" s="22"/>
      <c r="F3079" s="22"/>
      <c r="G3079" s="22"/>
      <c r="H3079" s="22"/>
      <c r="I3079" s="22"/>
      <c r="J3079" s="22"/>
      <c r="K3079" s="22"/>
      <c r="L3079" s="22"/>
      <c r="M3079" s="22"/>
      <c r="N3079" s="22"/>
    </row>
    <row r="3080" spans="1:14" x14ac:dyDescent="0.3">
      <c r="A3080" s="22" t="s">
        <v>4058</v>
      </c>
      <c r="B3080" s="22">
        <v>1</v>
      </c>
      <c r="C3080" s="22"/>
      <c r="D3080" s="22"/>
      <c r="E3080" s="22"/>
      <c r="F3080" s="22"/>
      <c r="G3080" s="22"/>
      <c r="H3080" s="22"/>
      <c r="I3080" s="22"/>
      <c r="J3080" s="22"/>
      <c r="K3080" s="22"/>
      <c r="L3080" s="22"/>
      <c r="M3080" s="22"/>
      <c r="N3080" s="22"/>
    </row>
    <row r="3081" spans="1:14" x14ac:dyDescent="0.3">
      <c r="A3081" s="22" t="s">
        <v>4059</v>
      </c>
      <c r="B3081" s="22">
        <v>0</v>
      </c>
      <c r="C3081" s="22"/>
      <c r="D3081" s="22"/>
      <c r="E3081" s="22"/>
      <c r="F3081" s="22"/>
      <c r="G3081" s="22"/>
      <c r="H3081" s="22"/>
      <c r="I3081" s="22"/>
      <c r="J3081" s="22"/>
      <c r="K3081" s="22"/>
      <c r="L3081" s="22"/>
      <c r="M3081" s="22"/>
      <c r="N3081" s="22"/>
    </row>
    <row r="3082" spans="1:14" x14ac:dyDescent="0.3">
      <c r="A3082" s="22" t="s">
        <v>4060</v>
      </c>
      <c r="B3082" s="22">
        <v>0</v>
      </c>
      <c r="C3082" s="22"/>
      <c r="D3082" s="22"/>
      <c r="E3082" s="22"/>
      <c r="F3082" s="22"/>
      <c r="G3082" s="22"/>
      <c r="H3082" s="22"/>
      <c r="I3082" s="22"/>
      <c r="J3082" s="22"/>
      <c r="K3082" s="22"/>
      <c r="L3082" s="22"/>
      <c r="M3082" s="22"/>
      <c r="N3082" s="22"/>
    </row>
    <row r="3083" spans="1:14" x14ac:dyDescent="0.3">
      <c r="A3083" s="22" t="s">
        <v>4061</v>
      </c>
      <c r="B3083" s="22">
        <v>2</v>
      </c>
      <c r="C3083" s="22"/>
      <c r="D3083" s="22"/>
      <c r="E3083" s="22"/>
      <c r="F3083" s="22"/>
      <c r="G3083" s="22"/>
      <c r="H3083" s="22"/>
      <c r="I3083" s="22"/>
      <c r="J3083" s="22"/>
      <c r="K3083" s="22"/>
      <c r="L3083" s="22"/>
      <c r="M3083" s="22"/>
      <c r="N3083" s="22"/>
    </row>
    <row r="3084" spans="1:14" x14ac:dyDescent="0.3">
      <c r="A3084" s="22" t="s">
        <v>4062</v>
      </c>
      <c r="B3084" s="22">
        <v>0</v>
      </c>
      <c r="C3084" s="22"/>
      <c r="D3084" s="22"/>
      <c r="E3084" s="22"/>
      <c r="F3084" s="22"/>
      <c r="G3084" s="22"/>
      <c r="H3084" s="22"/>
      <c r="I3084" s="22"/>
      <c r="J3084" s="22"/>
      <c r="K3084" s="22"/>
      <c r="L3084" s="22"/>
      <c r="M3084" s="22"/>
      <c r="N3084" s="22"/>
    </row>
    <row r="3085" spans="1:14" x14ac:dyDescent="0.3">
      <c r="A3085" s="22" t="s">
        <v>4063</v>
      </c>
      <c r="B3085" s="22">
        <v>0</v>
      </c>
      <c r="C3085" s="22"/>
      <c r="D3085" s="22"/>
      <c r="E3085" s="22"/>
      <c r="F3085" s="22"/>
      <c r="G3085" s="22"/>
      <c r="H3085" s="22"/>
      <c r="I3085" s="22"/>
      <c r="J3085" s="22"/>
      <c r="K3085" s="22"/>
      <c r="L3085" s="22"/>
      <c r="M3085" s="22"/>
      <c r="N3085" s="22"/>
    </row>
    <row r="3086" spans="1:14" x14ac:dyDescent="0.3">
      <c r="A3086" s="22" t="s">
        <v>4064</v>
      </c>
      <c r="B3086" s="22">
        <v>0</v>
      </c>
      <c r="C3086" s="22"/>
      <c r="D3086" s="22"/>
      <c r="E3086" s="22"/>
      <c r="F3086" s="22"/>
      <c r="G3086" s="22"/>
      <c r="H3086" s="22"/>
      <c r="I3086" s="22"/>
      <c r="J3086" s="22"/>
      <c r="K3086" s="22"/>
      <c r="L3086" s="22"/>
      <c r="M3086" s="22"/>
      <c r="N3086" s="22"/>
    </row>
    <row r="3087" spans="1:14" x14ac:dyDescent="0.3">
      <c r="A3087" s="22" t="s">
        <v>1580</v>
      </c>
      <c r="B3087" s="22">
        <v>2103</v>
      </c>
      <c r="C3087" s="22"/>
      <c r="D3087" s="22"/>
      <c r="E3087" s="22"/>
      <c r="F3087" s="22"/>
      <c r="G3087" s="22"/>
      <c r="H3087" s="22"/>
      <c r="I3087" s="22"/>
      <c r="J3087" s="22"/>
      <c r="K3087" s="22"/>
      <c r="L3087" s="22"/>
      <c r="M3087" s="22"/>
      <c r="N3087" s="22"/>
    </row>
    <row r="3088" spans="1:14" x14ac:dyDescent="0.3">
      <c r="A3088" s="22" t="s">
        <v>4065</v>
      </c>
      <c r="B3088" s="22">
        <v>147</v>
      </c>
      <c r="C3088" s="22"/>
      <c r="D3088" s="22"/>
      <c r="E3088" s="22"/>
      <c r="F3088" s="22"/>
      <c r="G3088" s="22"/>
      <c r="H3088" s="22"/>
      <c r="I3088" s="22"/>
      <c r="J3088" s="22"/>
      <c r="K3088" s="22"/>
      <c r="L3088" s="22"/>
      <c r="M3088" s="22"/>
      <c r="N3088" s="22"/>
    </row>
    <row r="3089" spans="1:14" x14ac:dyDescent="0.3">
      <c r="A3089" s="22" t="s">
        <v>4066</v>
      </c>
      <c r="B3089" s="22">
        <v>0</v>
      </c>
      <c r="C3089" s="22"/>
      <c r="D3089" s="22"/>
      <c r="E3089" s="22"/>
      <c r="F3089" s="22"/>
      <c r="G3089" s="22"/>
      <c r="H3089" s="22"/>
      <c r="I3089" s="22"/>
      <c r="J3089" s="22"/>
      <c r="K3089" s="22"/>
      <c r="L3089" s="22"/>
      <c r="M3089" s="22"/>
      <c r="N3089" s="22"/>
    </row>
    <row r="3090" spans="1:14" x14ac:dyDescent="0.3">
      <c r="A3090" s="22" t="s">
        <v>4067</v>
      </c>
      <c r="B3090" s="22">
        <v>16</v>
      </c>
      <c r="C3090" s="22"/>
      <c r="D3090" s="22"/>
      <c r="E3090" s="22"/>
      <c r="F3090" s="22"/>
      <c r="G3090" s="22"/>
      <c r="H3090" s="22"/>
      <c r="I3090" s="22"/>
      <c r="J3090" s="22"/>
      <c r="K3090" s="22"/>
      <c r="L3090" s="22"/>
      <c r="M3090" s="22"/>
      <c r="N3090" s="22"/>
    </row>
    <row r="3091" spans="1:14" x14ac:dyDescent="0.3">
      <c r="A3091" s="22" t="s">
        <v>4068</v>
      </c>
      <c r="B3091" s="22">
        <v>3</v>
      </c>
      <c r="C3091" s="22"/>
      <c r="D3091" s="22"/>
      <c r="E3091" s="22"/>
      <c r="F3091" s="22"/>
      <c r="G3091" s="22"/>
      <c r="H3091" s="22"/>
      <c r="I3091" s="22"/>
      <c r="J3091" s="22"/>
      <c r="K3091" s="22"/>
      <c r="L3091" s="22"/>
      <c r="M3091" s="22"/>
      <c r="N3091" s="22"/>
    </row>
    <row r="3092" spans="1:14" x14ac:dyDescent="0.3">
      <c r="A3092" s="22" t="s">
        <v>4069</v>
      </c>
      <c r="B3092" s="22">
        <v>0</v>
      </c>
      <c r="C3092" s="22"/>
      <c r="D3092" s="22"/>
      <c r="E3092" s="22"/>
      <c r="F3092" s="22"/>
      <c r="G3092" s="22"/>
      <c r="H3092" s="22"/>
      <c r="I3092" s="22"/>
      <c r="J3092" s="22"/>
      <c r="K3092" s="22"/>
      <c r="L3092" s="22"/>
      <c r="M3092" s="22"/>
      <c r="N3092" s="22"/>
    </row>
    <row r="3093" spans="1:14" x14ac:dyDescent="0.3">
      <c r="A3093" s="22" t="s">
        <v>4070</v>
      </c>
      <c r="B3093" s="22">
        <v>0</v>
      </c>
      <c r="C3093" s="22"/>
      <c r="D3093" s="22"/>
      <c r="E3093" s="22"/>
      <c r="F3093" s="22"/>
      <c r="G3093" s="22"/>
      <c r="H3093" s="22"/>
      <c r="I3093" s="22"/>
      <c r="J3093" s="22"/>
      <c r="K3093" s="22"/>
      <c r="L3093" s="22"/>
      <c r="M3093" s="22"/>
      <c r="N3093" s="22"/>
    </row>
    <row r="3094" spans="1:14" x14ac:dyDescent="0.3">
      <c r="A3094" s="22" t="s">
        <v>4071</v>
      </c>
      <c r="B3094" s="22">
        <v>0</v>
      </c>
      <c r="C3094" s="22"/>
      <c r="D3094" s="22"/>
      <c r="E3094" s="22"/>
      <c r="F3094" s="22"/>
      <c r="G3094" s="22"/>
      <c r="H3094" s="22"/>
      <c r="I3094" s="22"/>
      <c r="J3094" s="22"/>
      <c r="K3094" s="22"/>
      <c r="L3094" s="22"/>
      <c r="M3094" s="22"/>
      <c r="N3094" s="22"/>
    </row>
    <row r="3095" spans="1:14" x14ac:dyDescent="0.3">
      <c r="A3095" s="22" t="s">
        <v>1582</v>
      </c>
      <c r="B3095" s="22">
        <v>59</v>
      </c>
      <c r="C3095" s="22"/>
      <c r="D3095" s="22"/>
      <c r="E3095" s="22"/>
      <c r="F3095" s="22"/>
      <c r="G3095" s="22"/>
      <c r="H3095" s="22"/>
      <c r="I3095" s="22"/>
      <c r="J3095" s="22"/>
      <c r="K3095" s="22"/>
      <c r="L3095" s="22"/>
      <c r="M3095" s="22"/>
      <c r="N3095" s="22"/>
    </row>
    <row r="3096" spans="1:14" x14ac:dyDescent="0.3">
      <c r="A3096" s="22" t="s">
        <v>4072</v>
      </c>
      <c r="B3096" s="22">
        <v>0</v>
      </c>
      <c r="C3096" s="22"/>
      <c r="D3096" s="22"/>
      <c r="E3096" s="22"/>
      <c r="F3096" s="22"/>
      <c r="G3096" s="22"/>
      <c r="H3096" s="22"/>
      <c r="I3096" s="22"/>
      <c r="J3096" s="22"/>
      <c r="K3096" s="22"/>
      <c r="L3096" s="22"/>
      <c r="M3096" s="22"/>
      <c r="N3096" s="22"/>
    </row>
    <row r="3097" spans="1:14" x14ac:dyDescent="0.3">
      <c r="A3097" s="22" t="s">
        <v>4073</v>
      </c>
      <c r="B3097" s="22">
        <v>0</v>
      </c>
      <c r="C3097" s="22"/>
      <c r="D3097" s="22"/>
      <c r="E3097" s="22"/>
      <c r="F3097" s="22"/>
      <c r="G3097" s="22"/>
      <c r="H3097" s="22"/>
      <c r="I3097" s="22"/>
      <c r="J3097" s="22"/>
      <c r="K3097" s="22"/>
      <c r="L3097" s="22"/>
      <c r="M3097" s="22"/>
      <c r="N3097" s="22"/>
    </row>
    <row r="3098" spans="1:14" x14ac:dyDescent="0.3">
      <c r="A3098" s="22" t="s">
        <v>4074</v>
      </c>
      <c r="B3098" s="22">
        <v>0</v>
      </c>
      <c r="C3098" s="22"/>
      <c r="D3098" s="22"/>
      <c r="E3098" s="22"/>
      <c r="F3098" s="22"/>
      <c r="G3098" s="22"/>
      <c r="H3098" s="22"/>
      <c r="I3098" s="22"/>
      <c r="J3098" s="22"/>
      <c r="K3098" s="22"/>
      <c r="L3098" s="22"/>
      <c r="M3098" s="22"/>
      <c r="N3098" s="22"/>
    </row>
    <row r="3099" spans="1:14" x14ac:dyDescent="0.3">
      <c r="A3099" s="22" t="s">
        <v>4075</v>
      </c>
      <c r="B3099" s="22">
        <v>0</v>
      </c>
      <c r="C3099" s="22"/>
      <c r="D3099" s="22"/>
      <c r="E3099" s="22"/>
      <c r="F3099" s="22"/>
      <c r="G3099" s="22"/>
      <c r="H3099" s="22"/>
      <c r="I3099" s="22"/>
      <c r="J3099" s="22"/>
      <c r="K3099" s="22"/>
      <c r="L3099" s="22"/>
      <c r="M3099" s="22"/>
      <c r="N3099" s="22"/>
    </row>
    <row r="3100" spans="1:14" x14ac:dyDescent="0.3">
      <c r="A3100" s="22" t="s">
        <v>4076</v>
      </c>
      <c r="B3100" s="22">
        <v>0</v>
      </c>
      <c r="C3100" s="22"/>
      <c r="D3100" s="22"/>
      <c r="E3100" s="22"/>
      <c r="F3100" s="22"/>
      <c r="G3100" s="22"/>
      <c r="H3100" s="22"/>
      <c r="I3100" s="22"/>
      <c r="J3100" s="22"/>
      <c r="K3100" s="22"/>
      <c r="L3100" s="22"/>
      <c r="M3100" s="22"/>
      <c r="N3100" s="22"/>
    </row>
    <row r="3101" spans="1:14" x14ac:dyDescent="0.3">
      <c r="A3101" s="22" t="s">
        <v>4077</v>
      </c>
      <c r="B3101" s="22">
        <v>0</v>
      </c>
      <c r="C3101" s="22"/>
      <c r="D3101" s="22"/>
      <c r="E3101" s="22"/>
      <c r="F3101" s="22"/>
      <c r="G3101" s="22"/>
      <c r="H3101" s="22"/>
      <c r="I3101" s="22"/>
      <c r="J3101" s="22"/>
      <c r="K3101" s="22"/>
      <c r="L3101" s="22"/>
      <c r="M3101" s="22"/>
      <c r="N3101" s="22"/>
    </row>
    <row r="3102" spans="1:14" x14ac:dyDescent="0.3">
      <c r="A3102" s="22" t="s">
        <v>4078</v>
      </c>
      <c r="B3102" s="22">
        <v>0</v>
      </c>
      <c r="C3102" s="22"/>
      <c r="D3102" s="22"/>
      <c r="E3102" s="22"/>
      <c r="F3102" s="22"/>
      <c r="G3102" s="22"/>
      <c r="H3102" s="22"/>
      <c r="I3102" s="22"/>
      <c r="J3102" s="22"/>
      <c r="K3102" s="22"/>
      <c r="L3102" s="22"/>
      <c r="M3102" s="22"/>
      <c r="N3102" s="22"/>
    </row>
    <row r="3103" spans="1:14" x14ac:dyDescent="0.3">
      <c r="A3103" s="22" t="s">
        <v>1584</v>
      </c>
      <c r="B3103" s="22">
        <v>358</v>
      </c>
      <c r="C3103" s="22"/>
      <c r="D3103" s="22"/>
      <c r="E3103" s="22"/>
      <c r="F3103" s="22"/>
      <c r="G3103" s="22"/>
      <c r="H3103" s="22"/>
      <c r="I3103" s="22"/>
      <c r="J3103" s="22"/>
      <c r="K3103" s="22"/>
      <c r="L3103" s="22"/>
      <c r="M3103" s="22"/>
      <c r="N3103" s="22"/>
    </row>
    <row r="3104" spans="1:14" x14ac:dyDescent="0.3">
      <c r="A3104" s="22" t="s">
        <v>4079</v>
      </c>
      <c r="B3104" s="22">
        <v>0</v>
      </c>
      <c r="C3104" s="22"/>
      <c r="D3104" s="22"/>
      <c r="E3104" s="22"/>
      <c r="F3104" s="22"/>
      <c r="G3104" s="22"/>
      <c r="H3104" s="22"/>
      <c r="I3104" s="22"/>
      <c r="J3104" s="22"/>
      <c r="K3104" s="22"/>
      <c r="L3104" s="22"/>
      <c r="M3104" s="22"/>
      <c r="N3104" s="22"/>
    </row>
    <row r="3105" spans="1:14" x14ac:dyDescent="0.3">
      <c r="A3105" s="22" t="s">
        <v>4080</v>
      </c>
      <c r="B3105" s="22">
        <v>0</v>
      </c>
      <c r="C3105" s="22"/>
      <c r="D3105" s="22"/>
      <c r="E3105" s="22"/>
      <c r="F3105" s="22"/>
      <c r="G3105" s="22"/>
      <c r="H3105" s="22"/>
      <c r="I3105" s="22"/>
      <c r="J3105" s="22"/>
      <c r="K3105" s="22"/>
      <c r="L3105" s="22"/>
      <c r="M3105" s="22"/>
      <c r="N3105" s="22"/>
    </row>
    <row r="3106" spans="1:14" x14ac:dyDescent="0.3">
      <c r="A3106" s="22" t="s">
        <v>4081</v>
      </c>
      <c r="B3106" s="22">
        <v>0</v>
      </c>
      <c r="C3106" s="22"/>
      <c r="D3106" s="22"/>
      <c r="E3106" s="22"/>
      <c r="F3106" s="22"/>
      <c r="G3106" s="22"/>
      <c r="H3106" s="22"/>
      <c r="I3106" s="22"/>
      <c r="J3106" s="22"/>
      <c r="K3106" s="22"/>
      <c r="L3106" s="22"/>
      <c r="M3106" s="22"/>
      <c r="N3106" s="22"/>
    </row>
    <row r="3107" spans="1:14" x14ac:dyDescent="0.3">
      <c r="A3107" s="22" t="s">
        <v>4082</v>
      </c>
      <c r="B3107" s="22">
        <v>2</v>
      </c>
      <c r="C3107" s="22"/>
      <c r="D3107" s="22"/>
      <c r="E3107" s="22"/>
      <c r="F3107" s="22"/>
      <c r="G3107" s="22"/>
      <c r="H3107" s="22"/>
      <c r="I3107" s="22"/>
      <c r="J3107" s="22"/>
      <c r="K3107" s="22"/>
      <c r="L3107" s="22"/>
      <c r="M3107" s="22"/>
      <c r="N3107" s="22"/>
    </row>
    <row r="3108" spans="1:14" x14ac:dyDescent="0.3">
      <c r="A3108" s="22" t="s">
        <v>4083</v>
      </c>
      <c r="B3108" s="22">
        <v>0</v>
      </c>
      <c r="C3108" s="22"/>
      <c r="D3108" s="22"/>
      <c r="E3108" s="22"/>
      <c r="F3108" s="22"/>
      <c r="G3108" s="22"/>
      <c r="H3108" s="22"/>
      <c r="I3108" s="22"/>
      <c r="J3108" s="22"/>
      <c r="K3108" s="22"/>
      <c r="L3108" s="22"/>
      <c r="M3108" s="22"/>
      <c r="N3108" s="22"/>
    </row>
    <row r="3109" spans="1:14" x14ac:dyDescent="0.3">
      <c r="A3109" s="22" t="s">
        <v>4084</v>
      </c>
      <c r="B3109" s="22">
        <v>0</v>
      </c>
      <c r="C3109" s="22"/>
      <c r="D3109" s="22"/>
      <c r="E3109" s="22"/>
      <c r="F3109" s="22"/>
      <c r="G3109" s="22"/>
      <c r="H3109" s="22"/>
      <c r="I3109" s="22"/>
      <c r="J3109" s="22"/>
      <c r="K3109" s="22"/>
      <c r="L3109" s="22"/>
      <c r="M3109" s="22"/>
      <c r="N3109" s="22"/>
    </row>
    <row r="3110" spans="1:14" x14ac:dyDescent="0.3">
      <c r="A3110" s="22" t="s">
        <v>4085</v>
      </c>
      <c r="B3110" s="22">
        <v>0</v>
      </c>
      <c r="C3110" s="22"/>
      <c r="D3110" s="22"/>
      <c r="E3110" s="22"/>
      <c r="F3110" s="22"/>
      <c r="G3110" s="22"/>
      <c r="H3110" s="22"/>
      <c r="I3110" s="22"/>
      <c r="J3110" s="22"/>
      <c r="K3110" s="22"/>
      <c r="L3110" s="22"/>
      <c r="M3110" s="22"/>
      <c r="N3110" s="22"/>
    </row>
    <row r="3111" spans="1:14" x14ac:dyDescent="0.3">
      <c r="A3111" s="22" t="s">
        <v>1586</v>
      </c>
      <c r="B3111" s="22">
        <v>3</v>
      </c>
      <c r="C3111" s="22"/>
      <c r="D3111" s="22"/>
      <c r="E3111" s="22"/>
      <c r="F3111" s="22"/>
      <c r="G3111" s="22"/>
      <c r="H3111" s="22"/>
      <c r="I3111" s="22"/>
      <c r="J3111" s="22"/>
      <c r="K3111" s="22"/>
      <c r="L3111" s="22"/>
      <c r="M3111" s="22"/>
      <c r="N3111" s="22"/>
    </row>
    <row r="3112" spans="1:14" x14ac:dyDescent="0.3">
      <c r="A3112" s="22" t="s">
        <v>4086</v>
      </c>
      <c r="B3112" s="22">
        <v>0</v>
      </c>
      <c r="C3112" s="22"/>
      <c r="D3112" s="22"/>
      <c r="E3112" s="22"/>
      <c r="F3112" s="22"/>
      <c r="G3112" s="22"/>
      <c r="H3112" s="22"/>
      <c r="I3112" s="22"/>
      <c r="J3112" s="22"/>
      <c r="K3112" s="22"/>
      <c r="L3112" s="22"/>
      <c r="M3112" s="22"/>
      <c r="N3112" s="22"/>
    </row>
    <row r="3113" spans="1:14" x14ac:dyDescent="0.3">
      <c r="A3113" s="22" t="s">
        <v>4087</v>
      </c>
      <c r="B3113" s="22">
        <v>0</v>
      </c>
      <c r="C3113" s="22"/>
      <c r="D3113" s="22"/>
      <c r="E3113" s="22"/>
      <c r="F3113" s="22"/>
      <c r="G3113" s="22"/>
      <c r="H3113" s="22"/>
      <c r="I3113" s="22"/>
      <c r="J3113" s="22"/>
      <c r="K3113" s="22"/>
      <c r="L3113" s="22"/>
      <c r="M3113" s="22"/>
      <c r="N3113" s="22"/>
    </row>
    <row r="3114" spans="1:14" x14ac:dyDescent="0.3">
      <c r="A3114" s="22" t="s">
        <v>4088</v>
      </c>
      <c r="B3114" s="22">
        <v>0</v>
      </c>
      <c r="C3114" s="22"/>
      <c r="D3114" s="22"/>
      <c r="E3114" s="22"/>
      <c r="F3114" s="22"/>
      <c r="G3114" s="22"/>
      <c r="H3114" s="22"/>
      <c r="I3114" s="22"/>
      <c r="J3114" s="22"/>
      <c r="K3114" s="22"/>
      <c r="L3114" s="22"/>
      <c r="M3114" s="22"/>
      <c r="N3114" s="22"/>
    </row>
    <row r="3115" spans="1:14" x14ac:dyDescent="0.3">
      <c r="A3115" s="22" t="s">
        <v>4089</v>
      </c>
      <c r="B3115" s="22">
        <v>0</v>
      </c>
      <c r="C3115" s="22"/>
      <c r="D3115" s="22"/>
      <c r="E3115" s="22"/>
      <c r="F3115" s="22"/>
      <c r="G3115" s="22"/>
      <c r="H3115" s="22"/>
      <c r="I3115" s="22"/>
      <c r="J3115" s="22"/>
      <c r="K3115" s="22"/>
      <c r="L3115" s="22"/>
      <c r="M3115" s="22"/>
      <c r="N3115" s="22"/>
    </row>
    <row r="3116" spans="1:14" x14ac:dyDescent="0.3">
      <c r="A3116" s="22" t="s">
        <v>4090</v>
      </c>
      <c r="B3116" s="22">
        <v>0</v>
      </c>
      <c r="C3116" s="22"/>
      <c r="D3116" s="22"/>
      <c r="E3116" s="22"/>
      <c r="F3116" s="22"/>
      <c r="G3116" s="22"/>
      <c r="H3116" s="22"/>
      <c r="I3116" s="22"/>
      <c r="J3116" s="22"/>
      <c r="K3116" s="22"/>
      <c r="L3116" s="22"/>
      <c r="M3116" s="22"/>
      <c r="N3116" s="22"/>
    </row>
    <row r="3117" spans="1:14" x14ac:dyDescent="0.3">
      <c r="A3117" s="22" t="s">
        <v>4091</v>
      </c>
      <c r="B3117" s="22">
        <v>0</v>
      </c>
      <c r="C3117" s="22"/>
      <c r="D3117" s="22"/>
      <c r="E3117" s="22"/>
      <c r="F3117" s="22"/>
      <c r="G3117" s="22"/>
      <c r="H3117" s="22"/>
      <c r="I3117" s="22"/>
      <c r="J3117" s="22"/>
      <c r="K3117" s="22"/>
      <c r="L3117" s="22"/>
      <c r="M3117" s="22"/>
      <c r="N3117" s="22"/>
    </row>
    <row r="3118" spans="1:14" x14ac:dyDescent="0.3">
      <c r="A3118" s="22" t="s">
        <v>4092</v>
      </c>
      <c r="B3118" s="22">
        <v>0</v>
      </c>
      <c r="C3118" s="22"/>
      <c r="D3118" s="22"/>
      <c r="E3118" s="22"/>
      <c r="F3118" s="22"/>
      <c r="G3118" s="22"/>
      <c r="H3118" s="22"/>
      <c r="I3118" s="22"/>
      <c r="J3118" s="22"/>
      <c r="K3118" s="22"/>
      <c r="L3118" s="22"/>
      <c r="M3118" s="22"/>
      <c r="N3118" s="22"/>
    </row>
    <row r="3119" spans="1:14" x14ac:dyDescent="0.3">
      <c r="A3119" s="22" t="s">
        <v>1588</v>
      </c>
      <c r="B3119" s="22">
        <v>476</v>
      </c>
      <c r="C3119" s="22"/>
      <c r="D3119" s="22"/>
      <c r="E3119" s="22"/>
      <c r="F3119" s="22"/>
      <c r="G3119" s="22"/>
      <c r="H3119" s="22"/>
      <c r="I3119" s="22"/>
      <c r="J3119" s="22"/>
      <c r="K3119" s="22"/>
      <c r="L3119" s="22"/>
      <c r="M3119" s="22"/>
      <c r="N3119" s="22"/>
    </row>
    <row r="3120" spans="1:14" x14ac:dyDescent="0.3">
      <c r="A3120" s="22" t="s">
        <v>4093</v>
      </c>
      <c r="B3120" s="22">
        <v>0</v>
      </c>
      <c r="C3120" s="22"/>
      <c r="D3120" s="22"/>
      <c r="E3120" s="22"/>
      <c r="F3120" s="22"/>
      <c r="G3120" s="22"/>
      <c r="H3120" s="22"/>
      <c r="I3120" s="22"/>
      <c r="J3120" s="22"/>
      <c r="K3120" s="22"/>
      <c r="L3120" s="22"/>
      <c r="M3120" s="22"/>
      <c r="N3120" s="22"/>
    </row>
    <row r="3121" spans="1:14" x14ac:dyDescent="0.3">
      <c r="A3121" s="22" t="s">
        <v>4094</v>
      </c>
      <c r="B3121" s="22">
        <v>0</v>
      </c>
      <c r="C3121" s="22"/>
      <c r="D3121" s="22"/>
      <c r="E3121" s="22"/>
      <c r="F3121" s="22"/>
      <c r="G3121" s="22"/>
      <c r="H3121" s="22"/>
      <c r="I3121" s="22"/>
      <c r="J3121" s="22"/>
      <c r="K3121" s="22"/>
      <c r="L3121" s="22"/>
      <c r="M3121" s="22"/>
      <c r="N3121" s="22"/>
    </row>
    <row r="3122" spans="1:14" x14ac:dyDescent="0.3">
      <c r="A3122" s="22" t="s">
        <v>4095</v>
      </c>
      <c r="B3122" s="22">
        <v>0</v>
      </c>
      <c r="C3122" s="22"/>
      <c r="D3122" s="22"/>
      <c r="E3122" s="22"/>
      <c r="F3122" s="22"/>
      <c r="G3122" s="22"/>
      <c r="H3122" s="22"/>
      <c r="I3122" s="22"/>
      <c r="J3122" s="22"/>
      <c r="K3122" s="22"/>
      <c r="L3122" s="22"/>
      <c r="M3122" s="22"/>
      <c r="N3122" s="22"/>
    </row>
    <row r="3123" spans="1:14" x14ac:dyDescent="0.3">
      <c r="A3123" s="22" t="s">
        <v>4096</v>
      </c>
      <c r="B3123" s="22">
        <v>0</v>
      </c>
      <c r="C3123" s="22"/>
      <c r="D3123" s="22"/>
      <c r="E3123" s="22"/>
      <c r="F3123" s="22"/>
      <c r="G3123" s="22"/>
      <c r="H3123" s="22"/>
      <c r="I3123" s="22"/>
      <c r="J3123" s="22"/>
      <c r="K3123" s="22"/>
      <c r="L3123" s="22"/>
      <c r="M3123" s="22"/>
      <c r="N3123" s="22"/>
    </row>
    <row r="3124" spans="1:14" x14ac:dyDescent="0.3">
      <c r="A3124" s="22" t="s">
        <v>4097</v>
      </c>
      <c r="B3124" s="22">
        <v>0</v>
      </c>
      <c r="C3124" s="22"/>
      <c r="D3124" s="22"/>
      <c r="E3124" s="22"/>
      <c r="F3124" s="22"/>
      <c r="G3124" s="22"/>
      <c r="H3124" s="22"/>
      <c r="I3124" s="22"/>
      <c r="J3124" s="22"/>
      <c r="K3124" s="22"/>
      <c r="L3124" s="22"/>
      <c r="M3124" s="22"/>
      <c r="N3124" s="22"/>
    </row>
    <row r="3125" spans="1:14" x14ac:dyDescent="0.3">
      <c r="A3125" s="22" t="s">
        <v>4098</v>
      </c>
      <c r="B3125" s="22">
        <v>0</v>
      </c>
      <c r="C3125" s="22"/>
      <c r="D3125" s="22"/>
      <c r="E3125" s="22"/>
      <c r="F3125" s="22"/>
      <c r="G3125" s="22"/>
      <c r="H3125" s="22"/>
      <c r="I3125" s="22"/>
      <c r="J3125" s="22"/>
      <c r="K3125" s="22"/>
      <c r="L3125" s="22"/>
      <c r="M3125" s="22"/>
      <c r="N3125" s="22"/>
    </row>
    <row r="3126" spans="1:14" x14ac:dyDescent="0.3">
      <c r="A3126" s="22" t="s">
        <v>4099</v>
      </c>
      <c r="B3126" s="22">
        <v>0</v>
      </c>
      <c r="C3126" s="22"/>
      <c r="D3126" s="22"/>
      <c r="E3126" s="22"/>
      <c r="F3126" s="22"/>
      <c r="G3126" s="22"/>
      <c r="H3126" s="22"/>
      <c r="I3126" s="22"/>
      <c r="J3126" s="22"/>
      <c r="K3126" s="22"/>
      <c r="L3126" s="22"/>
      <c r="M3126" s="22"/>
      <c r="N3126" s="22"/>
    </row>
    <row r="3127" spans="1:14" x14ac:dyDescent="0.3">
      <c r="A3127" s="22" t="s">
        <v>1590</v>
      </c>
      <c r="B3127" s="22">
        <v>864</v>
      </c>
      <c r="C3127" s="22"/>
      <c r="D3127" s="22"/>
      <c r="E3127" s="22"/>
      <c r="F3127" s="22"/>
      <c r="G3127" s="22"/>
      <c r="H3127" s="22"/>
      <c r="I3127" s="22"/>
      <c r="J3127" s="22"/>
      <c r="K3127" s="22"/>
      <c r="L3127" s="22"/>
      <c r="M3127" s="22"/>
      <c r="N3127" s="22"/>
    </row>
    <row r="3128" spans="1:14" x14ac:dyDescent="0.3">
      <c r="A3128" s="22" t="s">
        <v>4100</v>
      </c>
      <c r="B3128" s="22">
        <v>0</v>
      </c>
      <c r="C3128" s="22"/>
      <c r="D3128" s="22"/>
      <c r="E3128" s="22"/>
      <c r="F3128" s="22"/>
      <c r="G3128" s="22"/>
      <c r="H3128" s="22"/>
      <c r="I3128" s="22"/>
      <c r="J3128" s="22"/>
      <c r="K3128" s="22"/>
      <c r="L3128" s="22"/>
      <c r="M3128" s="22"/>
      <c r="N3128" s="22"/>
    </row>
    <row r="3129" spans="1:14" x14ac:dyDescent="0.3">
      <c r="A3129" s="22" t="s">
        <v>4101</v>
      </c>
      <c r="B3129" s="22">
        <v>0</v>
      </c>
      <c r="C3129" s="22"/>
      <c r="D3129" s="22"/>
      <c r="E3129" s="22"/>
      <c r="F3129" s="22"/>
      <c r="G3129" s="22"/>
      <c r="H3129" s="22"/>
      <c r="I3129" s="22"/>
      <c r="J3129" s="22"/>
      <c r="K3129" s="22"/>
      <c r="L3129" s="22"/>
      <c r="M3129" s="22"/>
      <c r="N3129" s="22"/>
    </row>
    <row r="3130" spans="1:14" x14ac:dyDescent="0.3">
      <c r="A3130" s="22" t="s">
        <v>4102</v>
      </c>
      <c r="B3130" s="22">
        <v>0</v>
      </c>
      <c r="C3130" s="22"/>
      <c r="D3130" s="22"/>
      <c r="E3130" s="22"/>
      <c r="F3130" s="22"/>
      <c r="G3130" s="22"/>
      <c r="H3130" s="22"/>
      <c r="I3130" s="22"/>
      <c r="J3130" s="22"/>
      <c r="K3130" s="22"/>
      <c r="L3130" s="22"/>
      <c r="M3130" s="22"/>
      <c r="N3130" s="22"/>
    </row>
    <row r="3131" spans="1:14" x14ac:dyDescent="0.3">
      <c r="A3131" s="22" t="s">
        <v>4103</v>
      </c>
      <c r="B3131" s="22">
        <v>2</v>
      </c>
      <c r="C3131" s="22"/>
      <c r="D3131" s="22"/>
      <c r="E3131" s="22"/>
      <c r="F3131" s="22"/>
      <c r="G3131" s="22"/>
      <c r="H3131" s="22"/>
      <c r="I3131" s="22"/>
      <c r="J3131" s="22"/>
      <c r="K3131" s="22"/>
      <c r="L3131" s="22"/>
      <c r="M3131" s="22"/>
      <c r="N3131" s="22"/>
    </row>
    <row r="3132" spans="1:14" x14ac:dyDescent="0.3">
      <c r="A3132" s="22" t="s">
        <v>4104</v>
      </c>
      <c r="B3132" s="22">
        <v>0</v>
      </c>
      <c r="C3132" s="22"/>
      <c r="D3132" s="22"/>
      <c r="E3132" s="22"/>
      <c r="F3132" s="22"/>
      <c r="G3132" s="22"/>
      <c r="H3132" s="22"/>
      <c r="I3132" s="22"/>
      <c r="J3132" s="22"/>
      <c r="K3132" s="22"/>
      <c r="L3132" s="22"/>
      <c r="M3132" s="22"/>
      <c r="N3132" s="22"/>
    </row>
    <row r="3133" spans="1:14" x14ac:dyDescent="0.3">
      <c r="A3133" s="22" t="s">
        <v>4105</v>
      </c>
      <c r="B3133" s="22">
        <v>0</v>
      </c>
      <c r="C3133" s="22"/>
      <c r="D3133" s="22"/>
      <c r="E3133" s="22"/>
      <c r="F3133" s="22"/>
      <c r="G3133" s="22"/>
      <c r="H3133" s="22"/>
      <c r="I3133" s="22"/>
      <c r="J3133" s="22"/>
      <c r="K3133" s="22"/>
      <c r="L3133" s="22"/>
      <c r="M3133" s="22"/>
      <c r="N3133" s="22"/>
    </row>
    <row r="3134" spans="1:14" x14ac:dyDescent="0.3">
      <c r="A3134" s="22" t="s">
        <v>4106</v>
      </c>
      <c r="B3134" s="22">
        <v>0</v>
      </c>
      <c r="C3134" s="22"/>
      <c r="D3134" s="22"/>
      <c r="E3134" s="22"/>
      <c r="F3134" s="22"/>
      <c r="G3134" s="22"/>
      <c r="H3134" s="22"/>
      <c r="I3134" s="22"/>
      <c r="J3134" s="22"/>
      <c r="K3134" s="22"/>
      <c r="L3134" s="22"/>
      <c r="M3134" s="22"/>
      <c r="N3134" s="22"/>
    </row>
    <row r="3135" spans="1:14" x14ac:dyDescent="0.3">
      <c r="A3135" s="22" t="s">
        <v>1592</v>
      </c>
      <c r="B3135" s="22">
        <v>946</v>
      </c>
      <c r="C3135" s="22"/>
      <c r="D3135" s="22"/>
      <c r="E3135" s="22"/>
      <c r="F3135" s="22"/>
      <c r="G3135" s="22"/>
      <c r="H3135" s="22"/>
      <c r="I3135" s="22"/>
      <c r="J3135" s="22"/>
      <c r="K3135" s="22"/>
      <c r="L3135" s="22"/>
      <c r="M3135" s="22"/>
      <c r="N3135" s="22"/>
    </row>
    <row r="3136" spans="1:14" x14ac:dyDescent="0.3">
      <c r="A3136" s="22" t="s">
        <v>4107</v>
      </c>
      <c r="B3136" s="22">
        <v>0</v>
      </c>
      <c r="C3136" s="22"/>
      <c r="D3136" s="22"/>
      <c r="E3136" s="22"/>
      <c r="F3136" s="22"/>
      <c r="G3136" s="22"/>
      <c r="H3136" s="22"/>
      <c r="I3136" s="22"/>
      <c r="J3136" s="22"/>
      <c r="K3136" s="22"/>
      <c r="L3136" s="22"/>
      <c r="M3136" s="22"/>
      <c r="N3136" s="22"/>
    </row>
    <row r="3137" spans="1:14" x14ac:dyDescent="0.3">
      <c r="A3137" s="22" t="s">
        <v>4108</v>
      </c>
      <c r="B3137" s="22">
        <v>0</v>
      </c>
      <c r="C3137" s="22"/>
      <c r="D3137" s="22"/>
      <c r="E3137" s="22"/>
      <c r="F3137" s="22"/>
      <c r="G3137" s="22"/>
      <c r="H3137" s="22"/>
      <c r="I3137" s="22"/>
      <c r="J3137" s="22"/>
      <c r="K3137" s="22"/>
      <c r="L3137" s="22"/>
      <c r="M3137" s="22"/>
      <c r="N3137" s="22"/>
    </row>
    <row r="3138" spans="1:14" x14ac:dyDescent="0.3">
      <c r="A3138" s="22" t="s">
        <v>4109</v>
      </c>
      <c r="B3138" s="22">
        <v>0</v>
      </c>
      <c r="C3138" s="22"/>
      <c r="D3138" s="22"/>
      <c r="E3138" s="22"/>
      <c r="F3138" s="22"/>
      <c r="G3138" s="22"/>
      <c r="H3138" s="22"/>
      <c r="I3138" s="22"/>
      <c r="J3138" s="22"/>
      <c r="K3138" s="22"/>
      <c r="L3138" s="22"/>
      <c r="M3138" s="22"/>
      <c r="N3138" s="22"/>
    </row>
    <row r="3139" spans="1:14" x14ac:dyDescent="0.3">
      <c r="A3139" s="22" t="s">
        <v>4110</v>
      </c>
      <c r="B3139" s="22">
        <v>6</v>
      </c>
      <c r="C3139" s="22"/>
      <c r="D3139" s="22"/>
      <c r="E3139" s="22"/>
      <c r="F3139" s="22"/>
      <c r="G3139" s="22"/>
      <c r="H3139" s="22"/>
      <c r="I3139" s="22"/>
      <c r="J3139" s="22"/>
      <c r="K3139" s="22"/>
      <c r="L3139" s="22"/>
      <c r="M3139" s="22"/>
      <c r="N3139" s="22"/>
    </row>
    <row r="3140" spans="1:14" x14ac:dyDescent="0.3">
      <c r="A3140" s="22" t="s">
        <v>4111</v>
      </c>
      <c r="B3140" s="22">
        <v>0</v>
      </c>
      <c r="C3140" s="22"/>
      <c r="D3140" s="22"/>
      <c r="E3140" s="22"/>
      <c r="F3140" s="22"/>
      <c r="G3140" s="22"/>
      <c r="H3140" s="22"/>
      <c r="I3140" s="22"/>
      <c r="J3140" s="22"/>
      <c r="K3140" s="22"/>
      <c r="L3140" s="22"/>
      <c r="M3140" s="22"/>
      <c r="N3140" s="22"/>
    </row>
    <row r="3141" spans="1:14" x14ac:dyDescent="0.3">
      <c r="A3141" s="22" t="s">
        <v>4112</v>
      </c>
      <c r="B3141" s="22">
        <v>0</v>
      </c>
      <c r="C3141" s="22"/>
      <c r="D3141" s="22"/>
      <c r="E3141" s="22"/>
      <c r="F3141" s="22"/>
      <c r="G3141" s="22"/>
      <c r="H3141" s="22"/>
      <c r="I3141" s="22"/>
      <c r="J3141" s="22"/>
      <c r="K3141" s="22"/>
      <c r="L3141" s="22"/>
      <c r="M3141" s="22"/>
      <c r="N3141" s="22"/>
    </row>
    <row r="3142" spans="1:14" x14ac:dyDescent="0.3">
      <c r="A3142" s="22" t="s">
        <v>4113</v>
      </c>
      <c r="B3142" s="22">
        <v>0</v>
      </c>
      <c r="C3142" s="22"/>
      <c r="D3142" s="22"/>
      <c r="E3142" s="22"/>
      <c r="F3142" s="22"/>
      <c r="G3142" s="22"/>
      <c r="H3142" s="22"/>
      <c r="I3142" s="22"/>
      <c r="J3142" s="22"/>
      <c r="K3142" s="22"/>
      <c r="L3142" s="22"/>
      <c r="M3142" s="22"/>
      <c r="N3142" s="22"/>
    </row>
    <row r="3143" spans="1:14" x14ac:dyDescent="0.3">
      <c r="A3143" s="22" t="s">
        <v>1594</v>
      </c>
      <c r="B3143" s="22">
        <v>555</v>
      </c>
      <c r="C3143" s="22"/>
      <c r="D3143" s="22"/>
      <c r="E3143" s="22"/>
      <c r="F3143" s="22"/>
      <c r="G3143" s="22"/>
      <c r="H3143" s="22"/>
      <c r="I3143" s="22"/>
      <c r="J3143" s="22"/>
      <c r="K3143" s="22"/>
      <c r="L3143" s="22"/>
      <c r="M3143" s="22"/>
      <c r="N3143" s="22"/>
    </row>
    <row r="3144" spans="1:14" x14ac:dyDescent="0.3">
      <c r="A3144" s="22" t="s">
        <v>4114</v>
      </c>
      <c r="B3144" s="22">
        <v>0</v>
      </c>
      <c r="C3144" s="22"/>
      <c r="D3144" s="22"/>
      <c r="E3144" s="22"/>
      <c r="F3144" s="22"/>
      <c r="G3144" s="22"/>
      <c r="H3144" s="22"/>
      <c r="I3144" s="22"/>
      <c r="J3144" s="22"/>
      <c r="K3144" s="22"/>
      <c r="L3144" s="22"/>
      <c r="M3144" s="22"/>
      <c r="N3144" s="22"/>
    </row>
    <row r="3145" spans="1:14" x14ac:dyDescent="0.3">
      <c r="A3145" s="22" t="s">
        <v>4115</v>
      </c>
      <c r="B3145" s="22">
        <v>0</v>
      </c>
      <c r="C3145" s="22"/>
      <c r="D3145" s="22"/>
      <c r="E3145" s="22"/>
      <c r="F3145" s="22"/>
      <c r="G3145" s="22"/>
      <c r="H3145" s="22"/>
      <c r="I3145" s="22"/>
      <c r="J3145" s="22"/>
      <c r="K3145" s="22"/>
      <c r="L3145" s="22"/>
      <c r="M3145" s="22"/>
      <c r="N3145" s="22"/>
    </row>
    <row r="3146" spans="1:14" x14ac:dyDescent="0.3">
      <c r="A3146" s="22" t="s">
        <v>4116</v>
      </c>
      <c r="B3146" s="22">
        <v>0</v>
      </c>
      <c r="C3146" s="22"/>
      <c r="D3146" s="22"/>
      <c r="E3146" s="22"/>
      <c r="F3146" s="22"/>
      <c r="G3146" s="22"/>
      <c r="H3146" s="22"/>
      <c r="I3146" s="22"/>
      <c r="J3146" s="22"/>
      <c r="K3146" s="22"/>
      <c r="L3146" s="22"/>
      <c r="M3146" s="22"/>
      <c r="N3146" s="22"/>
    </row>
    <row r="3147" spans="1:14" x14ac:dyDescent="0.3">
      <c r="A3147" s="22" t="s">
        <v>4117</v>
      </c>
      <c r="B3147" s="22">
        <v>2</v>
      </c>
      <c r="C3147" s="22"/>
      <c r="D3147" s="22"/>
      <c r="E3147" s="22"/>
      <c r="F3147" s="22"/>
      <c r="G3147" s="22"/>
      <c r="H3147" s="22"/>
      <c r="I3147" s="22"/>
      <c r="J3147" s="22"/>
      <c r="K3147" s="22"/>
      <c r="L3147" s="22"/>
      <c r="M3147" s="22"/>
      <c r="N3147" s="22"/>
    </row>
    <row r="3148" spans="1:14" x14ac:dyDescent="0.3">
      <c r="A3148" s="22" t="s">
        <v>4118</v>
      </c>
      <c r="B3148" s="22">
        <v>0</v>
      </c>
      <c r="C3148" s="22"/>
      <c r="D3148" s="22"/>
      <c r="E3148" s="22"/>
      <c r="F3148" s="22"/>
      <c r="G3148" s="22"/>
      <c r="H3148" s="22"/>
      <c r="I3148" s="22"/>
      <c r="J3148" s="22"/>
      <c r="K3148" s="22"/>
      <c r="L3148" s="22"/>
      <c r="M3148" s="22"/>
      <c r="N3148" s="22"/>
    </row>
    <row r="3149" spans="1:14" x14ac:dyDescent="0.3">
      <c r="A3149" s="22" t="s">
        <v>4119</v>
      </c>
      <c r="B3149" s="22">
        <v>0</v>
      </c>
      <c r="C3149" s="22"/>
      <c r="D3149" s="22"/>
      <c r="E3149" s="22"/>
      <c r="F3149" s="22"/>
      <c r="G3149" s="22"/>
      <c r="H3149" s="22"/>
      <c r="I3149" s="22"/>
      <c r="J3149" s="22"/>
      <c r="K3149" s="22"/>
      <c r="L3149" s="22"/>
      <c r="M3149" s="22"/>
      <c r="N3149" s="22"/>
    </row>
    <row r="3150" spans="1:14" x14ac:dyDescent="0.3">
      <c r="A3150" s="22" t="s">
        <v>4120</v>
      </c>
      <c r="B3150" s="22">
        <v>0</v>
      </c>
      <c r="C3150" s="22"/>
      <c r="D3150" s="22"/>
      <c r="E3150" s="22"/>
      <c r="F3150" s="22"/>
      <c r="G3150" s="22"/>
      <c r="H3150" s="22"/>
      <c r="I3150" s="22"/>
      <c r="J3150" s="22"/>
      <c r="K3150" s="22"/>
      <c r="L3150" s="22"/>
      <c r="M3150" s="22"/>
      <c r="N3150" s="22"/>
    </row>
    <row r="3151" spans="1:14" x14ac:dyDescent="0.3">
      <c r="A3151" s="22" t="s">
        <v>2698</v>
      </c>
      <c r="B3151" s="22">
        <v>685</v>
      </c>
      <c r="C3151" s="22"/>
      <c r="D3151" s="22"/>
      <c r="E3151" s="22"/>
      <c r="F3151" s="22"/>
      <c r="G3151" s="22"/>
      <c r="H3151" s="22"/>
      <c r="I3151" s="22"/>
      <c r="J3151" s="22"/>
      <c r="K3151" s="22"/>
      <c r="L3151" s="22"/>
      <c r="M3151" s="22"/>
      <c r="N3151" s="22"/>
    </row>
    <row r="3152" spans="1:14" x14ac:dyDescent="0.3">
      <c r="A3152" s="22" t="s">
        <v>4121</v>
      </c>
      <c r="B3152" s="22">
        <v>0</v>
      </c>
      <c r="C3152" s="22"/>
      <c r="D3152" s="22"/>
      <c r="E3152" s="22"/>
      <c r="F3152" s="22"/>
      <c r="G3152" s="22"/>
      <c r="H3152" s="22"/>
      <c r="I3152" s="22"/>
      <c r="J3152" s="22"/>
      <c r="K3152" s="22"/>
      <c r="L3152" s="22"/>
      <c r="M3152" s="22"/>
      <c r="N3152" s="22"/>
    </row>
    <row r="3153" spans="1:14" x14ac:dyDescent="0.3">
      <c r="A3153" s="22" t="s">
        <v>4122</v>
      </c>
      <c r="B3153" s="22">
        <v>0</v>
      </c>
      <c r="C3153" s="22"/>
      <c r="D3153" s="22"/>
      <c r="E3153" s="22"/>
      <c r="F3153" s="22"/>
      <c r="G3153" s="22"/>
      <c r="H3153" s="22"/>
      <c r="I3153" s="22"/>
      <c r="J3153" s="22"/>
      <c r="K3153" s="22"/>
      <c r="L3153" s="22"/>
      <c r="M3153" s="22"/>
      <c r="N3153" s="22"/>
    </row>
    <row r="3154" spans="1:14" x14ac:dyDescent="0.3">
      <c r="A3154" s="22" t="s">
        <v>4123</v>
      </c>
      <c r="B3154" s="22">
        <v>0</v>
      </c>
      <c r="C3154" s="22"/>
      <c r="D3154" s="22"/>
      <c r="E3154" s="22"/>
      <c r="F3154" s="22"/>
      <c r="G3154" s="22"/>
      <c r="H3154" s="22"/>
      <c r="I3154" s="22"/>
      <c r="J3154" s="22"/>
      <c r="K3154" s="22"/>
      <c r="L3154" s="22"/>
      <c r="M3154" s="22"/>
      <c r="N3154" s="22"/>
    </row>
    <row r="3155" spans="1:14" x14ac:dyDescent="0.3">
      <c r="A3155" s="22" t="s">
        <v>4124</v>
      </c>
      <c r="B3155" s="22">
        <v>1</v>
      </c>
      <c r="C3155" s="22"/>
      <c r="D3155" s="22"/>
      <c r="E3155" s="22"/>
      <c r="F3155" s="22"/>
      <c r="G3155" s="22"/>
      <c r="H3155" s="22"/>
      <c r="I3155" s="22"/>
      <c r="J3155" s="22"/>
      <c r="K3155" s="22"/>
      <c r="L3155" s="22"/>
      <c r="M3155" s="22"/>
      <c r="N3155" s="22"/>
    </row>
    <row r="3156" spans="1:14" x14ac:dyDescent="0.3">
      <c r="A3156" s="22" t="s">
        <v>4125</v>
      </c>
      <c r="B3156" s="22">
        <v>0</v>
      </c>
      <c r="C3156" s="22"/>
      <c r="D3156" s="22"/>
      <c r="E3156" s="22"/>
      <c r="F3156" s="22"/>
      <c r="G3156" s="22"/>
      <c r="H3156" s="22"/>
      <c r="I3156" s="22"/>
      <c r="J3156" s="22"/>
      <c r="K3156" s="22"/>
      <c r="L3156" s="22"/>
      <c r="M3156" s="22"/>
      <c r="N3156" s="22"/>
    </row>
    <row r="3157" spans="1:14" x14ac:dyDescent="0.3">
      <c r="A3157" s="22" t="s">
        <v>4126</v>
      </c>
      <c r="B3157" s="22">
        <v>0</v>
      </c>
      <c r="C3157" s="22"/>
      <c r="D3157" s="22"/>
      <c r="E3157" s="22"/>
      <c r="F3157" s="22"/>
      <c r="G3157" s="22"/>
      <c r="H3157" s="22"/>
      <c r="I3157" s="22"/>
      <c r="J3157" s="22"/>
      <c r="K3157" s="22"/>
      <c r="L3157" s="22"/>
      <c r="M3157" s="22"/>
      <c r="N3157" s="22"/>
    </row>
    <row r="3158" spans="1:14" x14ac:dyDescent="0.3">
      <c r="A3158" s="22" t="s">
        <v>4127</v>
      </c>
      <c r="B3158" s="22">
        <v>0</v>
      </c>
      <c r="C3158" s="22"/>
      <c r="D3158" s="22"/>
      <c r="E3158" s="22"/>
      <c r="F3158" s="22"/>
      <c r="G3158" s="22"/>
      <c r="H3158" s="22"/>
      <c r="I3158" s="22"/>
      <c r="J3158" s="22"/>
      <c r="K3158" s="22"/>
      <c r="L3158" s="22"/>
      <c r="M3158" s="22"/>
      <c r="N3158" s="22"/>
    </row>
    <row r="3159" spans="1:14" x14ac:dyDescent="0.3">
      <c r="A3159" s="22" t="s">
        <v>1596</v>
      </c>
      <c r="B3159" s="22">
        <v>155</v>
      </c>
      <c r="C3159" s="22"/>
      <c r="D3159" s="22"/>
      <c r="E3159" s="22"/>
      <c r="F3159" s="22"/>
      <c r="G3159" s="22"/>
      <c r="H3159" s="22"/>
      <c r="I3159" s="22"/>
      <c r="J3159" s="22"/>
      <c r="K3159" s="22"/>
      <c r="L3159" s="22"/>
      <c r="M3159" s="22"/>
      <c r="N3159" s="22"/>
    </row>
    <row r="3160" spans="1:14" x14ac:dyDescent="0.3">
      <c r="A3160" s="22" t="s">
        <v>4128</v>
      </c>
      <c r="B3160" s="22">
        <v>0</v>
      </c>
      <c r="C3160" s="22"/>
      <c r="D3160" s="22"/>
      <c r="E3160" s="22"/>
      <c r="F3160" s="22"/>
      <c r="G3160" s="22"/>
      <c r="H3160" s="22"/>
      <c r="I3160" s="22"/>
      <c r="J3160" s="22"/>
      <c r="K3160" s="22"/>
      <c r="L3160" s="22"/>
      <c r="M3160" s="22"/>
      <c r="N3160" s="22"/>
    </row>
    <row r="3161" spans="1:14" x14ac:dyDescent="0.3">
      <c r="A3161" s="22" t="s">
        <v>4129</v>
      </c>
      <c r="B3161" s="22">
        <v>0</v>
      </c>
      <c r="C3161" s="22"/>
      <c r="D3161" s="22"/>
      <c r="E3161" s="22"/>
      <c r="F3161" s="22"/>
      <c r="G3161" s="22"/>
      <c r="H3161" s="22"/>
      <c r="I3161" s="22"/>
      <c r="J3161" s="22"/>
      <c r="K3161" s="22"/>
      <c r="L3161" s="22"/>
      <c r="M3161" s="22"/>
      <c r="N3161" s="22"/>
    </row>
    <row r="3162" spans="1:14" x14ac:dyDescent="0.3">
      <c r="A3162" s="22" t="s">
        <v>4130</v>
      </c>
      <c r="B3162" s="22">
        <v>0</v>
      </c>
      <c r="C3162" s="22"/>
      <c r="D3162" s="22"/>
      <c r="E3162" s="22"/>
      <c r="F3162" s="22"/>
      <c r="G3162" s="22"/>
      <c r="H3162" s="22"/>
      <c r="I3162" s="22"/>
      <c r="J3162" s="22"/>
      <c r="K3162" s="22"/>
      <c r="L3162" s="22"/>
      <c r="M3162" s="22"/>
      <c r="N3162" s="22"/>
    </row>
    <row r="3163" spans="1:14" x14ac:dyDescent="0.3">
      <c r="A3163" s="22" t="s">
        <v>4131</v>
      </c>
      <c r="B3163" s="22">
        <v>0</v>
      </c>
      <c r="C3163" s="22"/>
      <c r="D3163" s="22"/>
      <c r="E3163" s="22"/>
      <c r="F3163" s="22"/>
      <c r="G3163" s="22"/>
      <c r="H3163" s="22"/>
      <c r="I3163" s="22"/>
      <c r="J3163" s="22"/>
      <c r="K3163" s="22"/>
      <c r="L3163" s="22"/>
      <c r="M3163" s="22"/>
      <c r="N3163" s="22"/>
    </row>
    <row r="3164" spans="1:14" x14ac:dyDescent="0.3">
      <c r="A3164" s="22" t="s">
        <v>4132</v>
      </c>
      <c r="B3164" s="22">
        <v>0</v>
      </c>
      <c r="C3164" s="22"/>
      <c r="D3164" s="22"/>
      <c r="E3164" s="22"/>
      <c r="F3164" s="22"/>
      <c r="G3164" s="22"/>
      <c r="H3164" s="22"/>
      <c r="I3164" s="22"/>
      <c r="J3164" s="22"/>
      <c r="K3164" s="22"/>
      <c r="L3164" s="22"/>
      <c r="M3164" s="22"/>
      <c r="N3164" s="22"/>
    </row>
    <row r="3165" spans="1:14" x14ac:dyDescent="0.3">
      <c r="A3165" s="22" t="s">
        <v>4133</v>
      </c>
      <c r="B3165" s="22">
        <v>0</v>
      </c>
      <c r="C3165" s="22"/>
      <c r="D3165" s="22"/>
      <c r="E3165" s="22"/>
      <c r="F3165" s="22"/>
      <c r="G3165" s="22"/>
      <c r="H3165" s="22"/>
      <c r="I3165" s="22"/>
      <c r="J3165" s="22"/>
      <c r="K3165" s="22"/>
      <c r="L3165" s="22"/>
      <c r="M3165" s="22"/>
      <c r="N3165" s="22"/>
    </row>
    <row r="3166" spans="1:14" x14ac:dyDescent="0.3">
      <c r="A3166" s="22" t="s">
        <v>4134</v>
      </c>
      <c r="B3166" s="22">
        <v>0</v>
      </c>
      <c r="C3166" s="22"/>
      <c r="D3166" s="22"/>
      <c r="E3166" s="22"/>
      <c r="F3166" s="22"/>
      <c r="G3166" s="22"/>
      <c r="H3166" s="22"/>
      <c r="I3166" s="22"/>
      <c r="J3166" s="22"/>
      <c r="K3166" s="22"/>
      <c r="L3166" s="22"/>
      <c r="M3166" s="22"/>
      <c r="N3166" s="22"/>
    </row>
    <row r="3167" spans="1:14" x14ac:dyDescent="0.3">
      <c r="A3167" s="22" t="s">
        <v>2699</v>
      </c>
      <c r="B3167" s="22">
        <v>819</v>
      </c>
      <c r="C3167" s="22"/>
      <c r="D3167" s="22"/>
      <c r="E3167" s="22"/>
      <c r="F3167" s="22"/>
      <c r="G3167" s="22"/>
      <c r="H3167" s="22"/>
      <c r="I3167" s="22"/>
      <c r="J3167" s="22"/>
      <c r="K3167" s="22"/>
      <c r="L3167" s="22"/>
      <c r="M3167" s="22"/>
      <c r="N3167" s="22"/>
    </row>
    <row r="3168" spans="1:14" x14ac:dyDescent="0.3">
      <c r="A3168" s="22" t="s">
        <v>4135</v>
      </c>
      <c r="B3168" s="22">
        <v>33</v>
      </c>
      <c r="C3168" s="22"/>
      <c r="D3168" s="22"/>
      <c r="E3168" s="22"/>
      <c r="F3168" s="22"/>
      <c r="G3168" s="22"/>
      <c r="H3168" s="22"/>
      <c r="I3168" s="22"/>
      <c r="J3168" s="22"/>
      <c r="K3168" s="22"/>
      <c r="L3168" s="22"/>
      <c r="M3168" s="22"/>
      <c r="N3168" s="22"/>
    </row>
    <row r="3169" spans="1:14" x14ac:dyDescent="0.3">
      <c r="A3169" s="22" t="s">
        <v>4136</v>
      </c>
      <c r="B3169" s="22">
        <v>0</v>
      </c>
      <c r="C3169" s="22"/>
      <c r="D3169" s="22"/>
      <c r="E3169" s="22"/>
      <c r="F3169" s="22"/>
      <c r="G3169" s="22"/>
      <c r="H3169" s="22"/>
      <c r="I3169" s="22"/>
      <c r="J3169" s="22"/>
      <c r="K3169" s="22"/>
      <c r="L3169" s="22"/>
      <c r="M3169" s="22"/>
      <c r="N3169" s="22"/>
    </row>
    <row r="3170" spans="1:14" x14ac:dyDescent="0.3">
      <c r="A3170" s="22" t="s">
        <v>4137</v>
      </c>
      <c r="B3170" s="22">
        <v>1</v>
      </c>
      <c r="C3170" s="22"/>
      <c r="D3170" s="22"/>
      <c r="E3170" s="22"/>
      <c r="F3170" s="22"/>
      <c r="G3170" s="22"/>
      <c r="H3170" s="22"/>
      <c r="I3170" s="22"/>
      <c r="J3170" s="22"/>
      <c r="K3170" s="22"/>
      <c r="L3170" s="22"/>
      <c r="M3170" s="22"/>
      <c r="N3170" s="22"/>
    </row>
    <row r="3171" spans="1:14" x14ac:dyDescent="0.3">
      <c r="A3171" s="22" t="s">
        <v>4138</v>
      </c>
      <c r="B3171" s="22">
        <v>1</v>
      </c>
      <c r="C3171" s="22"/>
      <c r="D3171" s="22"/>
      <c r="E3171" s="22"/>
      <c r="F3171" s="22"/>
      <c r="G3171" s="22"/>
      <c r="H3171" s="22"/>
      <c r="I3171" s="22"/>
      <c r="J3171" s="22"/>
      <c r="K3171" s="22"/>
      <c r="L3171" s="22"/>
      <c r="M3171" s="22"/>
      <c r="N3171" s="22"/>
    </row>
    <row r="3172" spans="1:14" x14ac:dyDescent="0.3">
      <c r="A3172" s="22" t="s">
        <v>4139</v>
      </c>
      <c r="B3172" s="22">
        <v>0</v>
      </c>
      <c r="C3172" s="22"/>
      <c r="D3172" s="22"/>
      <c r="E3172" s="22"/>
      <c r="F3172" s="22"/>
      <c r="G3172" s="22"/>
      <c r="H3172" s="22"/>
      <c r="I3172" s="22"/>
      <c r="J3172" s="22"/>
      <c r="K3172" s="22"/>
      <c r="L3172" s="22"/>
      <c r="M3172" s="22"/>
      <c r="N3172" s="22"/>
    </row>
    <row r="3173" spans="1:14" x14ac:dyDescent="0.3">
      <c r="A3173" s="22" t="s">
        <v>4140</v>
      </c>
      <c r="B3173" s="22">
        <v>0</v>
      </c>
      <c r="C3173" s="22"/>
      <c r="D3173" s="22"/>
      <c r="E3173" s="22"/>
      <c r="F3173" s="22"/>
      <c r="G3173" s="22"/>
      <c r="H3173" s="22"/>
      <c r="I3173" s="22"/>
      <c r="J3173" s="22"/>
      <c r="K3173" s="22"/>
      <c r="L3173" s="22"/>
      <c r="M3173" s="22"/>
      <c r="N3173" s="22"/>
    </row>
    <row r="3174" spans="1:14" x14ac:dyDescent="0.3">
      <c r="A3174" s="22" t="s">
        <v>4141</v>
      </c>
      <c r="B3174" s="22">
        <v>0</v>
      </c>
      <c r="C3174" s="22"/>
      <c r="D3174" s="22"/>
      <c r="E3174" s="22"/>
      <c r="F3174" s="22"/>
      <c r="G3174" s="22"/>
      <c r="H3174" s="22"/>
      <c r="I3174" s="22"/>
      <c r="J3174" s="22"/>
      <c r="K3174" s="22"/>
      <c r="L3174" s="22"/>
      <c r="M3174" s="22"/>
      <c r="N3174" s="22"/>
    </row>
    <row r="3175" spans="1:14" x14ac:dyDescent="0.3">
      <c r="A3175" s="22" t="s">
        <v>1598</v>
      </c>
      <c r="B3175" s="22">
        <v>98</v>
      </c>
      <c r="C3175" s="22"/>
      <c r="D3175" s="22"/>
      <c r="E3175" s="22"/>
      <c r="F3175" s="22"/>
      <c r="G3175" s="22"/>
      <c r="H3175" s="22"/>
      <c r="I3175" s="22"/>
      <c r="J3175" s="22"/>
      <c r="K3175" s="22"/>
      <c r="L3175" s="22"/>
      <c r="M3175" s="22"/>
      <c r="N3175" s="22"/>
    </row>
    <row r="3176" spans="1:14" x14ac:dyDescent="0.3">
      <c r="A3176" s="22" t="s">
        <v>4142</v>
      </c>
      <c r="B3176" s="22">
        <v>0</v>
      </c>
      <c r="C3176" s="22"/>
      <c r="D3176" s="22"/>
      <c r="E3176" s="22"/>
      <c r="F3176" s="22"/>
      <c r="G3176" s="22"/>
      <c r="H3176" s="22"/>
      <c r="I3176" s="22"/>
      <c r="J3176" s="22"/>
      <c r="K3176" s="22"/>
      <c r="L3176" s="22"/>
      <c r="M3176" s="22"/>
      <c r="N3176" s="22"/>
    </row>
    <row r="3177" spans="1:14" x14ac:dyDescent="0.3">
      <c r="A3177" s="22" t="s">
        <v>4143</v>
      </c>
      <c r="B3177" s="22">
        <v>0</v>
      </c>
      <c r="C3177" s="22"/>
      <c r="D3177" s="22"/>
      <c r="E3177" s="22"/>
      <c r="F3177" s="22"/>
      <c r="G3177" s="22"/>
      <c r="H3177" s="22"/>
      <c r="I3177" s="22"/>
      <c r="J3177" s="22"/>
      <c r="K3177" s="22"/>
      <c r="L3177" s="22"/>
      <c r="M3177" s="22"/>
      <c r="N3177" s="22"/>
    </row>
    <row r="3178" spans="1:14" x14ac:dyDescent="0.3">
      <c r="A3178" s="22" t="s">
        <v>4144</v>
      </c>
      <c r="B3178" s="22">
        <v>0</v>
      </c>
      <c r="C3178" s="22"/>
      <c r="D3178" s="22"/>
      <c r="E3178" s="22"/>
      <c r="F3178" s="22"/>
      <c r="G3178" s="22"/>
      <c r="H3178" s="22"/>
      <c r="I3178" s="22"/>
      <c r="J3178" s="22"/>
      <c r="K3178" s="22"/>
      <c r="L3178" s="22"/>
      <c r="M3178" s="22"/>
      <c r="N3178" s="22"/>
    </row>
    <row r="3179" spans="1:14" x14ac:dyDescent="0.3">
      <c r="A3179" s="22" t="s">
        <v>4145</v>
      </c>
      <c r="B3179" s="22">
        <v>0</v>
      </c>
      <c r="C3179" s="22"/>
      <c r="D3179" s="22"/>
      <c r="E3179" s="22"/>
      <c r="F3179" s="22"/>
      <c r="G3179" s="22"/>
      <c r="H3179" s="22"/>
      <c r="I3179" s="22"/>
      <c r="J3179" s="22"/>
      <c r="K3179" s="22"/>
      <c r="L3179" s="22"/>
      <c r="M3179" s="22"/>
      <c r="N3179" s="22"/>
    </row>
    <row r="3180" spans="1:14" x14ac:dyDescent="0.3">
      <c r="A3180" s="22" t="s">
        <v>4146</v>
      </c>
      <c r="B3180" s="22">
        <v>0</v>
      </c>
      <c r="C3180" s="22"/>
      <c r="D3180" s="22"/>
      <c r="E3180" s="22"/>
      <c r="F3180" s="22"/>
      <c r="G3180" s="22"/>
      <c r="H3180" s="22"/>
      <c r="I3180" s="22"/>
      <c r="J3180" s="22"/>
      <c r="K3180" s="22"/>
      <c r="L3180" s="22"/>
      <c r="M3180" s="22"/>
      <c r="N3180" s="22"/>
    </row>
    <row r="3181" spans="1:14" x14ac:dyDescent="0.3">
      <c r="A3181" s="22" t="s">
        <v>4147</v>
      </c>
      <c r="B3181" s="22">
        <v>0</v>
      </c>
      <c r="C3181" s="22"/>
      <c r="D3181" s="22"/>
      <c r="E3181" s="22"/>
      <c r="F3181" s="22"/>
      <c r="G3181" s="22"/>
      <c r="H3181" s="22"/>
      <c r="I3181" s="22"/>
      <c r="J3181" s="22"/>
      <c r="K3181" s="22"/>
      <c r="L3181" s="22"/>
      <c r="M3181" s="22"/>
      <c r="N3181" s="22"/>
    </row>
    <row r="3182" spans="1:14" x14ac:dyDescent="0.3">
      <c r="A3182" s="22" t="s">
        <v>4148</v>
      </c>
      <c r="B3182" s="22">
        <v>0</v>
      </c>
      <c r="C3182" s="22"/>
      <c r="D3182" s="22"/>
      <c r="E3182" s="22"/>
      <c r="F3182" s="22"/>
      <c r="G3182" s="22"/>
      <c r="H3182" s="22"/>
      <c r="I3182" s="22"/>
      <c r="J3182" s="22"/>
      <c r="K3182" s="22"/>
      <c r="L3182" s="22"/>
      <c r="M3182" s="22"/>
      <c r="N3182" s="22"/>
    </row>
    <row r="3183" spans="1:14" x14ac:dyDescent="0.3">
      <c r="A3183" s="22" t="s">
        <v>2700</v>
      </c>
      <c r="B3183" s="22">
        <v>51</v>
      </c>
      <c r="C3183" s="22"/>
      <c r="D3183" s="22"/>
      <c r="E3183" s="22"/>
      <c r="F3183" s="22"/>
      <c r="G3183" s="22"/>
      <c r="H3183" s="22"/>
      <c r="I3183" s="22"/>
      <c r="J3183" s="22"/>
      <c r="K3183" s="22"/>
      <c r="L3183" s="22"/>
      <c r="M3183" s="22"/>
      <c r="N3183" s="22"/>
    </row>
    <row r="3184" spans="1:14" x14ac:dyDescent="0.3">
      <c r="A3184" s="22" t="s">
        <v>4149</v>
      </c>
      <c r="B3184" s="22">
        <v>0</v>
      </c>
      <c r="C3184" s="22"/>
      <c r="D3184" s="22"/>
      <c r="E3184" s="22"/>
      <c r="F3184" s="22"/>
      <c r="G3184" s="22"/>
      <c r="H3184" s="22"/>
      <c r="I3184" s="22"/>
      <c r="J3184" s="22"/>
      <c r="K3184" s="22"/>
      <c r="L3184" s="22"/>
      <c r="M3184" s="22"/>
      <c r="N3184" s="22"/>
    </row>
    <row r="3185" spans="1:14" x14ac:dyDescent="0.3">
      <c r="A3185" s="22" t="s">
        <v>4150</v>
      </c>
      <c r="B3185" s="22">
        <v>0</v>
      </c>
      <c r="C3185" s="22"/>
      <c r="D3185" s="22"/>
      <c r="E3185" s="22"/>
      <c r="F3185" s="22"/>
      <c r="G3185" s="22"/>
      <c r="H3185" s="22"/>
      <c r="I3185" s="22"/>
      <c r="J3185" s="22"/>
      <c r="K3185" s="22"/>
      <c r="L3185" s="22"/>
      <c r="M3185" s="22"/>
      <c r="N3185" s="22"/>
    </row>
    <row r="3186" spans="1:14" x14ac:dyDescent="0.3">
      <c r="A3186" s="22" t="s">
        <v>4151</v>
      </c>
      <c r="B3186" s="22">
        <v>0</v>
      </c>
      <c r="C3186" s="22"/>
      <c r="D3186" s="22"/>
      <c r="E3186" s="22"/>
      <c r="F3186" s="22"/>
      <c r="G3186" s="22"/>
      <c r="H3186" s="22"/>
      <c r="I3186" s="22"/>
      <c r="J3186" s="22"/>
      <c r="K3186" s="22"/>
      <c r="L3186" s="22"/>
      <c r="M3186" s="22"/>
      <c r="N3186" s="22"/>
    </row>
    <row r="3187" spans="1:14" x14ac:dyDescent="0.3">
      <c r="A3187" s="22" t="s">
        <v>4152</v>
      </c>
      <c r="B3187" s="22">
        <v>0</v>
      </c>
      <c r="C3187" s="22"/>
      <c r="D3187" s="22"/>
      <c r="E3187" s="22"/>
      <c r="F3187" s="22"/>
      <c r="G3187" s="22"/>
      <c r="H3187" s="22"/>
      <c r="I3187" s="22"/>
      <c r="J3187" s="22"/>
      <c r="K3187" s="22"/>
      <c r="L3187" s="22"/>
      <c r="M3187" s="22"/>
      <c r="N3187" s="22"/>
    </row>
    <row r="3188" spans="1:14" x14ac:dyDescent="0.3">
      <c r="A3188" s="22" t="s">
        <v>4153</v>
      </c>
      <c r="B3188" s="22">
        <v>0</v>
      </c>
      <c r="C3188" s="22"/>
      <c r="D3188" s="22"/>
      <c r="E3188" s="22"/>
      <c r="F3188" s="22"/>
      <c r="G3188" s="22"/>
      <c r="H3188" s="22"/>
      <c r="I3188" s="22"/>
      <c r="J3188" s="22"/>
      <c r="K3188" s="22"/>
      <c r="L3188" s="22"/>
      <c r="M3188" s="22"/>
      <c r="N3188" s="22"/>
    </row>
    <row r="3189" spans="1:14" x14ac:dyDescent="0.3">
      <c r="A3189" s="22" t="s">
        <v>4154</v>
      </c>
      <c r="B3189" s="22">
        <v>0</v>
      </c>
      <c r="C3189" s="22"/>
      <c r="D3189" s="22"/>
      <c r="E3189" s="22"/>
      <c r="F3189" s="22"/>
      <c r="G3189" s="22"/>
      <c r="H3189" s="22"/>
      <c r="I3189" s="22"/>
      <c r="J3189" s="22"/>
      <c r="K3189" s="22"/>
      <c r="L3189" s="22"/>
      <c r="M3189" s="22"/>
      <c r="N3189" s="22"/>
    </row>
    <row r="3190" spans="1:14" x14ac:dyDescent="0.3">
      <c r="A3190" s="22" t="s">
        <v>4155</v>
      </c>
      <c r="B3190" s="22">
        <v>0</v>
      </c>
      <c r="C3190" s="22"/>
      <c r="D3190" s="22"/>
      <c r="E3190" s="22"/>
      <c r="F3190" s="22"/>
      <c r="G3190" s="22"/>
      <c r="H3190" s="22"/>
      <c r="I3190" s="22"/>
      <c r="J3190" s="22"/>
      <c r="K3190" s="22"/>
      <c r="L3190" s="22"/>
      <c r="M3190" s="22"/>
      <c r="N3190" s="22"/>
    </row>
    <row r="3191" spans="1:14" x14ac:dyDescent="0.3">
      <c r="A3191" s="22" t="s">
        <v>2701</v>
      </c>
      <c r="B3191" s="22">
        <v>343</v>
      </c>
      <c r="M3191" s="22"/>
      <c r="N3191" s="22"/>
    </row>
    <row r="3192" spans="1:14" x14ac:dyDescent="0.3">
      <c r="A3192" s="22" t="s">
        <v>4156</v>
      </c>
      <c r="B3192" s="22">
        <v>0</v>
      </c>
      <c r="M3192" s="22"/>
      <c r="N3192" s="22"/>
    </row>
    <row r="3193" spans="1:14" x14ac:dyDescent="0.3">
      <c r="A3193" s="22" t="s">
        <v>4157</v>
      </c>
      <c r="B3193" s="22">
        <v>0</v>
      </c>
      <c r="M3193" s="22"/>
      <c r="N3193" s="22"/>
    </row>
    <row r="3194" spans="1:14" x14ac:dyDescent="0.3">
      <c r="A3194" s="22" t="s">
        <v>4158</v>
      </c>
      <c r="B3194" s="22">
        <v>0</v>
      </c>
      <c r="M3194" s="22"/>
      <c r="N3194" s="22"/>
    </row>
    <row r="3195" spans="1:14" x14ac:dyDescent="0.3">
      <c r="A3195" s="22" t="s">
        <v>4159</v>
      </c>
      <c r="B3195" s="22">
        <v>0</v>
      </c>
      <c r="M3195" s="22"/>
      <c r="N3195" s="22"/>
    </row>
    <row r="3196" spans="1:14" x14ac:dyDescent="0.3">
      <c r="A3196" s="22" t="s">
        <v>4160</v>
      </c>
      <c r="B3196" s="22">
        <v>0</v>
      </c>
      <c r="M3196" s="22"/>
      <c r="N3196" s="22"/>
    </row>
    <row r="3197" spans="1:14" x14ac:dyDescent="0.3">
      <c r="A3197" s="22" t="s">
        <v>4161</v>
      </c>
      <c r="B3197" s="22">
        <v>0</v>
      </c>
      <c r="M3197" s="22"/>
      <c r="N3197" s="22"/>
    </row>
    <row r="3198" spans="1:14" x14ac:dyDescent="0.3">
      <c r="A3198" s="22" t="s">
        <v>4162</v>
      </c>
      <c r="B3198" s="22">
        <v>0</v>
      </c>
      <c r="M3198" s="22"/>
      <c r="N3198" s="22"/>
    </row>
    <row r="3199" spans="1:14" x14ac:dyDescent="0.3">
      <c r="A3199" s="22" t="s">
        <v>1602</v>
      </c>
      <c r="B3199" s="22">
        <v>0</v>
      </c>
    </row>
    <row r="3200" spans="1:14" x14ac:dyDescent="0.3">
      <c r="A3200" s="22" t="s">
        <v>4163</v>
      </c>
      <c r="B3200" s="22">
        <v>0</v>
      </c>
    </row>
    <row r="3201" spans="1:2" x14ac:dyDescent="0.3">
      <c r="A3201" s="22" t="s">
        <v>4164</v>
      </c>
      <c r="B3201" s="22">
        <v>0</v>
      </c>
    </row>
    <row r="3202" spans="1:2" x14ac:dyDescent="0.3">
      <c r="A3202" s="22" t="s">
        <v>4165</v>
      </c>
      <c r="B3202" s="22">
        <v>0</v>
      </c>
    </row>
    <row r="3203" spans="1:2" x14ac:dyDescent="0.3">
      <c r="A3203" s="22" t="s">
        <v>4166</v>
      </c>
      <c r="B3203" s="22">
        <v>0</v>
      </c>
    </row>
    <row r="3204" spans="1:2" x14ac:dyDescent="0.3">
      <c r="A3204" s="22" t="s">
        <v>4167</v>
      </c>
      <c r="B3204" s="22">
        <v>0</v>
      </c>
    </row>
    <row r="3205" spans="1:2" x14ac:dyDescent="0.3">
      <c r="A3205" s="22" t="s">
        <v>4168</v>
      </c>
      <c r="B3205" s="22">
        <v>0</v>
      </c>
    </row>
    <row r="3206" spans="1:2" x14ac:dyDescent="0.3">
      <c r="A3206" s="22" t="s">
        <v>4169</v>
      </c>
      <c r="B3206" s="22">
        <v>0</v>
      </c>
    </row>
    <row r="3207" spans="1:2" x14ac:dyDescent="0.3">
      <c r="A3207" s="22" t="s">
        <v>2702</v>
      </c>
      <c r="B3207" s="22">
        <v>776</v>
      </c>
    </row>
    <row r="3208" spans="1:2" x14ac:dyDescent="0.3">
      <c r="A3208" s="22" t="s">
        <v>4170</v>
      </c>
      <c r="B3208" s="22">
        <v>0</v>
      </c>
    </row>
    <row r="3209" spans="1:2" x14ac:dyDescent="0.3">
      <c r="A3209" s="22" t="s">
        <v>4171</v>
      </c>
      <c r="B3209" s="22">
        <v>0</v>
      </c>
    </row>
    <row r="3210" spans="1:2" x14ac:dyDescent="0.3">
      <c r="A3210" s="22" t="s">
        <v>4172</v>
      </c>
      <c r="B3210" s="22">
        <v>0</v>
      </c>
    </row>
    <row r="3211" spans="1:2" x14ac:dyDescent="0.3">
      <c r="A3211" s="22" t="s">
        <v>4173</v>
      </c>
      <c r="B3211" s="22">
        <v>2</v>
      </c>
    </row>
    <row r="3212" spans="1:2" x14ac:dyDescent="0.3">
      <c r="A3212" s="22" t="s">
        <v>4174</v>
      </c>
      <c r="B3212" s="22">
        <v>0</v>
      </c>
    </row>
    <row r="3213" spans="1:2" x14ac:dyDescent="0.3">
      <c r="A3213" s="22" t="s">
        <v>4175</v>
      </c>
      <c r="B3213" s="22">
        <v>0</v>
      </c>
    </row>
    <row r="3214" spans="1:2" x14ac:dyDescent="0.3">
      <c r="A3214" s="22" t="s">
        <v>4176</v>
      </c>
      <c r="B3214" s="22">
        <v>0</v>
      </c>
    </row>
    <row r="3215" spans="1:2" x14ac:dyDescent="0.3">
      <c r="A3215" s="22" t="s">
        <v>1604</v>
      </c>
      <c r="B3215" s="22">
        <v>0</v>
      </c>
    </row>
    <row r="3216" spans="1:2" x14ac:dyDescent="0.3">
      <c r="A3216" s="22" t="s">
        <v>4177</v>
      </c>
      <c r="B3216" s="22">
        <v>0</v>
      </c>
    </row>
    <row r="3217" spans="1:2" x14ac:dyDescent="0.3">
      <c r="A3217" s="22" t="s">
        <v>4178</v>
      </c>
      <c r="B3217" s="22">
        <v>0</v>
      </c>
    </row>
    <row r="3218" spans="1:2" x14ac:dyDescent="0.3">
      <c r="A3218" s="22" t="s">
        <v>4179</v>
      </c>
      <c r="B3218" s="22">
        <v>0</v>
      </c>
    </row>
    <row r="3219" spans="1:2" x14ac:dyDescent="0.3">
      <c r="A3219" s="22" t="s">
        <v>4180</v>
      </c>
      <c r="B3219" s="22">
        <v>0</v>
      </c>
    </row>
    <row r="3220" spans="1:2" x14ac:dyDescent="0.3">
      <c r="A3220" s="22" t="s">
        <v>4181</v>
      </c>
      <c r="B3220" s="22">
        <v>0</v>
      </c>
    </row>
    <row r="3221" spans="1:2" x14ac:dyDescent="0.3">
      <c r="A3221" s="22" t="s">
        <v>4182</v>
      </c>
      <c r="B3221" s="22">
        <v>0</v>
      </c>
    </row>
    <row r="3222" spans="1:2" x14ac:dyDescent="0.3">
      <c r="A3222" s="22" t="s">
        <v>4183</v>
      </c>
      <c r="B3222" s="22">
        <v>0</v>
      </c>
    </row>
    <row r="3223" spans="1:2" x14ac:dyDescent="0.3">
      <c r="A3223" s="22" t="s">
        <v>2703</v>
      </c>
      <c r="B3223" s="22">
        <v>1309</v>
      </c>
    </row>
    <row r="3224" spans="1:2" x14ac:dyDescent="0.3">
      <c r="A3224" s="22" t="s">
        <v>4184</v>
      </c>
      <c r="B3224" s="22">
        <v>0</v>
      </c>
    </row>
    <row r="3225" spans="1:2" x14ac:dyDescent="0.3">
      <c r="A3225" s="22" t="s">
        <v>4185</v>
      </c>
      <c r="B3225" s="22">
        <v>0</v>
      </c>
    </row>
    <row r="3226" spans="1:2" x14ac:dyDescent="0.3">
      <c r="A3226" s="22" t="s">
        <v>4186</v>
      </c>
      <c r="B3226" s="22">
        <v>0</v>
      </c>
    </row>
    <row r="3227" spans="1:2" x14ac:dyDescent="0.3">
      <c r="A3227" s="22" t="s">
        <v>4187</v>
      </c>
      <c r="B3227" s="22">
        <v>2</v>
      </c>
    </row>
    <row r="3228" spans="1:2" x14ac:dyDescent="0.3">
      <c r="A3228" s="22" t="s">
        <v>4188</v>
      </c>
      <c r="B3228" s="22">
        <v>0</v>
      </c>
    </row>
    <row r="3229" spans="1:2" x14ac:dyDescent="0.3">
      <c r="A3229" s="22" t="s">
        <v>4189</v>
      </c>
      <c r="B3229" s="22">
        <v>0</v>
      </c>
    </row>
    <row r="3230" spans="1:2" x14ac:dyDescent="0.3">
      <c r="A3230" s="22" t="s">
        <v>4190</v>
      </c>
      <c r="B3230" s="22">
        <v>0</v>
      </c>
    </row>
    <row r="3231" spans="1:2" x14ac:dyDescent="0.3">
      <c r="A3231" s="22" t="s">
        <v>1606</v>
      </c>
      <c r="B3231" s="22">
        <v>19</v>
      </c>
    </row>
    <row r="3232" spans="1:2" x14ac:dyDescent="0.3">
      <c r="A3232" s="22" t="s">
        <v>4191</v>
      </c>
      <c r="B3232" s="22">
        <v>0</v>
      </c>
    </row>
    <row r="3233" spans="1:2" x14ac:dyDescent="0.3">
      <c r="A3233" s="22" t="s">
        <v>4192</v>
      </c>
      <c r="B3233" s="22">
        <v>0</v>
      </c>
    </row>
    <row r="3234" spans="1:2" x14ac:dyDescent="0.3">
      <c r="A3234" s="22" t="s">
        <v>4193</v>
      </c>
      <c r="B3234" s="22">
        <v>0</v>
      </c>
    </row>
    <row r="3235" spans="1:2" x14ac:dyDescent="0.3">
      <c r="A3235" s="22" t="s">
        <v>4194</v>
      </c>
      <c r="B3235" s="22">
        <v>0</v>
      </c>
    </row>
    <row r="3236" spans="1:2" x14ac:dyDescent="0.3">
      <c r="A3236" s="22" t="s">
        <v>4195</v>
      </c>
      <c r="B3236" s="22">
        <v>0</v>
      </c>
    </row>
    <row r="3237" spans="1:2" x14ac:dyDescent="0.3">
      <c r="A3237" s="22" t="s">
        <v>4196</v>
      </c>
      <c r="B3237" s="22">
        <v>0</v>
      </c>
    </row>
    <row r="3238" spans="1:2" x14ac:dyDescent="0.3">
      <c r="A3238" s="22" t="s">
        <v>4197</v>
      </c>
      <c r="B3238" s="22">
        <v>0</v>
      </c>
    </row>
    <row r="3239" spans="1:2" x14ac:dyDescent="0.3">
      <c r="A3239" s="22" t="s">
        <v>2704</v>
      </c>
      <c r="B3239" s="22">
        <v>4</v>
      </c>
    </row>
    <row r="3240" spans="1:2" x14ac:dyDescent="0.3">
      <c r="A3240" s="22" t="s">
        <v>4198</v>
      </c>
      <c r="B3240" s="22">
        <v>0</v>
      </c>
    </row>
    <row r="3241" spans="1:2" x14ac:dyDescent="0.3">
      <c r="A3241" s="22" t="s">
        <v>4199</v>
      </c>
      <c r="B3241" s="22">
        <v>0</v>
      </c>
    </row>
    <row r="3242" spans="1:2" x14ac:dyDescent="0.3">
      <c r="A3242" s="22" t="s">
        <v>4200</v>
      </c>
      <c r="B3242" s="22">
        <v>0</v>
      </c>
    </row>
    <row r="3243" spans="1:2" x14ac:dyDescent="0.3">
      <c r="A3243" s="22" t="s">
        <v>4201</v>
      </c>
      <c r="B3243" s="22">
        <v>0</v>
      </c>
    </row>
    <row r="3244" spans="1:2" x14ac:dyDescent="0.3">
      <c r="A3244" s="22" t="s">
        <v>4202</v>
      </c>
      <c r="B3244" s="22">
        <v>0</v>
      </c>
    </row>
    <row r="3245" spans="1:2" x14ac:dyDescent="0.3">
      <c r="A3245" s="22" t="s">
        <v>4203</v>
      </c>
      <c r="B3245" s="22">
        <v>0</v>
      </c>
    </row>
    <row r="3246" spans="1:2" x14ac:dyDescent="0.3">
      <c r="A3246" s="22" t="s">
        <v>4204</v>
      </c>
      <c r="B3246" s="22">
        <v>0</v>
      </c>
    </row>
    <row r="3247" spans="1:2" x14ac:dyDescent="0.3">
      <c r="A3247" s="22" t="s">
        <v>1608</v>
      </c>
      <c r="B3247" s="22">
        <v>0</v>
      </c>
    </row>
    <row r="3248" spans="1:2" x14ac:dyDescent="0.3">
      <c r="A3248" s="22" t="s">
        <v>4205</v>
      </c>
      <c r="B3248" s="22">
        <v>0</v>
      </c>
    </row>
    <row r="3249" spans="1:2" x14ac:dyDescent="0.3">
      <c r="A3249" s="22" t="s">
        <v>4206</v>
      </c>
      <c r="B3249" s="22">
        <v>0</v>
      </c>
    </row>
    <row r="3250" spans="1:2" x14ac:dyDescent="0.3">
      <c r="A3250" s="22" t="s">
        <v>4207</v>
      </c>
      <c r="B3250" s="22">
        <v>0</v>
      </c>
    </row>
    <row r="3251" spans="1:2" x14ac:dyDescent="0.3">
      <c r="A3251" s="22" t="s">
        <v>4208</v>
      </c>
      <c r="B3251" s="22">
        <v>0</v>
      </c>
    </row>
    <row r="3252" spans="1:2" x14ac:dyDescent="0.3">
      <c r="A3252" s="22" t="s">
        <v>4209</v>
      </c>
      <c r="B3252" s="22">
        <v>0</v>
      </c>
    </row>
    <row r="3253" spans="1:2" x14ac:dyDescent="0.3">
      <c r="A3253" s="22" t="s">
        <v>4210</v>
      </c>
      <c r="B3253" s="22">
        <v>0</v>
      </c>
    </row>
    <row r="3254" spans="1:2" x14ac:dyDescent="0.3">
      <c r="A3254" s="22" t="s">
        <v>4211</v>
      </c>
      <c r="B3254" s="22">
        <v>0</v>
      </c>
    </row>
    <row r="3255" spans="1:2" x14ac:dyDescent="0.3">
      <c r="A3255" s="22" t="s">
        <v>2705</v>
      </c>
      <c r="B3255" s="22">
        <v>1741</v>
      </c>
    </row>
    <row r="3256" spans="1:2" x14ac:dyDescent="0.3">
      <c r="A3256" s="22" t="s">
        <v>4212</v>
      </c>
      <c r="B3256" s="22">
        <v>211</v>
      </c>
    </row>
    <row r="3257" spans="1:2" x14ac:dyDescent="0.3">
      <c r="A3257" s="22" t="s">
        <v>4213</v>
      </c>
      <c r="B3257" s="22">
        <v>0</v>
      </c>
    </row>
    <row r="3258" spans="1:2" x14ac:dyDescent="0.3">
      <c r="A3258" s="22" t="s">
        <v>4214</v>
      </c>
      <c r="B3258" s="22">
        <v>8</v>
      </c>
    </row>
    <row r="3259" spans="1:2" x14ac:dyDescent="0.3">
      <c r="A3259" s="22" t="s">
        <v>4215</v>
      </c>
      <c r="B3259" s="22">
        <v>1</v>
      </c>
    </row>
    <row r="3260" spans="1:2" x14ac:dyDescent="0.3">
      <c r="A3260" s="22" t="s">
        <v>4216</v>
      </c>
      <c r="B3260" s="22">
        <v>0</v>
      </c>
    </row>
    <row r="3261" spans="1:2" x14ac:dyDescent="0.3">
      <c r="A3261" s="22" t="s">
        <v>4217</v>
      </c>
      <c r="B3261" s="22">
        <v>0</v>
      </c>
    </row>
    <row r="3262" spans="1:2" x14ac:dyDescent="0.3">
      <c r="A3262" s="22" t="s">
        <v>4218</v>
      </c>
      <c r="B3262" s="22">
        <v>0</v>
      </c>
    </row>
    <row r="3263" spans="1:2" x14ac:dyDescent="0.3">
      <c r="A3263" s="22" t="s">
        <v>2706</v>
      </c>
      <c r="B3263" s="22">
        <v>6</v>
      </c>
    </row>
    <row r="3264" spans="1:2" x14ac:dyDescent="0.3">
      <c r="A3264" s="22" t="s">
        <v>4219</v>
      </c>
      <c r="B3264" s="22">
        <v>0</v>
      </c>
    </row>
    <row r="3265" spans="1:2" x14ac:dyDescent="0.3">
      <c r="A3265" s="22" t="s">
        <v>4220</v>
      </c>
      <c r="B3265" s="22">
        <v>0</v>
      </c>
    </row>
    <row r="3266" spans="1:2" x14ac:dyDescent="0.3">
      <c r="A3266" s="22" t="s">
        <v>4221</v>
      </c>
      <c r="B3266" s="22">
        <v>0</v>
      </c>
    </row>
    <row r="3267" spans="1:2" x14ac:dyDescent="0.3">
      <c r="A3267" s="22" t="s">
        <v>4222</v>
      </c>
      <c r="B3267" s="22">
        <v>0</v>
      </c>
    </row>
    <row r="3268" spans="1:2" x14ac:dyDescent="0.3">
      <c r="A3268" s="22" t="s">
        <v>4223</v>
      </c>
      <c r="B3268" s="22">
        <v>0</v>
      </c>
    </row>
    <row r="3269" spans="1:2" x14ac:dyDescent="0.3">
      <c r="A3269" s="22" t="s">
        <v>4224</v>
      </c>
      <c r="B3269" s="22">
        <v>0</v>
      </c>
    </row>
    <row r="3270" spans="1:2" x14ac:dyDescent="0.3">
      <c r="A3270" s="22" t="s">
        <v>4225</v>
      </c>
      <c r="B3270" s="22">
        <v>0</v>
      </c>
    </row>
    <row r="3271" spans="1:2" x14ac:dyDescent="0.3">
      <c r="A3271" s="22" t="s">
        <v>2707</v>
      </c>
      <c r="B3271" s="22">
        <v>924</v>
      </c>
    </row>
    <row r="3272" spans="1:2" x14ac:dyDescent="0.3">
      <c r="A3272" s="22" t="s">
        <v>4226</v>
      </c>
      <c r="B3272" s="22">
        <v>16</v>
      </c>
    </row>
    <row r="3273" spans="1:2" x14ac:dyDescent="0.3">
      <c r="A3273" s="22" t="s">
        <v>4227</v>
      </c>
      <c r="B3273" s="22">
        <v>0</v>
      </c>
    </row>
    <row r="3274" spans="1:2" x14ac:dyDescent="0.3">
      <c r="A3274" s="22" t="s">
        <v>4228</v>
      </c>
      <c r="B3274" s="22">
        <v>0</v>
      </c>
    </row>
    <row r="3275" spans="1:2" x14ac:dyDescent="0.3">
      <c r="A3275" s="22" t="s">
        <v>4229</v>
      </c>
      <c r="B3275" s="22">
        <v>1</v>
      </c>
    </row>
    <row r="3276" spans="1:2" x14ac:dyDescent="0.3">
      <c r="A3276" s="22" t="s">
        <v>4230</v>
      </c>
      <c r="B3276" s="22">
        <v>0</v>
      </c>
    </row>
    <row r="3277" spans="1:2" x14ac:dyDescent="0.3">
      <c r="A3277" s="22" t="s">
        <v>4231</v>
      </c>
      <c r="B3277" s="22">
        <v>0</v>
      </c>
    </row>
    <row r="3278" spans="1:2" x14ac:dyDescent="0.3">
      <c r="A3278" s="22" t="s">
        <v>4232</v>
      </c>
      <c r="B3278" s="22">
        <v>0</v>
      </c>
    </row>
    <row r="3279" spans="1:2" x14ac:dyDescent="0.3">
      <c r="A3279" s="22" t="s">
        <v>2708</v>
      </c>
      <c r="B3279" s="22">
        <v>0</v>
      </c>
    </row>
    <row r="3280" spans="1:2" x14ac:dyDescent="0.3">
      <c r="A3280" s="22" t="s">
        <v>4233</v>
      </c>
      <c r="B3280" s="22">
        <v>0</v>
      </c>
    </row>
    <row r="3281" spans="1:2" x14ac:dyDescent="0.3">
      <c r="A3281" s="22" t="s">
        <v>4234</v>
      </c>
      <c r="B3281" s="22">
        <v>0</v>
      </c>
    </row>
    <row r="3282" spans="1:2" x14ac:dyDescent="0.3">
      <c r="A3282" s="22" t="s">
        <v>4235</v>
      </c>
      <c r="B3282" s="22">
        <v>0</v>
      </c>
    </row>
    <row r="3283" spans="1:2" x14ac:dyDescent="0.3">
      <c r="A3283" s="22" t="s">
        <v>4236</v>
      </c>
      <c r="B3283" s="22">
        <v>0</v>
      </c>
    </row>
    <row r="3284" spans="1:2" x14ac:dyDescent="0.3">
      <c r="A3284" s="22" t="s">
        <v>4237</v>
      </c>
      <c r="B3284" s="22">
        <v>0</v>
      </c>
    </row>
    <row r="3285" spans="1:2" x14ac:dyDescent="0.3">
      <c r="A3285" s="22" t="s">
        <v>4238</v>
      </c>
      <c r="B3285" s="22">
        <v>0</v>
      </c>
    </row>
    <row r="3286" spans="1:2" x14ac:dyDescent="0.3">
      <c r="A3286" s="22" t="s">
        <v>4239</v>
      </c>
      <c r="B3286" s="22">
        <v>0</v>
      </c>
    </row>
    <row r="3287" spans="1:2" x14ac:dyDescent="0.3">
      <c r="A3287" s="22" t="s">
        <v>2709</v>
      </c>
      <c r="B3287" s="22">
        <v>65</v>
      </c>
    </row>
    <row r="3288" spans="1:2" x14ac:dyDescent="0.3">
      <c r="A3288" s="22" t="s">
        <v>4240</v>
      </c>
      <c r="B3288" s="22">
        <v>0</v>
      </c>
    </row>
    <row r="3289" spans="1:2" x14ac:dyDescent="0.3">
      <c r="A3289" s="22" t="s">
        <v>4241</v>
      </c>
      <c r="B3289" s="22">
        <v>0</v>
      </c>
    </row>
    <row r="3290" spans="1:2" x14ac:dyDescent="0.3">
      <c r="A3290" s="22" t="s">
        <v>4242</v>
      </c>
      <c r="B3290" s="22">
        <v>0</v>
      </c>
    </row>
    <row r="3291" spans="1:2" x14ac:dyDescent="0.3">
      <c r="A3291" s="22" t="s">
        <v>4243</v>
      </c>
      <c r="B3291" s="22">
        <v>0</v>
      </c>
    </row>
    <row r="3292" spans="1:2" x14ac:dyDescent="0.3">
      <c r="A3292" s="22" t="s">
        <v>4244</v>
      </c>
      <c r="B3292" s="22">
        <v>0</v>
      </c>
    </row>
    <row r="3293" spans="1:2" x14ac:dyDescent="0.3">
      <c r="A3293" s="22" t="s">
        <v>4245</v>
      </c>
      <c r="B3293" s="22">
        <v>0</v>
      </c>
    </row>
    <row r="3294" spans="1:2" x14ac:dyDescent="0.3">
      <c r="A3294" s="22" t="s">
        <v>4246</v>
      </c>
      <c r="B3294" s="22">
        <v>0</v>
      </c>
    </row>
    <row r="3295" spans="1:2" x14ac:dyDescent="0.3">
      <c r="A3295" s="22" t="s">
        <v>2710</v>
      </c>
      <c r="B3295" s="22">
        <v>0</v>
      </c>
    </row>
    <row r="3296" spans="1:2" x14ac:dyDescent="0.3">
      <c r="A3296" s="22" t="s">
        <v>4247</v>
      </c>
      <c r="B3296" s="22">
        <v>0</v>
      </c>
    </row>
    <row r="3297" spans="1:2" x14ac:dyDescent="0.3">
      <c r="A3297" s="22" t="s">
        <v>4248</v>
      </c>
      <c r="B3297" s="22">
        <v>0</v>
      </c>
    </row>
    <row r="3298" spans="1:2" x14ac:dyDescent="0.3">
      <c r="A3298" s="22" t="s">
        <v>4249</v>
      </c>
      <c r="B3298" s="22">
        <v>0</v>
      </c>
    </row>
    <row r="3299" spans="1:2" x14ac:dyDescent="0.3">
      <c r="A3299" s="22" t="s">
        <v>4250</v>
      </c>
      <c r="B3299" s="22">
        <v>0</v>
      </c>
    </row>
    <row r="3300" spans="1:2" x14ac:dyDescent="0.3">
      <c r="A3300" s="22" t="s">
        <v>4251</v>
      </c>
      <c r="B3300" s="22">
        <v>0</v>
      </c>
    </row>
    <row r="3301" spans="1:2" x14ac:dyDescent="0.3">
      <c r="A3301" s="22" t="s">
        <v>4252</v>
      </c>
      <c r="B3301" s="22">
        <v>0</v>
      </c>
    </row>
    <row r="3302" spans="1:2" x14ac:dyDescent="0.3">
      <c r="A3302" s="22" t="s">
        <v>4253</v>
      </c>
      <c r="B3302" s="22">
        <v>0</v>
      </c>
    </row>
    <row r="3303" spans="1:2" x14ac:dyDescent="0.3">
      <c r="A3303" s="22" t="s">
        <v>1373</v>
      </c>
      <c r="B3303" s="22">
        <v>356</v>
      </c>
    </row>
    <row r="3304" spans="1:2" x14ac:dyDescent="0.3">
      <c r="A3304" s="22" t="s">
        <v>1374</v>
      </c>
      <c r="B3304" s="22">
        <v>0</v>
      </c>
    </row>
    <row r="3305" spans="1:2" x14ac:dyDescent="0.3">
      <c r="A3305" s="22" t="s">
        <v>1375</v>
      </c>
      <c r="B3305" s="22">
        <v>0</v>
      </c>
    </row>
    <row r="3306" spans="1:2" x14ac:dyDescent="0.3">
      <c r="A3306" s="22" t="s">
        <v>1376</v>
      </c>
      <c r="B3306" s="22">
        <v>0</v>
      </c>
    </row>
    <row r="3307" spans="1:2" x14ac:dyDescent="0.3">
      <c r="A3307" s="22" t="s">
        <v>1377</v>
      </c>
      <c r="B3307" s="22">
        <v>0</v>
      </c>
    </row>
    <row r="3308" spans="1:2" x14ac:dyDescent="0.3">
      <c r="A3308" s="22" t="s">
        <v>1378</v>
      </c>
      <c r="B3308" s="22">
        <v>0</v>
      </c>
    </row>
    <row r="3309" spans="1:2" x14ac:dyDescent="0.3">
      <c r="A3309" s="22" t="s">
        <v>1379</v>
      </c>
      <c r="B3309" s="22">
        <v>0</v>
      </c>
    </row>
    <row r="3310" spans="1:2" x14ac:dyDescent="0.3">
      <c r="A3310" s="22" t="s">
        <v>1380</v>
      </c>
      <c r="B3310" s="22">
        <v>0</v>
      </c>
    </row>
    <row r="3311" spans="1:2" x14ac:dyDescent="0.3">
      <c r="A3311" s="22" t="s">
        <v>1612</v>
      </c>
      <c r="B3311" s="22">
        <v>0</v>
      </c>
    </row>
    <row r="3312" spans="1:2" x14ac:dyDescent="0.3">
      <c r="A3312" s="22" t="s">
        <v>4254</v>
      </c>
      <c r="B3312" s="22">
        <v>0</v>
      </c>
    </row>
    <row r="3313" spans="1:2" x14ac:dyDescent="0.3">
      <c r="A3313" s="22" t="s">
        <v>4255</v>
      </c>
      <c r="B3313" s="22">
        <v>0</v>
      </c>
    </row>
    <row r="3314" spans="1:2" x14ac:dyDescent="0.3">
      <c r="A3314" s="22" t="s">
        <v>4256</v>
      </c>
      <c r="B3314" s="22">
        <v>0</v>
      </c>
    </row>
    <row r="3315" spans="1:2" x14ac:dyDescent="0.3">
      <c r="A3315" s="22" t="s">
        <v>4257</v>
      </c>
      <c r="B3315" s="22">
        <v>0</v>
      </c>
    </row>
    <row r="3316" spans="1:2" x14ac:dyDescent="0.3">
      <c r="A3316" s="22" t="s">
        <v>4258</v>
      </c>
      <c r="B3316" s="22">
        <v>0</v>
      </c>
    </row>
    <row r="3317" spans="1:2" x14ac:dyDescent="0.3">
      <c r="A3317" s="22" t="s">
        <v>4259</v>
      </c>
      <c r="B3317" s="22">
        <v>0</v>
      </c>
    </row>
    <row r="3318" spans="1:2" x14ac:dyDescent="0.3">
      <c r="A3318" s="22" t="s">
        <v>4260</v>
      </c>
      <c r="B3318" s="22">
        <v>0</v>
      </c>
    </row>
    <row r="3319" spans="1:2" x14ac:dyDescent="0.3">
      <c r="A3319" s="22" t="s">
        <v>1763</v>
      </c>
      <c r="B3319" s="22">
        <v>78</v>
      </c>
    </row>
    <row r="3320" spans="1:2" x14ac:dyDescent="0.3">
      <c r="A3320" s="22" t="s">
        <v>4261</v>
      </c>
      <c r="B3320" s="22">
        <v>0</v>
      </c>
    </row>
    <row r="3321" spans="1:2" x14ac:dyDescent="0.3">
      <c r="A3321" s="22" t="s">
        <v>4262</v>
      </c>
      <c r="B3321" s="22">
        <v>0</v>
      </c>
    </row>
    <row r="3322" spans="1:2" x14ac:dyDescent="0.3">
      <c r="A3322" s="22" t="s">
        <v>4263</v>
      </c>
      <c r="B3322" s="22">
        <v>0</v>
      </c>
    </row>
    <row r="3323" spans="1:2" x14ac:dyDescent="0.3">
      <c r="A3323" s="22" t="s">
        <v>4264</v>
      </c>
      <c r="B3323" s="22">
        <v>0</v>
      </c>
    </row>
    <row r="3324" spans="1:2" x14ac:dyDescent="0.3">
      <c r="A3324" s="22" t="s">
        <v>4265</v>
      </c>
      <c r="B3324" s="22">
        <v>0</v>
      </c>
    </row>
    <row r="3325" spans="1:2" x14ac:dyDescent="0.3">
      <c r="A3325" s="22" t="s">
        <v>4266</v>
      </c>
      <c r="B3325" s="22">
        <v>0</v>
      </c>
    </row>
    <row r="3326" spans="1:2" x14ac:dyDescent="0.3">
      <c r="A3326" s="22" t="s">
        <v>4267</v>
      </c>
      <c r="B3326" s="22">
        <v>0</v>
      </c>
    </row>
    <row r="3327" spans="1:2" x14ac:dyDescent="0.3">
      <c r="A3327" s="22" t="s">
        <v>1616</v>
      </c>
      <c r="B3327" s="22">
        <v>0</v>
      </c>
    </row>
    <row r="3328" spans="1:2" x14ac:dyDescent="0.3">
      <c r="A3328" s="22" t="s">
        <v>4268</v>
      </c>
      <c r="B3328" s="22">
        <v>0</v>
      </c>
    </row>
    <row r="3329" spans="1:2" x14ac:dyDescent="0.3">
      <c r="A3329" s="22" t="s">
        <v>4269</v>
      </c>
      <c r="B3329" s="22">
        <v>0</v>
      </c>
    </row>
    <row r="3330" spans="1:2" x14ac:dyDescent="0.3">
      <c r="A3330" s="22" t="s">
        <v>4270</v>
      </c>
      <c r="B3330" s="22">
        <v>0</v>
      </c>
    </row>
    <row r="3331" spans="1:2" x14ac:dyDescent="0.3">
      <c r="A3331" s="22" t="s">
        <v>4271</v>
      </c>
      <c r="B3331" s="22">
        <v>0</v>
      </c>
    </row>
    <row r="3332" spans="1:2" x14ac:dyDescent="0.3">
      <c r="A3332" s="22" t="s">
        <v>4272</v>
      </c>
      <c r="B3332" s="22">
        <v>0</v>
      </c>
    </row>
    <row r="3333" spans="1:2" x14ac:dyDescent="0.3">
      <c r="A3333" s="22" t="s">
        <v>4273</v>
      </c>
      <c r="B3333" s="22">
        <v>0</v>
      </c>
    </row>
    <row r="3334" spans="1:2" x14ac:dyDescent="0.3">
      <c r="A3334" s="22" t="s">
        <v>4274</v>
      </c>
      <c r="B3334" s="22">
        <v>0</v>
      </c>
    </row>
    <row r="3335" spans="1:2" x14ac:dyDescent="0.3">
      <c r="A3335" s="22" t="s">
        <v>1620</v>
      </c>
      <c r="B3335" s="22">
        <v>0</v>
      </c>
    </row>
    <row r="3336" spans="1:2" x14ac:dyDescent="0.3">
      <c r="A3336" s="22" t="s">
        <v>4275</v>
      </c>
      <c r="B3336" s="22">
        <v>0</v>
      </c>
    </row>
    <row r="3337" spans="1:2" x14ac:dyDescent="0.3">
      <c r="A3337" s="22" t="s">
        <v>4276</v>
      </c>
      <c r="B3337" s="22">
        <v>0</v>
      </c>
    </row>
    <row r="3338" spans="1:2" x14ac:dyDescent="0.3">
      <c r="A3338" s="22" t="s">
        <v>4277</v>
      </c>
      <c r="B3338" s="22">
        <v>0</v>
      </c>
    </row>
    <row r="3339" spans="1:2" x14ac:dyDescent="0.3">
      <c r="A3339" s="22" t="s">
        <v>4278</v>
      </c>
      <c r="B3339" s="22">
        <v>0</v>
      </c>
    </row>
    <row r="3340" spans="1:2" x14ac:dyDescent="0.3">
      <c r="A3340" s="22" t="s">
        <v>4279</v>
      </c>
      <c r="B3340" s="22">
        <v>0</v>
      </c>
    </row>
    <row r="3341" spans="1:2" x14ac:dyDescent="0.3">
      <c r="A3341" s="22" t="s">
        <v>4280</v>
      </c>
      <c r="B3341" s="22">
        <v>0</v>
      </c>
    </row>
    <row r="3342" spans="1:2" x14ac:dyDescent="0.3">
      <c r="A3342" s="22" t="s">
        <v>4281</v>
      </c>
      <c r="B3342" s="22">
        <v>0</v>
      </c>
    </row>
    <row r="3343" spans="1:2" x14ac:dyDescent="0.3">
      <c r="A3343" s="22" t="s">
        <v>1765</v>
      </c>
      <c r="B3343" s="22">
        <v>24</v>
      </c>
    </row>
    <row r="3344" spans="1:2" x14ac:dyDescent="0.3">
      <c r="A3344" s="22" t="s">
        <v>4282</v>
      </c>
      <c r="B3344" s="22">
        <v>0</v>
      </c>
    </row>
    <row r="3345" spans="1:2" x14ac:dyDescent="0.3">
      <c r="A3345" s="22" t="s">
        <v>4283</v>
      </c>
      <c r="B3345" s="22">
        <v>0</v>
      </c>
    </row>
    <row r="3346" spans="1:2" x14ac:dyDescent="0.3">
      <c r="A3346" s="22" t="s">
        <v>4284</v>
      </c>
      <c r="B3346" s="22">
        <v>0</v>
      </c>
    </row>
    <row r="3347" spans="1:2" x14ac:dyDescent="0.3">
      <c r="A3347" s="22" t="s">
        <v>4285</v>
      </c>
      <c r="B3347" s="22">
        <v>0</v>
      </c>
    </row>
    <row r="3348" spans="1:2" x14ac:dyDescent="0.3">
      <c r="A3348" s="22" t="s">
        <v>4286</v>
      </c>
      <c r="B3348" s="22">
        <v>0</v>
      </c>
    </row>
    <row r="3349" spans="1:2" x14ac:dyDescent="0.3">
      <c r="A3349" s="22" t="s">
        <v>4287</v>
      </c>
      <c r="B3349" s="22">
        <v>0</v>
      </c>
    </row>
    <row r="3350" spans="1:2" x14ac:dyDescent="0.3">
      <c r="A3350" s="22" t="s">
        <v>4288</v>
      </c>
      <c r="B3350" s="22">
        <v>0</v>
      </c>
    </row>
    <row r="3351" spans="1:2" x14ac:dyDescent="0.3">
      <c r="A3351" s="22" t="s">
        <v>1624</v>
      </c>
      <c r="B3351" s="22">
        <v>0</v>
      </c>
    </row>
    <row r="3352" spans="1:2" x14ac:dyDescent="0.3">
      <c r="A3352" s="22" t="s">
        <v>4289</v>
      </c>
      <c r="B3352" s="22">
        <v>0</v>
      </c>
    </row>
    <row r="3353" spans="1:2" x14ac:dyDescent="0.3">
      <c r="A3353" s="22" t="s">
        <v>4290</v>
      </c>
      <c r="B3353" s="22">
        <v>0</v>
      </c>
    </row>
    <row r="3354" spans="1:2" x14ac:dyDescent="0.3">
      <c r="A3354" s="22" t="s">
        <v>4291</v>
      </c>
      <c r="B3354" s="22">
        <v>0</v>
      </c>
    </row>
    <row r="3355" spans="1:2" x14ac:dyDescent="0.3">
      <c r="A3355" s="22" t="s">
        <v>4292</v>
      </c>
      <c r="B3355" s="22">
        <v>0</v>
      </c>
    </row>
    <row r="3356" spans="1:2" x14ac:dyDescent="0.3">
      <c r="A3356" s="22" t="s">
        <v>4293</v>
      </c>
      <c r="B3356" s="22">
        <v>0</v>
      </c>
    </row>
    <row r="3357" spans="1:2" x14ac:dyDescent="0.3">
      <c r="A3357" s="22" t="s">
        <v>4294</v>
      </c>
      <c r="B3357" s="22">
        <v>0</v>
      </c>
    </row>
    <row r="3358" spans="1:2" x14ac:dyDescent="0.3">
      <c r="A3358" s="22" t="s">
        <v>4295</v>
      </c>
      <c r="B3358" s="22">
        <v>0</v>
      </c>
    </row>
    <row r="3359" spans="1:2" x14ac:dyDescent="0.3">
      <c r="A3359" s="22" t="s">
        <v>1766</v>
      </c>
      <c r="B3359" s="22">
        <v>3</v>
      </c>
    </row>
    <row r="3360" spans="1:2" x14ac:dyDescent="0.3">
      <c r="A3360" s="22" t="s">
        <v>4296</v>
      </c>
      <c r="B3360" s="22">
        <v>0</v>
      </c>
    </row>
    <row r="3361" spans="1:2" x14ac:dyDescent="0.3">
      <c r="A3361" s="22" t="s">
        <v>4297</v>
      </c>
      <c r="B3361" s="22">
        <v>0</v>
      </c>
    </row>
    <row r="3362" spans="1:2" x14ac:dyDescent="0.3">
      <c r="A3362" s="22" t="s">
        <v>4298</v>
      </c>
      <c r="B3362" s="22">
        <v>0</v>
      </c>
    </row>
    <row r="3363" spans="1:2" x14ac:dyDescent="0.3">
      <c r="A3363" s="22" t="s">
        <v>4299</v>
      </c>
      <c r="B3363" s="22">
        <v>0</v>
      </c>
    </row>
    <row r="3364" spans="1:2" x14ac:dyDescent="0.3">
      <c r="A3364" s="22" t="s">
        <v>4300</v>
      </c>
      <c r="B3364" s="22">
        <v>0</v>
      </c>
    </row>
    <row r="3365" spans="1:2" x14ac:dyDescent="0.3">
      <c r="A3365" s="22" t="s">
        <v>4301</v>
      </c>
      <c r="B3365" s="22">
        <v>0</v>
      </c>
    </row>
    <row r="3366" spans="1:2" x14ac:dyDescent="0.3">
      <c r="A3366" s="22" t="s">
        <v>4302</v>
      </c>
      <c r="B3366" s="22">
        <v>0</v>
      </c>
    </row>
    <row r="3367" spans="1:2" x14ac:dyDescent="0.3">
      <c r="A3367" s="22" t="s">
        <v>1628</v>
      </c>
      <c r="B3367" s="22">
        <v>0</v>
      </c>
    </row>
    <row r="3368" spans="1:2" x14ac:dyDescent="0.3">
      <c r="A3368" s="22" t="s">
        <v>4303</v>
      </c>
      <c r="B3368" s="22">
        <v>0</v>
      </c>
    </row>
    <row r="3369" spans="1:2" x14ac:dyDescent="0.3">
      <c r="A3369" s="22" t="s">
        <v>4304</v>
      </c>
      <c r="B3369" s="22">
        <v>0</v>
      </c>
    </row>
    <row r="3370" spans="1:2" x14ac:dyDescent="0.3">
      <c r="A3370" s="22" t="s">
        <v>4305</v>
      </c>
      <c r="B3370" s="22">
        <v>0</v>
      </c>
    </row>
    <row r="3371" spans="1:2" x14ac:dyDescent="0.3">
      <c r="A3371" s="22" t="s">
        <v>4306</v>
      </c>
      <c r="B3371" s="22">
        <v>0</v>
      </c>
    </row>
    <row r="3372" spans="1:2" x14ac:dyDescent="0.3">
      <c r="A3372" s="22" t="s">
        <v>4307</v>
      </c>
      <c r="B3372" s="22">
        <v>0</v>
      </c>
    </row>
    <row r="3373" spans="1:2" x14ac:dyDescent="0.3">
      <c r="A3373" s="22" t="s">
        <v>4308</v>
      </c>
      <c r="B3373" s="22">
        <v>0</v>
      </c>
    </row>
    <row r="3374" spans="1:2" x14ac:dyDescent="0.3">
      <c r="A3374" s="22" t="s">
        <v>4309</v>
      </c>
      <c r="B3374" s="22">
        <v>0</v>
      </c>
    </row>
    <row r="3375" spans="1:2" x14ac:dyDescent="0.3">
      <c r="A3375" s="22" t="s">
        <v>1767</v>
      </c>
      <c r="B3375" s="22">
        <v>8</v>
      </c>
    </row>
    <row r="3376" spans="1:2" x14ac:dyDescent="0.3">
      <c r="A3376" s="22" t="s">
        <v>4310</v>
      </c>
      <c r="B3376" s="22">
        <v>0</v>
      </c>
    </row>
    <row r="3377" spans="1:2" x14ac:dyDescent="0.3">
      <c r="A3377" s="22" t="s">
        <v>4311</v>
      </c>
      <c r="B3377" s="22">
        <v>0</v>
      </c>
    </row>
    <row r="3378" spans="1:2" x14ac:dyDescent="0.3">
      <c r="A3378" s="22" t="s">
        <v>4312</v>
      </c>
      <c r="B3378" s="22">
        <v>0</v>
      </c>
    </row>
    <row r="3379" spans="1:2" x14ac:dyDescent="0.3">
      <c r="A3379" s="22" t="s">
        <v>4313</v>
      </c>
      <c r="B3379" s="22">
        <v>0</v>
      </c>
    </row>
    <row r="3380" spans="1:2" x14ac:dyDescent="0.3">
      <c r="A3380" s="22" t="s">
        <v>4314</v>
      </c>
      <c r="B3380" s="22">
        <v>0</v>
      </c>
    </row>
    <row r="3381" spans="1:2" x14ac:dyDescent="0.3">
      <c r="A3381" s="22" t="s">
        <v>4315</v>
      </c>
      <c r="B3381" s="22">
        <v>0</v>
      </c>
    </row>
    <row r="3382" spans="1:2" x14ac:dyDescent="0.3">
      <c r="A3382" s="22" t="s">
        <v>4316</v>
      </c>
      <c r="B3382" s="22">
        <v>0</v>
      </c>
    </row>
    <row r="3383" spans="1:2" x14ac:dyDescent="0.3">
      <c r="A3383" s="22" t="s">
        <v>1768</v>
      </c>
      <c r="B3383" s="22">
        <v>444</v>
      </c>
    </row>
    <row r="3384" spans="1:2" x14ac:dyDescent="0.3">
      <c r="A3384" s="22" t="s">
        <v>5092</v>
      </c>
      <c r="B3384" s="22">
        <v>8</v>
      </c>
    </row>
    <row r="3385" spans="1:2" x14ac:dyDescent="0.3">
      <c r="A3385" s="22" t="s">
        <v>5093</v>
      </c>
      <c r="B3385" s="22">
        <v>0</v>
      </c>
    </row>
    <row r="3386" spans="1:2" x14ac:dyDescent="0.3">
      <c r="A3386" s="22" t="s">
        <v>5094</v>
      </c>
      <c r="B3386" s="22">
        <v>0</v>
      </c>
    </row>
    <row r="3387" spans="1:2" x14ac:dyDescent="0.3">
      <c r="A3387" s="22" t="s">
        <v>5095</v>
      </c>
      <c r="B3387" s="22">
        <v>1</v>
      </c>
    </row>
    <row r="3388" spans="1:2" x14ac:dyDescent="0.3">
      <c r="A3388" s="22" t="s">
        <v>5096</v>
      </c>
      <c r="B3388" s="22">
        <v>0</v>
      </c>
    </row>
    <row r="3389" spans="1:2" x14ac:dyDescent="0.3">
      <c r="A3389" s="22" t="s">
        <v>5097</v>
      </c>
      <c r="B3389" s="22">
        <v>0</v>
      </c>
    </row>
    <row r="3390" spans="1:2" x14ac:dyDescent="0.3">
      <c r="A3390" s="22" t="s">
        <v>5098</v>
      </c>
      <c r="B3390" s="22">
        <v>0</v>
      </c>
    </row>
    <row r="3391" spans="1:2" x14ac:dyDescent="0.3">
      <c r="A3391" s="22" t="s">
        <v>1636</v>
      </c>
      <c r="B3391" s="22">
        <v>163</v>
      </c>
    </row>
    <row r="3392" spans="1:2" x14ac:dyDescent="0.3">
      <c r="A3392" s="22" t="s">
        <v>4317</v>
      </c>
      <c r="B3392" s="22">
        <v>0</v>
      </c>
    </row>
    <row r="3393" spans="1:2" x14ac:dyDescent="0.3">
      <c r="A3393" s="22" t="s">
        <v>4318</v>
      </c>
      <c r="B3393" s="22">
        <v>0</v>
      </c>
    </row>
    <row r="3394" spans="1:2" x14ac:dyDescent="0.3">
      <c r="A3394" s="22" t="s">
        <v>4319</v>
      </c>
      <c r="B3394" s="22">
        <v>0</v>
      </c>
    </row>
    <row r="3395" spans="1:2" x14ac:dyDescent="0.3">
      <c r="A3395" s="22" t="s">
        <v>4320</v>
      </c>
      <c r="B3395" s="22">
        <v>0</v>
      </c>
    </row>
    <row r="3396" spans="1:2" x14ac:dyDescent="0.3">
      <c r="A3396" s="22" t="s">
        <v>4321</v>
      </c>
      <c r="B3396" s="22">
        <v>0</v>
      </c>
    </row>
    <row r="3397" spans="1:2" x14ac:dyDescent="0.3">
      <c r="A3397" s="22" t="s">
        <v>4322</v>
      </c>
      <c r="B3397" s="22">
        <v>0</v>
      </c>
    </row>
    <row r="3398" spans="1:2" x14ac:dyDescent="0.3">
      <c r="A3398" s="22" t="s">
        <v>4323</v>
      </c>
      <c r="B3398" s="22">
        <v>0</v>
      </c>
    </row>
    <row r="3399" spans="1:2" x14ac:dyDescent="0.3">
      <c r="A3399" s="22" t="s">
        <v>1769</v>
      </c>
      <c r="B3399" s="22">
        <v>1189</v>
      </c>
    </row>
    <row r="3400" spans="1:2" x14ac:dyDescent="0.3">
      <c r="A3400" s="22" t="s">
        <v>4324</v>
      </c>
      <c r="B3400" s="22">
        <v>0</v>
      </c>
    </row>
    <row r="3401" spans="1:2" x14ac:dyDescent="0.3">
      <c r="A3401" s="22" t="s">
        <v>4325</v>
      </c>
      <c r="B3401" s="22">
        <v>0</v>
      </c>
    </row>
    <row r="3402" spans="1:2" x14ac:dyDescent="0.3">
      <c r="A3402" s="22" t="s">
        <v>4326</v>
      </c>
      <c r="B3402" s="22">
        <v>0</v>
      </c>
    </row>
    <row r="3403" spans="1:2" x14ac:dyDescent="0.3">
      <c r="A3403" s="22" t="s">
        <v>4327</v>
      </c>
      <c r="B3403" s="22">
        <v>1</v>
      </c>
    </row>
    <row r="3404" spans="1:2" x14ac:dyDescent="0.3">
      <c r="A3404" s="22" t="s">
        <v>4328</v>
      </c>
      <c r="B3404" s="22">
        <v>0</v>
      </c>
    </row>
    <row r="3405" spans="1:2" x14ac:dyDescent="0.3">
      <c r="A3405" s="22" t="s">
        <v>4329</v>
      </c>
      <c r="B3405" s="22">
        <v>0</v>
      </c>
    </row>
    <row r="3406" spans="1:2" x14ac:dyDescent="0.3">
      <c r="A3406" s="22" t="s">
        <v>4330</v>
      </c>
      <c r="B3406" s="22">
        <v>0</v>
      </c>
    </row>
    <row r="3407" spans="1:2" x14ac:dyDescent="0.3">
      <c r="A3407" s="22" t="s">
        <v>1640</v>
      </c>
      <c r="B3407" s="22">
        <v>0</v>
      </c>
    </row>
    <row r="3408" spans="1:2" x14ac:dyDescent="0.3">
      <c r="A3408" s="22" t="s">
        <v>4331</v>
      </c>
      <c r="B3408" s="22">
        <v>0</v>
      </c>
    </row>
    <row r="3409" spans="1:2" x14ac:dyDescent="0.3">
      <c r="A3409" s="22" t="s">
        <v>4332</v>
      </c>
      <c r="B3409" s="22">
        <v>0</v>
      </c>
    </row>
    <row r="3410" spans="1:2" x14ac:dyDescent="0.3">
      <c r="A3410" s="22" t="s">
        <v>4333</v>
      </c>
      <c r="B3410" s="22">
        <v>0</v>
      </c>
    </row>
    <row r="3411" spans="1:2" x14ac:dyDescent="0.3">
      <c r="A3411" s="22" t="s">
        <v>4334</v>
      </c>
      <c r="B3411" s="22">
        <v>0</v>
      </c>
    </row>
    <row r="3412" spans="1:2" x14ac:dyDescent="0.3">
      <c r="A3412" s="22" t="s">
        <v>4335</v>
      </c>
      <c r="B3412" s="22">
        <v>0</v>
      </c>
    </row>
    <row r="3413" spans="1:2" x14ac:dyDescent="0.3">
      <c r="A3413" s="22" t="s">
        <v>4336</v>
      </c>
      <c r="B3413" s="22">
        <v>0</v>
      </c>
    </row>
    <row r="3414" spans="1:2" x14ac:dyDescent="0.3">
      <c r="A3414" s="22" t="s">
        <v>4337</v>
      </c>
      <c r="B3414" s="22">
        <v>0</v>
      </c>
    </row>
    <row r="3415" spans="1:2" x14ac:dyDescent="0.3">
      <c r="A3415" s="22" t="s">
        <v>1770</v>
      </c>
      <c r="B3415" s="22">
        <v>523</v>
      </c>
    </row>
    <row r="3416" spans="1:2" x14ac:dyDescent="0.3">
      <c r="A3416" s="22" t="s">
        <v>4338</v>
      </c>
      <c r="B3416" s="22">
        <v>0</v>
      </c>
    </row>
    <row r="3417" spans="1:2" x14ac:dyDescent="0.3">
      <c r="A3417" s="22" t="s">
        <v>4339</v>
      </c>
      <c r="B3417" s="22">
        <v>0</v>
      </c>
    </row>
    <row r="3418" spans="1:2" x14ac:dyDescent="0.3">
      <c r="A3418" s="22" t="s">
        <v>4340</v>
      </c>
      <c r="B3418" s="22">
        <v>0</v>
      </c>
    </row>
    <row r="3419" spans="1:2" x14ac:dyDescent="0.3">
      <c r="A3419" s="22" t="s">
        <v>4341</v>
      </c>
      <c r="B3419" s="22">
        <v>0</v>
      </c>
    </row>
    <row r="3420" spans="1:2" x14ac:dyDescent="0.3">
      <c r="A3420" s="22" t="s">
        <v>4342</v>
      </c>
      <c r="B3420" s="22">
        <v>0</v>
      </c>
    </row>
    <row r="3421" spans="1:2" x14ac:dyDescent="0.3">
      <c r="A3421" s="22" t="s">
        <v>4343</v>
      </c>
      <c r="B3421" s="22">
        <v>0</v>
      </c>
    </row>
    <row r="3422" spans="1:2" x14ac:dyDescent="0.3">
      <c r="A3422" s="22" t="s">
        <v>4344</v>
      </c>
      <c r="B3422" s="22">
        <v>0</v>
      </c>
    </row>
    <row r="3423" spans="1:2" x14ac:dyDescent="0.3">
      <c r="A3423" s="22" t="s">
        <v>1644</v>
      </c>
      <c r="B3423" s="22">
        <v>0</v>
      </c>
    </row>
    <row r="3424" spans="1:2" x14ac:dyDescent="0.3">
      <c r="A3424" s="22" t="s">
        <v>4345</v>
      </c>
      <c r="B3424" s="22">
        <v>0</v>
      </c>
    </row>
    <row r="3425" spans="1:2" x14ac:dyDescent="0.3">
      <c r="A3425" s="22" t="s">
        <v>4346</v>
      </c>
      <c r="B3425" s="22">
        <v>0</v>
      </c>
    </row>
    <row r="3426" spans="1:2" x14ac:dyDescent="0.3">
      <c r="A3426" s="22" t="s">
        <v>4347</v>
      </c>
      <c r="B3426" s="22">
        <v>0</v>
      </c>
    </row>
    <row r="3427" spans="1:2" x14ac:dyDescent="0.3">
      <c r="A3427" s="22" t="s">
        <v>4348</v>
      </c>
      <c r="B3427" s="22">
        <v>0</v>
      </c>
    </row>
    <row r="3428" spans="1:2" x14ac:dyDescent="0.3">
      <c r="A3428" s="22" t="s">
        <v>4349</v>
      </c>
      <c r="B3428" s="22">
        <v>0</v>
      </c>
    </row>
    <row r="3429" spans="1:2" x14ac:dyDescent="0.3">
      <c r="A3429" s="22" t="s">
        <v>4350</v>
      </c>
      <c r="B3429" s="22">
        <v>0</v>
      </c>
    </row>
    <row r="3430" spans="1:2" x14ac:dyDescent="0.3">
      <c r="A3430" s="22" t="s">
        <v>4351</v>
      </c>
      <c r="B3430" s="22">
        <v>0</v>
      </c>
    </row>
    <row r="3431" spans="1:2" x14ac:dyDescent="0.3">
      <c r="A3431" s="22" t="s">
        <v>1771</v>
      </c>
      <c r="B3431" s="22">
        <v>688</v>
      </c>
    </row>
    <row r="3432" spans="1:2" x14ac:dyDescent="0.3">
      <c r="A3432" s="22" t="s">
        <v>4352</v>
      </c>
      <c r="B3432" s="22">
        <v>0</v>
      </c>
    </row>
    <row r="3433" spans="1:2" x14ac:dyDescent="0.3">
      <c r="A3433" s="22" t="s">
        <v>4353</v>
      </c>
      <c r="B3433" s="22">
        <v>0</v>
      </c>
    </row>
    <row r="3434" spans="1:2" x14ac:dyDescent="0.3">
      <c r="A3434" s="22" t="s">
        <v>4354</v>
      </c>
      <c r="B3434" s="22">
        <v>0</v>
      </c>
    </row>
    <row r="3435" spans="1:2" x14ac:dyDescent="0.3">
      <c r="A3435" s="22" t="s">
        <v>4355</v>
      </c>
      <c r="B3435" s="22">
        <v>3</v>
      </c>
    </row>
    <row r="3436" spans="1:2" x14ac:dyDescent="0.3">
      <c r="A3436" s="22" t="s">
        <v>4356</v>
      </c>
      <c r="B3436" s="22">
        <v>0</v>
      </c>
    </row>
    <row r="3437" spans="1:2" x14ac:dyDescent="0.3">
      <c r="A3437" s="22" t="s">
        <v>4357</v>
      </c>
      <c r="B3437" s="22">
        <v>0</v>
      </c>
    </row>
    <row r="3438" spans="1:2" x14ac:dyDescent="0.3">
      <c r="A3438" s="22" t="s">
        <v>4358</v>
      </c>
      <c r="B3438" s="22">
        <v>0</v>
      </c>
    </row>
    <row r="3439" spans="1:2" x14ac:dyDescent="0.3">
      <c r="A3439" s="22" t="s">
        <v>1648</v>
      </c>
      <c r="B3439" s="22">
        <v>0</v>
      </c>
    </row>
    <row r="3440" spans="1:2" x14ac:dyDescent="0.3">
      <c r="A3440" s="22" t="s">
        <v>4359</v>
      </c>
      <c r="B3440" s="22">
        <v>0</v>
      </c>
    </row>
    <row r="3441" spans="1:2" x14ac:dyDescent="0.3">
      <c r="A3441" s="22" t="s">
        <v>4360</v>
      </c>
      <c r="B3441" s="22">
        <v>0</v>
      </c>
    </row>
    <row r="3442" spans="1:2" x14ac:dyDescent="0.3">
      <c r="A3442" s="22" t="s">
        <v>4361</v>
      </c>
      <c r="B3442" s="22">
        <v>0</v>
      </c>
    </row>
    <row r="3443" spans="1:2" x14ac:dyDescent="0.3">
      <c r="A3443" s="22" t="s">
        <v>4362</v>
      </c>
      <c r="B3443" s="22">
        <v>0</v>
      </c>
    </row>
    <row r="3444" spans="1:2" x14ac:dyDescent="0.3">
      <c r="A3444" s="22" t="s">
        <v>4363</v>
      </c>
      <c r="B3444" s="22">
        <v>0</v>
      </c>
    </row>
    <row r="3445" spans="1:2" x14ac:dyDescent="0.3">
      <c r="A3445" s="22" t="s">
        <v>4364</v>
      </c>
      <c r="B3445" s="22">
        <v>0</v>
      </c>
    </row>
    <row r="3446" spans="1:2" x14ac:dyDescent="0.3">
      <c r="A3446" s="22" t="s">
        <v>4365</v>
      </c>
      <c r="B3446" s="22">
        <v>0</v>
      </c>
    </row>
    <row r="3447" spans="1:2" x14ac:dyDescent="0.3">
      <c r="A3447" s="22" t="s">
        <v>1772</v>
      </c>
      <c r="B3447" s="22">
        <v>68</v>
      </c>
    </row>
    <row r="3448" spans="1:2" x14ac:dyDescent="0.3">
      <c r="A3448" s="22" t="s">
        <v>5212</v>
      </c>
      <c r="B3448" s="22">
        <v>0</v>
      </c>
    </row>
    <row r="3449" spans="1:2" x14ac:dyDescent="0.3">
      <c r="A3449" s="22" t="s">
        <v>5213</v>
      </c>
      <c r="B3449" s="22">
        <v>0</v>
      </c>
    </row>
    <row r="3450" spans="1:2" x14ac:dyDescent="0.3">
      <c r="A3450" s="22" t="s">
        <v>5214</v>
      </c>
      <c r="B3450" s="22">
        <v>0</v>
      </c>
    </row>
    <row r="3451" spans="1:2" x14ac:dyDescent="0.3">
      <c r="A3451" s="22" t="s">
        <v>5215</v>
      </c>
      <c r="B3451" s="22">
        <v>0</v>
      </c>
    </row>
    <row r="3452" spans="1:2" x14ac:dyDescent="0.3">
      <c r="A3452" s="22" t="s">
        <v>5216</v>
      </c>
      <c r="B3452" s="22">
        <v>0</v>
      </c>
    </row>
    <row r="3453" spans="1:2" x14ac:dyDescent="0.3">
      <c r="A3453" s="22" t="s">
        <v>5217</v>
      </c>
      <c r="B3453" s="22">
        <v>0</v>
      </c>
    </row>
    <row r="3454" spans="1:2" x14ac:dyDescent="0.3">
      <c r="A3454" s="22" t="s">
        <v>5218</v>
      </c>
      <c r="B3454" s="22">
        <v>0</v>
      </c>
    </row>
    <row r="3455" spans="1:2" x14ac:dyDescent="0.3">
      <c r="A3455" s="22" t="s">
        <v>1652</v>
      </c>
      <c r="B3455" s="22">
        <v>0</v>
      </c>
    </row>
    <row r="3456" spans="1:2" x14ac:dyDescent="0.3">
      <c r="A3456" s="22" t="s">
        <v>4366</v>
      </c>
      <c r="B3456" s="22">
        <v>0</v>
      </c>
    </row>
    <row r="3457" spans="1:2" x14ac:dyDescent="0.3">
      <c r="A3457" s="22" t="s">
        <v>4367</v>
      </c>
      <c r="B3457" s="22">
        <v>0</v>
      </c>
    </row>
    <row r="3458" spans="1:2" x14ac:dyDescent="0.3">
      <c r="A3458" s="22" t="s">
        <v>4368</v>
      </c>
      <c r="B3458" s="22">
        <v>0</v>
      </c>
    </row>
    <row r="3459" spans="1:2" x14ac:dyDescent="0.3">
      <c r="A3459" s="22" t="s">
        <v>4369</v>
      </c>
      <c r="B3459" s="22">
        <v>0</v>
      </c>
    </row>
    <row r="3460" spans="1:2" x14ac:dyDescent="0.3">
      <c r="A3460" s="22" t="s">
        <v>4370</v>
      </c>
      <c r="B3460" s="22">
        <v>0</v>
      </c>
    </row>
    <row r="3461" spans="1:2" x14ac:dyDescent="0.3">
      <c r="A3461" s="22" t="s">
        <v>4371</v>
      </c>
      <c r="B3461" s="22">
        <v>0</v>
      </c>
    </row>
    <row r="3462" spans="1:2" x14ac:dyDescent="0.3">
      <c r="A3462" s="22" t="s">
        <v>4372</v>
      </c>
      <c r="B3462" s="22">
        <v>0</v>
      </c>
    </row>
    <row r="3463" spans="1:2" x14ac:dyDescent="0.3">
      <c r="A3463" s="22" t="s">
        <v>1773</v>
      </c>
      <c r="B3463" s="22">
        <v>8</v>
      </c>
    </row>
    <row r="3464" spans="1:2" x14ac:dyDescent="0.3">
      <c r="A3464" s="22" t="s">
        <v>4373</v>
      </c>
      <c r="B3464" s="22">
        <v>0</v>
      </c>
    </row>
    <row r="3465" spans="1:2" x14ac:dyDescent="0.3">
      <c r="A3465" s="22" t="s">
        <v>4374</v>
      </c>
      <c r="B3465" s="22">
        <v>0</v>
      </c>
    </row>
    <row r="3466" spans="1:2" x14ac:dyDescent="0.3">
      <c r="A3466" s="22" t="s">
        <v>4375</v>
      </c>
      <c r="B3466" s="22">
        <v>0</v>
      </c>
    </row>
    <row r="3467" spans="1:2" x14ac:dyDescent="0.3">
      <c r="A3467" s="22" t="s">
        <v>4376</v>
      </c>
      <c r="B3467" s="22">
        <v>0</v>
      </c>
    </row>
    <row r="3468" spans="1:2" x14ac:dyDescent="0.3">
      <c r="A3468" s="22" t="s">
        <v>4377</v>
      </c>
      <c r="B3468" s="22">
        <v>0</v>
      </c>
    </row>
    <row r="3469" spans="1:2" x14ac:dyDescent="0.3">
      <c r="A3469" s="22" t="s">
        <v>4378</v>
      </c>
      <c r="B3469" s="22">
        <v>0</v>
      </c>
    </row>
    <row r="3470" spans="1:2" x14ac:dyDescent="0.3">
      <c r="A3470" s="22" t="s">
        <v>4379</v>
      </c>
      <c r="B3470" s="22">
        <v>0</v>
      </c>
    </row>
    <row r="3471" spans="1:2" x14ac:dyDescent="0.3">
      <c r="A3471" s="22" t="s">
        <v>1656</v>
      </c>
      <c r="B3471" s="22">
        <v>37</v>
      </c>
    </row>
    <row r="3472" spans="1:2" x14ac:dyDescent="0.3">
      <c r="A3472" s="22" t="s">
        <v>4380</v>
      </c>
      <c r="B3472" s="22">
        <v>0</v>
      </c>
    </row>
    <row r="3473" spans="1:2" x14ac:dyDescent="0.3">
      <c r="A3473" s="22" t="s">
        <v>4381</v>
      </c>
      <c r="B3473" s="22">
        <v>0</v>
      </c>
    </row>
    <row r="3474" spans="1:2" x14ac:dyDescent="0.3">
      <c r="A3474" s="22" t="s">
        <v>4382</v>
      </c>
      <c r="B3474" s="22">
        <v>0</v>
      </c>
    </row>
    <row r="3475" spans="1:2" x14ac:dyDescent="0.3">
      <c r="A3475" s="22" t="s">
        <v>4383</v>
      </c>
      <c r="B3475" s="22">
        <v>0</v>
      </c>
    </row>
    <row r="3476" spans="1:2" x14ac:dyDescent="0.3">
      <c r="A3476" s="22" t="s">
        <v>4384</v>
      </c>
      <c r="B3476" s="22">
        <v>0</v>
      </c>
    </row>
    <row r="3477" spans="1:2" x14ac:dyDescent="0.3">
      <c r="A3477" s="22" t="s">
        <v>4385</v>
      </c>
      <c r="B3477" s="22">
        <v>0</v>
      </c>
    </row>
    <row r="3478" spans="1:2" x14ac:dyDescent="0.3">
      <c r="A3478" s="22" t="s">
        <v>4386</v>
      </c>
      <c r="B3478" s="22">
        <v>0</v>
      </c>
    </row>
    <row r="3479" spans="1:2" x14ac:dyDescent="0.3">
      <c r="A3479" s="22" t="s">
        <v>1775</v>
      </c>
      <c r="B3479" s="22">
        <v>318</v>
      </c>
    </row>
    <row r="3480" spans="1:2" x14ac:dyDescent="0.3">
      <c r="A3480" s="22" t="s">
        <v>4387</v>
      </c>
      <c r="B3480" s="22">
        <v>0</v>
      </c>
    </row>
    <row r="3481" spans="1:2" x14ac:dyDescent="0.3">
      <c r="A3481" s="22" t="s">
        <v>4388</v>
      </c>
      <c r="B3481" s="22">
        <v>0</v>
      </c>
    </row>
    <row r="3482" spans="1:2" x14ac:dyDescent="0.3">
      <c r="A3482" s="22" t="s">
        <v>4389</v>
      </c>
      <c r="B3482" s="22">
        <v>0</v>
      </c>
    </row>
    <row r="3483" spans="1:2" x14ac:dyDescent="0.3">
      <c r="A3483" s="22" t="s">
        <v>4390</v>
      </c>
      <c r="B3483" s="22">
        <v>0</v>
      </c>
    </row>
    <row r="3484" spans="1:2" x14ac:dyDescent="0.3">
      <c r="A3484" s="22" t="s">
        <v>4391</v>
      </c>
      <c r="B3484" s="22">
        <v>0</v>
      </c>
    </row>
    <row r="3485" spans="1:2" x14ac:dyDescent="0.3">
      <c r="A3485" s="22" t="s">
        <v>4392</v>
      </c>
      <c r="B3485" s="22">
        <v>0</v>
      </c>
    </row>
    <row r="3486" spans="1:2" x14ac:dyDescent="0.3">
      <c r="A3486" s="22" t="s">
        <v>4393</v>
      </c>
      <c r="B3486" s="22">
        <v>0</v>
      </c>
    </row>
    <row r="3487" spans="1:2" x14ac:dyDescent="0.3">
      <c r="A3487" s="22" t="s">
        <v>1660</v>
      </c>
      <c r="B3487" s="22">
        <v>2</v>
      </c>
    </row>
    <row r="3488" spans="1:2" x14ac:dyDescent="0.3">
      <c r="A3488" s="22" t="s">
        <v>4394</v>
      </c>
      <c r="B3488" s="22">
        <v>0</v>
      </c>
    </row>
    <row r="3489" spans="1:2" x14ac:dyDescent="0.3">
      <c r="A3489" s="22" t="s">
        <v>4395</v>
      </c>
      <c r="B3489" s="22">
        <v>0</v>
      </c>
    </row>
    <row r="3490" spans="1:2" x14ac:dyDescent="0.3">
      <c r="A3490" s="22" t="s">
        <v>4396</v>
      </c>
      <c r="B3490" s="22">
        <v>0</v>
      </c>
    </row>
    <row r="3491" spans="1:2" x14ac:dyDescent="0.3">
      <c r="A3491" s="22" t="s">
        <v>4397</v>
      </c>
      <c r="B3491" s="22">
        <v>0</v>
      </c>
    </row>
    <row r="3492" spans="1:2" x14ac:dyDescent="0.3">
      <c r="A3492" s="22" t="s">
        <v>4398</v>
      </c>
      <c r="B3492" s="22">
        <v>0</v>
      </c>
    </row>
    <row r="3493" spans="1:2" x14ac:dyDescent="0.3">
      <c r="A3493" s="22" t="s">
        <v>4399</v>
      </c>
      <c r="B3493" s="22">
        <v>0</v>
      </c>
    </row>
    <row r="3494" spans="1:2" x14ac:dyDescent="0.3">
      <c r="A3494" s="22" t="s">
        <v>4400</v>
      </c>
      <c r="B3494" s="22">
        <v>0</v>
      </c>
    </row>
    <row r="3495" spans="1:2" x14ac:dyDescent="0.3">
      <c r="A3495" s="22" t="s">
        <v>1664</v>
      </c>
      <c r="B3495" s="22">
        <v>13</v>
      </c>
    </row>
    <row r="3496" spans="1:2" x14ac:dyDescent="0.3">
      <c r="A3496" s="22" t="s">
        <v>4401</v>
      </c>
      <c r="B3496" s="22">
        <v>0</v>
      </c>
    </row>
    <row r="3497" spans="1:2" x14ac:dyDescent="0.3">
      <c r="A3497" s="22" t="s">
        <v>4402</v>
      </c>
      <c r="B3497" s="22">
        <v>0</v>
      </c>
    </row>
    <row r="3498" spans="1:2" x14ac:dyDescent="0.3">
      <c r="A3498" s="22" t="s">
        <v>4403</v>
      </c>
      <c r="B3498" s="22">
        <v>0</v>
      </c>
    </row>
    <row r="3499" spans="1:2" x14ac:dyDescent="0.3">
      <c r="A3499" s="22" t="s">
        <v>4404</v>
      </c>
      <c r="B3499" s="22">
        <v>0</v>
      </c>
    </row>
    <row r="3500" spans="1:2" x14ac:dyDescent="0.3">
      <c r="A3500" s="22" t="s">
        <v>4405</v>
      </c>
      <c r="B3500" s="22">
        <v>0</v>
      </c>
    </row>
    <row r="3501" spans="1:2" x14ac:dyDescent="0.3">
      <c r="A3501" s="22" t="s">
        <v>4406</v>
      </c>
      <c r="B3501" s="22">
        <v>0</v>
      </c>
    </row>
    <row r="3502" spans="1:2" x14ac:dyDescent="0.3">
      <c r="A3502" s="22" t="s">
        <v>4407</v>
      </c>
      <c r="B3502" s="22">
        <v>0</v>
      </c>
    </row>
    <row r="3503" spans="1:2" x14ac:dyDescent="0.3">
      <c r="A3503" s="22" t="s">
        <v>1779</v>
      </c>
      <c r="B3503" s="22">
        <v>132</v>
      </c>
    </row>
    <row r="3504" spans="1:2" x14ac:dyDescent="0.3">
      <c r="A3504" s="22" t="s">
        <v>4408</v>
      </c>
      <c r="B3504" s="22">
        <v>0</v>
      </c>
    </row>
    <row r="3505" spans="1:2" x14ac:dyDescent="0.3">
      <c r="A3505" s="22" t="s">
        <v>4409</v>
      </c>
      <c r="B3505" s="22">
        <v>0</v>
      </c>
    </row>
    <row r="3506" spans="1:2" x14ac:dyDescent="0.3">
      <c r="A3506" s="22" t="s">
        <v>4410</v>
      </c>
      <c r="B3506" s="22">
        <v>0</v>
      </c>
    </row>
    <row r="3507" spans="1:2" x14ac:dyDescent="0.3">
      <c r="A3507" s="22" t="s">
        <v>4411</v>
      </c>
      <c r="B3507" s="22">
        <v>0</v>
      </c>
    </row>
    <row r="3508" spans="1:2" x14ac:dyDescent="0.3">
      <c r="A3508" s="22" t="s">
        <v>4412</v>
      </c>
      <c r="B3508" s="22">
        <v>0</v>
      </c>
    </row>
    <row r="3509" spans="1:2" x14ac:dyDescent="0.3">
      <c r="A3509" s="22" t="s">
        <v>4413</v>
      </c>
      <c r="B3509" s="22">
        <v>0</v>
      </c>
    </row>
    <row r="3510" spans="1:2" x14ac:dyDescent="0.3">
      <c r="A3510" s="22" t="s">
        <v>4414</v>
      </c>
      <c r="B3510" s="22">
        <v>0</v>
      </c>
    </row>
    <row r="3511" spans="1:2" x14ac:dyDescent="0.3">
      <c r="A3511" s="22" t="s">
        <v>1780</v>
      </c>
      <c r="B3511" s="22">
        <v>751</v>
      </c>
    </row>
    <row r="3512" spans="1:2" x14ac:dyDescent="0.3">
      <c r="A3512" s="22" t="s">
        <v>4415</v>
      </c>
      <c r="B3512" s="22">
        <v>0</v>
      </c>
    </row>
    <row r="3513" spans="1:2" x14ac:dyDescent="0.3">
      <c r="A3513" s="22" t="s">
        <v>4416</v>
      </c>
      <c r="B3513" s="22">
        <v>0</v>
      </c>
    </row>
    <row r="3514" spans="1:2" x14ac:dyDescent="0.3">
      <c r="A3514" s="22" t="s">
        <v>4417</v>
      </c>
      <c r="B3514" s="22">
        <v>0</v>
      </c>
    </row>
    <row r="3515" spans="1:2" x14ac:dyDescent="0.3">
      <c r="A3515" s="22" t="s">
        <v>4418</v>
      </c>
      <c r="B3515" s="22">
        <v>2</v>
      </c>
    </row>
    <row r="3516" spans="1:2" x14ac:dyDescent="0.3">
      <c r="A3516" s="22" t="s">
        <v>4419</v>
      </c>
      <c r="B3516" s="22">
        <v>0</v>
      </c>
    </row>
    <row r="3517" spans="1:2" x14ac:dyDescent="0.3">
      <c r="A3517" s="22" t="s">
        <v>4420</v>
      </c>
      <c r="B3517" s="22">
        <v>0</v>
      </c>
    </row>
    <row r="3518" spans="1:2" x14ac:dyDescent="0.3">
      <c r="A3518" s="22" t="s">
        <v>4421</v>
      </c>
      <c r="B3518" s="22">
        <v>0</v>
      </c>
    </row>
    <row r="3519" spans="1:2" x14ac:dyDescent="0.3">
      <c r="A3519" s="22" t="s">
        <v>1672</v>
      </c>
      <c r="B3519" s="22">
        <v>0</v>
      </c>
    </row>
    <row r="3520" spans="1:2" x14ac:dyDescent="0.3">
      <c r="A3520" s="22" t="s">
        <v>4422</v>
      </c>
      <c r="B3520" s="22">
        <v>0</v>
      </c>
    </row>
    <row r="3521" spans="1:2" x14ac:dyDescent="0.3">
      <c r="A3521" s="22" t="s">
        <v>4423</v>
      </c>
      <c r="B3521" s="22">
        <v>0</v>
      </c>
    </row>
    <row r="3522" spans="1:2" x14ac:dyDescent="0.3">
      <c r="A3522" s="22" t="s">
        <v>4424</v>
      </c>
      <c r="B3522" s="22">
        <v>0</v>
      </c>
    </row>
    <row r="3523" spans="1:2" x14ac:dyDescent="0.3">
      <c r="A3523" s="22" t="s">
        <v>4425</v>
      </c>
      <c r="B3523" s="22">
        <v>0</v>
      </c>
    </row>
    <row r="3524" spans="1:2" x14ac:dyDescent="0.3">
      <c r="A3524" s="22" t="s">
        <v>4426</v>
      </c>
      <c r="B3524" s="22">
        <v>0</v>
      </c>
    </row>
    <row r="3525" spans="1:2" x14ac:dyDescent="0.3">
      <c r="A3525" s="22" t="s">
        <v>4427</v>
      </c>
      <c r="B3525" s="22">
        <v>0</v>
      </c>
    </row>
    <row r="3526" spans="1:2" x14ac:dyDescent="0.3">
      <c r="A3526" s="22" t="s">
        <v>4428</v>
      </c>
      <c r="B3526" s="22">
        <v>0</v>
      </c>
    </row>
    <row r="3527" spans="1:2" x14ac:dyDescent="0.3">
      <c r="A3527" s="22" t="s">
        <v>1676</v>
      </c>
      <c r="B3527" s="22">
        <v>97</v>
      </c>
    </row>
    <row r="3528" spans="1:2" x14ac:dyDescent="0.3">
      <c r="A3528" s="22" t="s">
        <v>4429</v>
      </c>
      <c r="B3528" s="22">
        <v>0</v>
      </c>
    </row>
    <row r="3529" spans="1:2" x14ac:dyDescent="0.3">
      <c r="A3529" s="22" t="s">
        <v>4430</v>
      </c>
      <c r="B3529" s="22">
        <v>0</v>
      </c>
    </row>
    <row r="3530" spans="1:2" x14ac:dyDescent="0.3">
      <c r="A3530" s="22" t="s">
        <v>4431</v>
      </c>
      <c r="B3530" s="22">
        <v>0</v>
      </c>
    </row>
    <row r="3531" spans="1:2" x14ac:dyDescent="0.3">
      <c r="A3531" s="22" t="s">
        <v>4432</v>
      </c>
      <c r="B3531" s="22">
        <v>0</v>
      </c>
    </row>
    <row r="3532" spans="1:2" x14ac:dyDescent="0.3">
      <c r="A3532" s="22" t="s">
        <v>4433</v>
      </c>
      <c r="B3532" s="22">
        <v>0</v>
      </c>
    </row>
    <row r="3533" spans="1:2" x14ac:dyDescent="0.3">
      <c r="A3533" s="22" t="s">
        <v>4434</v>
      </c>
      <c r="B3533" s="22">
        <v>0</v>
      </c>
    </row>
    <row r="3534" spans="1:2" x14ac:dyDescent="0.3">
      <c r="A3534" s="22" t="s">
        <v>4435</v>
      </c>
      <c r="B3534" s="22">
        <v>0</v>
      </c>
    </row>
    <row r="3535" spans="1:2" x14ac:dyDescent="0.3">
      <c r="A3535" s="22" t="s">
        <v>1782</v>
      </c>
      <c r="B3535" s="22">
        <v>19</v>
      </c>
    </row>
    <row r="3536" spans="1:2" x14ac:dyDescent="0.3">
      <c r="A3536" s="22" t="s">
        <v>4436</v>
      </c>
      <c r="B3536" s="22">
        <v>0</v>
      </c>
    </row>
    <row r="3537" spans="1:2" x14ac:dyDescent="0.3">
      <c r="A3537" s="22" t="s">
        <v>4437</v>
      </c>
      <c r="B3537" s="22">
        <v>0</v>
      </c>
    </row>
    <row r="3538" spans="1:2" x14ac:dyDescent="0.3">
      <c r="A3538" s="22" t="s">
        <v>4438</v>
      </c>
      <c r="B3538" s="22">
        <v>0</v>
      </c>
    </row>
    <row r="3539" spans="1:2" x14ac:dyDescent="0.3">
      <c r="A3539" s="22" t="s">
        <v>4439</v>
      </c>
      <c r="B3539" s="22">
        <v>0</v>
      </c>
    </row>
    <row r="3540" spans="1:2" x14ac:dyDescent="0.3">
      <c r="A3540" s="22" t="s">
        <v>4440</v>
      </c>
      <c r="B3540" s="22">
        <v>0</v>
      </c>
    </row>
    <row r="3541" spans="1:2" x14ac:dyDescent="0.3">
      <c r="A3541" s="22" t="s">
        <v>4441</v>
      </c>
      <c r="B3541" s="22">
        <v>0</v>
      </c>
    </row>
    <row r="3542" spans="1:2" x14ac:dyDescent="0.3">
      <c r="A3542" s="22" t="s">
        <v>4442</v>
      </c>
      <c r="B3542" s="22">
        <v>0</v>
      </c>
    </row>
    <row r="3543" spans="1:2" x14ac:dyDescent="0.3">
      <c r="A3543" s="22" t="s">
        <v>1680</v>
      </c>
      <c r="B3543" s="22">
        <v>23</v>
      </c>
    </row>
    <row r="3544" spans="1:2" x14ac:dyDescent="0.3">
      <c r="A3544" s="22" t="s">
        <v>4443</v>
      </c>
      <c r="B3544" s="22">
        <v>0</v>
      </c>
    </row>
    <row r="3545" spans="1:2" x14ac:dyDescent="0.3">
      <c r="A3545" s="22" t="s">
        <v>4444</v>
      </c>
      <c r="B3545" s="22">
        <v>0</v>
      </c>
    </row>
    <row r="3546" spans="1:2" x14ac:dyDescent="0.3">
      <c r="A3546" s="22" t="s">
        <v>4445</v>
      </c>
      <c r="B3546" s="22">
        <v>0</v>
      </c>
    </row>
    <row r="3547" spans="1:2" x14ac:dyDescent="0.3">
      <c r="A3547" s="22" t="s">
        <v>4446</v>
      </c>
      <c r="B3547" s="22">
        <v>0</v>
      </c>
    </row>
    <row r="3548" spans="1:2" x14ac:dyDescent="0.3">
      <c r="A3548" s="22" t="s">
        <v>4447</v>
      </c>
      <c r="B3548" s="22">
        <v>0</v>
      </c>
    </row>
    <row r="3549" spans="1:2" x14ac:dyDescent="0.3">
      <c r="A3549" s="22" t="s">
        <v>4448</v>
      </c>
      <c r="B3549" s="22">
        <v>0</v>
      </c>
    </row>
    <row r="3550" spans="1:2" x14ac:dyDescent="0.3">
      <c r="A3550" s="22" t="s">
        <v>4449</v>
      </c>
      <c r="B3550" s="22">
        <v>0</v>
      </c>
    </row>
    <row r="3551" spans="1:2" x14ac:dyDescent="0.3">
      <c r="A3551" s="22" t="s">
        <v>1783</v>
      </c>
      <c r="B3551" s="22">
        <v>136</v>
      </c>
    </row>
    <row r="3552" spans="1:2" x14ac:dyDescent="0.3">
      <c r="A3552" s="22" t="s">
        <v>4450</v>
      </c>
      <c r="B3552" s="22">
        <v>0</v>
      </c>
    </row>
    <row r="3553" spans="1:2" x14ac:dyDescent="0.3">
      <c r="A3553" s="22" t="s">
        <v>4451</v>
      </c>
      <c r="B3553" s="22">
        <v>0</v>
      </c>
    </row>
    <row r="3554" spans="1:2" x14ac:dyDescent="0.3">
      <c r="A3554" s="22" t="s">
        <v>4452</v>
      </c>
      <c r="B3554" s="22">
        <v>0</v>
      </c>
    </row>
    <row r="3555" spans="1:2" x14ac:dyDescent="0.3">
      <c r="A3555" s="22" t="s">
        <v>4453</v>
      </c>
      <c r="B3555" s="22">
        <v>0</v>
      </c>
    </row>
    <row r="3556" spans="1:2" x14ac:dyDescent="0.3">
      <c r="A3556" s="22" t="s">
        <v>4454</v>
      </c>
      <c r="B3556" s="22">
        <v>0</v>
      </c>
    </row>
    <row r="3557" spans="1:2" x14ac:dyDescent="0.3">
      <c r="A3557" s="22" t="s">
        <v>4455</v>
      </c>
      <c r="B3557" s="22">
        <v>0</v>
      </c>
    </row>
    <row r="3558" spans="1:2" x14ac:dyDescent="0.3">
      <c r="A3558" s="22" t="s">
        <v>4456</v>
      </c>
      <c r="B3558" s="22">
        <v>0</v>
      </c>
    </row>
    <row r="3559" spans="1:2" x14ac:dyDescent="0.3">
      <c r="A3559" s="22" t="s">
        <v>1684</v>
      </c>
      <c r="B3559" s="22">
        <v>67</v>
      </c>
    </row>
    <row r="3560" spans="1:2" x14ac:dyDescent="0.3">
      <c r="A3560" s="22" t="s">
        <v>4457</v>
      </c>
      <c r="B3560" s="22">
        <v>0</v>
      </c>
    </row>
    <row r="3561" spans="1:2" x14ac:dyDescent="0.3">
      <c r="A3561" s="22" t="s">
        <v>4458</v>
      </c>
      <c r="B3561" s="22">
        <v>0</v>
      </c>
    </row>
    <row r="3562" spans="1:2" x14ac:dyDescent="0.3">
      <c r="A3562" s="22" t="s">
        <v>4459</v>
      </c>
      <c r="B3562" s="22">
        <v>0</v>
      </c>
    </row>
    <row r="3563" spans="1:2" x14ac:dyDescent="0.3">
      <c r="A3563" s="22" t="s">
        <v>4460</v>
      </c>
      <c r="B3563" s="22">
        <v>3</v>
      </c>
    </row>
    <row r="3564" spans="1:2" x14ac:dyDescent="0.3">
      <c r="A3564" s="22" t="s">
        <v>4461</v>
      </c>
      <c r="B3564" s="22">
        <v>0</v>
      </c>
    </row>
    <row r="3565" spans="1:2" x14ac:dyDescent="0.3">
      <c r="A3565" s="22" t="s">
        <v>4462</v>
      </c>
      <c r="B3565" s="22">
        <v>0</v>
      </c>
    </row>
    <row r="3566" spans="1:2" x14ac:dyDescent="0.3">
      <c r="A3566" s="22" t="s">
        <v>4463</v>
      </c>
      <c r="B3566" s="22">
        <v>0</v>
      </c>
    </row>
    <row r="3567" spans="1:2" x14ac:dyDescent="0.3">
      <c r="A3567" s="22" t="s">
        <v>1784</v>
      </c>
      <c r="B3567" s="22">
        <v>82</v>
      </c>
    </row>
    <row r="3568" spans="1:2" x14ac:dyDescent="0.3">
      <c r="A3568" s="22" t="s">
        <v>5910</v>
      </c>
      <c r="B3568" s="22">
        <v>0</v>
      </c>
    </row>
    <row r="3569" spans="1:2" x14ac:dyDescent="0.3">
      <c r="A3569" s="22" t="s">
        <v>5911</v>
      </c>
      <c r="B3569" s="22">
        <v>0</v>
      </c>
    </row>
    <row r="3570" spans="1:2" x14ac:dyDescent="0.3">
      <c r="A3570" s="22" t="s">
        <v>5912</v>
      </c>
      <c r="B3570" s="22">
        <v>0</v>
      </c>
    </row>
    <row r="3571" spans="1:2" x14ac:dyDescent="0.3">
      <c r="A3571" s="22" t="s">
        <v>5913</v>
      </c>
      <c r="B3571" s="22">
        <v>0</v>
      </c>
    </row>
    <row r="3572" spans="1:2" x14ac:dyDescent="0.3">
      <c r="A3572" s="22" t="s">
        <v>5914</v>
      </c>
      <c r="B3572" s="22">
        <v>0</v>
      </c>
    </row>
    <row r="3573" spans="1:2" x14ac:dyDescent="0.3">
      <c r="A3573" s="22" t="s">
        <v>5915</v>
      </c>
      <c r="B3573" s="22">
        <v>0</v>
      </c>
    </row>
    <row r="3574" spans="1:2" x14ac:dyDescent="0.3">
      <c r="A3574" s="22" t="s">
        <v>5916</v>
      </c>
      <c r="B3574" s="22">
        <v>0</v>
      </c>
    </row>
    <row r="3575" spans="1:2" x14ac:dyDescent="0.3">
      <c r="A3575" s="22" t="s">
        <v>1688</v>
      </c>
      <c r="B3575" s="22">
        <v>5</v>
      </c>
    </row>
    <row r="3576" spans="1:2" x14ac:dyDescent="0.3">
      <c r="A3576" s="22" t="s">
        <v>4464</v>
      </c>
      <c r="B3576" s="22">
        <v>0</v>
      </c>
    </row>
    <row r="3577" spans="1:2" x14ac:dyDescent="0.3">
      <c r="A3577" s="22" t="s">
        <v>4465</v>
      </c>
      <c r="B3577" s="22">
        <v>0</v>
      </c>
    </row>
    <row r="3578" spans="1:2" x14ac:dyDescent="0.3">
      <c r="A3578" s="22" t="s">
        <v>4466</v>
      </c>
      <c r="B3578" s="22">
        <v>0</v>
      </c>
    </row>
    <row r="3579" spans="1:2" x14ac:dyDescent="0.3">
      <c r="A3579" s="22" t="s">
        <v>4467</v>
      </c>
      <c r="B3579" s="22">
        <v>0</v>
      </c>
    </row>
    <row r="3580" spans="1:2" x14ac:dyDescent="0.3">
      <c r="A3580" s="22" t="s">
        <v>4468</v>
      </c>
      <c r="B3580" s="22">
        <v>0</v>
      </c>
    </row>
    <row r="3581" spans="1:2" x14ac:dyDescent="0.3">
      <c r="A3581" s="22" t="s">
        <v>4469</v>
      </c>
      <c r="B3581" s="22">
        <v>0</v>
      </c>
    </row>
    <row r="3582" spans="1:2" x14ac:dyDescent="0.3">
      <c r="A3582" s="22" t="s">
        <v>4470</v>
      </c>
      <c r="B3582" s="22">
        <v>0</v>
      </c>
    </row>
    <row r="3583" spans="1:2" x14ac:dyDescent="0.3">
      <c r="A3583" s="22" t="s">
        <v>1692</v>
      </c>
      <c r="B3583" s="22">
        <v>0</v>
      </c>
    </row>
    <row r="3584" spans="1:2" x14ac:dyDescent="0.3">
      <c r="A3584" s="22" t="s">
        <v>4471</v>
      </c>
      <c r="B3584" s="22">
        <v>0</v>
      </c>
    </row>
    <row r="3585" spans="1:2" x14ac:dyDescent="0.3">
      <c r="A3585" s="22" t="s">
        <v>4472</v>
      </c>
      <c r="B3585" s="22">
        <v>0</v>
      </c>
    </row>
    <row r="3586" spans="1:2" x14ac:dyDescent="0.3">
      <c r="A3586" s="22" t="s">
        <v>4473</v>
      </c>
      <c r="B3586" s="22">
        <v>0</v>
      </c>
    </row>
    <row r="3587" spans="1:2" x14ac:dyDescent="0.3">
      <c r="A3587" s="22" t="s">
        <v>4474</v>
      </c>
      <c r="B3587" s="22">
        <v>0</v>
      </c>
    </row>
    <row r="3588" spans="1:2" x14ac:dyDescent="0.3">
      <c r="A3588" s="22" t="s">
        <v>4475</v>
      </c>
      <c r="B3588" s="22">
        <v>0</v>
      </c>
    </row>
    <row r="3589" spans="1:2" x14ac:dyDescent="0.3">
      <c r="A3589" s="22" t="s">
        <v>4476</v>
      </c>
      <c r="B3589" s="22">
        <v>0</v>
      </c>
    </row>
    <row r="3590" spans="1:2" x14ac:dyDescent="0.3">
      <c r="A3590" s="22" t="s">
        <v>4477</v>
      </c>
      <c r="B3590" s="22">
        <v>0</v>
      </c>
    </row>
    <row r="3591" spans="1:2" x14ac:dyDescent="0.3">
      <c r="A3591" s="22" t="s">
        <v>1397</v>
      </c>
      <c r="B3591" s="22">
        <v>838</v>
      </c>
    </row>
    <row r="3592" spans="1:2" x14ac:dyDescent="0.3">
      <c r="A3592" s="22" t="s">
        <v>1398</v>
      </c>
      <c r="B3592" s="22">
        <v>99</v>
      </c>
    </row>
    <row r="3593" spans="1:2" x14ac:dyDescent="0.3">
      <c r="A3593" s="22" t="s">
        <v>1399</v>
      </c>
      <c r="B3593" s="22">
        <v>0</v>
      </c>
    </row>
    <row r="3594" spans="1:2" x14ac:dyDescent="0.3">
      <c r="A3594" s="22" t="s">
        <v>1400</v>
      </c>
      <c r="B3594" s="22">
        <v>0</v>
      </c>
    </row>
    <row r="3595" spans="1:2" x14ac:dyDescent="0.3">
      <c r="A3595" s="22" t="s">
        <v>1401</v>
      </c>
      <c r="B3595" s="22">
        <v>1</v>
      </c>
    </row>
    <row r="3596" spans="1:2" x14ac:dyDescent="0.3">
      <c r="A3596" s="22" t="s">
        <v>1402</v>
      </c>
      <c r="B3596" s="22">
        <v>0</v>
      </c>
    </row>
    <row r="3597" spans="1:2" x14ac:dyDescent="0.3">
      <c r="A3597" s="22" t="s">
        <v>1403</v>
      </c>
      <c r="B3597" s="22">
        <v>0</v>
      </c>
    </row>
    <row r="3598" spans="1:2" x14ac:dyDescent="0.3">
      <c r="A3598" s="22" t="s">
        <v>1404</v>
      </c>
      <c r="B3598" s="22">
        <v>0</v>
      </c>
    </row>
    <row r="3599" spans="1:2" x14ac:dyDescent="0.3">
      <c r="A3599" s="22" t="s">
        <v>1696</v>
      </c>
      <c r="B3599" s="22">
        <v>47</v>
      </c>
    </row>
    <row r="3600" spans="1:2" x14ac:dyDescent="0.3">
      <c r="A3600" s="22" t="s">
        <v>5170</v>
      </c>
      <c r="B3600" s="22">
        <v>0</v>
      </c>
    </row>
    <row r="3601" spans="1:2" x14ac:dyDescent="0.3">
      <c r="A3601" s="22" t="s">
        <v>5171</v>
      </c>
      <c r="B3601" s="22">
        <v>0</v>
      </c>
    </row>
    <row r="3602" spans="1:2" x14ac:dyDescent="0.3">
      <c r="A3602" s="22" t="s">
        <v>5172</v>
      </c>
      <c r="B3602" s="22">
        <v>0</v>
      </c>
    </row>
    <row r="3603" spans="1:2" x14ac:dyDescent="0.3">
      <c r="A3603" s="22" t="s">
        <v>5173</v>
      </c>
      <c r="B3603" s="22">
        <v>0</v>
      </c>
    </row>
    <row r="3604" spans="1:2" x14ac:dyDescent="0.3">
      <c r="A3604" s="22" t="s">
        <v>5174</v>
      </c>
      <c r="B3604" s="22">
        <v>0</v>
      </c>
    </row>
    <row r="3605" spans="1:2" x14ac:dyDescent="0.3">
      <c r="A3605" s="22" t="s">
        <v>5175</v>
      </c>
      <c r="B3605" s="22">
        <v>0</v>
      </c>
    </row>
    <row r="3606" spans="1:2" x14ac:dyDescent="0.3">
      <c r="A3606" s="22" t="s">
        <v>5176</v>
      </c>
      <c r="B3606" s="22">
        <v>0</v>
      </c>
    </row>
    <row r="3607" spans="1:2" x14ac:dyDescent="0.3">
      <c r="A3607" s="22" t="s">
        <v>1406</v>
      </c>
      <c r="B3607" s="22">
        <v>0</v>
      </c>
    </row>
    <row r="3608" spans="1:2" x14ac:dyDescent="0.3">
      <c r="A3608" s="22" t="s">
        <v>4992</v>
      </c>
      <c r="B3608" s="22">
        <v>0</v>
      </c>
    </row>
    <row r="3609" spans="1:2" x14ac:dyDescent="0.3">
      <c r="A3609" s="22" t="s">
        <v>4993</v>
      </c>
      <c r="B3609" s="22">
        <v>0</v>
      </c>
    </row>
    <row r="3610" spans="1:2" x14ac:dyDescent="0.3">
      <c r="A3610" s="22" t="s">
        <v>4994</v>
      </c>
      <c r="B3610" s="22">
        <v>0</v>
      </c>
    </row>
    <row r="3611" spans="1:2" x14ac:dyDescent="0.3">
      <c r="A3611" s="22" t="s">
        <v>4995</v>
      </c>
      <c r="B3611" s="22">
        <v>0</v>
      </c>
    </row>
    <row r="3612" spans="1:2" x14ac:dyDescent="0.3">
      <c r="A3612" s="22" t="s">
        <v>4996</v>
      </c>
      <c r="B3612" s="22">
        <v>0</v>
      </c>
    </row>
    <row r="3613" spans="1:2" x14ac:dyDescent="0.3">
      <c r="A3613" s="22" t="s">
        <v>4997</v>
      </c>
      <c r="B3613" s="22">
        <v>0</v>
      </c>
    </row>
    <row r="3614" spans="1:2" x14ac:dyDescent="0.3">
      <c r="A3614" s="22" t="s">
        <v>4998</v>
      </c>
      <c r="B3614" s="22">
        <v>0</v>
      </c>
    </row>
    <row r="3615" spans="1:2" x14ac:dyDescent="0.3">
      <c r="A3615" s="22" t="s">
        <v>1700</v>
      </c>
      <c r="B3615" s="22">
        <v>0</v>
      </c>
    </row>
    <row r="3616" spans="1:2" x14ac:dyDescent="0.3">
      <c r="A3616" s="22" t="s">
        <v>4478</v>
      </c>
      <c r="B3616" s="22">
        <v>0</v>
      </c>
    </row>
    <row r="3617" spans="1:2" x14ac:dyDescent="0.3">
      <c r="A3617" s="22" t="s">
        <v>4479</v>
      </c>
      <c r="B3617" s="22">
        <v>0</v>
      </c>
    </row>
    <row r="3618" spans="1:2" x14ac:dyDescent="0.3">
      <c r="A3618" s="22" t="s">
        <v>4480</v>
      </c>
      <c r="B3618" s="22">
        <v>0</v>
      </c>
    </row>
    <row r="3619" spans="1:2" x14ac:dyDescent="0.3">
      <c r="A3619" s="22" t="s">
        <v>4481</v>
      </c>
      <c r="B3619" s="22">
        <v>0</v>
      </c>
    </row>
    <row r="3620" spans="1:2" x14ac:dyDescent="0.3">
      <c r="A3620" s="22" t="s">
        <v>4482</v>
      </c>
      <c r="B3620" s="22">
        <v>0</v>
      </c>
    </row>
    <row r="3621" spans="1:2" x14ac:dyDescent="0.3">
      <c r="A3621" s="22" t="s">
        <v>4483</v>
      </c>
      <c r="B3621" s="22">
        <v>0</v>
      </c>
    </row>
    <row r="3622" spans="1:2" x14ac:dyDescent="0.3">
      <c r="A3622" s="22" t="s">
        <v>4484</v>
      </c>
      <c r="B3622" s="22">
        <v>0</v>
      </c>
    </row>
    <row r="3623" spans="1:2" x14ac:dyDescent="0.3">
      <c r="A3623" s="22" t="s">
        <v>1408</v>
      </c>
      <c r="B3623" s="22">
        <v>1</v>
      </c>
    </row>
    <row r="3624" spans="1:2" x14ac:dyDescent="0.3">
      <c r="A3624" s="22" t="s">
        <v>4936</v>
      </c>
      <c r="B3624" s="22">
        <v>0</v>
      </c>
    </row>
    <row r="3625" spans="1:2" x14ac:dyDescent="0.3">
      <c r="A3625" s="22" t="s">
        <v>4937</v>
      </c>
      <c r="B3625" s="22">
        <v>0</v>
      </c>
    </row>
    <row r="3626" spans="1:2" x14ac:dyDescent="0.3">
      <c r="A3626" s="22" t="s">
        <v>4938</v>
      </c>
      <c r="B3626" s="22">
        <v>0</v>
      </c>
    </row>
    <row r="3627" spans="1:2" x14ac:dyDescent="0.3">
      <c r="A3627" s="22" t="s">
        <v>4939</v>
      </c>
      <c r="B3627" s="22">
        <v>0</v>
      </c>
    </row>
    <row r="3628" spans="1:2" x14ac:dyDescent="0.3">
      <c r="A3628" s="22" t="s">
        <v>4940</v>
      </c>
      <c r="B3628" s="22">
        <v>0</v>
      </c>
    </row>
    <row r="3629" spans="1:2" x14ac:dyDescent="0.3">
      <c r="A3629" s="22" t="s">
        <v>4941</v>
      </c>
      <c r="B3629" s="22">
        <v>0</v>
      </c>
    </row>
    <row r="3630" spans="1:2" x14ac:dyDescent="0.3">
      <c r="A3630" s="22" t="s">
        <v>4942</v>
      </c>
      <c r="B3630" s="22">
        <v>0</v>
      </c>
    </row>
    <row r="3631" spans="1:2" x14ac:dyDescent="0.3">
      <c r="A3631" s="22" t="s">
        <v>1704</v>
      </c>
      <c r="B3631" s="22">
        <v>1</v>
      </c>
    </row>
    <row r="3632" spans="1:2" x14ac:dyDescent="0.3">
      <c r="A3632" s="22" t="s">
        <v>4485</v>
      </c>
      <c r="B3632" s="22">
        <v>0</v>
      </c>
    </row>
    <row r="3633" spans="1:2" x14ac:dyDescent="0.3">
      <c r="A3633" s="22" t="s">
        <v>4486</v>
      </c>
      <c r="B3633" s="22">
        <v>0</v>
      </c>
    </row>
    <row r="3634" spans="1:2" x14ac:dyDescent="0.3">
      <c r="A3634" s="22" t="s">
        <v>4487</v>
      </c>
      <c r="B3634" s="22">
        <v>0</v>
      </c>
    </row>
    <row r="3635" spans="1:2" x14ac:dyDescent="0.3">
      <c r="A3635" s="22" t="s">
        <v>4488</v>
      </c>
      <c r="B3635" s="22">
        <v>0</v>
      </c>
    </row>
    <row r="3636" spans="1:2" x14ac:dyDescent="0.3">
      <c r="A3636" s="22" t="s">
        <v>4489</v>
      </c>
      <c r="B3636" s="22">
        <v>0</v>
      </c>
    </row>
    <row r="3637" spans="1:2" x14ac:dyDescent="0.3">
      <c r="A3637" s="22" t="s">
        <v>4490</v>
      </c>
      <c r="B3637" s="22">
        <v>0</v>
      </c>
    </row>
    <row r="3638" spans="1:2" x14ac:dyDescent="0.3">
      <c r="A3638" s="22" t="s">
        <v>4491</v>
      </c>
      <c r="B3638" s="22">
        <v>0</v>
      </c>
    </row>
    <row r="3639" spans="1:2" x14ac:dyDescent="0.3">
      <c r="A3639" s="22" t="s">
        <v>1409</v>
      </c>
      <c r="B3639" s="22">
        <v>20</v>
      </c>
    </row>
    <row r="3640" spans="1:2" x14ac:dyDescent="0.3">
      <c r="A3640" s="22" t="s">
        <v>4943</v>
      </c>
      <c r="B3640" s="22">
        <v>0</v>
      </c>
    </row>
    <row r="3641" spans="1:2" x14ac:dyDescent="0.3">
      <c r="A3641" s="22" t="s">
        <v>4944</v>
      </c>
      <c r="B3641" s="22">
        <v>0</v>
      </c>
    </row>
    <row r="3642" spans="1:2" x14ac:dyDescent="0.3">
      <c r="A3642" s="22" t="s">
        <v>4945</v>
      </c>
      <c r="B3642" s="22">
        <v>0</v>
      </c>
    </row>
    <row r="3643" spans="1:2" x14ac:dyDescent="0.3">
      <c r="A3643" s="22" t="s">
        <v>4946</v>
      </c>
      <c r="B3643" s="22">
        <v>0</v>
      </c>
    </row>
    <row r="3644" spans="1:2" x14ac:dyDescent="0.3">
      <c r="A3644" s="22" t="s">
        <v>4947</v>
      </c>
      <c r="B3644" s="22">
        <v>0</v>
      </c>
    </row>
    <row r="3645" spans="1:2" x14ac:dyDescent="0.3">
      <c r="A3645" s="22" t="s">
        <v>4948</v>
      </c>
      <c r="B3645" s="22">
        <v>0</v>
      </c>
    </row>
    <row r="3646" spans="1:2" x14ac:dyDescent="0.3">
      <c r="A3646" s="22" t="s">
        <v>4949</v>
      </c>
      <c r="B3646" s="22">
        <v>0</v>
      </c>
    </row>
    <row r="3647" spans="1:2" x14ac:dyDescent="0.3">
      <c r="A3647" s="22" t="s">
        <v>1411</v>
      </c>
      <c r="B3647" s="22">
        <v>8</v>
      </c>
    </row>
    <row r="3648" spans="1:2" x14ac:dyDescent="0.3">
      <c r="A3648" s="22" t="s">
        <v>4950</v>
      </c>
      <c r="B3648" s="22">
        <v>0</v>
      </c>
    </row>
    <row r="3649" spans="1:2" x14ac:dyDescent="0.3">
      <c r="A3649" s="22" t="s">
        <v>4951</v>
      </c>
      <c r="B3649" s="22">
        <v>0</v>
      </c>
    </row>
    <row r="3650" spans="1:2" x14ac:dyDescent="0.3">
      <c r="A3650" s="22" t="s">
        <v>4952</v>
      </c>
      <c r="B3650" s="22">
        <v>0</v>
      </c>
    </row>
    <row r="3651" spans="1:2" x14ac:dyDescent="0.3">
      <c r="A3651" s="22" t="s">
        <v>4953</v>
      </c>
      <c r="B3651" s="22">
        <v>0</v>
      </c>
    </row>
    <row r="3652" spans="1:2" x14ac:dyDescent="0.3">
      <c r="A3652" s="22" t="s">
        <v>4954</v>
      </c>
      <c r="B3652" s="22">
        <v>0</v>
      </c>
    </row>
    <row r="3653" spans="1:2" x14ac:dyDescent="0.3">
      <c r="A3653" s="22" t="s">
        <v>4955</v>
      </c>
      <c r="B3653" s="22">
        <v>0</v>
      </c>
    </row>
    <row r="3654" spans="1:2" x14ac:dyDescent="0.3">
      <c r="A3654" s="22" t="s">
        <v>4956</v>
      </c>
      <c r="B3654" s="22">
        <v>0</v>
      </c>
    </row>
    <row r="3655" spans="1:2" x14ac:dyDescent="0.3">
      <c r="A3655" s="22" t="s">
        <v>1712</v>
      </c>
      <c r="B3655" s="22">
        <v>3</v>
      </c>
    </row>
    <row r="3656" spans="1:2" x14ac:dyDescent="0.3">
      <c r="A3656" s="22" t="s">
        <v>5148</v>
      </c>
      <c r="B3656" s="22">
        <v>0</v>
      </c>
    </row>
    <row r="3657" spans="1:2" x14ac:dyDescent="0.3">
      <c r="A3657" s="22" t="s">
        <v>5149</v>
      </c>
      <c r="B3657" s="22">
        <v>0</v>
      </c>
    </row>
    <row r="3658" spans="1:2" x14ac:dyDescent="0.3">
      <c r="A3658" s="22" t="s">
        <v>5150</v>
      </c>
      <c r="B3658" s="22">
        <v>0</v>
      </c>
    </row>
    <row r="3659" spans="1:2" x14ac:dyDescent="0.3">
      <c r="A3659" s="22" t="s">
        <v>5151</v>
      </c>
      <c r="B3659" s="22">
        <v>0</v>
      </c>
    </row>
    <row r="3660" spans="1:2" x14ac:dyDescent="0.3">
      <c r="A3660" s="22" t="s">
        <v>5152</v>
      </c>
      <c r="B3660" s="22">
        <v>0</v>
      </c>
    </row>
    <row r="3661" spans="1:2" x14ac:dyDescent="0.3">
      <c r="A3661" s="22" t="s">
        <v>5153</v>
      </c>
      <c r="B3661" s="22">
        <v>0</v>
      </c>
    </row>
    <row r="3662" spans="1:2" x14ac:dyDescent="0.3">
      <c r="A3662" s="22" t="s">
        <v>5154</v>
      </c>
      <c r="B3662" s="22">
        <v>0</v>
      </c>
    </row>
    <row r="3663" spans="1:2" x14ac:dyDescent="0.3">
      <c r="A3663" s="22" t="s">
        <v>1413</v>
      </c>
      <c r="B3663" s="22">
        <v>0</v>
      </c>
    </row>
    <row r="3664" spans="1:2" x14ac:dyDescent="0.3">
      <c r="A3664" s="22" t="s">
        <v>1414</v>
      </c>
      <c r="B3664" s="22">
        <v>0</v>
      </c>
    </row>
    <row r="3665" spans="1:2" x14ac:dyDescent="0.3">
      <c r="A3665" s="22" t="s">
        <v>1415</v>
      </c>
      <c r="B3665" s="22">
        <v>0</v>
      </c>
    </row>
    <row r="3666" spans="1:2" x14ac:dyDescent="0.3">
      <c r="A3666" s="22" t="s">
        <v>1416</v>
      </c>
      <c r="B3666" s="22">
        <v>0</v>
      </c>
    </row>
    <row r="3667" spans="1:2" x14ac:dyDescent="0.3">
      <c r="A3667" s="22" t="s">
        <v>1417</v>
      </c>
      <c r="B3667" s="22">
        <v>0</v>
      </c>
    </row>
    <row r="3668" spans="1:2" x14ac:dyDescent="0.3">
      <c r="A3668" s="22" t="s">
        <v>1418</v>
      </c>
      <c r="B3668" s="22">
        <v>0</v>
      </c>
    </row>
    <row r="3669" spans="1:2" x14ac:dyDescent="0.3">
      <c r="A3669" s="22" t="s">
        <v>1419</v>
      </c>
      <c r="B3669" s="22">
        <v>0</v>
      </c>
    </row>
    <row r="3670" spans="1:2" x14ac:dyDescent="0.3">
      <c r="A3670" s="22" t="s">
        <v>1420</v>
      </c>
      <c r="B3670" s="22">
        <v>0</v>
      </c>
    </row>
    <row r="3671" spans="1:2" x14ac:dyDescent="0.3">
      <c r="A3671" s="22" t="s">
        <v>1716</v>
      </c>
      <c r="B3671" s="22">
        <v>0</v>
      </c>
    </row>
    <row r="3672" spans="1:2" x14ac:dyDescent="0.3">
      <c r="A3672" s="22" t="s">
        <v>4978</v>
      </c>
      <c r="B3672" s="22">
        <v>0</v>
      </c>
    </row>
    <row r="3673" spans="1:2" x14ac:dyDescent="0.3">
      <c r="A3673" s="22" t="s">
        <v>4979</v>
      </c>
      <c r="B3673" s="22">
        <v>0</v>
      </c>
    </row>
    <row r="3674" spans="1:2" x14ac:dyDescent="0.3">
      <c r="A3674" s="22" t="s">
        <v>4980</v>
      </c>
      <c r="B3674" s="22">
        <v>0</v>
      </c>
    </row>
    <row r="3675" spans="1:2" x14ac:dyDescent="0.3">
      <c r="A3675" s="22" t="s">
        <v>4981</v>
      </c>
      <c r="B3675" s="22">
        <v>0</v>
      </c>
    </row>
    <row r="3676" spans="1:2" x14ac:dyDescent="0.3">
      <c r="A3676" s="22" t="s">
        <v>4982</v>
      </c>
      <c r="B3676" s="22">
        <v>0</v>
      </c>
    </row>
    <row r="3677" spans="1:2" x14ac:dyDescent="0.3">
      <c r="A3677" s="22" t="s">
        <v>4983</v>
      </c>
      <c r="B3677" s="22">
        <v>0</v>
      </c>
    </row>
    <row r="3678" spans="1:2" x14ac:dyDescent="0.3">
      <c r="A3678" s="22" t="s">
        <v>4984</v>
      </c>
      <c r="B3678" s="22">
        <v>0</v>
      </c>
    </row>
    <row r="3679" spans="1:2" x14ac:dyDescent="0.3">
      <c r="A3679" s="22" t="s">
        <v>1788</v>
      </c>
      <c r="B3679" s="22">
        <v>219</v>
      </c>
    </row>
    <row r="3680" spans="1:2" x14ac:dyDescent="0.3">
      <c r="A3680" s="22" t="s">
        <v>5056</v>
      </c>
      <c r="B3680" s="22">
        <v>2</v>
      </c>
    </row>
    <row r="3681" spans="1:2" x14ac:dyDescent="0.3">
      <c r="A3681" s="22" t="s">
        <v>5057</v>
      </c>
      <c r="B3681" s="22">
        <v>0</v>
      </c>
    </row>
    <row r="3682" spans="1:2" x14ac:dyDescent="0.3">
      <c r="A3682" s="22" t="s">
        <v>5058</v>
      </c>
      <c r="B3682" s="22">
        <v>0</v>
      </c>
    </row>
    <row r="3683" spans="1:2" x14ac:dyDescent="0.3">
      <c r="A3683" s="22" t="s">
        <v>5059</v>
      </c>
      <c r="B3683" s="22">
        <v>0</v>
      </c>
    </row>
    <row r="3684" spans="1:2" x14ac:dyDescent="0.3">
      <c r="A3684" s="22" t="s">
        <v>5060</v>
      </c>
      <c r="B3684" s="22">
        <v>0</v>
      </c>
    </row>
    <row r="3685" spans="1:2" x14ac:dyDescent="0.3">
      <c r="A3685" s="22" t="s">
        <v>5061</v>
      </c>
      <c r="B3685" s="22">
        <v>0</v>
      </c>
    </row>
    <row r="3686" spans="1:2" x14ac:dyDescent="0.3">
      <c r="A3686" s="22" t="s">
        <v>5062</v>
      </c>
      <c r="B3686" s="22">
        <v>0</v>
      </c>
    </row>
    <row r="3687" spans="1:2" x14ac:dyDescent="0.3">
      <c r="A3687" s="22" t="s">
        <v>1720</v>
      </c>
      <c r="B3687" s="22">
        <v>1367</v>
      </c>
    </row>
    <row r="3688" spans="1:2" x14ac:dyDescent="0.3">
      <c r="A3688" s="22" t="s">
        <v>5346</v>
      </c>
      <c r="B3688" s="22">
        <v>154</v>
      </c>
    </row>
    <row r="3689" spans="1:2" x14ac:dyDescent="0.3">
      <c r="A3689" s="22" t="s">
        <v>5347</v>
      </c>
      <c r="B3689" s="22">
        <v>0</v>
      </c>
    </row>
    <row r="3690" spans="1:2" x14ac:dyDescent="0.3">
      <c r="A3690" s="22" t="s">
        <v>5348</v>
      </c>
      <c r="B3690" s="22">
        <v>27</v>
      </c>
    </row>
    <row r="3691" spans="1:2" x14ac:dyDescent="0.3">
      <c r="A3691" s="22" t="s">
        <v>5349</v>
      </c>
      <c r="B3691" s="22">
        <v>1</v>
      </c>
    </row>
    <row r="3692" spans="1:2" x14ac:dyDescent="0.3">
      <c r="A3692" s="22" t="s">
        <v>5350</v>
      </c>
      <c r="B3692" s="22">
        <v>0</v>
      </c>
    </row>
    <row r="3693" spans="1:2" x14ac:dyDescent="0.3">
      <c r="A3693" s="22" t="s">
        <v>5351</v>
      </c>
      <c r="B3693" s="22">
        <v>0</v>
      </c>
    </row>
    <row r="3694" spans="1:2" x14ac:dyDescent="0.3">
      <c r="A3694" s="22" t="s">
        <v>5352</v>
      </c>
      <c r="B3694" s="22">
        <v>0</v>
      </c>
    </row>
    <row r="3695" spans="1:2" x14ac:dyDescent="0.3">
      <c r="A3695" s="22" t="s">
        <v>1723</v>
      </c>
      <c r="B3695" s="22">
        <v>0</v>
      </c>
    </row>
    <row r="3696" spans="1:2" x14ac:dyDescent="0.3">
      <c r="A3696" s="22" t="s">
        <v>4492</v>
      </c>
      <c r="B3696" s="22">
        <v>0</v>
      </c>
    </row>
    <row r="3697" spans="1:2" x14ac:dyDescent="0.3">
      <c r="A3697" s="22" t="s">
        <v>4493</v>
      </c>
      <c r="B3697" s="22">
        <v>0</v>
      </c>
    </row>
    <row r="3698" spans="1:2" x14ac:dyDescent="0.3">
      <c r="A3698" s="22" t="s">
        <v>4494</v>
      </c>
      <c r="B3698" s="22">
        <v>0</v>
      </c>
    </row>
    <row r="3699" spans="1:2" x14ac:dyDescent="0.3">
      <c r="A3699" s="22" t="s">
        <v>4495</v>
      </c>
      <c r="B3699" s="22">
        <v>0</v>
      </c>
    </row>
    <row r="3700" spans="1:2" x14ac:dyDescent="0.3">
      <c r="A3700" s="22" t="s">
        <v>4496</v>
      </c>
      <c r="B3700" s="22">
        <v>0</v>
      </c>
    </row>
    <row r="3701" spans="1:2" x14ac:dyDescent="0.3">
      <c r="A3701" s="22" t="s">
        <v>4497</v>
      </c>
      <c r="B3701" s="22">
        <v>0</v>
      </c>
    </row>
    <row r="3702" spans="1:2" x14ac:dyDescent="0.3">
      <c r="A3702" s="22" t="s">
        <v>4498</v>
      </c>
      <c r="B3702" s="22">
        <v>0</v>
      </c>
    </row>
    <row r="3703" spans="1:2" x14ac:dyDescent="0.3">
      <c r="A3703" s="22" t="s">
        <v>1424</v>
      </c>
      <c r="B3703" s="22">
        <v>0</v>
      </c>
    </row>
    <row r="3704" spans="1:2" x14ac:dyDescent="0.3">
      <c r="A3704" s="22" t="s">
        <v>1425</v>
      </c>
      <c r="B3704" s="22">
        <v>0</v>
      </c>
    </row>
    <row r="3705" spans="1:2" x14ac:dyDescent="0.3">
      <c r="A3705" s="22" t="s">
        <v>1426</v>
      </c>
      <c r="B3705" s="22">
        <v>0</v>
      </c>
    </row>
    <row r="3706" spans="1:2" x14ac:dyDescent="0.3">
      <c r="A3706" s="22" t="s">
        <v>1427</v>
      </c>
      <c r="B3706" s="22">
        <v>0</v>
      </c>
    </row>
    <row r="3707" spans="1:2" x14ac:dyDescent="0.3">
      <c r="A3707" s="22" t="s">
        <v>1428</v>
      </c>
      <c r="B3707" s="22">
        <v>0</v>
      </c>
    </row>
    <row r="3708" spans="1:2" x14ac:dyDescent="0.3">
      <c r="A3708" s="22" t="s">
        <v>1429</v>
      </c>
      <c r="B3708" s="22">
        <v>0</v>
      </c>
    </row>
    <row r="3709" spans="1:2" x14ac:dyDescent="0.3">
      <c r="A3709" s="22" t="s">
        <v>1430</v>
      </c>
      <c r="B3709" s="22">
        <v>0</v>
      </c>
    </row>
    <row r="3710" spans="1:2" x14ac:dyDescent="0.3">
      <c r="A3710" s="22" t="s">
        <v>1431</v>
      </c>
      <c r="B3710" s="22">
        <v>0</v>
      </c>
    </row>
    <row r="3711" spans="1:2" x14ac:dyDescent="0.3">
      <c r="A3711" s="22" t="s">
        <v>1727</v>
      </c>
      <c r="B3711" s="22">
        <v>0</v>
      </c>
    </row>
    <row r="3712" spans="1:2" x14ac:dyDescent="0.3">
      <c r="A3712" s="22" t="s">
        <v>4957</v>
      </c>
      <c r="B3712" s="22">
        <v>0</v>
      </c>
    </row>
    <row r="3713" spans="1:2" x14ac:dyDescent="0.3">
      <c r="A3713" s="22" t="s">
        <v>4958</v>
      </c>
      <c r="B3713" s="22">
        <v>0</v>
      </c>
    </row>
    <row r="3714" spans="1:2" x14ac:dyDescent="0.3">
      <c r="A3714" s="22" t="s">
        <v>4959</v>
      </c>
      <c r="B3714" s="22">
        <v>0</v>
      </c>
    </row>
    <row r="3715" spans="1:2" x14ac:dyDescent="0.3">
      <c r="A3715" s="22" t="s">
        <v>4960</v>
      </c>
      <c r="B3715" s="22">
        <v>0</v>
      </c>
    </row>
    <row r="3716" spans="1:2" x14ac:dyDescent="0.3">
      <c r="A3716" s="22" t="s">
        <v>4961</v>
      </c>
      <c r="B3716" s="22">
        <v>0</v>
      </c>
    </row>
    <row r="3717" spans="1:2" x14ac:dyDescent="0.3">
      <c r="A3717" s="22" t="s">
        <v>4962</v>
      </c>
      <c r="B3717" s="22">
        <v>0</v>
      </c>
    </row>
    <row r="3718" spans="1:2" x14ac:dyDescent="0.3">
      <c r="A3718" s="22" t="s">
        <v>4963</v>
      </c>
      <c r="B3718" s="22">
        <v>0</v>
      </c>
    </row>
    <row r="3719" spans="1:2" x14ac:dyDescent="0.3">
      <c r="A3719" s="22" t="s">
        <v>1789</v>
      </c>
      <c r="B3719" s="22">
        <v>0</v>
      </c>
    </row>
    <row r="3720" spans="1:2" x14ac:dyDescent="0.3">
      <c r="A3720" s="22" t="s">
        <v>4499</v>
      </c>
      <c r="B3720" s="22">
        <v>0</v>
      </c>
    </row>
    <row r="3721" spans="1:2" x14ac:dyDescent="0.3">
      <c r="A3721" s="22" t="s">
        <v>4500</v>
      </c>
      <c r="B3721" s="22">
        <v>0</v>
      </c>
    </row>
    <row r="3722" spans="1:2" x14ac:dyDescent="0.3">
      <c r="A3722" s="22" t="s">
        <v>4501</v>
      </c>
      <c r="B3722" s="22">
        <v>0</v>
      </c>
    </row>
    <row r="3723" spans="1:2" x14ac:dyDescent="0.3">
      <c r="A3723" s="22" t="s">
        <v>4502</v>
      </c>
      <c r="B3723" s="22">
        <v>0</v>
      </c>
    </row>
    <row r="3724" spans="1:2" x14ac:dyDescent="0.3">
      <c r="A3724" s="22" t="s">
        <v>4503</v>
      </c>
      <c r="B3724" s="22">
        <v>0</v>
      </c>
    </row>
    <row r="3725" spans="1:2" x14ac:dyDescent="0.3">
      <c r="A3725" s="22" t="s">
        <v>4504</v>
      </c>
      <c r="B3725" s="22">
        <v>0</v>
      </c>
    </row>
    <row r="3726" spans="1:2" x14ac:dyDescent="0.3">
      <c r="A3726" s="22" t="s">
        <v>4505</v>
      </c>
      <c r="B3726" s="22">
        <v>0</v>
      </c>
    </row>
    <row r="3727" spans="1:2" x14ac:dyDescent="0.3">
      <c r="A3727" s="22" t="s">
        <v>1731</v>
      </c>
      <c r="B3727" s="22">
        <v>0</v>
      </c>
    </row>
    <row r="3728" spans="1:2" x14ac:dyDescent="0.3">
      <c r="A3728" s="22" t="s">
        <v>4506</v>
      </c>
      <c r="B3728" s="22">
        <v>0</v>
      </c>
    </row>
    <row r="3729" spans="1:2" x14ac:dyDescent="0.3">
      <c r="A3729" s="22" t="s">
        <v>4507</v>
      </c>
      <c r="B3729" s="22">
        <v>0</v>
      </c>
    </row>
    <row r="3730" spans="1:2" x14ac:dyDescent="0.3">
      <c r="A3730" s="22" t="s">
        <v>4508</v>
      </c>
      <c r="B3730" s="22">
        <v>0</v>
      </c>
    </row>
    <row r="3731" spans="1:2" x14ac:dyDescent="0.3">
      <c r="A3731" s="22" t="s">
        <v>4509</v>
      </c>
      <c r="B3731" s="22">
        <v>0</v>
      </c>
    </row>
    <row r="3732" spans="1:2" x14ac:dyDescent="0.3">
      <c r="A3732" s="22" t="s">
        <v>4510</v>
      </c>
      <c r="B3732" s="22">
        <v>0</v>
      </c>
    </row>
    <row r="3733" spans="1:2" x14ac:dyDescent="0.3">
      <c r="A3733" s="22" t="s">
        <v>4511</v>
      </c>
      <c r="B3733" s="22">
        <v>0</v>
      </c>
    </row>
    <row r="3734" spans="1:2" x14ac:dyDescent="0.3">
      <c r="A3734" s="22" t="s">
        <v>4512</v>
      </c>
      <c r="B3734" s="22">
        <v>0</v>
      </c>
    </row>
    <row r="3735" spans="1:2" x14ac:dyDescent="0.3">
      <c r="A3735" s="22" t="s">
        <v>1433</v>
      </c>
      <c r="B3735" s="22">
        <v>2</v>
      </c>
    </row>
    <row r="3736" spans="1:2" x14ac:dyDescent="0.3">
      <c r="A3736" s="22" t="s">
        <v>5604</v>
      </c>
      <c r="B3736" s="22">
        <v>0</v>
      </c>
    </row>
    <row r="3737" spans="1:2" x14ac:dyDescent="0.3">
      <c r="A3737" s="22" t="s">
        <v>5605</v>
      </c>
      <c r="B3737" s="22">
        <v>0</v>
      </c>
    </row>
    <row r="3738" spans="1:2" x14ac:dyDescent="0.3">
      <c r="A3738" s="22" t="s">
        <v>5606</v>
      </c>
      <c r="B3738" s="22">
        <v>0</v>
      </c>
    </row>
    <row r="3739" spans="1:2" x14ac:dyDescent="0.3">
      <c r="A3739" s="22" t="s">
        <v>5607</v>
      </c>
      <c r="B3739" s="22">
        <v>0</v>
      </c>
    </row>
    <row r="3740" spans="1:2" x14ac:dyDescent="0.3">
      <c r="A3740" s="22" t="s">
        <v>5608</v>
      </c>
      <c r="B3740" s="22">
        <v>0</v>
      </c>
    </row>
    <row r="3741" spans="1:2" x14ac:dyDescent="0.3">
      <c r="A3741" s="22" t="s">
        <v>5609</v>
      </c>
      <c r="B3741" s="22">
        <v>0</v>
      </c>
    </row>
    <row r="3742" spans="1:2" x14ac:dyDescent="0.3">
      <c r="A3742" s="22" t="s">
        <v>5610</v>
      </c>
      <c r="B3742" s="22">
        <v>0</v>
      </c>
    </row>
    <row r="3743" spans="1:2" x14ac:dyDescent="0.3">
      <c r="A3743" s="22" t="s">
        <v>1434</v>
      </c>
      <c r="B3743" s="22">
        <v>11</v>
      </c>
    </row>
    <row r="3744" spans="1:2" x14ac:dyDescent="0.3">
      <c r="A3744" s="22" t="s">
        <v>1435</v>
      </c>
      <c r="B3744" s="22">
        <v>0</v>
      </c>
    </row>
    <row r="3745" spans="1:2" x14ac:dyDescent="0.3">
      <c r="A3745" s="22" t="s">
        <v>1436</v>
      </c>
      <c r="B3745" s="22">
        <v>0</v>
      </c>
    </row>
    <row r="3746" spans="1:2" x14ac:dyDescent="0.3">
      <c r="A3746" s="22" t="s">
        <v>1437</v>
      </c>
      <c r="B3746" s="22">
        <v>0</v>
      </c>
    </row>
    <row r="3747" spans="1:2" x14ac:dyDescent="0.3">
      <c r="A3747" s="22" t="s">
        <v>1438</v>
      </c>
      <c r="B3747" s="22">
        <v>0</v>
      </c>
    </row>
    <row r="3748" spans="1:2" x14ac:dyDescent="0.3">
      <c r="A3748" s="22" t="s">
        <v>1439</v>
      </c>
      <c r="B3748" s="22">
        <v>0</v>
      </c>
    </row>
    <row r="3749" spans="1:2" x14ac:dyDescent="0.3">
      <c r="A3749" s="22" t="s">
        <v>1440</v>
      </c>
      <c r="B3749" s="22">
        <v>0</v>
      </c>
    </row>
    <row r="3750" spans="1:2" x14ac:dyDescent="0.3">
      <c r="A3750" s="22" t="s">
        <v>1441</v>
      </c>
      <c r="B3750" s="22">
        <v>0</v>
      </c>
    </row>
    <row r="3751" spans="1:2" x14ac:dyDescent="0.3">
      <c r="A3751" s="22" t="s">
        <v>1735</v>
      </c>
      <c r="B3751" s="22">
        <v>0</v>
      </c>
    </row>
    <row r="3752" spans="1:2" x14ac:dyDescent="0.3">
      <c r="A3752" s="22" t="s">
        <v>4964</v>
      </c>
      <c r="B3752" s="22">
        <v>0</v>
      </c>
    </row>
    <row r="3753" spans="1:2" x14ac:dyDescent="0.3">
      <c r="A3753" s="22" t="s">
        <v>4965</v>
      </c>
      <c r="B3753" s="22">
        <v>0</v>
      </c>
    </row>
    <row r="3754" spans="1:2" x14ac:dyDescent="0.3">
      <c r="A3754" s="22" t="s">
        <v>4966</v>
      </c>
      <c r="B3754" s="22">
        <v>0</v>
      </c>
    </row>
    <row r="3755" spans="1:2" x14ac:dyDescent="0.3">
      <c r="A3755" s="22" t="s">
        <v>4967</v>
      </c>
      <c r="B3755" s="22">
        <v>0</v>
      </c>
    </row>
    <row r="3756" spans="1:2" x14ac:dyDescent="0.3">
      <c r="A3756" s="22" t="s">
        <v>4968</v>
      </c>
      <c r="B3756" s="22">
        <v>0</v>
      </c>
    </row>
    <row r="3757" spans="1:2" x14ac:dyDescent="0.3">
      <c r="A3757" s="22" t="s">
        <v>4969</v>
      </c>
      <c r="B3757" s="22">
        <v>0</v>
      </c>
    </row>
    <row r="3758" spans="1:2" x14ac:dyDescent="0.3">
      <c r="A3758" s="22" t="s">
        <v>4970</v>
      </c>
      <c r="B3758" s="22">
        <v>0</v>
      </c>
    </row>
    <row r="3759" spans="1:2" x14ac:dyDescent="0.3">
      <c r="A3759" s="22" t="s">
        <v>1737</v>
      </c>
      <c r="B3759" s="22">
        <v>6</v>
      </c>
    </row>
    <row r="3760" spans="1:2" x14ac:dyDescent="0.3">
      <c r="A3760" s="22" t="s">
        <v>5611</v>
      </c>
      <c r="B3760" s="22">
        <v>0</v>
      </c>
    </row>
    <row r="3761" spans="1:2" x14ac:dyDescent="0.3">
      <c r="A3761" s="22" t="s">
        <v>5612</v>
      </c>
      <c r="B3761" s="22">
        <v>0</v>
      </c>
    </row>
    <row r="3762" spans="1:2" x14ac:dyDescent="0.3">
      <c r="A3762" s="22" t="s">
        <v>5613</v>
      </c>
      <c r="B3762" s="22">
        <v>0</v>
      </c>
    </row>
    <row r="3763" spans="1:2" x14ac:dyDescent="0.3">
      <c r="A3763" s="22" t="s">
        <v>5614</v>
      </c>
      <c r="B3763" s="22">
        <v>0</v>
      </c>
    </row>
    <row r="3764" spans="1:2" x14ac:dyDescent="0.3">
      <c r="A3764" s="22" t="s">
        <v>5615</v>
      </c>
      <c r="B3764" s="22">
        <v>0</v>
      </c>
    </row>
    <row r="3765" spans="1:2" x14ac:dyDescent="0.3">
      <c r="A3765" s="22" t="s">
        <v>5616</v>
      </c>
      <c r="B3765" s="22">
        <v>0</v>
      </c>
    </row>
    <row r="3766" spans="1:2" x14ac:dyDescent="0.3">
      <c r="A3766" s="22" t="s">
        <v>5617</v>
      </c>
      <c r="B3766" s="22">
        <v>0</v>
      </c>
    </row>
    <row r="3767" spans="1:2" x14ac:dyDescent="0.3">
      <c r="A3767" s="22" t="s">
        <v>1442</v>
      </c>
      <c r="B3767" s="22">
        <v>10</v>
      </c>
    </row>
    <row r="3768" spans="1:2" x14ac:dyDescent="0.3">
      <c r="A3768" s="22" t="s">
        <v>5618</v>
      </c>
      <c r="B3768" s="22">
        <v>0</v>
      </c>
    </row>
    <row r="3769" spans="1:2" x14ac:dyDescent="0.3">
      <c r="A3769" s="22" t="s">
        <v>5619</v>
      </c>
      <c r="B3769" s="22">
        <v>0</v>
      </c>
    </row>
    <row r="3770" spans="1:2" x14ac:dyDescent="0.3">
      <c r="A3770" s="22" t="s">
        <v>5620</v>
      </c>
      <c r="B3770" s="22">
        <v>0</v>
      </c>
    </row>
    <row r="3771" spans="1:2" x14ac:dyDescent="0.3">
      <c r="A3771" s="22" t="s">
        <v>5621</v>
      </c>
      <c r="B3771" s="22">
        <v>0</v>
      </c>
    </row>
    <row r="3772" spans="1:2" x14ac:dyDescent="0.3">
      <c r="A3772" s="22" t="s">
        <v>5622</v>
      </c>
      <c r="B3772" s="22">
        <v>0</v>
      </c>
    </row>
    <row r="3773" spans="1:2" x14ac:dyDescent="0.3">
      <c r="A3773" s="22" t="s">
        <v>5623</v>
      </c>
      <c r="B3773" s="22">
        <v>0</v>
      </c>
    </row>
    <row r="3774" spans="1:2" x14ac:dyDescent="0.3">
      <c r="A3774" s="22" t="s">
        <v>5624</v>
      </c>
      <c r="B3774" s="22">
        <v>0</v>
      </c>
    </row>
    <row r="3775" spans="1:2" x14ac:dyDescent="0.3">
      <c r="A3775" s="22" t="s">
        <v>1443</v>
      </c>
      <c r="B3775" s="22">
        <v>0</v>
      </c>
    </row>
    <row r="3776" spans="1:2" x14ac:dyDescent="0.3">
      <c r="A3776" s="22" t="s">
        <v>5205</v>
      </c>
      <c r="B3776" s="22">
        <v>0</v>
      </c>
    </row>
    <row r="3777" spans="1:2" x14ac:dyDescent="0.3">
      <c r="A3777" s="22" t="s">
        <v>5206</v>
      </c>
      <c r="B3777" s="22">
        <v>0</v>
      </c>
    </row>
    <row r="3778" spans="1:2" x14ac:dyDescent="0.3">
      <c r="A3778" s="22" t="s">
        <v>5207</v>
      </c>
      <c r="B3778" s="22">
        <v>0</v>
      </c>
    </row>
    <row r="3779" spans="1:2" x14ac:dyDescent="0.3">
      <c r="A3779" s="22" t="s">
        <v>5208</v>
      </c>
      <c r="B3779" s="22">
        <v>0</v>
      </c>
    </row>
    <row r="3780" spans="1:2" x14ac:dyDescent="0.3">
      <c r="A3780" s="22" t="s">
        <v>5209</v>
      </c>
      <c r="B3780" s="22">
        <v>0</v>
      </c>
    </row>
    <row r="3781" spans="1:2" x14ac:dyDescent="0.3">
      <c r="A3781" s="22" t="s">
        <v>5210</v>
      </c>
      <c r="B3781" s="22">
        <v>0</v>
      </c>
    </row>
    <row r="3782" spans="1:2" x14ac:dyDescent="0.3">
      <c r="A3782" s="22" t="s">
        <v>5211</v>
      </c>
      <c r="B3782" s="22">
        <v>0</v>
      </c>
    </row>
    <row r="3783" spans="1:2" x14ac:dyDescent="0.3">
      <c r="A3783" s="22" t="s">
        <v>1739</v>
      </c>
      <c r="B3783" s="22">
        <v>0</v>
      </c>
    </row>
    <row r="3784" spans="1:2" x14ac:dyDescent="0.3">
      <c r="A3784" s="22" t="s">
        <v>4513</v>
      </c>
      <c r="B3784" s="22">
        <v>0</v>
      </c>
    </row>
    <row r="3785" spans="1:2" x14ac:dyDescent="0.3">
      <c r="A3785" s="22" t="s">
        <v>4514</v>
      </c>
      <c r="B3785" s="22">
        <v>0</v>
      </c>
    </row>
    <row r="3786" spans="1:2" x14ac:dyDescent="0.3">
      <c r="A3786" s="22" t="s">
        <v>4515</v>
      </c>
      <c r="B3786" s="22">
        <v>0</v>
      </c>
    </row>
    <row r="3787" spans="1:2" x14ac:dyDescent="0.3">
      <c r="A3787" s="22" t="s">
        <v>4516</v>
      </c>
      <c r="B3787" s="22">
        <v>0</v>
      </c>
    </row>
    <row r="3788" spans="1:2" x14ac:dyDescent="0.3">
      <c r="A3788" s="22" t="s">
        <v>4517</v>
      </c>
      <c r="B3788" s="22">
        <v>0</v>
      </c>
    </row>
    <row r="3789" spans="1:2" x14ac:dyDescent="0.3">
      <c r="A3789" s="22" t="s">
        <v>4518</v>
      </c>
      <c r="B3789" s="22">
        <v>0</v>
      </c>
    </row>
    <row r="3790" spans="1:2" x14ac:dyDescent="0.3">
      <c r="A3790" s="22" t="s">
        <v>4519</v>
      </c>
      <c r="B3790" s="22">
        <v>0</v>
      </c>
    </row>
    <row r="3791" spans="1:2" x14ac:dyDescent="0.3">
      <c r="A3791" s="22" t="s">
        <v>1741</v>
      </c>
      <c r="B3791" s="22">
        <v>10</v>
      </c>
    </row>
    <row r="3792" spans="1:2" x14ac:dyDescent="0.3">
      <c r="A3792" s="22" t="s">
        <v>5367</v>
      </c>
      <c r="B3792" s="22">
        <v>0</v>
      </c>
    </row>
    <row r="3793" spans="1:2" x14ac:dyDescent="0.3">
      <c r="A3793" s="22" t="s">
        <v>5368</v>
      </c>
      <c r="B3793" s="22">
        <v>0</v>
      </c>
    </row>
    <row r="3794" spans="1:2" x14ac:dyDescent="0.3">
      <c r="A3794" s="22" t="s">
        <v>5369</v>
      </c>
      <c r="B3794" s="22">
        <v>0</v>
      </c>
    </row>
    <row r="3795" spans="1:2" x14ac:dyDescent="0.3">
      <c r="A3795" s="22" t="s">
        <v>5370</v>
      </c>
      <c r="B3795" s="22">
        <v>0</v>
      </c>
    </row>
    <row r="3796" spans="1:2" x14ac:dyDescent="0.3">
      <c r="A3796" s="22" t="s">
        <v>5371</v>
      </c>
      <c r="B3796" s="22">
        <v>0</v>
      </c>
    </row>
    <row r="3797" spans="1:2" x14ac:dyDescent="0.3">
      <c r="A3797" s="22" t="s">
        <v>5372</v>
      </c>
      <c r="B3797" s="22">
        <v>0</v>
      </c>
    </row>
    <row r="3798" spans="1:2" x14ac:dyDescent="0.3">
      <c r="A3798" s="22" t="s">
        <v>5373</v>
      </c>
      <c r="B3798" s="22">
        <v>0</v>
      </c>
    </row>
    <row r="3799" spans="1:2" x14ac:dyDescent="0.3">
      <c r="A3799" s="22" t="s">
        <v>1790</v>
      </c>
      <c r="B3799" s="22">
        <v>7</v>
      </c>
    </row>
    <row r="3800" spans="1:2" x14ac:dyDescent="0.3">
      <c r="A3800" s="22" t="s">
        <v>5374</v>
      </c>
      <c r="B3800" s="22">
        <v>0</v>
      </c>
    </row>
    <row r="3801" spans="1:2" x14ac:dyDescent="0.3">
      <c r="A3801" s="22" t="s">
        <v>5375</v>
      </c>
      <c r="B3801" s="22">
        <v>0</v>
      </c>
    </row>
    <row r="3802" spans="1:2" x14ac:dyDescent="0.3">
      <c r="A3802" s="22" t="s">
        <v>5376</v>
      </c>
      <c r="B3802" s="22">
        <v>0</v>
      </c>
    </row>
    <row r="3803" spans="1:2" x14ac:dyDescent="0.3">
      <c r="A3803" s="22" t="s">
        <v>5377</v>
      </c>
      <c r="B3803" s="22">
        <v>0</v>
      </c>
    </row>
    <row r="3804" spans="1:2" x14ac:dyDescent="0.3">
      <c r="A3804" s="22" t="s">
        <v>5378</v>
      </c>
      <c r="B3804" s="22">
        <v>0</v>
      </c>
    </row>
    <row r="3805" spans="1:2" x14ac:dyDescent="0.3">
      <c r="A3805" s="22" t="s">
        <v>5379</v>
      </c>
      <c r="B3805" s="22">
        <v>0</v>
      </c>
    </row>
    <row r="3806" spans="1:2" x14ac:dyDescent="0.3">
      <c r="A3806" s="22" t="s">
        <v>5380</v>
      </c>
      <c r="B3806" s="22">
        <v>0</v>
      </c>
    </row>
    <row r="3807" spans="1:2" x14ac:dyDescent="0.3">
      <c r="A3807" s="22" t="s">
        <v>2711</v>
      </c>
      <c r="B3807" s="22">
        <v>0</v>
      </c>
    </row>
    <row r="3808" spans="1:2" x14ac:dyDescent="0.3">
      <c r="A3808" s="22" t="s">
        <v>4520</v>
      </c>
      <c r="B3808" s="22">
        <v>0</v>
      </c>
    </row>
    <row r="3809" spans="1:2" x14ac:dyDescent="0.3">
      <c r="A3809" s="22" t="s">
        <v>4521</v>
      </c>
      <c r="B3809" s="22">
        <v>0</v>
      </c>
    </row>
    <row r="3810" spans="1:2" x14ac:dyDescent="0.3">
      <c r="A3810" s="22" t="s">
        <v>4522</v>
      </c>
      <c r="B3810" s="22">
        <v>0</v>
      </c>
    </row>
    <row r="3811" spans="1:2" x14ac:dyDescent="0.3">
      <c r="A3811" s="22" t="s">
        <v>4523</v>
      </c>
      <c r="B3811" s="22">
        <v>0</v>
      </c>
    </row>
    <row r="3812" spans="1:2" x14ac:dyDescent="0.3">
      <c r="A3812" s="22" t="s">
        <v>4524</v>
      </c>
      <c r="B3812" s="22">
        <v>0</v>
      </c>
    </row>
    <row r="3813" spans="1:2" x14ac:dyDescent="0.3">
      <c r="A3813" s="22" t="s">
        <v>4525</v>
      </c>
      <c r="B3813" s="22">
        <v>0</v>
      </c>
    </row>
    <row r="3814" spans="1:2" x14ac:dyDescent="0.3">
      <c r="A3814" s="22" t="s">
        <v>4526</v>
      </c>
      <c r="B3814" s="22">
        <v>0</v>
      </c>
    </row>
    <row r="3815" spans="1:2" x14ac:dyDescent="0.3">
      <c r="A3815" s="22" t="s">
        <v>1743</v>
      </c>
      <c r="B3815" s="22">
        <v>8</v>
      </c>
    </row>
    <row r="3816" spans="1:2" x14ac:dyDescent="0.3">
      <c r="A3816" s="22" t="s">
        <v>5381</v>
      </c>
      <c r="B3816" s="22">
        <v>0</v>
      </c>
    </row>
    <row r="3817" spans="1:2" x14ac:dyDescent="0.3">
      <c r="A3817" s="22" t="s">
        <v>5382</v>
      </c>
      <c r="B3817" s="22">
        <v>0</v>
      </c>
    </row>
    <row r="3818" spans="1:2" x14ac:dyDescent="0.3">
      <c r="A3818" s="22" t="s">
        <v>5383</v>
      </c>
      <c r="B3818" s="22">
        <v>0</v>
      </c>
    </row>
    <row r="3819" spans="1:2" x14ac:dyDescent="0.3">
      <c r="A3819" s="22" t="s">
        <v>5384</v>
      </c>
      <c r="B3819" s="22">
        <v>0</v>
      </c>
    </row>
    <row r="3820" spans="1:2" x14ac:dyDescent="0.3">
      <c r="A3820" s="22" t="s">
        <v>5385</v>
      </c>
      <c r="B3820" s="22">
        <v>0</v>
      </c>
    </row>
    <row r="3821" spans="1:2" x14ac:dyDescent="0.3">
      <c r="A3821" s="22" t="s">
        <v>5386</v>
      </c>
      <c r="B3821" s="22">
        <v>0</v>
      </c>
    </row>
    <row r="3822" spans="1:2" x14ac:dyDescent="0.3">
      <c r="A3822" s="22" t="s">
        <v>5387</v>
      </c>
      <c r="B3822" s="22">
        <v>0</v>
      </c>
    </row>
    <row r="3823" spans="1:2" x14ac:dyDescent="0.3">
      <c r="A3823" s="22" t="s">
        <v>2526</v>
      </c>
      <c r="B3823" s="22">
        <v>8</v>
      </c>
    </row>
    <row r="3824" spans="1:2" x14ac:dyDescent="0.3">
      <c r="A3824" s="22" t="s">
        <v>5388</v>
      </c>
      <c r="B3824" s="22">
        <v>0</v>
      </c>
    </row>
    <row r="3825" spans="1:2" x14ac:dyDescent="0.3">
      <c r="A3825" s="22" t="s">
        <v>5389</v>
      </c>
      <c r="B3825" s="22">
        <v>0</v>
      </c>
    </row>
    <row r="3826" spans="1:2" x14ac:dyDescent="0.3">
      <c r="A3826" s="22" t="s">
        <v>5390</v>
      </c>
      <c r="B3826" s="22">
        <v>0</v>
      </c>
    </row>
    <row r="3827" spans="1:2" x14ac:dyDescent="0.3">
      <c r="A3827" s="22" t="s">
        <v>5391</v>
      </c>
      <c r="B3827" s="22">
        <v>0</v>
      </c>
    </row>
    <row r="3828" spans="1:2" x14ac:dyDescent="0.3">
      <c r="A3828" s="22" t="s">
        <v>5392</v>
      </c>
      <c r="B3828" s="22">
        <v>0</v>
      </c>
    </row>
    <row r="3829" spans="1:2" x14ac:dyDescent="0.3">
      <c r="A3829" s="22" t="s">
        <v>5393</v>
      </c>
      <c r="B3829" s="22">
        <v>0</v>
      </c>
    </row>
    <row r="3830" spans="1:2" x14ac:dyDescent="0.3">
      <c r="A3830" s="22" t="s">
        <v>5394</v>
      </c>
      <c r="B3830" s="22">
        <v>0</v>
      </c>
    </row>
    <row r="3831" spans="1:2" x14ac:dyDescent="0.3">
      <c r="A3831" s="22" t="s">
        <v>1445</v>
      </c>
      <c r="B3831" s="22">
        <v>112</v>
      </c>
    </row>
    <row r="3832" spans="1:2" x14ac:dyDescent="0.3">
      <c r="A3832" s="22" t="s">
        <v>5155</v>
      </c>
      <c r="B3832" s="22">
        <v>0</v>
      </c>
    </row>
    <row r="3833" spans="1:2" x14ac:dyDescent="0.3">
      <c r="A3833" s="22" t="s">
        <v>5156</v>
      </c>
      <c r="B3833" s="22">
        <v>0</v>
      </c>
    </row>
    <row r="3834" spans="1:2" x14ac:dyDescent="0.3">
      <c r="A3834" s="22" t="s">
        <v>5157</v>
      </c>
      <c r="B3834" s="22">
        <v>0</v>
      </c>
    </row>
    <row r="3835" spans="1:2" x14ac:dyDescent="0.3">
      <c r="A3835" s="22" t="s">
        <v>5158</v>
      </c>
      <c r="B3835" s="22">
        <v>0</v>
      </c>
    </row>
    <row r="3836" spans="1:2" x14ac:dyDescent="0.3">
      <c r="A3836" s="22" t="s">
        <v>5159</v>
      </c>
      <c r="B3836" s="22">
        <v>0</v>
      </c>
    </row>
    <row r="3837" spans="1:2" x14ac:dyDescent="0.3">
      <c r="A3837" s="22" t="s">
        <v>5160</v>
      </c>
      <c r="B3837" s="22">
        <v>0</v>
      </c>
    </row>
    <row r="3838" spans="1:2" x14ac:dyDescent="0.3">
      <c r="A3838" s="22" t="s">
        <v>5161</v>
      </c>
      <c r="B3838" s="22">
        <v>0</v>
      </c>
    </row>
    <row r="3839" spans="1:2" x14ac:dyDescent="0.3">
      <c r="A3839" s="22" t="s">
        <v>2712</v>
      </c>
      <c r="B3839" s="22">
        <v>0</v>
      </c>
    </row>
    <row r="3840" spans="1:2" x14ac:dyDescent="0.3">
      <c r="A3840" s="22" t="s">
        <v>5162</v>
      </c>
      <c r="B3840" s="22">
        <v>0</v>
      </c>
    </row>
    <row r="3841" spans="1:2" x14ac:dyDescent="0.3">
      <c r="A3841" s="22" t="s">
        <v>5163</v>
      </c>
      <c r="B3841" s="22">
        <v>0</v>
      </c>
    </row>
    <row r="3842" spans="1:2" x14ac:dyDescent="0.3">
      <c r="A3842" s="22" t="s">
        <v>5164</v>
      </c>
      <c r="B3842" s="22">
        <v>0</v>
      </c>
    </row>
    <row r="3843" spans="1:2" x14ac:dyDescent="0.3">
      <c r="A3843" s="22" t="s">
        <v>5165</v>
      </c>
      <c r="B3843" s="22">
        <v>0</v>
      </c>
    </row>
    <row r="3844" spans="1:2" x14ac:dyDescent="0.3">
      <c r="A3844" s="22" t="s">
        <v>5166</v>
      </c>
      <c r="B3844" s="22">
        <v>0</v>
      </c>
    </row>
    <row r="3845" spans="1:2" x14ac:dyDescent="0.3">
      <c r="A3845" s="22" t="s">
        <v>5167</v>
      </c>
      <c r="B3845" s="22">
        <v>0</v>
      </c>
    </row>
    <row r="3846" spans="1:2" x14ac:dyDescent="0.3">
      <c r="A3846" s="22" t="s">
        <v>5168</v>
      </c>
      <c r="B3846" s="22">
        <v>0</v>
      </c>
    </row>
    <row r="3847" spans="1:2" x14ac:dyDescent="0.3">
      <c r="A3847" s="22" t="s">
        <v>1745</v>
      </c>
      <c r="B3847" s="22">
        <v>0</v>
      </c>
    </row>
    <row r="3848" spans="1:2" x14ac:dyDescent="0.3">
      <c r="A3848" s="22" t="s">
        <v>5395</v>
      </c>
      <c r="B3848" s="22">
        <v>0</v>
      </c>
    </row>
    <row r="3849" spans="1:2" x14ac:dyDescent="0.3">
      <c r="A3849" s="22" t="s">
        <v>5396</v>
      </c>
      <c r="B3849" s="22">
        <v>0</v>
      </c>
    </row>
    <row r="3850" spans="1:2" x14ac:dyDescent="0.3">
      <c r="A3850" s="22" t="s">
        <v>5397</v>
      </c>
      <c r="B3850" s="22">
        <v>0</v>
      </c>
    </row>
    <row r="3851" spans="1:2" x14ac:dyDescent="0.3">
      <c r="A3851" s="22" t="s">
        <v>5398</v>
      </c>
      <c r="B3851" s="22">
        <v>0</v>
      </c>
    </row>
    <row r="3852" spans="1:2" x14ac:dyDescent="0.3">
      <c r="A3852" s="22" t="s">
        <v>5399</v>
      </c>
      <c r="B3852" s="22">
        <v>0</v>
      </c>
    </row>
    <row r="3853" spans="1:2" x14ac:dyDescent="0.3">
      <c r="A3853" s="22" t="s">
        <v>5400</v>
      </c>
      <c r="B3853" s="22">
        <v>0</v>
      </c>
    </row>
    <row r="3854" spans="1:2" x14ac:dyDescent="0.3">
      <c r="A3854" s="22" t="s">
        <v>5401</v>
      </c>
      <c r="B3854" s="22">
        <v>0</v>
      </c>
    </row>
    <row r="3855" spans="1:2" x14ac:dyDescent="0.3">
      <c r="A3855" s="22" t="s">
        <v>2528</v>
      </c>
      <c r="B3855" s="22">
        <v>4</v>
      </c>
    </row>
    <row r="3856" spans="1:2" x14ac:dyDescent="0.3">
      <c r="A3856" s="22" t="s">
        <v>5402</v>
      </c>
      <c r="B3856" s="22">
        <v>0</v>
      </c>
    </row>
    <row r="3857" spans="1:2" x14ac:dyDescent="0.3">
      <c r="A3857" s="22" t="s">
        <v>5403</v>
      </c>
      <c r="B3857" s="22">
        <v>0</v>
      </c>
    </row>
    <row r="3858" spans="1:2" x14ac:dyDescent="0.3">
      <c r="A3858" s="22" t="s">
        <v>5404</v>
      </c>
      <c r="B3858" s="22">
        <v>0</v>
      </c>
    </row>
    <row r="3859" spans="1:2" x14ac:dyDescent="0.3">
      <c r="A3859" s="22" t="s">
        <v>5405</v>
      </c>
      <c r="B3859" s="22">
        <v>0</v>
      </c>
    </row>
    <row r="3860" spans="1:2" x14ac:dyDescent="0.3">
      <c r="A3860" s="22" t="s">
        <v>5406</v>
      </c>
      <c r="B3860" s="22">
        <v>0</v>
      </c>
    </row>
    <row r="3861" spans="1:2" x14ac:dyDescent="0.3">
      <c r="A3861" s="22" t="s">
        <v>5407</v>
      </c>
      <c r="B3861" s="22">
        <v>0</v>
      </c>
    </row>
    <row r="3862" spans="1:2" x14ac:dyDescent="0.3">
      <c r="A3862" s="22" t="s">
        <v>5408</v>
      </c>
      <c r="B3862" s="22">
        <v>0</v>
      </c>
    </row>
    <row r="3863" spans="1:2" x14ac:dyDescent="0.3">
      <c r="A3863" s="22" t="s">
        <v>1446</v>
      </c>
      <c r="B3863" s="22">
        <v>12</v>
      </c>
    </row>
    <row r="3864" spans="1:2" x14ac:dyDescent="0.3">
      <c r="A3864" s="22" t="s">
        <v>1447</v>
      </c>
      <c r="B3864" s="22">
        <v>0</v>
      </c>
    </row>
    <row r="3865" spans="1:2" x14ac:dyDescent="0.3">
      <c r="A3865" s="22" t="s">
        <v>1448</v>
      </c>
      <c r="B3865" s="22">
        <v>0</v>
      </c>
    </row>
    <row r="3866" spans="1:2" x14ac:dyDescent="0.3">
      <c r="A3866" s="22" t="s">
        <v>1449</v>
      </c>
      <c r="B3866" s="22">
        <v>0</v>
      </c>
    </row>
    <row r="3867" spans="1:2" x14ac:dyDescent="0.3">
      <c r="A3867" s="22" t="s">
        <v>1450</v>
      </c>
      <c r="B3867" s="22">
        <v>0</v>
      </c>
    </row>
    <row r="3868" spans="1:2" x14ac:dyDescent="0.3">
      <c r="A3868" s="22" t="s">
        <v>1451</v>
      </c>
      <c r="B3868" s="22">
        <v>0</v>
      </c>
    </row>
    <row r="3869" spans="1:2" x14ac:dyDescent="0.3">
      <c r="A3869" s="22" t="s">
        <v>1452</v>
      </c>
      <c r="B3869" s="22">
        <v>0</v>
      </c>
    </row>
    <row r="3870" spans="1:2" x14ac:dyDescent="0.3">
      <c r="A3870" s="22" t="s">
        <v>1453</v>
      </c>
      <c r="B3870" s="22">
        <v>0</v>
      </c>
    </row>
    <row r="3871" spans="1:2" x14ac:dyDescent="0.3">
      <c r="A3871" s="22" t="s">
        <v>2713</v>
      </c>
      <c r="B3871" s="22">
        <v>0</v>
      </c>
    </row>
    <row r="3872" spans="1:2" x14ac:dyDescent="0.3">
      <c r="A3872" s="22" t="s">
        <v>4527</v>
      </c>
      <c r="B3872" s="22">
        <v>0</v>
      </c>
    </row>
    <row r="3873" spans="1:2" x14ac:dyDescent="0.3">
      <c r="A3873" s="22" t="s">
        <v>4528</v>
      </c>
      <c r="B3873" s="22">
        <v>0</v>
      </c>
    </row>
    <row r="3874" spans="1:2" x14ac:dyDescent="0.3">
      <c r="A3874" s="22" t="s">
        <v>4529</v>
      </c>
      <c r="B3874" s="22">
        <v>0</v>
      </c>
    </row>
    <row r="3875" spans="1:2" x14ac:dyDescent="0.3">
      <c r="A3875" s="22" t="s">
        <v>4530</v>
      </c>
      <c r="B3875" s="22">
        <v>0</v>
      </c>
    </row>
    <row r="3876" spans="1:2" x14ac:dyDescent="0.3">
      <c r="A3876" s="22" t="s">
        <v>4531</v>
      </c>
      <c r="B3876" s="22">
        <v>0</v>
      </c>
    </row>
    <row r="3877" spans="1:2" x14ac:dyDescent="0.3">
      <c r="A3877" s="22" t="s">
        <v>4532</v>
      </c>
      <c r="B3877" s="22">
        <v>0</v>
      </c>
    </row>
    <row r="3878" spans="1:2" x14ac:dyDescent="0.3">
      <c r="A3878" s="22" t="s">
        <v>4533</v>
      </c>
      <c r="B3878" s="22">
        <v>0</v>
      </c>
    </row>
    <row r="3879" spans="1:2" x14ac:dyDescent="0.3">
      <c r="A3879" s="22" t="s">
        <v>1747</v>
      </c>
      <c r="B3879" s="22">
        <v>13</v>
      </c>
    </row>
    <row r="3880" spans="1:2" x14ac:dyDescent="0.3">
      <c r="A3880" s="22" t="s">
        <v>5409</v>
      </c>
      <c r="B3880" s="22">
        <v>0</v>
      </c>
    </row>
    <row r="3881" spans="1:2" x14ac:dyDescent="0.3">
      <c r="A3881" s="22" t="s">
        <v>5410</v>
      </c>
      <c r="B3881" s="22">
        <v>0</v>
      </c>
    </row>
    <row r="3882" spans="1:2" x14ac:dyDescent="0.3">
      <c r="A3882" s="22" t="s">
        <v>5411</v>
      </c>
      <c r="B3882" s="22">
        <v>0</v>
      </c>
    </row>
    <row r="3883" spans="1:2" x14ac:dyDescent="0.3">
      <c r="A3883" s="22" t="s">
        <v>5412</v>
      </c>
      <c r="B3883" s="22">
        <v>0</v>
      </c>
    </row>
    <row r="3884" spans="1:2" x14ac:dyDescent="0.3">
      <c r="A3884" s="22" t="s">
        <v>5413</v>
      </c>
      <c r="B3884" s="22">
        <v>0</v>
      </c>
    </row>
    <row r="3885" spans="1:2" x14ac:dyDescent="0.3">
      <c r="A3885" s="22" t="s">
        <v>5414</v>
      </c>
      <c r="B3885" s="22">
        <v>0</v>
      </c>
    </row>
    <row r="3886" spans="1:2" x14ac:dyDescent="0.3">
      <c r="A3886" s="22" t="s">
        <v>5415</v>
      </c>
      <c r="B3886" s="22">
        <v>0</v>
      </c>
    </row>
    <row r="3887" spans="1:2" x14ac:dyDescent="0.3">
      <c r="A3887" s="22" t="s">
        <v>2530</v>
      </c>
      <c r="B3887" s="22">
        <v>10</v>
      </c>
    </row>
    <row r="3888" spans="1:2" x14ac:dyDescent="0.3">
      <c r="A3888" s="22" t="s">
        <v>5416</v>
      </c>
      <c r="B3888" s="22">
        <v>0</v>
      </c>
    </row>
    <row r="3889" spans="1:2" x14ac:dyDescent="0.3">
      <c r="A3889" s="22" t="s">
        <v>5417</v>
      </c>
      <c r="B3889" s="22">
        <v>0</v>
      </c>
    </row>
    <row r="3890" spans="1:2" x14ac:dyDescent="0.3">
      <c r="A3890" s="22" t="s">
        <v>5418</v>
      </c>
      <c r="B3890" s="22">
        <v>0</v>
      </c>
    </row>
    <row r="3891" spans="1:2" x14ac:dyDescent="0.3">
      <c r="A3891" s="22" t="s">
        <v>5419</v>
      </c>
      <c r="B3891" s="22">
        <v>0</v>
      </c>
    </row>
    <row r="3892" spans="1:2" x14ac:dyDescent="0.3">
      <c r="A3892" s="22" t="s">
        <v>5420</v>
      </c>
      <c r="B3892" s="22">
        <v>0</v>
      </c>
    </row>
    <row r="3893" spans="1:2" x14ac:dyDescent="0.3">
      <c r="A3893" s="22" t="s">
        <v>5421</v>
      </c>
      <c r="B3893" s="22">
        <v>0</v>
      </c>
    </row>
    <row r="3894" spans="1:2" x14ac:dyDescent="0.3">
      <c r="A3894" s="22" t="s">
        <v>5422</v>
      </c>
      <c r="B3894" s="22">
        <v>0</v>
      </c>
    </row>
    <row r="3895" spans="1:2" x14ac:dyDescent="0.3">
      <c r="A3895" s="22" t="s">
        <v>1454</v>
      </c>
      <c r="B3895" s="22">
        <v>1</v>
      </c>
    </row>
    <row r="3896" spans="1:2" x14ac:dyDescent="0.3">
      <c r="A3896" s="22" t="s">
        <v>1455</v>
      </c>
      <c r="B3896" s="22">
        <v>0</v>
      </c>
    </row>
    <row r="3897" spans="1:2" x14ac:dyDescent="0.3">
      <c r="A3897" s="22" t="s">
        <v>1456</v>
      </c>
      <c r="B3897" s="22">
        <v>0</v>
      </c>
    </row>
    <row r="3898" spans="1:2" x14ac:dyDescent="0.3">
      <c r="A3898" s="22" t="s">
        <v>1457</v>
      </c>
      <c r="B3898" s="22">
        <v>0</v>
      </c>
    </row>
    <row r="3899" spans="1:2" x14ac:dyDescent="0.3">
      <c r="A3899" s="22" t="s">
        <v>1458</v>
      </c>
      <c r="B3899" s="22">
        <v>0</v>
      </c>
    </row>
    <row r="3900" spans="1:2" x14ac:dyDescent="0.3">
      <c r="A3900" s="22" t="s">
        <v>1459</v>
      </c>
      <c r="B3900" s="22">
        <v>0</v>
      </c>
    </row>
    <row r="3901" spans="1:2" x14ac:dyDescent="0.3">
      <c r="A3901" s="22" t="s">
        <v>1460</v>
      </c>
      <c r="B3901" s="22">
        <v>0</v>
      </c>
    </row>
    <row r="3902" spans="1:2" x14ac:dyDescent="0.3">
      <c r="A3902" s="22" t="s">
        <v>1461</v>
      </c>
      <c r="B3902" s="22">
        <v>0</v>
      </c>
    </row>
    <row r="3903" spans="1:2" x14ac:dyDescent="0.3">
      <c r="A3903" s="22" t="s">
        <v>2714</v>
      </c>
      <c r="B3903" s="22">
        <v>113</v>
      </c>
    </row>
    <row r="3904" spans="1:2" x14ac:dyDescent="0.3">
      <c r="A3904" s="22" t="s">
        <v>4534</v>
      </c>
      <c r="B3904" s="22">
        <v>0</v>
      </c>
    </row>
    <row r="3905" spans="1:2" x14ac:dyDescent="0.3">
      <c r="A3905" s="22" t="s">
        <v>4535</v>
      </c>
      <c r="B3905" s="22">
        <v>0</v>
      </c>
    </row>
    <row r="3906" spans="1:2" x14ac:dyDescent="0.3">
      <c r="A3906" s="22" t="s">
        <v>4536</v>
      </c>
      <c r="B3906" s="22">
        <v>0</v>
      </c>
    </row>
    <row r="3907" spans="1:2" x14ac:dyDescent="0.3">
      <c r="A3907" s="22" t="s">
        <v>4537</v>
      </c>
      <c r="B3907" s="22">
        <v>0</v>
      </c>
    </row>
    <row r="3908" spans="1:2" x14ac:dyDescent="0.3">
      <c r="A3908" s="22" t="s">
        <v>4538</v>
      </c>
      <c r="B3908" s="22">
        <v>0</v>
      </c>
    </row>
    <row r="3909" spans="1:2" x14ac:dyDescent="0.3">
      <c r="A3909" s="22" t="s">
        <v>4539</v>
      </c>
      <c r="B3909" s="22">
        <v>0</v>
      </c>
    </row>
    <row r="3910" spans="1:2" x14ac:dyDescent="0.3">
      <c r="A3910" s="22" t="s">
        <v>4540</v>
      </c>
      <c r="B3910" s="22">
        <v>0</v>
      </c>
    </row>
    <row r="3911" spans="1:2" x14ac:dyDescent="0.3">
      <c r="A3911" s="22" t="s">
        <v>2715</v>
      </c>
      <c r="B3911" s="22">
        <v>4</v>
      </c>
    </row>
    <row r="3912" spans="1:2" x14ac:dyDescent="0.3">
      <c r="A3912" s="22" t="s">
        <v>4541</v>
      </c>
      <c r="B3912" s="22">
        <v>0</v>
      </c>
    </row>
    <row r="3913" spans="1:2" x14ac:dyDescent="0.3">
      <c r="A3913" s="22" t="s">
        <v>4542</v>
      </c>
      <c r="B3913" s="22">
        <v>0</v>
      </c>
    </row>
    <row r="3914" spans="1:2" x14ac:dyDescent="0.3">
      <c r="A3914" s="22" t="s">
        <v>4543</v>
      </c>
      <c r="B3914" s="22">
        <v>0</v>
      </c>
    </row>
    <row r="3915" spans="1:2" x14ac:dyDescent="0.3">
      <c r="A3915" s="22" t="s">
        <v>4544</v>
      </c>
      <c r="B3915" s="22">
        <v>0</v>
      </c>
    </row>
    <row r="3916" spans="1:2" x14ac:dyDescent="0.3">
      <c r="A3916" s="22" t="s">
        <v>4545</v>
      </c>
      <c r="B3916" s="22">
        <v>0</v>
      </c>
    </row>
    <row r="3917" spans="1:2" x14ac:dyDescent="0.3">
      <c r="A3917" s="22" t="s">
        <v>4546</v>
      </c>
      <c r="B3917" s="22">
        <v>0</v>
      </c>
    </row>
    <row r="3918" spans="1:2" x14ac:dyDescent="0.3">
      <c r="A3918" s="22" t="s">
        <v>4547</v>
      </c>
      <c r="B3918" s="22">
        <v>0</v>
      </c>
    </row>
    <row r="3919" spans="1:2" x14ac:dyDescent="0.3">
      <c r="A3919" s="22" t="s">
        <v>2716</v>
      </c>
      <c r="B3919" s="22">
        <v>126</v>
      </c>
    </row>
    <row r="3920" spans="1:2" x14ac:dyDescent="0.3">
      <c r="A3920" s="22" t="s">
        <v>4548</v>
      </c>
      <c r="B3920" s="22">
        <v>0</v>
      </c>
    </row>
    <row r="3921" spans="1:2" x14ac:dyDescent="0.3">
      <c r="A3921" s="22" t="s">
        <v>4549</v>
      </c>
      <c r="B3921" s="22">
        <v>0</v>
      </c>
    </row>
    <row r="3922" spans="1:2" x14ac:dyDescent="0.3">
      <c r="A3922" s="22" t="s">
        <v>4550</v>
      </c>
      <c r="B3922" s="22">
        <v>0</v>
      </c>
    </row>
    <row r="3923" spans="1:2" x14ac:dyDescent="0.3">
      <c r="A3923" s="22" t="s">
        <v>4551</v>
      </c>
      <c r="B3923" s="22">
        <v>0</v>
      </c>
    </row>
    <row r="3924" spans="1:2" x14ac:dyDescent="0.3">
      <c r="A3924" s="22" t="s">
        <v>4552</v>
      </c>
      <c r="B3924" s="22">
        <v>0</v>
      </c>
    </row>
    <row r="3925" spans="1:2" x14ac:dyDescent="0.3">
      <c r="A3925" s="22" t="s">
        <v>4553</v>
      </c>
      <c r="B3925" s="22">
        <v>0</v>
      </c>
    </row>
    <row r="3926" spans="1:2" x14ac:dyDescent="0.3">
      <c r="A3926" s="22" t="s">
        <v>4554</v>
      </c>
      <c r="B3926" s="22">
        <v>0</v>
      </c>
    </row>
    <row r="3927" spans="1:2" x14ac:dyDescent="0.3">
      <c r="A3927" s="22" t="s">
        <v>2718</v>
      </c>
      <c r="B3927" s="22">
        <v>2</v>
      </c>
    </row>
    <row r="3928" spans="1:2" x14ac:dyDescent="0.3">
      <c r="A3928" s="22" t="s">
        <v>4555</v>
      </c>
      <c r="B3928" s="22">
        <v>0</v>
      </c>
    </row>
    <row r="3929" spans="1:2" x14ac:dyDescent="0.3">
      <c r="A3929" s="22" t="s">
        <v>4556</v>
      </c>
      <c r="B3929" s="22">
        <v>0</v>
      </c>
    </row>
    <row r="3930" spans="1:2" x14ac:dyDescent="0.3">
      <c r="A3930" s="22" t="s">
        <v>4557</v>
      </c>
      <c r="B3930" s="22">
        <v>0</v>
      </c>
    </row>
    <row r="3931" spans="1:2" x14ac:dyDescent="0.3">
      <c r="A3931" s="22" t="s">
        <v>4558</v>
      </c>
      <c r="B3931" s="22">
        <v>0</v>
      </c>
    </row>
    <row r="3932" spans="1:2" x14ac:dyDescent="0.3">
      <c r="A3932" s="22" t="s">
        <v>4559</v>
      </c>
      <c r="B3932" s="22">
        <v>0</v>
      </c>
    </row>
    <row r="3933" spans="1:2" x14ac:dyDescent="0.3">
      <c r="A3933" s="22" t="s">
        <v>4560</v>
      </c>
      <c r="B3933" s="22">
        <v>0</v>
      </c>
    </row>
    <row r="3934" spans="1:2" x14ac:dyDescent="0.3">
      <c r="A3934" s="22" t="s">
        <v>4561</v>
      </c>
      <c r="B3934" s="22">
        <v>0</v>
      </c>
    </row>
    <row r="3935" spans="1:2" x14ac:dyDescent="0.3">
      <c r="A3935" s="22" t="s">
        <v>2719</v>
      </c>
      <c r="B3935" s="22">
        <v>8</v>
      </c>
    </row>
    <row r="3936" spans="1:2" x14ac:dyDescent="0.3">
      <c r="A3936" s="22" t="s">
        <v>4562</v>
      </c>
      <c r="B3936" s="22">
        <v>0</v>
      </c>
    </row>
    <row r="3937" spans="1:2" x14ac:dyDescent="0.3">
      <c r="A3937" s="22" t="s">
        <v>4563</v>
      </c>
      <c r="B3937" s="22">
        <v>0</v>
      </c>
    </row>
    <row r="3938" spans="1:2" x14ac:dyDescent="0.3">
      <c r="A3938" s="22" t="s">
        <v>4564</v>
      </c>
      <c r="B3938" s="22">
        <v>0</v>
      </c>
    </row>
    <row r="3939" spans="1:2" x14ac:dyDescent="0.3">
      <c r="A3939" s="22" t="s">
        <v>4565</v>
      </c>
      <c r="B3939" s="22">
        <v>0</v>
      </c>
    </row>
    <row r="3940" spans="1:2" x14ac:dyDescent="0.3">
      <c r="A3940" s="22" t="s">
        <v>4566</v>
      </c>
      <c r="B3940" s="22">
        <v>0</v>
      </c>
    </row>
    <row r="3941" spans="1:2" x14ac:dyDescent="0.3">
      <c r="A3941" s="22" t="s">
        <v>4567</v>
      </c>
      <c r="B3941" s="22">
        <v>0</v>
      </c>
    </row>
    <row r="3942" spans="1:2" x14ac:dyDescent="0.3">
      <c r="A3942" s="22" t="s">
        <v>4568</v>
      </c>
      <c r="B3942" s="22">
        <v>0</v>
      </c>
    </row>
    <row r="3943" spans="1:2" x14ac:dyDescent="0.3">
      <c r="A3943" s="22" t="s">
        <v>2720</v>
      </c>
      <c r="B3943" s="22">
        <v>441</v>
      </c>
    </row>
    <row r="3944" spans="1:2" x14ac:dyDescent="0.3">
      <c r="A3944" s="22" t="s">
        <v>4569</v>
      </c>
      <c r="B3944" s="22">
        <v>0</v>
      </c>
    </row>
    <row r="3945" spans="1:2" x14ac:dyDescent="0.3">
      <c r="A3945" s="22" t="s">
        <v>4570</v>
      </c>
      <c r="B3945" s="22">
        <v>0</v>
      </c>
    </row>
    <row r="3946" spans="1:2" x14ac:dyDescent="0.3">
      <c r="A3946" s="22" t="s">
        <v>4571</v>
      </c>
      <c r="B3946" s="22">
        <v>0</v>
      </c>
    </row>
    <row r="3947" spans="1:2" x14ac:dyDescent="0.3">
      <c r="A3947" s="22" t="s">
        <v>4572</v>
      </c>
      <c r="B3947" s="22">
        <v>1</v>
      </c>
    </row>
    <row r="3948" spans="1:2" x14ac:dyDescent="0.3">
      <c r="A3948" s="22" t="s">
        <v>4573</v>
      </c>
      <c r="B3948" s="22">
        <v>0</v>
      </c>
    </row>
    <row r="3949" spans="1:2" x14ac:dyDescent="0.3">
      <c r="A3949" s="22" t="s">
        <v>4574</v>
      </c>
      <c r="B3949" s="22">
        <v>0</v>
      </c>
    </row>
    <row r="3950" spans="1:2" x14ac:dyDescent="0.3">
      <c r="A3950" s="22" t="s">
        <v>4575</v>
      </c>
      <c r="B3950" s="22">
        <v>0</v>
      </c>
    </row>
    <row r="3951" spans="1:2" x14ac:dyDescent="0.3">
      <c r="A3951" s="22" t="s">
        <v>2722</v>
      </c>
      <c r="B3951" s="22">
        <v>52</v>
      </c>
    </row>
    <row r="3952" spans="1:2" x14ac:dyDescent="0.3">
      <c r="A3952" s="22" t="s">
        <v>4576</v>
      </c>
      <c r="B3952" s="22">
        <v>0</v>
      </c>
    </row>
    <row r="3953" spans="1:2" x14ac:dyDescent="0.3">
      <c r="A3953" s="22" t="s">
        <v>4577</v>
      </c>
      <c r="B3953" s="22">
        <v>0</v>
      </c>
    </row>
    <row r="3954" spans="1:2" x14ac:dyDescent="0.3">
      <c r="A3954" s="22" t="s">
        <v>4578</v>
      </c>
      <c r="B3954" s="22">
        <v>0</v>
      </c>
    </row>
    <row r="3955" spans="1:2" x14ac:dyDescent="0.3">
      <c r="A3955" s="22" t="s">
        <v>4579</v>
      </c>
      <c r="B3955" s="22">
        <v>0</v>
      </c>
    </row>
    <row r="3956" spans="1:2" x14ac:dyDescent="0.3">
      <c r="A3956" s="22" t="s">
        <v>4580</v>
      </c>
      <c r="B3956" s="22">
        <v>0</v>
      </c>
    </row>
    <row r="3957" spans="1:2" x14ac:dyDescent="0.3">
      <c r="A3957" s="22" t="s">
        <v>4581</v>
      </c>
      <c r="B3957" s="22">
        <v>0</v>
      </c>
    </row>
    <row r="3958" spans="1:2" x14ac:dyDescent="0.3">
      <c r="A3958" s="22" t="s">
        <v>4582</v>
      </c>
      <c r="B3958" s="22">
        <v>0</v>
      </c>
    </row>
    <row r="3959" spans="1:2" x14ac:dyDescent="0.3">
      <c r="A3959" s="22" t="s">
        <v>2723</v>
      </c>
      <c r="B3959" s="22">
        <v>0</v>
      </c>
    </row>
    <row r="3960" spans="1:2" x14ac:dyDescent="0.3">
      <c r="A3960" s="22" t="s">
        <v>4583</v>
      </c>
      <c r="B3960" s="22">
        <v>0</v>
      </c>
    </row>
    <row r="3961" spans="1:2" x14ac:dyDescent="0.3">
      <c r="A3961" s="22" t="s">
        <v>4584</v>
      </c>
      <c r="B3961" s="22">
        <v>0</v>
      </c>
    </row>
    <row r="3962" spans="1:2" x14ac:dyDescent="0.3">
      <c r="A3962" s="22" t="s">
        <v>4585</v>
      </c>
      <c r="B3962" s="22">
        <v>0</v>
      </c>
    </row>
    <row r="3963" spans="1:2" x14ac:dyDescent="0.3">
      <c r="A3963" s="22" t="s">
        <v>4586</v>
      </c>
      <c r="B3963" s="22">
        <v>0</v>
      </c>
    </row>
    <row r="3964" spans="1:2" x14ac:dyDescent="0.3">
      <c r="A3964" s="22" t="s">
        <v>4587</v>
      </c>
      <c r="B3964" s="22">
        <v>0</v>
      </c>
    </row>
    <row r="3965" spans="1:2" x14ac:dyDescent="0.3">
      <c r="A3965" s="22" t="s">
        <v>4588</v>
      </c>
      <c r="B3965" s="22">
        <v>0</v>
      </c>
    </row>
    <row r="3966" spans="1:2" x14ac:dyDescent="0.3">
      <c r="A3966" s="22" t="s">
        <v>4589</v>
      </c>
      <c r="B3966" s="22">
        <v>0</v>
      </c>
    </row>
    <row r="3967" spans="1:2" x14ac:dyDescent="0.3">
      <c r="A3967" s="22" t="s">
        <v>2724</v>
      </c>
      <c r="B3967" s="22">
        <v>298</v>
      </c>
    </row>
    <row r="3968" spans="1:2" x14ac:dyDescent="0.3">
      <c r="A3968" s="22" t="s">
        <v>4590</v>
      </c>
      <c r="B3968" s="22">
        <v>4</v>
      </c>
    </row>
    <row r="3969" spans="1:2" x14ac:dyDescent="0.3">
      <c r="A3969" s="22" t="s">
        <v>4591</v>
      </c>
      <c r="B3969" s="22">
        <v>0</v>
      </c>
    </row>
    <row r="3970" spans="1:2" x14ac:dyDescent="0.3">
      <c r="A3970" s="22" t="s">
        <v>4592</v>
      </c>
      <c r="B3970" s="22">
        <v>0</v>
      </c>
    </row>
    <row r="3971" spans="1:2" x14ac:dyDescent="0.3">
      <c r="A3971" s="22" t="s">
        <v>4593</v>
      </c>
      <c r="B3971" s="22">
        <v>0</v>
      </c>
    </row>
    <row r="3972" spans="1:2" x14ac:dyDescent="0.3">
      <c r="A3972" s="22" t="s">
        <v>4594</v>
      </c>
      <c r="B3972" s="22">
        <v>0</v>
      </c>
    </row>
    <row r="3973" spans="1:2" x14ac:dyDescent="0.3">
      <c r="A3973" s="22" t="s">
        <v>4595</v>
      </c>
      <c r="B3973" s="22">
        <v>0</v>
      </c>
    </row>
    <row r="3974" spans="1:2" x14ac:dyDescent="0.3">
      <c r="A3974" s="22" t="s">
        <v>4596</v>
      </c>
      <c r="B3974" s="22">
        <v>0</v>
      </c>
    </row>
    <row r="3975" spans="1:2" x14ac:dyDescent="0.3">
      <c r="A3975" s="22" t="s">
        <v>2726</v>
      </c>
      <c r="B3975" s="22">
        <v>953</v>
      </c>
    </row>
    <row r="3976" spans="1:2" x14ac:dyDescent="0.3">
      <c r="A3976" s="22" t="s">
        <v>4597</v>
      </c>
      <c r="B3976" s="22">
        <v>12</v>
      </c>
    </row>
    <row r="3977" spans="1:2" x14ac:dyDescent="0.3">
      <c r="A3977" s="22" t="s">
        <v>4598</v>
      </c>
      <c r="B3977" s="22">
        <v>0</v>
      </c>
    </row>
    <row r="3978" spans="1:2" x14ac:dyDescent="0.3">
      <c r="A3978" s="22" t="s">
        <v>4599</v>
      </c>
      <c r="B3978" s="22">
        <v>2</v>
      </c>
    </row>
    <row r="3979" spans="1:2" x14ac:dyDescent="0.3">
      <c r="A3979" s="22" t="s">
        <v>4600</v>
      </c>
      <c r="B3979" s="22">
        <v>1</v>
      </c>
    </row>
    <row r="3980" spans="1:2" x14ac:dyDescent="0.3">
      <c r="A3980" s="22" t="s">
        <v>4601</v>
      </c>
      <c r="B3980" s="22">
        <v>0</v>
      </c>
    </row>
    <row r="3981" spans="1:2" x14ac:dyDescent="0.3">
      <c r="A3981" s="22" t="s">
        <v>4602</v>
      </c>
      <c r="B3981" s="22">
        <v>0</v>
      </c>
    </row>
    <row r="3982" spans="1:2" x14ac:dyDescent="0.3">
      <c r="A3982" s="22" t="s">
        <v>4603</v>
      </c>
      <c r="B3982" s="22">
        <v>0</v>
      </c>
    </row>
    <row r="3983" spans="1:2" x14ac:dyDescent="0.3">
      <c r="A3983" s="22" t="s">
        <v>2727</v>
      </c>
      <c r="B3983" s="22">
        <v>61</v>
      </c>
    </row>
    <row r="3984" spans="1:2" x14ac:dyDescent="0.3">
      <c r="A3984" s="22" t="s">
        <v>4604</v>
      </c>
      <c r="B3984" s="22">
        <v>0</v>
      </c>
    </row>
    <row r="3985" spans="1:2" x14ac:dyDescent="0.3">
      <c r="A3985" s="22" t="s">
        <v>4605</v>
      </c>
      <c r="B3985" s="22">
        <v>0</v>
      </c>
    </row>
    <row r="3986" spans="1:2" x14ac:dyDescent="0.3">
      <c r="A3986" s="22" t="s">
        <v>4606</v>
      </c>
      <c r="B3986" s="22">
        <v>0</v>
      </c>
    </row>
    <row r="3987" spans="1:2" x14ac:dyDescent="0.3">
      <c r="A3987" s="22" t="s">
        <v>4607</v>
      </c>
      <c r="B3987" s="22">
        <v>0</v>
      </c>
    </row>
    <row r="3988" spans="1:2" x14ac:dyDescent="0.3">
      <c r="A3988" s="22" t="s">
        <v>4608</v>
      </c>
      <c r="B3988" s="22">
        <v>0</v>
      </c>
    </row>
    <row r="3989" spans="1:2" x14ac:dyDescent="0.3">
      <c r="A3989" s="22" t="s">
        <v>4609</v>
      </c>
      <c r="B3989" s="22">
        <v>0</v>
      </c>
    </row>
    <row r="3990" spans="1:2" x14ac:dyDescent="0.3">
      <c r="A3990" s="22" t="s">
        <v>4610</v>
      </c>
      <c r="B3990" s="22">
        <v>0</v>
      </c>
    </row>
    <row r="3991" spans="1:2" x14ac:dyDescent="0.3">
      <c r="A3991" s="22" t="s">
        <v>2728</v>
      </c>
      <c r="B3991" s="22">
        <v>270</v>
      </c>
    </row>
    <row r="3992" spans="1:2" x14ac:dyDescent="0.3">
      <c r="A3992" s="22" t="s">
        <v>4611</v>
      </c>
      <c r="B3992" s="22">
        <v>2</v>
      </c>
    </row>
    <row r="3993" spans="1:2" x14ac:dyDescent="0.3">
      <c r="A3993" s="22" t="s">
        <v>4612</v>
      </c>
      <c r="B3993" s="22">
        <v>0</v>
      </c>
    </row>
    <row r="3994" spans="1:2" x14ac:dyDescent="0.3">
      <c r="A3994" s="22" t="s">
        <v>4613</v>
      </c>
      <c r="B3994" s="22">
        <v>0</v>
      </c>
    </row>
    <row r="3995" spans="1:2" x14ac:dyDescent="0.3">
      <c r="A3995" s="22" t="s">
        <v>4614</v>
      </c>
      <c r="B3995" s="22">
        <v>2</v>
      </c>
    </row>
    <row r="3996" spans="1:2" x14ac:dyDescent="0.3">
      <c r="A3996" s="22" t="s">
        <v>4615</v>
      </c>
      <c r="B3996" s="22">
        <v>0</v>
      </c>
    </row>
    <row r="3997" spans="1:2" x14ac:dyDescent="0.3">
      <c r="A3997" s="22" t="s">
        <v>4616</v>
      </c>
      <c r="B3997" s="22">
        <v>0</v>
      </c>
    </row>
    <row r="3998" spans="1:2" x14ac:dyDescent="0.3">
      <c r="A3998" s="22" t="s">
        <v>4617</v>
      </c>
      <c r="B3998" s="22">
        <v>0</v>
      </c>
    </row>
    <row r="3999" spans="1:2" x14ac:dyDescent="0.3">
      <c r="A3999" s="22" t="s">
        <v>2730</v>
      </c>
      <c r="B3999" s="22">
        <v>302</v>
      </c>
    </row>
    <row r="4000" spans="1:2" x14ac:dyDescent="0.3">
      <c r="A4000" s="22" t="s">
        <v>4618</v>
      </c>
      <c r="B4000" s="22">
        <v>0</v>
      </c>
    </row>
    <row r="4001" spans="1:2" x14ac:dyDescent="0.3">
      <c r="A4001" s="22" t="s">
        <v>4619</v>
      </c>
      <c r="B4001" s="22">
        <v>0</v>
      </c>
    </row>
    <row r="4002" spans="1:2" x14ac:dyDescent="0.3">
      <c r="A4002" s="22" t="s">
        <v>4620</v>
      </c>
      <c r="B4002" s="22">
        <v>0</v>
      </c>
    </row>
    <row r="4003" spans="1:2" x14ac:dyDescent="0.3">
      <c r="A4003" s="22" t="s">
        <v>4621</v>
      </c>
      <c r="B4003" s="22">
        <v>0</v>
      </c>
    </row>
    <row r="4004" spans="1:2" x14ac:dyDescent="0.3">
      <c r="A4004" s="22" t="s">
        <v>4622</v>
      </c>
      <c r="B4004" s="22">
        <v>0</v>
      </c>
    </row>
    <row r="4005" spans="1:2" x14ac:dyDescent="0.3">
      <c r="A4005" s="22" t="s">
        <v>4623</v>
      </c>
      <c r="B4005" s="22">
        <v>0</v>
      </c>
    </row>
    <row r="4006" spans="1:2" x14ac:dyDescent="0.3">
      <c r="A4006" s="22" t="s">
        <v>4624</v>
      </c>
      <c r="B4006" s="22">
        <v>0</v>
      </c>
    </row>
    <row r="4007" spans="1:2" x14ac:dyDescent="0.3">
      <c r="A4007" s="22" t="s">
        <v>2732</v>
      </c>
      <c r="B4007" s="22">
        <v>21</v>
      </c>
    </row>
    <row r="4008" spans="1:2" x14ac:dyDescent="0.3">
      <c r="A4008" s="22" t="s">
        <v>4625</v>
      </c>
      <c r="B4008" s="22">
        <v>0</v>
      </c>
    </row>
    <row r="4009" spans="1:2" x14ac:dyDescent="0.3">
      <c r="A4009" s="22" t="s">
        <v>4626</v>
      </c>
      <c r="B4009" s="22">
        <v>0</v>
      </c>
    </row>
    <row r="4010" spans="1:2" x14ac:dyDescent="0.3">
      <c r="A4010" s="22" t="s">
        <v>4627</v>
      </c>
      <c r="B4010" s="22">
        <v>0</v>
      </c>
    </row>
    <row r="4011" spans="1:2" x14ac:dyDescent="0.3">
      <c r="A4011" s="22" t="s">
        <v>4628</v>
      </c>
      <c r="B4011" s="22">
        <v>0</v>
      </c>
    </row>
    <row r="4012" spans="1:2" x14ac:dyDescent="0.3">
      <c r="A4012" s="22" t="s">
        <v>4629</v>
      </c>
      <c r="B4012" s="22">
        <v>0</v>
      </c>
    </row>
    <row r="4013" spans="1:2" x14ac:dyDescent="0.3">
      <c r="A4013" s="22" t="s">
        <v>4630</v>
      </c>
      <c r="B4013" s="22">
        <v>0</v>
      </c>
    </row>
    <row r="4014" spans="1:2" x14ac:dyDescent="0.3">
      <c r="A4014" s="22" t="s">
        <v>4631</v>
      </c>
      <c r="B4014" s="22">
        <v>0</v>
      </c>
    </row>
    <row r="4015" spans="1:2" x14ac:dyDescent="0.3">
      <c r="A4015" s="22" t="s">
        <v>2733</v>
      </c>
      <c r="B4015" s="22">
        <v>63</v>
      </c>
    </row>
    <row r="4016" spans="1:2" x14ac:dyDescent="0.3">
      <c r="A4016" s="22" t="s">
        <v>4632</v>
      </c>
      <c r="B4016" s="22">
        <v>0</v>
      </c>
    </row>
    <row r="4017" spans="1:2" x14ac:dyDescent="0.3">
      <c r="A4017" s="22" t="s">
        <v>4633</v>
      </c>
      <c r="B4017" s="22">
        <v>0</v>
      </c>
    </row>
    <row r="4018" spans="1:2" x14ac:dyDescent="0.3">
      <c r="A4018" s="22" t="s">
        <v>4634</v>
      </c>
      <c r="B4018" s="22">
        <v>0</v>
      </c>
    </row>
    <row r="4019" spans="1:2" x14ac:dyDescent="0.3">
      <c r="A4019" s="22" t="s">
        <v>4635</v>
      </c>
      <c r="B4019" s="22">
        <v>0</v>
      </c>
    </row>
    <row r="4020" spans="1:2" x14ac:dyDescent="0.3">
      <c r="A4020" s="22" t="s">
        <v>4636</v>
      </c>
      <c r="B4020" s="22">
        <v>0</v>
      </c>
    </row>
    <row r="4021" spans="1:2" x14ac:dyDescent="0.3">
      <c r="A4021" s="22" t="s">
        <v>4637</v>
      </c>
      <c r="B4021" s="22">
        <v>0</v>
      </c>
    </row>
    <row r="4022" spans="1:2" x14ac:dyDescent="0.3">
      <c r="A4022" s="22" t="s">
        <v>4638</v>
      </c>
      <c r="B4022" s="22">
        <v>0</v>
      </c>
    </row>
    <row r="4023" spans="1:2" x14ac:dyDescent="0.3">
      <c r="A4023" s="22" t="s">
        <v>2734</v>
      </c>
      <c r="B4023" s="22">
        <v>413</v>
      </c>
    </row>
    <row r="4024" spans="1:2" x14ac:dyDescent="0.3">
      <c r="A4024" s="22" t="s">
        <v>4639</v>
      </c>
      <c r="B4024" s="22">
        <v>0</v>
      </c>
    </row>
    <row r="4025" spans="1:2" x14ac:dyDescent="0.3">
      <c r="A4025" s="22" t="s">
        <v>4640</v>
      </c>
      <c r="B4025" s="22">
        <v>0</v>
      </c>
    </row>
    <row r="4026" spans="1:2" x14ac:dyDescent="0.3">
      <c r="A4026" s="22" t="s">
        <v>4641</v>
      </c>
      <c r="B4026" s="22">
        <v>0</v>
      </c>
    </row>
    <row r="4027" spans="1:2" x14ac:dyDescent="0.3">
      <c r="A4027" s="22" t="s">
        <v>4642</v>
      </c>
      <c r="B4027" s="22">
        <v>0</v>
      </c>
    </row>
    <row r="4028" spans="1:2" x14ac:dyDescent="0.3">
      <c r="A4028" s="22" t="s">
        <v>4643</v>
      </c>
      <c r="B4028" s="22">
        <v>0</v>
      </c>
    </row>
    <row r="4029" spans="1:2" x14ac:dyDescent="0.3">
      <c r="A4029" s="22" t="s">
        <v>4644</v>
      </c>
      <c r="B4029" s="22">
        <v>0</v>
      </c>
    </row>
    <row r="4030" spans="1:2" x14ac:dyDescent="0.3">
      <c r="A4030" s="22" t="s">
        <v>4645</v>
      </c>
      <c r="B4030" s="22">
        <v>0</v>
      </c>
    </row>
    <row r="4031" spans="1:2" x14ac:dyDescent="0.3">
      <c r="A4031" s="22" t="s">
        <v>2735</v>
      </c>
      <c r="B4031" s="22">
        <v>19</v>
      </c>
    </row>
    <row r="4032" spans="1:2" x14ac:dyDescent="0.3">
      <c r="A4032" s="22" t="s">
        <v>4646</v>
      </c>
      <c r="B4032" s="22">
        <v>0</v>
      </c>
    </row>
    <row r="4033" spans="1:2" x14ac:dyDescent="0.3">
      <c r="A4033" s="22" t="s">
        <v>4647</v>
      </c>
      <c r="B4033" s="22">
        <v>0</v>
      </c>
    </row>
    <row r="4034" spans="1:2" x14ac:dyDescent="0.3">
      <c r="A4034" s="22" t="s">
        <v>4648</v>
      </c>
      <c r="B4034" s="22">
        <v>0</v>
      </c>
    </row>
    <row r="4035" spans="1:2" x14ac:dyDescent="0.3">
      <c r="A4035" s="22" t="s">
        <v>4649</v>
      </c>
      <c r="B4035" s="22">
        <v>0</v>
      </c>
    </row>
    <row r="4036" spans="1:2" x14ac:dyDescent="0.3">
      <c r="A4036" s="22" t="s">
        <v>4650</v>
      </c>
      <c r="B4036" s="22">
        <v>0</v>
      </c>
    </row>
    <row r="4037" spans="1:2" x14ac:dyDescent="0.3">
      <c r="A4037" s="22" t="s">
        <v>4651</v>
      </c>
      <c r="B4037" s="22">
        <v>0</v>
      </c>
    </row>
    <row r="4038" spans="1:2" x14ac:dyDescent="0.3">
      <c r="A4038" s="22" t="s">
        <v>4652</v>
      </c>
      <c r="B4038" s="22">
        <v>0</v>
      </c>
    </row>
    <row r="4039" spans="1:2" x14ac:dyDescent="0.3">
      <c r="A4039" s="22" t="s">
        <v>2736</v>
      </c>
      <c r="B4039" s="22">
        <v>51</v>
      </c>
    </row>
    <row r="4040" spans="1:2" x14ac:dyDescent="0.3">
      <c r="A4040" s="22" t="s">
        <v>4653</v>
      </c>
      <c r="B4040" s="22">
        <v>0</v>
      </c>
    </row>
    <row r="4041" spans="1:2" x14ac:dyDescent="0.3">
      <c r="A4041" s="22" t="s">
        <v>4654</v>
      </c>
      <c r="B4041" s="22">
        <v>0</v>
      </c>
    </row>
    <row r="4042" spans="1:2" x14ac:dyDescent="0.3">
      <c r="A4042" s="22" t="s">
        <v>4655</v>
      </c>
      <c r="B4042" s="22">
        <v>0</v>
      </c>
    </row>
    <row r="4043" spans="1:2" x14ac:dyDescent="0.3">
      <c r="A4043" s="22" t="s">
        <v>4656</v>
      </c>
      <c r="B4043" s="22">
        <v>0</v>
      </c>
    </row>
    <row r="4044" spans="1:2" x14ac:dyDescent="0.3">
      <c r="A4044" s="22" t="s">
        <v>4657</v>
      </c>
      <c r="B4044" s="22">
        <v>0</v>
      </c>
    </row>
    <row r="4045" spans="1:2" x14ac:dyDescent="0.3">
      <c r="A4045" s="22" t="s">
        <v>4658</v>
      </c>
      <c r="B4045" s="22">
        <v>0</v>
      </c>
    </row>
    <row r="4046" spans="1:2" x14ac:dyDescent="0.3">
      <c r="A4046" s="22" t="s">
        <v>4659</v>
      </c>
      <c r="B4046" s="22">
        <v>0</v>
      </c>
    </row>
    <row r="4047" spans="1:2" x14ac:dyDescent="0.3">
      <c r="A4047" s="22" t="s">
        <v>2737</v>
      </c>
      <c r="B4047" s="22">
        <v>2</v>
      </c>
    </row>
    <row r="4048" spans="1:2" x14ac:dyDescent="0.3">
      <c r="A4048" s="22" t="s">
        <v>4660</v>
      </c>
      <c r="B4048" s="22">
        <v>0</v>
      </c>
    </row>
    <row r="4049" spans="1:2" x14ac:dyDescent="0.3">
      <c r="A4049" s="22" t="s">
        <v>4661</v>
      </c>
      <c r="B4049" s="22">
        <v>0</v>
      </c>
    </row>
    <row r="4050" spans="1:2" x14ac:dyDescent="0.3">
      <c r="A4050" s="22" t="s">
        <v>4662</v>
      </c>
      <c r="B4050" s="22">
        <v>0</v>
      </c>
    </row>
    <row r="4051" spans="1:2" x14ac:dyDescent="0.3">
      <c r="A4051" s="22" t="s">
        <v>4663</v>
      </c>
      <c r="B4051" s="22">
        <v>0</v>
      </c>
    </row>
    <row r="4052" spans="1:2" x14ac:dyDescent="0.3">
      <c r="A4052" s="22" t="s">
        <v>4664</v>
      </c>
      <c r="B4052" s="22">
        <v>0</v>
      </c>
    </row>
    <row r="4053" spans="1:2" x14ac:dyDescent="0.3">
      <c r="A4053" s="22" t="s">
        <v>4665</v>
      </c>
      <c r="B4053" s="22">
        <v>0</v>
      </c>
    </row>
    <row r="4054" spans="1:2" x14ac:dyDescent="0.3">
      <c r="A4054" s="22" t="s">
        <v>4666</v>
      </c>
      <c r="B4054" s="22">
        <v>0</v>
      </c>
    </row>
    <row r="4055" spans="1:2" x14ac:dyDescent="0.3">
      <c r="A4055" s="22" t="s">
        <v>2738</v>
      </c>
      <c r="B4055" s="22">
        <v>18</v>
      </c>
    </row>
    <row r="4056" spans="1:2" x14ac:dyDescent="0.3">
      <c r="A4056" s="22" t="s">
        <v>4667</v>
      </c>
      <c r="B4056" s="22">
        <v>0</v>
      </c>
    </row>
    <row r="4057" spans="1:2" x14ac:dyDescent="0.3">
      <c r="A4057" s="22" t="s">
        <v>4668</v>
      </c>
      <c r="B4057" s="22">
        <v>0</v>
      </c>
    </row>
    <row r="4058" spans="1:2" x14ac:dyDescent="0.3">
      <c r="A4058" s="22" t="s">
        <v>4669</v>
      </c>
      <c r="B4058" s="22">
        <v>0</v>
      </c>
    </row>
    <row r="4059" spans="1:2" x14ac:dyDescent="0.3">
      <c r="A4059" s="22" t="s">
        <v>4670</v>
      </c>
      <c r="B4059" s="22">
        <v>0</v>
      </c>
    </row>
    <row r="4060" spans="1:2" x14ac:dyDescent="0.3">
      <c r="A4060" s="22" t="s">
        <v>4671</v>
      </c>
      <c r="B4060" s="22">
        <v>0</v>
      </c>
    </row>
    <row r="4061" spans="1:2" x14ac:dyDescent="0.3">
      <c r="A4061" s="22" t="s">
        <v>4672</v>
      </c>
      <c r="B4061" s="22">
        <v>0</v>
      </c>
    </row>
    <row r="4062" spans="1:2" x14ac:dyDescent="0.3">
      <c r="A4062" s="22" t="s">
        <v>4673</v>
      </c>
      <c r="B4062" s="22">
        <v>0</v>
      </c>
    </row>
    <row r="4063" spans="1:2" x14ac:dyDescent="0.3">
      <c r="A4063" s="22" t="s">
        <v>2739</v>
      </c>
      <c r="B4063" s="22">
        <v>10</v>
      </c>
    </row>
    <row r="4064" spans="1:2" x14ac:dyDescent="0.3">
      <c r="A4064" s="22" t="s">
        <v>4674</v>
      </c>
      <c r="B4064" s="22">
        <v>0</v>
      </c>
    </row>
    <row r="4065" spans="1:2" x14ac:dyDescent="0.3">
      <c r="A4065" s="22" t="s">
        <v>4675</v>
      </c>
      <c r="B4065" s="22">
        <v>0</v>
      </c>
    </row>
    <row r="4066" spans="1:2" x14ac:dyDescent="0.3">
      <c r="A4066" s="22" t="s">
        <v>4676</v>
      </c>
      <c r="B4066" s="22">
        <v>0</v>
      </c>
    </row>
    <row r="4067" spans="1:2" x14ac:dyDescent="0.3">
      <c r="A4067" s="22" t="s">
        <v>4677</v>
      </c>
      <c r="B4067" s="22">
        <v>0</v>
      </c>
    </row>
    <row r="4068" spans="1:2" x14ac:dyDescent="0.3">
      <c r="A4068" s="22" t="s">
        <v>4678</v>
      </c>
      <c r="B4068" s="22">
        <v>0</v>
      </c>
    </row>
    <row r="4069" spans="1:2" x14ac:dyDescent="0.3">
      <c r="A4069" s="22" t="s">
        <v>4679</v>
      </c>
      <c r="B4069" s="22">
        <v>0</v>
      </c>
    </row>
    <row r="4070" spans="1:2" x14ac:dyDescent="0.3">
      <c r="A4070" s="22" t="s">
        <v>4680</v>
      </c>
      <c r="B4070" s="22">
        <v>0</v>
      </c>
    </row>
    <row r="4071" spans="1:2" x14ac:dyDescent="0.3">
      <c r="A4071" s="22" t="s">
        <v>2740</v>
      </c>
      <c r="B4071" s="22">
        <v>1093</v>
      </c>
    </row>
    <row r="4072" spans="1:2" x14ac:dyDescent="0.3">
      <c r="A4072" s="22" t="s">
        <v>4681</v>
      </c>
      <c r="B4072" s="22">
        <v>24</v>
      </c>
    </row>
    <row r="4073" spans="1:2" x14ac:dyDescent="0.3">
      <c r="A4073" s="22" t="s">
        <v>4682</v>
      </c>
      <c r="B4073" s="22">
        <v>0</v>
      </c>
    </row>
    <row r="4074" spans="1:2" x14ac:dyDescent="0.3">
      <c r="A4074" s="22" t="s">
        <v>4683</v>
      </c>
      <c r="B4074" s="22">
        <v>1</v>
      </c>
    </row>
    <row r="4075" spans="1:2" x14ac:dyDescent="0.3">
      <c r="A4075" s="22" t="s">
        <v>4684</v>
      </c>
      <c r="B4075" s="22">
        <v>1</v>
      </c>
    </row>
    <row r="4076" spans="1:2" x14ac:dyDescent="0.3">
      <c r="A4076" s="22" t="s">
        <v>4685</v>
      </c>
      <c r="B4076" s="22">
        <v>0</v>
      </c>
    </row>
    <row r="4077" spans="1:2" x14ac:dyDescent="0.3">
      <c r="A4077" s="22" t="s">
        <v>4686</v>
      </c>
      <c r="B4077" s="22">
        <v>0</v>
      </c>
    </row>
    <row r="4078" spans="1:2" x14ac:dyDescent="0.3">
      <c r="A4078" s="22" t="s">
        <v>4687</v>
      </c>
      <c r="B4078" s="22">
        <v>0</v>
      </c>
    </row>
    <row r="4079" spans="1:2" x14ac:dyDescent="0.3">
      <c r="A4079" s="22" t="s">
        <v>2741</v>
      </c>
      <c r="B4079" s="22">
        <v>0</v>
      </c>
    </row>
    <row r="4080" spans="1:2" x14ac:dyDescent="0.3">
      <c r="A4080" s="22" t="s">
        <v>4688</v>
      </c>
      <c r="B4080" s="22">
        <v>0</v>
      </c>
    </row>
    <row r="4081" spans="1:2" x14ac:dyDescent="0.3">
      <c r="A4081" s="22" t="s">
        <v>4689</v>
      </c>
      <c r="B4081" s="22">
        <v>0</v>
      </c>
    </row>
    <row r="4082" spans="1:2" x14ac:dyDescent="0.3">
      <c r="A4082" s="22" t="s">
        <v>4690</v>
      </c>
      <c r="B4082" s="22">
        <v>0</v>
      </c>
    </row>
    <row r="4083" spans="1:2" x14ac:dyDescent="0.3">
      <c r="A4083" s="22" t="s">
        <v>4691</v>
      </c>
      <c r="B4083" s="22">
        <v>0</v>
      </c>
    </row>
    <row r="4084" spans="1:2" x14ac:dyDescent="0.3">
      <c r="A4084" s="22" t="s">
        <v>4692</v>
      </c>
      <c r="B4084" s="22">
        <v>0</v>
      </c>
    </row>
    <row r="4085" spans="1:2" x14ac:dyDescent="0.3">
      <c r="A4085" s="22" t="s">
        <v>4693</v>
      </c>
      <c r="B4085" s="22">
        <v>0</v>
      </c>
    </row>
    <row r="4086" spans="1:2" x14ac:dyDescent="0.3">
      <c r="A4086" s="22" t="s">
        <v>4694</v>
      </c>
      <c r="B4086" s="22">
        <v>0</v>
      </c>
    </row>
    <row r="4087" spans="1:2" x14ac:dyDescent="0.3">
      <c r="A4087" s="22" t="s">
        <v>2742</v>
      </c>
      <c r="B4087" s="22">
        <v>967</v>
      </c>
    </row>
    <row r="4088" spans="1:2" x14ac:dyDescent="0.3">
      <c r="A4088" s="22" t="s">
        <v>4695</v>
      </c>
      <c r="B4088" s="22">
        <v>72</v>
      </c>
    </row>
    <row r="4089" spans="1:2" x14ac:dyDescent="0.3">
      <c r="A4089" s="22" t="s">
        <v>4696</v>
      </c>
      <c r="B4089" s="22">
        <v>0</v>
      </c>
    </row>
    <row r="4090" spans="1:2" x14ac:dyDescent="0.3">
      <c r="A4090" s="22" t="s">
        <v>4697</v>
      </c>
      <c r="B4090" s="22">
        <v>7</v>
      </c>
    </row>
    <row r="4091" spans="1:2" x14ac:dyDescent="0.3">
      <c r="A4091" s="22" t="s">
        <v>4698</v>
      </c>
      <c r="B4091" s="22">
        <v>2</v>
      </c>
    </row>
    <row r="4092" spans="1:2" x14ac:dyDescent="0.3">
      <c r="A4092" s="22" t="s">
        <v>4699</v>
      </c>
      <c r="B4092" s="22">
        <v>0</v>
      </c>
    </row>
    <row r="4093" spans="1:2" x14ac:dyDescent="0.3">
      <c r="A4093" s="22" t="s">
        <v>4700</v>
      </c>
      <c r="B4093" s="22">
        <v>0</v>
      </c>
    </row>
    <row r="4094" spans="1:2" x14ac:dyDescent="0.3">
      <c r="A4094" s="22" t="s">
        <v>4701</v>
      </c>
      <c r="B4094" s="22">
        <v>0</v>
      </c>
    </row>
    <row r="4095" spans="1:2" x14ac:dyDescent="0.3">
      <c r="A4095" s="22" t="s">
        <v>2743</v>
      </c>
      <c r="B4095" s="22">
        <v>29</v>
      </c>
    </row>
    <row r="4096" spans="1:2" x14ac:dyDescent="0.3">
      <c r="A4096" s="22" t="s">
        <v>4702</v>
      </c>
      <c r="B4096" s="22">
        <v>0</v>
      </c>
    </row>
    <row r="4097" spans="1:2" x14ac:dyDescent="0.3">
      <c r="A4097" s="22" t="s">
        <v>4703</v>
      </c>
      <c r="B4097" s="22">
        <v>0</v>
      </c>
    </row>
    <row r="4098" spans="1:2" x14ac:dyDescent="0.3">
      <c r="A4098" s="22" t="s">
        <v>4704</v>
      </c>
      <c r="B4098" s="22">
        <v>0</v>
      </c>
    </row>
    <row r="4099" spans="1:2" x14ac:dyDescent="0.3">
      <c r="A4099" s="22" t="s">
        <v>4705</v>
      </c>
      <c r="B4099" s="22">
        <v>0</v>
      </c>
    </row>
    <row r="4100" spans="1:2" x14ac:dyDescent="0.3">
      <c r="A4100" s="22" t="s">
        <v>4706</v>
      </c>
      <c r="B4100" s="22">
        <v>0</v>
      </c>
    </row>
    <row r="4101" spans="1:2" x14ac:dyDescent="0.3">
      <c r="A4101" s="22" t="s">
        <v>4707</v>
      </c>
      <c r="B4101" s="22">
        <v>0</v>
      </c>
    </row>
    <row r="4102" spans="1:2" x14ac:dyDescent="0.3">
      <c r="A4102" s="22" t="s">
        <v>4708</v>
      </c>
      <c r="B4102" s="22">
        <v>0</v>
      </c>
    </row>
    <row r="4103" spans="1:2" x14ac:dyDescent="0.3">
      <c r="A4103" s="22" t="s">
        <v>2744</v>
      </c>
      <c r="B4103" s="22">
        <v>58</v>
      </c>
    </row>
    <row r="4104" spans="1:2" x14ac:dyDescent="0.3">
      <c r="A4104" s="22" t="s">
        <v>4709</v>
      </c>
      <c r="B4104" s="22">
        <v>0</v>
      </c>
    </row>
    <row r="4105" spans="1:2" x14ac:dyDescent="0.3">
      <c r="A4105" s="22" t="s">
        <v>4710</v>
      </c>
      <c r="B4105" s="22">
        <v>0</v>
      </c>
    </row>
    <row r="4106" spans="1:2" x14ac:dyDescent="0.3">
      <c r="A4106" s="22" t="s">
        <v>4711</v>
      </c>
      <c r="B4106" s="22">
        <v>0</v>
      </c>
    </row>
    <row r="4107" spans="1:2" x14ac:dyDescent="0.3">
      <c r="A4107" s="22" t="s">
        <v>4712</v>
      </c>
      <c r="B4107" s="22">
        <v>0</v>
      </c>
    </row>
    <row r="4108" spans="1:2" x14ac:dyDescent="0.3">
      <c r="A4108" s="22" t="s">
        <v>4713</v>
      </c>
      <c r="B4108" s="22">
        <v>0</v>
      </c>
    </row>
    <row r="4109" spans="1:2" x14ac:dyDescent="0.3">
      <c r="A4109" s="22" t="s">
        <v>4714</v>
      </c>
      <c r="B4109" s="22">
        <v>0</v>
      </c>
    </row>
    <row r="4110" spans="1:2" x14ac:dyDescent="0.3">
      <c r="A4110" s="22" t="s">
        <v>4715</v>
      </c>
      <c r="B4110" s="22">
        <v>0</v>
      </c>
    </row>
    <row r="4111" spans="1:2" x14ac:dyDescent="0.3">
      <c r="A4111" s="22" t="s">
        <v>2745</v>
      </c>
      <c r="B4111" s="22">
        <v>9</v>
      </c>
    </row>
    <row r="4112" spans="1:2" x14ac:dyDescent="0.3">
      <c r="A4112" s="22" t="s">
        <v>4716</v>
      </c>
      <c r="B4112" s="22">
        <v>0</v>
      </c>
    </row>
    <row r="4113" spans="1:2" x14ac:dyDescent="0.3">
      <c r="A4113" s="22" t="s">
        <v>4717</v>
      </c>
      <c r="B4113" s="22">
        <v>0</v>
      </c>
    </row>
    <row r="4114" spans="1:2" x14ac:dyDescent="0.3">
      <c r="A4114" s="22" t="s">
        <v>4718</v>
      </c>
      <c r="B4114" s="22">
        <v>0</v>
      </c>
    </row>
    <row r="4115" spans="1:2" x14ac:dyDescent="0.3">
      <c r="A4115" s="22" t="s">
        <v>4719</v>
      </c>
      <c r="B4115" s="22">
        <v>0</v>
      </c>
    </row>
    <row r="4116" spans="1:2" x14ac:dyDescent="0.3">
      <c r="A4116" s="22" t="s">
        <v>4720</v>
      </c>
      <c r="B4116" s="22">
        <v>0</v>
      </c>
    </row>
    <row r="4117" spans="1:2" x14ac:dyDescent="0.3">
      <c r="A4117" s="22" t="s">
        <v>4721</v>
      </c>
      <c r="B4117" s="22">
        <v>0</v>
      </c>
    </row>
    <row r="4118" spans="1:2" x14ac:dyDescent="0.3">
      <c r="A4118" s="22" t="s">
        <v>4722</v>
      </c>
      <c r="B4118" s="22">
        <v>0</v>
      </c>
    </row>
    <row r="4119" spans="1:2" x14ac:dyDescent="0.3">
      <c r="A4119" s="22" t="s">
        <v>2746</v>
      </c>
      <c r="B4119" s="22">
        <v>222</v>
      </c>
    </row>
    <row r="4120" spans="1:2" x14ac:dyDescent="0.3">
      <c r="A4120" s="22" t="s">
        <v>4723</v>
      </c>
      <c r="B4120" s="22">
        <v>12</v>
      </c>
    </row>
    <row r="4121" spans="1:2" x14ac:dyDescent="0.3">
      <c r="A4121" s="22" t="s">
        <v>4724</v>
      </c>
      <c r="B4121" s="22">
        <v>0</v>
      </c>
    </row>
    <row r="4122" spans="1:2" x14ac:dyDescent="0.3">
      <c r="A4122" s="22" t="s">
        <v>4725</v>
      </c>
      <c r="B4122" s="22">
        <v>0</v>
      </c>
    </row>
    <row r="4123" spans="1:2" x14ac:dyDescent="0.3">
      <c r="A4123" s="22" t="s">
        <v>4726</v>
      </c>
      <c r="B4123" s="22">
        <v>0</v>
      </c>
    </row>
    <row r="4124" spans="1:2" x14ac:dyDescent="0.3">
      <c r="A4124" s="22" t="s">
        <v>4727</v>
      </c>
      <c r="B4124" s="22">
        <v>0</v>
      </c>
    </row>
    <row r="4125" spans="1:2" x14ac:dyDescent="0.3">
      <c r="A4125" s="22" t="s">
        <v>4728</v>
      </c>
      <c r="B4125" s="22">
        <v>0</v>
      </c>
    </row>
    <row r="4126" spans="1:2" x14ac:dyDescent="0.3">
      <c r="A4126" s="22" t="s">
        <v>4729</v>
      </c>
      <c r="B4126" s="22">
        <v>0</v>
      </c>
    </row>
    <row r="4127" spans="1:2" x14ac:dyDescent="0.3">
      <c r="A4127" s="22" t="s">
        <v>2747</v>
      </c>
      <c r="B4127" s="22">
        <v>26</v>
      </c>
    </row>
    <row r="4128" spans="1:2" x14ac:dyDescent="0.3">
      <c r="A4128" s="22" t="s">
        <v>5465</v>
      </c>
      <c r="B4128" s="22">
        <v>0</v>
      </c>
    </row>
    <row r="4129" spans="1:2" x14ac:dyDescent="0.3">
      <c r="A4129" s="22" t="s">
        <v>5466</v>
      </c>
      <c r="B4129" s="22">
        <v>0</v>
      </c>
    </row>
    <row r="4130" spans="1:2" x14ac:dyDescent="0.3">
      <c r="A4130" s="22" t="s">
        <v>5467</v>
      </c>
      <c r="B4130" s="22">
        <v>0</v>
      </c>
    </row>
    <row r="4131" spans="1:2" x14ac:dyDescent="0.3">
      <c r="A4131" s="22" t="s">
        <v>5468</v>
      </c>
      <c r="B4131" s="22">
        <v>0</v>
      </c>
    </row>
    <row r="4132" spans="1:2" x14ac:dyDescent="0.3">
      <c r="A4132" s="22" t="s">
        <v>5469</v>
      </c>
      <c r="B4132" s="22">
        <v>0</v>
      </c>
    </row>
    <row r="4133" spans="1:2" x14ac:dyDescent="0.3">
      <c r="A4133" s="22" t="s">
        <v>5470</v>
      </c>
      <c r="B4133" s="22">
        <v>0</v>
      </c>
    </row>
    <row r="4134" spans="1:2" x14ac:dyDescent="0.3">
      <c r="A4134" s="22" t="s">
        <v>5471</v>
      </c>
      <c r="B4134" s="22">
        <v>0</v>
      </c>
    </row>
    <row r="4135" spans="1:2" x14ac:dyDescent="0.3">
      <c r="A4135" s="22" t="s">
        <v>2748</v>
      </c>
      <c r="B4135" s="22">
        <v>67</v>
      </c>
    </row>
    <row r="4136" spans="1:2" x14ac:dyDescent="0.3">
      <c r="A4136" s="22" t="s">
        <v>4730</v>
      </c>
      <c r="B4136" s="22">
        <v>0</v>
      </c>
    </row>
    <row r="4137" spans="1:2" x14ac:dyDescent="0.3">
      <c r="A4137" s="22" t="s">
        <v>4731</v>
      </c>
      <c r="B4137" s="22">
        <v>0</v>
      </c>
    </row>
    <row r="4138" spans="1:2" x14ac:dyDescent="0.3">
      <c r="A4138" s="22" t="s">
        <v>4732</v>
      </c>
      <c r="B4138" s="22">
        <v>0</v>
      </c>
    </row>
    <row r="4139" spans="1:2" x14ac:dyDescent="0.3">
      <c r="A4139" s="22" t="s">
        <v>4733</v>
      </c>
      <c r="B4139" s="22">
        <v>0</v>
      </c>
    </row>
    <row r="4140" spans="1:2" x14ac:dyDescent="0.3">
      <c r="A4140" s="22" t="s">
        <v>4734</v>
      </c>
      <c r="B4140" s="22">
        <v>0</v>
      </c>
    </row>
    <row r="4141" spans="1:2" x14ac:dyDescent="0.3">
      <c r="A4141" s="22" t="s">
        <v>4735</v>
      </c>
      <c r="B4141" s="22">
        <v>0</v>
      </c>
    </row>
    <row r="4142" spans="1:2" x14ac:dyDescent="0.3">
      <c r="A4142" s="22" t="s">
        <v>4736</v>
      </c>
      <c r="B4142" s="22">
        <v>0</v>
      </c>
    </row>
    <row r="4143" spans="1:2" x14ac:dyDescent="0.3">
      <c r="A4143" s="22" t="s">
        <v>2749</v>
      </c>
      <c r="B4143" s="22">
        <v>0</v>
      </c>
    </row>
    <row r="4144" spans="1:2" x14ac:dyDescent="0.3">
      <c r="A4144" s="22" t="s">
        <v>4737</v>
      </c>
      <c r="B4144" s="22">
        <v>0</v>
      </c>
    </row>
    <row r="4145" spans="1:2" x14ac:dyDescent="0.3">
      <c r="A4145" s="22" t="s">
        <v>4738</v>
      </c>
      <c r="B4145" s="22">
        <v>0</v>
      </c>
    </row>
    <row r="4146" spans="1:2" x14ac:dyDescent="0.3">
      <c r="A4146" s="22" t="s">
        <v>4739</v>
      </c>
      <c r="B4146" s="22">
        <v>0</v>
      </c>
    </row>
    <row r="4147" spans="1:2" x14ac:dyDescent="0.3">
      <c r="A4147" s="22" t="s">
        <v>4740</v>
      </c>
      <c r="B4147" s="22">
        <v>0</v>
      </c>
    </row>
    <row r="4148" spans="1:2" x14ac:dyDescent="0.3">
      <c r="A4148" s="22" t="s">
        <v>4741</v>
      </c>
      <c r="B4148" s="22">
        <v>0</v>
      </c>
    </row>
    <row r="4149" spans="1:2" x14ac:dyDescent="0.3">
      <c r="A4149" s="22" t="s">
        <v>4742</v>
      </c>
      <c r="B4149" s="22">
        <v>0</v>
      </c>
    </row>
    <row r="4150" spans="1:2" x14ac:dyDescent="0.3">
      <c r="A4150" s="22" t="s">
        <v>4743</v>
      </c>
      <c r="B4150" s="22">
        <v>0</v>
      </c>
    </row>
    <row r="4151" spans="1:2" x14ac:dyDescent="0.3">
      <c r="A4151" s="22" t="s">
        <v>2750</v>
      </c>
      <c r="B4151" s="22">
        <v>270</v>
      </c>
    </row>
    <row r="4152" spans="1:2" x14ac:dyDescent="0.3">
      <c r="A4152" s="22" t="s">
        <v>4744</v>
      </c>
      <c r="B4152" s="22">
        <v>0</v>
      </c>
    </row>
    <row r="4153" spans="1:2" x14ac:dyDescent="0.3">
      <c r="A4153" s="22" t="s">
        <v>4745</v>
      </c>
      <c r="B4153" s="22">
        <v>0</v>
      </c>
    </row>
    <row r="4154" spans="1:2" x14ac:dyDescent="0.3">
      <c r="A4154" s="22" t="s">
        <v>4746</v>
      </c>
      <c r="B4154" s="22">
        <v>0</v>
      </c>
    </row>
    <row r="4155" spans="1:2" x14ac:dyDescent="0.3">
      <c r="A4155" s="22" t="s">
        <v>4747</v>
      </c>
      <c r="B4155" s="22">
        <v>0</v>
      </c>
    </row>
    <row r="4156" spans="1:2" x14ac:dyDescent="0.3">
      <c r="A4156" s="22" t="s">
        <v>4748</v>
      </c>
      <c r="B4156" s="22">
        <v>0</v>
      </c>
    </row>
    <row r="4157" spans="1:2" x14ac:dyDescent="0.3">
      <c r="A4157" s="22" t="s">
        <v>4749</v>
      </c>
      <c r="B4157" s="22">
        <v>0</v>
      </c>
    </row>
    <row r="4158" spans="1:2" x14ac:dyDescent="0.3">
      <c r="A4158" s="22" t="s">
        <v>4750</v>
      </c>
      <c r="B4158" s="22">
        <v>0</v>
      </c>
    </row>
    <row r="4159" spans="1:2" x14ac:dyDescent="0.3">
      <c r="A4159" s="22" t="s">
        <v>2751</v>
      </c>
      <c r="B4159" s="22">
        <v>864</v>
      </c>
    </row>
    <row r="4160" spans="1:2" x14ac:dyDescent="0.3">
      <c r="A4160" s="22" t="s">
        <v>4751</v>
      </c>
      <c r="B4160" s="22">
        <v>4</v>
      </c>
    </row>
    <row r="4161" spans="1:2" x14ac:dyDescent="0.3">
      <c r="A4161" s="22" t="s">
        <v>4752</v>
      </c>
      <c r="B4161" s="22">
        <v>0</v>
      </c>
    </row>
    <row r="4162" spans="1:2" x14ac:dyDescent="0.3">
      <c r="A4162" s="22" t="s">
        <v>4753</v>
      </c>
      <c r="B4162" s="22">
        <v>7</v>
      </c>
    </row>
    <row r="4163" spans="1:2" x14ac:dyDescent="0.3">
      <c r="A4163" s="22" t="s">
        <v>4754</v>
      </c>
      <c r="B4163" s="22">
        <v>0</v>
      </c>
    </row>
    <row r="4164" spans="1:2" x14ac:dyDescent="0.3">
      <c r="A4164" s="22" t="s">
        <v>4755</v>
      </c>
      <c r="B4164" s="22">
        <v>0</v>
      </c>
    </row>
    <row r="4165" spans="1:2" x14ac:dyDescent="0.3">
      <c r="A4165" s="22" t="s">
        <v>4756</v>
      </c>
      <c r="B4165" s="22">
        <v>0</v>
      </c>
    </row>
    <row r="4166" spans="1:2" x14ac:dyDescent="0.3">
      <c r="A4166" s="22" t="s">
        <v>4757</v>
      </c>
      <c r="B4166" s="22">
        <v>0</v>
      </c>
    </row>
    <row r="4167" spans="1:2" x14ac:dyDescent="0.3">
      <c r="A4167" s="22" t="s">
        <v>2752</v>
      </c>
      <c r="B4167" s="22">
        <v>7</v>
      </c>
    </row>
    <row r="4168" spans="1:2" x14ac:dyDescent="0.3">
      <c r="A4168" s="22" t="s">
        <v>4758</v>
      </c>
      <c r="B4168" s="22">
        <v>0</v>
      </c>
    </row>
    <row r="4169" spans="1:2" x14ac:dyDescent="0.3">
      <c r="A4169" s="22" t="s">
        <v>4759</v>
      </c>
      <c r="B4169" s="22">
        <v>0</v>
      </c>
    </row>
    <row r="4170" spans="1:2" x14ac:dyDescent="0.3">
      <c r="A4170" s="22" t="s">
        <v>4760</v>
      </c>
      <c r="B4170" s="22">
        <v>0</v>
      </c>
    </row>
    <row r="4171" spans="1:2" x14ac:dyDescent="0.3">
      <c r="A4171" s="22" t="s">
        <v>4761</v>
      </c>
      <c r="B4171" s="22">
        <v>0</v>
      </c>
    </row>
    <row r="4172" spans="1:2" x14ac:dyDescent="0.3">
      <c r="A4172" s="22" t="s">
        <v>4762</v>
      </c>
      <c r="B4172" s="22">
        <v>0</v>
      </c>
    </row>
    <row r="4173" spans="1:2" x14ac:dyDescent="0.3">
      <c r="A4173" s="22" t="s">
        <v>4763</v>
      </c>
      <c r="B4173" s="22">
        <v>0</v>
      </c>
    </row>
    <row r="4174" spans="1:2" x14ac:dyDescent="0.3">
      <c r="A4174" s="22" t="s">
        <v>4764</v>
      </c>
      <c r="B4174" s="22">
        <v>0</v>
      </c>
    </row>
    <row r="4175" spans="1:2" x14ac:dyDescent="0.3">
      <c r="A4175" s="22" t="s">
        <v>2753</v>
      </c>
      <c r="B4175" s="22">
        <v>338</v>
      </c>
    </row>
    <row r="4176" spans="1:2" x14ac:dyDescent="0.3">
      <c r="A4176" s="22" t="s">
        <v>4765</v>
      </c>
      <c r="B4176" s="22">
        <v>6</v>
      </c>
    </row>
    <row r="4177" spans="1:2" x14ac:dyDescent="0.3">
      <c r="A4177" s="22" t="s">
        <v>4766</v>
      </c>
      <c r="B4177" s="22">
        <v>0</v>
      </c>
    </row>
    <row r="4178" spans="1:2" x14ac:dyDescent="0.3">
      <c r="A4178" s="22" t="s">
        <v>4767</v>
      </c>
      <c r="B4178" s="22">
        <v>0</v>
      </c>
    </row>
    <row r="4179" spans="1:2" x14ac:dyDescent="0.3">
      <c r="A4179" s="22" t="s">
        <v>4768</v>
      </c>
      <c r="B4179" s="22">
        <v>0</v>
      </c>
    </row>
    <row r="4180" spans="1:2" x14ac:dyDescent="0.3">
      <c r="A4180" s="22" t="s">
        <v>4769</v>
      </c>
      <c r="B4180" s="22">
        <v>0</v>
      </c>
    </row>
    <row r="4181" spans="1:2" x14ac:dyDescent="0.3">
      <c r="A4181" s="22" t="s">
        <v>4770</v>
      </c>
      <c r="B4181" s="22">
        <v>0</v>
      </c>
    </row>
    <row r="4182" spans="1:2" x14ac:dyDescent="0.3">
      <c r="A4182" s="22" t="s">
        <v>4771</v>
      </c>
      <c r="B4182" s="22">
        <v>0</v>
      </c>
    </row>
    <row r="4183" spans="1:2" x14ac:dyDescent="0.3">
      <c r="A4183" s="22" t="s">
        <v>2755</v>
      </c>
      <c r="B4183" s="22">
        <v>0</v>
      </c>
    </row>
    <row r="4184" spans="1:2" x14ac:dyDescent="0.3">
      <c r="A4184" s="22" t="s">
        <v>4772</v>
      </c>
      <c r="B4184" s="22">
        <v>0</v>
      </c>
    </row>
    <row r="4185" spans="1:2" x14ac:dyDescent="0.3">
      <c r="A4185" s="22" t="s">
        <v>4773</v>
      </c>
      <c r="B4185" s="22">
        <v>0</v>
      </c>
    </row>
    <row r="4186" spans="1:2" x14ac:dyDescent="0.3">
      <c r="A4186" s="22" t="s">
        <v>4774</v>
      </c>
      <c r="B4186" s="22">
        <v>0</v>
      </c>
    </row>
    <row r="4187" spans="1:2" x14ac:dyDescent="0.3">
      <c r="A4187" s="22" t="s">
        <v>4775</v>
      </c>
      <c r="B4187" s="22">
        <v>0</v>
      </c>
    </row>
    <row r="4188" spans="1:2" x14ac:dyDescent="0.3">
      <c r="A4188" s="22" t="s">
        <v>4776</v>
      </c>
      <c r="B4188" s="22">
        <v>0</v>
      </c>
    </row>
    <row r="4189" spans="1:2" x14ac:dyDescent="0.3">
      <c r="A4189" s="22" t="s">
        <v>4777</v>
      </c>
      <c r="B4189" s="22">
        <v>0</v>
      </c>
    </row>
    <row r="4190" spans="1:2" x14ac:dyDescent="0.3">
      <c r="A4190" s="22" t="s">
        <v>4778</v>
      </c>
      <c r="B4190" s="22">
        <v>0</v>
      </c>
    </row>
    <row r="4191" spans="1:2" x14ac:dyDescent="0.3">
      <c r="A4191" s="22" t="s">
        <v>2756</v>
      </c>
      <c r="B4191" s="22">
        <v>120</v>
      </c>
    </row>
    <row r="4192" spans="1:2" x14ac:dyDescent="0.3">
      <c r="A4192" s="22" t="s">
        <v>4779</v>
      </c>
      <c r="B4192" s="22">
        <v>0</v>
      </c>
    </row>
    <row r="4193" spans="1:2" x14ac:dyDescent="0.3">
      <c r="A4193" s="22" t="s">
        <v>4780</v>
      </c>
      <c r="B4193" s="22">
        <v>0</v>
      </c>
    </row>
    <row r="4194" spans="1:2" x14ac:dyDescent="0.3">
      <c r="A4194" s="22" t="s">
        <v>4781</v>
      </c>
      <c r="B4194" s="22">
        <v>0</v>
      </c>
    </row>
    <row r="4195" spans="1:2" x14ac:dyDescent="0.3">
      <c r="A4195" s="22" t="s">
        <v>4782</v>
      </c>
      <c r="B4195" s="22">
        <v>0</v>
      </c>
    </row>
    <row r="4196" spans="1:2" x14ac:dyDescent="0.3">
      <c r="A4196" s="22" t="s">
        <v>4783</v>
      </c>
      <c r="B4196" s="22">
        <v>0</v>
      </c>
    </row>
    <row r="4197" spans="1:2" x14ac:dyDescent="0.3">
      <c r="A4197" s="22" t="s">
        <v>4784</v>
      </c>
      <c r="B4197" s="22">
        <v>0</v>
      </c>
    </row>
    <row r="4198" spans="1:2" x14ac:dyDescent="0.3">
      <c r="A4198" s="22" t="s">
        <v>4785</v>
      </c>
      <c r="B4198" s="22">
        <v>0</v>
      </c>
    </row>
    <row r="4199" spans="1:2" x14ac:dyDescent="0.3">
      <c r="A4199" s="22" t="s">
        <v>2757</v>
      </c>
      <c r="B4199" s="22">
        <v>0</v>
      </c>
    </row>
    <row r="4200" spans="1:2" x14ac:dyDescent="0.3">
      <c r="A4200" s="22" t="s">
        <v>4786</v>
      </c>
      <c r="B4200" s="22">
        <v>0</v>
      </c>
    </row>
    <row r="4201" spans="1:2" x14ac:dyDescent="0.3">
      <c r="A4201" s="22" t="s">
        <v>4787</v>
      </c>
      <c r="B4201" s="22">
        <v>0</v>
      </c>
    </row>
    <row r="4202" spans="1:2" x14ac:dyDescent="0.3">
      <c r="A4202" s="22" t="s">
        <v>4788</v>
      </c>
      <c r="B4202" s="22">
        <v>0</v>
      </c>
    </row>
    <row r="4203" spans="1:2" x14ac:dyDescent="0.3">
      <c r="A4203" s="22" t="s">
        <v>4789</v>
      </c>
      <c r="B4203" s="22">
        <v>0</v>
      </c>
    </row>
    <row r="4204" spans="1:2" x14ac:dyDescent="0.3">
      <c r="A4204" s="22" t="s">
        <v>4790</v>
      </c>
      <c r="B4204" s="22">
        <v>0</v>
      </c>
    </row>
    <row r="4205" spans="1:2" x14ac:dyDescent="0.3">
      <c r="A4205" s="22" t="s">
        <v>4791</v>
      </c>
      <c r="B4205" s="22">
        <v>0</v>
      </c>
    </row>
    <row r="4206" spans="1:2" x14ac:dyDescent="0.3">
      <c r="A4206" s="22" t="s">
        <v>4792</v>
      </c>
      <c r="B4206" s="22">
        <v>0</v>
      </c>
    </row>
    <row r="4207" spans="1:2" x14ac:dyDescent="0.3">
      <c r="A4207" s="22" t="s">
        <v>2758</v>
      </c>
      <c r="B4207" s="22">
        <v>0</v>
      </c>
    </row>
    <row r="4208" spans="1:2" x14ac:dyDescent="0.3">
      <c r="A4208" s="22" t="s">
        <v>4793</v>
      </c>
      <c r="B4208" s="22">
        <v>0</v>
      </c>
    </row>
    <row r="4209" spans="1:2" x14ac:dyDescent="0.3">
      <c r="A4209" s="22" t="s">
        <v>4794</v>
      </c>
      <c r="B4209" s="22">
        <v>0</v>
      </c>
    </row>
    <row r="4210" spans="1:2" x14ac:dyDescent="0.3">
      <c r="A4210" s="22" t="s">
        <v>4795</v>
      </c>
      <c r="B4210" s="22">
        <v>0</v>
      </c>
    </row>
    <row r="4211" spans="1:2" x14ac:dyDescent="0.3">
      <c r="A4211" s="22" t="s">
        <v>4796</v>
      </c>
      <c r="B4211" s="22">
        <v>0</v>
      </c>
    </row>
    <row r="4212" spans="1:2" x14ac:dyDescent="0.3">
      <c r="A4212" s="22" t="s">
        <v>4797</v>
      </c>
      <c r="B4212" s="22">
        <v>0</v>
      </c>
    </row>
    <row r="4213" spans="1:2" x14ac:dyDescent="0.3">
      <c r="A4213" s="22" t="s">
        <v>4798</v>
      </c>
      <c r="B4213" s="22">
        <v>0</v>
      </c>
    </row>
    <row r="4214" spans="1:2" x14ac:dyDescent="0.3">
      <c r="A4214" s="22" t="s">
        <v>4799</v>
      </c>
      <c r="B4214" s="22">
        <v>0</v>
      </c>
    </row>
    <row r="4215" spans="1:2" x14ac:dyDescent="0.3">
      <c r="A4215" s="22" t="s">
        <v>2759</v>
      </c>
      <c r="B4215" s="22">
        <v>1</v>
      </c>
    </row>
    <row r="4216" spans="1:2" x14ac:dyDescent="0.3">
      <c r="A4216" s="22" t="s">
        <v>4800</v>
      </c>
      <c r="B4216" s="22">
        <v>0</v>
      </c>
    </row>
    <row r="4217" spans="1:2" x14ac:dyDescent="0.3">
      <c r="A4217" s="22" t="s">
        <v>4801</v>
      </c>
      <c r="B4217" s="22">
        <v>0</v>
      </c>
    </row>
    <row r="4218" spans="1:2" x14ac:dyDescent="0.3">
      <c r="A4218" s="22" t="s">
        <v>4802</v>
      </c>
      <c r="B4218" s="22">
        <v>0</v>
      </c>
    </row>
    <row r="4219" spans="1:2" x14ac:dyDescent="0.3">
      <c r="A4219" s="22" t="s">
        <v>4803</v>
      </c>
      <c r="B4219" s="22">
        <v>0</v>
      </c>
    </row>
    <row r="4220" spans="1:2" x14ac:dyDescent="0.3">
      <c r="A4220" s="22" t="s">
        <v>4804</v>
      </c>
      <c r="B4220" s="22">
        <v>0</v>
      </c>
    </row>
    <row r="4221" spans="1:2" x14ac:dyDescent="0.3">
      <c r="A4221" s="22" t="s">
        <v>4805</v>
      </c>
      <c r="B4221" s="22">
        <v>0</v>
      </c>
    </row>
    <row r="4222" spans="1:2" x14ac:dyDescent="0.3">
      <c r="A4222" s="22" t="s">
        <v>4806</v>
      </c>
      <c r="B4222" s="22">
        <v>0</v>
      </c>
    </row>
    <row r="4223" spans="1:2" x14ac:dyDescent="0.3">
      <c r="A4223" s="22" t="s">
        <v>2760</v>
      </c>
      <c r="B4223" s="22">
        <v>0</v>
      </c>
    </row>
    <row r="4224" spans="1:2" x14ac:dyDescent="0.3">
      <c r="A4224" s="22" t="s">
        <v>4807</v>
      </c>
      <c r="B4224" s="22">
        <v>0</v>
      </c>
    </row>
    <row r="4225" spans="1:2" x14ac:dyDescent="0.3">
      <c r="A4225" s="22" t="s">
        <v>4808</v>
      </c>
      <c r="B4225" s="22">
        <v>0</v>
      </c>
    </row>
    <row r="4226" spans="1:2" x14ac:dyDescent="0.3">
      <c r="A4226" s="22" t="s">
        <v>4809</v>
      </c>
      <c r="B4226" s="22">
        <v>0</v>
      </c>
    </row>
    <row r="4227" spans="1:2" x14ac:dyDescent="0.3">
      <c r="A4227" s="22" t="s">
        <v>4810</v>
      </c>
      <c r="B4227" s="22">
        <v>0</v>
      </c>
    </row>
    <row r="4228" spans="1:2" x14ac:dyDescent="0.3">
      <c r="A4228" s="22" t="s">
        <v>4811</v>
      </c>
      <c r="B4228" s="22">
        <v>0</v>
      </c>
    </row>
    <row r="4229" spans="1:2" x14ac:dyDescent="0.3">
      <c r="A4229" s="22" t="s">
        <v>4812</v>
      </c>
      <c r="B4229" s="22">
        <v>0</v>
      </c>
    </row>
    <row r="4230" spans="1:2" x14ac:dyDescent="0.3">
      <c r="A4230" s="22" t="s">
        <v>4813</v>
      </c>
      <c r="B4230" s="22">
        <v>0</v>
      </c>
    </row>
    <row r="4231" spans="1:2" x14ac:dyDescent="0.3">
      <c r="A4231" s="22" t="s">
        <v>2762</v>
      </c>
      <c r="B4231" s="22">
        <v>3</v>
      </c>
    </row>
    <row r="4232" spans="1:2" x14ac:dyDescent="0.3">
      <c r="A4232" s="22" t="s">
        <v>5597</v>
      </c>
      <c r="B4232" s="22">
        <v>0</v>
      </c>
    </row>
    <row r="4233" spans="1:2" x14ac:dyDescent="0.3">
      <c r="A4233" s="22" t="s">
        <v>5598</v>
      </c>
      <c r="B4233" s="22">
        <v>0</v>
      </c>
    </row>
    <row r="4234" spans="1:2" x14ac:dyDescent="0.3">
      <c r="A4234" s="22" t="s">
        <v>5599</v>
      </c>
      <c r="B4234" s="22">
        <v>0</v>
      </c>
    </row>
    <row r="4235" spans="1:2" x14ac:dyDescent="0.3">
      <c r="A4235" s="22" t="s">
        <v>5600</v>
      </c>
      <c r="B4235" s="22">
        <v>0</v>
      </c>
    </row>
    <row r="4236" spans="1:2" x14ac:dyDescent="0.3">
      <c r="A4236" s="22" t="s">
        <v>5601</v>
      </c>
      <c r="B4236" s="22">
        <v>0</v>
      </c>
    </row>
    <row r="4237" spans="1:2" x14ac:dyDescent="0.3">
      <c r="A4237" s="22" t="s">
        <v>5602</v>
      </c>
      <c r="B4237" s="22">
        <v>0</v>
      </c>
    </row>
    <row r="4238" spans="1:2" x14ac:dyDescent="0.3">
      <c r="A4238" s="22" t="s">
        <v>5603</v>
      </c>
      <c r="B4238" s="22">
        <v>0</v>
      </c>
    </row>
    <row r="4239" spans="1:2" x14ac:dyDescent="0.3">
      <c r="A4239" s="22" t="s">
        <v>2763</v>
      </c>
      <c r="B4239" s="22">
        <v>2</v>
      </c>
    </row>
    <row r="4240" spans="1:2" x14ac:dyDescent="0.3">
      <c r="A4240" s="22" t="s">
        <v>4814</v>
      </c>
      <c r="B4240" s="22">
        <v>0</v>
      </c>
    </row>
    <row r="4241" spans="1:2" x14ac:dyDescent="0.3">
      <c r="A4241" s="22" t="s">
        <v>4815</v>
      </c>
      <c r="B4241" s="22">
        <v>0</v>
      </c>
    </row>
    <row r="4242" spans="1:2" x14ac:dyDescent="0.3">
      <c r="A4242" s="22" t="s">
        <v>4816</v>
      </c>
      <c r="B4242" s="22">
        <v>0</v>
      </c>
    </row>
    <row r="4243" spans="1:2" x14ac:dyDescent="0.3">
      <c r="A4243" s="22" t="s">
        <v>4817</v>
      </c>
      <c r="B4243" s="22">
        <v>0</v>
      </c>
    </row>
    <row r="4244" spans="1:2" x14ac:dyDescent="0.3">
      <c r="A4244" s="22" t="s">
        <v>4818</v>
      </c>
      <c r="B4244" s="22">
        <v>0</v>
      </c>
    </row>
    <row r="4245" spans="1:2" x14ac:dyDescent="0.3">
      <c r="A4245" s="22" t="s">
        <v>4819</v>
      </c>
      <c r="B4245" s="22">
        <v>0</v>
      </c>
    </row>
    <row r="4246" spans="1:2" x14ac:dyDescent="0.3">
      <c r="A4246" s="22" t="s">
        <v>4820</v>
      </c>
      <c r="B4246" s="22">
        <v>0</v>
      </c>
    </row>
    <row r="4247" spans="1:2" x14ac:dyDescent="0.3">
      <c r="A4247" s="22" t="s">
        <v>2764</v>
      </c>
      <c r="B4247" s="22">
        <v>1141</v>
      </c>
    </row>
    <row r="4248" spans="1:2" x14ac:dyDescent="0.3">
      <c r="A4248" s="22" t="s">
        <v>4821</v>
      </c>
      <c r="B4248" s="22">
        <v>24</v>
      </c>
    </row>
    <row r="4249" spans="1:2" x14ac:dyDescent="0.3">
      <c r="A4249" s="22" t="s">
        <v>4822</v>
      </c>
      <c r="B4249" s="22">
        <v>0</v>
      </c>
    </row>
    <row r="4250" spans="1:2" x14ac:dyDescent="0.3">
      <c r="A4250" s="22" t="s">
        <v>4823</v>
      </c>
      <c r="B4250" s="22">
        <v>6</v>
      </c>
    </row>
    <row r="4251" spans="1:2" x14ac:dyDescent="0.3">
      <c r="A4251" s="22" t="s">
        <v>4824</v>
      </c>
      <c r="B4251" s="22">
        <v>3</v>
      </c>
    </row>
    <row r="4252" spans="1:2" x14ac:dyDescent="0.3">
      <c r="A4252" s="22" t="s">
        <v>4825</v>
      </c>
      <c r="B4252" s="22">
        <v>0</v>
      </c>
    </row>
    <row r="4253" spans="1:2" x14ac:dyDescent="0.3">
      <c r="A4253" s="22" t="s">
        <v>4826</v>
      </c>
      <c r="B4253" s="22">
        <v>0</v>
      </c>
    </row>
    <row r="4254" spans="1:2" x14ac:dyDescent="0.3">
      <c r="A4254" s="22" t="s">
        <v>4827</v>
      </c>
      <c r="B4254" s="22">
        <v>0</v>
      </c>
    </row>
    <row r="4255" spans="1:2" x14ac:dyDescent="0.3">
      <c r="A4255" s="22" t="s">
        <v>2765</v>
      </c>
      <c r="B4255" s="22">
        <v>424</v>
      </c>
    </row>
    <row r="4256" spans="1:2" x14ac:dyDescent="0.3">
      <c r="A4256" s="22" t="s">
        <v>5013</v>
      </c>
      <c r="B4256" s="22">
        <v>0</v>
      </c>
    </row>
    <row r="4257" spans="1:2" x14ac:dyDescent="0.3">
      <c r="A4257" s="22" t="s">
        <v>5014</v>
      </c>
      <c r="B4257" s="22">
        <v>0</v>
      </c>
    </row>
    <row r="4258" spans="1:2" x14ac:dyDescent="0.3">
      <c r="A4258" s="22" t="s">
        <v>5015</v>
      </c>
      <c r="B4258" s="22">
        <v>0</v>
      </c>
    </row>
    <row r="4259" spans="1:2" x14ac:dyDescent="0.3">
      <c r="A4259" s="22" t="s">
        <v>5016</v>
      </c>
      <c r="B4259" s="22">
        <v>0</v>
      </c>
    </row>
    <row r="4260" spans="1:2" x14ac:dyDescent="0.3">
      <c r="A4260" s="22" t="s">
        <v>5017</v>
      </c>
      <c r="B4260" s="22">
        <v>0</v>
      </c>
    </row>
    <row r="4261" spans="1:2" x14ac:dyDescent="0.3">
      <c r="A4261" s="22" t="s">
        <v>5018</v>
      </c>
      <c r="B4261" s="22">
        <v>0</v>
      </c>
    </row>
    <row r="4262" spans="1:2" x14ac:dyDescent="0.3">
      <c r="A4262" s="22" t="s">
        <v>5019</v>
      </c>
      <c r="B4262" s="22">
        <v>0</v>
      </c>
    </row>
    <row r="4263" spans="1:2" x14ac:dyDescent="0.3">
      <c r="A4263" s="22" t="s">
        <v>2766</v>
      </c>
      <c r="B4263" s="22">
        <v>566</v>
      </c>
    </row>
    <row r="4264" spans="1:2" x14ac:dyDescent="0.3">
      <c r="A4264" s="22" t="s">
        <v>4828</v>
      </c>
      <c r="B4264" s="22">
        <v>0</v>
      </c>
    </row>
    <row r="4265" spans="1:2" x14ac:dyDescent="0.3">
      <c r="A4265" s="22" t="s">
        <v>4829</v>
      </c>
      <c r="B4265" s="22">
        <v>0</v>
      </c>
    </row>
    <row r="4266" spans="1:2" x14ac:dyDescent="0.3">
      <c r="A4266" s="22" t="s">
        <v>4830</v>
      </c>
      <c r="B4266" s="22">
        <v>2</v>
      </c>
    </row>
    <row r="4267" spans="1:2" x14ac:dyDescent="0.3">
      <c r="A4267" s="22" t="s">
        <v>4831</v>
      </c>
      <c r="B4267" s="22">
        <v>0</v>
      </c>
    </row>
    <row r="4268" spans="1:2" x14ac:dyDescent="0.3">
      <c r="A4268" s="22" t="s">
        <v>4832</v>
      </c>
      <c r="B4268" s="22">
        <v>0</v>
      </c>
    </row>
    <row r="4269" spans="1:2" x14ac:dyDescent="0.3">
      <c r="A4269" s="22" t="s">
        <v>4833</v>
      </c>
      <c r="B4269" s="22">
        <v>0</v>
      </c>
    </row>
    <row r="4270" spans="1:2" x14ac:dyDescent="0.3">
      <c r="A4270" s="22" t="s">
        <v>4834</v>
      </c>
      <c r="B4270" s="22">
        <v>0</v>
      </c>
    </row>
    <row r="4271" spans="1:2" x14ac:dyDescent="0.3">
      <c r="A4271" s="22" t="s">
        <v>2767</v>
      </c>
      <c r="B4271" s="22">
        <v>229</v>
      </c>
    </row>
    <row r="4272" spans="1:2" x14ac:dyDescent="0.3">
      <c r="A4272" s="22" t="s">
        <v>4835</v>
      </c>
      <c r="B4272" s="22">
        <v>0</v>
      </c>
    </row>
    <row r="4273" spans="1:2" x14ac:dyDescent="0.3">
      <c r="A4273" s="22" t="s">
        <v>4836</v>
      </c>
      <c r="B4273" s="22">
        <v>0</v>
      </c>
    </row>
    <row r="4274" spans="1:2" x14ac:dyDescent="0.3">
      <c r="A4274" s="22" t="s">
        <v>4837</v>
      </c>
      <c r="B4274" s="22">
        <v>0</v>
      </c>
    </row>
    <row r="4275" spans="1:2" x14ac:dyDescent="0.3">
      <c r="A4275" s="22" t="s">
        <v>4838</v>
      </c>
      <c r="B4275" s="22">
        <v>0</v>
      </c>
    </row>
    <row r="4276" spans="1:2" x14ac:dyDescent="0.3">
      <c r="A4276" s="22" t="s">
        <v>4839</v>
      </c>
      <c r="B4276" s="22">
        <v>0</v>
      </c>
    </row>
    <row r="4277" spans="1:2" x14ac:dyDescent="0.3">
      <c r="A4277" s="22" t="s">
        <v>4840</v>
      </c>
      <c r="B4277" s="22">
        <v>0</v>
      </c>
    </row>
    <row r="4278" spans="1:2" x14ac:dyDescent="0.3">
      <c r="A4278" s="22" t="s">
        <v>4841</v>
      </c>
      <c r="B4278" s="22">
        <v>0</v>
      </c>
    </row>
    <row r="4279" spans="1:2" x14ac:dyDescent="0.3">
      <c r="A4279" s="22" t="s">
        <v>2768</v>
      </c>
      <c r="B4279" s="22">
        <v>219</v>
      </c>
    </row>
    <row r="4280" spans="1:2" x14ac:dyDescent="0.3">
      <c r="A4280" s="22" t="s">
        <v>4985</v>
      </c>
      <c r="B4280" s="22">
        <v>5</v>
      </c>
    </row>
    <row r="4281" spans="1:2" x14ac:dyDescent="0.3">
      <c r="A4281" s="22" t="s">
        <v>4986</v>
      </c>
      <c r="B4281" s="22">
        <v>0</v>
      </c>
    </row>
    <row r="4282" spans="1:2" x14ac:dyDescent="0.3">
      <c r="A4282" s="22" t="s">
        <v>4987</v>
      </c>
      <c r="B4282" s="22">
        <v>0</v>
      </c>
    </row>
    <row r="4283" spans="1:2" x14ac:dyDescent="0.3">
      <c r="A4283" s="22" t="s">
        <v>4988</v>
      </c>
      <c r="B4283" s="22">
        <v>1</v>
      </c>
    </row>
    <row r="4284" spans="1:2" x14ac:dyDescent="0.3">
      <c r="A4284" s="22" t="s">
        <v>4989</v>
      </c>
      <c r="B4284" s="22">
        <v>0</v>
      </c>
    </row>
    <row r="4285" spans="1:2" x14ac:dyDescent="0.3">
      <c r="A4285" s="22" t="s">
        <v>4990</v>
      </c>
      <c r="B4285" s="22">
        <v>0</v>
      </c>
    </row>
    <row r="4286" spans="1:2" x14ac:dyDescent="0.3">
      <c r="A4286" s="22" t="s">
        <v>4991</v>
      </c>
      <c r="B4286" s="22">
        <v>0</v>
      </c>
    </row>
    <row r="4287" spans="1:2" x14ac:dyDescent="0.3">
      <c r="A4287" s="22" t="s">
        <v>2769</v>
      </c>
      <c r="B4287" s="22">
        <v>364</v>
      </c>
    </row>
    <row r="4288" spans="1:2" x14ac:dyDescent="0.3">
      <c r="A4288" s="22" t="s">
        <v>4842</v>
      </c>
      <c r="B4288" s="22">
        <v>0</v>
      </c>
    </row>
    <row r="4289" spans="1:2" x14ac:dyDescent="0.3">
      <c r="A4289" s="22" t="s">
        <v>4843</v>
      </c>
      <c r="B4289" s="22">
        <v>0</v>
      </c>
    </row>
    <row r="4290" spans="1:2" x14ac:dyDescent="0.3">
      <c r="A4290" s="22" t="s">
        <v>4844</v>
      </c>
      <c r="B4290" s="22">
        <v>0</v>
      </c>
    </row>
    <row r="4291" spans="1:2" x14ac:dyDescent="0.3">
      <c r="A4291" s="22" t="s">
        <v>4845</v>
      </c>
      <c r="B4291" s="22">
        <v>0</v>
      </c>
    </row>
    <row r="4292" spans="1:2" x14ac:dyDescent="0.3">
      <c r="A4292" s="22" t="s">
        <v>4846</v>
      </c>
      <c r="B4292" s="22">
        <v>0</v>
      </c>
    </row>
    <row r="4293" spans="1:2" x14ac:dyDescent="0.3">
      <c r="A4293" s="22" t="s">
        <v>4847</v>
      </c>
      <c r="B4293" s="22">
        <v>0</v>
      </c>
    </row>
    <row r="4294" spans="1:2" x14ac:dyDescent="0.3">
      <c r="A4294" s="22" t="s">
        <v>4848</v>
      </c>
      <c r="B4294" s="22">
        <v>0</v>
      </c>
    </row>
    <row r="4295" spans="1:2" x14ac:dyDescent="0.3">
      <c r="A4295" s="22" t="s">
        <v>4849</v>
      </c>
      <c r="B4295" s="22">
        <v>9</v>
      </c>
    </row>
    <row r="4296" spans="1:2" x14ac:dyDescent="0.3">
      <c r="A4296" s="22" t="s">
        <v>4850</v>
      </c>
      <c r="B4296" s="22">
        <v>442</v>
      </c>
    </row>
    <row r="4297" spans="1:2" x14ac:dyDescent="0.3">
      <c r="A4297" s="22" t="s">
        <v>4851</v>
      </c>
      <c r="B4297" s="22">
        <v>0</v>
      </c>
    </row>
    <row r="4298" spans="1:2" x14ac:dyDescent="0.3">
      <c r="A4298" s="22" t="s">
        <v>4852</v>
      </c>
      <c r="B4298" s="22">
        <v>1</v>
      </c>
    </row>
    <row r="4299" spans="1:2" x14ac:dyDescent="0.3">
      <c r="A4299" s="22" t="s">
        <v>4853</v>
      </c>
      <c r="B4299" s="22">
        <v>4</v>
      </c>
    </row>
    <row r="4300" spans="1:2" x14ac:dyDescent="0.3">
      <c r="A4300" s="22" t="s">
        <v>4854</v>
      </c>
      <c r="B4300" s="22">
        <v>0</v>
      </c>
    </row>
    <row r="4301" spans="1:2" x14ac:dyDescent="0.3">
      <c r="A4301" s="22" t="s">
        <v>4855</v>
      </c>
      <c r="B4301" s="22">
        <v>0</v>
      </c>
    </row>
    <row r="4302" spans="1:2" x14ac:dyDescent="0.3">
      <c r="A4302" s="22" t="s">
        <v>4856</v>
      </c>
      <c r="B4302" s="22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999"/>
  <sheetViews>
    <sheetView topLeftCell="A983" workbookViewId="0">
      <selection activeCell="G983" sqref="G983"/>
    </sheetView>
  </sheetViews>
  <sheetFormatPr defaultColWidth="8.77734375" defaultRowHeight="15.6" x14ac:dyDescent="0.3"/>
  <cols>
    <col min="1" max="2" width="8.77734375" style="32"/>
    <col min="3" max="3" width="16.21875" style="32" bestFit="1" customWidth="1"/>
    <col min="4" max="16384" width="8.77734375" style="32"/>
  </cols>
  <sheetData>
    <row r="1" spans="1:7" x14ac:dyDescent="0.3">
      <c r="A1" s="32" t="s">
        <v>1466</v>
      </c>
      <c r="B1" s="32" t="s">
        <v>1467</v>
      </c>
      <c r="C1" s="32" t="s">
        <v>1468</v>
      </c>
      <c r="D1" s="32" t="s">
        <v>1469</v>
      </c>
      <c r="E1" s="32" t="s">
        <v>1470</v>
      </c>
    </row>
    <row r="2" spans="1:7" x14ac:dyDescent="0.3">
      <c r="A2" s="32" t="s">
        <v>1795</v>
      </c>
      <c r="B2" s="32" t="s">
        <v>1796</v>
      </c>
      <c r="C2" s="32" t="s">
        <v>1358</v>
      </c>
      <c r="D2" s="32" t="s">
        <v>2056</v>
      </c>
      <c r="E2" s="32" t="s">
        <v>1471</v>
      </c>
      <c r="F2" s="32" t="s">
        <v>1749</v>
      </c>
      <c r="G2" s="32">
        <f>IFERROR(INDEX(Ship!A$31:B$4500,MATCH(C2,Ship!A$31:A$4500,0),2),0)</f>
        <v>0</v>
      </c>
    </row>
    <row r="3" spans="1:7" x14ac:dyDescent="0.3">
      <c r="A3" s="32" t="s">
        <v>1795</v>
      </c>
      <c r="B3" s="32" t="s">
        <v>1796</v>
      </c>
      <c r="C3" s="32" t="s">
        <v>1575</v>
      </c>
      <c r="D3" s="32" t="s">
        <v>2057</v>
      </c>
      <c r="E3" s="32" t="s">
        <v>1471</v>
      </c>
      <c r="F3" s="32" t="s">
        <v>1749</v>
      </c>
      <c r="G3" s="32">
        <f>IFERROR(INDEX(Ship!A$31:B$4500,MATCH(C3,Ship!A$31:A$4500,0),2),0)</f>
        <v>0</v>
      </c>
    </row>
    <row r="4" spans="1:7" x14ac:dyDescent="0.3">
      <c r="A4" s="32" t="s">
        <v>1795</v>
      </c>
      <c r="B4" s="32" t="s">
        <v>1796</v>
      </c>
      <c r="C4" s="32" t="s">
        <v>1359</v>
      </c>
      <c r="D4" s="32" t="s">
        <v>2059</v>
      </c>
      <c r="E4" s="32" t="s">
        <v>1471</v>
      </c>
      <c r="F4" s="32" t="s">
        <v>1749</v>
      </c>
      <c r="G4" s="32">
        <f>IFERROR(INDEX(Ship!A$31:B$4500,MATCH(C4,Ship!A$31:A$4500,0),2),0)</f>
        <v>0</v>
      </c>
    </row>
    <row r="5" spans="1:7" x14ac:dyDescent="0.3">
      <c r="A5" s="32" t="s">
        <v>1795</v>
      </c>
      <c r="B5" s="32" t="s">
        <v>1796</v>
      </c>
      <c r="C5" s="32" t="s">
        <v>1576</v>
      </c>
      <c r="D5" s="32" t="s">
        <v>2060</v>
      </c>
      <c r="E5" s="32" t="s">
        <v>1471</v>
      </c>
      <c r="F5" s="32" t="s">
        <v>1749</v>
      </c>
      <c r="G5" s="32">
        <f>IFERROR(INDEX(Ship!A$31:B$4500,MATCH(C5,Ship!A$31:A$4500,0),2),0)</f>
        <v>0</v>
      </c>
    </row>
    <row r="6" spans="1:7" x14ac:dyDescent="0.3">
      <c r="A6" s="32" t="s">
        <v>1795</v>
      </c>
      <c r="B6" s="32" t="s">
        <v>1796</v>
      </c>
      <c r="C6" s="32" t="s">
        <v>1360</v>
      </c>
      <c r="D6" s="32" t="s">
        <v>2062</v>
      </c>
      <c r="E6" s="32" t="s">
        <v>1471</v>
      </c>
      <c r="F6" s="32" t="s">
        <v>1749</v>
      </c>
      <c r="G6" s="32">
        <f>IFERROR(INDEX(Ship!A$31:B$4500,MATCH(C6,Ship!A$31:A$4500,0),2),0)</f>
        <v>0</v>
      </c>
    </row>
    <row r="7" spans="1:7" x14ac:dyDescent="0.3">
      <c r="A7" s="32" t="s">
        <v>1795</v>
      </c>
      <c r="B7" s="32" t="s">
        <v>1796</v>
      </c>
      <c r="C7" s="32" t="s">
        <v>1578</v>
      </c>
      <c r="D7" s="32" t="s">
        <v>2063</v>
      </c>
      <c r="E7" s="32" t="s">
        <v>1471</v>
      </c>
      <c r="F7" s="32" t="s">
        <v>1749</v>
      </c>
      <c r="G7" s="32">
        <f>IFERROR(INDEX(Ship!A$31:B$4500,MATCH(C7,Ship!A$31:A$4500,0),2),0)</f>
        <v>0</v>
      </c>
    </row>
    <row r="8" spans="1:7" x14ac:dyDescent="0.3">
      <c r="A8" s="32" t="s">
        <v>1795</v>
      </c>
      <c r="B8" s="32" t="s">
        <v>1796</v>
      </c>
      <c r="C8" s="32" t="s">
        <v>1361</v>
      </c>
      <c r="D8" s="32" t="s">
        <v>2065</v>
      </c>
      <c r="E8" s="32" t="s">
        <v>1471</v>
      </c>
      <c r="F8" s="32" t="s">
        <v>1749</v>
      </c>
      <c r="G8" s="32">
        <f>IFERROR(INDEX(Ship!A$31:B$4500,MATCH(C8,Ship!A$31:A$4500,0),2),0)</f>
        <v>0</v>
      </c>
    </row>
    <row r="9" spans="1:7" x14ac:dyDescent="0.3">
      <c r="A9" s="32" t="s">
        <v>1795</v>
      </c>
      <c r="B9" s="32" t="s">
        <v>1796</v>
      </c>
      <c r="C9" s="32" t="s">
        <v>1581</v>
      </c>
      <c r="D9" s="32" t="s">
        <v>2066</v>
      </c>
      <c r="E9" s="32" t="s">
        <v>1471</v>
      </c>
      <c r="F9" s="32" t="s">
        <v>1749</v>
      </c>
      <c r="G9" s="32">
        <f>IFERROR(INDEX(Ship!A$31:B$4500,MATCH(C9,Ship!A$31:A$4500,0),2),0)</f>
        <v>0</v>
      </c>
    </row>
    <row r="10" spans="1:7" x14ac:dyDescent="0.3">
      <c r="A10" s="32" t="s">
        <v>1795</v>
      </c>
      <c r="B10" s="32" t="s">
        <v>1796</v>
      </c>
      <c r="C10" s="32" t="s">
        <v>1362</v>
      </c>
      <c r="D10" s="32" t="s">
        <v>2068</v>
      </c>
      <c r="E10" s="32" t="s">
        <v>1471</v>
      </c>
      <c r="F10" s="32" t="s">
        <v>1749</v>
      </c>
      <c r="G10" s="32">
        <f>IFERROR(INDEX(Ship!A$31:B$4500,MATCH(C10,Ship!A$31:A$4500,0),2),0)</f>
        <v>0</v>
      </c>
    </row>
    <row r="11" spans="1:7" x14ac:dyDescent="0.3">
      <c r="A11" s="32" t="s">
        <v>1795</v>
      </c>
      <c r="B11" s="32" t="s">
        <v>1796</v>
      </c>
      <c r="C11" s="32" t="s">
        <v>1583</v>
      </c>
      <c r="D11" s="32" t="s">
        <v>2069</v>
      </c>
      <c r="E11" s="32" t="s">
        <v>1471</v>
      </c>
      <c r="F11" s="32" t="s">
        <v>1749</v>
      </c>
      <c r="G11" s="32">
        <f>IFERROR(INDEX(Ship!A$31:B$4500,MATCH(C11,Ship!A$31:A$4500,0),2),0)</f>
        <v>0</v>
      </c>
    </row>
    <row r="12" spans="1:7" x14ac:dyDescent="0.3">
      <c r="A12" s="32" t="s">
        <v>1795</v>
      </c>
      <c r="B12" s="32" t="s">
        <v>1796</v>
      </c>
      <c r="C12" s="32" t="s">
        <v>1363</v>
      </c>
      <c r="D12" s="32" t="s">
        <v>2071</v>
      </c>
      <c r="E12" s="32" t="s">
        <v>1471</v>
      </c>
      <c r="F12" s="32" t="s">
        <v>1749</v>
      </c>
      <c r="G12" s="32">
        <f>IFERROR(INDEX(Ship!A$31:B$4500,MATCH(C12,Ship!A$31:A$4500,0),2),0)</f>
        <v>0</v>
      </c>
    </row>
    <row r="13" spans="1:7" x14ac:dyDescent="0.3">
      <c r="A13" s="32" t="s">
        <v>1795</v>
      </c>
      <c r="B13" s="32" t="s">
        <v>1796</v>
      </c>
      <c r="C13" s="32" t="s">
        <v>1585</v>
      </c>
      <c r="D13" s="32" t="s">
        <v>2072</v>
      </c>
      <c r="E13" s="32" t="s">
        <v>1471</v>
      </c>
      <c r="F13" s="32" t="s">
        <v>1749</v>
      </c>
      <c r="G13" s="32">
        <f>IFERROR(INDEX(Ship!A$31:B$4500,MATCH(C13,Ship!A$31:A$4500,0),2),0)</f>
        <v>0</v>
      </c>
    </row>
    <row r="14" spans="1:7" x14ac:dyDescent="0.3">
      <c r="A14" s="32" t="s">
        <v>1795</v>
      </c>
      <c r="B14" s="32" t="s">
        <v>1796</v>
      </c>
      <c r="C14" s="32" t="s">
        <v>1364</v>
      </c>
      <c r="D14" s="32" t="s">
        <v>2074</v>
      </c>
      <c r="E14" s="32" t="s">
        <v>1471</v>
      </c>
      <c r="F14" s="32" t="s">
        <v>1749</v>
      </c>
      <c r="G14" s="32">
        <f>IFERROR(INDEX(Ship!A$31:B$4500,MATCH(C14,Ship!A$31:A$4500,0),2),0)</f>
        <v>0</v>
      </c>
    </row>
    <row r="15" spans="1:7" x14ac:dyDescent="0.3">
      <c r="A15" s="32" t="s">
        <v>1795</v>
      </c>
      <c r="B15" s="32" t="s">
        <v>1796</v>
      </c>
      <c r="C15" s="32" t="s">
        <v>1587</v>
      </c>
      <c r="D15" s="32" t="s">
        <v>2075</v>
      </c>
      <c r="E15" s="32" t="s">
        <v>1471</v>
      </c>
      <c r="F15" s="32" t="s">
        <v>1749</v>
      </c>
      <c r="G15" s="32">
        <f>IFERROR(INDEX(Ship!A$31:B$4500,MATCH(C15,Ship!A$31:A$4500,0),2),0)</f>
        <v>0</v>
      </c>
    </row>
    <row r="16" spans="1:7" x14ac:dyDescent="0.3">
      <c r="A16" s="32" t="s">
        <v>1795</v>
      </c>
      <c r="B16" s="32" t="s">
        <v>1796</v>
      </c>
      <c r="C16" s="32" t="s">
        <v>1365</v>
      </c>
      <c r="D16" s="32" t="s">
        <v>2077</v>
      </c>
      <c r="E16" s="32" t="s">
        <v>1471</v>
      </c>
      <c r="F16" s="32" t="s">
        <v>1749</v>
      </c>
      <c r="G16" s="32">
        <f>IFERROR(INDEX(Ship!A$31:B$4500,MATCH(C16,Ship!A$31:A$4500,0),2),0)</f>
        <v>0</v>
      </c>
    </row>
    <row r="17" spans="1:7" x14ac:dyDescent="0.3">
      <c r="A17" s="32" t="s">
        <v>1795</v>
      </c>
      <c r="B17" s="32" t="s">
        <v>1796</v>
      </c>
      <c r="C17" s="32" t="s">
        <v>1589</v>
      </c>
      <c r="D17" s="32" t="s">
        <v>2078</v>
      </c>
      <c r="E17" s="32" t="s">
        <v>1471</v>
      </c>
      <c r="F17" s="32" t="s">
        <v>1749</v>
      </c>
      <c r="G17" s="32">
        <f>IFERROR(INDEX(Ship!A$31:B$4500,MATCH(C17,Ship!A$31:A$4500,0),2),0)</f>
        <v>0</v>
      </c>
    </row>
    <row r="18" spans="1:7" x14ac:dyDescent="0.3">
      <c r="A18" s="32" t="s">
        <v>1795</v>
      </c>
      <c r="B18" s="32" t="s">
        <v>1796</v>
      </c>
      <c r="C18" s="32" t="s">
        <v>1366</v>
      </c>
      <c r="D18" s="32" t="s">
        <v>2080</v>
      </c>
      <c r="E18" s="32" t="s">
        <v>1471</v>
      </c>
      <c r="F18" s="32" t="s">
        <v>1749</v>
      </c>
      <c r="G18" s="32">
        <f>IFERROR(INDEX(Ship!A$31:B$4500,MATCH(C18,Ship!A$31:A$4500,0),2),0)</f>
        <v>0</v>
      </c>
    </row>
    <row r="19" spans="1:7" x14ac:dyDescent="0.3">
      <c r="A19" s="32" t="s">
        <v>1795</v>
      </c>
      <c r="B19" s="32" t="s">
        <v>1796</v>
      </c>
      <c r="C19" s="32" t="s">
        <v>1591</v>
      </c>
      <c r="D19" s="32" t="s">
        <v>2081</v>
      </c>
      <c r="E19" s="32" t="s">
        <v>1471</v>
      </c>
      <c r="F19" s="32" t="s">
        <v>1749</v>
      </c>
      <c r="G19" s="32">
        <f>IFERROR(INDEX(Ship!A$31:B$4500,MATCH(C19,Ship!A$31:A$4500,0),2),0)</f>
        <v>0</v>
      </c>
    </row>
    <row r="20" spans="1:7" x14ac:dyDescent="0.3">
      <c r="A20" s="32" t="s">
        <v>1795</v>
      </c>
      <c r="B20" s="32" t="s">
        <v>1796</v>
      </c>
      <c r="C20" s="32" t="s">
        <v>1367</v>
      </c>
      <c r="D20" s="32" t="s">
        <v>2083</v>
      </c>
      <c r="E20" s="32" t="s">
        <v>1471</v>
      </c>
      <c r="F20" s="32" t="s">
        <v>1749</v>
      </c>
      <c r="G20" s="32">
        <f>IFERROR(INDEX(Ship!A$31:B$4500,MATCH(C20,Ship!A$31:A$4500,0),2),0)</f>
        <v>0</v>
      </c>
    </row>
    <row r="21" spans="1:7" x14ac:dyDescent="0.3">
      <c r="A21" s="32" t="s">
        <v>1795</v>
      </c>
      <c r="B21" s="32" t="s">
        <v>1796</v>
      </c>
      <c r="C21" s="32" t="s">
        <v>1593</v>
      </c>
      <c r="D21" s="32" t="s">
        <v>2084</v>
      </c>
      <c r="E21" s="32" t="s">
        <v>1471</v>
      </c>
      <c r="F21" s="32" t="s">
        <v>1749</v>
      </c>
      <c r="G21" s="32">
        <f>IFERROR(INDEX(Ship!A$31:B$4500,MATCH(C21,Ship!A$31:A$4500,0),2),0)</f>
        <v>0</v>
      </c>
    </row>
    <row r="22" spans="1:7" x14ac:dyDescent="0.3">
      <c r="A22" s="32" t="s">
        <v>1795</v>
      </c>
      <c r="B22" s="32" t="s">
        <v>1796</v>
      </c>
      <c r="C22" s="32" t="s">
        <v>1368</v>
      </c>
      <c r="D22" s="32" t="s">
        <v>2086</v>
      </c>
      <c r="E22" s="32" t="s">
        <v>1471</v>
      </c>
      <c r="F22" s="32" t="s">
        <v>1749</v>
      </c>
      <c r="G22" s="32">
        <f>IFERROR(INDEX(Ship!A$31:B$4500,MATCH(C22,Ship!A$31:A$4500,0),2),0)</f>
        <v>0</v>
      </c>
    </row>
    <row r="23" spans="1:7" x14ac:dyDescent="0.3">
      <c r="A23" s="32" t="s">
        <v>1795</v>
      </c>
      <c r="B23" s="32" t="s">
        <v>1796</v>
      </c>
      <c r="C23" s="32" t="s">
        <v>2499</v>
      </c>
      <c r="D23" s="32" t="s">
        <v>2087</v>
      </c>
      <c r="E23" s="32" t="s">
        <v>1471</v>
      </c>
      <c r="F23" s="32" t="s">
        <v>1749</v>
      </c>
      <c r="G23" s="32">
        <f>IFERROR(INDEX(Ship!A$31:B$4500,MATCH(C23,Ship!A$31:A$4500,0),2),0)</f>
        <v>0</v>
      </c>
    </row>
    <row r="24" spans="1:7" x14ac:dyDescent="0.3">
      <c r="A24" s="32" t="s">
        <v>1795</v>
      </c>
      <c r="B24" s="32" t="s">
        <v>1796</v>
      </c>
      <c r="C24" s="32" t="s">
        <v>2500</v>
      </c>
      <c r="D24" s="32" t="s">
        <v>2089</v>
      </c>
      <c r="E24" s="32" t="s">
        <v>1471</v>
      </c>
      <c r="F24" s="32" t="s">
        <v>1749</v>
      </c>
      <c r="G24" s="32">
        <f>IFERROR(INDEX(Ship!A$31:B$4500,MATCH(C24,Ship!A$31:A$4500,0),2),0)</f>
        <v>0</v>
      </c>
    </row>
    <row r="25" spans="1:7" x14ac:dyDescent="0.3">
      <c r="A25" s="32" t="s">
        <v>1795</v>
      </c>
      <c r="B25" s="32" t="s">
        <v>1796</v>
      </c>
      <c r="C25" s="32" t="s">
        <v>1595</v>
      </c>
      <c r="D25" s="32" t="s">
        <v>2090</v>
      </c>
      <c r="E25" s="32" t="s">
        <v>1471</v>
      </c>
      <c r="F25" s="32" t="s">
        <v>1749</v>
      </c>
      <c r="G25" s="32">
        <f>IFERROR(INDEX(Ship!A$31:B$4500,MATCH(C25,Ship!A$31:A$4500,0),2),0)</f>
        <v>0</v>
      </c>
    </row>
    <row r="26" spans="1:7" x14ac:dyDescent="0.3">
      <c r="A26" s="32" t="s">
        <v>1795</v>
      </c>
      <c r="B26" s="32" t="s">
        <v>1796</v>
      </c>
      <c r="C26" s="32" t="s">
        <v>1369</v>
      </c>
      <c r="D26" s="32" t="s">
        <v>2092</v>
      </c>
      <c r="E26" s="32" t="s">
        <v>1471</v>
      </c>
      <c r="F26" s="32" t="s">
        <v>1749</v>
      </c>
      <c r="G26" s="32">
        <f>IFERROR(INDEX(Ship!A$31:B$4500,MATCH(C26,Ship!A$31:A$4500,0),2),0)</f>
        <v>0</v>
      </c>
    </row>
    <row r="27" spans="1:7" x14ac:dyDescent="0.3">
      <c r="A27" s="32" t="s">
        <v>1795</v>
      </c>
      <c r="B27" s="32" t="s">
        <v>1796</v>
      </c>
      <c r="C27" s="32" t="s">
        <v>2501</v>
      </c>
      <c r="D27" s="32" t="s">
        <v>2093</v>
      </c>
      <c r="E27" s="32" t="s">
        <v>1471</v>
      </c>
      <c r="F27" s="32" t="s">
        <v>1749</v>
      </c>
      <c r="G27" s="32">
        <f>IFERROR(INDEX(Ship!A$31:B$4500,MATCH(C27,Ship!A$31:A$4500,0),2),0)</f>
        <v>0</v>
      </c>
    </row>
    <row r="28" spans="1:7" x14ac:dyDescent="0.3">
      <c r="A28" s="32" t="s">
        <v>1795</v>
      </c>
      <c r="B28" s="32" t="s">
        <v>1796</v>
      </c>
      <c r="C28" s="32" t="s">
        <v>2502</v>
      </c>
      <c r="D28" s="32" t="s">
        <v>2095</v>
      </c>
      <c r="E28" s="32" t="s">
        <v>1471</v>
      </c>
      <c r="F28" s="32" t="s">
        <v>1749</v>
      </c>
      <c r="G28" s="32">
        <f>IFERROR(INDEX(Ship!A$31:B$4500,MATCH(C28,Ship!A$31:A$4500,0),2),0)</f>
        <v>0</v>
      </c>
    </row>
    <row r="29" spans="1:7" x14ac:dyDescent="0.3">
      <c r="A29" s="32" t="s">
        <v>1795</v>
      </c>
      <c r="B29" s="32" t="s">
        <v>1796</v>
      </c>
      <c r="C29" s="32" t="s">
        <v>1597</v>
      </c>
      <c r="D29" s="32" t="s">
        <v>2096</v>
      </c>
      <c r="E29" s="32" t="s">
        <v>1471</v>
      </c>
      <c r="F29" s="32" t="s">
        <v>1749</v>
      </c>
      <c r="G29" s="32">
        <f>IFERROR(INDEX(Ship!A$31:B$4500,MATCH(C29,Ship!A$31:A$4500,0),2),0)</f>
        <v>0</v>
      </c>
    </row>
    <row r="30" spans="1:7" x14ac:dyDescent="0.3">
      <c r="A30" s="32" t="s">
        <v>1795</v>
      </c>
      <c r="B30" s="32" t="s">
        <v>1796</v>
      </c>
      <c r="C30" s="32" t="s">
        <v>1370</v>
      </c>
      <c r="D30" s="32" t="s">
        <v>2098</v>
      </c>
      <c r="E30" s="32" t="s">
        <v>1471</v>
      </c>
      <c r="F30" s="32" t="s">
        <v>1749</v>
      </c>
      <c r="G30" s="32">
        <f>IFERROR(INDEX(Ship!A$31:B$4500,MATCH(C30,Ship!A$31:A$4500,0),2),0)</f>
        <v>0</v>
      </c>
    </row>
    <row r="31" spans="1:7" x14ac:dyDescent="0.3">
      <c r="A31" s="32" t="s">
        <v>1795</v>
      </c>
      <c r="B31" s="32" t="s">
        <v>1796</v>
      </c>
      <c r="C31" s="32" t="s">
        <v>2503</v>
      </c>
      <c r="D31" s="32" t="s">
        <v>2099</v>
      </c>
      <c r="E31" s="32" t="s">
        <v>1471</v>
      </c>
      <c r="F31" s="32" t="s">
        <v>1749</v>
      </c>
      <c r="G31" s="32">
        <f>IFERROR(INDEX(Ship!A$31:B$4500,MATCH(C31,Ship!A$31:A$4500,0),2),0)</f>
        <v>0</v>
      </c>
    </row>
    <row r="32" spans="1:7" x14ac:dyDescent="0.3">
      <c r="A32" s="32" t="s">
        <v>1795</v>
      </c>
      <c r="B32" s="32" t="s">
        <v>1796</v>
      </c>
      <c r="C32" s="32" t="s">
        <v>2504</v>
      </c>
      <c r="D32" s="32" t="s">
        <v>2101</v>
      </c>
      <c r="E32" s="32" t="s">
        <v>1471</v>
      </c>
      <c r="F32" s="32" t="s">
        <v>1749</v>
      </c>
      <c r="G32" s="32">
        <f>IFERROR(INDEX(Ship!A$31:B$4500,MATCH(C32,Ship!A$31:A$4500,0),2),0)</f>
        <v>0</v>
      </c>
    </row>
    <row r="33" spans="1:7" x14ac:dyDescent="0.3">
      <c r="A33" s="32" t="s">
        <v>1795</v>
      </c>
      <c r="B33" s="32" t="s">
        <v>1796</v>
      </c>
      <c r="C33" s="32" t="s">
        <v>1599</v>
      </c>
      <c r="D33" s="32" t="s">
        <v>2102</v>
      </c>
      <c r="E33" s="32" t="s">
        <v>1471</v>
      </c>
      <c r="F33" s="32" t="s">
        <v>1749</v>
      </c>
      <c r="G33" s="32">
        <f>IFERROR(INDEX(Ship!A$31:B$4500,MATCH(C33,Ship!A$31:A$4500,0),2),0)</f>
        <v>0</v>
      </c>
    </row>
    <row r="34" spans="1:7" x14ac:dyDescent="0.3">
      <c r="A34" s="32" t="s">
        <v>1795</v>
      </c>
      <c r="B34" s="32" t="s">
        <v>1796</v>
      </c>
      <c r="C34" s="32" t="s">
        <v>1371</v>
      </c>
      <c r="D34" s="32" t="s">
        <v>2104</v>
      </c>
      <c r="E34" s="32" t="s">
        <v>1471</v>
      </c>
      <c r="F34" s="32" t="s">
        <v>1749</v>
      </c>
      <c r="G34" s="32">
        <f>IFERROR(INDEX(Ship!A$31:B$4500,MATCH(C34,Ship!A$31:A$4500,0),2),0)</f>
        <v>0</v>
      </c>
    </row>
    <row r="35" spans="1:7" x14ac:dyDescent="0.3">
      <c r="A35" s="32" t="s">
        <v>1795</v>
      </c>
      <c r="B35" s="32" t="s">
        <v>1796</v>
      </c>
      <c r="C35" s="32" t="s">
        <v>2505</v>
      </c>
      <c r="D35" s="32" t="s">
        <v>2105</v>
      </c>
      <c r="E35" s="32" t="s">
        <v>1471</v>
      </c>
      <c r="F35" s="32" t="s">
        <v>1749</v>
      </c>
      <c r="G35" s="32">
        <f>IFERROR(INDEX(Ship!A$31:B$4500,MATCH(C35,Ship!A$31:A$4500,0),2),0)</f>
        <v>0</v>
      </c>
    </row>
    <row r="36" spans="1:7" x14ac:dyDescent="0.3">
      <c r="A36" s="32" t="s">
        <v>1795</v>
      </c>
      <c r="B36" s="32" t="s">
        <v>1796</v>
      </c>
      <c r="C36" s="32" t="s">
        <v>2506</v>
      </c>
      <c r="D36" s="32" t="s">
        <v>2107</v>
      </c>
      <c r="E36" s="32" t="s">
        <v>1471</v>
      </c>
      <c r="F36" s="32" t="s">
        <v>1749</v>
      </c>
      <c r="G36" s="32">
        <f>IFERROR(INDEX(Ship!A$31:B$4500,MATCH(C36,Ship!A$31:A$4500,0),2),0)</f>
        <v>0</v>
      </c>
    </row>
    <row r="37" spans="1:7" x14ac:dyDescent="0.3">
      <c r="A37" s="32" t="s">
        <v>1795</v>
      </c>
      <c r="B37" s="32" t="s">
        <v>1796</v>
      </c>
      <c r="C37" s="32" t="s">
        <v>1601</v>
      </c>
      <c r="D37" s="32" t="s">
        <v>2108</v>
      </c>
      <c r="E37" s="32" t="s">
        <v>1471</v>
      </c>
      <c r="F37" s="32" t="s">
        <v>1749</v>
      </c>
      <c r="G37" s="32">
        <f>IFERROR(INDEX(Ship!A$31:B$4500,MATCH(C37,Ship!A$31:A$4500,0),2),0)</f>
        <v>0</v>
      </c>
    </row>
    <row r="38" spans="1:7" x14ac:dyDescent="0.3">
      <c r="A38" s="32" t="s">
        <v>1795</v>
      </c>
      <c r="B38" s="32" t="s">
        <v>1796</v>
      </c>
      <c r="C38" s="32" t="s">
        <v>1372</v>
      </c>
      <c r="D38" s="32" t="s">
        <v>2110</v>
      </c>
      <c r="E38" s="32" t="s">
        <v>1471</v>
      </c>
      <c r="F38" s="32" t="s">
        <v>1749</v>
      </c>
      <c r="G38" s="32">
        <f>IFERROR(INDEX(Ship!A$31:B$4500,MATCH(C38,Ship!A$31:A$4500,0),2),0)</f>
        <v>0</v>
      </c>
    </row>
    <row r="39" spans="1:7" x14ac:dyDescent="0.3">
      <c r="A39" s="32" t="s">
        <v>1795</v>
      </c>
      <c r="B39" s="32" t="s">
        <v>1796</v>
      </c>
      <c r="C39" s="32" t="s">
        <v>2507</v>
      </c>
      <c r="D39" s="32" t="s">
        <v>2111</v>
      </c>
      <c r="E39" s="32" t="s">
        <v>1471</v>
      </c>
      <c r="F39" s="32" t="s">
        <v>1749</v>
      </c>
      <c r="G39" s="32">
        <f>IFERROR(INDEX(Ship!A$31:B$4500,MATCH(C39,Ship!A$31:A$4500,0),2),0)</f>
        <v>0</v>
      </c>
    </row>
    <row r="40" spans="1:7" x14ac:dyDescent="0.3">
      <c r="A40" s="32" t="s">
        <v>1795</v>
      </c>
      <c r="B40" s="32" t="s">
        <v>1796</v>
      </c>
      <c r="C40" s="32" t="s">
        <v>2508</v>
      </c>
      <c r="D40" s="32" t="s">
        <v>2113</v>
      </c>
      <c r="E40" s="32" t="s">
        <v>1471</v>
      </c>
      <c r="F40" s="32" t="s">
        <v>1749</v>
      </c>
      <c r="G40" s="32">
        <f>IFERROR(INDEX(Ship!A$31:B$4500,MATCH(C40,Ship!A$31:A$4500,0),2),0)</f>
        <v>0</v>
      </c>
    </row>
    <row r="41" spans="1:7" x14ac:dyDescent="0.3">
      <c r="A41" s="32" t="s">
        <v>1795</v>
      </c>
      <c r="B41" s="32" t="s">
        <v>1796</v>
      </c>
      <c r="C41" s="32" t="s">
        <v>1603</v>
      </c>
      <c r="D41" s="32" t="s">
        <v>2114</v>
      </c>
      <c r="E41" s="32" t="s">
        <v>1471</v>
      </c>
      <c r="F41" s="32" t="s">
        <v>1749</v>
      </c>
      <c r="G41" s="32">
        <f>IFERROR(INDEX(Ship!A$31:B$4500,MATCH(C41,Ship!A$31:A$4500,0),2),0)</f>
        <v>0</v>
      </c>
    </row>
    <row r="42" spans="1:7" x14ac:dyDescent="0.3">
      <c r="A42" s="32" t="s">
        <v>1795</v>
      </c>
      <c r="B42" s="32" t="s">
        <v>1796</v>
      </c>
      <c r="C42" s="32" t="s">
        <v>1759</v>
      </c>
      <c r="D42" s="32" t="s">
        <v>2116</v>
      </c>
      <c r="E42" s="32" t="s">
        <v>1471</v>
      </c>
      <c r="F42" s="32" t="s">
        <v>1749</v>
      </c>
      <c r="G42" s="32">
        <f>IFERROR(INDEX(Ship!A$31:B$4500,MATCH(C42,Ship!A$31:A$4500,0),2),0)</f>
        <v>0</v>
      </c>
    </row>
    <row r="43" spans="1:7" x14ac:dyDescent="0.3">
      <c r="A43" s="32" t="s">
        <v>1795</v>
      </c>
      <c r="B43" s="32" t="s">
        <v>1796</v>
      </c>
      <c r="C43" s="32" t="s">
        <v>2509</v>
      </c>
      <c r="D43" s="32" t="s">
        <v>2117</v>
      </c>
      <c r="E43" s="32" t="s">
        <v>1471</v>
      </c>
      <c r="F43" s="32" t="s">
        <v>1749</v>
      </c>
      <c r="G43" s="32">
        <f>IFERROR(INDEX(Ship!A$31:B$4500,MATCH(C43,Ship!A$31:A$4500,0),2),0)</f>
        <v>0</v>
      </c>
    </row>
    <row r="44" spans="1:7" x14ac:dyDescent="0.3">
      <c r="A44" s="32" t="s">
        <v>1795</v>
      </c>
      <c r="B44" s="32" t="s">
        <v>1796</v>
      </c>
      <c r="C44" s="32" t="s">
        <v>2510</v>
      </c>
      <c r="D44" s="32" t="s">
        <v>2119</v>
      </c>
      <c r="E44" s="32" t="s">
        <v>1471</v>
      </c>
      <c r="F44" s="32" t="s">
        <v>1749</v>
      </c>
      <c r="G44" s="32">
        <f>IFERROR(INDEX(Ship!A$31:B$4500,MATCH(C44,Ship!A$31:A$4500,0),2),0)</f>
        <v>0</v>
      </c>
    </row>
    <row r="45" spans="1:7" x14ac:dyDescent="0.3">
      <c r="A45" s="32" t="s">
        <v>1795</v>
      </c>
      <c r="B45" s="32" t="s">
        <v>1796</v>
      </c>
      <c r="C45" s="32" t="s">
        <v>1605</v>
      </c>
      <c r="D45" s="32" t="s">
        <v>2120</v>
      </c>
      <c r="E45" s="32" t="s">
        <v>1471</v>
      </c>
      <c r="F45" s="32" t="s">
        <v>1749</v>
      </c>
      <c r="G45" s="32">
        <f>IFERROR(INDEX(Ship!A$31:B$4500,MATCH(C45,Ship!A$31:A$4500,0),2),0)</f>
        <v>0</v>
      </c>
    </row>
    <row r="46" spans="1:7" x14ac:dyDescent="0.3">
      <c r="A46" s="32" t="s">
        <v>1795</v>
      </c>
      <c r="B46" s="32" t="s">
        <v>1796</v>
      </c>
      <c r="C46" s="32" t="s">
        <v>1760</v>
      </c>
      <c r="D46" s="32" t="s">
        <v>2122</v>
      </c>
      <c r="E46" s="32" t="s">
        <v>1471</v>
      </c>
      <c r="F46" s="32" t="s">
        <v>1749</v>
      </c>
      <c r="G46" s="32">
        <f>IFERROR(INDEX(Ship!A$31:B$4500,MATCH(C46,Ship!A$31:A$4500,0),2),0)</f>
        <v>0</v>
      </c>
    </row>
    <row r="47" spans="1:7" x14ac:dyDescent="0.3">
      <c r="A47" s="32" t="s">
        <v>1795</v>
      </c>
      <c r="B47" s="32" t="s">
        <v>1796</v>
      </c>
      <c r="C47" s="32" t="s">
        <v>2511</v>
      </c>
      <c r="D47" s="32" t="s">
        <v>2123</v>
      </c>
      <c r="E47" s="32" t="s">
        <v>1471</v>
      </c>
      <c r="F47" s="32" t="s">
        <v>1749</v>
      </c>
      <c r="G47" s="32">
        <f>IFERROR(INDEX(Ship!A$31:B$4500,MATCH(C47,Ship!A$31:A$4500,0),2),0)</f>
        <v>0</v>
      </c>
    </row>
    <row r="48" spans="1:7" x14ac:dyDescent="0.3">
      <c r="A48" s="32" t="s">
        <v>1795</v>
      </c>
      <c r="B48" s="32" t="s">
        <v>1796</v>
      </c>
      <c r="C48" s="32" t="s">
        <v>2512</v>
      </c>
      <c r="D48" s="32" t="s">
        <v>2125</v>
      </c>
      <c r="E48" s="32" t="s">
        <v>1471</v>
      </c>
      <c r="F48" s="32" t="s">
        <v>1749</v>
      </c>
      <c r="G48" s="32">
        <f>IFERROR(INDEX(Ship!A$31:B$4500,MATCH(C48,Ship!A$31:A$4500,0),2),0)</f>
        <v>0</v>
      </c>
    </row>
    <row r="49" spans="1:7" x14ac:dyDescent="0.3">
      <c r="A49" s="32" t="s">
        <v>1795</v>
      </c>
      <c r="B49" s="32" t="s">
        <v>1796</v>
      </c>
      <c r="C49" s="32" t="s">
        <v>1607</v>
      </c>
      <c r="D49" s="32" t="s">
        <v>2126</v>
      </c>
      <c r="E49" s="32" t="s">
        <v>1471</v>
      </c>
      <c r="F49" s="32" t="s">
        <v>1749</v>
      </c>
      <c r="G49" s="32">
        <f>IFERROR(INDEX(Ship!A$31:B$4500,MATCH(C49,Ship!A$31:A$4500,0),2),0)</f>
        <v>0</v>
      </c>
    </row>
    <row r="50" spans="1:7" x14ac:dyDescent="0.3">
      <c r="A50" s="32" t="s">
        <v>1795</v>
      </c>
      <c r="B50" s="32" t="s">
        <v>1796</v>
      </c>
      <c r="C50" s="32" t="s">
        <v>1761</v>
      </c>
      <c r="D50" s="32" t="s">
        <v>2128</v>
      </c>
      <c r="E50" s="32" t="s">
        <v>1471</v>
      </c>
      <c r="F50" s="32" t="s">
        <v>1749</v>
      </c>
      <c r="G50" s="32">
        <f>IFERROR(INDEX(Ship!A$31:B$4500,MATCH(C50,Ship!A$31:A$4500,0),2),0)</f>
        <v>0</v>
      </c>
    </row>
    <row r="51" spans="1:7" x14ac:dyDescent="0.3">
      <c r="A51" s="32" t="s">
        <v>1795</v>
      </c>
      <c r="B51" s="32" t="s">
        <v>1796</v>
      </c>
      <c r="C51" s="32" t="s">
        <v>2513</v>
      </c>
      <c r="D51" s="32" t="s">
        <v>2129</v>
      </c>
      <c r="E51" s="32" t="s">
        <v>1471</v>
      </c>
      <c r="F51" s="32" t="s">
        <v>1749</v>
      </c>
      <c r="G51" s="32">
        <f>IFERROR(INDEX(Ship!A$31:B$4500,MATCH(C51,Ship!A$31:A$4500,0),2),0)</f>
        <v>0</v>
      </c>
    </row>
    <row r="52" spans="1:7" x14ac:dyDescent="0.3">
      <c r="A52" s="32" t="s">
        <v>1795</v>
      </c>
      <c r="B52" s="32" t="s">
        <v>1796</v>
      </c>
      <c r="C52" s="32" t="s">
        <v>2514</v>
      </c>
      <c r="D52" s="32" t="s">
        <v>2131</v>
      </c>
      <c r="E52" s="32" t="s">
        <v>1471</v>
      </c>
      <c r="F52" s="32" t="s">
        <v>1749</v>
      </c>
      <c r="G52" s="32">
        <f>IFERROR(INDEX(Ship!A$31:B$4500,MATCH(C52,Ship!A$31:A$4500,0),2),0)</f>
        <v>0</v>
      </c>
    </row>
    <row r="53" spans="1:7" x14ac:dyDescent="0.3">
      <c r="A53" s="32" t="s">
        <v>1795</v>
      </c>
      <c r="B53" s="32" t="s">
        <v>1796</v>
      </c>
      <c r="C53" s="32" t="s">
        <v>2515</v>
      </c>
      <c r="D53" s="32" t="s">
        <v>2132</v>
      </c>
      <c r="E53" s="32" t="s">
        <v>1471</v>
      </c>
      <c r="F53" s="32" t="s">
        <v>1749</v>
      </c>
      <c r="G53" s="32">
        <f>IFERROR(INDEX(Ship!A$31:B$4500,MATCH(C53,Ship!A$31:A$4500,0),2),0)</f>
        <v>0</v>
      </c>
    </row>
    <row r="54" spans="1:7" x14ac:dyDescent="0.3">
      <c r="A54" s="32" t="s">
        <v>1795</v>
      </c>
      <c r="B54" s="32" t="s">
        <v>1796</v>
      </c>
      <c r="C54" s="32" t="s">
        <v>2516</v>
      </c>
      <c r="D54" s="32" t="s">
        <v>2134</v>
      </c>
      <c r="E54" s="32" t="s">
        <v>1471</v>
      </c>
      <c r="F54" s="32" t="s">
        <v>1749</v>
      </c>
      <c r="G54" s="32">
        <f>IFERROR(INDEX(Ship!A$31:B$4500,MATCH(C54,Ship!A$31:A$4500,0),2),0)</f>
        <v>0</v>
      </c>
    </row>
    <row r="55" spans="1:7" x14ac:dyDescent="0.3">
      <c r="A55" s="32" t="s">
        <v>1795</v>
      </c>
      <c r="B55" s="32" t="s">
        <v>1796</v>
      </c>
      <c r="C55" s="32" t="s">
        <v>2517</v>
      </c>
      <c r="D55" s="32" t="s">
        <v>2135</v>
      </c>
      <c r="E55" s="32" t="s">
        <v>1471</v>
      </c>
      <c r="F55" s="32" t="s">
        <v>1749</v>
      </c>
      <c r="G55" s="32">
        <f>IFERROR(INDEX(Ship!A$31:B$4500,MATCH(C55,Ship!A$31:A$4500,0),2),0)</f>
        <v>0</v>
      </c>
    </row>
    <row r="56" spans="1:7" x14ac:dyDescent="0.3">
      <c r="A56" s="32" t="s">
        <v>1795</v>
      </c>
      <c r="B56" s="32" t="s">
        <v>1796</v>
      </c>
      <c r="C56" s="32" t="s">
        <v>2518</v>
      </c>
      <c r="D56" s="32" t="s">
        <v>2137</v>
      </c>
      <c r="E56" s="32" t="s">
        <v>1471</v>
      </c>
      <c r="F56" s="32" t="s">
        <v>1749</v>
      </c>
      <c r="G56" s="32">
        <f>IFERROR(INDEX(Ship!A$31:B$4500,MATCH(C56,Ship!A$31:A$4500,0),2),0)</f>
        <v>0</v>
      </c>
    </row>
    <row r="57" spans="1:7" x14ac:dyDescent="0.3">
      <c r="A57" s="32" t="s">
        <v>1795</v>
      </c>
      <c r="B57" s="32" t="s">
        <v>1796</v>
      </c>
      <c r="C57" s="32" t="s">
        <v>2519</v>
      </c>
      <c r="D57" s="32" t="s">
        <v>2138</v>
      </c>
      <c r="E57" s="32" t="s">
        <v>1471</v>
      </c>
      <c r="F57" s="32" t="s">
        <v>1749</v>
      </c>
      <c r="G57" s="32">
        <f>IFERROR(INDEX(Ship!A$31:B$4500,MATCH(C57,Ship!A$31:A$4500,0),2),0)</f>
        <v>0</v>
      </c>
    </row>
    <row r="58" spans="1:7" x14ac:dyDescent="0.3">
      <c r="A58" s="32" t="s">
        <v>1795</v>
      </c>
      <c r="B58" s="32" t="s">
        <v>1796</v>
      </c>
      <c r="C58" s="32" t="s">
        <v>2520</v>
      </c>
      <c r="D58" s="32" t="s">
        <v>2140</v>
      </c>
      <c r="E58" s="32" t="s">
        <v>1471</v>
      </c>
      <c r="F58" s="32" t="s">
        <v>1749</v>
      </c>
      <c r="G58" s="32">
        <f>IFERROR(INDEX(Ship!A$31:B$4500,MATCH(C58,Ship!A$31:A$4500,0),2),0)</f>
        <v>0</v>
      </c>
    </row>
    <row r="59" spans="1:7" x14ac:dyDescent="0.3">
      <c r="A59" s="32" t="s">
        <v>1795</v>
      </c>
      <c r="B59" s="32" t="s">
        <v>1796</v>
      </c>
      <c r="C59" s="32" t="s">
        <v>2521</v>
      </c>
      <c r="D59" s="32" t="s">
        <v>2141</v>
      </c>
      <c r="E59" s="32" t="s">
        <v>1471</v>
      </c>
      <c r="F59" s="32" t="s">
        <v>1749</v>
      </c>
      <c r="G59" s="32">
        <f>IFERROR(INDEX(Ship!A$31:B$4500,MATCH(C59,Ship!A$31:A$4500,0),2),0)</f>
        <v>0</v>
      </c>
    </row>
    <row r="60" spans="1:7" x14ac:dyDescent="0.3">
      <c r="A60" s="32" t="s">
        <v>1795</v>
      </c>
      <c r="B60" s="32" t="s">
        <v>1796</v>
      </c>
      <c r="C60" s="32" t="s">
        <v>2522</v>
      </c>
      <c r="D60" s="32" t="s">
        <v>2143</v>
      </c>
      <c r="E60" s="32" t="s">
        <v>1471</v>
      </c>
      <c r="F60" s="32" t="s">
        <v>1749</v>
      </c>
      <c r="G60" s="32">
        <f>IFERROR(INDEX(Ship!A$31:B$4500,MATCH(C60,Ship!A$31:A$4500,0),2),0)</f>
        <v>0</v>
      </c>
    </row>
    <row r="61" spans="1:7" x14ac:dyDescent="0.3">
      <c r="A61" s="32" t="s">
        <v>1795</v>
      </c>
      <c r="B61" s="32" t="s">
        <v>1796</v>
      </c>
      <c r="C61" s="32" t="s">
        <v>2523</v>
      </c>
      <c r="D61" s="32" t="s">
        <v>2144</v>
      </c>
      <c r="E61" s="32" t="s">
        <v>1471</v>
      </c>
      <c r="F61" s="32" t="s">
        <v>1749</v>
      </c>
      <c r="G61" s="32">
        <f>IFERROR(INDEX(Ship!A$31:B$4500,MATCH(C61,Ship!A$31:A$4500,0),2),0)</f>
        <v>0</v>
      </c>
    </row>
    <row r="62" spans="1:7" x14ac:dyDescent="0.3">
      <c r="A62" s="32" t="s">
        <v>1795</v>
      </c>
      <c r="B62" s="32" t="s">
        <v>1796</v>
      </c>
      <c r="C62" s="32" t="s">
        <v>2524</v>
      </c>
      <c r="D62" s="32" t="s">
        <v>2146</v>
      </c>
      <c r="E62" s="32" t="s">
        <v>1471</v>
      </c>
      <c r="F62" s="32" t="s">
        <v>1749</v>
      </c>
      <c r="G62" s="32">
        <f>IFERROR(INDEX(Ship!A$31:B$4500,MATCH(C62,Ship!A$31:A$4500,0),2),0)</f>
        <v>0</v>
      </c>
    </row>
    <row r="63" spans="1:7" x14ac:dyDescent="0.3">
      <c r="A63" s="32" t="s">
        <v>1795</v>
      </c>
      <c r="B63" s="32" t="s">
        <v>1796</v>
      </c>
      <c r="C63" s="32" t="s">
        <v>2525</v>
      </c>
      <c r="D63" s="32" t="s">
        <v>2147</v>
      </c>
      <c r="E63" s="32" t="s">
        <v>1471</v>
      </c>
      <c r="F63" s="32" t="s">
        <v>1749</v>
      </c>
      <c r="G63" s="32">
        <f>IFERROR(INDEX(Ship!A$31:B$4500,MATCH(C63,Ship!A$31:A$4500,0),2),0)</f>
        <v>0</v>
      </c>
    </row>
    <row r="64" spans="1:7" x14ac:dyDescent="0.3">
      <c r="A64" s="32" t="s">
        <v>1795</v>
      </c>
      <c r="B64" s="32" t="s">
        <v>1796</v>
      </c>
      <c r="C64" s="32" t="s">
        <v>1609</v>
      </c>
      <c r="D64" s="32" t="s">
        <v>2149</v>
      </c>
      <c r="E64" s="32" t="s">
        <v>1471</v>
      </c>
      <c r="F64" s="32" t="s">
        <v>1749</v>
      </c>
      <c r="G64" s="32">
        <f>IFERROR(INDEX(Ship!A$31:B$4500,MATCH(C64,Ship!A$31:A$4500,0),2),0)</f>
        <v>0</v>
      </c>
    </row>
    <row r="65" spans="1:7" x14ac:dyDescent="0.3">
      <c r="A65" s="32" t="s">
        <v>1795</v>
      </c>
      <c r="B65" s="32" t="s">
        <v>1796</v>
      </c>
      <c r="C65" s="32" t="s">
        <v>1611</v>
      </c>
      <c r="D65" s="32" t="s">
        <v>2150</v>
      </c>
      <c r="E65" s="32" t="s">
        <v>1471</v>
      </c>
      <c r="F65" s="32" t="s">
        <v>1749</v>
      </c>
      <c r="G65" s="32">
        <f>IFERROR(INDEX(Ship!A$31:B$4500,MATCH(C65,Ship!A$31:A$4500,0),2),0)</f>
        <v>0</v>
      </c>
    </row>
    <row r="66" spans="1:7" x14ac:dyDescent="0.3">
      <c r="A66" s="32" t="s">
        <v>1795</v>
      </c>
      <c r="B66" s="32" t="s">
        <v>1796</v>
      </c>
      <c r="C66" s="32" t="s">
        <v>1762</v>
      </c>
      <c r="D66" s="32" t="s">
        <v>2151</v>
      </c>
      <c r="E66" s="32" t="s">
        <v>1471</v>
      </c>
      <c r="F66" s="32" t="s">
        <v>1749</v>
      </c>
      <c r="G66" s="32">
        <f>IFERROR(INDEX(Ship!A$31:B$4500,MATCH(C66,Ship!A$31:A$4500,0),2),0)</f>
        <v>0</v>
      </c>
    </row>
    <row r="67" spans="1:7" x14ac:dyDescent="0.3">
      <c r="A67" s="32" t="s">
        <v>1795</v>
      </c>
      <c r="B67" s="32" t="s">
        <v>1796</v>
      </c>
      <c r="C67" s="32" t="s">
        <v>1610</v>
      </c>
      <c r="D67" s="32" t="s">
        <v>2152</v>
      </c>
      <c r="E67" s="32" t="s">
        <v>1471</v>
      </c>
      <c r="F67" s="32" t="s">
        <v>1749</v>
      </c>
      <c r="G67" s="32">
        <f>IFERROR(INDEX(Ship!A$31:B$4500,MATCH(C67,Ship!A$31:A$4500,0),2),0)</f>
        <v>0</v>
      </c>
    </row>
    <row r="68" spans="1:7" x14ac:dyDescent="0.3">
      <c r="A68" s="32" t="s">
        <v>1795</v>
      </c>
      <c r="B68" s="32" t="s">
        <v>1796</v>
      </c>
      <c r="C68" s="32" t="s">
        <v>1613</v>
      </c>
      <c r="D68" s="32" t="s">
        <v>2154</v>
      </c>
      <c r="E68" s="32" t="s">
        <v>1471</v>
      </c>
      <c r="F68" s="32" t="s">
        <v>1749</v>
      </c>
      <c r="G68" s="32">
        <f>IFERROR(INDEX(Ship!A$31:B$4500,MATCH(C68,Ship!A$31:A$4500,0),2),0)</f>
        <v>0</v>
      </c>
    </row>
    <row r="69" spans="1:7" x14ac:dyDescent="0.3">
      <c r="A69" s="32" t="s">
        <v>1795</v>
      </c>
      <c r="B69" s="32" t="s">
        <v>1796</v>
      </c>
      <c r="C69" s="32" t="s">
        <v>1615</v>
      </c>
      <c r="D69" s="32" t="s">
        <v>2155</v>
      </c>
      <c r="E69" s="32" t="s">
        <v>1471</v>
      </c>
      <c r="F69" s="32" t="s">
        <v>1749</v>
      </c>
      <c r="G69" s="32">
        <f>IFERROR(INDEX(Ship!A$31:B$4500,MATCH(C69,Ship!A$31:A$4500,0),2),0)</f>
        <v>0</v>
      </c>
    </row>
    <row r="70" spans="1:7" x14ac:dyDescent="0.3">
      <c r="A70" s="32" t="s">
        <v>1795</v>
      </c>
      <c r="B70" s="32" t="s">
        <v>1796</v>
      </c>
      <c r="C70" s="32" t="s">
        <v>1381</v>
      </c>
      <c r="D70" s="32" t="s">
        <v>2156</v>
      </c>
      <c r="E70" s="32" t="s">
        <v>1471</v>
      </c>
      <c r="F70" s="32" t="s">
        <v>1749</v>
      </c>
      <c r="G70" s="32">
        <f>IFERROR(INDEX(Ship!A$31:B$4500,MATCH(C70,Ship!A$31:A$4500,0),2),0)</f>
        <v>0</v>
      </c>
    </row>
    <row r="71" spans="1:7" x14ac:dyDescent="0.3">
      <c r="A71" s="32" t="s">
        <v>1795</v>
      </c>
      <c r="B71" s="32" t="s">
        <v>1796</v>
      </c>
      <c r="C71" s="32" t="s">
        <v>1614</v>
      </c>
      <c r="D71" s="32" t="s">
        <v>2157</v>
      </c>
      <c r="E71" s="32" t="s">
        <v>1471</v>
      </c>
      <c r="F71" s="32" t="s">
        <v>1749</v>
      </c>
      <c r="G71" s="32">
        <f>IFERROR(INDEX(Ship!A$31:B$4500,MATCH(C71,Ship!A$31:A$4500,0),2),0)</f>
        <v>0</v>
      </c>
    </row>
    <row r="72" spans="1:7" x14ac:dyDescent="0.3">
      <c r="A72" s="32" t="s">
        <v>1795</v>
      </c>
      <c r="B72" s="32" t="s">
        <v>1796</v>
      </c>
      <c r="C72" s="32" t="s">
        <v>1617</v>
      </c>
      <c r="D72" s="32" t="s">
        <v>2159</v>
      </c>
      <c r="E72" s="32" t="s">
        <v>1471</v>
      </c>
      <c r="F72" s="32" t="s">
        <v>1749</v>
      </c>
      <c r="G72" s="32">
        <f>IFERROR(INDEX(Ship!A$31:B$4500,MATCH(C72,Ship!A$31:A$4500,0),2),0)</f>
        <v>0</v>
      </c>
    </row>
    <row r="73" spans="1:7" x14ac:dyDescent="0.3">
      <c r="A73" s="32" t="s">
        <v>1795</v>
      </c>
      <c r="B73" s="32" t="s">
        <v>1796</v>
      </c>
      <c r="C73" s="32" t="s">
        <v>1619</v>
      </c>
      <c r="D73" s="32" t="s">
        <v>2160</v>
      </c>
      <c r="E73" s="32" t="s">
        <v>1471</v>
      </c>
      <c r="F73" s="32" t="s">
        <v>1749</v>
      </c>
      <c r="G73" s="32">
        <f>IFERROR(INDEX(Ship!A$31:B$4500,MATCH(C73,Ship!A$31:A$4500,0),2),0)</f>
        <v>0</v>
      </c>
    </row>
    <row r="74" spans="1:7" x14ac:dyDescent="0.3">
      <c r="A74" s="32" t="s">
        <v>1795</v>
      </c>
      <c r="B74" s="32" t="s">
        <v>1796</v>
      </c>
      <c r="C74" s="32" t="s">
        <v>1382</v>
      </c>
      <c r="D74" s="32" t="s">
        <v>2161</v>
      </c>
      <c r="E74" s="32" t="s">
        <v>1471</v>
      </c>
      <c r="F74" s="32" t="s">
        <v>1749</v>
      </c>
      <c r="G74" s="32">
        <f>IFERROR(INDEX(Ship!A$31:B$4500,MATCH(C74,Ship!A$31:A$4500,0),2),0)</f>
        <v>0</v>
      </c>
    </row>
    <row r="75" spans="1:7" x14ac:dyDescent="0.3">
      <c r="A75" s="32" t="s">
        <v>1795</v>
      </c>
      <c r="B75" s="32" t="s">
        <v>1796</v>
      </c>
      <c r="C75" s="32" t="s">
        <v>1618</v>
      </c>
      <c r="D75" s="32" t="s">
        <v>2162</v>
      </c>
      <c r="E75" s="32" t="s">
        <v>1471</v>
      </c>
      <c r="F75" s="32" t="s">
        <v>1749</v>
      </c>
      <c r="G75" s="32">
        <f>IFERROR(INDEX(Ship!A$31:B$4500,MATCH(C75,Ship!A$31:A$4500,0),2),0)</f>
        <v>0</v>
      </c>
    </row>
    <row r="76" spans="1:7" x14ac:dyDescent="0.3">
      <c r="A76" s="32" t="s">
        <v>1795</v>
      </c>
      <c r="B76" s="32" t="s">
        <v>1796</v>
      </c>
      <c r="C76" s="32" t="s">
        <v>1621</v>
      </c>
      <c r="D76" s="32" t="s">
        <v>2164</v>
      </c>
      <c r="E76" s="32" t="s">
        <v>1471</v>
      </c>
      <c r="F76" s="32" t="s">
        <v>1749</v>
      </c>
      <c r="G76" s="32">
        <f>IFERROR(INDEX(Ship!A$31:B$4500,MATCH(C76,Ship!A$31:A$4500,0),2),0)</f>
        <v>0</v>
      </c>
    </row>
    <row r="77" spans="1:7" x14ac:dyDescent="0.3">
      <c r="A77" s="32" t="s">
        <v>1795</v>
      </c>
      <c r="B77" s="32" t="s">
        <v>1796</v>
      </c>
      <c r="C77" s="32" t="s">
        <v>1623</v>
      </c>
      <c r="D77" s="32" t="s">
        <v>2165</v>
      </c>
      <c r="E77" s="32" t="s">
        <v>1471</v>
      </c>
      <c r="F77" s="32" t="s">
        <v>1749</v>
      </c>
      <c r="G77" s="32">
        <f>IFERROR(INDEX(Ship!A$31:B$4500,MATCH(C77,Ship!A$31:A$4500,0),2),0)</f>
        <v>0</v>
      </c>
    </row>
    <row r="78" spans="1:7" x14ac:dyDescent="0.3">
      <c r="A78" s="32" t="s">
        <v>1795</v>
      </c>
      <c r="B78" s="32" t="s">
        <v>1796</v>
      </c>
      <c r="C78" s="32" t="s">
        <v>1383</v>
      </c>
      <c r="D78" s="32" t="s">
        <v>2166</v>
      </c>
      <c r="E78" s="32" t="s">
        <v>1471</v>
      </c>
      <c r="F78" s="32" t="s">
        <v>1749</v>
      </c>
      <c r="G78" s="32">
        <f>IFERROR(INDEX(Ship!A$31:B$4500,MATCH(C78,Ship!A$31:A$4500,0),2),0)</f>
        <v>0</v>
      </c>
    </row>
    <row r="79" spans="1:7" x14ac:dyDescent="0.3">
      <c r="A79" s="32" t="s">
        <v>1795</v>
      </c>
      <c r="B79" s="32" t="s">
        <v>1796</v>
      </c>
      <c r="C79" s="32" t="s">
        <v>1622</v>
      </c>
      <c r="D79" s="32" t="s">
        <v>2167</v>
      </c>
      <c r="E79" s="32" t="s">
        <v>1471</v>
      </c>
      <c r="F79" s="32" t="s">
        <v>1749</v>
      </c>
      <c r="G79" s="32">
        <f>IFERROR(INDEX(Ship!A$31:B$4500,MATCH(C79,Ship!A$31:A$4500,0),2),0)</f>
        <v>0</v>
      </c>
    </row>
    <row r="80" spans="1:7" x14ac:dyDescent="0.3">
      <c r="A80" s="32" t="s">
        <v>1795</v>
      </c>
      <c r="B80" s="32" t="s">
        <v>1796</v>
      </c>
      <c r="C80" s="32" t="s">
        <v>1625</v>
      </c>
      <c r="D80" s="32" t="s">
        <v>2169</v>
      </c>
      <c r="E80" s="32" t="s">
        <v>1471</v>
      </c>
      <c r="F80" s="32" t="s">
        <v>1749</v>
      </c>
      <c r="G80" s="32">
        <f>IFERROR(INDEX(Ship!A$31:B$4500,MATCH(C80,Ship!A$31:A$4500,0),2),0)</f>
        <v>0</v>
      </c>
    </row>
    <row r="81" spans="1:7" x14ac:dyDescent="0.3">
      <c r="A81" s="32" t="s">
        <v>1795</v>
      </c>
      <c r="B81" s="32" t="s">
        <v>1796</v>
      </c>
      <c r="C81" s="32" t="s">
        <v>1627</v>
      </c>
      <c r="D81" s="32" t="s">
        <v>2170</v>
      </c>
      <c r="E81" s="32" t="s">
        <v>1471</v>
      </c>
      <c r="F81" s="32" t="s">
        <v>1749</v>
      </c>
      <c r="G81" s="32">
        <f>IFERROR(INDEX(Ship!A$31:B$4500,MATCH(C81,Ship!A$31:A$4500,0),2),0)</f>
        <v>0</v>
      </c>
    </row>
    <row r="82" spans="1:7" x14ac:dyDescent="0.3">
      <c r="A82" s="32" t="s">
        <v>1795</v>
      </c>
      <c r="B82" s="32" t="s">
        <v>1796</v>
      </c>
      <c r="C82" s="32" t="s">
        <v>1384</v>
      </c>
      <c r="D82" s="32" t="s">
        <v>2171</v>
      </c>
      <c r="E82" s="32" t="s">
        <v>1471</v>
      </c>
      <c r="F82" s="32" t="s">
        <v>1749</v>
      </c>
      <c r="G82" s="32">
        <f>IFERROR(INDEX(Ship!A$31:B$4500,MATCH(C82,Ship!A$31:A$4500,0),2),0)</f>
        <v>0</v>
      </c>
    </row>
    <row r="83" spans="1:7" x14ac:dyDescent="0.3">
      <c r="A83" s="32" t="s">
        <v>1795</v>
      </c>
      <c r="B83" s="32" t="s">
        <v>1796</v>
      </c>
      <c r="C83" s="32" t="s">
        <v>1626</v>
      </c>
      <c r="D83" s="32" t="s">
        <v>2172</v>
      </c>
      <c r="E83" s="32" t="s">
        <v>1471</v>
      </c>
      <c r="F83" s="32" t="s">
        <v>1749</v>
      </c>
      <c r="G83" s="32">
        <f>IFERROR(INDEX(Ship!A$31:B$4500,MATCH(C83,Ship!A$31:A$4500,0),2),0)</f>
        <v>0</v>
      </c>
    </row>
    <row r="84" spans="1:7" x14ac:dyDescent="0.3">
      <c r="A84" s="32" t="s">
        <v>1795</v>
      </c>
      <c r="B84" s="32" t="s">
        <v>1796</v>
      </c>
      <c r="C84" s="32" t="s">
        <v>1629</v>
      </c>
      <c r="D84" s="32" t="s">
        <v>2174</v>
      </c>
      <c r="E84" s="32" t="s">
        <v>1471</v>
      </c>
      <c r="F84" s="32" t="s">
        <v>1749</v>
      </c>
      <c r="G84" s="32">
        <f>IFERROR(INDEX(Ship!A$31:B$4500,MATCH(C84,Ship!A$31:A$4500,0),2),0)</f>
        <v>0</v>
      </c>
    </row>
    <row r="85" spans="1:7" x14ac:dyDescent="0.3">
      <c r="A85" s="32" t="s">
        <v>1795</v>
      </c>
      <c r="B85" s="32" t="s">
        <v>1796</v>
      </c>
      <c r="C85" s="32" t="s">
        <v>1631</v>
      </c>
      <c r="D85" s="32" t="s">
        <v>2175</v>
      </c>
      <c r="E85" s="32" t="s">
        <v>1471</v>
      </c>
      <c r="F85" s="32" t="s">
        <v>1749</v>
      </c>
      <c r="G85" s="32">
        <f>IFERROR(INDEX(Ship!A$31:B$4500,MATCH(C85,Ship!A$31:A$4500,0),2),0)</f>
        <v>0</v>
      </c>
    </row>
    <row r="86" spans="1:7" x14ac:dyDescent="0.3">
      <c r="A86" s="32" t="s">
        <v>1795</v>
      </c>
      <c r="B86" s="32" t="s">
        <v>1796</v>
      </c>
      <c r="C86" s="32" t="s">
        <v>1385</v>
      </c>
      <c r="D86" s="32" t="s">
        <v>2176</v>
      </c>
      <c r="E86" s="32" t="s">
        <v>1471</v>
      </c>
      <c r="F86" s="32" t="s">
        <v>1749</v>
      </c>
      <c r="G86" s="32">
        <f>IFERROR(INDEX(Ship!A$31:B$4500,MATCH(C86,Ship!A$31:A$4500,0),2),0)</f>
        <v>0</v>
      </c>
    </row>
    <row r="87" spans="1:7" x14ac:dyDescent="0.3">
      <c r="A87" s="32" t="s">
        <v>1795</v>
      </c>
      <c r="B87" s="32" t="s">
        <v>1796</v>
      </c>
      <c r="C87" s="32" t="s">
        <v>1630</v>
      </c>
      <c r="D87" s="32" t="s">
        <v>2177</v>
      </c>
      <c r="E87" s="32" t="s">
        <v>1471</v>
      </c>
      <c r="F87" s="32" t="s">
        <v>1749</v>
      </c>
      <c r="G87" s="32">
        <f>IFERROR(INDEX(Ship!A$31:B$4500,MATCH(C87,Ship!A$31:A$4500,0),2),0)</f>
        <v>0</v>
      </c>
    </row>
    <row r="88" spans="1:7" x14ac:dyDescent="0.3">
      <c r="A88" s="32" t="s">
        <v>1795</v>
      </c>
      <c r="B88" s="32" t="s">
        <v>1796</v>
      </c>
      <c r="C88" s="32" t="s">
        <v>1633</v>
      </c>
      <c r="D88" s="32" t="s">
        <v>2179</v>
      </c>
      <c r="E88" s="32" t="s">
        <v>1471</v>
      </c>
      <c r="F88" s="32" t="s">
        <v>1749</v>
      </c>
      <c r="G88" s="32">
        <f>IFERROR(INDEX(Ship!A$31:B$4500,MATCH(C88,Ship!A$31:A$4500,0),2),0)</f>
        <v>0</v>
      </c>
    </row>
    <row r="89" spans="1:7" x14ac:dyDescent="0.3">
      <c r="A89" s="32" t="s">
        <v>1795</v>
      </c>
      <c r="B89" s="32" t="s">
        <v>1796</v>
      </c>
      <c r="C89" s="32" t="s">
        <v>1635</v>
      </c>
      <c r="D89" s="32" t="s">
        <v>2180</v>
      </c>
      <c r="E89" s="32" t="s">
        <v>1471</v>
      </c>
      <c r="F89" s="32" t="s">
        <v>1749</v>
      </c>
      <c r="G89" s="32">
        <f>IFERROR(INDEX(Ship!A$31:B$4500,MATCH(C89,Ship!A$31:A$4500,0),2),0)</f>
        <v>0</v>
      </c>
    </row>
    <row r="90" spans="1:7" x14ac:dyDescent="0.3">
      <c r="A90" s="32" t="s">
        <v>1795</v>
      </c>
      <c r="B90" s="32" t="s">
        <v>1796</v>
      </c>
      <c r="C90" s="32" t="s">
        <v>1386</v>
      </c>
      <c r="D90" s="32" t="s">
        <v>2181</v>
      </c>
      <c r="E90" s="32" t="s">
        <v>1471</v>
      </c>
      <c r="F90" s="32" t="s">
        <v>1749</v>
      </c>
      <c r="G90" s="32">
        <f>IFERROR(INDEX(Ship!A$31:B$4500,MATCH(C90,Ship!A$31:A$4500,0),2),0)</f>
        <v>0</v>
      </c>
    </row>
    <row r="91" spans="1:7" x14ac:dyDescent="0.3">
      <c r="A91" s="32" t="s">
        <v>1795</v>
      </c>
      <c r="B91" s="32" t="s">
        <v>1796</v>
      </c>
      <c r="C91" s="32" t="s">
        <v>1634</v>
      </c>
      <c r="D91" s="32" t="s">
        <v>2182</v>
      </c>
      <c r="E91" s="32" t="s">
        <v>1471</v>
      </c>
      <c r="F91" s="32" t="s">
        <v>1749</v>
      </c>
      <c r="G91" s="32">
        <f>IFERROR(INDEX(Ship!A$31:B$4500,MATCH(C91,Ship!A$31:A$4500,0),2),0)</f>
        <v>0</v>
      </c>
    </row>
    <row r="92" spans="1:7" x14ac:dyDescent="0.3">
      <c r="A92" s="32" t="s">
        <v>1795</v>
      </c>
      <c r="B92" s="32" t="s">
        <v>1796</v>
      </c>
      <c r="C92" s="32" t="s">
        <v>1637</v>
      </c>
      <c r="D92" s="32" t="s">
        <v>2184</v>
      </c>
      <c r="E92" s="32" t="s">
        <v>1471</v>
      </c>
      <c r="F92" s="32" t="s">
        <v>1749</v>
      </c>
      <c r="G92" s="32">
        <f>IFERROR(INDEX(Ship!A$31:B$4500,MATCH(C92,Ship!A$31:A$4500,0),2),0)</f>
        <v>0</v>
      </c>
    </row>
    <row r="93" spans="1:7" x14ac:dyDescent="0.3">
      <c r="A93" s="32" t="s">
        <v>1795</v>
      </c>
      <c r="B93" s="32" t="s">
        <v>1796</v>
      </c>
      <c r="C93" s="32" t="s">
        <v>1639</v>
      </c>
      <c r="D93" s="32" t="s">
        <v>2185</v>
      </c>
      <c r="E93" s="32" t="s">
        <v>1471</v>
      </c>
      <c r="F93" s="32" t="s">
        <v>1749</v>
      </c>
      <c r="G93" s="32">
        <f>IFERROR(INDEX(Ship!A$31:B$4500,MATCH(C93,Ship!A$31:A$4500,0),2),0)</f>
        <v>0</v>
      </c>
    </row>
    <row r="94" spans="1:7" x14ac:dyDescent="0.3">
      <c r="A94" s="32" t="s">
        <v>1795</v>
      </c>
      <c r="B94" s="32" t="s">
        <v>1796</v>
      </c>
      <c r="C94" s="32" t="s">
        <v>1387</v>
      </c>
      <c r="D94" s="32" t="s">
        <v>2186</v>
      </c>
      <c r="E94" s="32" t="s">
        <v>1471</v>
      </c>
      <c r="F94" s="32" t="s">
        <v>1749</v>
      </c>
      <c r="G94" s="32">
        <f>IFERROR(INDEX(Ship!A$31:B$4500,MATCH(C94,Ship!A$31:A$4500,0),2),0)</f>
        <v>0</v>
      </c>
    </row>
    <row r="95" spans="1:7" x14ac:dyDescent="0.3">
      <c r="A95" s="32" t="s">
        <v>1795</v>
      </c>
      <c r="B95" s="32" t="s">
        <v>1796</v>
      </c>
      <c r="C95" s="32" t="s">
        <v>1638</v>
      </c>
      <c r="D95" s="32" t="s">
        <v>2187</v>
      </c>
      <c r="E95" s="32" t="s">
        <v>1471</v>
      </c>
      <c r="F95" s="32" t="s">
        <v>1749</v>
      </c>
      <c r="G95" s="32">
        <f>IFERROR(INDEX(Ship!A$31:B$4500,MATCH(C95,Ship!A$31:A$4500,0),2),0)</f>
        <v>0</v>
      </c>
    </row>
    <row r="96" spans="1:7" x14ac:dyDescent="0.3">
      <c r="A96" s="32" t="s">
        <v>1795</v>
      </c>
      <c r="B96" s="32" t="s">
        <v>1796</v>
      </c>
      <c r="C96" s="32" t="s">
        <v>1641</v>
      </c>
      <c r="D96" s="32" t="s">
        <v>2189</v>
      </c>
      <c r="E96" s="32" t="s">
        <v>1471</v>
      </c>
      <c r="F96" s="32" t="s">
        <v>1749</v>
      </c>
      <c r="G96" s="32">
        <f>IFERROR(INDEX(Ship!A$31:B$4500,MATCH(C96,Ship!A$31:A$4500,0),2),0)</f>
        <v>0</v>
      </c>
    </row>
    <row r="97" spans="1:7" x14ac:dyDescent="0.3">
      <c r="A97" s="32" t="s">
        <v>1795</v>
      </c>
      <c r="B97" s="32" t="s">
        <v>1796</v>
      </c>
      <c r="C97" s="32" t="s">
        <v>1643</v>
      </c>
      <c r="D97" s="32" t="s">
        <v>2190</v>
      </c>
      <c r="E97" s="32" t="s">
        <v>1471</v>
      </c>
      <c r="F97" s="32" t="s">
        <v>1749</v>
      </c>
      <c r="G97" s="32">
        <f>IFERROR(INDEX(Ship!A$31:B$4500,MATCH(C97,Ship!A$31:A$4500,0),2),0)</f>
        <v>0</v>
      </c>
    </row>
    <row r="98" spans="1:7" x14ac:dyDescent="0.3">
      <c r="A98" s="32" t="s">
        <v>1795</v>
      </c>
      <c r="B98" s="32" t="s">
        <v>1796</v>
      </c>
      <c r="C98" s="32" t="s">
        <v>1388</v>
      </c>
      <c r="D98" s="32" t="s">
        <v>2191</v>
      </c>
      <c r="E98" s="32" t="s">
        <v>1471</v>
      </c>
      <c r="F98" s="32" t="s">
        <v>1749</v>
      </c>
      <c r="G98" s="32">
        <f>IFERROR(INDEX(Ship!A$31:B$4500,MATCH(C98,Ship!A$31:A$4500,0),2),0)</f>
        <v>0</v>
      </c>
    </row>
    <row r="99" spans="1:7" x14ac:dyDescent="0.3">
      <c r="A99" s="32" t="s">
        <v>1795</v>
      </c>
      <c r="B99" s="32" t="s">
        <v>1796</v>
      </c>
      <c r="C99" s="32" t="s">
        <v>1642</v>
      </c>
      <c r="D99" s="32" t="s">
        <v>2192</v>
      </c>
      <c r="E99" s="32" t="s">
        <v>1471</v>
      </c>
      <c r="F99" s="32" t="s">
        <v>1749</v>
      </c>
      <c r="G99" s="32">
        <f>IFERROR(INDEX(Ship!A$31:B$4500,MATCH(C99,Ship!A$31:A$4500,0),2),0)</f>
        <v>0</v>
      </c>
    </row>
    <row r="100" spans="1:7" x14ac:dyDescent="0.3">
      <c r="A100" s="32" t="s">
        <v>1795</v>
      </c>
      <c r="B100" s="32" t="s">
        <v>1796</v>
      </c>
      <c r="C100" s="32" t="s">
        <v>1645</v>
      </c>
      <c r="D100" s="32" t="s">
        <v>2194</v>
      </c>
      <c r="E100" s="32" t="s">
        <v>1471</v>
      </c>
      <c r="F100" s="32" t="s">
        <v>1749</v>
      </c>
      <c r="G100" s="32">
        <f>IFERROR(INDEX(Ship!A$31:B$4500,MATCH(C100,Ship!A$31:A$4500,0),2),0)</f>
        <v>0</v>
      </c>
    </row>
    <row r="101" spans="1:7" x14ac:dyDescent="0.3">
      <c r="A101" s="32" t="s">
        <v>1795</v>
      </c>
      <c r="B101" s="32" t="s">
        <v>1796</v>
      </c>
      <c r="C101" s="32" t="s">
        <v>1647</v>
      </c>
      <c r="D101" s="32" t="s">
        <v>2195</v>
      </c>
      <c r="E101" s="32" t="s">
        <v>1471</v>
      </c>
      <c r="F101" s="32" t="s">
        <v>1749</v>
      </c>
      <c r="G101" s="32">
        <f>IFERROR(INDEX(Ship!A$31:B$4500,MATCH(C101,Ship!A$31:A$4500,0),2),0)</f>
        <v>0</v>
      </c>
    </row>
    <row r="102" spans="1:7" x14ac:dyDescent="0.3">
      <c r="A102" s="32" t="s">
        <v>1795</v>
      </c>
      <c r="B102" s="32" t="s">
        <v>1796</v>
      </c>
      <c r="C102" s="32" t="s">
        <v>1389</v>
      </c>
      <c r="D102" s="32" t="s">
        <v>2196</v>
      </c>
      <c r="E102" s="32" t="s">
        <v>1471</v>
      </c>
      <c r="F102" s="32" t="s">
        <v>1749</v>
      </c>
      <c r="G102" s="32">
        <f>IFERROR(INDEX(Ship!A$31:B$4500,MATCH(C102,Ship!A$31:A$4500,0),2),0)</f>
        <v>0</v>
      </c>
    </row>
    <row r="103" spans="1:7" x14ac:dyDescent="0.3">
      <c r="A103" s="32" t="s">
        <v>1795</v>
      </c>
      <c r="B103" s="32" t="s">
        <v>1796</v>
      </c>
      <c r="C103" s="32" t="s">
        <v>1646</v>
      </c>
      <c r="D103" s="32" t="s">
        <v>2197</v>
      </c>
      <c r="E103" s="32" t="s">
        <v>1471</v>
      </c>
      <c r="F103" s="32" t="s">
        <v>1749</v>
      </c>
      <c r="G103" s="32">
        <f>IFERROR(INDEX(Ship!A$31:B$4500,MATCH(C103,Ship!A$31:A$4500,0),2),0)</f>
        <v>0</v>
      </c>
    </row>
    <row r="104" spans="1:7" x14ac:dyDescent="0.3">
      <c r="A104" s="32" t="s">
        <v>1795</v>
      </c>
      <c r="B104" s="32" t="s">
        <v>1796</v>
      </c>
      <c r="C104" s="32" t="s">
        <v>1649</v>
      </c>
      <c r="D104" s="32" t="s">
        <v>2199</v>
      </c>
      <c r="E104" s="32" t="s">
        <v>1471</v>
      </c>
      <c r="F104" s="32" t="s">
        <v>1749</v>
      </c>
      <c r="G104" s="32">
        <f>IFERROR(INDEX(Ship!A$31:B$4500,MATCH(C104,Ship!A$31:A$4500,0),2),0)</f>
        <v>0</v>
      </c>
    </row>
    <row r="105" spans="1:7" x14ac:dyDescent="0.3">
      <c r="A105" s="32" t="s">
        <v>1795</v>
      </c>
      <c r="B105" s="32" t="s">
        <v>1796</v>
      </c>
      <c r="C105" s="32" t="s">
        <v>1651</v>
      </c>
      <c r="D105" s="32" t="s">
        <v>2200</v>
      </c>
      <c r="E105" s="32" t="s">
        <v>1471</v>
      </c>
      <c r="F105" s="32" t="s">
        <v>1749</v>
      </c>
      <c r="G105" s="32">
        <f>IFERROR(INDEX(Ship!A$31:B$4500,MATCH(C105,Ship!A$31:A$4500,0),2),0)</f>
        <v>0</v>
      </c>
    </row>
    <row r="106" spans="1:7" x14ac:dyDescent="0.3">
      <c r="A106" s="32" t="s">
        <v>1795</v>
      </c>
      <c r="B106" s="32" t="s">
        <v>1796</v>
      </c>
      <c r="C106" s="32" t="s">
        <v>1390</v>
      </c>
      <c r="D106" s="32" t="s">
        <v>2201</v>
      </c>
      <c r="E106" s="32" t="s">
        <v>1471</v>
      </c>
      <c r="F106" s="32" t="s">
        <v>1749</v>
      </c>
      <c r="G106" s="32">
        <f>IFERROR(INDEX(Ship!A$31:B$4500,MATCH(C106,Ship!A$31:A$4500,0),2),0)</f>
        <v>0</v>
      </c>
    </row>
    <row r="107" spans="1:7" x14ac:dyDescent="0.3">
      <c r="A107" s="32" t="s">
        <v>1795</v>
      </c>
      <c r="B107" s="32" t="s">
        <v>1796</v>
      </c>
      <c r="C107" s="32" t="s">
        <v>1650</v>
      </c>
      <c r="D107" s="32" t="s">
        <v>2202</v>
      </c>
      <c r="E107" s="32" t="s">
        <v>1471</v>
      </c>
      <c r="F107" s="32" t="s">
        <v>1749</v>
      </c>
      <c r="G107" s="32">
        <f>IFERROR(INDEX(Ship!A$31:B$4500,MATCH(C107,Ship!A$31:A$4500,0),2),0)</f>
        <v>0</v>
      </c>
    </row>
    <row r="108" spans="1:7" x14ac:dyDescent="0.3">
      <c r="A108" s="32" t="s">
        <v>1795</v>
      </c>
      <c r="B108" s="32" t="s">
        <v>1796</v>
      </c>
      <c r="C108" s="32" t="s">
        <v>1653</v>
      </c>
      <c r="D108" s="32" t="s">
        <v>2204</v>
      </c>
      <c r="E108" s="32" t="s">
        <v>1471</v>
      </c>
      <c r="F108" s="32" t="s">
        <v>1749</v>
      </c>
      <c r="G108" s="32">
        <f>IFERROR(INDEX(Ship!A$31:B$4500,MATCH(C108,Ship!A$31:A$4500,0),2),0)</f>
        <v>0</v>
      </c>
    </row>
    <row r="109" spans="1:7" x14ac:dyDescent="0.3">
      <c r="A109" s="32" t="s">
        <v>1795</v>
      </c>
      <c r="B109" s="32" t="s">
        <v>1796</v>
      </c>
      <c r="C109" s="32" t="s">
        <v>1655</v>
      </c>
      <c r="D109" s="32" t="s">
        <v>2205</v>
      </c>
      <c r="E109" s="32" t="s">
        <v>1471</v>
      </c>
      <c r="F109" s="32" t="s">
        <v>1749</v>
      </c>
      <c r="G109" s="32">
        <f>IFERROR(INDEX(Ship!A$31:B$4500,MATCH(C109,Ship!A$31:A$4500,0),2),0)</f>
        <v>0</v>
      </c>
    </row>
    <row r="110" spans="1:7" x14ac:dyDescent="0.3">
      <c r="A110" s="32" t="s">
        <v>1795</v>
      </c>
      <c r="B110" s="32" t="s">
        <v>1796</v>
      </c>
      <c r="C110" s="32" t="s">
        <v>1774</v>
      </c>
      <c r="D110" s="32" t="s">
        <v>2206</v>
      </c>
      <c r="E110" s="32" t="s">
        <v>1471</v>
      </c>
      <c r="F110" s="32" t="s">
        <v>1749</v>
      </c>
      <c r="G110" s="32">
        <f>IFERROR(INDEX(Ship!A$31:B$4500,MATCH(C110,Ship!A$31:A$4500,0),2),0)</f>
        <v>0</v>
      </c>
    </row>
    <row r="111" spans="1:7" x14ac:dyDescent="0.3">
      <c r="A111" s="32" t="s">
        <v>1795</v>
      </c>
      <c r="B111" s="32" t="s">
        <v>1796</v>
      </c>
      <c r="C111" s="32" t="s">
        <v>1654</v>
      </c>
      <c r="D111" s="32" t="s">
        <v>2207</v>
      </c>
      <c r="E111" s="32" t="s">
        <v>1471</v>
      </c>
      <c r="F111" s="32" t="s">
        <v>1749</v>
      </c>
      <c r="G111" s="32">
        <f>IFERROR(INDEX(Ship!A$31:B$4500,MATCH(C111,Ship!A$31:A$4500,0),2),0)</f>
        <v>0</v>
      </c>
    </row>
    <row r="112" spans="1:7" x14ac:dyDescent="0.3">
      <c r="A112" s="32" t="s">
        <v>1795</v>
      </c>
      <c r="B112" s="32" t="s">
        <v>1796</v>
      </c>
      <c r="C112" s="32" t="s">
        <v>1657</v>
      </c>
      <c r="D112" s="32" t="s">
        <v>2209</v>
      </c>
      <c r="E112" s="32" t="s">
        <v>1471</v>
      </c>
      <c r="F112" s="32" t="s">
        <v>1749</v>
      </c>
      <c r="G112" s="32">
        <f>IFERROR(INDEX(Ship!A$31:B$4500,MATCH(C112,Ship!A$31:A$4500,0),2),0)</f>
        <v>0</v>
      </c>
    </row>
    <row r="113" spans="1:7" x14ac:dyDescent="0.3">
      <c r="A113" s="32" t="s">
        <v>1795</v>
      </c>
      <c r="B113" s="32" t="s">
        <v>1796</v>
      </c>
      <c r="C113" s="32" t="s">
        <v>1659</v>
      </c>
      <c r="D113" s="32" t="s">
        <v>2210</v>
      </c>
      <c r="E113" s="32" t="s">
        <v>1471</v>
      </c>
      <c r="F113" s="32" t="s">
        <v>1749</v>
      </c>
      <c r="G113" s="32">
        <f>IFERROR(INDEX(Ship!A$31:B$4500,MATCH(C113,Ship!A$31:A$4500,0),2),0)</f>
        <v>0</v>
      </c>
    </row>
    <row r="114" spans="1:7" x14ac:dyDescent="0.3">
      <c r="A114" s="32" t="s">
        <v>1795</v>
      </c>
      <c r="B114" s="32" t="s">
        <v>1796</v>
      </c>
      <c r="C114" s="32" t="s">
        <v>1776</v>
      </c>
      <c r="D114" s="32" t="s">
        <v>2211</v>
      </c>
      <c r="E114" s="32" t="s">
        <v>1471</v>
      </c>
      <c r="F114" s="32" t="s">
        <v>1749</v>
      </c>
      <c r="G114" s="32">
        <f>IFERROR(INDEX(Ship!A$31:B$4500,MATCH(C114,Ship!A$31:A$4500,0),2),0)</f>
        <v>0</v>
      </c>
    </row>
    <row r="115" spans="1:7" x14ac:dyDescent="0.3">
      <c r="A115" s="32" t="s">
        <v>1795</v>
      </c>
      <c r="B115" s="32" t="s">
        <v>1796</v>
      </c>
      <c r="C115" s="32" t="s">
        <v>1658</v>
      </c>
      <c r="D115" s="32" t="s">
        <v>2212</v>
      </c>
      <c r="E115" s="32" t="s">
        <v>1471</v>
      </c>
      <c r="F115" s="32" t="s">
        <v>1749</v>
      </c>
      <c r="G115" s="32">
        <f>IFERROR(INDEX(Ship!A$31:B$4500,MATCH(C115,Ship!A$31:A$4500,0),2),0)</f>
        <v>0</v>
      </c>
    </row>
    <row r="116" spans="1:7" x14ac:dyDescent="0.3">
      <c r="A116" s="32" t="s">
        <v>1795</v>
      </c>
      <c r="B116" s="32" t="s">
        <v>1796</v>
      </c>
      <c r="C116" s="32" t="s">
        <v>1661</v>
      </c>
      <c r="D116" s="32" t="s">
        <v>2214</v>
      </c>
      <c r="E116" s="32" t="s">
        <v>1471</v>
      </c>
      <c r="F116" s="32" t="s">
        <v>1749</v>
      </c>
      <c r="G116" s="32">
        <f>IFERROR(INDEX(Ship!A$31:B$4500,MATCH(C116,Ship!A$31:A$4500,0),2),0)</f>
        <v>0</v>
      </c>
    </row>
    <row r="117" spans="1:7" x14ac:dyDescent="0.3">
      <c r="A117" s="32" t="s">
        <v>1795</v>
      </c>
      <c r="B117" s="32" t="s">
        <v>1796</v>
      </c>
      <c r="C117" s="32" t="s">
        <v>1663</v>
      </c>
      <c r="D117" s="32" t="s">
        <v>2215</v>
      </c>
      <c r="E117" s="32" t="s">
        <v>1471</v>
      </c>
      <c r="F117" s="32" t="s">
        <v>1749</v>
      </c>
      <c r="G117" s="32">
        <f>IFERROR(INDEX(Ship!A$31:B$4500,MATCH(C117,Ship!A$31:A$4500,0),2),0)</f>
        <v>0</v>
      </c>
    </row>
    <row r="118" spans="1:7" x14ac:dyDescent="0.3">
      <c r="A118" s="32" t="s">
        <v>1795</v>
      </c>
      <c r="B118" s="32" t="s">
        <v>1796</v>
      </c>
      <c r="C118" s="32" t="s">
        <v>1778</v>
      </c>
      <c r="D118" s="32" t="s">
        <v>2216</v>
      </c>
      <c r="E118" s="32" t="s">
        <v>1471</v>
      </c>
      <c r="F118" s="32" t="s">
        <v>1749</v>
      </c>
      <c r="G118" s="32">
        <f>IFERROR(INDEX(Ship!A$31:B$4500,MATCH(C118,Ship!A$31:A$4500,0),2),0)</f>
        <v>0</v>
      </c>
    </row>
    <row r="119" spans="1:7" x14ac:dyDescent="0.3">
      <c r="A119" s="32" t="s">
        <v>1795</v>
      </c>
      <c r="B119" s="32" t="s">
        <v>1796</v>
      </c>
      <c r="C119" s="32" t="s">
        <v>1662</v>
      </c>
      <c r="D119" s="32" t="s">
        <v>2217</v>
      </c>
      <c r="E119" s="32" t="s">
        <v>1471</v>
      </c>
      <c r="F119" s="32" t="s">
        <v>1749</v>
      </c>
      <c r="G119" s="32">
        <f>IFERROR(INDEX(Ship!A$31:B$4500,MATCH(C119,Ship!A$31:A$4500,0),2),0)</f>
        <v>0</v>
      </c>
    </row>
    <row r="120" spans="1:7" x14ac:dyDescent="0.3">
      <c r="A120" s="32" t="s">
        <v>1795</v>
      </c>
      <c r="B120" s="32" t="s">
        <v>1796</v>
      </c>
      <c r="C120" s="32" t="s">
        <v>1665</v>
      </c>
      <c r="D120" s="32" t="s">
        <v>2219</v>
      </c>
      <c r="E120" s="32" t="s">
        <v>1471</v>
      </c>
      <c r="F120" s="32" t="s">
        <v>1749</v>
      </c>
      <c r="G120" s="32">
        <f>IFERROR(INDEX(Ship!A$31:B$4500,MATCH(C120,Ship!A$31:A$4500,0),2),0)</f>
        <v>0</v>
      </c>
    </row>
    <row r="121" spans="1:7" x14ac:dyDescent="0.3">
      <c r="A121" s="32" t="s">
        <v>1795</v>
      </c>
      <c r="B121" s="32" t="s">
        <v>1796</v>
      </c>
      <c r="C121" s="32" t="s">
        <v>1667</v>
      </c>
      <c r="D121" s="32" t="s">
        <v>2220</v>
      </c>
      <c r="E121" s="32" t="s">
        <v>1471</v>
      </c>
      <c r="F121" s="32" t="s">
        <v>1749</v>
      </c>
      <c r="G121" s="32">
        <f>IFERROR(INDEX(Ship!A$31:B$4500,MATCH(C121,Ship!A$31:A$4500,0),2),0)</f>
        <v>0</v>
      </c>
    </row>
    <row r="122" spans="1:7" x14ac:dyDescent="0.3">
      <c r="A122" s="32" t="s">
        <v>1795</v>
      </c>
      <c r="B122" s="32" t="s">
        <v>1796</v>
      </c>
      <c r="C122" s="32" t="s">
        <v>1391</v>
      </c>
      <c r="D122" s="32" t="s">
        <v>2221</v>
      </c>
      <c r="E122" s="32" t="s">
        <v>1471</v>
      </c>
      <c r="F122" s="32" t="s">
        <v>1749</v>
      </c>
      <c r="G122" s="32">
        <f>IFERROR(INDEX(Ship!A$31:B$4500,MATCH(C122,Ship!A$31:A$4500,0),2),0)</f>
        <v>0</v>
      </c>
    </row>
    <row r="123" spans="1:7" x14ac:dyDescent="0.3">
      <c r="A123" s="32" t="s">
        <v>1795</v>
      </c>
      <c r="B123" s="32" t="s">
        <v>1796</v>
      </c>
      <c r="C123" s="32" t="s">
        <v>1666</v>
      </c>
      <c r="D123" s="32" t="s">
        <v>2222</v>
      </c>
      <c r="E123" s="32" t="s">
        <v>1471</v>
      </c>
      <c r="F123" s="32" t="s">
        <v>1749</v>
      </c>
      <c r="G123" s="32">
        <f>IFERROR(INDEX(Ship!A$31:B$4500,MATCH(C123,Ship!A$31:A$4500,0),2),0)</f>
        <v>0</v>
      </c>
    </row>
    <row r="124" spans="1:7" x14ac:dyDescent="0.3">
      <c r="A124" s="32" t="s">
        <v>1795</v>
      </c>
      <c r="B124" s="32" t="s">
        <v>1796</v>
      </c>
      <c r="C124" s="32" t="s">
        <v>1669</v>
      </c>
      <c r="D124" s="32" t="s">
        <v>2224</v>
      </c>
      <c r="E124" s="32" t="s">
        <v>1471</v>
      </c>
      <c r="F124" s="32" t="s">
        <v>1749</v>
      </c>
      <c r="G124" s="32">
        <f>IFERROR(INDEX(Ship!A$31:B$4500,MATCH(C124,Ship!A$31:A$4500,0),2),0)</f>
        <v>0</v>
      </c>
    </row>
    <row r="125" spans="1:7" x14ac:dyDescent="0.3">
      <c r="A125" s="32" t="s">
        <v>1795</v>
      </c>
      <c r="B125" s="32" t="s">
        <v>1796</v>
      </c>
      <c r="C125" s="32" t="s">
        <v>1671</v>
      </c>
      <c r="D125" s="32" t="s">
        <v>2225</v>
      </c>
      <c r="E125" s="32" t="s">
        <v>1471</v>
      </c>
      <c r="F125" s="32" t="s">
        <v>1749</v>
      </c>
      <c r="G125" s="32">
        <f>IFERROR(INDEX(Ship!A$31:B$4500,MATCH(C125,Ship!A$31:A$4500,0),2),0)</f>
        <v>0</v>
      </c>
    </row>
    <row r="126" spans="1:7" x14ac:dyDescent="0.3">
      <c r="A126" s="32" t="s">
        <v>1795</v>
      </c>
      <c r="B126" s="32" t="s">
        <v>1796</v>
      </c>
      <c r="C126" s="32" t="s">
        <v>1392</v>
      </c>
      <c r="D126" s="32" t="s">
        <v>2226</v>
      </c>
      <c r="E126" s="32" t="s">
        <v>1471</v>
      </c>
      <c r="F126" s="32" t="s">
        <v>1749</v>
      </c>
      <c r="G126" s="32">
        <f>IFERROR(INDEX(Ship!A$31:B$4500,MATCH(C126,Ship!A$31:A$4500,0),2),0)</f>
        <v>0</v>
      </c>
    </row>
    <row r="127" spans="1:7" x14ac:dyDescent="0.3">
      <c r="A127" s="32" t="s">
        <v>1795</v>
      </c>
      <c r="B127" s="32" t="s">
        <v>1796</v>
      </c>
      <c r="C127" s="32" t="s">
        <v>1670</v>
      </c>
      <c r="D127" s="32" t="s">
        <v>2227</v>
      </c>
      <c r="E127" s="32" t="s">
        <v>1471</v>
      </c>
      <c r="F127" s="32" t="s">
        <v>1749</v>
      </c>
      <c r="G127" s="32">
        <f>IFERROR(INDEX(Ship!A$31:B$4500,MATCH(C127,Ship!A$31:A$4500,0),2),0)</f>
        <v>0</v>
      </c>
    </row>
    <row r="128" spans="1:7" x14ac:dyDescent="0.3">
      <c r="A128" s="32" t="s">
        <v>1795</v>
      </c>
      <c r="B128" s="32" t="s">
        <v>1796</v>
      </c>
      <c r="C128" s="32" t="s">
        <v>1673</v>
      </c>
      <c r="D128" s="32" t="s">
        <v>2229</v>
      </c>
      <c r="E128" s="32" t="s">
        <v>1471</v>
      </c>
      <c r="F128" s="32" t="s">
        <v>1749</v>
      </c>
      <c r="G128" s="32">
        <f>IFERROR(INDEX(Ship!A$31:B$4500,MATCH(C128,Ship!A$31:A$4500,0),2),0)</f>
        <v>0</v>
      </c>
    </row>
    <row r="129" spans="1:7" x14ac:dyDescent="0.3">
      <c r="A129" s="32" t="s">
        <v>1795</v>
      </c>
      <c r="B129" s="32" t="s">
        <v>1796</v>
      </c>
      <c r="C129" s="32" t="s">
        <v>1675</v>
      </c>
      <c r="D129" s="32" t="s">
        <v>2230</v>
      </c>
      <c r="E129" s="32" t="s">
        <v>1471</v>
      </c>
      <c r="F129" s="32" t="s">
        <v>1749</v>
      </c>
      <c r="G129" s="32">
        <f>IFERROR(INDEX(Ship!A$31:B$4500,MATCH(C129,Ship!A$31:A$4500,0),2),0)</f>
        <v>0</v>
      </c>
    </row>
    <row r="130" spans="1:7" x14ac:dyDescent="0.3">
      <c r="A130" s="32" t="s">
        <v>1795</v>
      </c>
      <c r="B130" s="32" t="s">
        <v>1796</v>
      </c>
      <c r="C130" s="32" t="s">
        <v>1393</v>
      </c>
      <c r="D130" s="32" t="s">
        <v>2231</v>
      </c>
      <c r="E130" s="32" t="s">
        <v>1471</v>
      </c>
      <c r="F130" s="32" t="s">
        <v>1749</v>
      </c>
      <c r="G130" s="32">
        <f>IFERROR(INDEX(Ship!A$31:B$4500,MATCH(C130,Ship!A$31:A$4500,0),2),0)</f>
        <v>0</v>
      </c>
    </row>
    <row r="131" spans="1:7" x14ac:dyDescent="0.3">
      <c r="A131" s="32" t="s">
        <v>1795</v>
      </c>
      <c r="B131" s="32" t="s">
        <v>1796</v>
      </c>
      <c r="C131" s="32" t="s">
        <v>1674</v>
      </c>
      <c r="D131" s="32" t="s">
        <v>2232</v>
      </c>
      <c r="E131" s="32" t="s">
        <v>1471</v>
      </c>
      <c r="F131" s="32" t="s">
        <v>1749</v>
      </c>
      <c r="G131" s="32">
        <f>IFERROR(INDEX(Ship!A$31:B$4500,MATCH(C131,Ship!A$31:A$4500,0),2),0)</f>
        <v>0</v>
      </c>
    </row>
    <row r="132" spans="1:7" x14ac:dyDescent="0.3">
      <c r="A132" s="32" t="s">
        <v>1795</v>
      </c>
      <c r="B132" s="32" t="s">
        <v>1796</v>
      </c>
      <c r="C132" s="32" t="s">
        <v>1677</v>
      </c>
      <c r="D132" s="32" t="s">
        <v>2234</v>
      </c>
      <c r="E132" s="32" t="s">
        <v>1471</v>
      </c>
      <c r="F132" s="32" t="s">
        <v>1749</v>
      </c>
      <c r="G132" s="32">
        <f>IFERROR(INDEX(Ship!A$31:B$4500,MATCH(C132,Ship!A$31:A$4500,0),2),0)</f>
        <v>0</v>
      </c>
    </row>
    <row r="133" spans="1:7" x14ac:dyDescent="0.3">
      <c r="A133" s="32" t="s">
        <v>1795</v>
      </c>
      <c r="B133" s="32" t="s">
        <v>1796</v>
      </c>
      <c r="C133" s="32" t="s">
        <v>1679</v>
      </c>
      <c r="D133" s="32" t="s">
        <v>2235</v>
      </c>
      <c r="E133" s="32" t="s">
        <v>1471</v>
      </c>
      <c r="F133" s="32" t="s">
        <v>1749</v>
      </c>
      <c r="G133" s="32">
        <f>IFERROR(INDEX(Ship!A$31:B$4500,MATCH(C133,Ship!A$31:A$4500,0),2),0)</f>
        <v>0</v>
      </c>
    </row>
    <row r="134" spans="1:7" x14ac:dyDescent="0.3">
      <c r="A134" s="32" t="s">
        <v>1795</v>
      </c>
      <c r="B134" s="32" t="s">
        <v>1796</v>
      </c>
      <c r="C134" s="32" t="s">
        <v>1394</v>
      </c>
      <c r="D134" s="32" t="s">
        <v>2236</v>
      </c>
      <c r="E134" s="32" t="s">
        <v>1471</v>
      </c>
      <c r="F134" s="32" t="s">
        <v>1749</v>
      </c>
      <c r="G134" s="32">
        <f>IFERROR(INDEX(Ship!A$31:B$4500,MATCH(C134,Ship!A$31:A$4500,0),2),0)</f>
        <v>0</v>
      </c>
    </row>
    <row r="135" spans="1:7" x14ac:dyDescent="0.3">
      <c r="A135" s="32" t="s">
        <v>1795</v>
      </c>
      <c r="B135" s="32" t="s">
        <v>1796</v>
      </c>
      <c r="C135" s="32" t="s">
        <v>1678</v>
      </c>
      <c r="D135" s="32" t="s">
        <v>2237</v>
      </c>
      <c r="E135" s="32" t="s">
        <v>1471</v>
      </c>
      <c r="F135" s="32" t="s">
        <v>1749</v>
      </c>
      <c r="G135" s="32">
        <f>IFERROR(INDEX(Ship!A$31:B$4500,MATCH(C135,Ship!A$31:A$4500,0),2),0)</f>
        <v>0</v>
      </c>
    </row>
    <row r="136" spans="1:7" x14ac:dyDescent="0.3">
      <c r="A136" s="32" t="s">
        <v>1795</v>
      </c>
      <c r="B136" s="32" t="s">
        <v>1796</v>
      </c>
      <c r="C136" s="32" t="s">
        <v>1681</v>
      </c>
      <c r="D136" s="32" t="s">
        <v>2239</v>
      </c>
      <c r="E136" s="32" t="s">
        <v>1471</v>
      </c>
      <c r="F136" s="32" t="s">
        <v>1749</v>
      </c>
      <c r="G136" s="32">
        <f>IFERROR(INDEX(Ship!A$31:B$4500,MATCH(C136,Ship!A$31:A$4500,0),2),0)</f>
        <v>0</v>
      </c>
    </row>
    <row r="137" spans="1:7" x14ac:dyDescent="0.3">
      <c r="A137" s="32" t="s">
        <v>1795</v>
      </c>
      <c r="B137" s="32" t="s">
        <v>1796</v>
      </c>
      <c r="C137" s="32" t="s">
        <v>1683</v>
      </c>
      <c r="D137" s="32" t="s">
        <v>2240</v>
      </c>
      <c r="E137" s="32" t="s">
        <v>1471</v>
      </c>
      <c r="F137" s="32" t="s">
        <v>1749</v>
      </c>
      <c r="G137" s="32">
        <f>IFERROR(INDEX(Ship!A$31:B$4500,MATCH(C137,Ship!A$31:A$4500,0),2),0)</f>
        <v>0</v>
      </c>
    </row>
    <row r="138" spans="1:7" x14ac:dyDescent="0.3">
      <c r="A138" s="32" t="s">
        <v>1795</v>
      </c>
      <c r="B138" s="32" t="s">
        <v>1796</v>
      </c>
      <c r="C138" s="32" t="s">
        <v>1395</v>
      </c>
      <c r="D138" s="32" t="s">
        <v>2241</v>
      </c>
      <c r="E138" s="32" t="s">
        <v>1471</v>
      </c>
      <c r="F138" s="32" t="s">
        <v>1749</v>
      </c>
      <c r="G138" s="32">
        <f>IFERROR(INDEX(Ship!A$31:B$4500,MATCH(C138,Ship!A$31:A$4500,0),2),0)</f>
        <v>0</v>
      </c>
    </row>
    <row r="139" spans="1:7" x14ac:dyDescent="0.3">
      <c r="A139" s="32" t="s">
        <v>1795</v>
      </c>
      <c r="B139" s="32" t="s">
        <v>1796</v>
      </c>
      <c r="C139" s="32" t="s">
        <v>1682</v>
      </c>
      <c r="D139" s="32" t="s">
        <v>2242</v>
      </c>
      <c r="E139" s="32" t="s">
        <v>1471</v>
      </c>
      <c r="F139" s="32" t="s">
        <v>1749</v>
      </c>
      <c r="G139" s="32">
        <f>IFERROR(INDEX(Ship!A$31:B$4500,MATCH(C139,Ship!A$31:A$4500,0),2),0)</f>
        <v>0</v>
      </c>
    </row>
    <row r="140" spans="1:7" x14ac:dyDescent="0.3">
      <c r="A140" s="32" t="s">
        <v>1795</v>
      </c>
      <c r="B140" s="32" t="s">
        <v>1796</v>
      </c>
      <c r="C140" s="32" t="s">
        <v>1685</v>
      </c>
      <c r="D140" s="32" t="s">
        <v>2244</v>
      </c>
      <c r="E140" s="32" t="s">
        <v>1471</v>
      </c>
      <c r="F140" s="32" t="s">
        <v>1749</v>
      </c>
      <c r="G140" s="32">
        <f>IFERROR(INDEX(Ship!A$31:B$4500,MATCH(C140,Ship!A$31:A$4500,0),2),0)</f>
        <v>0</v>
      </c>
    </row>
    <row r="141" spans="1:7" x14ac:dyDescent="0.3">
      <c r="A141" s="32" t="s">
        <v>1795</v>
      </c>
      <c r="B141" s="32" t="s">
        <v>1796</v>
      </c>
      <c r="C141" s="32" t="s">
        <v>1687</v>
      </c>
      <c r="D141" s="32" t="s">
        <v>2245</v>
      </c>
      <c r="E141" s="32" t="s">
        <v>1471</v>
      </c>
      <c r="F141" s="32" t="s">
        <v>1749</v>
      </c>
      <c r="G141" s="32">
        <f>IFERROR(INDEX(Ship!A$31:B$4500,MATCH(C141,Ship!A$31:A$4500,0),2),0)</f>
        <v>0</v>
      </c>
    </row>
    <row r="142" spans="1:7" x14ac:dyDescent="0.3">
      <c r="A142" s="32" t="s">
        <v>1795</v>
      </c>
      <c r="B142" s="32" t="s">
        <v>1796</v>
      </c>
      <c r="C142" s="32" t="s">
        <v>1785</v>
      </c>
      <c r="D142" s="32" t="s">
        <v>2246</v>
      </c>
      <c r="E142" s="32" t="s">
        <v>1471</v>
      </c>
      <c r="F142" s="32" t="s">
        <v>1749</v>
      </c>
      <c r="G142" s="32">
        <f>IFERROR(INDEX(Ship!A$31:B$4500,MATCH(C142,Ship!A$31:A$4500,0),2),0)</f>
        <v>0</v>
      </c>
    </row>
    <row r="143" spans="1:7" x14ac:dyDescent="0.3">
      <c r="A143" s="32" t="s">
        <v>1795</v>
      </c>
      <c r="B143" s="32" t="s">
        <v>1796</v>
      </c>
      <c r="C143" s="32" t="s">
        <v>1686</v>
      </c>
      <c r="D143" s="32" t="s">
        <v>2247</v>
      </c>
      <c r="E143" s="32" t="s">
        <v>1471</v>
      </c>
      <c r="F143" s="32" t="s">
        <v>1749</v>
      </c>
      <c r="G143" s="32">
        <f>IFERROR(INDEX(Ship!A$31:B$4500,MATCH(C143,Ship!A$31:A$4500,0),2),0)</f>
        <v>0</v>
      </c>
    </row>
    <row r="144" spans="1:7" x14ac:dyDescent="0.3">
      <c r="A144" s="32" t="s">
        <v>1795</v>
      </c>
      <c r="B144" s="32" t="s">
        <v>1796</v>
      </c>
      <c r="C144" s="32" t="s">
        <v>1689</v>
      </c>
      <c r="D144" s="32" t="s">
        <v>2249</v>
      </c>
      <c r="E144" s="32" t="s">
        <v>1471</v>
      </c>
      <c r="F144" s="32" t="s">
        <v>1749</v>
      </c>
      <c r="G144" s="32">
        <f>IFERROR(INDEX(Ship!A$31:B$4500,MATCH(C144,Ship!A$31:A$4500,0),2),0)</f>
        <v>0</v>
      </c>
    </row>
    <row r="145" spans="1:7" x14ac:dyDescent="0.3">
      <c r="A145" s="32" t="s">
        <v>1795</v>
      </c>
      <c r="B145" s="32" t="s">
        <v>1796</v>
      </c>
      <c r="C145" s="32" t="s">
        <v>1691</v>
      </c>
      <c r="D145" s="32" t="s">
        <v>2250</v>
      </c>
      <c r="E145" s="32" t="s">
        <v>1471</v>
      </c>
      <c r="F145" s="32" t="s">
        <v>1749</v>
      </c>
      <c r="G145" s="32">
        <f>IFERROR(INDEX(Ship!A$31:B$4500,MATCH(C145,Ship!A$31:A$4500,0),2),0)</f>
        <v>0</v>
      </c>
    </row>
    <row r="146" spans="1:7" x14ac:dyDescent="0.3">
      <c r="A146" s="32" t="s">
        <v>1795</v>
      </c>
      <c r="B146" s="32" t="s">
        <v>1796</v>
      </c>
      <c r="C146" s="32" t="s">
        <v>1396</v>
      </c>
      <c r="D146" s="32" t="s">
        <v>2251</v>
      </c>
      <c r="E146" s="32" t="s">
        <v>1471</v>
      </c>
      <c r="F146" s="32" t="s">
        <v>1749</v>
      </c>
      <c r="G146" s="32">
        <f>IFERROR(INDEX(Ship!A$31:B$4500,MATCH(C146,Ship!A$31:A$4500,0),2),0)</f>
        <v>0</v>
      </c>
    </row>
    <row r="147" spans="1:7" x14ac:dyDescent="0.3">
      <c r="A147" s="32" t="s">
        <v>1795</v>
      </c>
      <c r="B147" s="32" t="s">
        <v>1796</v>
      </c>
      <c r="C147" s="32" t="s">
        <v>1690</v>
      </c>
      <c r="D147" s="32" t="s">
        <v>2252</v>
      </c>
      <c r="E147" s="32" t="s">
        <v>1471</v>
      </c>
      <c r="F147" s="32" t="s">
        <v>1749</v>
      </c>
      <c r="G147" s="32">
        <f>IFERROR(INDEX(Ship!A$31:B$4500,MATCH(C147,Ship!A$31:A$4500,0),2),0)</f>
        <v>0</v>
      </c>
    </row>
    <row r="148" spans="1:7" x14ac:dyDescent="0.3">
      <c r="A148" s="32" t="s">
        <v>1795</v>
      </c>
      <c r="B148" s="32" t="s">
        <v>1796</v>
      </c>
      <c r="C148" s="32" t="s">
        <v>1693</v>
      </c>
      <c r="D148" s="32" t="s">
        <v>2254</v>
      </c>
      <c r="E148" s="32" t="s">
        <v>1471</v>
      </c>
      <c r="F148" s="32" t="s">
        <v>1749</v>
      </c>
      <c r="G148" s="32">
        <f>IFERROR(INDEX(Ship!A$31:B$4500,MATCH(C148,Ship!A$31:A$4500,0),2),0)</f>
        <v>0</v>
      </c>
    </row>
    <row r="149" spans="1:7" x14ac:dyDescent="0.3">
      <c r="A149" s="32" t="s">
        <v>1795</v>
      </c>
      <c r="B149" s="32" t="s">
        <v>1796</v>
      </c>
      <c r="C149" s="32" t="s">
        <v>1695</v>
      </c>
      <c r="D149" s="32" t="s">
        <v>2255</v>
      </c>
      <c r="E149" s="32" t="s">
        <v>1471</v>
      </c>
      <c r="F149" s="32" t="s">
        <v>1749</v>
      </c>
      <c r="G149" s="32">
        <f>IFERROR(INDEX(Ship!A$31:B$4500,MATCH(C149,Ship!A$31:A$4500,0),2),0)</f>
        <v>0</v>
      </c>
    </row>
    <row r="150" spans="1:7" x14ac:dyDescent="0.3">
      <c r="A150" s="32" t="s">
        <v>1795</v>
      </c>
      <c r="B150" s="32" t="s">
        <v>1796</v>
      </c>
      <c r="C150" s="32" t="s">
        <v>1405</v>
      </c>
      <c r="D150" s="32" t="s">
        <v>2256</v>
      </c>
      <c r="E150" s="32" t="s">
        <v>1471</v>
      </c>
      <c r="F150" s="32" t="s">
        <v>1749</v>
      </c>
      <c r="G150" s="32">
        <f>IFERROR(INDEX(Ship!A$31:B$4500,MATCH(C150,Ship!A$31:A$4500,0),2),0)</f>
        <v>0</v>
      </c>
    </row>
    <row r="151" spans="1:7" x14ac:dyDescent="0.3">
      <c r="A151" s="32" t="s">
        <v>1795</v>
      </c>
      <c r="B151" s="32" t="s">
        <v>1796</v>
      </c>
      <c r="C151" s="32" t="s">
        <v>1694</v>
      </c>
      <c r="D151" s="32" t="s">
        <v>2257</v>
      </c>
      <c r="E151" s="32" t="s">
        <v>1471</v>
      </c>
      <c r="F151" s="32" t="s">
        <v>1749</v>
      </c>
      <c r="G151" s="32">
        <f>IFERROR(INDEX(Ship!A$31:B$4500,MATCH(C151,Ship!A$31:A$4500,0),2),0)</f>
        <v>0</v>
      </c>
    </row>
    <row r="152" spans="1:7" x14ac:dyDescent="0.3">
      <c r="A152" s="32" t="s">
        <v>1795</v>
      </c>
      <c r="B152" s="32" t="s">
        <v>1796</v>
      </c>
      <c r="C152" s="32" t="s">
        <v>1697</v>
      </c>
      <c r="D152" s="32" t="s">
        <v>2259</v>
      </c>
      <c r="E152" s="32" t="s">
        <v>1471</v>
      </c>
      <c r="F152" s="32" t="s">
        <v>1749</v>
      </c>
      <c r="G152" s="32">
        <f>IFERROR(INDEX(Ship!A$31:B$4500,MATCH(C152,Ship!A$31:A$4500,0),2),0)</f>
        <v>0</v>
      </c>
    </row>
    <row r="153" spans="1:7" x14ac:dyDescent="0.3">
      <c r="A153" s="32" t="s">
        <v>1795</v>
      </c>
      <c r="B153" s="32" t="s">
        <v>1796</v>
      </c>
      <c r="C153" s="32" t="s">
        <v>1699</v>
      </c>
      <c r="D153" s="32" t="s">
        <v>2260</v>
      </c>
      <c r="E153" s="32" t="s">
        <v>1471</v>
      </c>
      <c r="F153" s="32" t="s">
        <v>1749</v>
      </c>
      <c r="G153" s="32">
        <f>IFERROR(INDEX(Ship!A$31:B$4500,MATCH(C153,Ship!A$31:A$4500,0),2),0)</f>
        <v>0</v>
      </c>
    </row>
    <row r="154" spans="1:7" x14ac:dyDescent="0.3">
      <c r="A154" s="32" t="s">
        <v>1795</v>
      </c>
      <c r="B154" s="32" t="s">
        <v>1796</v>
      </c>
      <c r="C154" s="32" t="s">
        <v>1407</v>
      </c>
      <c r="D154" s="32" t="s">
        <v>2261</v>
      </c>
      <c r="E154" s="32" t="s">
        <v>1471</v>
      </c>
      <c r="F154" s="32" t="s">
        <v>1749</v>
      </c>
      <c r="G154" s="32">
        <f>IFERROR(INDEX(Ship!A$31:B$4500,MATCH(C154,Ship!A$31:A$4500,0),2),0)</f>
        <v>0</v>
      </c>
    </row>
    <row r="155" spans="1:7" x14ac:dyDescent="0.3">
      <c r="A155" s="32" t="s">
        <v>1795</v>
      </c>
      <c r="B155" s="32" t="s">
        <v>1796</v>
      </c>
      <c r="C155" s="32" t="s">
        <v>1698</v>
      </c>
      <c r="D155" s="32" t="s">
        <v>2262</v>
      </c>
      <c r="E155" s="32" t="s">
        <v>1471</v>
      </c>
      <c r="F155" s="32" t="s">
        <v>1749</v>
      </c>
      <c r="G155" s="32">
        <f>IFERROR(INDEX(Ship!A$31:B$4500,MATCH(C155,Ship!A$31:A$4500,0),2),0)</f>
        <v>0</v>
      </c>
    </row>
    <row r="156" spans="1:7" x14ac:dyDescent="0.3">
      <c r="A156" s="32" t="s">
        <v>1795</v>
      </c>
      <c r="B156" s="32" t="s">
        <v>1796</v>
      </c>
      <c r="C156" s="32" t="s">
        <v>1701</v>
      </c>
      <c r="D156" s="32" t="s">
        <v>2264</v>
      </c>
      <c r="E156" s="32" t="s">
        <v>1471</v>
      </c>
      <c r="F156" s="32" t="s">
        <v>1749</v>
      </c>
      <c r="G156" s="32">
        <f>IFERROR(INDEX(Ship!A$31:B$4500,MATCH(C156,Ship!A$31:A$4500,0),2),0)</f>
        <v>0</v>
      </c>
    </row>
    <row r="157" spans="1:7" x14ac:dyDescent="0.3">
      <c r="A157" s="32" t="s">
        <v>1795</v>
      </c>
      <c r="B157" s="32" t="s">
        <v>1796</v>
      </c>
      <c r="C157" s="32" t="s">
        <v>1703</v>
      </c>
      <c r="D157" s="32" t="s">
        <v>2265</v>
      </c>
      <c r="E157" s="32" t="s">
        <v>1471</v>
      </c>
      <c r="F157" s="32" t="s">
        <v>1749</v>
      </c>
      <c r="G157" s="32">
        <f>IFERROR(INDEX(Ship!A$31:B$4500,MATCH(C157,Ship!A$31:A$4500,0),2),0)</f>
        <v>0</v>
      </c>
    </row>
    <row r="158" spans="1:7" x14ac:dyDescent="0.3">
      <c r="A158" s="32" t="s">
        <v>1795</v>
      </c>
      <c r="B158" s="32" t="s">
        <v>1796</v>
      </c>
      <c r="C158" s="32" t="s">
        <v>1787</v>
      </c>
      <c r="D158" s="32" t="s">
        <v>2266</v>
      </c>
      <c r="E158" s="32" t="s">
        <v>1471</v>
      </c>
      <c r="F158" s="32" t="s">
        <v>1749</v>
      </c>
      <c r="G158" s="32">
        <f>IFERROR(INDEX(Ship!A$31:B$4500,MATCH(C158,Ship!A$31:A$4500,0),2),0)</f>
        <v>0</v>
      </c>
    </row>
    <row r="159" spans="1:7" x14ac:dyDescent="0.3">
      <c r="A159" s="32" t="s">
        <v>1795</v>
      </c>
      <c r="B159" s="32" t="s">
        <v>1796</v>
      </c>
      <c r="C159" s="32" t="s">
        <v>1702</v>
      </c>
      <c r="D159" s="32" t="s">
        <v>2267</v>
      </c>
      <c r="E159" s="32" t="s">
        <v>1471</v>
      </c>
      <c r="F159" s="32" t="s">
        <v>1749</v>
      </c>
      <c r="G159" s="32">
        <f>IFERROR(INDEX(Ship!A$31:B$4500,MATCH(C159,Ship!A$31:A$4500,0),2),0)</f>
        <v>0</v>
      </c>
    </row>
    <row r="160" spans="1:7" x14ac:dyDescent="0.3">
      <c r="A160" s="32" t="s">
        <v>1795</v>
      </c>
      <c r="B160" s="32" t="s">
        <v>1796</v>
      </c>
      <c r="C160" s="32" t="s">
        <v>1705</v>
      </c>
      <c r="D160" s="32" t="s">
        <v>2269</v>
      </c>
      <c r="E160" s="32" t="s">
        <v>1471</v>
      </c>
      <c r="F160" s="32" t="s">
        <v>1749</v>
      </c>
      <c r="G160" s="32">
        <f>IFERROR(INDEX(Ship!A$31:B$4500,MATCH(C160,Ship!A$31:A$4500,0),2),0)</f>
        <v>0</v>
      </c>
    </row>
    <row r="161" spans="1:7" x14ac:dyDescent="0.3">
      <c r="A161" s="32" t="s">
        <v>1795</v>
      </c>
      <c r="B161" s="32" t="s">
        <v>1796</v>
      </c>
      <c r="C161" s="32" t="s">
        <v>1707</v>
      </c>
      <c r="D161" s="32" t="s">
        <v>2270</v>
      </c>
      <c r="E161" s="32" t="s">
        <v>1471</v>
      </c>
      <c r="F161" s="32" t="s">
        <v>1749</v>
      </c>
      <c r="G161" s="32">
        <f>IFERROR(INDEX(Ship!A$31:B$4500,MATCH(C161,Ship!A$31:A$4500,0),2),0)</f>
        <v>0</v>
      </c>
    </row>
    <row r="162" spans="1:7" x14ac:dyDescent="0.3">
      <c r="A162" s="32" t="s">
        <v>1795</v>
      </c>
      <c r="B162" s="32" t="s">
        <v>1796</v>
      </c>
      <c r="C162" s="32" t="s">
        <v>1410</v>
      </c>
      <c r="D162" s="32" t="s">
        <v>2271</v>
      </c>
      <c r="E162" s="32" t="s">
        <v>1471</v>
      </c>
      <c r="F162" s="32" t="s">
        <v>1749</v>
      </c>
      <c r="G162" s="32">
        <f>IFERROR(INDEX(Ship!A$31:B$4500,MATCH(C162,Ship!A$31:A$4500,0),2),0)</f>
        <v>0</v>
      </c>
    </row>
    <row r="163" spans="1:7" x14ac:dyDescent="0.3">
      <c r="A163" s="32" t="s">
        <v>1795</v>
      </c>
      <c r="B163" s="32" t="s">
        <v>1796</v>
      </c>
      <c r="C163" s="32" t="s">
        <v>1706</v>
      </c>
      <c r="D163" s="32" t="s">
        <v>2272</v>
      </c>
      <c r="E163" s="32" t="s">
        <v>1471</v>
      </c>
      <c r="F163" s="32" t="s">
        <v>1749</v>
      </c>
      <c r="G163" s="32">
        <f>IFERROR(INDEX(Ship!A$31:B$4500,MATCH(C163,Ship!A$31:A$4500,0),2),0)</f>
        <v>0</v>
      </c>
    </row>
    <row r="164" spans="1:7" x14ac:dyDescent="0.3">
      <c r="A164" s="32" t="s">
        <v>1795</v>
      </c>
      <c r="B164" s="32" t="s">
        <v>1796</v>
      </c>
      <c r="C164" s="32" t="s">
        <v>1709</v>
      </c>
      <c r="D164" s="32" t="s">
        <v>2274</v>
      </c>
      <c r="E164" s="32" t="s">
        <v>1471</v>
      </c>
      <c r="F164" s="32" t="s">
        <v>1749</v>
      </c>
      <c r="G164" s="32">
        <f>IFERROR(INDEX(Ship!A$31:B$4500,MATCH(C164,Ship!A$31:A$4500,0),2),0)</f>
        <v>0</v>
      </c>
    </row>
    <row r="165" spans="1:7" x14ac:dyDescent="0.3">
      <c r="A165" s="32" t="s">
        <v>1795</v>
      </c>
      <c r="B165" s="32" t="s">
        <v>1796</v>
      </c>
      <c r="C165" s="32" t="s">
        <v>1711</v>
      </c>
      <c r="D165" s="32" t="s">
        <v>2275</v>
      </c>
      <c r="E165" s="32" t="s">
        <v>1471</v>
      </c>
      <c r="F165" s="32" t="s">
        <v>1749</v>
      </c>
      <c r="G165" s="32">
        <f>IFERROR(INDEX(Ship!A$31:B$4500,MATCH(C165,Ship!A$31:A$4500,0),2),0)</f>
        <v>0</v>
      </c>
    </row>
    <row r="166" spans="1:7" x14ac:dyDescent="0.3">
      <c r="A166" s="32" t="s">
        <v>1795</v>
      </c>
      <c r="B166" s="32" t="s">
        <v>1796</v>
      </c>
      <c r="C166" s="32" t="s">
        <v>1412</v>
      </c>
      <c r="D166" s="32" t="s">
        <v>2276</v>
      </c>
      <c r="E166" s="32" t="s">
        <v>1471</v>
      </c>
      <c r="F166" s="32" t="s">
        <v>1749</v>
      </c>
      <c r="G166" s="32">
        <f>IFERROR(INDEX(Ship!A$31:B$4500,MATCH(C166,Ship!A$31:A$4500,0),2),0)</f>
        <v>0</v>
      </c>
    </row>
    <row r="167" spans="1:7" x14ac:dyDescent="0.3">
      <c r="A167" s="32" t="s">
        <v>1795</v>
      </c>
      <c r="B167" s="32" t="s">
        <v>1796</v>
      </c>
      <c r="C167" s="32" t="s">
        <v>1710</v>
      </c>
      <c r="D167" s="32" t="s">
        <v>2277</v>
      </c>
      <c r="E167" s="32" t="s">
        <v>1471</v>
      </c>
      <c r="F167" s="32" t="s">
        <v>1749</v>
      </c>
      <c r="G167" s="32">
        <f>IFERROR(INDEX(Ship!A$31:B$4500,MATCH(C167,Ship!A$31:A$4500,0),2),0)</f>
        <v>0</v>
      </c>
    </row>
    <row r="168" spans="1:7" x14ac:dyDescent="0.3">
      <c r="A168" s="32" t="s">
        <v>1795</v>
      </c>
      <c r="B168" s="32" t="s">
        <v>1796</v>
      </c>
      <c r="C168" s="32" t="s">
        <v>1713</v>
      </c>
      <c r="D168" s="32" t="s">
        <v>2279</v>
      </c>
      <c r="E168" s="32" t="s">
        <v>1471</v>
      </c>
      <c r="F168" s="32" t="s">
        <v>1749</v>
      </c>
      <c r="G168" s="32">
        <f>IFERROR(INDEX(Ship!A$31:B$4500,MATCH(C168,Ship!A$31:A$4500,0),2),0)</f>
        <v>0</v>
      </c>
    </row>
    <row r="169" spans="1:7" x14ac:dyDescent="0.3">
      <c r="A169" s="32" t="s">
        <v>1795</v>
      </c>
      <c r="B169" s="32" t="s">
        <v>1796</v>
      </c>
      <c r="C169" s="32" t="s">
        <v>1715</v>
      </c>
      <c r="D169" s="32" t="s">
        <v>2280</v>
      </c>
      <c r="E169" s="32" t="s">
        <v>1471</v>
      </c>
      <c r="F169" s="32" t="s">
        <v>1749</v>
      </c>
      <c r="G169" s="32">
        <f>IFERROR(INDEX(Ship!A$31:B$4500,MATCH(C169,Ship!A$31:A$4500,0),2),0)</f>
        <v>0</v>
      </c>
    </row>
    <row r="170" spans="1:7" x14ac:dyDescent="0.3">
      <c r="A170" s="32" t="s">
        <v>1795</v>
      </c>
      <c r="B170" s="32" t="s">
        <v>1796</v>
      </c>
      <c r="C170" s="32" t="s">
        <v>1421</v>
      </c>
      <c r="D170" s="32" t="s">
        <v>2281</v>
      </c>
      <c r="E170" s="32" t="s">
        <v>1471</v>
      </c>
      <c r="F170" s="32" t="s">
        <v>1749</v>
      </c>
      <c r="G170" s="32">
        <f>IFERROR(INDEX(Ship!A$31:B$4500,MATCH(C170,Ship!A$31:A$4500,0),2),0)</f>
        <v>0</v>
      </c>
    </row>
    <row r="171" spans="1:7" x14ac:dyDescent="0.3">
      <c r="A171" s="32" t="s">
        <v>1795</v>
      </c>
      <c r="B171" s="32" t="s">
        <v>1796</v>
      </c>
      <c r="C171" s="32" t="s">
        <v>1714</v>
      </c>
      <c r="D171" s="32" t="s">
        <v>2282</v>
      </c>
      <c r="E171" s="32" t="s">
        <v>1471</v>
      </c>
      <c r="F171" s="32" t="s">
        <v>1749</v>
      </c>
      <c r="G171" s="32">
        <f>IFERROR(INDEX(Ship!A$31:B$4500,MATCH(C171,Ship!A$31:A$4500,0),2),0)</f>
        <v>0</v>
      </c>
    </row>
    <row r="172" spans="1:7" x14ac:dyDescent="0.3">
      <c r="A172" s="32" t="s">
        <v>1795</v>
      </c>
      <c r="B172" s="32" t="s">
        <v>1796</v>
      </c>
      <c r="C172" s="32" t="s">
        <v>1717</v>
      </c>
      <c r="D172" s="32" t="s">
        <v>2284</v>
      </c>
      <c r="E172" s="32" t="s">
        <v>1471</v>
      </c>
      <c r="F172" s="32" t="s">
        <v>1749</v>
      </c>
      <c r="G172" s="32">
        <f>IFERROR(INDEX(Ship!A$31:B$4500,MATCH(C172,Ship!A$31:A$4500,0),2),0)</f>
        <v>0</v>
      </c>
    </row>
    <row r="173" spans="1:7" x14ac:dyDescent="0.3">
      <c r="A173" s="32" t="s">
        <v>1795</v>
      </c>
      <c r="B173" s="32" t="s">
        <v>1796</v>
      </c>
      <c r="C173" s="32" t="s">
        <v>1719</v>
      </c>
      <c r="D173" s="32" t="s">
        <v>2285</v>
      </c>
      <c r="E173" s="32" t="s">
        <v>1471</v>
      </c>
      <c r="F173" s="32" t="s">
        <v>1749</v>
      </c>
      <c r="G173" s="32">
        <f>IFERROR(INDEX(Ship!A$31:B$4500,MATCH(C173,Ship!A$31:A$4500,0),2),0)</f>
        <v>0</v>
      </c>
    </row>
    <row r="174" spans="1:7" x14ac:dyDescent="0.3">
      <c r="A174" s="32" t="s">
        <v>1795</v>
      </c>
      <c r="B174" s="32" t="s">
        <v>1796</v>
      </c>
      <c r="C174" s="32" t="s">
        <v>1422</v>
      </c>
      <c r="D174" s="32" t="s">
        <v>2286</v>
      </c>
      <c r="E174" s="32" t="s">
        <v>1471</v>
      </c>
      <c r="F174" s="32" t="s">
        <v>1749</v>
      </c>
      <c r="G174" s="32">
        <f>IFERROR(INDEX(Ship!A$31:B$4500,MATCH(C174,Ship!A$31:A$4500,0),2),0)</f>
        <v>0</v>
      </c>
    </row>
    <row r="175" spans="1:7" x14ac:dyDescent="0.3">
      <c r="A175" s="32" t="s">
        <v>1795</v>
      </c>
      <c r="B175" s="32" t="s">
        <v>1796</v>
      </c>
      <c r="C175" s="32" t="s">
        <v>1718</v>
      </c>
      <c r="D175" s="32" t="s">
        <v>2287</v>
      </c>
      <c r="E175" s="32" t="s">
        <v>1471</v>
      </c>
      <c r="F175" s="32" t="s">
        <v>1749</v>
      </c>
      <c r="G175" s="32">
        <f>IFERROR(INDEX(Ship!A$31:B$4500,MATCH(C175,Ship!A$31:A$4500,0),2),0)</f>
        <v>0</v>
      </c>
    </row>
    <row r="176" spans="1:7" x14ac:dyDescent="0.3">
      <c r="A176" s="32" t="s">
        <v>1795</v>
      </c>
      <c r="B176" s="32" t="s">
        <v>1796</v>
      </c>
      <c r="C176" s="32" t="s">
        <v>1721</v>
      </c>
      <c r="D176" s="32" t="s">
        <v>2289</v>
      </c>
      <c r="E176" s="32" t="s">
        <v>1471</v>
      </c>
      <c r="F176" s="32" t="s">
        <v>1749</v>
      </c>
      <c r="G176" s="32">
        <f>IFERROR(INDEX(Ship!A$31:B$4500,MATCH(C176,Ship!A$31:A$4500,0),2),0)</f>
        <v>0</v>
      </c>
    </row>
    <row r="177" spans="1:7" x14ac:dyDescent="0.3">
      <c r="A177" s="32" t="s">
        <v>1795</v>
      </c>
      <c r="B177" s="32" t="s">
        <v>1796</v>
      </c>
      <c r="C177" s="32" t="s">
        <v>1722</v>
      </c>
      <c r="D177" s="32" t="s">
        <v>2290</v>
      </c>
      <c r="E177" s="32" t="s">
        <v>1471</v>
      </c>
      <c r="F177" s="32" t="s">
        <v>1749</v>
      </c>
      <c r="G177" s="32">
        <f>IFERROR(INDEX(Ship!A$31:B$4500,MATCH(C177,Ship!A$31:A$4500,0),2),0)</f>
        <v>0</v>
      </c>
    </row>
    <row r="178" spans="1:7" x14ac:dyDescent="0.3">
      <c r="A178" s="32" t="s">
        <v>1795</v>
      </c>
      <c r="B178" s="32" t="s">
        <v>1796</v>
      </c>
      <c r="C178" s="32" t="s">
        <v>1725</v>
      </c>
      <c r="D178" s="32" t="s">
        <v>2292</v>
      </c>
      <c r="E178" s="32" t="s">
        <v>1471</v>
      </c>
      <c r="F178" s="32" t="s">
        <v>1749</v>
      </c>
      <c r="G178" s="32">
        <f>IFERROR(INDEX(Ship!A$31:B$4500,MATCH(C178,Ship!A$31:A$4500,0),2),0)</f>
        <v>0</v>
      </c>
    </row>
    <row r="179" spans="1:7" x14ac:dyDescent="0.3">
      <c r="A179" s="32" t="s">
        <v>1795</v>
      </c>
      <c r="B179" s="32" t="s">
        <v>1796</v>
      </c>
      <c r="C179" s="32" t="s">
        <v>1423</v>
      </c>
      <c r="D179" s="32" t="s">
        <v>2293</v>
      </c>
      <c r="E179" s="32" t="s">
        <v>1471</v>
      </c>
      <c r="F179" s="32" t="s">
        <v>1749</v>
      </c>
      <c r="G179" s="32">
        <f>IFERROR(INDEX(Ship!A$31:B$4500,MATCH(C179,Ship!A$31:A$4500,0),2),0)</f>
        <v>0</v>
      </c>
    </row>
    <row r="180" spans="1:7" x14ac:dyDescent="0.3">
      <c r="A180" s="32" t="s">
        <v>1795</v>
      </c>
      <c r="B180" s="32" t="s">
        <v>1796</v>
      </c>
      <c r="C180" s="32" t="s">
        <v>1724</v>
      </c>
      <c r="D180" s="32" t="s">
        <v>2294</v>
      </c>
      <c r="E180" s="32" t="s">
        <v>1471</v>
      </c>
      <c r="F180" s="32" t="s">
        <v>1749</v>
      </c>
      <c r="G180" s="32">
        <f>IFERROR(INDEX(Ship!A$31:B$4500,MATCH(C180,Ship!A$31:A$4500,0),2),0)</f>
        <v>0</v>
      </c>
    </row>
    <row r="181" spans="1:7" x14ac:dyDescent="0.3">
      <c r="A181" s="32" t="s">
        <v>1795</v>
      </c>
      <c r="B181" s="32" t="s">
        <v>1796</v>
      </c>
      <c r="C181" s="32" t="s">
        <v>1726</v>
      </c>
      <c r="D181" s="32" t="s">
        <v>2295</v>
      </c>
      <c r="E181" s="32" t="s">
        <v>1471</v>
      </c>
      <c r="F181" s="32" t="s">
        <v>1749</v>
      </c>
      <c r="G181" s="32">
        <f>IFERROR(INDEX(Ship!A$31:B$4500,MATCH(C181,Ship!A$31:A$4500,0),2),0)</f>
        <v>0</v>
      </c>
    </row>
    <row r="182" spans="1:7" x14ac:dyDescent="0.3">
      <c r="A182" s="32" t="s">
        <v>1795</v>
      </c>
      <c r="B182" s="32" t="s">
        <v>1796</v>
      </c>
      <c r="C182" s="32" t="s">
        <v>1729</v>
      </c>
      <c r="D182" s="32" t="s">
        <v>2297</v>
      </c>
      <c r="E182" s="32" t="s">
        <v>1471</v>
      </c>
      <c r="F182" s="32" t="s">
        <v>1749</v>
      </c>
      <c r="G182" s="32">
        <f>IFERROR(INDEX(Ship!A$31:B$4500,MATCH(C182,Ship!A$31:A$4500,0),2),0)</f>
        <v>0</v>
      </c>
    </row>
    <row r="183" spans="1:7" x14ac:dyDescent="0.3">
      <c r="A183" s="32" t="s">
        <v>1795</v>
      </c>
      <c r="B183" s="32" t="s">
        <v>1796</v>
      </c>
      <c r="C183" s="32" t="s">
        <v>1432</v>
      </c>
      <c r="D183" s="32" t="s">
        <v>2298</v>
      </c>
      <c r="E183" s="32" t="s">
        <v>1471</v>
      </c>
      <c r="F183" s="32" t="s">
        <v>1749</v>
      </c>
      <c r="G183" s="32">
        <f>IFERROR(INDEX(Ship!A$31:B$4500,MATCH(C183,Ship!A$31:A$4500,0),2),0)</f>
        <v>0</v>
      </c>
    </row>
    <row r="184" spans="1:7" x14ac:dyDescent="0.3">
      <c r="A184" s="32" t="s">
        <v>1795</v>
      </c>
      <c r="B184" s="32" t="s">
        <v>1796</v>
      </c>
      <c r="C184" s="32" t="s">
        <v>1728</v>
      </c>
      <c r="D184" s="32" t="s">
        <v>2299</v>
      </c>
      <c r="E184" s="32" t="s">
        <v>1471</v>
      </c>
      <c r="F184" s="32" t="s">
        <v>1749</v>
      </c>
      <c r="G184" s="32">
        <f>IFERROR(INDEX(Ship!A$31:B$4500,MATCH(C184,Ship!A$31:A$4500,0),2),0)</f>
        <v>0</v>
      </c>
    </row>
    <row r="185" spans="1:7" x14ac:dyDescent="0.3">
      <c r="A185" s="32" t="s">
        <v>1795</v>
      </c>
      <c r="B185" s="32" t="s">
        <v>1796</v>
      </c>
      <c r="C185" s="32" t="s">
        <v>1730</v>
      </c>
      <c r="D185" s="32" t="s">
        <v>2300</v>
      </c>
      <c r="E185" s="32" t="s">
        <v>1471</v>
      </c>
      <c r="F185" s="32" t="s">
        <v>1749</v>
      </c>
      <c r="G185" s="32">
        <f>IFERROR(INDEX(Ship!A$31:B$4500,MATCH(C185,Ship!A$31:A$4500,0),2),0)</f>
        <v>0</v>
      </c>
    </row>
    <row r="186" spans="1:7" x14ac:dyDescent="0.3">
      <c r="A186" s="32" t="s">
        <v>1795</v>
      </c>
      <c r="B186" s="32" t="s">
        <v>1796</v>
      </c>
      <c r="C186" s="32" t="s">
        <v>1733</v>
      </c>
      <c r="D186" s="32" t="s">
        <v>2302</v>
      </c>
      <c r="E186" s="32" t="s">
        <v>1471</v>
      </c>
      <c r="F186" s="32" t="s">
        <v>1749</v>
      </c>
      <c r="G186" s="32">
        <f>IFERROR(INDEX(Ship!A$31:B$4500,MATCH(C186,Ship!A$31:A$4500,0),2),0)</f>
        <v>0</v>
      </c>
    </row>
    <row r="187" spans="1:7" x14ac:dyDescent="0.3">
      <c r="A187" s="32" t="s">
        <v>1795</v>
      </c>
      <c r="B187" s="32" t="s">
        <v>1796</v>
      </c>
      <c r="C187" s="32" t="s">
        <v>1433</v>
      </c>
      <c r="D187" s="32" t="s">
        <v>2303</v>
      </c>
      <c r="E187" s="32" t="s">
        <v>1471</v>
      </c>
      <c r="F187" s="32" t="s">
        <v>1749</v>
      </c>
      <c r="G187" s="32">
        <f>IFERROR(INDEX(Ship!A$31:B$4500,MATCH(C187,Ship!A$31:A$4500,0),2),0)</f>
        <v>2</v>
      </c>
    </row>
    <row r="188" spans="1:7" x14ac:dyDescent="0.3">
      <c r="A188" s="32" t="s">
        <v>1795</v>
      </c>
      <c r="B188" s="32" t="s">
        <v>1796</v>
      </c>
      <c r="C188" s="32" t="s">
        <v>1732</v>
      </c>
      <c r="D188" s="32" t="s">
        <v>2304</v>
      </c>
      <c r="E188" s="32" t="s">
        <v>1471</v>
      </c>
      <c r="F188" s="32" t="s">
        <v>1749</v>
      </c>
      <c r="G188" s="32">
        <f>IFERROR(INDEX(Ship!A$31:B$4500,MATCH(C188,Ship!A$31:A$4500,0),2),0)</f>
        <v>0</v>
      </c>
    </row>
    <row r="189" spans="1:7" x14ac:dyDescent="0.3">
      <c r="A189" s="32" t="s">
        <v>1795</v>
      </c>
      <c r="B189" s="32" t="s">
        <v>1796</v>
      </c>
      <c r="C189" s="32" t="s">
        <v>1734</v>
      </c>
      <c r="D189" s="32" t="s">
        <v>2305</v>
      </c>
      <c r="E189" s="32" t="s">
        <v>1471</v>
      </c>
      <c r="F189" s="32" t="s">
        <v>1749</v>
      </c>
      <c r="G189" s="32">
        <f>IFERROR(INDEX(Ship!A$31:B$4500,MATCH(C189,Ship!A$31:A$4500,0),2),0)</f>
        <v>0</v>
      </c>
    </row>
    <row r="190" spans="1:7" x14ac:dyDescent="0.3">
      <c r="A190" s="32" t="s">
        <v>1795</v>
      </c>
      <c r="B190" s="32" t="s">
        <v>1796</v>
      </c>
      <c r="C190" s="32" t="s">
        <v>1737</v>
      </c>
      <c r="D190" s="32" t="s">
        <v>2307</v>
      </c>
      <c r="E190" s="32" t="s">
        <v>1471</v>
      </c>
      <c r="F190" s="32" t="s">
        <v>1749</v>
      </c>
      <c r="G190" s="32">
        <f>IFERROR(INDEX(Ship!A$31:B$4500,MATCH(C190,Ship!A$31:A$4500,0),2),0)</f>
        <v>6</v>
      </c>
    </row>
    <row r="191" spans="1:7" x14ac:dyDescent="0.3">
      <c r="A191" s="32" t="s">
        <v>1795</v>
      </c>
      <c r="B191" s="32" t="s">
        <v>1796</v>
      </c>
      <c r="C191" s="32" t="s">
        <v>1442</v>
      </c>
      <c r="D191" s="32" t="s">
        <v>2308</v>
      </c>
      <c r="E191" s="32" t="s">
        <v>1471</v>
      </c>
      <c r="F191" s="32" t="s">
        <v>1749</v>
      </c>
      <c r="G191" s="32">
        <f>IFERROR(INDEX(Ship!A$31:B$4500,MATCH(C191,Ship!A$31:A$4500,0),2),0)</f>
        <v>10</v>
      </c>
    </row>
    <row r="192" spans="1:7" x14ac:dyDescent="0.3">
      <c r="A192" s="32" t="s">
        <v>1795</v>
      </c>
      <c r="B192" s="32" t="s">
        <v>1796</v>
      </c>
      <c r="C192" s="32" t="s">
        <v>1736</v>
      </c>
      <c r="D192" s="32" t="s">
        <v>2309</v>
      </c>
      <c r="E192" s="32" t="s">
        <v>1471</v>
      </c>
      <c r="F192" s="32" t="s">
        <v>1749</v>
      </c>
      <c r="G192" s="32">
        <f>IFERROR(INDEX(Ship!A$31:B$4500,MATCH(C192,Ship!A$31:A$4500,0),2),0)</f>
        <v>0</v>
      </c>
    </row>
    <row r="193" spans="1:7" x14ac:dyDescent="0.3">
      <c r="A193" s="32" t="s">
        <v>1795</v>
      </c>
      <c r="B193" s="32" t="s">
        <v>1796</v>
      </c>
      <c r="C193" s="32" t="s">
        <v>1738</v>
      </c>
      <c r="D193" s="32" t="s">
        <v>2310</v>
      </c>
      <c r="E193" s="32" t="s">
        <v>1471</v>
      </c>
      <c r="F193" s="32" t="s">
        <v>1749</v>
      </c>
      <c r="G193" s="32">
        <f>IFERROR(INDEX(Ship!A$31:B$4500,MATCH(C193,Ship!A$31:A$4500,0),2),0)</f>
        <v>0</v>
      </c>
    </row>
    <row r="194" spans="1:7" x14ac:dyDescent="0.3">
      <c r="A194" s="32" t="s">
        <v>1795</v>
      </c>
      <c r="B194" s="32" t="s">
        <v>1796</v>
      </c>
      <c r="C194" s="32" t="s">
        <v>1741</v>
      </c>
      <c r="D194" s="32" t="s">
        <v>2312</v>
      </c>
      <c r="E194" s="32" t="s">
        <v>1471</v>
      </c>
      <c r="F194" s="32" t="s">
        <v>1749</v>
      </c>
      <c r="G194" s="32">
        <f>IFERROR(INDEX(Ship!A$31:B$4500,MATCH(C194,Ship!A$31:A$4500,0),2),0)</f>
        <v>10</v>
      </c>
    </row>
    <row r="195" spans="1:7" x14ac:dyDescent="0.3">
      <c r="A195" s="32" t="s">
        <v>1795</v>
      </c>
      <c r="B195" s="32" t="s">
        <v>1796</v>
      </c>
      <c r="C195" s="32" t="s">
        <v>1790</v>
      </c>
      <c r="D195" s="32" t="s">
        <v>2313</v>
      </c>
      <c r="E195" s="32" t="s">
        <v>1471</v>
      </c>
      <c r="F195" s="32" t="s">
        <v>1749</v>
      </c>
      <c r="G195" s="32">
        <f>IFERROR(INDEX(Ship!A$31:B$4500,MATCH(C195,Ship!A$31:A$4500,0),2),0)</f>
        <v>7</v>
      </c>
    </row>
    <row r="196" spans="1:7" x14ac:dyDescent="0.3">
      <c r="A196" s="32" t="s">
        <v>1795</v>
      </c>
      <c r="B196" s="32" t="s">
        <v>1796</v>
      </c>
      <c r="C196" s="32" t="s">
        <v>1740</v>
      </c>
      <c r="D196" s="32" t="s">
        <v>2314</v>
      </c>
      <c r="E196" s="32" t="s">
        <v>1471</v>
      </c>
      <c r="F196" s="32" t="s">
        <v>1749</v>
      </c>
      <c r="G196" s="32">
        <f>IFERROR(INDEX(Ship!A$31:B$4500,MATCH(C196,Ship!A$31:A$4500,0),2),0)</f>
        <v>0</v>
      </c>
    </row>
    <row r="197" spans="1:7" x14ac:dyDescent="0.3">
      <c r="A197" s="32" t="s">
        <v>1795</v>
      </c>
      <c r="B197" s="32" t="s">
        <v>1796</v>
      </c>
      <c r="C197" s="32" t="s">
        <v>1742</v>
      </c>
      <c r="D197" s="32" t="s">
        <v>2315</v>
      </c>
      <c r="E197" s="32" t="s">
        <v>1471</v>
      </c>
      <c r="F197" s="32" t="s">
        <v>1749</v>
      </c>
      <c r="G197" s="32">
        <f>IFERROR(INDEX(Ship!A$31:B$4500,MATCH(C197,Ship!A$31:A$4500,0),2),0)</f>
        <v>0</v>
      </c>
    </row>
    <row r="198" spans="1:7" x14ac:dyDescent="0.3">
      <c r="A198" s="32" t="s">
        <v>1795</v>
      </c>
      <c r="B198" s="32" t="s">
        <v>1796</v>
      </c>
      <c r="C198" s="32" t="s">
        <v>1743</v>
      </c>
      <c r="D198" s="32" t="s">
        <v>2317</v>
      </c>
      <c r="E198" s="32" t="s">
        <v>1471</v>
      </c>
      <c r="F198" s="32" t="s">
        <v>1749</v>
      </c>
      <c r="G198" s="32">
        <f>IFERROR(INDEX(Ship!A$31:B$4500,MATCH(C198,Ship!A$31:A$4500,0),2),0)</f>
        <v>8</v>
      </c>
    </row>
    <row r="199" spans="1:7" x14ac:dyDescent="0.3">
      <c r="A199" s="32" t="s">
        <v>1795</v>
      </c>
      <c r="B199" s="32" t="s">
        <v>1796</v>
      </c>
      <c r="C199" s="32" t="s">
        <v>2526</v>
      </c>
      <c r="D199" s="32" t="s">
        <v>2318</v>
      </c>
      <c r="E199" s="32" t="s">
        <v>1471</v>
      </c>
      <c r="F199" s="32" t="s">
        <v>1749</v>
      </c>
      <c r="G199" s="32">
        <f>IFERROR(INDEX(Ship!A$31:B$4500,MATCH(C199,Ship!A$31:A$4500,0),2),0)</f>
        <v>8</v>
      </c>
    </row>
    <row r="200" spans="1:7" x14ac:dyDescent="0.3">
      <c r="A200" s="32" t="s">
        <v>1795</v>
      </c>
      <c r="B200" s="32" t="s">
        <v>1796</v>
      </c>
      <c r="C200" s="32" t="s">
        <v>2527</v>
      </c>
      <c r="D200" s="32" t="s">
        <v>2319</v>
      </c>
      <c r="E200" s="32" t="s">
        <v>1471</v>
      </c>
      <c r="F200" s="32" t="s">
        <v>1749</v>
      </c>
      <c r="G200" s="32">
        <f>IFERROR(INDEX(Ship!A$31:B$4500,MATCH(C200,Ship!A$31:A$4500,0),2),0)</f>
        <v>0</v>
      </c>
    </row>
    <row r="201" spans="1:7" x14ac:dyDescent="0.3">
      <c r="A201" s="32" t="s">
        <v>1795</v>
      </c>
      <c r="B201" s="32" t="s">
        <v>1796</v>
      </c>
      <c r="C201" s="32" t="s">
        <v>1744</v>
      </c>
      <c r="D201" s="32" t="s">
        <v>2320</v>
      </c>
      <c r="E201" s="32" t="s">
        <v>1471</v>
      </c>
      <c r="F201" s="32" t="s">
        <v>1749</v>
      </c>
      <c r="G201" s="32">
        <f>IFERROR(INDEX(Ship!A$31:B$4500,MATCH(C201,Ship!A$31:A$4500,0),2),0)</f>
        <v>0</v>
      </c>
    </row>
    <row r="202" spans="1:7" x14ac:dyDescent="0.3">
      <c r="A202" s="32" t="s">
        <v>1795</v>
      </c>
      <c r="B202" s="32" t="s">
        <v>1796</v>
      </c>
      <c r="C202" s="32" t="s">
        <v>1745</v>
      </c>
      <c r="D202" s="32" t="s">
        <v>2322</v>
      </c>
      <c r="E202" s="32" t="s">
        <v>1471</v>
      </c>
      <c r="F202" s="32" t="s">
        <v>1749</v>
      </c>
      <c r="G202" s="32">
        <f>IFERROR(INDEX(Ship!A$31:B$4500,MATCH(C202,Ship!A$31:A$4500,0),2),0)</f>
        <v>0</v>
      </c>
    </row>
    <row r="203" spans="1:7" x14ac:dyDescent="0.3">
      <c r="A203" s="32" t="s">
        <v>1795</v>
      </c>
      <c r="B203" s="32" t="s">
        <v>1796</v>
      </c>
      <c r="C203" s="32" t="s">
        <v>2528</v>
      </c>
      <c r="D203" s="32" t="s">
        <v>2323</v>
      </c>
      <c r="E203" s="32" t="s">
        <v>1471</v>
      </c>
      <c r="F203" s="32" t="s">
        <v>1749</v>
      </c>
      <c r="G203" s="32">
        <f>IFERROR(INDEX(Ship!A$31:B$4500,MATCH(C203,Ship!A$31:A$4500,0),2),0)</f>
        <v>4</v>
      </c>
    </row>
    <row r="204" spans="1:7" x14ac:dyDescent="0.3">
      <c r="A204" s="32" t="s">
        <v>1795</v>
      </c>
      <c r="B204" s="32" t="s">
        <v>1796</v>
      </c>
      <c r="C204" s="32" t="s">
        <v>2529</v>
      </c>
      <c r="D204" s="32" t="s">
        <v>2324</v>
      </c>
      <c r="E204" s="32" t="s">
        <v>1471</v>
      </c>
      <c r="F204" s="32" t="s">
        <v>1749</v>
      </c>
      <c r="G204" s="32">
        <f>IFERROR(INDEX(Ship!A$31:B$4500,MATCH(C204,Ship!A$31:A$4500,0),2),0)</f>
        <v>0</v>
      </c>
    </row>
    <row r="205" spans="1:7" x14ac:dyDescent="0.3">
      <c r="A205" s="32" t="s">
        <v>1795</v>
      </c>
      <c r="B205" s="32" t="s">
        <v>1796</v>
      </c>
      <c r="C205" s="32" t="s">
        <v>1746</v>
      </c>
      <c r="D205" s="32" t="s">
        <v>2325</v>
      </c>
      <c r="E205" s="32" t="s">
        <v>1471</v>
      </c>
      <c r="F205" s="32" t="s">
        <v>1749</v>
      </c>
      <c r="G205" s="32">
        <f>IFERROR(INDEX(Ship!A$31:B$4500,MATCH(C205,Ship!A$31:A$4500,0),2),0)</f>
        <v>0</v>
      </c>
    </row>
    <row r="206" spans="1:7" x14ac:dyDescent="0.3">
      <c r="A206" s="32" t="s">
        <v>1795</v>
      </c>
      <c r="B206" s="32" t="s">
        <v>1796</v>
      </c>
      <c r="C206" s="32" t="s">
        <v>1747</v>
      </c>
      <c r="D206" s="32" t="s">
        <v>2327</v>
      </c>
      <c r="E206" s="32" t="s">
        <v>1471</v>
      </c>
      <c r="F206" s="32" t="s">
        <v>1749</v>
      </c>
      <c r="G206" s="32">
        <f>IFERROR(INDEX(Ship!A$31:B$4500,MATCH(C206,Ship!A$31:A$4500,0),2),0)</f>
        <v>13</v>
      </c>
    </row>
    <row r="207" spans="1:7" x14ac:dyDescent="0.3">
      <c r="A207" s="32" t="s">
        <v>1795</v>
      </c>
      <c r="B207" s="32" t="s">
        <v>1796</v>
      </c>
      <c r="C207" s="32" t="s">
        <v>2530</v>
      </c>
      <c r="D207" s="32" t="s">
        <v>2328</v>
      </c>
      <c r="E207" s="32" t="s">
        <v>1471</v>
      </c>
      <c r="F207" s="32" t="s">
        <v>1749</v>
      </c>
      <c r="G207" s="32">
        <f>IFERROR(INDEX(Ship!A$31:B$4500,MATCH(C207,Ship!A$31:A$4500,0),2),0)</f>
        <v>10</v>
      </c>
    </row>
    <row r="208" spans="1:7" x14ac:dyDescent="0.3">
      <c r="A208" s="32" t="s">
        <v>1795</v>
      </c>
      <c r="B208" s="32" t="s">
        <v>1796</v>
      </c>
      <c r="C208" s="32" t="s">
        <v>2531</v>
      </c>
      <c r="D208" s="32" t="s">
        <v>2329</v>
      </c>
      <c r="E208" s="32" t="s">
        <v>1471</v>
      </c>
      <c r="F208" s="32" t="s">
        <v>1749</v>
      </c>
      <c r="G208" s="32">
        <f>IFERROR(INDEX(Ship!A$31:B$4500,MATCH(C208,Ship!A$31:A$4500,0),2),0)</f>
        <v>0</v>
      </c>
    </row>
    <row r="209" spans="1:7" x14ac:dyDescent="0.3">
      <c r="A209" s="32" t="s">
        <v>1795</v>
      </c>
      <c r="B209" s="32" t="s">
        <v>1796</v>
      </c>
      <c r="C209" s="32" t="s">
        <v>1748</v>
      </c>
      <c r="D209" s="32" t="s">
        <v>2330</v>
      </c>
      <c r="E209" s="32" t="s">
        <v>1471</v>
      </c>
      <c r="F209" s="32" t="s">
        <v>1749</v>
      </c>
      <c r="G209" s="32">
        <f>IFERROR(INDEX(Ship!A$31:B$4500,MATCH(C209,Ship!A$31:A$4500,0),2),0)</f>
        <v>0</v>
      </c>
    </row>
    <row r="210" spans="1:7" x14ac:dyDescent="0.3">
      <c r="A210" s="32" t="s">
        <v>1795</v>
      </c>
      <c r="B210" s="32" t="s">
        <v>1796</v>
      </c>
      <c r="C210" s="32" t="s">
        <v>2532</v>
      </c>
      <c r="D210" s="32" t="s">
        <v>2332</v>
      </c>
      <c r="E210" s="32" t="s">
        <v>1471</v>
      </c>
      <c r="F210" s="32" t="s">
        <v>1749</v>
      </c>
      <c r="G210" s="32">
        <f>IFERROR(INDEX(Ship!A$31:B$4500,MATCH(C210,Ship!A$31:A$4500,0),2),0)</f>
        <v>0</v>
      </c>
    </row>
    <row r="211" spans="1:7" x14ac:dyDescent="0.3">
      <c r="A211" s="32" t="s">
        <v>1795</v>
      </c>
      <c r="B211" s="32" t="s">
        <v>1796</v>
      </c>
      <c r="C211" s="32" t="s">
        <v>2533</v>
      </c>
      <c r="D211" s="32" t="s">
        <v>2333</v>
      </c>
      <c r="E211" s="32" t="s">
        <v>1471</v>
      </c>
      <c r="F211" s="32" t="s">
        <v>1749</v>
      </c>
      <c r="G211" s="32">
        <f>IFERROR(INDEX(Ship!A$31:B$4500,MATCH(C211,Ship!A$31:A$4500,0),2),0)</f>
        <v>0</v>
      </c>
    </row>
    <row r="212" spans="1:7" x14ac:dyDescent="0.3">
      <c r="A212" s="32" t="s">
        <v>1795</v>
      </c>
      <c r="B212" s="32" t="s">
        <v>1796</v>
      </c>
      <c r="C212" s="32" t="s">
        <v>2534</v>
      </c>
      <c r="D212" s="32" t="s">
        <v>2335</v>
      </c>
      <c r="E212" s="32" t="s">
        <v>1471</v>
      </c>
      <c r="F212" s="32" t="s">
        <v>1749</v>
      </c>
      <c r="G212" s="32">
        <f>IFERROR(INDEX(Ship!A$31:B$4500,MATCH(C212,Ship!A$31:A$4500,0),2),0)</f>
        <v>0</v>
      </c>
    </row>
    <row r="213" spans="1:7" x14ac:dyDescent="0.3">
      <c r="A213" s="32" t="s">
        <v>1795</v>
      </c>
      <c r="B213" s="32" t="s">
        <v>1796</v>
      </c>
      <c r="C213" s="32" t="s">
        <v>2535</v>
      </c>
      <c r="D213" s="32" t="s">
        <v>2336</v>
      </c>
      <c r="E213" s="32" t="s">
        <v>1471</v>
      </c>
      <c r="F213" s="32" t="s">
        <v>1749</v>
      </c>
      <c r="G213" s="32">
        <f>IFERROR(INDEX(Ship!A$31:B$4500,MATCH(C213,Ship!A$31:A$4500,0),2),0)</f>
        <v>0</v>
      </c>
    </row>
    <row r="214" spans="1:7" x14ac:dyDescent="0.3">
      <c r="A214" s="32" t="s">
        <v>1795</v>
      </c>
      <c r="B214" s="32" t="s">
        <v>1796</v>
      </c>
      <c r="C214" s="32" t="s">
        <v>2536</v>
      </c>
      <c r="D214" s="32" t="s">
        <v>2338</v>
      </c>
      <c r="E214" s="32" t="s">
        <v>1471</v>
      </c>
      <c r="F214" s="32" t="s">
        <v>1749</v>
      </c>
      <c r="G214" s="32">
        <f>IFERROR(INDEX(Ship!A$31:B$4500,MATCH(C214,Ship!A$31:A$4500,0),2),0)</f>
        <v>0</v>
      </c>
    </row>
    <row r="215" spans="1:7" x14ac:dyDescent="0.3">
      <c r="A215" s="32" t="s">
        <v>1795</v>
      </c>
      <c r="B215" s="32" t="s">
        <v>1796</v>
      </c>
      <c r="C215" s="32" t="s">
        <v>2537</v>
      </c>
      <c r="D215" s="32" t="s">
        <v>2339</v>
      </c>
      <c r="E215" s="32" t="s">
        <v>1471</v>
      </c>
      <c r="F215" s="32" t="s">
        <v>1749</v>
      </c>
      <c r="G215" s="32">
        <f>IFERROR(INDEX(Ship!A$31:B$4500,MATCH(C215,Ship!A$31:A$4500,0),2),0)</f>
        <v>0</v>
      </c>
    </row>
    <row r="216" spans="1:7" x14ac:dyDescent="0.3">
      <c r="A216" s="32" t="s">
        <v>1795</v>
      </c>
      <c r="B216" s="32" t="s">
        <v>1796</v>
      </c>
      <c r="C216" s="32" t="s">
        <v>2538</v>
      </c>
      <c r="D216" s="32" t="s">
        <v>2341</v>
      </c>
      <c r="E216" s="32" t="s">
        <v>1471</v>
      </c>
      <c r="F216" s="32" t="s">
        <v>1749</v>
      </c>
      <c r="G216" s="32">
        <f>IFERROR(INDEX(Ship!A$31:B$4500,MATCH(C216,Ship!A$31:A$4500,0),2),0)</f>
        <v>0</v>
      </c>
    </row>
    <row r="217" spans="1:7" x14ac:dyDescent="0.3">
      <c r="A217" s="32" t="s">
        <v>1795</v>
      </c>
      <c r="B217" s="32" t="s">
        <v>1796</v>
      </c>
      <c r="C217" s="32" t="s">
        <v>2539</v>
      </c>
      <c r="D217" s="32" t="s">
        <v>2342</v>
      </c>
      <c r="E217" s="32" t="s">
        <v>1471</v>
      </c>
      <c r="F217" s="32" t="s">
        <v>1749</v>
      </c>
      <c r="G217" s="32">
        <f>IFERROR(INDEX(Ship!A$31:B$4500,MATCH(C217,Ship!A$31:A$4500,0),2),0)</f>
        <v>0</v>
      </c>
    </row>
    <row r="218" spans="1:7" x14ac:dyDescent="0.3">
      <c r="A218" s="32" t="s">
        <v>1795</v>
      </c>
      <c r="B218" s="32" t="s">
        <v>1796</v>
      </c>
      <c r="C218" s="32" t="s">
        <v>2540</v>
      </c>
      <c r="D218" s="32" t="s">
        <v>2344</v>
      </c>
      <c r="E218" s="32" t="s">
        <v>1471</v>
      </c>
      <c r="F218" s="32" t="s">
        <v>1749</v>
      </c>
      <c r="G218" s="32">
        <f>IFERROR(INDEX(Ship!A$31:B$4500,MATCH(C218,Ship!A$31:A$4500,0),2),0)</f>
        <v>0</v>
      </c>
    </row>
    <row r="219" spans="1:7" x14ac:dyDescent="0.3">
      <c r="A219" s="32" t="s">
        <v>1795</v>
      </c>
      <c r="B219" s="32" t="s">
        <v>1796</v>
      </c>
      <c r="C219" s="32" t="s">
        <v>2541</v>
      </c>
      <c r="D219" s="32" t="s">
        <v>2345</v>
      </c>
      <c r="E219" s="32" t="s">
        <v>1471</v>
      </c>
      <c r="F219" s="32" t="s">
        <v>1749</v>
      </c>
      <c r="G219" s="32">
        <f>IFERROR(INDEX(Ship!A$31:B$4500,MATCH(C219,Ship!A$31:A$4500,0),2),0)</f>
        <v>0</v>
      </c>
    </row>
    <row r="220" spans="1:7" x14ac:dyDescent="0.3">
      <c r="A220" s="32" t="s">
        <v>1795</v>
      </c>
      <c r="B220" s="32" t="s">
        <v>1796</v>
      </c>
      <c r="C220" s="32" t="s">
        <v>2542</v>
      </c>
      <c r="D220" s="32" t="s">
        <v>2347</v>
      </c>
      <c r="E220" s="32" t="s">
        <v>1471</v>
      </c>
      <c r="F220" s="32" t="s">
        <v>1749</v>
      </c>
      <c r="G220" s="32">
        <f>IFERROR(INDEX(Ship!A$31:B$4500,MATCH(C220,Ship!A$31:A$4500,0),2),0)</f>
        <v>0</v>
      </c>
    </row>
    <row r="221" spans="1:7" x14ac:dyDescent="0.3">
      <c r="A221" s="32" t="s">
        <v>1795</v>
      </c>
      <c r="B221" s="32" t="s">
        <v>1796</v>
      </c>
      <c r="C221" s="32" t="s">
        <v>2543</v>
      </c>
      <c r="D221" s="32" t="s">
        <v>2348</v>
      </c>
      <c r="E221" s="32" t="s">
        <v>1471</v>
      </c>
      <c r="F221" s="32" t="s">
        <v>1749</v>
      </c>
      <c r="G221" s="32">
        <f>IFERROR(INDEX(Ship!A$31:B$4500,MATCH(C221,Ship!A$31:A$4500,0),2),0)</f>
        <v>0</v>
      </c>
    </row>
    <row r="222" spans="1:7" x14ac:dyDescent="0.3">
      <c r="A222" s="32" t="s">
        <v>1795</v>
      </c>
      <c r="B222" s="32" t="s">
        <v>1796</v>
      </c>
      <c r="C222" s="32" t="s">
        <v>2544</v>
      </c>
      <c r="D222" s="32" t="s">
        <v>2350</v>
      </c>
      <c r="E222" s="32" t="s">
        <v>1471</v>
      </c>
      <c r="F222" s="32" t="s">
        <v>1749</v>
      </c>
      <c r="G222" s="32">
        <f>IFERROR(INDEX(Ship!A$31:B$4500,MATCH(C222,Ship!A$31:A$4500,0),2),0)</f>
        <v>0</v>
      </c>
    </row>
    <row r="223" spans="1:7" x14ac:dyDescent="0.3">
      <c r="A223" s="32" t="s">
        <v>1795</v>
      </c>
      <c r="B223" s="32" t="s">
        <v>1796</v>
      </c>
      <c r="C223" s="32" t="s">
        <v>2545</v>
      </c>
      <c r="D223" s="32" t="s">
        <v>2351</v>
      </c>
      <c r="E223" s="32" t="s">
        <v>1471</v>
      </c>
      <c r="F223" s="32" t="s">
        <v>1749</v>
      </c>
      <c r="G223" s="32">
        <f>IFERROR(INDEX(Ship!A$31:B$4500,MATCH(C223,Ship!A$31:A$4500,0),2),0)</f>
        <v>0</v>
      </c>
    </row>
    <row r="224" spans="1:7" x14ac:dyDescent="0.3">
      <c r="A224" s="32" t="s">
        <v>1795</v>
      </c>
      <c r="B224" s="32" t="s">
        <v>1796</v>
      </c>
      <c r="C224" s="32" t="s">
        <v>2546</v>
      </c>
      <c r="D224" s="32" t="s">
        <v>2353</v>
      </c>
      <c r="E224" s="32" t="s">
        <v>1471</v>
      </c>
      <c r="F224" s="32" t="s">
        <v>1749</v>
      </c>
      <c r="G224" s="32">
        <f>IFERROR(INDEX(Ship!A$31:B$4500,MATCH(C224,Ship!A$31:A$4500,0),2),0)</f>
        <v>0</v>
      </c>
    </row>
    <row r="225" spans="1:7" x14ac:dyDescent="0.3">
      <c r="A225" s="32" t="s">
        <v>1795</v>
      </c>
      <c r="B225" s="32" t="s">
        <v>1796</v>
      </c>
      <c r="C225" s="32" t="s">
        <v>2547</v>
      </c>
      <c r="D225" s="32" t="s">
        <v>2354</v>
      </c>
      <c r="E225" s="32" t="s">
        <v>1471</v>
      </c>
      <c r="F225" s="32" t="s">
        <v>1749</v>
      </c>
      <c r="G225" s="32">
        <f>IFERROR(INDEX(Ship!A$31:B$4500,MATCH(C225,Ship!A$31:A$4500,0),2),0)</f>
        <v>0</v>
      </c>
    </row>
    <row r="226" spans="1:7" x14ac:dyDescent="0.3">
      <c r="A226" s="32" t="s">
        <v>1795</v>
      </c>
      <c r="B226" s="32" t="s">
        <v>1796</v>
      </c>
      <c r="C226" s="32" t="s">
        <v>2548</v>
      </c>
      <c r="D226" s="32" t="s">
        <v>2356</v>
      </c>
      <c r="E226" s="32" t="s">
        <v>1471</v>
      </c>
      <c r="F226" s="32" t="s">
        <v>1749</v>
      </c>
      <c r="G226" s="32">
        <f>IFERROR(INDEX(Ship!A$31:B$4500,MATCH(C226,Ship!A$31:A$4500,0),2),0)</f>
        <v>0</v>
      </c>
    </row>
    <row r="227" spans="1:7" x14ac:dyDescent="0.3">
      <c r="A227" s="32" t="s">
        <v>1795</v>
      </c>
      <c r="B227" s="32" t="s">
        <v>1796</v>
      </c>
      <c r="C227" s="32" t="s">
        <v>2549</v>
      </c>
      <c r="D227" s="32" t="s">
        <v>2357</v>
      </c>
      <c r="E227" s="32" t="s">
        <v>1471</v>
      </c>
      <c r="F227" s="32" t="s">
        <v>1749</v>
      </c>
      <c r="G227" s="32">
        <f>IFERROR(INDEX(Ship!A$31:B$4500,MATCH(C227,Ship!A$31:A$4500,0),2),0)</f>
        <v>0</v>
      </c>
    </row>
    <row r="228" spans="1:7" x14ac:dyDescent="0.3">
      <c r="A228" s="32" t="s">
        <v>1795</v>
      </c>
      <c r="B228" s="32" t="s">
        <v>1796</v>
      </c>
      <c r="C228" s="32" t="s">
        <v>2550</v>
      </c>
      <c r="D228" s="32" t="s">
        <v>2359</v>
      </c>
      <c r="E228" s="32" t="s">
        <v>1471</v>
      </c>
      <c r="F228" s="32" t="s">
        <v>1749</v>
      </c>
      <c r="G228" s="32">
        <f>IFERROR(INDEX(Ship!A$31:B$4500,MATCH(C228,Ship!A$31:A$4500,0),2),0)</f>
        <v>0</v>
      </c>
    </row>
    <row r="229" spans="1:7" x14ac:dyDescent="0.3">
      <c r="A229" s="32" t="s">
        <v>1795</v>
      </c>
      <c r="B229" s="32" t="s">
        <v>1796</v>
      </c>
      <c r="C229" s="32" t="s">
        <v>2551</v>
      </c>
      <c r="D229" s="32" t="s">
        <v>2360</v>
      </c>
      <c r="E229" s="32" t="s">
        <v>1471</v>
      </c>
      <c r="F229" s="32" t="s">
        <v>1749</v>
      </c>
      <c r="G229" s="32">
        <f>IFERROR(INDEX(Ship!A$31:B$4500,MATCH(C229,Ship!A$31:A$4500,0),2),0)</f>
        <v>0</v>
      </c>
    </row>
    <row r="230" spans="1:7" x14ac:dyDescent="0.3">
      <c r="A230" s="32" t="s">
        <v>1795</v>
      </c>
      <c r="B230" s="32" t="s">
        <v>1796</v>
      </c>
      <c r="C230" s="32" t="s">
        <v>2552</v>
      </c>
      <c r="D230" s="32" t="s">
        <v>2362</v>
      </c>
      <c r="E230" s="32" t="s">
        <v>1471</v>
      </c>
      <c r="F230" s="32" t="s">
        <v>1749</v>
      </c>
      <c r="G230" s="32">
        <f>IFERROR(INDEX(Ship!A$31:B$4500,MATCH(C230,Ship!A$31:A$4500,0),2),0)</f>
        <v>0</v>
      </c>
    </row>
    <row r="231" spans="1:7" x14ac:dyDescent="0.3">
      <c r="A231" s="32" t="s">
        <v>1795</v>
      </c>
      <c r="B231" s="32" t="s">
        <v>1796</v>
      </c>
      <c r="C231" s="32" t="s">
        <v>2553</v>
      </c>
      <c r="D231" s="32" t="s">
        <v>2363</v>
      </c>
      <c r="E231" s="32" t="s">
        <v>1471</v>
      </c>
      <c r="F231" s="32" t="s">
        <v>1749</v>
      </c>
      <c r="G231" s="32">
        <f>IFERROR(INDEX(Ship!A$31:B$4500,MATCH(C231,Ship!A$31:A$4500,0),2),0)</f>
        <v>0</v>
      </c>
    </row>
    <row r="232" spans="1:7" x14ac:dyDescent="0.3">
      <c r="A232" s="32" t="s">
        <v>1795</v>
      </c>
      <c r="B232" s="32" t="s">
        <v>1796</v>
      </c>
      <c r="C232" s="32" t="s">
        <v>2554</v>
      </c>
      <c r="D232" s="32" t="s">
        <v>2365</v>
      </c>
      <c r="E232" s="32" t="s">
        <v>1471</v>
      </c>
      <c r="F232" s="32" t="s">
        <v>1749</v>
      </c>
      <c r="G232" s="32">
        <f>IFERROR(INDEX(Ship!A$31:B$4500,MATCH(C232,Ship!A$31:A$4500,0),2),0)</f>
        <v>0</v>
      </c>
    </row>
    <row r="233" spans="1:7" x14ac:dyDescent="0.3">
      <c r="A233" s="32" t="s">
        <v>1795</v>
      </c>
      <c r="B233" s="32" t="s">
        <v>1796</v>
      </c>
      <c r="C233" s="32" t="s">
        <v>2555</v>
      </c>
      <c r="D233" s="32" t="s">
        <v>2366</v>
      </c>
      <c r="E233" s="32" t="s">
        <v>1471</v>
      </c>
      <c r="F233" s="32" t="s">
        <v>1749</v>
      </c>
      <c r="G233" s="32">
        <f>IFERROR(INDEX(Ship!A$31:B$4500,MATCH(C233,Ship!A$31:A$4500,0),2),0)</f>
        <v>0</v>
      </c>
    </row>
    <row r="234" spans="1:7" x14ac:dyDescent="0.3">
      <c r="A234" s="32" t="s">
        <v>1795</v>
      </c>
      <c r="B234" s="32" t="s">
        <v>1796</v>
      </c>
      <c r="C234" s="32" t="s">
        <v>2556</v>
      </c>
      <c r="D234" s="32" t="s">
        <v>2368</v>
      </c>
      <c r="E234" s="32" t="s">
        <v>1471</v>
      </c>
      <c r="F234" s="32" t="s">
        <v>1749</v>
      </c>
      <c r="G234" s="32">
        <f>IFERROR(INDEX(Ship!A$31:B$4500,MATCH(C234,Ship!A$31:A$4500,0),2),0)</f>
        <v>0</v>
      </c>
    </row>
    <row r="235" spans="1:7" x14ac:dyDescent="0.3">
      <c r="A235" s="32" t="s">
        <v>1795</v>
      </c>
      <c r="B235" s="32" t="s">
        <v>1796</v>
      </c>
      <c r="C235" s="32" t="s">
        <v>2557</v>
      </c>
      <c r="D235" s="32" t="s">
        <v>2369</v>
      </c>
      <c r="E235" s="32" t="s">
        <v>1471</v>
      </c>
      <c r="F235" s="32" t="s">
        <v>1749</v>
      </c>
      <c r="G235" s="32">
        <f>IFERROR(INDEX(Ship!A$31:B$4500,MATCH(C235,Ship!A$31:A$4500,0),2),0)</f>
        <v>0</v>
      </c>
    </row>
    <row r="236" spans="1:7" x14ac:dyDescent="0.3">
      <c r="A236" s="32" t="s">
        <v>1795</v>
      </c>
      <c r="B236" s="32" t="s">
        <v>1796</v>
      </c>
      <c r="C236" s="32" t="s">
        <v>2558</v>
      </c>
      <c r="D236" s="32" t="s">
        <v>2371</v>
      </c>
      <c r="E236" s="32" t="s">
        <v>1471</v>
      </c>
      <c r="F236" s="32" t="s">
        <v>1749</v>
      </c>
      <c r="G236" s="32">
        <f>IFERROR(INDEX(Ship!A$31:B$4500,MATCH(C236,Ship!A$31:A$4500,0),2),0)</f>
        <v>0</v>
      </c>
    </row>
    <row r="237" spans="1:7" x14ac:dyDescent="0.3">
      <c r="A237" s="32" t="s">
        <v>1795</v>
      </c>
      <c r="B237" s="32" t="s">
        <v>1796</v>
      </c>
      <c r="C237" s="32" t="s">
        <v>2559</v>
      </c>
      <c r="D237" s="32" t="s">
        <v>2372</v>
      </c>
      <c r="E237" s="32" t="s">
        <v>1471</v>
      </c>
      <c r="F237" s="32" t="s">
        <v>1749</v>
      </c>
      <c r="G237" s="32">
        <f>IFERROR(INDEX(Ship!A$31:B$4500,MATCH(C237,Ship!A$31:A$4500,0),2),0)</f>
        <v>0</v>
      </c>
    </row>
    <row r="238" spans="1:7" x14ac:dyDescent="0.3">
      <c r="A238" s="32" t="s">
        <v>1795</v>
      </c>
      <c r="B238" s="32" t="s">
        <v>1796</v>
      </c>
      <c r="C238" s="32" t="s">
        <v>2560</v>
      </c>
      <c r="D238" s="32" t="s">
        <v>2374</v>
      </c>
      <c r="E238" s="32" t="s">
        <v>1471</v>
      </c>
      <c r="F238" s="32" t="s">
        <v>1749</v>
      </c>
      <c r="G238" s="32">
        <f>IFERROR(INDEX(Ship!A$31:B$4500,MATCH(C238,Ship!A$31:A$4500,0),2),0)</f>
        <v>0</v>
      </c>
    </row>
    <row r="239" spans="1:7" x14ac:dyDescent="0.3">
      <c r="A239" s="32" t="s">
        <v>1795</v>
      </c>
      <c r="B239" s="32" t="s">
        <v>1796</v>
      </c>
      <c r="C239" s="32" t="s">
        <v>2561</v>
      </c>
      <c r="D239" s="32" t="s">
        <v>2375</v>
      </c>
      <c r="E239" s="32" t="s">
        <v>1471</v>
      </c>
      <c r="F239" s="32" t="s">
        <v>1749</v>
      </c>
      <c r="G239" s="32">
        <f>IFERROR(INDEX(Ship!A$31:B$4500,MATCH(C239,Ship!A$31:A$4500,0),2),0)</f>
        <v>0</v>
      </c>
    </row>
    <row r="240" spans="1:7" x14ac:dyDescent="0.3">
      <c r="A240" s="32" t="s">
        <v>1795</v>
      </c>
      <c r="B240" s="32" t="s">
        <v>1796</v>
      </c>
      <c r="C240" s="32" t="s">
        <v>2562</v>
      </c>
      <c r="D240" s="32" t="s">
        <v>2377</v>
      </c>
      <c r="E240" s="32" t="s">
        <v>1471</v>
      </c>
      <c r="F240" s="32" t="s">
        <v>1749</v>
      </c>
      <c r="G240" s="32">
        <f>IFERROR(INDEX(Ship!A$31:B$4500,MATCH(C240,Ship!A$31:A$4500,0),2),0)</f>
        <v>0</v>
      </c>
    </row>
    <row r="241" spans="1:7" x14ac:dyDescent="0.3">
      <c r="A241" s="32" t="s">
        <v>1795</v>
      </c>
      <c r="B241" s="32" t="s">
        <v>1796</v>
      </c>
      <c r="C241" s="32" t="s">
        <v>2563</v>
      </c>
      <c r="D241" s="32" t="s">
        <v>2378</v>
      </c>
      <c r="E241" s="32" t="s">
        <v>1471</v>
      </c>
      <c r="F241" s="32" t="s">
        <v>1749</v>
      </c>
      <c r="G241" s="32">
        <f>IFERROR(INDEX(Ship!A$31:B$4500,MATCH(C241,Ship!A$31:A$4500,0),2),0)</f>
        <v>0</v>
      </c>
    </row>
    <row r="242" spans="1:7" x14ac:dyDescent="0.3">
      <c r="A242" s="32" t="s">
        <v>1795</v>
      </c>
      <c r="B242" s="32" t="s">
        <v>1796</v>
      </c>
      <c r="C242" s="32" t="s">
        <v>2564</v>
      </c>
      <c r="D242" s="32" t="s">
        <v>2380</v>
      </c>
      <c r="E242" s="32" t="s">
        <v>1471</v>
      </c>
      <c r="F242" s="32" t="s">
        <v>1749</v>
      </c>
      <c r="G242" s="32">
        <f>IFERROR(INDEX(Ship!A$31:B$4500,MATCH(C242,Ship!A$31:A$4500,0),2),0)</f>
        <v>0</v>
      </c>
    </row>
    <row r="243" spans="1:7" x14ac:dyDescent="0.3">
      <c r="A243" s="32" t="s">
        <v>1795</v>
      </c>
      <c r="B243" s="32" t="s">
        <v>1796</v>
      </c>
      <c r="C243" s="32" t="s">
        <v>2565</v>
      </c>
      <c r="D243" s="32" t="s">
        <v>2381</v>
      </c>
      <c r="E243" s="32" t="s">
        <v>1471</v>
      </c>
      <c r="F243" s="32" t="s">
        <v>1749</v>
      </c>
      <c r="G243" s="32">
        <f>IFERROR(INDEX(Ship!A$31:B$4500,MATCH(C243,Ship!A$31:A$4500,0),2),0)</f>
        <v>0</v>
      </c>
    </row>
    <row r="244" spans="1:7" x14ac:dyDescent="0.3">
      <c r="A244" s="32" t="s">
        <v>1795</v>
      </c>
      <c r="B244" s="32" t="s">
        <v>1796</v>
      </c>
      <c r="C244" s="32" t="s">
        <v>2566</v>
      </c>
      <c r="D244" s="32" t="s">
        <v>2383</v>
      </c>
      <c r="E244" s="32" t="s">
        <v>1471</v>
      </c>
      <c r="F244" s="32" t="s">
        <v>1749</v>
      </c>
      <c r="G244" s="32">
        <f>IFERROR(INDEX(Ship!A$31:B$4500,MATCH(C244,Ship!A$31:A$4500,0),2),0)</f>
        <v>0</v>
      </c>
    </row>
    <row r="245" spans="1:7" x14ac:dyDescent="0.3">
      <c r="A245" s="32" t="s">
        <v>1795</v>
      </c>
      <c r="B245" s="32" t="s">
        <v>1796</v>
      </c>
      <c r="C245" s="32" t="s">
        <v>2567</v>
      </c>
      <c r="D245" s="32" t="s">
        <v>2384</v>
      </c>
      <c r="E245" s="32" t="s">
        <v>1471</v>
      </c>
      <c r="F245" s="32" t="s">
        <v>1749</v>
      </c>
      <c r="G245" s="32">
        <f>IFERROR(INDEX(Ship!A$31:B$4500,MATCH(C245,Ship!A$31:A$4500,0),2),0)</f>
        <v>0</v>
      </c>
    </row>
    <row r="246" spans="1:7" x14ac:dyDescent="0.3">
      <c r="A246" s="32" t="s">
        <v>1795</v>
      </c>
      <c r="B246" s="32" t="s">
        <v>1796</v>
      </c>
      <c r="C246" s="32" t="s">
        <v>2568</v>
      </c>
      <c r="D246" s="32" t="s">
        <v>2386</v>
      </c>
      <c r="E246" s="32" t="s">
        <v>1471</v>
      </c>
      <c r="F246" s="32" t="s">
        <v>1749</v>
      </c>
      <c r="G246" s="32">
        <f>IFERROR(INDEX(Ship!A$31:B$4500,MATCH(C246,Ship!A$31:A$4500,0),2),0)</f>
        <v>0</v>
      </c>
    </row>
    <row r="247" spans="1:7" x14ac:dyDescent="0.3">
      <c r="A247" s="32" t="s">
        <v>1795</v>
      </c>
      <c r="B247" s="32" t="s">
        <v>1796</v>
      </c>
      <c r="C247" s="32" t="s">
        <v>2569</v>
      </c>
      <c r="D247" s="32" t="s">
        <v>2387</v>
      </c>
      <c r="E247" s="32" t="s">
        <v>1471</v>
      </c>
      <c r="F247" s="32" t="s">
        <v>1749</v>
      </c>
      <c r="G247" s="32">
        <f>IFERROR(INDEX(Ship!A$31:B$4500,MATCH(C247,Ship!A$31:A$4500,0),2),0)</f>
        <v>0</v>
      </c>
    </row>
    <row r="248" spans="1:7" x14ac:dyDescent="0.3">
      <c r="A248" s="32" t="s">
        <v>1795</v>
      </c>
      <c r="B248" s="32" t="s">
        <v>1796</v>
      </c>
      <c r="C248" s="32" t="s">
        <v>2570</v>
      </c>
      <c r="D248" s="32" t="s">
        <v>2389</v>
      </c>
      <c r="E248" s="32" t="s">
        <v>1471</v>
      </c>
      <c r="F248" s="32" t="s">
        <v>1749</v>
      </c>
      <c r="G248" s="32">
        <f>IFERROR(INDEX(Ship!A$31:B$4500,MATCH(C248,Ship!A$31:A$4500,0),2),0)</f>
        <v>0</v>
      </c>
    </row>
    <row r="249" spans="1:7" x14ac:dyDescent="0.3">
      <c r="A249" s="32" t="s">
        <v>1795</v>
      </c>
      <c r="B249" s="32" t="s">
        <v>1796</v>
      </c>
      <c r="C249" s="32" t="s">
        <v>2571</v>
      </c>
      <c r="D249" s="32" t="s">
        <v>2390</v>
      </c>
      <c r="E249" s="32" t="s">
        <v>1471</v>
      </c>
      <c r="F249" s="32" t="s">
        <v>1749</v>
      </c>
      <c r="G249" s="32">
        <f>IFERROR(INDEX(Ship!A$31:B$4500,MATCH(C249,Ship!A$31:A$4500,0),2),0)</f>
        <v>0</v>
      </c>
    </row>
    <row r="250" spans="1:7" x14ac:dyDescent="0.3">
      <c r="A250" s="32" t="s">
        <v>1795</v>
      </c>
      <c r="B250" s="32" t="s">
        <v>1796</v>
      </c>
      <c r="C250" s="32" t="s">
        <v>2572</v>
      </c>
      <c r="D250" s="32" t="s">
        <v>2392</v>
      </c>
      <c r="E250" s="32" t="s">
        <v>1471</v>
      </c>
      <c r="F250" s="32" t="s">
        <v>1749</v>
      </c>
      <c r="G250" s="32">
        <f>IFERROR(INDEX(Ship!A$31:B$4500,MATCH(C250,Ship!A$31:A$4500,0),2),0)</f>
        <v>0</v>
      </c>
    </row>
    <row r="251" spans="1:7" x14ac:dyDescent="0.3">
      <c r="A251" s="32" t="s">
        <v>1795</v>
      </c>
      <c r="B251" s="32" t="s">
        <v>1796</v>
      </c>
      <c r="C251" s="32" t="s">
        <v>2573</v>
      </c>
      <c r="D251" s="32" t="s">
        <v>2393</v>
      </c>
      <c r="E251" s="32" t="s">
        <v>1471</v>
      </c>
      <c r="F251" s="32" t="s">
        <v>1749</v>
      </c>
      <c r="G251" s="32">
        <f>IFERROR(INDEX(Ship!A$31:B$4500,MATCH(C251,Ship!A$31:A$4500,0),2),0)</f>
        <v>0</v>
      </c>
    </row>
    <row r="252" spans="1:7" x14ac:dyDescent="0.3">
      <c r="A252" s="32" t="s">
        <v>1795</v>
      </c>
      <c r="B252" s="32" t="s">
        <v>1796</v>
      </c>
      <c r="C252" s="32" t="s">
        <v>2574</v>
      </c>
      <c r="D252" s="32" t="s">
        <v>2395</v>
      </c>
      <c r="E252" s="32" t="s">
        <v>1471</v>
      </c>
      <c r="F252" s="32" t="s">
        <v>1749</v>
      </c>
      <c r="G252" s="32">
        <f>IFERROR(INDEX(Ship!A$31:B$4500,MATCH(C252,Ship!A$31:A$4500,0),2),0)</f>
        <v>0</v>
      </c>
    </row>
    <row r="253" spans="1:7" x14ac:dyDescent="0.3">
      <c r="A253" s="32" t="s">
        <v>1795</v>
      </c>
      <c r="B253" s="32" t="s">
        <v>1796</v>
      </c>
      <c r="C253" s="32" t="s">
        <v>2575</v>
      </c>
      <c r="D253" s="32" t="s">
        <v>2396</v>
      </c>
      <c r="E253" s="32" t="s">
        <v>1471</v>
      </c>
      <c r="F253" s="32" t="s">
        <v>1749</v>
      </c>
      <c r="G253" s="32">
        <f>IFERROR(INDEX(Ship!A$31:B$4500,MATCH(C253,Ship!A$31:A$4500,0),2),0)</f>
        <v>0</v>
      </c>
    </row>
    <row r="254" spans="1:7" x14ac:dyDescent="0.3">
      <c r="A254" s="32" t="s">
        <v>1795</v>
      </c>
      <c r="B254" s="32" t="s">
        <v>1796</v>
      </c>
      <c r="C254" s="32" t="s">
        <v>2576</v>
      </c>
      <c r="D254" s="32" t="s">
        <v>2398</v>
      </c>
      <c r="E254" s="32" t="s">
        <v>1471</v>
      </c>
      <c r="F254" s="32" t="s">
        <v>1749</v>
      </c>
      <c r="G254" s="32">
        <f>IFERROR(INDEX(Ship!A$31:B$4500,MATCH(C254,Ship!A$31:A$4500,0),2),0)</f>
        <v>0</v>
      </c>
    </row>
    <row r="255" spans="1:7" x14ac:dyDescent="0.3">
      <c r="A255" s="32" t="s">
        <v>1795</v>
      </c>
      <c r="B255" s="32" t="s">
        <v>1796</v>
      </c>
      <c r="C255" s="32" t="s">
        <v>2577</v>
      </c>
      <c r="D255" s="32" t="s">
        <v>2399</v>
      </c>
      <c r="E255" s="32" t="s">
        <v>1471</v>
      </c>
      <c r="F255" s="32" t="s">
        <v>1749</v>
      </c>
      <c r="G255" s="32">
        <f>IFERROR(INDEX(Ship!A$31:B$4500,MATCH(C255,Ship!A$31:A$4500,0),2),0)</f>
        <v>0</v>
      </c>
    </row>
    <row r="256" spans="1:7" x14ac:dyDescent="0.3">
      <c r="A256" s="32" t="s">
        <v>1795</v>
      </c>
      <c r="B256" s="32" t="s">
        <v>1796</v>
      </c>
      <c r="C256" s="32" t="s">
        <v>2578</v>
      </c>
      <c r="D256" s="32" t="s">
        <v>2401</v>
      </c>
      <c r="E256" s="32" t="s">
        <v>1471</v>
      </c>
      <c r="F256" s="32" t="s">
        <v>1749</v>
      </c>
      <c r="G256" s="32">
        <f>IFERROR(INDEX(Ship!A$31:B$4500,MATCH(C256,Ship!A$31:A$4500,0),2),0)</f>
        <v>0</v>
      </c>
    </row>
    <row r="257" spans="1:7" x14ac:dyDescent="0.3">
      <c r="A257" s="32" t="s">
        <v>1795</v>
      </c>
      <c r="B257" s="32" t="s">
        <v>1796</v>
      </c>
      <c r="C257" s="32" t="s">
        <v>2579</v>
      </c>
      <c r="D257" s="32" t="s">
        <v>2402</v>
      </c>
      <c r="E257" s="32" t="s">
        <v>1471</v>
      </c>
      <c r="F257" s="32" t="s">
        <v>1749</v>
      </c>
      <c r="G257" s="32">
        <f>IFERROR(INDEX(Ship!A$31:B$4500,MATCH(C257,Ship!A$31:A$4500,0),2),0)</f>
        <v>0</v>
      </c>
    </row>
    <row r="258" spans="1:7" x14ac:dyDescent="0.3">
      <c r="A258" s="32" t="s">
        <v>1795</v>
      </c>
      <c r="B258" s="32" t="s">
        <v>1796</v>
      </c>
      <c r="C258" s="32" t="s">
        <v>2580</v>
      </c>
      <c r="D258" s="32" t="s">
        <v>2404</v>
      </c>
      <c r="E258" s="32" t="s">
        <v>1471</v>
      </c>
      <c r="F258" s="32" t="s">
        <v>1749</v>
      </c>
      <c r="G258" s="32">
        <f>IFERROR(INDEX(Ship!A$31:B$4500,MATCH(C258,Ship!A$31:A$4500,0),2),0)</f>
        <v>0</v>
      </c>
    </row>
    <row r="259" spans="1:7" x14ac:dyDescent="0.3">
      <c r="A259" s="32" t="s">
        <v>1795</v>
      </c>
      <c r="B259" s="32" t="s">
        <v>1796</v>
      </c>
      <c r="C259" s="32" t="s">
        <v>2581</v>
      </c>
      <c r="D259" s="32" t="s">
        <v>2405</v>
      </c>
      <c r="E259" s="32" t="s">
        <v>1471</v>
      </c>
      <c r="F259" s="32" t="s">
        <v>1749</v>
      </c>
      <c r="G259" s="32">
        <f>IFERROR(INDEX(Ship!A$31:B$4500,MATCH(C259,Ship!A$31:A$4500,0),2),0)</f>
        <v>0</v>
      </c>
    </row>
    <row r="260" spans="1:7" x14ac:dyDescent="0.3">
      <c r="A260" s="32" t="s">
        <v>1795</v>
      </c>
      <c r="B260" s="32" t="s">
        <v>1796</v>
      </c>
      <c r="C260" s="32" t="s">
        <v>2582</v>
      </c>
      <c r="D260" s="32" t="s">
        <v>2407</v>
      </c>
      <c r="E260" s="32" t="s">
        <v>1471</v>
      </c>
      <c r="F260" s="32" t="s">
        <v>1749</v>
      </c>
      <c r="G260" s="32">
        <f>IFERROR(INDEX(Ship!A$31:B$4500,MATCH(C260,Ship!A$31:A$4500,0),2),0)</f>
        <v>0</v>
      </c>
    </row>
    <row r="261" spans="1:7" x14ac:dyDescent="0.3">
      <c r="A261" s="32" t="s">
        <v>1795</v>
      </c>
      <c r="B261" s="32" t="s">
        <v>1796</v>
      </c>
      <c r="C261" s="32" t="s">
        <v>2583</v>
      </c>
      <c r="D261" s="32" t="s">
        <v>2408</v>
      </c>
      <c r="E261" s="32" t="s">
        <v>1471</v>
      </c>
      <c r="F261" s="32" t="s">
        <v>1749</v>
      </c>
      <c r="G261" s="32">
        <f>IFERROR(INDEX(Ship!A$31:B$4500,MATCH(C261,Ship!A$31:A$4500,0),2),0)</f>
        <v>0</v>
      </c>
    </row>
    <row r="262" spans="1:7" x14ac:dyDescent="0.3">
      <c r="A262" s="32" t="s">
        <v>1795</v>
      </c>
      <c r="B262" s="32" t="s">
        <v>1796</v>
      </c>
      <c r="C262" s="32" t="s">
        <v>2584</v>
      </c>
      <c r="D262" s="32" t="s">
        <v>2410</v>
      </c>
      <c r="E262" s="32" t="s">
        <v>1471</v>
      </c>
      <c r="F262" s="32" t="s">
        <v>1749</v>
      </c>
      <c r="G262" s="32">
        <f>IFERROR(INDEX(Ship!A$31:B$4500,MATCH(C262,Ship!A$31:A$4500,0),2),0)</f>
        <v>0</v>
      </c>
    </row>
    <row r="263" spans="1:7" x14ac:dyDescent="0.3">
      <c r="A263" s="32" t="s">
        <v>1795</v>
      </c>
      <c r="B263" s="32" t="s">
        <v>1796</v>
      </c>
      <c r="C263" s="32" t="s">
        <v>2585</v>
      </c>
      <c r="D263" s="32" t="s">
        <v>2411</v>
      </c>
      <c r="E263" s="32" t="s">
        <v>1471</v>
      </c>
      <c r="F263" s="32" t="s">
        <v>1749</v>
      </c>
      <c r="G263" s="32">
        <f>IFERROR(INDEX(Ship!A$31:B$4500,MATCH(C263,Ship!A$31:A$4500,0),2),0)</f>
        <v>0</v>
      </c>
    </row>
    <row r="264" spans="1:7" x14ac:dyDescent="0.3">
      <c r="A264" s="32" t="s">
        <v>1795</v>
      </c>
      <c r="B264" s="32" t="s">
        <v>1796</v>
      </c>
      <c r="C264" s="32" t="s">
        <v>2586</v>
      </c>
      <c r="D264" s="32" t="s">
        <v>2413</v>
      </c>
      <c r="E264" s="32" t="s">
        <v>1471</v>
      </c>
      <c r="F264" s="32" t="s">
        <v>1749</v>
      </c>
      <c r="G264" s="32">
        <f>IFERROR(INDEX(Ship!A$31:B$4500,MATCH(C264,Ship!A$31:A$4500,0),2),0)</f>
        <v>0</v>
      </c>
    </row>
    <row r="265" spans="1:7" x14ac:dyDescent="0.3">
      <c r="A265" s="32" t="s">
        <v>1795</v>
      </c>
      <c r="B265" s="32" t="s">
        <v>1796</v>
      </c>
      <c r="C265" s="32" t="s">
        <v>2587</v>
      </c>
      <c r="D265" s="32" t="s">
        <v>2414</v>
      </c>
      <c r="E265" s="32" t="s">
        <v>1471</v>
      </c>
      <c r="F265" s="32" t="s">
        <v>1749</v>
      </c>
      <c r="G265" s="32">
        <f>IFERROR(INDEX(Ship!A$31:B$4500,MATCH(C265,Ship!A$31:A$4500,0),2),0)</f>
        <v>0</v>
      </c>
    </row>
    <row r="266" spans="1:7" x14ac:dyDescent="0.3">
      <c r="A266" s="32" t="s">
        <v>1795</v>
      </c>
      <c r="B266" s="32" t="s">
        <v>1796</v>
      </c>
      <c r="C266" s="32" t="s">
        <v>2588</v>
      </c>
      <c r="D266" s="32" t="s">
        <v>2416</v>
      </c>
      <c r="E266" s="32" t="s">
        <v>1471</v>
      </c>
      <c r="F266" s="32" t="s">
        <v>1749</v>
      </c>
      <c r="G266" s="32">
        <f>IFERROR(INDEX(Ship!A$31:B$4500,MATCH(C266,Ship!A$31:A$4500,0),2),0)</f>
        <v>0</v>
      </c>
    </row>
    <row r="267" spans="1:7" x14ac:dyDescent="0.3">
      <c r="A267" s="32" t="s">
        <v>1795</v>
      </c>
      <c r="B267" s="32" t="s">
        <v>1796</v>
      </c>
      <c r="C267" s="32" t="s">
        <v>2589</v>
      </c>
      <c r="D267" s="32" t="s">
        <v>2417</v>
      </c>
      <c r="E267" s="32" t="s">
        <v>1471</v>
      </c>
      <c r="F267" s="32" t="s">
        <v>1749</v>
      </c>
      <c r="G267" s="32">
        <f>IFERROR(INDEX(Ship!A$31:B$4500,MATCH(C267,Ship!A$31:A$4500,0),2),0)</f>
        <v>0</v>
      </c>
    </row>
    <row r="268" spans="1:7" x14ac:dyDescent="0.3">
      <c r="A268" s="32" t="s">
        <v>1795</v>
      </c>
      <c r="B268" s="32" t="s">
        <v>1796</v>
      </c>
      <c r="C268" s="32" t="s">
        <v>2590</v>
      </c>
      <c r="D268" s="32" t="s">
        <v>2419</v>
      </c>
      <c r="E268" s="32" t="s">
        <v>1471</v>
      </c>
      <c r="F268" s="32" t="s">
        <v>1749</v>
      </c>
      <c r="G268" s="32">
        <f>IFERROR(INDEX(Ship!A$31:B$4500,MATCH(C268,Ship!A$31:A$4500,0),2),0)</f>
        <v>0</v>
      </c>
    </row>
    <row r="269" spans="1:7" x14ac:dyDescent="0.3">
      <c r="A269" s="32" t="s">
        <v>1795</v>
      </c>
      <c r="B269" s="32" t="s">
        <v>1796</v>
      </c>
      <c r="C269" s="32" t="s">
        <v>2591</v>
      </c>
      <c r="D269" s="32" t="s">
        <v>2420</v>
      </c>
      <c r="E269" s="32" t="s">
        <v>1471</v>
      </c>
      <c r="F269" s="32" t="s">
        <v>1749</v>
      </c>
      <c r="G269" s="32">
        <f>IFERROR(INDEX(Ship!A$31:B$4500,MATCH(C269,Ship!A$31:A$4500,0),2),0)</f>
        <v>0</v>
      </c>
    </row>
    <row r="270" spans="1:7" x14ac:dyDescent="0.3">
      <c r="A270" s="32" t="s">
        <v>1795</v>
      </c>
      <c r="B270" s="32" t="s">
        <v>1796</v>
      </c>
      <c r="C270" s="32" t="s">
        <v>2592</v>
      </c>
      <c r="D270" s="32" t="s">
        <v>2422</v>
      </c>
      <c r="E270" s="32" t="s">
        <v>1471</v>
      </c>
      <c r="F270" s="32" t="s">
        <v>1749</v>
      </c>
      <c r="G270" s="32">
        <f>IFERROR(INDEX(Ship!A$31:B$4500,MATCH(C270,Ship!A$31:A$4500,0),2),0)</f>
        <v>0</v>
      </c>
    </row>
    <row r="271" spans="1:7" x14ac:dyDescent="0.3">
      <c r="A271" s="32" t="s">
        <v>1795</v>
      </c>
      <c r="B271" s="32" t="s">
        <v>1796</v>
      </c>
      <c r="C271" s="32" t="s">
        <v>2593</v>
      </c>
      <c r="D271" s="32" t="s">
        <v>2423</v>
      </c>
      <c r="E271" s="32" t="s">
        <v>1471</v>
      </c>
      <c r="F271" s="32" t="s">
        <v>1749</v>
      </c>
      <c r="G271" s="32">
        <f>IFERROR(INDEX(Ship!A$31:B$4500,MATCH(C271,Ship!A$31:A$4500,0),2),0)</f>
        <v>0</v>
      </c>
    </row>
    <row r="272" spans="1:7" x14ac:dyDescent="0.3">
      <c r="A272" s="32" t="s">
        <v>1795</v>
      </c>
      <c r="B272" s="32" t="s">
        <v>1796</v>
      </c>
      <c r="C272" s="32" t="s">
        <v>2594</v>
      </c>
      <c r="D272" s="32" t="s">
        <v>2425</v>
      </c>
      <c r="E272" s="32" t="s">
        <v>1471</v>
      </c>
      <c r="F272" s="32" t="s">
        <v>1749</v>
      </c>
      <c r="G272" s="32">
        <f>IFERROR(INDEX(Ship!A$31:B$4500,MATCH(C272,Ship!A$31:A$4500,0),2),0)</f>
        <v>0</v>
      </c>
    </row>
    <row r="273" spans="1:7" x14ac:dyDescent="0.3">
      <c r="A273" s="32" t="s">
        <v>1795</v>
      </c>
      <c r="B273" s="32" t="s">
        <v>1796</v>
      </c>
      <c r="C273" s="32" t="s">
        <v>2595</v>
      </c>
      <c r="D273" s="32" t="s">
        <v>2426</v>
      </c>
      <c r="E273" s="32" t="s">
        <v>1471</v>
      </c>
      <c r="F273" s="32" t="s">
        <v>1749</v>
      </c>
      <c r="G273" s="32">
        <f>IFERROR(INDEX(Ship!A$31:B$4500,MATCH(C273,Ship!A$31:A$4500,0),2),0)</f>
        <v>0</v>
      </c>
    </row>
    <row r="274" spans="1:7" x14ac:dyDescent="0.3">
      <c r="A274" s="32" t="s">
        <v>1795</v>
      </c>
      <c r="B274" s="32" t="s">
        <v>1796</v>
      </c>
      <c r="C274" s="32" t="s">
        <v>2596</v>
      </c>
      <c r="D274" s="32" t="s">
        <v>2428</v>
      </c>
      <c r="E274" s="32" t="s">
        <v>1471</v>
      </c>
      <c r="F274" s="32" t="s">
        <v>1749</v>
      </c>
      <c r="G274" s="32">
        <f>IFERROR(INDEX(Ship!A$31:B$4500,MATCH(C274,Ship!A$31:A$4500,0),2),0)</f>
        <v>0</v>
      </c>
    </row>
    <row r="275" spans="1:7" x14ac:dyDescent="0.3">
      <c r="A275" s="32" t="s">
        <v>1795</v>
      </c>
      <c r="B275" s="32" t="s">
        <v>1796</v>
      </c>
      <c r="C275" s="32" t="s">
        <v>2597</v>
      </c>
      <c r="D275" s="32" t="s">
        <v>2429</v>
      </c>
      <c r="E275" s="32" t="s">
        <v>1471</v>
      </c>
      <c r="F275" s="32" t="s">
        <v>1749</v>
      </c>
      <c r="G275" s="32">
        <f>IFERROR(INDEX(Ship!A$31:B$4500,MATCH(C275,Ship!A$31:A$4500,0),2),0)</f>
        <v>0</v>
      </c>
    </row>
    <row r="276" spans="1:7" x14ac:dyDescent="0.3">
      <c r="A276" s="32" t="s">
        <v>1795</v>
      </c>
      <c r="B276" s="32" t="s">
        <v>1796</v>
      </c>
      <c r="C276" s="32" t="s">
        <v>2598</v>
      </c>
      <c r="D276" s="32" t="s">
        <v>2431</v>
      </c>
      <c r="E276" s="32" t="s">
        <v>1471</v>
      </c>
      <c r="F276" s="32" t="s">
        <v>1749</v>
      </c>
      <c r="G276" s="32">
        <f>IFERROR(INDEX(Ship!A$31:B$4500,MATCH(C276,Ship!A$31:A$4500,0),2),0)</f>
        <v>0</v>
      </c>
    </row>
    <row r="277" spans="1:7" x14ac:dyDescent="0.3">
      <c r="A277" s="32" t="s">
        <v>1795</v>
      </c>
      <c r="B277" s="32" t="s">
        <v>1796</v>
      </c>
      <c r="C277" s="32" t="s">
        <v>2599</v>
      </c>
      <c r="D277" s="32" t="s">
        <v>2432</v>
      </c>
      <c r="E277" s="32" t="s">
        <v>1471</v>
      </c>
      <c r="F277" s="32" t="s">
        <v>1749</v>
      </c>
      <c r="G277" s="32">
        <f>IFERROR(INDEX(Ship!A$31:B$4500,MATCH(C277,Ship!A$31:A$4500,0),2),0)</f>
        <v>0</v>
      </c>
    </row>
    <row r="278" spans="1:7" x14ac:dyDescent="0.3">
      <c r="A278" s="32" t="s">
        <v>1795</v>
      </c>
      <c r="B278" s="32" t="s">
        <v>1796</v>
      </c>
      <c r="C278" s="32" t="s">
        <v>2600</v>
      </c>
      <c r="D278" s="32" t="s">
        <v>2434</v>
      </c>
      <c r="E278" s="32" t="s">
        <v>1471</v>
      </c>
      <c r="F278" s="32" t="s">
        <v>1749</v>
      </c>
      <c r="G278" s="32">
        <f>IFERROR(INDEX(Ship!A$31:B$4500,MATCH(C278,Ship!A$31:A$4500,0),2),0)</f>
        <v>0</v>
      </c>
    </row>
    <row r="279" spans="1:7" x14ac:dyDescent="0.3">
      <c r="A279" s="32" t="s">
        <v>1795</v>
      </c>
      <c r="B279" s="32" t="s">
        <v>1796</v>
      </c>
      <c r="C279" s="32" t="s">
        <v>2601</v>
      </c>
      <c r="D279" s="32" t="s">
        <v>2435</v>
      </c>
      <c r="E279" s="32" t="s">
        <v>1471</v>
      </c>
      <c r="F279" s="32" t="s">
        <v>1749</v>
      </c>
      <c r="G279" s="32">
        <f>IFERROR(INDEX(Ship!A$31:B$4500,MATCH(C279,Ship!A$31:A$4500,0),2),0)</f>
        <v>0</v>
      </c>
    </row>
    <row r="280" spans="1:7" x14ac:dyDescent="0.3">
      <c r="A280" s="32" t="s">
        <v>1795</v>
      </c>
      <c r="B280" s="32" t="s">
        <v>1796</v>
      </c>
      <c r="C280" s="32" t="s">
        <v>2602</v>
      </c>
      <c r="D280" s="32" t="s">
        <v>2437</v>
      </c>
      <c r="E280" s="32" t="s">
        <v>1471</v>
      </c>
      <c r="F280" s="32" t="s">
        <v>1749</v>
      </c>
      <c r="G280" s="32">
        <f>IFERROR(INDEX(Ship!A$31:B$4500,MATCH(C280,Ship!A$31:A$4500,0),2),0)</f>
        <v>0</v>
      </c>
    </row>
    <row r="281" spans="1:7" x14ac:dyDescent="0.3">
      <c r="A281" s="32" t="s">
        <v>1795</v>
      </c>
      <c r="B281" s="32" t="s">
        <v>1796</v>
      </c>
      <c r="C281" s="32" t="s">
        <v>2603</v>
      </c>
      <c r="D281" s="32" t="s">
        <v>2438</v>
      </c>
      <c r="E281" s="32" t="s">
        <v>1471</v>
      </c>
      <c r="F281" s="32" t="s">
        <v>1749</v>
      </c>
      <c r="G281" s="32">
        <f>IFERROR(INDEX(Ship!A$31:B$4500,MATCH(C281,Ship!A$31:A$4500,0),2),0)</f>
        <v>0</v>
      </c>
    </row>
    <row r="282" spans="1:7" x14ac:dyDescent="0.3">
      <c r="A282" s="32" t="s">
        <v>1795</v>
      </c>
      <c r="B282" s="32" t="s">
        <v>1796</v>
      </c>
      <c r="C282" s="32" t="s">
        <v>2604</v>
      </c>
      <c r="D282" s="32" t="s">
        <v>2440</v>
      </c>
      <c r="E282" s="32" t="s">
        <v>1471</v>
      </c>
      <c r="F282" s="32" t="s">
        <v>1749</v>
      </c>
      <c r="G282" s="32">
        <f>IFERROR(INDEX(Ship!A$31:B$4500,MATCH(C282,Ship!A$31:A$4500,0),2),0)</f>
        <v>0</v>
      </c>
    </row>
    <row r="283" spans="1:7" x14ac:dyDescent="0.3">
      <c r="A283" s="32" t="s">
        <v>1795</v>
      </c>
      <c r="B283" s="32" t="s">
        <v>1796</v>
      </c>
      <c r="C283" s="32" t="s">
        <v>2605</v>
      </c>
      <c r="D283" s="32" t="s">
        <v>2441</v>
      </c>
      <c r="E283" s="32" t="s">
        <v>1471</v>
      </c>
      <c r="F283" s="32" t="s">
        <v>1749</v>
      </c>
      <c r="G283" s="32">
        <f>IFERROR(INDEX(Ship!A$31:B$4500,MATCH(C283,Ship!A$31:A$4500,0),2),0)</f>
        <v>0</v>
      </c>
    </row>
    <row r="284" spans="1:7" x14ac:dyDescent="0.3">
      <c r="A284" s="32" t="s">
        <v>1795</v>
      </c>
      <c r="B284" s="32" t="s">
        <v>1796</v>
      </c>
      <c r="C284" s="32" t="s">
        <v>2606</v>
      </c>
      <c r="D284" s="32" t="s">
        <v>2443</v>
      </c>
      <c r="E284" s="32" t="s">
        <v>1471</v>
      </c>
      <c r="F284" s="32" t="s">
        <v>1749</v>
      </c>
      <c r="G284" s="32">
        <f>IFERROR(INDEX(Ship!A$31:B$4500,MATCH(C284,Ship!A$31:A$4500,0),2),0)</f>
        <v>0</v>
      </c>
    </row>
    <row r="285" spans="1:7" x14ac:dyDescent="0.3">
      <c r="A285" s="32" t="s">
        <v>1795</v>
      </c>
      <c r="B285" s="32" t="s">
        <v>1796</v>
      </c>
      <c r="C285" s="32" t="s">
        <v>2607</v>
      </c>
      <c r="D285" s="32" t="s">
        <v>2444</v>
      </c>
      <c r="E285" s="32" t="s">
        <v>1471</v>
      </c>
      <c r="F285" s="32" t="s">
        <v>1749</v>
      </c>
      <c r="G285" s="32">
        <f>IFERROR(INDEX(Ship!A$31:B$4500,MATCH(C285,Ship!A$31:A$4500,0),2),0)</f>
        <v>0</v>
      </c>
    </row>
    <row r="286" spans="1:7" x14ac:dyDescent="0.3">
      <c r="A286" s="32" t="s">
        <v>1795</v>
      </c>
      <c r="B286" s="32" t="s">
        <v>1796</v>
      </c>
      <c r="C286" s="32" t="s">
        <v>2608</v>
      </c>
      <c r="D286" s="32" t="s">
        <v>2446</v>
      </c>
      <c r="E286" s="32" t="s">
        <v>1471</v>
      </c>
      <c r="F286" s="32" t="s">
        <v>1749</v>
      </c>
      <c r="G286" s="32">
        <f>IFERROR(INDEX(Ship!A$31:B$4500,MATCH(C286,Ship!A$31:A$4500,0),2),0)</f>
        <v>0</v>
      </c>
    </row>
    <row r="287" spans="1:7" x14ac:dyDescent="0.3">
      <c r="A287" s="32" t="s">
        <v>1795</v>
      </c>
      <c r="B287" s="32" t="s">
        <v>1796</v>
      </c>
      <c r="C287" s="32" t="s">
        <v>2609</v>
      </c>
      <c r="D287" s="32" t="s">
        <v>2447</v>
      </c>
      <c r="E287" s="32" t="s">
        <v>1471</v>
      </c>
      <c r="F287" s="32" t="s">
        <v>1749</v>
      </c>
      <c r="G287" s="32">
        <f>IFERROR(INDEX(Ship!A$31:B$4500,MATCH(C287,Ship!A$31:A$4500,0),2),0)</f>
        <v>0</v>
      </c>
    </row>
    <row r="288" spans="1:7" x14ac:dyDescent="0.3">
      <c r="A288" s="32" t="s">
        <v>1795</v>
      </c>
      <c r="B288" s="32" t="s">
        <v>1796</v>
      </c>
      <c r="C288" s="32" t="s">
        <v>2610</v>
      </c>
      <c r="D288" s="32" t="s">
        <v>2449</v>
      </c>
      <c r="E288" s="32" t="s">
        <v>1471</v>
      </c>
      <c r="F288" s="32" t="s">
        <v>1749</v>
      </c>
      <c r="G288" s="32">
        <f>IFERROR(INDEX(Ship!A$31:B$4500,MATCH(C288,Ship!A$31:A$4500,0),2),0)</f>
        <v>0</v>
      </c>
    </row>
    <row r="289" spans="1:7" x14ac:dyDescent="0.3">
      <c r="A289" s="32" t="s">
        <v>1795</v>
      </c>
      <c r="B289" s="32" t="s">
        <v>1796</v>
      </c>
      <c r="C289" s="32" t="s">
        <v>2611</v>
      </c>
      <c r="D289" s="32" t="s">
        <v>2450</v>
      </c>
      <c r="E289" s="32" t="s">
        <v>1471</v>
      </c>
      <c r="F289" s="32" t="s">
        <v>1749</v>
      </c>
      <c r="G289" s="32">
        <f>IFERROR(INDEX(Ship!A$31:B$4500,MATCH(C289,Ship!A$31:A$4500,0),2),0)</f>
        <v>0</v>
      </c>
    </row>
    <row r="290" spans="1:7" x14ac:dyDescent="0.3">
      <c r="A290" s="32" t="s">
        <v>1795</v>
      </c>
      <c r="B290" s="32" t="s">
        <v>1796</v>
      </c>
      <c r="C290" s="32" t="s">
        <v>2612</v>
      </c>
      <c r="D290" s="32" t="s">
        <v>2452</v>
      </c>
      <c r="E290" s="32" t="s">
        <v>1471</v>
      </c>
      <c r="F290" s="32" t="s">
        <v>1749</v>
      </c>
      <c r="G290" s="32">
        <f>IFERROR(INDEX(Ship!A$31:B$4500,MATCH(C290,Ship!A$31:A$4500,0),2),0)</f>
        <v>0</v>
      </c>
    </row>
    <row r="291" spans="1:7" x14ac:dyDescent="0.3">
      <c r="A291" s="32" t="s">
        <v>1795</v>
      </c>
      <c r="B291" s="32" t="s">
        <v>1796</v>
      </c>
      <c r="C291" s="32" t="s">
        <v>2613</v>
      </c>
      <c r="D291" s="32" t="s">
        <v>2453</v>
      </c>
      <c r="E291" s="32" t="s">
        <v>1471</v>
      </c>
      <c r="F291" s="32" t="s">
        <v>1749</v>
      </c>
      <c r="G291" s="32">
        <f>IFERROR(INDEX(Ship!A$31:B$4500,MATCH(C291,Ship!A$31:A$4500,0),2),0)</f>
        <v>0</v>
      </c>
    </row>
    <row r="292" spans="1:7" x14ac:dyDescent="0.3">
      <c r="A292" s="32" t="s">
        <v>1795</v>
      </c>
      <c r="B292" s="32" t="s">
        <v>1796</v>
      </c>
      <c r="C292" s="32" t="s">
        <v>2614</v>
      </c>
      <c r="D292" s="32" t="s">
        <v>2455</v>
      </c>
      <c r="E292" s="32" t="s">
        <v>1471</v>
      </c>
      <c r="F292" s="32" t="s">
        <v>1749</v>
      </c>
      <c r="G292" s="32">
        <f>IFERROR(INDEX(Ship!A$31:B$4500,MATCH(C292,Ship!A$31:A$4500,0),2),0)</f>
        <v>0</v>
      </c>
    </row>
    <row r="293" spans="1:7" x14ac:dyDescent="0.3">
      <c r="A293" s="32" t="s">
        <v>1795</v>
      </c>
      <c r="B293" s="32" t="s">
        <v>1796</v>
      </c>
      <c r="C293" s="32" t="s">
        <v>2615</v>
      </c>
      <c r="D293" s="32" t="s">
        <v>2456</v>
      </c>
      <c r="E293" s="32" t="s">
        <v>1471</v>
      </c>
      <c r="F293" s="32" t="s">
        <v>1749</v>
      </c>
      <c r="G293" s="32">
        <f>IFERROR(INDEX(Ship!A$31:B$4500,MATCH(C293,Ship!A$31:A$4500,0),2),0)</f>
        <v>0</v>
      </c>
    </row>
    <row r="294" spans="1:7" x14ac:dyDescent="0.3">
      <c r="A294" s="32" t="s">
        <v>1795</v>
      </c>
      <c r="B294" s="32" t="s">
        <v>1796</v>
      </c>
      <c r="C294" s="32" t="s">
        <v>2616</v>
      </c>
      <c r="D294" s="32" t="s">
        <v>2458</v>
      </c>
      <c r="E294" s="32" t="s">
        <v>1471</v>
      </c>
      <c r="F294" s="32" t="s">
        <v>1749</v>
      </c>
      <c r="G294" s="32">
        <f>IFERROR(INDEX(Ship!A$31:B$4500,MATCH(C294,Ship!A$31:A$4500,0),2),0)</f>
        <v>0</v>
      </c>
    </row>
    <row r="295" spans="1:7" x14ac:dyDescent="0.3">
      <c r="A295" s="32" t="s">
        <v>1795</v>
      </c>
      <c r="B295" s="32" t="s">
        <v>1796</v>
      </c>
      <c r="C295" s="32" t="s">
        <v>2617</v>
      </c>
      <c r="D295" s="32" t="s">
        <v>2459</v>
      </c>
      <c r="E295" s="32" t="s">
        <v>1471</v>
      </c>
      <c r="F295" s="32" t="s">
        <v>1749</v>
      </c>
      <c r="G295" s="32">
        <f>IFERROR(INDEX(Ship!A$31:B$4500,MATCH(C295,Ship!A$31:A$4500,0),2),0)</f>
        <v>0</v>
      </c>
    </row>
    <row r="296" spans="1:7" x14ac:dyDescent="0.3">
      <c r="A296" s="32" t="s">
        <v>1795</v>
      </c>
      <c r="B296" s="32" t="s">
        <v>1796</v>
      </c>
      <c r="C296" s="32" t="s">
        <v>2618</v>
      </c>
      <c r="D296" s="32" t="s">
        <v>2461</v>
      </c>
      <c r="E296" s="32" t="s">
        <v>1471</v>
      </c>
      <c r="F296" s="32" t="s">
        <v>1749</v>
      </c>
      <c r="G296" s="32">
        <f>IFERROR(INDEX(Ship!A$31:B$4500,MATCH(C296,Ship!A$31:A$4500,0),2),0)</f>
        <v>0</v>
      </c>
    </row>
    <row r="297" spans="1:7" x14ac:dyDescent="0.3">
      <c r="A297" s="32" t="s">
        <v>1795</v>
      </c>
      <c r="B297" s="32" t="s">
        <v>1796</v>
      </c>
      <c r="C297" s="32" t="s">
        <v>2619</v>
      </c>
      <c r="D297" s="32" t="s">
        <v>2462</v>
      </c>
      <c r="E297" s="32" t="s">
        <v>1471</v>
      </c>
      <c r="F297" s="32" t="s">
        <v>1749</v>
      </c>
      <c r="G297" s="32">
        <f>IFERROR(INDEX(Ship!A$31:B$4500,MATCH(C297,Ship!A$31:A$4500,0),2),0)</f>
        <v>0</v>
      </c>
    </row>
    <row r="298" spans="1:7" x14ac:dyDescent="0.3">
      <c r="A298" s="32" t="s">
        <v>1795</v>
      </c>
      <c r="B298" s="32" t="s">
        <v>1796</v>
      </c>
      <c r="C298" s="32" t="s">
        <v>2620</v>
      </c>
      <c r="D298" s="32" t="s">
        <v>2464</v>
      </c>
      <c r="E298" s="32" t="s">
        <v>1471</v>
      </c>
      <c r="F298" s="32" t="s">
        <v>1749</v>
      </c>
      <c r="G298" s="32">
        <f>IFERROR(INDEX(Ship!A$31:B$4500,MATCH(C298,Ship!A$31:A$4500,0),2),0)</f>
        <v>0</v>
      </c>
    </row>
    <row r="299" spans="1:7" x14ac:dyDescent="0.3">
      <c r="A299" s="32" t="s">
        <v>1795</v>
      </c>
      <c r="B299" s="32" t="s">
        <v>1796</v>
      </c>
      <c r="C299" s="32" t="s">
        <v>2621</v>
      </c>
      <c r="D299" s="32" t="s">
        <v>2465</v>
      </c>
      <c r="E299" s="32" t="s">
        <v>1471</v>
      </c>
      <c r="F299" s="32" t="s">
        <v>1749</v>
      </c>
      <c r="G299" s="32">
        <f>IFERROR(INDEX(Ship!A$31:B$4500,MATCH(C299,Ship!A$31:A$4500,0),2),0)</f>
        <v>0</v>
      </c>
    </row>
    <row r="300" spans="1:7" x14ac:dyDescent="0.3">
      <c r="A300" s="32" t="s">
        <v>1795</v>
      </c>
      <c r="B300" s="32" t="s">
        <v>1796</v>
      </c>
      <c r="C300" s="32" t="s">
        <v>2622</v>
      </c>
      <c r="D300" s="32" t="s">
        <v>2467</v>
      </c>
      <c r="E300" s="32" t="s">
        <v>1471</v>
      </c>
      <c r="F300" s="32" t="s">
        <v>1749</v>
      </c>
      <c r="G300" s="32">
        <f>IFERROR(INDEX(Ship!A$31:B$4500,MATCH(C300,Ship!A$31:A$4500,0),2),0)</f>
        <v>0</v>
      </c>
    </row>
    <row r="301" spans="1:7" x14ac:dyDescent="0.3">
      <c r="A301" s="32" t="s">
        <v>1795</v>
      </c>
      <c r="B301" s="32" t="s">
        <v>1796</v>
      </c>
      <c r="C301" s="32" t="s">
        <v>2623</v>
      </c>
      <c r="D301" s="32" t="s">
        <v>2468</v>
      </c>
      <c r="E301" s="32" t="s">
        <v>1471</v>
      </c>
      <c r="F301" s="32" t="s">
        <v>1749</v>
      </c>
      <c r="G301" s="32">
        <f>IFERROR(INDEX(Ship!A$31:B$4500,MATCH(C301,Ship!A$31:A$4500,0),2),0)</f>
        <v>0</v>
      </c>
    </row>
    <row r="302" spans="1:7" x14ac:dyDescent="0.3">
      <c r="A302" s="32" t="s">
        <v>1795</v>
      </c>
      <c r="B302" s="32" t="s">
        <v>1796</v>
      </c>
      <c r="C302" s="32" t="s">
        <v>2624</v>
      </c>
      <c r="D302" s="32" t="s">
        <v>2470</v>
      </c>
      <c r="E302" s="32" t="s">
        <v>1471</v>
      </c>
      <c r="F302" s="32" t="s">
        <v>1749</v>
      </c>
      <c r="G302" s="32">
        <f>IFERROR(INDEX(Ship!A$31:B$4500,MATCH(C302,Ship!A$31:A$4500,0),2),0)</f>
        <v>0</v>
      </c>
    </row>
    <row r="303" spans="1:7" x14ac:dyDescent="0.3">
      <c r="A303" s="32" t="s">
        <v>1795</v>
      </c>
      <c r="B303" s="32" t="s">
        <v>1796</v>
      </c>
      <c r="C303" s="32" t="s">
        <v>2625</v>
      </c>
      <c r="D303" s="32" t="s">
        <v>2471</v>
      </c>
      <c r="E303" s="32" t="s">
        <v>1471</v>
      </c>
      <c r="F303" s="32" t="s">
        <v>1749</v>
      </c>
      <c r="G303" s="32">
        <f>IFERROR(INDEX(Ship!A$31:B$4500,MATCH(C303,Ship!A$31:A$4500,0),2),0)</f>
        <v>0</v>
      </c>
    </row>
    <row r="304" spans="1:7" x14ac:dyDescent="0.3">
      <c r="A304" s="32" t="s">
        <v>1795</v>
      </c>
      <c r="B304" s="32" t="s">
        <v>1796</v>
      </c>
      <c r="C304" s="32" t="s">
        <v>2626</v>
      </c>
      <c r="D304" s="32" t="s">
        <v>2473</v>
      </c>
      <c r="E304" s="32" t="s">
        <v>1471</v>
      </c>
      <c r="F304" s="32" t="s">
        <v>1749</v>
      </c>
      <c r="G304" s="32">
        <f>IFERROR(INDEX(Ship!A$31:B$4500,MATCH(C304,Ship!A$31:A$4500,0),2),0)</f>
        <v>0</v>
      </c>
    </row>
    <row r="305" spans="1:7" x14ac:dyDescent="0.3">
      <c r="A305" s="32" t="s">
        <v>1795</v>
      </c>
      <c r="B305" s="32" t="s">
        <v>1796</v>
      </c>
      <c r="C305" s="32" t="s">
        <v>2627</v>
      </c>
      <c r="D305" s="32" t="s">
        <v>2474</v>
      </c>
      <c r="E305" s="32" t="s">
        <v>1471</v>
      </c>
      <c r="F305" s="32" t="s">
        <v>1749</v>
      </c>
      <c r="G305" s="32">
        <f>IFERROR(INDEX(Ship!A$31:B$4500,MATCH(C305,Ship!A$31:A$4500,0),2),0)</f>
        <v>0</v>
      </c>
    </row>
    <row r="306" spans="1:7" x14ac:dyDescent="0.3">
      <c r="A306" s="32" t="s">
        <v>1795</v>
      </c>
      <c r="B306" s="32" t="s">
        <v>1796</v>
      </c>
      <c r="C306" s="32" t="s">
        <v>2628</v>
      </c>
      <c r="D306" s="32" t="s">
        <v>2476</v>
      </c>
      <c r="E306" s="32" t="s">
        <v>1471</v>
      </c>
      <c r="F306" s="32" t="s">
        <v>1749</v>
      </c>
      <c r="G306" s="32">
        <f>IFERROR(INDEX(Ship!A$31:B$4500,MATCH(C306,Ship!A$31:A$4500,0),2),0)</f>
        <v>0</v>
      </c>
    </row>
    <row r="307" spans="1:7" x14ac:dyDescent="0.3">
      <c r="A307" s="32" t="s">
        <v>1795</v>
      </c>
      <c r="B307" s="32" t="s">
        <v>1796</v>
      </c>
      <c r="C307" s="32" t="s">
        <v>2629</v>
      </c>
      <c r="D307" s="32" t="s">
        <v>2477</v>
      </c>
      <c r="E307" s="32" t="s">
        <v>1471</v>
      </c>
      <c r="F307" s="32" t="s">
        <v>1749</v>
      </c>
      <c r="G307" s="32">
        <f>IFERROR(INDEX(Ship!A$31:B$4500,MATCH(C307,Ship!A$31:A$4500,0),2),0)</f>
        <v>0</v>
      </c>
    </row>
    <row r="308" spans="1:7" x14ac:dyDescent="0.3">
      <c r="A308" s="32" t="s">
        <v>1795</v>
      </c>
      <c r="B308" s="32" t="s">
        <v>1796</v>
      </c>
      <c r="C308" s="32" t="s">
        <v>2630</v>
      </c>
      <c r="D308" s="32" t="s">
        <v>2479</v>
      </c>
      <c r="E308" s="32" t="s">
        <v>1471</v>
      </c>
      <c r="F308" s="32" t="s">
        <v>1749</v>
      </c>
      <c r="G308" s="32">
        <f>IFERROR(INDEX(Ship!A$31:B$4500,MATCH(C308,Ship!A$31:A$4500,0),2),0)</f>
        <v>0</v>
      </c>
    </row>
    <row r="309" spans="1:7" x14ac:dyDescent="0.3">
      <c r="A309" s="32" t="s">
        <v>1795</v>
      </c>
      <c r="B309" s="32" t="s">
        <v>1796</v>
      </c>
      <c r="C309" s="32" t="s">
        <v>2631</v>
      </c>
      <c r="D309" s="32" t="s">
        <v>2480</v>
      </c>
      <c r="E309" s="32" t="s">
        <v>1471</v>
      </c>
      <c r="F309" s="32" t="s">
        <v>1749</v>
      </c>
      <c r="G309" s="32">
        <f>IFERROR(INDEX(Ship!A$31:B$4500,MATCH(C309,Ship!A$31:A$4500,0),2),0)</f>
        <v>0</v>
      </c>
    </row>
    <row r="310" spans="1:7" x14ac:dyDescent="0.3">
      <c r="A310" s="32" t="s">
        <v>1795</v>
      </c>
      <c r="B310" s="32" t="s">
        <v>1796</v>
      </c>
      <c r="C310" s="32" t="s">
        <v>2632</v>
      </c>
      <c r="D310" s="32" t="s">
        <v>2482</v>
      </c>
      <c r="E310" s="32" t="s">
        <v>1471</v>
      </c>
      <c r="F310" s="32" t="s">
        <v>1749</v>
      </c>
      <c r="G310" s="32">
        <f>IFERROR(INDEX(Ship!A$31:B$4500,MATCH(C310,Ship!A$31:A$4500,0),2),0)</f>
        <v>0</v>
      </c>
    </row>
    <row r="311" spans="1:7" x14ac:dyDescent="0.3">
      <c r="A311" s="32" t="s">
        <v>1795</v>
      </c>
      <c r="B311" s="32" t="s">
        <v>1796</v>
      </c>
      <c r="C311" s="32" t="s">
        <v>2633</v>
      </c>
      <c r="D311" s="32" t="s">
        <v>2483</v>
      </c>
      <c r="E311" s="32" t="s">
        <v>1471</v>
      </c>
      <c r="F311" s="32" t="s">
        <v>1749</v>
      </c>
      <c r="G311" s="32">
        <f>IFERROR(INDEX(Ship!A$31:B$4500,MATCH(C311,Ship!A$31:A$4500,0),2),0)</f>
        <v>0</v>
      </c>
    </row>
    <row r="312" spans="1:7" x14ac:dyDescent="0.3">
      <c r="A312" s="32" t="s">
        <v>1795</v>
      </c>
      <c r="B312" s="32" t="s">
        <v>1796</v>
      </c>
      <c r="C312" s="32" t="s">
        <v>2634</v>
      </c>
      <c r="D312" s="32" t="s">
        <v>2485</v>
      </c>
      <c r="E312" s="32" t="s">
        <v>1471</v>
      </c>
      <c r="F312" s="32" t="s">
        <v>1749</v>
      </c>
      <c r="G312" s="32">
        <f>IFERROR(INDEX(Ship!A$31:B$4500,MATCH(C312,Ship!A$31:A$4500,0),2),0)</f>
        <v>0</v>
      </c>
    </row>
    <row r="313" spans="1:7" x14ac:dyDescent="0.3">
      <c r="A313" s="32" t="s">
        <v>1795</v>
      </c>
      <c r="B313" s="32" t="s">
        <v>1796</v>
      </c>
      <c r="C313" s="32" t="s">
        <v>2635</v>
      </c>
      <c r="D313" s="32" t="s">
        <v>2486</v>
      </c>
      <c r="E313" s="32" t="s">
        <v>1471</v>
      </c>
      <c r="F313" s="32" t="s">
        <v>1749</v>
      </c>
      <c r="G313" s="32">
        <f>IFERROR(INDEX(Ship!A$31:B$4500,MATCH(C313,Ship!A$31:A$4500,0),2),0)</f>
        <v>0</v>
      </c>
    </row>
    <row r="314" spans="1:7" x14ac:dyDescent="0.3">
      <c r="A314" s="32" t="s">
        <v>1795</v>
      </c>
      <c r="B314" s="32" t="s">
        <v>1796</v>
      </c>
      <c r="C314" s="32" t="s">
        <v>2636</v>
      </c>
      <c r="D314" s="32" t="s">
        <v>2488</v>
      </c>
      <c r="E314" s="32" t="s">
        <v>1471</v>
      </c>
      <c r="F314" s="32" t="s">
        <v>1749</v>
      </c>
      <c r="G314" s="32">
        <f>IFERROR(INDEX(Ship!A$31:B$4500,MATCH(C314,Ship!A$31:A$4500,0),2),0)</f>
        <v>0</v>
      </c>
    </row>
    <row r="315" spans="1:7" x14ac:dyDescent="0.3">
      <c r="A315" s="32" t="s">
        <v>1795</v>
      </c>
      <c r="B315" s="32" t="s">
        <v>1796</v>
      </c>
      <c r="C315" s="32" t="s">
        <v>2637</v>
      </c>
      <c r="D315" s="32" t="s">
        <v>2489</v>
      </c>
      <c r="E315" s="32" t="s">
        <v>1471</v>
      </c>
      <c r="F315" s="32" t="s">
        <v>1749</v>
      </c>
      <c r="G315" s="32">
        <f>IFERROR(INDEX(Ship!A$31:B$4500,MATCH(C315,Ship!A$31:A$4500,0),2),0)</f>
        <v>0</v>
      </c>
    </row>
    <row r="316" spans="1:7" x14ac:dyDescent="0.3">
      <c r="A316" s="32" t="s">
        <v>1795</v>
      </c>
      <c r="B316" s="32" t="s">
        <v>1796</v>
      </c>
      <c r="C316" s="32" t="s">
        <v>2638</v>
      </c>
      <c r="D316" s="32" t="s">
        <v>2491</v>
      </c>
      <c r="E316" s="32" t="s">
        <v>1471</v>
      </c>
      <c r="F316" s="32" t="s">
        <v>1749</v>
      </c>
      <c r="G316" s="32">
        <f>IFERROR(INDEX(Ship!A$31:B$4500,MATCH(C316,Ship!A$31:A$4500,0),2),0)</f>
        <v>0</v>
      </c>
    </row>
    <row r="317" spans="1:7" x14ac:dyDescent="0.3">
      <c r="A317" s="32" t="s">
        <v>1795</v>
      </c>
      <c r="B317" s="32" t="s">
        <v>1796</v>
      </c>
      <c r="C317" s="32" t="s">
        <v>2639</v>
      </c>
      <c r="D317" s="32" t="s">
        <v>2492</v>
      </c>
      <c r="E317" s="32" t="s">
        <v>1471</v>
      </c>
      <c r="F317" s="32" t="s">
        <v>1749</v>
      </c>
      <c r="G317" s="32">
        <f>IFERROR(INDEX(Ship!A$31:B$4500,MATCH(C317,Ship!A$31:A$4500,0),2),0)</f>
        <v>0</v>
      </c>
    </row>
    <row r="318" spans="1:7" x14ac:dyDescent="0.3">
      <c r="A318" s="32" t="s">
        <v>1795</v>
      </c>
      <c r="B318" s="32" t="s">
        <v>1796</v>
      </c>
      <c r="C318" s="32" t="s">
        <v>2640</v>
      </c>
      <c r="D318" s="32" t="s">
        <v>2494</v>
      </c>
      <c r="E318" s="32" t="s">
        <v>1471</v>
      </c>
      <c r="F318" s="32" t="s">
        <v>1749</v>
      </c>
      <c r="G318" s="32">
        <f>IFERROR(INDEX(Ship!A$31:B$4500,MATCH(C318,Ship!A$31:A$4500,0),2),0)</f>
        <v>0</v>
      </c>
    </row>
    <row r="319" spans="1:7" x14ac:dyDescent="0.3">
      <c r="A319" s="32" t="s">
        <v>1795</v>
      </c>
      <c r="B319" s="32" t="s">
        <v>1796</v>
      </c>
      <c r="C319" s="32" t="s">
        <v>2641</v>
      </c>
      <c r="D319" s="32" t="s">
        <v>2495</v>
      </c>
      <c r="E319" s="32" t="s">
        <v>1471</v>
      </c>
      <c r="F319" s="32" t="s">
        <v>1749</v>
      </c>
      <c r="G319" s="32">
        <f>IFERROR(INDEX(Ship!A$31:B$4500,MATCH(C319,Ship!A$31:A$4500,0),2),0)</f>
        <v>0</v>
      </c>
    </row>
    <row r="320" spans="1:7" x14ac:dyDescent="0.3">
      <c r="A320" s="32" t="s">
        <v>1795</v>
      </c>
      <c r="B320" s="32" t="s">
        <v>1796</v>
      </c>
      <c r="C320" s="32" t="s">
        <v>2642</v>
      </c>
      <c r="D320" s="32" t="s">
        <v>2497</v>
      </c>
      <c r="E320" s="32" t="s">
        <v>1471</v>
      </c>
      <c r="F320" s="32" t="s">
        <v>1749</v>
      </c>
      <c r="G320" s="32">
        <f>IFERROR(INDEX(Ship!A$31:B$4500,MATCH(C320,Ship!A$31:A$4500,0),2),0)</f>
        <v>0</v>
      </c>
    </row>
    <row r="321" spans="1:7" x14ac:dyDescent="0.3">
      <c r="A321" s="32" t="s">
        <v>1795</v>
      </c>
      <c r="B321" s="32" t="s">
        <v>1796</v>
      </c>
      <c r="C321" s="32" t="s">
        <v>2643</v>
      </c>
      <c r="D321" s="32" t="s">
        <v>2498</v>
      </c>
      <c r="E321" s="32" t="s">
        <v>1471</v>
      </c>
      <c r="F321" s="32" t="s">
        <v>1749</v>
      </c>
      <c r="G321" s="32">
        <f>IFERROR(INDEX(Ship!A$31:B$4500,MATCH(C321,Ship!A$31:A$4500,0),2),0)</f>
        <v>0</v>
      </c>
    </row>
    <row r="322" spans="1:7" x14ac:dyDescent="0.3">
      <c r="A322" s="32" t="s">
        <v>1795</v>
      </c>
      <c r="B322" s="32" t="s">
        <v>1796</v>
      </c>
      <c r="C322" s="32" t="s">
        <v>2644</v>
      </c>
      <c r="D322" s="32" t="s">
        <v>2012</v>
      </c>
      <c r="E322" s="32" t="s">
        <v>1471</v>
      </c>
      <c r="F322" s="32" t="s">
        <v>1750</v>
      </c>
      <c r="G322" s="32">
        <f>IFERROR(INDEX(Ship!A$31:B$4500,MATCH(C322,Ship!A$31:A$4500,0),2),0)</f>
        <v>0</v>
      </c>
    </row>
    <row r="323" spans="1:7" x14ac:dyDescent="0.3">
      <c r="A323" s="32" t="s">
        <v>1795</v>
      </c>
      <c r="B323" s="32" t="s">
        <v>1796</v>
      </c>
      <c r="C323" s="32" t="s">
        <v>2645</v>
      </c>
      <c r="D323" s="32" t="s">
        <v>2016</v>
      </c>
      <c r="E323" s="32" t="s">
        <v>1471</v>
      </c>
      <c r="F323" s="32" t="s">
        <v>1750</v>
      </c>
      <c r="G323" s="32">
        <f>IFERROR(INDEX(Ship!A$31:B$4500,MATCH(C323,Ship!A$31:A$4500,0),2),0)</f>
        <v>38</v>
      </c>
    </row>
    <row r="324" spans="1:7" x14ac:dyDescent="0.3">
      <c r="A324" s="32" t="s">
        <v>1795</v>
      </c>
      <c r="B324" s="32" t="s">
        <v>1796</v>
      </c>
      <c r="C324" s="32" t="s">
        <v>2646</v>
      </c>
      <c r="D324" s="32" t="s">
        <v>2019</v>
      </c>
      <c r="E324" s="32" t="s">
        <v>1471</v>
      </c>
      <c r="F324" s="32" t="s">
        <v>1750</v>
      </c>
      <c r="G324" s="32">
        <f>IFERROR(INDEX(Ship!A$31:B$4500,MATCH(C324,Ship!A$31:A$4500,0),2),0)</f>
        <v>59</v>
      </c>
    </row>
    <row r="325" spans="1:7" x14ac:dyDescent="0.3">
      <c r="A325" s="32" t="s">
        <v>1795</v>
      </c>
      <c r="B325" s="32" t="s">
        <v>1796</v>
      </c>
      <c r="C325" s="32" t="s">
        <v>2647</v>
      </c>
      <c r="D325" s="32" t="s">
        <v>2022</v>
      </c>
      <c r="E325" s="32" t="s">
        <v>1471</v>
      </c>
      <c r="F325" s="32" t="s">
        <v>1750</v>
      </c>
      <c r="G325" s="32">
        <f>IFERROR(INDEX(Ship!A$31:B$4500,MATCH(C325,Ship!A$31:A$4500,0),2),0)</f>
        <v>4</v>
      </c>
    </row>
    <row r="326" spans="1:7" x14ac:dyDescent="0.3">
      <c r="A326" s="32" t="s">
        <v>1795</v>
      </c>
      <c r="B326" s="32" t="s">
        <v>1796</v>
      </c>
      <c r="C326" s="32" t="s">
        <v>2648</v>
      </c>
      <c r="D326" s="32" t="s">
        <v>2025</v>
      </c>
      <c r="E326" s="32" t="s">
        <v>1471</v>
      </c>
      <c r="F326" s="32" t="s">
        <v>1750</v>
      </c>
      <c r="G326" s="32">
        <f>IFERROR(INDEX(Ship!A$31:B$4500,MATCH(C326,Ship!A$31:A$4500,0),2),0)</f>
        <v>34</v>
      </c>
    </row>
    <row r="327" spans="1:7" x14ac:dyDescent="0.3">
      <c r="A327" s="32" t="s">
        <v>1795</v>
      </c>
      <c r="B327" s="32" t="s">
        <v>1796</v>
      </c>
      <c r="C327" s="32" t="s">
        <v>2649</v>
      </c>
      <c r="D327" s="32" t="s">
        <v>2030</v>
      </c>
      <c r="E327" s="32" t="s">
        <v>1471</v>
      </c>
      <c r="F327" s="32" t="s">
        <v>1750</v>
      </c>
      <c r="G327" s="32">
        <f>IFERROR(INDEX(Ship!A$31:B$4500,MATCH(C327,Ship!A$31:A$4500,0),2),0)</f>
        <v>0</v>
      </c>
    </row>
    <row r="328" spans="1:7" x14ac:dyDescent="0.3">
      <c r="A328" s="32" t="s">
        <v>1795</v>
      </c>
      <c r="B328" s="32" t="s">
        <v>1796</v>
      </c>
      <c r="C328" s="32" t="s">
        <v>2650</v>
      </c>
      <c r="D328" s="32" t="s">
        <v>2033</v>
      </c>
      <c r="E328" s="32" t="s">
        <v>1471</v>
      </c>
      <c r="F328" s="32" t="s">
        <v>1750</v>
      </c>
      <c r="G328" s="32">
        <f>IFERROR(INDEX(Ship!A$31:B$4500,MATCH(C328,Ship!A$31:A$4500,0),2),0)</f>
        <v>5</v>
      </c>
    </row>
    <row r="329" spans="1:7" x14ac:dyDescent="0.3">
      <c r="A329" s="32" t="s">
        <v>1795</v>
      </c>
      <c r="B329" s="32" t="s">
        <v>1796</v>
      </c>
      <c r="C329" s="32" t="s">
        <v>2651</v>
      </c>
      <c r="D329" s="32" t="s">
        <v>2036</v>
      </c>
      <c r="E329" s="32" t="s">
        <v>1471</v>
      </c>
      <c r="F329" s="32" t="s">
        <v>1750</v>
      </c>
      <c r="G329" s="32">
        <f>IFERROR(INDEX(Ship!A$31:B$4500,MATCH(C329,Ship!A$31:A$4500,0),2),0)</f>
        <v>0</v>
      </c>
    </row>
    <row r="330" spans="1:7" x14ac:dyDescent="0.3">
      <c r="A330" s="32" t="s">
        <v>1795</v>
      </c>
      <c r="B330" s="32" t="s">
        <v>1796</v>
      </c>
      <c r="C330" s="32" t="s">
        <v>2652</v>
      </c>
      <c r="D330" s="32" t="s">
        <v>2039</v>
      </c>
      <c r="E330" s="32" t="s">
        <v>1471</v>
      </c>
      <c r="F330" s="32" t="s">
        <v>1750</v>
      </c>
      <c r="G330" s="32">
        <f>IFERROR(INDEX(Ship!A$31:B$4500,MATCH(C330,Ship!A$31:A$4500,0),2),0)</f>
        <v>389</v>
      </c>
    </row>
    <row r="331" spans="1:7" x14ac:dyDescent="0.3">
      <c r="A331" s="32" t="s">
        <v>1795</v>
      </c>
      <c r="B331" s="32" t="s">
        <v>1796</v>
      </c>
      <c r="C331" s="32" t="s">
        <v>2653</v>
      </c>
      <c r="D331" s="32" t="s">
        <v>2043</v>
      </c>
      <c r="E331" s="32" t="s">
        <v>1471</v>
      </c>
      <c r="F331" s="32" t="s">
        <v>1750</v>
      </c>
      <c r="G331" s="32">
        <f>IFERROR(INDEX(Ship!A$31:B$4500,MATCH(C331,Ship!A$31:A$4500,0),2),0)</f>
        <v>109</v>
      </c>
    </row>
    <row r="332" spans="1:7" x14ac:dyDescent="0.3">
      <c r="A332" s="32" t="s">
        <v>1795</v>
      </c>
      <c r="B332" s="32" t="s">
        <v>1796</v>
      </c>
      <c r="C332" s="32" t="s">
        <v>911</v>
      </c>
      <c r="D332" s="32" t="s">
        <v>2043</v>
      </c>
      <c r="E332" s="32" t="s">
        <v>1471</v>
      </c>
      <c r="F332" s="32" t="s">
        <v>1750</v>
      </c>
      <c r="G332" s="32">
        <f>IFERROR(INDEX(Ship!A$31:B$4500,MATCH(C332,Ship!A$31:A$4500,0),2),0)</f>
        <v>59</v>
      </c>
    </row>
    <row r="333" spans="1:7" x14ac:dyDescent="0.3">
      <c r="A333" s="32" t="s">
        <v>1795</v>
      </c>
      <c r="B333" s="32" t="s">
        <v>1796</v>
      </c>
      <c r="C333" s="32" t="s">
        <v>927</v>
      </c>
      <c r="D333" s="32" t="s">
        <v>2039</v>
      </c>
      <c r="E333" s="32" t="s">
        <v>1471</v>
      </c>
      <c r="F333" s="32" t="s">
        <v>1750</v>
      </c>
      <c r="G333" s="32">
        <f>IFERROR(INDEX(Ship!A$31:B$4500,MATCH(C333,Ship!A$31:A$4500,0),2),0)</f>
        <v>255</v>
      </c>
    </row>
    <row r="334" spans="1:7" x14ac:dyDescent="0.3">
      <c r="A334" s="32" t="s">
        <v>1795</v>
      </c>
      <c r="B334" s="32" t="s">
        <v>1796</v>
      </c>
      <c r="C334" s="32" t="s">
        <v>951</v>
      </c>
      <c r="D334" s="32" t="s">
        <v>2036</v>
      </c>
      <c r="E334" s="32" t="s">
        <v>1471</v>
      </c>
      <c r="F334" s="32" t="s">
        <v>1750</v>
      </c>
      <c r="G334" s="32">
        <f>IFERROR(INDEX(Ship!A$31:B$4500,MATCH(C334,Ship!A$31:A$4500,0),2),0)</f>
        <v>0</v>
      </c>
    </row>
    <row r="335" spans="1:7" x14ac:dyDescent="0.3">
      <c r="A335" s="32" t="s">
        <v>1795</v>
      </c>
      <c r="B335" s="32" t="s">
        <v>1796</v>
      </c>
      <c r="C335" s="32" t="s">
        <v>968</v>
      </c>
      <c r="D335" s="32" t="s">
        <v>2033</v>
      </c>
      <c r="E335" s="32" t="s">
        <v>1471</v>
      </c>
      <c r="F335" s="32" t="s">
        <v>1750</v>
      </c>
      <c r="G335" s="32">
        <f>IFERROR(INDEX(Ship!A$31:B$4500,MATCH(C335,Ship!A$31:A$4500,0),2),0)</f>
        <v>10</v>
      </c>
    </row>
    <row r="336" spans="1:7" x14ac:dyDescent="0.3">
      <c r="A336" s="32" t="s">
        <v>1795</v>
      </c>
      <c r="B336" s="32" t="s">
        <v>1796</v>
      </c>
      <c r="C336" s="32" t="s">
        <v>992</v>
      </c>
      <c r="D336" s="32" t="s">
        <v>2030</v>
      </c>
      <c r="E336" s="32" t="s">
        <v>1471</v>
      </c>
      <c r="F336" s="32" t="s">
        <v>1750</v>
      </c>
      <c r="G336" s="32">
        <f>IFERROR(INDEX(Ship!A$31:B$4500,MATCH(C336,Ship!A$31:A$4500,0),2),0)</f>
        <v>0</v>
      </c>
    </row>
    <row r="337" spans="1:7" x14ac:dyDescent="0.3">
      <c r="A337" s="32" t="s">
        <v>1795</v>
      </c>
      <c r="B337" s="32" t="s">
        <v>1796</v>
      </c>
      <c r="C337" s="32" t="s">
        <v>2654</v>
      </c>
      <c r="D337" s="32" t="s">
        <v>2025</v>
      </c>
      <c r="E337" s="32" t="s">
        <v>1471</v>
      </c>
      <c r="F337" s="32" t="s">
        <v>1750</v>
      </c>
      <c r="G337" s="32">
        <f>IFERROR(INDEX(Ship!A$31:B$4500,MATCH(C337,Ship!A$31:A$4500,0),2),0)</f>
        <v>5</v>
      </c>
    </row>
    <row r="338" spans="1:7" x14ac:dyDescent="0.3">
      <c r="A338" s="32" t="s">
        <v>1795</v>
      </c>
      <c r="B338" s="32" t="s">
        <v>1796</v>
      </c>
      <c r="C338" s="32" t="s">
        <v>2655</v>
      </c>
      <c r="D338" s="32" t="s">
        <v>2022</v>
      </c>
      <c r="E338" s="32" t="s">
        <v>1471</v>
      </c>
      <c r="F338" s="32" t="s">
        <v>1750</v>
      </c>
      <c r="G338" s="32">
        <f>IFERROR(INDEX(Ship!A$31:B$4500,MATCH(C338,Ship!A$31:A$4500,0),2),0)</f>
        <v>8</v>
      </c>
    </row>
    <row r="339" spans="1:7" x14ac:dyDescent="0.3">
      <c r="A339" s="32" t="s">
        <v>1795</v>
      </c>
      <c r="B339" s="32" t="s">
        <v>1796</v>
      </c>
      <c r="C339" s="32" t="s">
        <v>2656</v>
      </c>
      <c r="D339" s="32" t="s">
        <v>2019</v>
      </c>
      <c r="E339" s="32" t="s">
        <v>1471</v>
      </c>
      <c r="F339" s="32" t="s">
        <v>1750</v>
      </c>
      <c r="G339" s="32">
        <f>IFERROR(INDEX(Ship!A$31:B$4500,MATCH(C339,Ship!A$31:A$4500,0),2),0)</f>
        <v>24</v>
      </c>
    </row>
    <row r="340" spans="1:7" x14ac:dyDescent="0.3">
      <c r="A340" s="32" t="s">
        <v>1795</v>
      </c>
      <c r="B340" s="32" t="s">
        <v>1796</v>
      </c>
      <c r="C340" s="32" t="s">
        <v>2657</v>
      </c>
      <c r="D340" s="32" t="s">
        <v>2016</v>
      </c>
      <c r="E340" s="32" t="s">
        <v>1471</v>
      </c>
      <c r="F340" s="32" t="s">
        <v>1750</v>
      </c>
      <c r="G340" s="32">
        <f>IFERROR(INDEX(Ship!A$31:B$4500,MATCH(C340,Ship!A$31:A$4500,0),2),0)</f>
        <v>16</v>
      </c>
    </row>
    <row r="341" spans="1:7" x14ac:dyDescent="0.3">
      <c r="A341" s="32" t="s">
        <v>1795</v>
      </c>
      <c r="B341" s="32" t="s">
        <v>1796</v>
      </c>
      <c r="C341" s="32" t="s">
        <v>2658</v>
      </c>
      <c r="D341" s="32" t="s">
        <v>2012</v>
      </c>
      <c r="E341" s="32" t="s">
        <v>1471</v>
      </c>
      <c r="F341" s="32" t="s">
        <v>1750</v>
      </c>
      <c r="G341" s="32">
        <f>IFERROR(INDEX(Ship!A$31:B$4500,MATCH(C341,Ship!A$31:A$4500,0),2),0)</f>
        <v>0</v>
      </c>
    </row>
    <row r="342" spans="1:7" x14ac:dyDescent="0.3">
      <c r="A342" s="32" t="s">
        <v>1795</v>
      </c>
      <c r="B342" s="32" t="s">
        <v>1796</v>
      </c>
      <c r="C342" s="32" t="s">
        <v>667</v>
      </c>
      <c r="D342" s="32" t="s">
        <v>1982</v>
      </c>
      <c r="E342" s="32" t="s">
        <v>1471</v>
      </c>
      <c r="F342" s="32" t="s">
        <v>1751</v>
      </c>
      <c r="G342" s="32">
        <f>IFERROR(INDEX(Ship!A$31:B$4500,MATCH(C342,Ship!A$31:A$4500,0),2),0)</f>
        <v>0</v>
      </c>
    </row>
    <row r="343" spans="1:7" x14ac:dyDescent="0.3">
      <c r="A343" s="32" t="s">
        <v>1795</v>
      </c>
      <c r="B343" s="32" t="s">
        <v>1796</v>
      </c>
      <c r="C343" s="32" t="s">
        <v>668</v>
      </c>
      <c r="D343" s="32" t="s">
        <v>1473</v>
      </c>
      <c r="E343" s="32" t="s">
        <v>1471</v>
      </c>
      <c r="F343" s="32" t="s">
        <v>1751</v>
      </c>
      <c r="G343" s="32">
        <f>IFERROR(INDEX(Ship!A$31:B$4500,MATCH(C343,Ship!A$31:A$4500,0),2),0)</f>
        <v>0</v>
      </c>
    </row>
    <row r="344" spans="1:7" x14ac:dyDescent="0.3">
      <c r="A344" s="32" t="s">
        <v>1795</v>
      </c>
      <c r="B344" s="32" t="s">
        <v>1796</v>
      </c>
      <c r="C344" s="32" t="s">
        <v>677</v>
      </c>
      <c r="D344" s="32" t="s">
        <v>1472</v>
      </c>
      <c r="E344" s="32" t="s">
        <v>1471</v>
      </c>
      <c r="F344" s="32" t="s">
        <v>1751</v>
      </c>
      <c r="G344" s="32">
        <f>IFERROR(INDEX(Ship!A$31:B$4500,MATCH(C344,Ship!A$31:A$4500,0),2),0)</f>
        <v>0</v>
      </c>
    </row>
    <row r="345" spans="1:7" x14ac:dyDescent="0.3">
      <c r="A345" s="32" t="s">
        <v>1795</v>
      </c>
      <c r="B345" s="32" t="s">
        <v>1796</v>
      </c>
      <c r="C345" s="32" t="s">
        <v>686</v>
      </c>
      <c r="D345" s="32" t="s">
        <v>1987</v>
      </c>
      <c r="E345" s="32" t="s">
        <v>1471</v>
      </c>
      <c r="F345" s="32" t="s">
        <v>1751</v>
      </c>
      <c r="G345" s="32">
        <f>IFERROR(INDEX(Ship!A$31:B$4500,MATCH(C345,Ship!A$31:A$4500,0),2),0)</f>
        <v>0</v>
      </c>
    </row>
    <row r="346" spans="1:7" x14ac:dyDescent="0.3">
      <c r="A346" s="32" t="s">
        <v>1795</v>
      </c>
      <c r="B346" s="32" t="s">
        <v>1796</v>
      </c>
      <c r="C346" s="32" t="s">
        <v>695</v>
      </c>
      <c r="D346" s="32" t="s">
        <v>1989</v>
      </c>
      <c r="E346" s="32" t="s">
        <v>1471</v>
      </c>
      <c r="F346" s="32" t="s">
        <v>1751</v>
      </c>
      <c r="G346" s="32">
        <f>IFERROR(INDEX(Ship!A$31:B$4500,MATCH(C346,Ship!A$31:A$4500,0),2),0)</f>
        <v>0</v>
      </c>
    </row>
    <row r="347" spans="1:7" x14ac:dyDescent="0.3">
      <c r="A347" s="32" t="s">
        <v>1795</v>
      </c>
      <c r="B347" s="32" t="s">
        <v>1796</v>
      </c>
      <c r="C347" s="32" t="s">
        <v>697</v>
      </c>
      <c r="D347" s="32" t="s">
        <v>1991</v>
      </c>
      <c r="E347" s="32" t="s">
        <v>1471</v>
      </c>
      <c r="F347" s="32" t="s">
        <v>1751</v>
      </c>
      <c r="G347" s="32">
        <f>IFERROR(INDEX(Ship!A$31:B$4500,MATCH(C347,Ship!A$31:A$4500,0),2),0)</f>
        <v>0</v>
      </c>
    </row>
    <row r="348" spans="1:7" x14ac:dyDescent="0.3">
      <c r="A348" s="32" t="s">
        <v>1795</v>
      </c>
      <c r="B348" s="32" t="s">
        <v>1796</v>
      </c>
      <c r="C348" s="32" t="s">
        <v>706</v>
      </c>
      <c r="D348" s="32" t="s">
        <v>1993</v>
      </c>
      <c r="E348" s="32" t="s">
        <v>1471</v>
      </c>
      <c r="F348" s="32" t="s">
        <v>1751</v>
      </c>
      <c r="G348" s="32">
        <f>IFERROR(INDEX(Ship!A$31:B$4500,MATCH(C348,Ship!A$31:A$4500,0),2),0)</f>
        <v>0</v>
      </c>
    </row>
    <row r="349" spans="1:7" x14ac:dyDescent="0.3">
      <c r="A349" s="32" t="s">
        <v>1795</v>
      </c>
      <c r="B349" s="32" t="s">
        <v>1796</v>
      </c>
      <c r="C349" s="32" t="s">
        <v>715</v>
      </c>
      <c r="D349" s="32" t="s">
        <v>1995</v>
      </c>
      <c r="E349" s="32" t="s">
        <v>1471</v>
      </c>
      <c r="F349" s="32" t="s">
        <v>1751</v>
      </c>
      <c r="G349" s="32">
        <f>IFERROR(INDEX(Ship!A$31:B$4500,MATCH(C349,Ship!A$31:A$4500,0),2),0)</f>
        <v>0</v>
      </c>
    </row>
    <row r="350" spans="1:7" x14ac:dyDescent="0.3">
      <c r="A350" s="32" t="s">
        <v>1795</v>
      </c>
      <c r="B350" s="32" t="s">
        <v>1796</v>
      </c>
      <c r="C350" s="32" t="s">
        <v>716</v>
      </c>
      <c r="D350" s="32" t="s">
        <v>1996</v>
      </c>
      <c r="E350" s="32" t="s">
        <v>1471</v>
      </c>
      <c r="F350" s="32" t="s">
        <v>1751</v>
      </c>
      <c r="G350" s="32">
        <f>IFERROR(INDEX(Ship!A$31:B$4500,MATCH(C350,Ship!A$31:A$4500,0),2),0)</f>
        <v>0</v>
      </c>
    </row>
    <row r="351" spans="1:7" x14ac:dyDescent="0.3">
      <c r="A351" s="32" t="s">
        <v>1795</v>
      </c>
      <c r="B351" s="32" t="s">
        <v>1796</v>
      </c>
      <c r="C351" s="32" t="s">
        <v>725</v>
      </c>
      <c r="D351" s="32" t="s">
        <v>1998</v>
      </c>
      <c r="E351" s="32" t="s">
        <v>1471</v>
      </c>
      <c r="F351" s="32" t="s">
        <v>1751</v>
      </c>
      <c r="G351" s="32">
        <f>IFERROR(INDEX(Ship!A$31:B$4500,MATCH(C351,Ship!A$31:A$4500,0),2),0)</f>
        <v>0</v>
      </c>
    </row>
    <row r="352" spans="1:7" x14ac:dyDescent="0.3">
      <c r="A352" s="32" t="s">
        <v>1795</v>
      </c>
      <c r="B352" s="32" t="s">
        <v>1796</v>
      </c>
      <c r="C352" s="32" t="s">
        <v>727</v>
      </c>
      <c r="D352" s="32" t="s">
        <v>2000</v>
      </c>
      <c r="E352" s="32" t="s">
        <v>1471</v>
      </c>
      <c r="F352" s="32" t="s">
        <v>1751</v>
      </c>
      <c r="G352" s="32">
        <f>IFERROR(INDEX(Ship!A$31:B$4500,MATCH(C352,Ship!A$31:A$4500,0),2),0)</f>
        <v>0</v>
      </c>
    </row>
    <row r="353" spans="1:7" x14ac:dyDescent="0.3">
      <c r="A353" s="32" t="s">
        <v>1795</v>
      </c>
      <c r="B353" s="32" t="s">
        <v>1796</v>
      </c>
      <c r="C353" s="32" t="s">
        <v>729</v>
      </c>
      <c r="D353" s="32" t="s">
        <v>2002</v>
      </c>
      <c r="E353" s="32" t="s">
        <v>1471</v>
      </c>
      <c r="F353" s="32" t="s">
        <v>1751</v>
      </c>
      <c r="G353" s="32">
        <f>IFERROR(INDEX(Ship!A$31:B$4500,MATCH(C353,Ship!A$31:A$4500,0),2),0)</f>
        <v>99</v>
      </c>
    </row>
    <row r="354" spans="1:7" x14ac:dyDescent="0.3">
      <c r="A354" s="32" t="s">
        <v>1795</v>
      </c>
      <c r="B354" s="32" t="s">
        <v>1796</v>
      </c>
      <c r="C354" s="32" t="s">
        <v>737</v>
      </c>
      <c r="D354" s="32" t="s">
        <v>2003</v>
      </c>
      <c r="E354" s="32" t="s">
        <v>1471</v>
      </c>
      <c r="F354" s="32" t="s">
        <v>1751</v>
      </c>
      <c r="G354" s="32">
        <f>IFERROR(INDEX(Ship!A$31:B$4500,MATCH(C354,Ship!A$31:A$4500,0),2),0)</f>
        <v>276</v>
      </c>
    </row>
    <row r="355" spans="1:7" x14ac:dyDescent="0.3">
      <c r="A355" s="32" t="s">
        <v>1795</v>
      </c>
      <c r="B355" s="32" t="s">
        <v>1796</v>
      </c>
      <c r="C355" s="32" t="s">
        <v>753</v>
      </c>
      <c r="D355" s="32" t="s">
        <v>2005</v>
      </c>
      <c r="E355" s="32" t="s">
        <v>1471</v>
      </c>
      <c r="F355" s="32" t="s">
        <v>1751</v>
      </c>
      <c r="G355" s="32">
        <f>IFERROR(INDEX(Ship!A$31:B$4500,MATCH(C355,Ship!A$31:A$4500,0),2),0)</f>
        <v>0</v>
      </c>
    </row>
    <row r="356" spans="1:7" x14ac:dyDescent="0.3">
      <c r="A356" s="32" t="s">
        <v>1795</v>
      </c>
      <c r="B356" s="32" t="s">
        <v>1796</v>
      </c>
      <c r="C356" s="32" t="s">
        <v>762</v>
      </c>
      <c r="D356" s="32" t="s">
        <v>2007</v>
      </c>
      <c r="E356" s="32" t="s">
        <v>1471</v>
      </c>
      <c r="F356" s="32" t="s">
        <v>1751</v>
      </c>
      <c r="G356" s="32">
        <f>IFERROR(INDEX(Ship!A$31:B$4500,MATCH(C356,Ship!A$31:A$4500,0),2),0)</f>
        <v>4</v>
      </c>
    </row>
    <row r="357" spans="1:7" x14ac:dyDescent="0.3">
      <c r="A357" s="32" t="s">
        <v>1795</v>
      </c>
      <c r="B357" s="32" t="s">
        <v>1796</v>
      </c>
      <c r="C357" s="32" t="s">
        <v>770</v>
      </c>
      <c r="D357" s="32" t="s">
        <v>2009</v>
      </c>
      <c r="E357" s="32" t="s">
        <v>1471</v>
      </c>
      <c r="F357" s="32" t="s">
        <v>1751</v>
      </c>
      <c r="G357" s="32">
        <f>IFERROR(INDEX(Ship!A$31:B$4500,MATCH(C357,Ship!A$31:A$4500,0),2),0)</f>
        <v>1</v>
      </c>
    </row>
    <row r="358" spans="1:7" x14ac:dyDescent="0.3">
      <c r="A358" s="32" t="s">
        <v>1795</v>
      </c>
      <c r="B358" s="32" t="s">
        <v>1796</v>
      </c>
      <c r="C358" s="32" t="s">
        <v>2659</v>
      </c>
      <c r="D358" s="32" t="s">
        <v>2010</v>
      </c>
      <c r="E358" s="32" t="s">
        <v>1471</v>
      </c>
      <c r="F358" s="32" t="s">
        <v>1751</v>
      </c>
      <c r="G358" s="32">
        <f>IFERROR(INDEX(Ship!A$31:B$4500,MATCH(C358,Ship!A$31:A$4500,0),2),0)</f>
        <v>717</v>
      </c>
    </row>
    <row r="359" spans="1:7" x14ac:dyDescent="0.3">
      <c r="A359" s="32" t="s">
        <v>1795</v>
      </c>
      <c r="B359" s="32" t="s">
        <v>1796</v>
      </c>
      <c r="C359" s="32" t="s">
        <v>2660</v>
      </c>
      <c r="D359" s="32" t="s">
        <v>2011</v>
      </c>
      <c r="E359" s="32" t="s">
        <v>1471</v>
      </c>
      <c r="F359" s="32" t="s">
        <v>1751</v>
      </c>
      <c r="G359" s="32">
        <f>IFERROR(INDEX(Ship!A$31:B$4500,MATCH(C359,Ship!A$31:A$4500,0),2),0)</f>
        <v>0</v>
      </c>
    </row>
    <row r="360" spans="1:7" x14ac:dyDescent="0.3">
      <c r="A360" s="32" t="s">
        <v>1795</v>
      </c>
      <c r="B360" s="32" t="s">
        <v>1796</v>
      </c>
      <c r="C360" s="32" t="s">
        <v>2661</v>
      </c>
      <c r="D360" s="32" t="s">
        <v>2013</v>
      </c>
      <c r="E360" s="32" t="s">
        <v>1471</v>
      </c>
      <c r="F360" s="32" t="s">
        <v>1751</v>
      </c>
      <c r="G360" s="32">
        <f>IFERROR(INDEX(Ship!A$31:B$4500,MATCH(C360,Ship!A$31:A$4500,0),2),0)</f>
        <v>364</v>
      </c>
    </row>
    <row r="361" spans="1:7" x14ac:dyDescent="0.3">
      <c r="A361" s="32" t="s">
        <v>1795</v>
      </c>
      <c r="B361" s="32" t="s">
        <v>1796</v>
      </c>
      <c r="C361" s="32" t="s">
        <v>2662</v>
      </c>
      <c r="D361" s="32" t="s">
        <v>2014</v>
      </c>
      <c r="E361" s="32" t="s">
        <v>1471</v>
      </c>
      <c r="F361" s="32" t="s">
        <v>1751</v>
      </c>
      <c r="G361" s="32">
        <f>IFERROR(INDEX(Ship!A$31:B$4500,MATCH(C361,Ship!A$31:A$4500,0),2),0)</f>
        <v>149</v>
      </c>
    </row>
    <row r="362" spans="1:7" x14ac:dyDescent="0.3">
      <c r="A362" s="32" t="s">
        <v>1795</v>
      </c>
      <c r="B362" s="32" t="s">
        <v>1796</v>
      </c>
      <c r="C362" s="32" t="s">
        <v>2663</v>
      </c>
      <c r="D362" s="32" t="s">
        <v>2015</v>
      </c>
      <c r="E362" s="32" t="s">
        <v>1471</v>
      </c>
      <c r="F362" s="32" t="s">
        <v>1751</v>
      </c>
      <c r="G362" s="32">
        <f>IFERROR(INDEX(Ship!A$31:B$4500,MATCH(C362,Ship!A$31:A$4500,0),2),0)</f>
        <v>0</v>
      </c>
    </row>
    <row r="363" spans="1:7" x14ac:dyDescent="0.3">
      <c r="A363" s="32" t="s">
        <v>1795</v>
      </c>
      <c r="B363" s="32" t="s">
        <v>1796</v>
      </c>
      <c r="C363" s="32" t="s">
        <v>2664</v>
      </c>
      <c r="D363" s="32" t="s">
        <v>2017</v>
      </c>
      <c r="E363" s="32" t="s">
        <v>1471</v>
      </c>
      <c r="F363" s="32" t="s">
        <v>1751</v>
      </c>
      <c r="G363" s="32">
        <f>IFERROR(INDEX(Ship!A$31:B$4500,MATCH(C363,Ship!A$31:A$4500,0),2),0)</f>
        <v>90</v>
      </c>
    </row>
    <row r="364" spans="1:7" x14ac:dyDescent="0.3">
      <c r="A364" s="32" t="s">
        <v>1795</v>
      </c>
      <c r="B364" s="32" t="s">
        <v>1796</v>
      </c>
      <c r="C364" s="32" t="s">
        <v>2665</v>
      </c>
      <c r="D364" s="32" t="s">
        <v>2018</v>
      </c>
      <c r="E364" s="32" t="s">
        <v>1471</v>
      </c>
      <c r="F364" s="32" t="s">
        <v>1751</v>
      </c>
      <c r="G364" s="32">
        <f>IFERROR(INDEX(Ship!A$31:B$4500,MATCH(C364,Ship!A$31:A$4500,0),2),0)</f>
        <v>191</v>
      </c>
    </row>
    <row r="365" spans="1:7" x14ac:dyDescent="0.3">
      <c r="A365" s="32" t="s">
        <v>1795</v>
      </c>
      <c r="B365" s="32" t="s">
        <v>1796</v>
      </c>
      <c r="C365" s="32" t="s">
        <v>2666</v>
      </c>
      <c r="D365" s="32" t="s">
        <v>2020</v>
      </c>
      <c r="E365" s="32" t="s">
        <v>1471</v>
      </c>
      <c r="F365" s="32" t="s">
        <v>1751</v>
      </c>
      <c r="G365" s="32">
        <f>IFERROR(INDEX(Ship!A$31:B$4500,MATCH(C365,Ship!A$31:A$4500,0),2),0)</f>
        <v>155</v>
      </c>
    </row>
    <row r="366" spans="1:7" x14ac:dyDescent="0.3">
      <c r="A366" s="32" t="s">
        <v>1795</v>
      </c>
      <c r="B366" s="32" t="s">
        <v>1796</v>
      </c>
      <c r="C366" s="32" t="s">
        <v>2667</v>
      </c>
      <c r="D366" s="32" t="s">
        <v>2021</v>
      </c>
      <c r="E366" s="32" t="s">
        <v>1471</v>
      </c>
      <c r="F366" s="32" t="s">
        <v>1751</v>
      </c>
      <c r="G366" s="32">
        <f>IFERROR(INDEX(Ship!A$31:B$4500,MATCH(C366,Ship!A$31:A$4500,0),2),0)</f>
        <v>234</v>
      </c>
    </row>
    <row r="367" spans="1:7" x14ac:dyDescent="0.3">
      <c r="A367" s="32" t="s">
        <v>1795</v>
      </c>
      <c r="B367" s="32" t="s">
        <v>1796</v>
      </c>
      <c r="C367" s="32" t="s">
        <v>2668</v>
      </c>
      <c r="D367" s="32" t="s">
        <v>2023</v>
      </c>
      <c r="E367" s="32" t="s">
        <v>1471</v>
      </c>
      <c r="F367" s="32" t="s">
        <v>1751</v>
      </c>
      <c r="G367" s="32">
        <f>IFERROR(INDEX(Ship!A$31:B$4500,MATCH(C367,Ship!A$31:A$4500,0),2),0)</f>
        <v>0</v>
      </c>
    </row>
    <row r="368" spans="1:7" x14ac:dyDescent="0.3">
      <c r="A368" s="32" t="s">
        <v>1795</v>
      </c>
      <c r="B368" s="32" t="s">
        <v>1796</v>
      </c>
      <c r="C368" s="32" t="s">
        <v>2669</v>
      </c>
      <c r="D368" s="32" t="s">
        <v>2024</v>
      </c>
      <c r="E368" s="32" t="s">
        <v>1471</v>
      </c>
      <c r="F368" s="32" t="s">
        <v>1751</v>
      </c>
      <c r="G368" s="32">
        <f>IFERROR(INDEX(Ship!A$31:B$4500,MATCH(C368,Ship!A$31:A$4500,0),2),0)</f>
        <v>132</v>
      </c>
    </row>
    <row r="369" spans="1:7" x14ac:dyDescent="0.3">
      <c r="A369" s="32" t="s">
        <v>1795</v>
      </c>
      <c r="B369" s="32" t="s">
        <v>1796</v>
      </c>
      <c r="C369" s="32" t="s">
        <v>2670</v>
      </c>
      <c r="D369" s="32" t="s">
        <v>2026</v>
      </c>
      <c r="E369" s="32" t="s">
        <v>1471</v>
      </c>
      <c r="F369" s="32" t="s">
        <v>1751</v>
      </c>
      <c r="G369" s="32">
        <f>IFERROR(INDEX(Ship!A$31:B$4500,MATCH(C369,Ship!A$31:A$4500,0),2),0)</f>
        <v>185</v>
      </c>
    </row>
    <row r="370" spans="1:7" x14ac:dyDescent="0.3">
      <c r="A370" s="32" t="s">
        <v>1795</v>
      </c>
      <c r="B370" s="32" t="s">
        <v>1796</v>
      </c>
      <c r="C370" s="32" t="s">
        <v>2671</v>
      </c>
      <c r="D370" s="32" t="s">
        <v>2027</v>
      </c>
      <c r="E370" s="32" t="s">
        <v>1471</v>
      </c>
      <c r="F370" s="32" t="s">
        <v>1751</v>
      </c>
      <c r="G370" s="32">
        <f>IFERROR(INDEX(Ship!A$31:B$4500,MATCH(C370,Ship!A$31:A$4500,0),2),0)</f>
        <v>484</v>
      </c>
    </row>
    <row r="371" spans="1:7" x14ac:dyDescent="0.3">
      <c r="A371" s="32" t="s">
        <v>1795</v>
      </c>
      <c r="B371" s="32" t="s">
        <v>1796</v>
      </c>
      <c r="C371" s="32" t="s">
        <v>2672</v>
      </c>
      <c r="D371" s="32" t="s">
        <v>2028</v>
      </c>
      <c r="E371" s="32" t="s">
        <v>1471</v>
      </c>
      <c r="F371" s="32" t="s">
        <v>1751</v>
      </c>
      <c r="G371" s="32">
        <f>IFERROR(INDEX(Ship!A$31:B$4500,MATCH(C371,Ship!A$31:A$4500,0),2),0)</f>
        <v>55</v>
      </c>
    </row>
    <row r="372" spans="1:7" x14ac:dyDescent="0.3">
      <c r="A372" s="32" t="s">
        <v>1795</v>
      </c>
      <c r="B372" s="32" t="s">
        <v>1796</v>
      </c>
      <c r="C372" s="32" t="s">
        <v>2673</v>
      </c>
      <c r="D372" s="32" t="s">
        <v>2029</v>
      </c>
      <c r="E372" s="32" t="s">
        <v>1471</v>
      </c>
      <c r="F372" s="32" t="s">
        <v>1751</v>
      </c>
      <c r="G372" s="32">
        <f>IFERROR(INDEX(Ship!A$31:B$4500,MATCH(C372,Ship!A$31:A$4500,0),2),0)</f>
        <v>651</v>
      </c>
    </row>
    <row r="373" spans="1:7" x14ac:dyDescent="0.3">
      <c r="A373" s="32" t="s">
        <v>1795</v>
      </c>
      <c r="B373" s="32" t="s">
        <v>1796</v>
      </c>
      <c r="C373" s="32" t="s">
        <v>2674</v>
      </c>
      <c r="D373" s="32" t="s">
        <v>2031</v>
      </c>
      <c r="E373" s="32" t="s">
        <v>1471</v>
      </c>
      <c r="F373" s="32" t="s">
        <v>1751</v>
      </c>
      <c r="G373" s="32">
        <f>IFERROR(INDEX(Ship!A$31:B$4500,MATCH(C373,Ship!A$31:A$4500,0),2),0)</f>
        <v>2</v>
      </c>
    </row>
    <row r="374" spans="1:7" x14ac:dyDescent="0.3">
      <c r="A374" s="32" t="s">
        <v>1795</v>
      </c>
      <c r="B374" s="32" t="s">
        <v>1796</v>
      </c>
      <c r="C374" s="32" t="s">
        <v>2675</v>
      </c>
      <c r="D374" s="32" t="s">
        <v>2032</v>
      </c>
      <c r="E374" s="32" t="s">
        <v>1471</v>
      </c>
      <c r="F374" s="32" t="s">
        <v>1751</v>
      </c>
      <c r="G374" s="32">
        <f>IFERROR(INDEX(Ship!A$31:B$4500,MATCH(C374,Ship!A$31:A$4500,0),2),0)</f>
        <v>0</v>
      </c>
    </row>
    <row r="375" spans="1:7" x14ac:dyDescent="0.3">
      <c r="A375" s="32" t="s">
        <v>1795</v>
      </c>
      <c r="B375" s="32" t="s">
        <v>1796</v>
      </c>
      <c r="C375" s="32" t="s">
        <v>2676</v>
      </c>
      <c r="D375" s="32" t="s">
        <v>2034</v>
      </c>
      <c r="E375" s="32" t="s">
        <v>1471</v>
      </c>
      <c r="F375" s="32" t="s">
        <v>1751</v>
      </c>
      <c r="G375" s="32">
        <f>IFERROR(INDEX(Ship!A$31:B$4500,MATCH(C375,Ship!A$31:A$4500,0),2),0)</f>
        <v>0</v>
      </c>
    </row>
    <row r="376" spans="1:7" x14ac:dyDescent="0.3">
      <c r="A376" s="32" t="s">
        <v>1795</v>
      </c>
      <c r="B376" s="32" t="s">
        <v>1796</v>
      </c>
      <c r="C376" s="32" t="s">
        <v>2677</v>
      </c>
      <c r="D376" s="32" t="s">
        <v>2035</v>
      </c>
      <c r="E376" s="32" t="s">
        <v>1471</v>
      </c>
      <c r="F376" s="32" t="s">
        <v>1751</v>
      </c>
      <c r="G376" s="32">
        <f>IFERROR(INDEX(Ship!A$31:B$4500,MATCH(C376,Ship!A$31:A$4500,0),2),0)</f>
        <v>26</v>
      </c>
    </row>
    <row r="377" spans="1:7" x14ac:dyDescent="0.3">
      <c r="A377" s="32" t="s">
        <v>1795</v>
      </c>
      <c r="B377" s="32" t="s">
        <v>1796</v>
      </c>
      <c r="C377" s="32" t="s">
        <v>2678</v>
      </c>
      <c r="D377" s="32" t="s">
        <v>2037</v>
      </c>
      <c r="E377" s="32" t="s">
        <v>1471</v>
      </c>
      <c r="F377" s="32" t="s">
        <v>1751</v>
      </c>
      <c r="G377" s="32">
        <f>IFERROR(INDEX(Ship!A$31:B$4500,MATCH(C377,Ship!A$31:A$4500,0),2),0)</f>
        <v>26</v>
      </c>
    </row>
    <row r="378" spans="1:7" x14ac:dyDescent="0.3">
      <c r="A378" s="32" t="s">
        <v>1795</v>
      </c>
      <c r="B378" s="32" t="s">
        <v>1796</v>
      </c>
      <c r="C378" s="32" t="s">
        <v>2679</v>
      </c>
      <c r="D378" s="32" t="s">
        <v>2038</v>
      </c>
      <c r="E378" s="32" t="s">
        <v>1471</v>
      </c>
      <c r="F378" s="32" t="s">
        <v>1751</v>
      </c>
      <c r="G378" s="32">
        <f>IFERROR(INDEX(Ship!A$31:B$4500,MATCH(C378,Ship!A$31:A$4500,0),2),0)</f>
        <v>51</v>
      </c>
    </row>
    <row r="379" spans="1:7" x14ac:dyDescent="0.3">
      <c r="A379" s="32" t="s">
        <v>1795</v>
      </c>
      <c r="B379" s="32" t="s">
        <v>1796</v>
      </c>
      <c r="C379" s="32" t="s">
        <v>2680</v>
      </c>
      <c r="D379" s="32" t="s">
        <v>2040</v>
      </c>
      <c r="E379" s="32" t="s">
        <v>1471</v>
      </c>
      <c r="F379" s="32" t="s">
        <v>1751</v>
      </c>
      <c r="G379" s="32">
        <f>IFERROR(INDEX(Ship!A$31:B$4500,MATCH(C379,Ship!A$31:A$4500,0),2),0)</f>
        <v>427</v>
      </c>
    </row>
    <row r="380" spans="1:7" x14ac:dyDescent="0.3">
      <c r="A380" s="32" t="s">
        <v>1795</v>
      </c>
      <c r="B380" s="32" t="s">
        <v>1796</v>
      </c>
      <c r="C380" s="32" t="s">
        <v>2681</v>
      </c>
      <c r="D380" s="32" t="s">
        <v>2041</v>
      </c>
      <c r="E380" s="32" t="s">
        <v>1471</v>
      </c>
      <c r="F380" s="32" t="s">
        <v>1751</v>
      </c>
      <c r="G380" s="32">
        <f>IFERROR(INDEX(Ship!A$31:B$4500,MATCH(C380,Ship!A$31:A$4500,0),2),0)</f>
        <v>0</v>
      </c>
    </row>
    <row r="381" spans="1:7" x14ac:dyDescent="0.3">
      <c r="A381" s="32" t="s">
        <v>1795</v>
      </c>
      <c r="B381" s="32" t="s">
        <v>1796</v>
      </c>
      <c r="C381" s="32" t="s">
        <v>2682</v>
      </c>
      <c r="D381" s="32" t="s">
        <v>2042</v>
      </c>
      <c r="E381" s="32" t="s">
        <v>1471</v>
      </c>
      <c r="F381" s="32" t="s">
        <v>1751</v>
      </c>
      <c r="G381" s="32">
        <f>IFERROR(INDEX(Ship!A$31:B$4500,MATCH(C381,Ship!A$31:A$4500,0),2),0)</f>
        <v>494</v>
      </c>
    </row>
    <row r="382" spans="1:7" x14ac:dyDescent="0.3">
      <c r="A382" s="32" t="s">
        <v>1795</v>
      </c>
      <c r="B382" s="32" t="s">
        <v>1796</v>
      </c>
      <c r="C382" s="32" t="s">
        <v>778</v>
      </c>
      <c r="D382" s="32" t="s">
        <v>2044</v>
      </c>
      <c r="E382" s="32" t="s">
        <v>1471</v>
      </c>
      <c r="F382" s="32" t="s">
        <v>1751</v>
      </c>
      <c r="G382" s="32">
        <f>IFERROR(INDEX(Ship!A$31:B$4500,MATCH(C382,Ship!A$31:A$4500,0),2),0)</f>
        <v>117</v>
      </c>
    </row>
    <row r="383" spans="1:7" x14ac:dyDescent="0.3">
      <c r="A383" s="32" t="s">
        <v>1795</v>
      </c>
      <c r="B383" s="32" t="s">
        <v>1796</v>
      </c>
      <c r="C383" s="32" t="s">
        <v>779</v>
      </c>
      <c r="D383" s="32" t="s">
        <v>2045</v>
      </c>
      <c r="E383" s="32" t="s">
        <v>1471</v>
      </c>
      <c r="F383" s="32" t="s">
        <v>1751</v>
      </c>
      <c r="G383" s="32">
        <f>IFERROR(INDEX(Ship!A$31:B$4500,MATCH(C383,Ship!A$31:A$4500,0),2),0)</f>
        <v>0</v>
      </c>
    </row>
    <row r="384" spans="1:7" x14ac:dyDescent="0.3">
      <c r="A384" s="32" t="s">
        <v>1795</v>
      </c>
      <c r="B384" s="32" t="s">
        <v>1796</v>
      </c>
      <c r="C384" s="32" t="s">
        <v>787</v>
      </c>
      <c r="D384" s="32" t="s">
        <v>2046</v>
      </c>
      <c r="E384" s="32" t="s">
        <v>1471</v>
      </c>
      <c r="F384" s="32" t="s">
        <v>1751</v>
      </c>
      <c r="G384" s="32">
        <f>IFERROR(INDEX(Ship!A$31:B$4500,MATCH(C384,Ship!A$31:A$4500,0),2),0)</f>
        <v>2</v>
      </c>
    </row>
    <row r="385" spans="1:7" x14ac:dyDescent="0.3">
      <c r="A385" s="32" t="s">
        <v>1795</v>
      </c>
      <c r="B385" s="32" t="s">
        <v>1796</v>
      </c>
      <c r="C385" s="32" t="s">
        <v>795</v>
      </c>
      <c r="D385" s="32" t="s">
        <v>2047</v>
      </c>
      <c r="E385" s="32" t="s">
        <v>1471</v>
      </c>
      <c r="F385" s="32" t="s">
        <v>1751</v>
      </c>
      <c r="G385" s="32">
        <f>IFERROR(INDEX(Ship!A$31:B$4500,MATCH(C385,Ship!A$31:A$4500,0),2),0)</f>
        <v>24</v>
      </c>
    </row>
    <row r="386" spans="1:7" x14ac:dyDescent="0.3">
      <c r="A386" s="32" t="s">
        <v>1795</v>
      </c>
      <c r="B386" s="32" t="s">
        <v>1796</v>
      </c>
      <c r="C386" s="32" t="s">
        <v>803</v>
      </c>
      <c r="D386" s="32" t="s">
        <v>2048</v>
      </c>
      <c r="E386" s="32" t="s">
        <v>1471</v>
      </c>
      <c r="F386" s="32" t="s">
        <v>1751</v>
      </c>
      <c r="G386" s="32">
        <f>IFERROR(INDEX(Ship!A$31:B$4500,MATCH(C386,Ship!A$31:A$4500,0),2),0)</f>
        <v>131</v>
      </c>
    </row>
    <row r="387" spans="1:7" x14ac:dyDescent="0.3">
      <c r="A387" s="32" t="s">
        <v>1795</v>
      </c>
      <c r="B387" s="32" t="s">
        <v>1796</v>
      </c>
      <c r="C387" s="32" t="s">
        <v>811</v>
      </c>
      <c r="D387" s="32" t="s">
        <v>2049</v>
      </c>
      <c r="E387" s="32" t="s">
        <v>1471</v>
      </c>
      <c r="F387" s="32" t="s">
        <v>1751</v>
      </c>
      <c r="G387" s="32">
        <f>IFERROR(INDEX(Ship!A$31:B$4500,MATCH(C387,Ship!A$31:A$4500,0),2),0)</f>
        <v>2</v>
      </c>
    </row>
    <row r="388" spans="1:7" x14ac:dyDescent="0.3">
      <c r="A388" s="32" t="s">
        <v>1795</v>
      </c>
      <c r="B388" s="32" t="s">
        <v>1796</v>
      </c>
      <c r="C388" s="32" t="s">
        <v>819</v>
      </c>
      <c r="D388" s="32" t="s">
        <v>2050</v>
      </c>
      <c r="E388" s="32" t="s">
        <v>1471</v>
      </c>
      <c r="F388" s="32" t="s">
        <v>1751</v>
      </c>
      <c r="G388" s="32">
        <f>IFERROR(INDEX(Ship!A$31:B$4500,MATCH(C388,Ship!A$31:A$4500,0),2),0)</f>
        <v>2</v>
      </c>
    </row>
    <row r="389" spans="1:7" x14ac:dyDescent="0.3">
      <c r="A389" s="32" t="s">
        <v>1795</v>
      </c>
      <c r="B389" s="32" t="s">
        <v>1796</v>
      </c>
      <c r="C389" s="32" t="s">
        <v>827</v>
      </c>
      <c r="D389" s="32" t="s">
        <v>2051</v>
      </c>
      <c r="E389" s="32" t="s">
        <v>1471</v>
      </c>
      <c r="F389" s="32" t="s">
        <v>1751</v>
      </c>
      <c r="G389" s="32">
        <f>IFERROR(INDEX(Ship!A$31:B$4500,MATCH(C389,Ship!A$31:A$4500,0),2),0)</f>
        <v>18</v>
      </c>
    </row>
    <row r="390" spans="1:7" x14ac:dyDescent="0.3">
      <c r="A390" s="32" t="s">
        <v>1795</v>
      </c>
      <c r="B390" s="32" t="s">
        <v>1796</v>
      </c>
      <c r="C390" s="32" t="s">
        <v>835</v>
      </c>
      <c r="D390" s="32" t="s">
        <v>2052</v>
      </c>
      <c r="E390" s="32" t="s">
        <v>1471</v>
      </c>
      <c r="F390" s="32" t="s">
        <v>1751</v>
      </c>
      <c r="G390" s="32">
        <f>IFERROR(INDEX(Ship!A$31:B$4500,MATCH(C390,Ship!A$31:A$4500,0),2),0)</f>
        <v>9</v>
      </c>
    </row>
    <row r="391" spans="1:7" x14ac:dyDescent="0.3">
      <c r="A391" s="32" t="s">
        <v>1795</v>
      </c>
      <c r="B391" s="32" t="s">
        <v>1796</v>
      </c>
      <c r="C391" s="32" t="s">
        <v>836</v>
      </c>
      <c r="D391" s="32" t="s">
        <v>2053</v>
      </c>
      <c r="E391" s="32" t="s">
        <v>1471</v>
      </c>
      <c r="F391" s="32" t="s">
        <v>1751</v>
      </c>
      <c r="G391" s="32">
        <f>IFERROR(INDEX(Ship!A$31:B$4500,MATCH(C391,Ship!A$31:A$4500,0),2),0)</f>
        <v>6</v>
      </c>
    </row>
    <row r="392" spans="1:7" x14ac:dyDescent="0.3">
      <c r="A392" s="32" t="s">
        <v>1795</v>
      </c>
      <c r="B392" s="32" t="s">
        <v>1796</v>
      </c>
      <c r="C392" s="32" t="s">
        <v>844</v>
      </c>
      <c r="D392" s="32" t="s">
        <v>2054</v>
      </c>
      <c r="E392" s="32" t="s">
        <v>1471</v>
      </c>
      <c r="F392" s="32" t="s">
        <v>1751</v>
      </c>
      <c r="G392" s="32">
        <f>IFERROR(INDEX(Ship!A$31:B$4500,MATCH(C392,Ship!A$31:A$4500,0),2),0)</f>
        <v>70</v>
      </c>
    </row>
    <row r="393" spans="1:7" x14ac:dyDescent="0.3">
      <c r="A393" s="32" t="s">
        <v>1795</v>
      </c>
      <c r="B393" s="32" t="s">
        <v>1796</v>
      </c>
      <c r="C393" s="32" t="s">
        <v>852</v>
      </c>
      <c r="D393" s="32" t="s">
        <v>2054</v>
      </c>
      <c r="E393" s="32" t="s">
        <v>1471</v>
      </c>
      <c r="F393" s="32" t="s">
        <v>1751</v>
      </c>
      <c r="G393" s="32">
        <f>IFERROR(INDEX(Ship!A$31:B$4500,MATCH(C393,Ship!A$31:A$4500,0),2),0)</f>
        <v>0</v>
      </c>
    </row>
    <row r="394" spans="1:7" x14ac:dyDescent="0.3">
      <c r="A394" s="32" t="s">
        <v>1795</v>
      </c>
      <c r="B394" s="32" t="s">
        <v>1796</v>
      </c>
      <c r="C394" s="32" t="s">
        <v>853</v>
      </c>
      <c r="D394" s="32" t="s">
        <v>2053</v>
      </c>
      <c r="E394" s="32" t="s">
        <v>1471</v>
      </c>
      <c r="F394" s="32" t="s">
        <v>1751</v>
      </c>
      <c r="G394" s="32">
        <f>IFERROR(INDEX(Ship!A$31:B$4500,MATCH(C394,Ship!A$31:A$4500,0),2),0)</f>
        <v>7</v>
      </c>
    </row>
    <row r="395" spans="1:7" x14ac:dyDescent="0.3">
      <c r="A395" s="32" t="s">
        <v>1795</v>
      </c>
      <c r="B395" s="32" t="s">
        <v>1796</v>
      </c>
      <c r="C395" s="32" t="s">
        <v>861</v>
      </c>
      <c r="D395" s="32" t="s">
        <v>2052</v>
      </c>
      <c r="E395" s="32" t="s">
        <v>1471</v>
      </c>
      <c r="F395" s="32" t="s">
        <v>1751</v>
      </c>
      <c r="G395" s="32">
        <f>IFERROR(INDEX(Ship!A$31:B$4500,MATCH(C395,Ship!A$31:A$4500,0),2),0)</f>
        <v>3</v>
      </c>
    </row>
    <row r="396" spans="1:7" x14ac:dyDescent="0.3">
      <c r="A396" s="32" t="s">
        <v>1795</v>
      </c>
      <c r="B396" s="32" t="s">
        <v>1796</v>
      </c>
      <c r="C396" s="32" t="s">
        <v>862</v>
      </c>
      <c r="D396" s="32" t="s">
        <v>2051</v>
      </c>
      <c r="E396" s="32" t="s">
        <v>1471</v>
      </c>
      <c r="F396" s="32" t="s">
        <v>1751</v>
      </c>
      <c r="G396" s="32">
        <f>IFERROR(INDEX(Ship!A$31:B$4500,MATCH(C396,Ship!A$31:A$4500,0),2),0)</f>
        <v>11</v>
      </c>
    </row>
    <row r="397" spans="1:7" x14ac:dyDescent="0.3">
      <c r="A397" s="32" t="s">
        <v>1795</v>
      </c>
      <c r="B397" s="32" t="s">
        <v>1796</v>
      </c>
      <c r="C397" s="32" t="s">
        <v>870</v>
      </c>
      <c r="D397" s="32" t="s">
        <v>2050</v>
      </c>
      <c r="E397" s="32" t="s">
        <v>1471</v>
      </c>
      <c r="F397" s="32" t="s">
        <v>1751</v>
      </c>
      <c r="G397" s="32">
        <f>IFERROR(INDEX(Ship!A$31:B$4500,MATCH(C397,Ship!A$31:A$4500,0),2),0)</f>
        <v>9</v>
      </c>
    </row>
    <row r="398" spans="1:7" x14ac:dyDescent="0.3">
      <c r="A398" s="32" t="s">
        <v>1795</v>
      </c>
      <c r="B398" s="32" t="s">
        <v>1796</v>
      </c>
      <c r="C398" s="32" t="s">
        <v>878</v>
      </c>
      <c r="D398" s="32" t="s">
        <v>2049</v>
      </c>
      <c r="E398" s="32" t="s">
        <v>1471</v>
      </c>
      <c r="F398" s="32" t="s">
        <v>1751</v>
      </c>
      <c r="G398" s="32">
        <f>IFERROR(INDEX(Ship!A$31:B$4500,MATCH(C398,Ship!A$31:A$4500,0),2),0)</f>
        <v>2</v>
      </c>
    </row>
    <row r="399" spans="1:7" x14ac:dyDescent="0.3">
      <c r="A399" s="32" t="s">
        <v>1795</v>
      </c>
      <c r="B399" s="32" t="s">
        <v>1796</v>
      </c>
      <c r="C399" s="32" t="s">
        <v>886</v>
      </c>
      <c r="D399" s="32" t="s">
        <v>2048</v>
      </c>
      <c r="E399" s="32" t="s">
        <v>1471</v>
      </c>
      <c r="F399" s="32" t="s">
        <v>1751</v>
      </c>
      <c r="G399" s="32">
        <f>IFERROR(INDEX(Ship!A$31:B$4500,MATCH(C399,Ship!A$31:A$4500,0),2),0)</f>
        <v>79</v>
      </c>
    </row>
    <row r="400" spans="1:7" x14ac:dyDescent="0.3">
      <c r="A400" s="32" t="s">
        <v>1795</v>
      </c>
      <c r="B400" s="32" t="s">
        <v>1796</v>
      </c>
      <c r="C400" s="32" t="s">
        <v>1794</v>
      </c>
      <c r="D400" s="32" t="s">
        <v>2047</v>
      </c>
      <c r="E400" s="32" t="s">
        <v>1471</v>
      </c>
      <c r="F400" s="32" t="s">
        <v>1751</v>
      </c>
      <c r="G400" s="32">
        <f>IFERROR(INDEX(Ship!A$31:B$4500,MATCH(C400,Ship!A$31:A$4500,0),2),0)</f>
        <v>18</v>
      </c>
    </row>
    <row r="401" spans="1:7" x14ac:dyDescent="0.3">
      <c r="A401" s="32" t="s">
        <v>1795</v>
      </c>
      <c r="B401" s="32" t="s">
        <v>1796</v>
      </c>
      <c r="C401" s="32" t="s">
        <v>894</v>
      </c>
      <c r="D401" s="32" t="s">
        <v>2046</v>
      </c>
      <c r="E401" s="32" t="s">
        <v>1471</v>
      </c>
      <c r="F401" s="32" t="s">
        <v>1751</v>
      </c>
      <c r="G401" s="32">
        <f>IFERROR(INDEX(Ship!A$31:B$4500,MATCH(C401,Ship!A$31:A$4500,0),2),0)</f>
        <v>2</v>
      </c>
    </row>
    <row r="402" spans="1:7" x14ac:dyDescent="0.3">
      <c r="A402" s="32" t="s">
        <v>1795</v>
      </c>
      <c r="B402" s="32" t="s">
        <v>1796</v>
      </c>
      <c r="C402" s="32" t="s">
        <v>902</v>
      </c>
      <c r="D402" s="32" t="s">
        <v>2045</v>
      </c>
      <c r="E402" s="32" t="s">
        <v>1471</v>
      </c>
      <c r="F402" s="32" t="s">
        <v>1751</v>
      </c>
      <c r="G402" s="32">
        <f>IFERROR(INDEX(Ship!A$31:B$4500,MATCH(C402,Ship!A$31:A$4500,0),2),0)</f>
        <v>0</v>
      </c>
    </row>
    <row r="403" spans="1:7" x14ac:dyDescent="0.3">
      <c r="A403" s="32" t="s">
        <v>1795</v>
      </c>
      <c r="B403" s="32" t="s">
        <v>1796</v>
      </c>
      <c r="C403" s="32" t="s">
        <v>910</v>
      </c>
      <c r="D403" s="32" t="s">
        <v>2044</v>
      </c>
      <c r="E403" s="32" t="s">
        <v>1471</v>
      </c>
      <c r="F403" s="32" t="s">
        <v>1751</v>
      </c>
      <c r="G403" s="32">
        <f>IFERROR(INDEX(Ship!A$31:B$4500,MATCH(C403,Ship!A$31:A$4500,0),2),0)</f>
        <v>63</v>
      </c>
    </row>
    <row r="404" spans="1:7" x14ac:dyDescent="0.3">
      <c r="A404" s="32" t="s">
        <v>1795</v>
      </c>
      <c r="B404" s="32" t="s">
        <v>1796</v>
      </c>
      <c r="C404" s="32" t="s">
        <v>1754</v>
      </c>
      <c r="D404" s="32" t="s">
        <v>2042</v>
      </c>
      <c r="E404" s="32" t="s">
        <v>1471</v>
      </c>
      <c r="F404" s="32" t="s">
        <v>1751</v>
      </c>
      <c r="G404" s="32">
        <f>IFERROR(INDEX(Ship!A$31:B$4500,MATCH(C404,Ship!A$31:A$4500,0),2),0)</f>
        <v>647</v>
      </c>
    </row>
    <row r="405" spans="1:7" x14ac:dyDescent="0.3">
      <c r="A405" s="32" t="s">
        <v>1795</v>
      </c>
      <c r="B405" s="32" t="s">
        <v>1796</v>
      </c>
      <c r="C405" s="32" t="s">
        <v>1793</v>
      </c>
      <c r="D405" s="32" t="s">
        <v>2041</v>
      </c>
      <c r="E405" s="32" t="s">
        <v>1471</v>
      </c>
      <c r="F405" s="32" t="s">
        <v>1751</v>
      </c>
      <c r="G405" s="32">
        <f>IFERROR(INDEX(Ship!A$31:B$4500,MATCH(C405,Ship!A$31:A$4500,0),2),0)</f>
        <v>0</v>
      </c>
    </row>
    <row r="406" spans="1:7" x14ac:dyDescent="0.3">
      <c r="A406" s="32" t="s">
        <v>1795</v>
      </c>
      <c r="B406" s="32" t="s">
        <v>1796</v>
      </c>
      <c r="C406" s="32" t="s">
        <v>919</v>
      </c>
      <c r="D406" s="32" t="s">
        <v>2040</v>
      </c>
      <c r="E406" s="32" t="s">
        <v>1471</v>
      </c>
      <c r="F406" s="32" t="s">
        <v>1751</v>
      </c>
      <c r="G406" s="32">
        <f>IFERROR(INDEX(Ship!A$31:B$4500,MATCH(C406,Ship!A$31:A$4500,0),2),0)</f>
        <v>317</v>
      </c>
    </row>
    <row r="407" spans="1:7" x14ac:dyDescent="0.3">
      <c r="A407" s="32" t="s">
        <v>1795</v>
      </c>
      <c r="B407" s="32" t="s">
        <v>1796</v>
      </c>
      <c r="C407" s="32" t="s">
        <v>935</v>
      </c>
      <c r="D407" s="32" t="s">
        <v>2038</v>
      </c>
      <c r="E407" s="32" t="s">
        <v>1471</v>
      </c>
      <c r="F407" s="32" t="s">
        <v>1751</v>
      </c>
      <c r="G407" s="32">
        <f>IFERROR(INDEX(Ship!A$31:B$4500,MATCH(C407,Ship!A$31:A$4500,0),2),0)</f>
        <v>45</v>
      </c>
    </row>
    <row r="408" spans="1:7" x14ac:dyDescent="0.3">
      <c r="A408" s="32" t="s">
        <v>1795</v>
      </c>
      <c r="B408" s="32" t="s">
        <v>1796</v>
      </c>
      <c r="C408" s="32" t="s">
        <v>943</v>
      </c>
      <c r="D408" s="32" t="s">
        <v>2037</v>
      </c>
      <c r="E408" s="32" t="s">
        <v>1471</v>
      </c>
      <c r="F408" s="32" t="s">
        <v>1751</v>
      </c>
      <c r="G408" s="32">
        <f>IFERROR(INDEX(Ship!A$31:B$4500,MATCH(C408,Ship!A$31:A$4500,0),2),0)</f>
        <v>30</v>
      </c>
    </row>
    <row r="409" spans="1:7" x14ac:dyDescent="0.3">
      <c r="A409" s="32" t="s">
        <v>1795</v>
      </c>
      <c r="B409" s="32" t="s">
        <v>1796</v>
      </c>
      <c r="C409" s="32" t="s">
        <v>959</v>
      </c>
      <c r="D409" s="32" t="s">
        <v>2035</v>
      </c>
      <c r="E409" s="32" t="s">
        <v>1471</v>
      </c>
      <c r="F409" s="32" t="s">
        <v>1751</v>
      </c>
      <c r="G409" s="32">
        <f>IFERROR(INDEX(Ship!A$31:B$4500,MATCH(C409,Ship!A$31:A$4500,0),2),0)</f>
        <v>18</v>
      </c>
    </row>
    <row r="410" spans="1:7" x14ac:dyDescent="0.3">
      <c r="A410" s="32" t="s">
        <v>1795</v>
      </c>
      <c r="B410" s="32" t="s">
        <v>1796</v>
      </c>
      <c r="C410" s="32" t="s">
        <v>967</v>
      </c>
      <c r="D410" s="32" t="s">
        <v>2034</v>
      </c>
      <c r="E410" s="32" t="s">
        <v>1471</v>
      </c>
      <c r="F410" s="32" t="s">
        <v>1751</v>
      </c>
      <c r="G410" s="32">
        <f>IFERROR(INDEX(Ship!A$31:B$4500,MATCH(C410,Ship!A$31:A$4500,0),2),0)</f>
        <v>0</v>
      </c>
    </row>
    <row r="411" spans="1:7" x14ac:dyDescent="0.3">
      <c r="A411" s="32" t="s">
        <v>1795</v>
      </c>
      <c r="B411" s="32" t="s">
        <v>1796</v>
      </c>
      <c r="C411" s="32" t="s">
        <v>976</v>
      </c>
      <c r="D411" s="32" t="s">
        <v>2032</v>
      </c>
      <c r="E411" s="32" t="s">
        <v>1471</v>
      </c>
      <c r="F411" s="32" t="s">
        <v>1751</v>
      </c>
      <c r="G411" s="32">
        <f>IFERROR(INDEX(Ship!A$31:B$4500,MATCH(C411,Ship!A$31:A$4500,0),2),0)</f>
        <v>10</v>
      </c>
    </row>
    <row r="412" spans="1:7" x14ac:dyDescent="0.3">
      <c r="A412" s="32" t="s">
        <v>1795</v>
      </c>
      <c r="B412" s="32" t="s">
        <v>1796</v>
      </c>
      <c r="C412" s="32" t="s">
        <v>984</v>
      </c>
      <c r="D412" s="32" t="s">
        <v>2031</v>
      </c>
      <c r="E412" s="32" t="s">
        <v>1471</v>
      </c>
      <c r="F412" s="32" t="s">
        <v>1751</v>
      </c>
      <c r="G412" s="32">
        <f>IFERROR(INDEX(Ship!A$31:B$4500,MATCH(C412,Ship!A$31:A$4500,0),2),0)</f>
        <v>3</v>
      </c>
    </row>
    <row r="413" spans="1:7" x14ac:dyDescent="0.3">
      <c r="A413" s="32" t="s">
        <v>1795</v>
      </c>
      <c r="B413" s="32" t="s">
        <v>1796</v>
      </c>
      <c r="C413" s="32" t="s">
        <v>1000</v>
      </c>
      <c r="D413" s="32" t="s">
        <v>2029</v>
      </c>
      <c r="E413" s="32" t="s">
        <v>1471</v>
      </c>
      <c r="F413" s="32" t="s">
        <v>1751</v>
      </c>
      <c r="G413" s="32">
        <f>IFERROR(INDEX(Ship!A$31:B$4500,MATCH(C413,Ship!A$31:A$4500,0),2),0)</f>
        <v>0</v>
      </c>
    </row>
    <row r="414" spans="1:7" x14ac:dyDescent="0.3">
      <c r="A414" s="32" t="s">
        <v>1795</v>
      </c>
      <c r="B414" s="32" t="s">
        <v>1796</v>
      </c>
      <c r="C414" s="32" t="s">
        <v>2683</v>
      </c>
      <c r="D414" s="32" t="s">
        <v>2028</v>
      </c>
      <c r="E414" s="32" t="s">
        <v>1471</v>
      </c>
      <c r="F414" s="32" t="s">
        <v>1751</v>
      </c>
      <c r="G414" s="32">
        <f>IFERROR(INDEX(Ship!A$31:B$4500,MATCH(C414,Ship!A$31:A$4500,0),2),0)</f>
        <v>48</v>
      </c>
    </row>
    <row r="415" spans="1:7" x14ac:dyDescent="0.3">
      <c r="A415" s="32" t="s">
        <v>1795</v>
      </c>
      <c r="B415" s="32" t="s">
        <v>1796</v>
      </c>
      <c r="C415" s="32" t="s">
        <v>2684</v>
      </c>
      <c r="D415" s="32" t="s">
        <v>2027</v>
      </c>
      <c r="E415" s="32" t="s">
        <v>1471</v>
      </c>
      <c r="F415" s="32" t="s">
        <v>1751</v>
      </c>
      <c r="G415" s="32">
        <f>IFERROR(INDEX(Ship!A$31:B$4500,MATCH(C415,Ship!A$31:A$4500,0),2),0)</f>
        <v>315</v>
      </c>
    </row>
    <row r="416" spans="1:7" x14ac:dyDescent="0.3">
      <c r="A416" s="32" t="s">
        <v>1795</v>
      </c>
      <c r="B416" s="32" t="s">
        <v>1796</v>
      </c>
      <c r="C416" s="32" t="s">
        <v>2685</v>
      </c>
      <c r="D416" s="32" t="s">
        <v>2026</v>
      </c>
      <c r="E416" s="32" t="s">
        <v>1471</v>
      </c>
      <c r="F416" s="32" t="s">
        <v>1751</v>
      </c>
      <c r="G416" s="32">
        <f>IFERROR(INDEX(Ship!A$31:B$4500,MATCH(C416,Ship!A$31:A$4500,0),2),0)</f>
        <v>0</v>
      </c>
    </row>
    <row r="417" spans="1:7" x14ac:dyDescent="0.3">
      <c r="A417" s="32" t="s">
        <v>1795</v>
      </c>
      <c r="B417" s="32" t="s">
        <v>1796</v>
      </c>
      <c r="C417" s="32" t="s">
        <v>2686</v>
      </c>
      <c r="D417" s="32" t="s">
        <v>2024</v>
      </c>
      <c r="E417" s="32" t="s">
        <v>1471</v>
      </c>
      <c r="F417" s="32" t="s">
        <v>1751</v>
      </c>
      <c r="G417" s="32">
        <f>IFERROR(INDEX(Ship!A$31:B$4500,MATCH(C417,Ship!A$31:A$4500,0),2),0)</f>
        <v>114</v>
      </c>
    </row>
    <row r="418" spans="1:7" x14ac:dyDescent="0.3">
      <c r="A418" s="32" t="s">
        <v>1795</v>
      </c>
      <c r="B418" s="32" t="s">
        <v>1796</v>
      </c>
      <c r="C418" s="32" t="s">
        <v>2687</v>
      </c>
      <c r="D418" s="32" t="s">
        <v>2023</v>
      </c>
      <c r="E418" s="32" t="s">
        <v>1471</v>
      </c>
      <c r="F418" s="32" t="s">
        <v>1751</v>
      </c>
      <c r="G418" s="32">
        <f>IFERROR(INDEX(Ship!A$31:B$4500,MATCH(C418,Ship!A$31:A$4500,0),2),0)</f>
        <v>0</v>
      </c>
    </row>
    <row r="419" spans="1:7" x14ac:dyDescent="0.3">
      <c r="A419" s="32" t="s">
        <v>1795</v>
      </c>
      <c r="B419" s="32" t="s">
        <v>1796</v>
      </c>
      <c r="C419" s="32" t="s">
        <v>2688</v>
      </c>
      <c r="D419" s="32" t="s">
        <v>2021</v>
      </c>
      <c r="E419" s="32" t="s">
        <v>1471</v>
      </c>
      <c r="F419" s="32" t="s">
        <v>1751</v>
      </c>
      <c r="G419" s="32">
        <f>IFERROR(INDEX(Ship!A$31:B$4500,MATCH(C419,Ship!A$31:A$4500,0),2),0)</f>
        <v>142</v>
      </c>
    </row>
    <row r="420" spans="1:7" x14ac:dyDescent="0.3">
      <c r="A420" s="32" t="s">
        <v>1795</v>
      </c>
      <c r="B420" s="32" t="s">
        <v>1796</v>
      </c>
      <c r="C420" s="32" t="s">
        <v>2689</v>
      </c>
      <c r="D420" s="32" t="s">
        <v>2020</v>
      </c>
      <c r="E420" s="32" t="s">
        <v>1471</v>
      </c>
      <c r="F420" s="32" t="s">
        <v>1751</v>
      </c>
      <c r="G420" s="32">
        <f>IFERROR(INDEX(Ship!A$31:B$4500,MATCH(C420,Ship!A$31:A$4500,0),2),0)</f>
        <v>121</v>
      </c>
    </row>
    <row r="421" spans="1:7" x14ac:dyDescent="0.3">
      <c r="A421" s="32" t="s">
        <v>1795</v>
      </c>
      <c r="B421" s="32" t="s">
        <v>1796</v>
      </c>
      <c r="C421" s="32" t="s">
        <v>2690</v>
      </c>
      <c r="D421" s="32" t="s">
        <v>2018</v>
      </c>
      <c r="E421" s="32" t="s">
        <v>1471</v>
      </c>
      <c r="F421" s="32" t="s">
        <v>1751</v>
      </c>
      <c r="G421" s="32">
        <f>IFERROR(INDEX(Ship!A$31:B$4500,MATCH(C421,Ship!A$31:A$4500,0),2),0)</f>
        <v>192</v>
      </c>
    </row>
    <row r="422" spans="1:7" x14ac:dyDescent="0.3">
      <c r="A422" s="32" t="s">
        <v>1795</v>
      </c>
      <c r="B422" s="32" t="s">
        <v>1796</v>
      </c>
      <c r="C422" s="32" t="s">
        <v>2691</v>
      </c>
      <c r="D422" s="32" t="s">
        <v>2017</v>
      </c>
      <c r="E422" s="32" t="s">
        <v>1471</v>
      </c>
      <c r="F422" s="32" t="s">
        <v>1751</v>
      </c>
      <c r="G422" s="32">
        <f>IFERROR(INDEX(Ship!A$31:B$4500,MATCH(C422,Ship!A$31:A$4500,0),2),0)</f>
        <v>40</v>
      </c>
    </row>
    <row r="423" spans="1:7" x14ac:dyDescent="0.3">
      <c r="A423" s="32" t="s">
        <v>1795</v>
      </c>
      <c r="B423" s="32" t="s">
        <v>1796</v>
      </c>
      <c r="C423" s="32" t="s">
        <v>2692</v>
      </c>
      <c r="D423" s="32" t="s">
        <v>2015</v>
      </c>
      <c r="E423" s="32" t="s">
        <v>1471</v>
      </c>
      <c r="F423" s="32" t="s">
        <v>1751</v>
      </c>
      <c r="G423" s="32">
        <f>IFERROR(INDEX(Ship!A$31:B$4500,MATCH(C423,Ship!A$31:A$4500,0),2),0)</f>
        <v>0</v>
      </c>
    </row>
    <row r="424" spans="1:7" x14ac:dyDescent="0.3">
      <c r="A424" s="32" t="s">
        <v>1795</v>
      </c>
      <c r="B424" s="32" t="s">
        <v>1796</v>
      </c>
      <c r="C424" s="32" t="s">
        <v>2693</v>
      </c>
      <c r="D424" s="32" t="s">
        <v>2014</v>
      </c>
      <c r="E424" s="32" t="s">
        <v>1471</v>
      </c>
      <c r="F424" s="32" t="s">
        <v>1751</v>
      </c>
      <c r="G424" s="32">
        <f>IFERROR(INDEX(Ship!A$31:B$4500,MATCH(C424,Ship!A$31:A$4500,0),2),0)</f>
        <v>130</v>
      </c>
    </row>
    <row r="425" spans="1:7" x14ac:dyDescent="0.3">
      <c r="A425" s="32" t="s">
        <v>1795</v>
      </c>
      <c r="B425" s="32" t="s">
        <v>1796</v>
      </c>
      <c r="C425" s="32" t="s">
        <v>2694</v>
      </c>
      <c r="D425" s="32" t="s">
        <v>2013</v>
      </c>
      <c r="E425" s="32" t="s">
        <v>1471</v>
      </c>
      <c r="F425" s="32" t="s">
        <v>1751</v>
      </c>
      <c r="G425" s="32">
        <f>IFERROR(INDEX(Ship!A$31:B$4500,MATCH(C425,Ship!A$31:A$4500,0),2),0)</f>
        <v>446</v>
      </c>
    </row>
    <row r="426" spans="1:7" x14ac:dyDescent="0.3">
      <c r="A426" s="32" t="s">
        <v>1795</v>
      </c>
      <c r="B426" s="32" t="s">
        <v>1796</v>
      </c>
      <c r="C426" s="32" t="s">
        <v>2695</v>
      </c>
      <c r="D426" s="32" t="s">
        <v>2011</v>
      </c>
      <c r="E426" s="32" t="s">
        <v>1471</v>
      </c>
      <c r="F426" s="32" t="s">
        <v>1751</v>
      </c>
      <c r="G426" s="32">
        <f>IFERROR(INDEX(Ship!A$31:B$4500,MATCH(C426,Ship!A$31:A$4500,0),2),0)</f>
        <v>229</v>
      </c>
    </row>
    <row r="427" spans="1:7" x14ac:dyDescent="0.3">
      <c r="A427" s="32" t="s">
        <v>1795</v>
      </c>
      <c r="B427" s="32" t="s">
        <v>1796</v>
      </c>
      <c r="C427" s="32" t="s">
        <v>2696</v>
      </c>
      <c r="D427" s="32" t="s">
        <v>2010</v>
      </c>
      <c r="E427" s="32" t="s">
        <v>1471</v>
      </c>
      <c r="F427" s="32" t="s">
        <v>1751</v>
      </c>
      <c r="G427" s="32">
        <f>IFERROR(INDEX(Ship!A$31:B$4500,MATCH(C427,Ship!A$31:A$4500,0),2),0)</f>
        <v>163</v>
      </c>
    </row>
    <row r="428" spans="1:7" x14ac:dyDescent="0.3">
      <c r="A428" s="32" t="s">
        <v>1795</v>
      </c>
      <c r="B428" s="32" t="s">
        <v>1796</v>
      </c>
      <c r="C428" s="32" t="s">
        <v>2697</v>
      </c>
      <c r="D428" s="32" t="s">
        <v>2009</v>
      </c>
      <c r="E428" s="32" t="s">
        <v>1471</v>
      </c>
      <c r="F428" s="32" t="s">
        <v>1751</v>
      </c>
      <c r="G428" s="32">
        <f>IFERROR(INDEX(Ship!A$31:B$4500,MATCH(C428,Ship!A$31:A$4500,0),2),0)</f>
        <v>4</v>
      </c>
    </row>
    <row r="429" spans="1:7" x14ac:dyDescent="0.3">
      <c r="A429" s="32" t="s">
        <v>1795</v>
      </c>
      <c r="B429" s="32" t="s">
        <v>1796</v>
      </c>
      <c r="C429" s="32" t="s">
        <v>1016</v>
      </c>
      <c r="D429" s="32" t="s">
        <v>2007</v>
      </c>
      <c r="E429" s="32" t="s">
        <v>1471</v>
      </c>
      <c r="F429" s="32" t="s">
        <v>1751</v>
      </c>
      <c r="G429" s="32">
        <f>IFERROR(INDEX(Ship!A$31:B$4500,MATCH(C429,Ship!A$31:A$4500,0),2),0)</f>
        <v>10</v>
      </c>
    </row>
    <row r="430" spans="1:7" x14ac:dyDescent="0.3">
      <c r="A430" s="32" t="s">
        <v>1795</v>
      </c>
      <c r="B430" s="32" t="s">
        <v>1796</v>
      </c>
      <c r="C430" s="32" t="s">
        <v>1025</v>
      </c>
      <c r="D430" s="32" t="s">
        <v>2005</v>
      </c>
      <c r="E430" s="32" t="s">
        <v>1471</v>
      </c>
      <c r="F430" s="32" t="s">
        <v>1751</v>
      </c>
      <c r="G430" s="32">
        <f>IFERROR(INDEX(Ship!A$31:B$4500,MATCH(C430,Ship!A$31:A$4500,0),2),0)</f>
        <v>0</v>
      </c>
    </row>
    <row r="431" spans="1:7" x14ac:dyDescent="0.3">
      <c r="A431" s="32" t="s">
        <v>1795</v>
      </c>
      <c r="B431" s="32" t="s">
        <v>1796</v>
      </c>
      <c r="C431" s="32" t="s">
        <v>1041</v>
      </c>
      <c r="D431" s="32" t="s">
        <v>2003</v>
      </c>
      <c r="E431" s="32" t="s">
        <v>1471</v>
      </c>
      <c r="F431" s="32" t="s">
        <v>1751</v>
      </c>
      <c r="G431" s="32">
        <f>IFERROR(INDEX(Ship!A$31:B$4500,MATCH(C431,Ship!A$31:A$4500,0),2),0)</f>
        <v>165</v>
      </c>
    </row>
    <row r="432" spans="1:7" x14ac:dyDescent="0.3">
      <c r="A432" s="32" t="s">
        <v>1795</v>
      </c>
      <c r="B432" s="32" t="s">
        <v>1796</v>
      </c>
      <c r="C432" s="32" t="s">
        <v>1049</v>
      </c>
      <c r="D432" s="32" t="s">
        <v>2002</v>
      </c>
      <c r="E432" s="32" t="s">
        <v>1471</v>
      </c>
      <c r="F432" s="32" t="s">
        <v>1751</v>
      </c>
      <c r="G432" s="32">
        <f>IFERROR(INDEX(Ship!A$31:B$4500,MATCH(C432,Ship!A$31:A$4500,0),2),0)</f>
        <v>97</v>
      </c>
    </row>
    <row r="433" spans="1:7" x14ac:dyDescent="0.3">
      <c r="A433" s="32" t="s">
        <v>1795</v>
      </c>
      <c r="B433" s="32" t="s">
        <v>1796</v>
      </c>
      <c r="C433" s="32" t="s">
        <v>1757</v>
      </c>
      <c r="D433" s="32" t="s">
        <v>2000</v>
      </c>
      <c r="E433" s="32" t="s">
        <v>1471</v>
      </c>
      <c r="F433" s="32" t="s">
        <v>1751</v>
      </c>
      <c r="G433" s="32">
        <f>IFERROR(INDEX(Ship!A$31:B$4500,MATCH(C433,Ship!A$31:A$4500,0),2),0)</f>
        <v>0</v>
      </c>
    </row>
    <row r="434" spans="1:7" x14ac:dyDescent="0.3">
      <c r="A434" s="32" t="s">
        <v>1795</v>
      </c>
      <c r="B434" s="32" t="s">
        <v>1796</v>
      </c>
      <c r="C434" s="32" t="s">
        <v>1059</v>
      </c>
      <c r="D434" s="32" t="s">
        <v>1998</v>
      </c>
      <c r="E434" s="32" t="s">
        <v>1471</v>
      </c>
      <c r="F434" s="32" t="s">
        <v>1751</v>
      </c>
      <c r="G434" s="32">
        <f>IFERROR(INDEX(Ship!A$31:B$4500,MATCH(C434,Ship!A$31:A$4500,0),2),0)</f>
        <v>0</v>
      </c>
    </row>
    <row r="435" spans="1:7" x14ac:dyDescent="0.3">
      <c r="A435" s="32" t="s">
        <v>1795</v>
      </c>
      <c r="B435" s="32" t="s">
        <v>1796</v>
      </c>
      <c r="C435" s="32" t="s">
        <v>1068</v>
      </c>
      <c r="D435" s="32" t="s">
        <v>1996</v>
      </c>
      <c r="E435" s="32" t="s">
        <v>1471</v>
      </c>
      <c r="F435" s="32" t="s">
        <v>1751</v>
      </c>
      <c r="G435" s="32">
        <f>IFERROR(INDEX(Ship!A$31:B$4500,MATCH(C435,Ship!A$31:A$4500,0),2),0)</f>
        <v>0</v>
      </c>
    </row>
    <row r="436" spans="1:7" x14ac:dyDescent="0.3">
      <c r="A436" s="32" t="s">
        <v>1795</v>
      </c>
      <c r="B436" s="32" t="s">
        <v>1796</v>
      </c>
      <c r="C436" s="32" t="s">
        <v>1069</v>
      </c>
      <c r="D436" s="32" t="s">
        <v>1995</v>
      </c>
      <c r="E436" s="32" t="s">
        <v>1471</v>
      </c>
      <c r="F436" s="32" t="s">
        <v>1751</v>
      </c>
      <c r="G436" s="32">
        <f>IFERROR(INDEX(Ship!A$31:B$4500,MATCH(C436,Ship!A$31:A$4500,0),2),0)</f>
        <v>0</v>
      </c>
    </row>
    <row r="437" spans="1:7" x14ac:dyDescent="0.3">
      <c r="A437" s="32" t="s">
        <v>1795</v>
      </c>
      <c r="B437" s="32" t="s">
        <v>1796</v>
      </c>
      <c r="C437" s="32" t="s">
        <v>1078</v>
      </c>
      <c r="D437" s="32" t="s">
        <v>1993</v>
      </c>
      <c r="E437" s="32" t="s">
        <v>1471</v>
      </c>
      <c r="F437" s="32" t="s">
        <v>1751</v>
      </c>
      <c r="G437" s="32">
        <f>IFERROR(INDEX(Ship!A$31:B$4500,MATCH(C437,Ship!A$31:A$4500,0),2),0)</f>
        <v>0</v>
      </c>
    </row>
    <row r="438" spans="1:7" x14ac:dyDescent="0.3">
      <c r="A438" s="32" t="s">
        <v>1795</v>
      </c>
      <c r="B438" s="32" t="s">
        <v>1796</v>
      </c>
      <c r="C438" s="32" t="s">
        <v>1087</v>
      </c>
      <c r="D438" s="32" t="s">
        <v>1991</v>
      </c>
      <c r="E438" s="32" t="s">
        <v>1471</v>
      </c>
      <c r="F438" s="32" t="s">
        <v>1751</v>
      </c>
      <c r="G438" s="32">
        <f>IFERROR(INDEX(Ship!A$31:B$4500,MATCH(C438,Ship!A$31:A$4500,0),2),0)</f>
        <v>0</v>
      </c>
    </row>
    <row r="439" spans="1:7" x14ac:dyDescent="0.3">
      <c r="A439" s="32" t="s">
        <v>1795</v>
      </c>
      <c r="B439" s="32" t="s">
        <v>1796</v>
      </c>
      <c r="C439" s="32" t="s">
        <v>1096</v>
      </c>
      <c r="D439" s="32" t="s">
        <v>1989</v>
      </c>
      <c r="E439" s="32" t="s">
        <v>1471</v>
      </c>
      <c r="F439" s="32" t="s">
        <v>1751</v>
      </c>
      <c r="G439" s="32">
        <f>IFERROR(INDEX(Ship!A$31:B$4500,MATCH(C439,Ship!A$31:A$4500,0),2),0)</f>
        <v>0</v>
      </c>
    </row>
    <row r="440" spans="1:7" x14ac:dyDescent="0.3">
      <c r="A440" s="32" t="s">
        <v>1795</v>
      </c>
      <c r="B440" s="32" t="s">
        <v>1796</v>
      </c>
      <c r="C440" s="32" t="s">
        <v>1105</v>
      </c>
      <c r="D440" s="32" t="s">
        <v>1987</v>
      </c>
      <c r="E440" s="32" t="s">
        <v>1471</v>
      </c>
      <c r="F440" s="32" t="s">
        <v>1751</v>
      </c>
      <c r="G440" s="32">
        <f>IFERROR(INDEX(Ship!A$31:B$4500,MATCH(C440,Ship!A$31:A$4500,0),2),0)</f>
        <v>0</v>
      </c>
    </row>
    <row r="441" spans="1:7" x14ac:dyDescent="0.3">
      <c r="A441" s="32" t="s">
        <v>1795</v>
      </c>
      <c r="B441" s="32" t="s">
        <v>1796</v>
      </c>
      <c r="C441" s="32" t="s">
        <v>1114</v>
      </c>
      <c r="D441" s="32" t="s">
        <v>1985</v>
      </c>
      <c r="E441" s="32" t="s">
        <v>1471</v>
      </c>
      <c r="F441" s="32" t="s">
        <v>1751</v>
      </c>
      <c r="G441" s="32">
        <f>IFERROR(INDEX(Ship!A$31:B$4500,MATCH(C441,Ship!A$31:A$4500,0),2),0)</f>
        <v>0</v>
      </c>
    </row>
    <row r="442" spans="1:7" x14ac:dyDescent="0.3">
      <c r="A442" s="32" t="s">
        <v>1795</v>
      </c>
      <c r="B442" s="32" t="s">
        <v>1796</v>
      </c>
      <c r="C442" s="32" t="s">
        <v>1758</v>
      </c>
      <c r="D442" s="32" t="s">
        <v>1983</v>
      </c>
      <c r="E442" s="32" t="s">
        <v>1471</v>
      </c>
      <c r="F442" s="32" t="s">
        <v>1751</v>
      </c>
      <c r="G442" s="32">
        <f>IFERROR(INDEX(Ship!A$31:B$4500,MATCH(C442,Ship!A$31:A$4500,0),2),0)</f>
        <v>0</v>
      </c>
    </row>
    <row r="443" spans="1:7" x14ac:dyDescent="0.3">
      <c r="A443" s="32" t="s">
        <v>1795</v>
      </c>
      <c r="B443" s="32" t="s">
        <v>1796</v>
      </c>
      <c r="C443" s="32" t="s">
        <v>1123</v>
      </c>
      <c r="D443" s="32" t="s">
        <v>1982</v>
      </c>
      <c r="E443" s="32" t="s">
        <v>1471</v>
      </c>
      <c r="F443" s="32" t="s">
        <v>1751</v>
      </c>
      <c r="G443" s="32">
        <f>IFERROR(INDEX(Ship!A$31:B$4500,MATCH(C443,Ship!A$31:A$4500,0),2),0)</f>
        <v>0</v>
      </c>
    </row>
    <row r="444" spans="1:7" x14ac:dyDescent="0.3">
      <c r="A444" s="32" t="s">
        <v>1795</v>
      </c>
      <c r="B444" s="32" t="s">
        <v>1796</v>
      </c>
      <c r="C444" s="32" t="s">
        <v>1573</v>
      </c>
      <c r="D444" s="32" t="s">
        <v>2055</v>
      </c>
      <c r="E444" s="32" t="s">
        <v>1471</v>
      </c>
      <c r="F444" s="32" t="s">
        <v>1751</v>
      </c>
      <c r="G444" s="32">
        <f>IFERROR(INDEX(Ship!A$31:B$4500,MATCH(C444,Ship!A$31:A$4500,0),2),0)</f>
        <v>22</v>
      </c>
    </row>
    <row r="445" spans="1:7" x14ac:dyDescent="0.3">
      <c r="A445" s="32" t="s">
        <v>1795</v>
      </c>
      <c r="B445" s="32" t="s">
        <v>1796</v>
      </c>
      <c r="C445" s="32" t="s">
        <v>1574</v>
      </c>
      <c r="D445" s="32" t="s">
        <v>2058</v>
      </c>
      <c r="E445" s="32" t="s">
        <v>1471</v>
      </c>
      <c r="F445" s="32" t="s">
        <v>1751</v>
      </c>
      <c r="G445" s="32">
        <f>IFERROR(INDEX(Ship!A$31:B$4500,MATCH(C445,Ship!A$31:A$4500,0),2),0)</f>
        <v>0</v>
      </c>
    </row>
    <row r="446" spans="1:7" x14ac:dyDescent="0.3">
      <c r="A446" s="32" t="s">
        <v>1795</v>
      </c>
      <c r="B446" s="32" t="s">
        <v>1796</v>
      </c>
      <c r="C446" s="32" t="s">
        <v>1577</v>
      </c>
      <c r="D446" s="32" t="s">
        <v>2061</v>
      </c>
      <c r="E446" s="32" t="s">
        <v>1471</v>
      </c>
      <c r="F446" s="32" t="s">
        <v>1751</v>
      </c>
      <c r="G446" s="32">
        <f>IFERROR(INDEX(Ship!A$31:B$4500,MATCH(C446,Ship!A$31:A$4500,0),2),0)</f>
        <v>1256</v>
      </c>
    </row>
    <row r="447" spans="1:7" x14ac:dyDescent="0.3">
      <c r="A447" s="32" t="s">
        <v>1795</v>
      </c>
      <c r="B447" s="32" t="s">
        <v>1796</v>
      </c>
      <c r="C447" s="32" t="s">
        <v>1579</v>
      </c>
      <c r="D447" s="32" t="s">
        <v>2064</v>
      </c>
      <c r="E447" s="32" t="s">
        <v>1471</v>
      </c>
      <c r="F447" s="32" t="s">
        <v>1751</v>
      </c>
      <c r="G447" s="32">
        <f>IFERROR(INDEX(Ship!A$31:B$4500,MATCH(C447,Ship!A$31:A$4500,0),2),0)</f>
        <v>708</v>
      </c>
    </row>
    <row r="448" spans="1:7" x14ac:dyDescent="0.3">
      <c r="A448" s="32" t="s">
        <v>1795</v>
      </c>
      <c r="B448" s="32" t="s">
        <v>1796</v>
      </c>
      <c r="C448" s="32" t="s">
        <v>1580</v>
      </c>
      <c r="D448" s="32" t="s">
        <v>2067</v>
      </c>
      <c r="E448" s="32" t="s">
        <v>1471</v>
      </c>
      <c r="F448" s="32" t="s">
        <v>1751</v>
      </c>
      <c r="G448" s="32">
        <f>IFERROR(INDEX(Ship!A$31:B$4500,MATCH(C448,Ship!A$31:A$4500,0),2),0)</f>
        <v>2103</v>
      </c>
    </row>
    <row r="449" spans="1:7" x14ac:dyDescent="0.3">
      <c r="A449" s="32" t="s">
        <v>1795</v>
      </c>
      <c r="B449" s="32" t="s">
        <v>1796</v>
      </c>
      <c r="C449" s="32" t="s">
        <v>1582</v>
      </c>
      <c r="D449" s="32" t="s">
        <v>2070</v>
      </c>
      <c r="E449" s="32" t="s">
        <v>1471</v>
      </c>
      <c r="F449" s="32" t="s">
        <v>1751</v>
      </c>
      <c r="G449" s="32">
        <f>IFERROR(INDEX(Ship!A$31:B$4500,MATCH(C449,Ship!A$31:A$4500,0),2),0)</f>
        <v>59</v>
      </c>
    </row>
    <row r="450" spans="1:7" x14ac:dyDescent="0.3">
      <c r="A450" s="32" t="s">
        <v>1795</v>
      </c>
      <c r="B450" s="32" t="s">
        <v>1796</v>
      </c>
      <c r="C450" s="32" t="s">
        <v>1584</v>
      </c>
      <c r="D450" s="32" t="s">
        <v>2073</v>
      </c>
      <c r="E450" s="32" t="s">
        <v>1471</v>
      </c>
      <c r="F450" s="32" t="s">
        <v>1751</v>
      </c>
      <c r="G450" s="32">
        <f>IFERROR(INDEX(Ship!A$31:B$4500,MATCH(C450,Ship!A$31:A$4500,0),2),0)</f>
        <v>358</v>
      </c>
    </row>
    <row r="451" spans="1:7" x14ac:dyDescent="0.3">
      <c r="A451" s="32" t="s">
        <v>1795</v>
      </c>
      <c r="B451" s="32" t="s">
        <v>1796</v>
      </c>
      <c r="C451" s="32" t="s">
        <v>1586</v>
      </c>
      <c r="D451" s="32" t="s">
        <v>2076</v>
      </c>
      <c r="E451" s="32" t="s">
        <v>1471</v>
      </c>
      <c r="F451" s="32" t="s">
        <v>1751</v>
      </c>
      <c r="G451" s="32">
        <f>IFERROR(INDEX(Ship!A$31:B$4500,MATCH(C451,Ship!A$31:A$4500,0),2),0)</f>
        <v>3</v>
      </c>
    </row>
    <row r="452" spans="1:7" x14ac:dyDescent="0.3">
      <c r="A452" s="32" t="s">
        <v>1795</v>
      </c>
      <c r="B452" s="32" t="s">
        <v>1796</v>
      </c>
      <c r="C452" s="32" t="s">
        <v>1588</v>
      </c>
      <c r="D452" s="32" t="s">
        <v>2079</v>
      </c>
      <c r="E452" s="32" t="s">
        <v>1471</v>
      </c>
      <c r="F452" s="32" t="s">
        <v>1751</v>
      </c>
      <c r="G452" s="32">
        <f>IFERROR(INDEX(Ship!A$31:B$4500,MATCH(C452,Ship!A$31:A$4500,0),2),0)</f>
        <v>476</v>
      </c>
    </row>
    <row r="453" spans="1:7" x14ac:dyDescent="0.3">
      <c r="A453" s="32" t="s">
        <v>1795</v>
      </c>
      <c r="B453" s="32" t="s">
        <v>1796</v>
      </c>
      <c r="C453" s="32" t="s">
        <v>1590</v>
      </c>
      <c r="D453" s="32" t="s">
        <v>2082</v>
      </c>
      <c r="E453" s="32" t="s">
        <v>1471</v>
      </c>
      <c r="F453" s="32" t="s">
        <v>1751</v>
      </c>
      <c r="G453" s="32">
        <f>IFERROR(INDEX(Ship!A$31:B$4500,MATCH(C453,Ship!A$31:A$4500,0),2),0)</f>
        <v>864</v>
      </c>
    </row>
    <row r="454" spans="1:7" x14ac:dyDescent="0.3">
      <c r="A454" s="32" t="s">
        <v>1795</v>
      </c>
      <c r="B454" s="32" t="s">
        <v>1796</v>
      </c>
      <c r="C454" s="32" t="s">
        <v>1592</v>
      </c>
      <c r="D454" s="32" t="s">
        <v>2085</v>
      </c>
      <c r="E454" s="32" t="s">
        <v>1471</v>
      </c>
      <c r="F454" s="32" t="s">
        <v>1751</v>
      </c>
      <c r="G454" s="32">
        <f>IFERROR(INDEX(Ship!A$31:B$4500,MATCH(C454,Ship!A$31:A$4500,0),2),0)</f>
        <v>946</v>
      </c>
    </row>
    <row r="455" spans="1:7" x14ac:dyDescent="0.3">
      <c r="A455" s="32" t="s">
        <v>1795</v>
      </c>
      <c r="B455" s="32" t="s">
        <v>1796</v>
      </c>
      <c r="C455" s="32" t="s">
        <v>1594</v>
      </c>
      <c r="D455" s="32" t="s">
        <v>2088</v>
      </c>
      <c r="E455" s="32" t="s">
        <v>1471</v>
      </c>
      <c r="F455" s="32" t="s">
        <v>1751</v>
      </c>
      <c r="G455" s="32">
        <f>IFERROR(INDEX(Ship!A$31:B$4500,MATCH(C455,Ship!A$31:A$4500,0),2),0)</f>
        <v>555</v>
      </c>
    </row>
    <row r="456" spans="1:7" x14ac:dyDescent="0.3">
      <c r="A456" s="32" t="s">
        <v>1795</v>
      </c>
      <c r="B456" s="32" t="s">
        <v>1796</v>
      </c>
      <c r="C456" s="32" t="s">
        <v>2698</v>
      </c>
      <c r="D456" s="32" t="s">
        <v>2091</v>
      </c>
      <c r="E456" s="32" t="s">
        <v>1471</v>
      </c>
      <c r="F456" s="32" t="s">
        <v>1751</v>
      </c>
      <c r="G456" s="32">
        <f>IFERROR(INDEX(Ship!A$31:B$4500,MATCH(C456,Ship!A$31:A$4500,0),2),0)</f>
        <v>685</v>
      </c>
    </row>
    <row r="457" spans="1:7" x14ac:dyDescent="0.3">
      <c r="A457" s="32" t="s">
        <v>1795</v>
      </c>
      <c r="B457" s="32" t="s">
        <v>1796</v>
      </c>
      <c r="C457" s="32" t="s">
        <v>1596</v>
      </c>
      <c r="D457" s="32" t="s">
        <v>2094</v>
      </c>
      <c r="E457" s="32" t="s">
        <v>1471</v>
      </c>
      <c r="F457" s="32" t="s">
        <v>1751</v>
      </c>
      <c r="G457" s="32">
        <f>IFERROR(INDEX(Ship!A$31:B$4500,MATCH(C457,Ship!A$31:A$4500,0),2),0)</f>
        <v>155</v>
      </c>
    </row>
    <row r="458" spans="1:7" x14ac:dyDescent="0.3">
      <c r="A458" s="32" t="s">
        <v>1795</v>
      </c>
      <c r="B458" s="32" t="s">
        <v>1796</v>
      </c>
      <c r="C458" s="32" t="s">
        <v>2699</v>
      </c>
      <c r="D458" s="32" t="s">
        <v>2097</v>
      </c>
      <c r="E458" s="32" t="s">
        <v>1471</v>
      </c>
      <c r="F458" s="32" t="s">
        <v>1751</v>
      </c>
      <c r="G458" s="32">
        <f>IFERROR(INDEX(Ship!A$31:B$4500,MATCH(C458,Ship!A$31:A$4500,0),2),0)</f>
        <v>819</v>
      </c>
    </row>
    <row r="459" spans="1:7" x14ac:dyDescent="0.3">
      <c r="A459" s="32" t="s">
        <v>1795</v>
      </c>
      <c r="B459" s="32" t="s">
        <v>1796</v>
      </c>
      <c r="C459" s="32" t="s">
        <v>1598</v>
      </c>
      <c r="D459" s="32" t="s">
        <v>2100</v>
      </c>
      <c r="E459" s="32" t="s">
        <v>1471</v>
      </c>
      <c r="F459" s="32" t="s">
        <v>1751</v>
      </c>
      <c r="G459" s="32">
        <f>IFERROR(INDEX(Ship!A$31:B$4500,MATCH(C459,Ship!A$31:A$4500,0),2),0)</f>
        <v>98</v>
      </c>
    </row>
    <row r="460" spans="1:7" x14ac:dyDescent="0.3">
      <c r="A460" s="32" t="s">
        <v>1795</v>
      </c>
      <c r="B460" s="32" t="s">
        <v>1796</v>
      </c>
      <c r="C460" s="32" t="s">
        <v>2700</v>
      </c>
      <c r="D460" s="32" t="s">
        <v>2103</v>
      </c>
      <c r="E460" s="32" t="s">
        <v>1471</v>
      </c>
      <c r="F460" s="32" t="s">
        <v>1751</v>
      </c>
      <c r="G460" s="32">
        <f>IFERROR(INDEX(Ship!A$31:B$4500,MATCH(C460,Ship!A$31:A$4500,0),2),0)</f>
        <v>51</v>
      </c>
    </row>
    <row r="461" spans="1:7" x14ac:dyDescent="0.3">
      <c r="A461" s="32" t="s">
        <v>1795</v>
      </c>
      <c r="B461" s="32" t="s">
        <v>1796</v>
      </c>
      <c r="C461" s="32" t="s">
        <v>1600</v>
      </c>
      <c r="D461" s="32" t="s">
        <v>2106</v>
      </c>
      <c r="E461" s="32" t="s">
        <v>1471</v>
      </c>
      <c r="F461" s="32" t="s">
        <v>1751</v>
      </c>
      <c r="G461" s="32">
        <f>IFERROR(INDEX(Ship!A$31:B$4500,MATCH(C461,Ship!A$31:A$4500,0),2),0)</f>
        <v>0</v>
      </c>
    </row>
    <row r="462" spans="1:7" x14ac:dyDescent="0.3">
      <c r="A462" s="32" t="s">
        <v>1795</v>
      </c>
      <c r="B462" s="32" t="s">
        <v>1796</v>
      </c>
      <c r="C462" s="32" t="s">
        <v>2701</v>
      </c>
      <c r="D462" s="32" t="s">
        <v>2109</v>
      </c>
      <c r="E462" s="32" t="s">
        <v>1471</v>
      </c>
      <c r="F462" s="32" t="s">
        <v>1751</v>
      </c>
      <c r="G462" s="32">
        <f>IFERROR(INDEX(Ship!A$31:B$4500,MATCH(C462,Ship!A$31:A$4500,0),2),0)</f>
        <v>343</v>
      </c>
    </row>
    <row r="463" spans="1:7" x14ac:dyDescent="0.3">
      <c r="A463" s="32" t="s">
        <v>1795</v>
      </c>
      <c r="B463" s="32" t="s">
        <v>1796</v>
      </c>
      <c r="C463" s="32" t="s">
        <v>1602</v>
      </c>
      <c r="D463" s="32" t="s">
        <v>2112</v>
      </c>
      <c r="E463" s="32" t="s">
        <v>1471</v>
      </c>
      <c r="F463" s="32" t="s">
        <v>1751</v>
      </c>
      <c r="G463" s="32">
        <f>IFERROR(INDEX(Ship!A$31:B$4500,MATCH(C463,Ship!A$31:A$4500,0),2),0)</f>
        <v>0</v>
      </c>
    </row>
    <row r="464" spans="1:7" x14ac:dyDescent="0.3">
      <c r="A464" s="32" t="s">
        <v>1795</v>
      </c>
      <c r="B464" s="32" t="s">
        <v>1796</v>
      </c>
      <c r="C464" s="32" t="s">
        <v>2702</v>
      </c>
      <c r="D464" s="32" t="s">
        <v>2115</v>
      </c>
      <c r="E464" s="32" t="s">
        <v>1471</v>
      </c>
      <c r="F464" s="32" t="s">
        <v>1751</v>
      </c>
      <c r="G464" s="32">
        <f>IFERROR(INDEX(Ship!A$31:B$4500,MATCH(C464,Ship!A$31:A$4500,0),2),0)</f>
        <v>776</v>
      </c>
    </row>
    <row r="465" spans="1:7" x14ac:dyDescent="0.3">
      <c r="A465" s="32" t="s">
        <v>1795</v>
      </c>
      <c r="B465" s="32" t="s">
        <v>1796</v>
      </c>
      <c r="C465" s="32" t="s">
        <v>1604</v>
      </c>
      <c r="D465" s="32" t="s">
        <v>2118</v>
      </c>
      <c r="E465" s="32" t="s">
        <v>1471</v>
      </c>
      <c r="F465" s="32" t="s">
        <v>1751</v>
      </c>
      <c r="G465" s="32">
        <f>IFERROR(INDEX(Ship!A$31:B$4500,MATCH(C465,Ship!A$31:A$4500,0),2),0)</f>
        <v>0</v>
      </c>
    </row>
    <row r="466" spans="1:7" x14ac:dyDescent="0.3">
      <c r="A466" s="32" t="s">
        <v>1795</v>
      </c>
      <c r="B466" s="32" t="s">
        <v>1796</v>
      </c>
      <c r="C466" s="32" t="s">
        <v>2703</v>
      </c>
      <c r="D466" s="32" t="s">
        <v>2121</v>
      </c>
      <c r="E466" s="32" t="s">
        <v>1471</v>
      </c>
      <c r="F466" s="32" t="s">
        <v>1751</v>
      </c>
      <c r="G466" s="32">
        <f>IFERROR(INDEX(Ship!A$31:B$4500,MATCH(C466,Ship!A$31:A$4500,0),2),0)</f>
        <v>1309</v>
      </c>
    </row>
    <row r="467" spans="1:7" x14ac:dyDescent="0.3">
      <c r="A467" s="32" t="s">
        <v>1795</v>
      </c>
      <c r="B467" s="32" t="s">
        <v>1796</v>
      </c>
      <c r="C467" s="32" t="s">
        <v>1606</v>
      </c>
      <c r="D467" s="32" t="s">
        <v>2124</v>
      </c>
      <c r="E467" s="32" t="s">
        <v>1471</v>
      </c>
      <c r="F467" s="32" t="s">
        <v>1751</v>
      </c>
      <c r="G467" s="32">
        <f>IFERROR(INDEX(Ship!A$31:B$4500,MATCH(C467,Ship!A$31:A$4500,0),2),0)</f>
        <v>19</v>
      </c>
    </row>
    <row r="468" spans="1:7" x14ac:dyDescent="0.3">
      <c r="A468" s="32" t="s">
        <v>1795</v>
      </c>
      <c r="B468" s="32" t="s">
        <v>1796</v>
      </c>
      <c r="C468" s="32" t="s">
        <v>2704</v>
      </c>
      <c r="D468" s="32" t="s">
        <v>2127</v>
      </c>
      <c r="E468" s="32" t="s">
        <v>1471</v>
      </c>
      <c r="F468" s="32" t="s">
        <v>1751</v>
      </c>
      <c r="G468" s="32">
        <f>IFERROR(INDEX(Ship!A$31:B$4500,MATCH(C468,Ship!A$31:A$4500,0),2),0)</f>
        <v>4</v>
      </c>
    </row>
    <row r="469" spans="1:7" x14ac:dyDescent="0.3">
      <c r="A469" s="32" t="s">
        <v>1795</v>
      </c>
      <c r="B469" s="32" t="s">
        <v>1796</v>
      </c>
      <c r="C469" s="32" t="s">
        <v>1608</v>
      </c>
      <c r="D469" s="32" t="s">
        <v>2130</v>
      </c>
      <c r="E469" s="32" t="s">
        <v>1471</v>
      </c>
      <c r="F469" s="32" t="s">
        <v>1751</v>
      </c>
      <c r="G469" s="32">
        <f>IFERROR(INDEX(Ship!A$31:B$4500,MATCH(C469,Ship!A$31:A$4500,0),2),0)</f>
        <v>0</v>
      </c>
    </row>
    <row r="470" spans="1:7" x14ac:dyDescent="0.3">
      <c r="A470" s="32" t="s">
        <v>1795</v>
      </c>
      <c r="B470" s="32" t="s">
        <v>1796</v>
      </c>
      <c r="C470" s="32" t="s">
        <v>2705</v>
      </c>
      <c r="D470" s="32" t="s">
        <v>2133</v>
      </c>
      <c r="E470" s="32" t="s">
        <v>1471</v>
      </c>
      <c r="F470" s="32" t="s">
        <v>1751</v>
      </c>
      <c r="G470" s="32">
        <f>IFERROR(INDEX(Ship!A$31:B$4500,MATCH(C470,Ship!A$31:A$4500,0),2),0)</f>
        <v>1741</v>
      </c>
    </row>
    <row r="471" spans="1:7" x14ac:dyDescent="0.3">
      <c r="A471" s="32" t="s">
        <v>1795</v>
      </c>
      <c r="B471" s="32" t="s">
        <v>1796</v>
      </c>
      <c r="C471" s="32" t="s">
        <v>2706</v>
      </c>
      <c r="D471" s="32" t="s">
        <v>2136</v>
      </c>
      <c r="E471" s="32" t="s">
        <v>1471</v>
      </c>
      <c r="F471" s="32" t="s">
        <v>1751</v>
      </c>
      <c r="G471" s="32">
        <f>IFERROR(INDEX(Ship!A$31:B$4500,MATCH(C471,Ship!A$31:A$4500,0),2),0)</f>
        <v>6</v>
      </c>
    </row>
    <row r="472" spans="1:7" x14ac:dyDescent="0.3">
      <c r="A472" s="32" t="s">
        <v>1795</v>
      </c>
      <c r="B472" s="32" t="s">
        <v>1796</v>
      </c>
      <c r="C472" s="32" t="s">
        <v>2707</v>
      </c>
      <c r="D472" s="32" t="s">
        <v>2139</v>
      </c>
      <c r="E472" s="32" t="s">
        <v>1471</v>
      </c>
      <c r="F472" s="32" t="s">
        <v>1751</v>
      </c>
      <c r="G472" s="32">
        <f>IFERROR(INDEX(Ship!A$31:B$4500,MATCH(C472,Ship!A$31:A$4500,0),2),0)</f>
        <v>924</v>
      </c>
    </row>
    <row r="473" spans="1:7" x14ac:dyDescent="0.3">
      <c r="A473" s="32" t="s">
        <v>1795</v>
      </c>
      <c r="B473" s="32" t="s">
        <v>1796</v>
      </c>
      <c r="C473" s="32" t="s">
        <v>2708</v>
      </c>
      <c r="D473" s="32" t="s">
        <v>2142</v>
      </c>
      <c r="E473" s="32" t="s">
        <v>1471</v>
      </c>
      <c r="F473" s="32" t="s">
        <v>1751</v>
      </c>
      <c r="G473" s="32">
        <f>IFERROR(INDEX(Ship!A$31:B$4500,MATCH(C473,Ship!A$31:A$4500,0),2),0)</f>
        <v>0</v>
      </c>
    </row>
    <row r="474" spans="1:7" x14ac:dyDescent="0.3">
      <c r="A474" s="32" t="s">
        <v>1795</v>
      </c>
      <c r="B474" s="32" t="s">
        <v>1796</v>
      </c>
      <c r="C474" s="32" t="s">
        <v>2709</v>
      </c>
      <c r="D474" s="32" t="s">
        <v>2145</v>
      </c>
      <c r="E474" s="32" t="s">
        <v>1471</v>
      </c>
      <c r="F474" s="32" t="s">
        <v>1751</v>
      </c>
      <c r="G474" s="32">
        <f>IFERROR(INDEX(Ship!A$31:B$4500,MATCH(C474,Ship!A$31:A$4500,0),2),0)</f>
        <v>65</v>
      </c>
    </row>
    <row r="475" spans="1:7" x14ac:dyDescent="0.3">
      <c r="A475" s="32" t="s">
        <v>1795</v>
      </c>
      <c r="B475" s="32" t="s">
        <v>1796</v>
      </c>
      <c r="C475" s="32" t="s">
        <v>2710</v>
      </c>
      <c r="D475" s="32" t="s">
        <v>2148</v>
      </c>
      <c r="E475" s="32" t="s">
        <v>1471</v>
      </c>
      <c r="F475" s="32" t="s">
        <v>1751</v>
      </c>
      <c r="G475" s="32">
        <f>IFERROR(INDEX(Ship!A$31:B$4500,MATCH(C475,Ship!A$31:A$4500,0),2),0)</f>
        <v>0</v>
      </c>
    </row>
    <row r="476" spans="1:7" x14ac:dyDescent="0.3">
      <c r="A476" s="32" t="s">
        <v>1795</v>
      </c>
      <c r="B476" s="32" t="s">
        <v>1796</v>
      </c>
      <c r="C476" s="32" t="s">
        <v>1373</v>
      </c>
      <c r="D476" s="32" t="s">
        <v>1474</v>
      </c>
      <c r="E476" s="32" t="s">
        <v>1471</v>
      </c>
      <c r="F476" s="32" t="s">
        <v>1751</v>
      </c>
      <c r="G476" s="32">
        <f>IFERROR(INDEX(Ship!A$31:B$4500,MATCH(C476,Ship!A$31:A$4500,0),2),0)</f>
        <v>356</v>
      </c>
    </row>
    <row r="477" spans="1:7" x14ac:dyDescent="0.3">
      <c r="A477" s="32" t="s">
        <v>1795</v>
      </c>
      <c r="B477" s="32" t="s">
        <v>1796</v>
      </c>
      <c r="C477" s="32" t="s">
        <v>1612</v>
      </c>
      <c r="D477" s="32" t="s">
        <v>2153</v>
      </c>
      <c r="E477" s="32" t="s">
        <v>1471</v>
      </c>
      <c r="F477" s="32" t="s">
        <v>1751</v>
      </c>
      <c r="G477" s="32">
        <f>IFERROR(INDEX(Ship!A$31:B$4500,MATCH(C477,Ship!A$31:A$4500,0),2),0)</f>
        <v>0</v>
      </c>
    </row>
    <row r="478" spans="1:7" x14ac:dyDescent="0.3">
      <c r="A478" s="32" t="s">
        <v>1795</v>
      </c>
      <c r="B478" s="32" t="s">
        <v>1796</v>
      </c>
      <c r="C478" s="32" t="s">
        <v>1763</v>
      </c>
      <c r="D478" s="32" t="s">
        <v>1475</v>
      </c>
      <c r="E478" s="32" t="s">
        <v>1471</v>
      </c>
      <c r="F478" s="32" t="s">
        <v>1751</v>
      </c>
      <c r="G478" s="32">
        <f>IFERROR(INDEX(Ship!A$31:B$4500,MATCH(C478,Ship!A$31:A$4500,0),2),0)</f>
        <v>78</v>
      </c>
    </row>
    <row r="479" spans="1:7" x14ac:dyDescent="0.3">
      <c r="A479" s="32" t="s">
        <v>1795</v>
      </c>
      <c r="B479" s="32" t="s">
        <v>1796</v>
      </c>
      <c r="C479" s="32" t="s">
        <v>1616</v>
      </c>
      <c r="D479" s="32" t="s">
        <v>2158</v>
      </c>
      <c r="E479" s="32" t="s">
        <v>1471</v>
      </c>
      <c r="F479" s="32" t="s">
        <v>1751</v>
      </c>
      <c r="G479" s="32">
        <f>IFERROR(INDEX(Ship!A$31:B$4500,MATCH(C479,Ship!A$31:A$4500,0),2),0)</f>
        <v>0</v>
      </c>
    </row>
    <row r="480" spans="1:7" x14ac:dyDescent="0.3">
      <c r="A480" s="32" t="s">
        <v>1795</v>
      </c>
      <c r="B480" s="32" t="s">
        <v>1796</v>
      </c>
      <c r="C480" s="32" t="s">
        <v>1764</v>
      </c>
      <c r="D480" s="32" t="s">
        <v>1476</v>
      </c>
      <c r="E480" s="32" t="s">
        <v>1471</v>
      </c>
      <c r="F480" s="32" t="s">
        <v>1751</v>
      </c>
      <c r="G480" s="32">
        <f>IFERROR(INDEX(Ship!A$31:B$4500,MATCH(C480,Ship!A$31:A$4500,0),2),0)</f>
        <v>0</v>
      </c>
    </row>
    <row r="481" spans="1:7" x14ac:dyDescent="0.3">
      <c r="A481" s="32" t="s">
        <v>1795</v>
      </c>
      <c r="B481" s="32" t="s">
        <v>1796</v>
      </c>
      <c r="C481" s="32" t="s">
        <v>1620</v>
      </c>
      <c r="D481" s="32" t="s">
        <v>2163</v>
      </c>
      <c r="E481" s="32" t="s">
        <v>1471</v>
      </c>
      <c r="F481" s="32" t="s">
        <v>1751</v>
      </c>
      <c r="G481" s="32">
        <f>IFERROR(INDEX(Ship!A$31:B$4500,MATCH(C481,Ship!A$31:A$4500,0),2),0)</f>
        <v>0</v>
      </c>
    </row>
    <row r="482" spans="1:7" x14ac:dyDescent="0.3">
      <c r="A482" s="32" t="s">
        <v>1795</v>
      </c>
      <c r="B482" s="32" t="s">
        <v>1796</v>
      </c>
      <c r="C482" s="32" t="s">
        <v>1765</v>
      </c>
      <c r="D482" s="32" t="s">
        <v>1477</v>
      </c>
      <c r="E482" s="32" t="s">
        <v>1471</v>
      </c>
      <c r="F482" s="32" t="s">
        <v>1751</v>
      </c>
      <c r="G482" s="32">
        <f>IFERROR(INDEX(Ship!A$31:B$4500,MATCH(C482,Ship!A$31:A$4500,0),2),0)</f>
        <v>24</v>
      </c>
    </row>
    <row r="483" spans="1:7" x14ac:dyDescent="0.3">
      <c r="A483" s="32" t="s">
        <v>1795</v>
      </c>
      <c r="B483" s="32" t="s">
        <v>1796</v>
      </c>
      <c r="C483" s="32" t="s">
        <v>1624</v>
      </c>
      <c r="D483" s="32" t="s">
        <v>2168</v>
      </c>
      <c r="E483" s="32" t="s">
        <v>1471</v>
      </c>
      <c r="F483" s="32" t="s">
        <v>1751</v>
      </c>
      <c r="G483" s="32">
        <f>IFERROR(INDEX(Ship!A$31:B$4500,MATCH(C483,Ship!A$31:A$4500,0),2),0)</f>
        <v>0</v>
      </c>
    </row>
    <row r="484" spans="1:7" x14ac:dyDescent="0.3">
      <c r="A484" s="32" t="s">
        <v>1795</v>
      </c>
      <c r="B484" s="32" t="s">
        <v>1796</v>
      </c>
      <c r="C484" s="32" t="s">
        <v>1766</v>
      </c>
      <c r="D484" s="32" t="s">
        <v>1478</v>
      </c>
      <c r="E484" s="32" t="s">
        <v>1471</v>
      </c>
      <c r="F484" s="32" t="s">
        <v>1751</v>
      </c>
      <c r="G484" s="32">
        <f>IFERROR(INDEX(Ship!A$31:B$4500,MATCH(C484,Ship!A$31:A$4500,0),2),0)</f>
        <v>3</v>
      </c>
    </row>
    <row r="485" spans="1:7" x14ac:dyDescent="0.3">
      <c r="A485" s="32" t="s">
        <v>1795</v>
      </c>
      <c r="B485" s="32" t="s">
        <v>1796</v>
      </c>
      <c r="C485" s="32" t="s">
        <v>1628</v>
      </c>
      <c r="D485" s="32" t="s">
        <v>2173</v>
      </c>
      <c r="E485" s="32" t="s">
        <v>1471</v>
      </c>
      <c r="F485" s="32" t="s">
        <v>1751</v>
      </c>
      <c r="G485" s="32">
        <f>IFERROR(INDEX(Ship!A$31:B$4500,MATCH(C485,Ship!A$31:A$4500,0),2),0)</f>
        <v>0</v>
      </c>
    </row>
    <row r="486" spans="1:7" x14ac:dyDescent="0.3">
      <c r="A486" s="32" t="s">
        <v>1795</v>
      </c>
      <c r="B486" s="32" t="s">
        <v>1796</v>
      </c>
      <c r="C486" s="32" t="s">
        <v>1767</v>
      </c>
      <c r="D486" s="32" t="s">
        <v>1479</v>
      </c>
      <c r="E486" s="32" t="s">
        <v>1471</v>
      </c>
      <c r="F486" s="32" t="s">
        <v>1751</v>
      </c>
      <c r="G486" s="32">
        <f>IFERROR(INDEX(Ship!A$31:B$4500,MATCH(C486,Ship!A$31:A$4500,0),2),0)</f>
        <v>8</v>
      </c>
    </row>
    <row r="487" spans="1:7" x14ac:dyDescent="0.3">
      <c r="A487" s="32" t="s">
        <v>1795</v>
      </c>
      <c r="B487" s="32" t="s">
        <v>1796</v>
      </c>
      <c r="C487" s="32" t="s">
        <v>1632</v>
      </c>
      <c r="D487" s="32" t="s">
        <v>2178</v>
      </c>
      <c r="E487" s="32" t="s">
        <v>1471</v>
      </c>
      <c r="F487" s="32" t="s">
        <v>1751</v>
      </c>
      <c r="G487" s="32">
        <f>IFERROR(INDEX(Ship!A$31:B$4500,MATCH(C487,Ship!A$31:A$4500,0),2),0)</f>
        <v>0</v>
      </c>
    </row>
    <row r="488" spans="1:7" x14ac:dyDescent="0.3">
      <c r="A488" s="32" t="s">
        <v>1795</v>
      </c>
      <c r="B488" s="32" t="s">
        <v>1796</v>
      </c>
      <c r="C488" s="32" t="s">
        <v>1768</v>
      </c>
      <c r="D488" s="32" t="s">
        <v>1480</v>
      </c>
      <c r="E488" s="32" t="s">
        <v>1471</v>
      </c>
      <c r="F488" s="32" t="s">
        <v>1751</v>
      </c>
      <c r="G488" s="32">
        <f>IFERROR(INDEX(Ship!A$31:B$4500,MATCH(C488,Ship!A$31:A$4500,0),2),0)</f>
        <v>444</v>
      </c>
    </row>
    <row r="489" spans="1:7" x14ac:dyDescent="0.3">
      <c r="A489" s="32" t="s">
        <v>1795</v>
      </c>
      <c r="B489" s="32" t="s">
        <v>1796</v>
      </c>
      <c r="C489" s="32" t="s">
        <v>1636</v>
      </c>
      <c r="D489" s="32" t="s">
        <v>2183</v>
      </c>
      <c r="E489" s="32" t="s">
        <v>1471</v>
      </c>
      <c r="F489" s="32" t="s">
        <v>1751</v>
      </c>
      <c r="G489" s="32">
        <f>IFERROR(INDEX(Ship!A$31:B$4500,MATCH(C489,Ship!A$31:A$4500,0),2),0)</f>
        <v>163</v>
      </c>
    </row>
    <row r="490" spans="1:7" x14ac:dyDescent="0.3">
      <c r="A490" s="32" t="s">
        <v>1795</v>
      </c>
      <c r="B490" s="32" t="s">
        <v>1796</v>
      </c>
      <c r="C490" s="32" t="s">
        <v>1769</v>
      </c>
      <c r="D490" s="32" t="s">
        <v>1481</v>
      </c>
      <c r="E490" s="32" t="s">
        <v>1471</v>
      </c>
      <c r="F490" s="32" t="s">
        <v>1751</v>
      </c>
      <c r="G490" s="32">
        <f>IFERROR(INDEX(Ship!A$31:B$4500,MATCH(C490,Ship!A$31:A$4500,0),2),0)</f>
        <v>1189</v>
      </c>
    </row>
    <row r="491" spans="1:7" x14ac:dyDescent="0.3">
      <c r="A491" s="32" t="s">
        <v>1795</v>
      </c>
      <c r="B491" s="32" t="s">
        <v>1796</v>
      </c>
      <c r="C491" s="32" t="s">
        <v>1640</v>
      </c>
      <c r="D491" s="32" t="s">
        <v>2188</v>
      </c>
      <c r="E491" s="32" t="s">
        <v>1471</v>
      </c>
      <c r="F491" s="32" t="s">
        <v>1751</v>
      </c>
      <c r="G491" s="32">
        <f>IFERROR(INDEX(Ship!A$31:B$4500,MATCH(C491,Ship!A$31:A$4500,0),2),0)</f>
        <v>0</v>
      </c>
    </row>
    <row r="492" spans="1:7" x14ac:dyDescent="0.3">
      <c r="A492" s="32" t="s">
        <v>1795</v>
      </c>
      <c r="B492" s="32" t="s">
        <v>1796</v>
      </c>
      <c r="C492" s="32" t="s">
        <v>1770</v>
      </c>
      <c r="D492" s="32" t="s">
        <v>1482</v>
      </c>
      <c r="E492" s="32" t="s">
        <v>1471</v>
      </c>
      <c r="F492" s="32" t="s">
        <v>1751</v>
      </c>
      <c r="G492" s="32">
        <f>IFERROR(INDEX(Ship!A$31:B$4500,MATCH(C492,Ship!A$31:A$4500,0),2),0)</f>
        <v>523</v>
      </c>
    </row>
    <row r="493" spans="1:7" x14ac:dyDescent="0.3">
      <c r="A493" s="32" t="s">
        <v>1795</v>
      </c>
      <c r="B493" s="32" t="s">
        <v>1796</v>
      </c>
      <c r="C493" s="32" t="s">
        <v>1644</v>
      </c>
      <c r="D493" s="32" t="s">
        <v>2193</v>
      </c>
      <c r="E493" s="32" t="s">
        <v>1471</v>
      </c>
      <c r="F493" s="32" t="s">
        <v>1751</v>
      </c>
      <c r="G493" s="32">
        <f>IFERROR(INDEX(Ship!A$31:B$4500,MATCH(C493,Ship!A$31:A$4500,0),2),0)</f>
        <v>0</v>
      </c>
    </row>
    <row r="494" spans="1:7" x14ac:dyDescent="0.3">
      <c r="A494" s="32" t="s">
        <v>1795</v>
      </c>
      <c r="B494" s="32" t="s">
        <v>1796</v>
      </c>
      <c r="C494" s="32" t="s">
        <v>1771</v>
      </c>
      <c r="D494" s="32" t="s">
        <v>1483</v>
      </c>
      <c r="E494" s="32" t="s">
        <v>1471</v>
      </c>
      <c r="F494" s="32" t="s">
        <v>1751</v>
      </c>
      <c r="G494" s="32">
        <f>IFERROR(INDEX(Ship!A$31:B$4500,MATCH(C494,Ship!A$31:A$4500,0),2),0)</f>
        <v>688</v>
      </c>
    </row>
    <row r="495" spans="1:7" x14ac:dyDescent="0.3">
      <c r="A495" s="32" t="s">
        <v>1795</v>
      </c>
      <c r="B495" s="32" t="s">
        <v>1796</v>
      </c>
      <c r="C495" s="32" t="s">
        <v>1648</v>
      </c>
      <c r="D495" s="32" t="s">
        <v>2198</v>
      </c>
      <c r="E495" s="32" t="s">
        <v>1471</v>
      </c>
      <c r="F495" s="32" t="s">
        <v>1751</v>
      </c>
      <c r="G495" s="32">
        <f>IFERROR(INDEX(Ship!A$31:B$4500,MATCH(C495,Ship!A$31:A$4500,0),2),0)</f>
        <v>0</v>
      </c>
    </row>
    <row r="496" spans="1:7" x14ac:dyDescent="0.3">
      <c r="A496" s="32" t="s">
        <v>1795</v>
      </c>
      <c r="B496" s="32" t="s">
        <v>1796</v>
      </c>
      <c r="C496" s="32" t="s">
        <v>1772</v>
      </c>
      <c r="D496" s="32" t="s">
        <v>1484</v>
      </c>
      <c r="E496" s="32" t="s">
        <v>1471</v>
      </c>
      <c r="F496" s="32" t="s">
        <v>1751</v>
      </c>
      <c r="G496" s="32">
        <f>IFERROR(INDEX(Ship!A$31:B$4500,MATCH(C496,Ship!A$31:A$4500,0),2),0)</f>
        <v>68</v>
      </c>
    </row>
    <row r="497" spans="1:7" x14ac:dyDescent="0.3">
      <c r="A497" s="32" t="s">
        <v>1795</v>
      </c>
      <c r="B497" s="32" t="s">
        <v>1796</v>
      </c>
      <c r="C497" s="32" t="s">
        <v>1652</v>
      </c>
      <c r="D497" s="32" t="s">
        <v>2203</v>
      </c>
      <c r="E497" s="32" t="s">
        <v>1471</v>
      </c>
      <c r="F497" s="32" t="s">
        <v>1751</v>
      </c>
      <c r="G497" s="32">
        <f>IFERROR(INDEX(Ship!A$31:B$4500,MATCH(C497,Ship!A$31:A$4500,0),2),0)</f>
        <v>0</v>
      </c>
    </row>
    <row r="498" spans="1:7" x14ac:dyDescent="0.3">
      <c r="A498" s="32" t="s">
        <v>1795</v>
      </c>
      <c r="B498" s="32" t="s">
        <v>1796</v>
      </c>
      <c r="C498" s="32" t="s">
        <v>1773</v>
      </c>
      <c r="D498" s="32" t="s">
        <v>1485</v>
      </c>
      <c r="E498" s="32" t="s">
        <v>1471</v>
      </c>
      <c r="F498" s="32" t="s">
        <v>1751</v>
      </c>
      <c r="G498" s="32">
        <f>IFERROR(INDEX(Ship!A$31:B$4500,MATCH(C498,Ship!A$31:A$4500,0),2),0)</f>
        <v>8</v>
      </c>
    </row>
    <row r="499" spans="1:7" x14ac:dyDescent="0.3">
      <c r="A499" s="32" t="s">
        <v>1795</v>
      </c>
      <c r="B499" s="32" t="s">
        <v>1796</v>
      </c>
      <c r="C499" s="32" t="s">
        <v>1656</v>
      </c>
      <c r="D499" s="32" t="s">
        <v>2208</v>
      </c>
      <c r="E499" s="32" t="s">
        <v>1471</v>
      </c>
      <c r="F499" s="32" t="s">
        <v>1751</v>
      </c>
      <c r="G499" s="32">
        <f>IFERROR(INDEX(Ship!A$31:B$4500,MATCH(C499,Ship!A$31:A$4500,0),2),0)</f>
        <v>37</v>
      </c>
    </row>
    <row r="500" spans="1:7" x14ac:dyDescent="0.3">
      <c r="A500" s="32" t="s">
        <v>1795</v>
      </c>
      <c r="B500" s="32" t="s">
        <v>1796</v>
      </c>
      <c r="C500" s="32" t="s">
        <v>1775</v>
      </c>
      <c r="D500" s="32" t="s">
        <v>1486</v>
      </c>
      <c r="E500" s="32" t="s">
        <v>1471</v>
      </c>
      <c r="F500" s="32" t="s">
        <v>1751</v>
      </c>
      <c r="G500" s="32">
        <f>IFERROR(INDEX(Ship!A$31:B$4500,MATCH(C500,Ship!A$31:A$4500,0),2),0)</f>
        <v>318</v>
      </c>
    </row>
    <row r="501" spans="1:7" x14ac:dyDescent="0.3">
      <c r="A501" s="32" t="s">
        <v>1795</v>
      </c>
      <c r="B501" s="32" t="s">
        <v>1796</v>
      </c>
      <c r="C501" s="32" t="s">
        <v>1660</v>
      </c>
      <c r="D501" s="32" t="s">
        <v>2213</v>
      </c>
      <c r="E501" s="32" t="s">
        <v>1471</v>
      </c>
      <c r="F501" s="32" t="s">
        <v>1751</v>
      </c>
      <c r="G501" s="32">
        <f>IFERROR(INDEX(Ship!A$31:B$4500,MATCH(C501,Ship!A$31:A$4500,0),2),0)</f>
        <v>2</v>
      </c>
    </row>
    <row r="502" spans="1:7" x14ac:dyDescent="0.3">
      <c r="A502" s="32" t="s">
        <v>1795</v>
      </c>
      <c r="B502" s="32" t="s">
        <v>1796</v>
      </c>
      <c r="C502" s="32" t="s">
        <v>1777</v>
      </c>
      <c r="D502" s="32" t="s">
        <v>1487</v>
      </c>
      <c r="E502" s="32" t="s">
        <v>1471</v>
      </c>
      <c r="F502" s="32" t="s">
        <v>1751</v>
      </c>
      <c r="G502" s="32">
        <f>IFERROR(INDEX(Ship!A$31:B$4500,MATCH(C502,Ship!A$31:A$4500,0),2),0)</f>
        <v>0</v>
      </c>
    </row>
    <row r="503" spans="1:7" x14ac:dyDescent="0.3">
      <c r="A503" s="32" t="s">
        <v>1795</v>
      </c>
      <c r="B503" s="32" t="s">
        <v>1796</v>
      </c>
      <c r="C503" s="32" t="s">
        <v>1664</v>
      </c>
      <c r="D503" s="32" t="s">
        <v>2218</v>
      </c>
      <c r="E503" s="32" t="s">
        <v>1471</v>
      </c>
      <c r="F503" s="32" t="s">
        <v>1751</v>
      </c>
      <c r="G503" s="32">
        <f>IFERROR(INDEX(Ship!A$31:B$4500,MATCH(C503,Ship!A$31:A$4500,0),2),0)</f>
        <v>13</v>
      </c>
    </row>
    <row r="504" spans="1:7" x14ac:dyDescent="0.3">
      <c r="A504" s="32" t="s">
        <v>1795</v>
      </c>
      <c r="B504" s="32" t="s">
        <v>1796</v>
      </c>
      <c r="C504" s="32" t="s">
        <v>1779</v>
      </c>
      <c r="D504" s="32" t="s">
        <v>1488</v>
      </c>
      <c r="E504" s="32" t="s">
        <v>1471</v>
      </c>
      <c r="F504" s="32" t="s">
        <v>1751</v>
      </c>
      <c r="G504" s="32">
        <f>IFERROR(INDEX(Ship!A$31:B$4500,MATCH(C504,Ship!A$31:A$4500,0),2),0)</f>
        <v>132</v>
      </c>
    </row>
    <row r="505" spans="1:7" x14ac:dyDescent="0.3">
      <c r="A505" s="32" t="s">
        <v>1795</v>
      </c>
      <c r="B505" s="32" t="s">
        <v>1796</v>
      </c>
      <c r="C505" s="32" t="s">
        <v>1668</v>
      </c>
      <c r="D505" s="32" t="s">
        <v>2223</v>
      </c>
      <c r="E505" s="32" t="s">
        <v>1471</v>
      </c>
      <c r="F505" s="32" t="s">
        <v>1751</v>
      </c>
      <c r="G505" s="32">
        <f>IFERROR(INDEX(Ship!A$31:B$4500,MATCH(C505,Ship!A$31:A$4500,0),2),0)</f>
        <v>0</v>
      </c>
    </row>
    <row r="506" spans="1:7" x14ac:dyDescent="0.3">
      <c r="A506" s="32" t="s">
        <v>1795</v>
      </c>
      <c r="B506" s="32" t="s">
        <v>1796</v>
      </c>
      <c r="C506" s="32" t="s">
        <v>1780</v>
      </c>
      <c r="D506" s="32" t="s">
        <v>1489</v>
      </c>
      <c r="E506" s="32" t="s">
        <v>1471</v>
      </c>
      <c r="F506" s="32" t="s">
        <v>1751</v>
      </c>
      <c r="G506" s="32">
        <f>IFERROR(INDEX(Ship!A$31:B$4500,MATCH(C506,Ship!A$31:A$4500,0),2),0)</f>
        <v>751</v>
      </c>
    </row>
    <row r="507" spans="1:7" x14ac:dyDescent="0.3">
      <c r="A507" s="32" t="s">
        <v>1795</v>
      </c>
      <c r="B507" s="32" t="s">
        <v>1796</v>
      </c>
      <c r="C507" s="32" t="s">
        <v>1672</v>
      </c>
      <c r="D507" s="32" t="s">
        <v>2228</v>
      </c>
      <c r="E507" s="32" t="s">
        <v>1471</v>
      </c>
      <c r="F507" s="32" t="s">
        <v>1751</v>
      </c>
      <c r="G507" s="32">
        <f>IFERROR(INDEX(Ship!A$31:B$4500,MATCH(C507,Ship!A$31:A$4500,0),2),0)</f>
        <v>0</v>
      </c>
    </row>
    <row r="508" spans="1:7" x14ac:dyDescent="0.3">
      <c r="A508" s="32" t="s">
        <v>1795</v>
      </c>
      <c r="B508" s="32" t="s">
        <v>1796</v>
      </c>
      <c r="C508" s="32" t="s">
        <v>1781</v>
      </c>
      <c r="D508" s="32" t="s">
        <v>1490</v>
      </c>
      <c r="E508" s="32" t="s">
        <v>1471</v>
      </c>
      <c r="F508" s="32" t="s">
        <v>1751</v>
      </c>
      <c r="G508" s="32">
        <f>IFERROR(INDEX(Ship!A$31:B$4500,MATCH(C508,Ship!A$31:A$4500,0),2),0)</f>
        <v>0</v>
      </c>
    </row>
    <row r="509" spans="1:7" x14ac:dyDescent="0.3">
      <c r="A509" s="32" t="s">
        <v>1795</v>
      </c>
      <c r="B509" s="32" t="s">
        <v>1796</v>
      </c>
      <c r="C509" s="32" t="s">
        <v>1676</v>
      </c>
      <c r="D509" s="32" t="s">
        <v>2233</v>
      </c>
      <c r="E509" s="32" t="s">
        <v>1471</v>
      </c>
      <c r="F509" s="32" t="s">
        <v>1751</v>
      </c>
      <c r="G509" s="32">
        <f>IFERROR(INDEX(Ship!A$31:B$4500,MATCH(C509,Ship!A$31:A$4500,0),2),0)</f>
        <v>97</v>
      </c>
    </row>
    <row r="510" spans="1:7" x14ac:dyDescent="0.3">
      <c r="A510" s="32" t="s">
        <v>1795</v>
      </c>
      <c r="B510" s="32" t="s">
        <v>1796</v>
      </c>
      <c r="C510" s="32" t="s">
        <v>1782</v>
      </c>
      <c r="D510" s="32" t="s">
        <v>1491</v>
      </c>
      <c r="E510" s="32" t="s">
        <v>1471</v>
      </c>
      <c r="F510" s="32" t="s">
        <v>1751</v>
      </c>
      <c r="G510" s="32">
        <f>IFERROR(INDEX(Ship!A$31:B$4500,MATCH(C510,Ship!A$31:A$4500,0),2),0)</f>
        <v>19</v>
      </c>
    </row>
    <row r="511" spans="1:7" x14ac:dyDescent="0.3">
      <c r="A511" s="32" t="s">
        <v>1795</v>
      </c>
      <c r="B511" s="32" t="s">
        <v>1796</v>
      </c>
      <c r="C511" s="32" t="s">
        <v>1680</v>
      </c>
      <c r="D511" s="32" t="s">
        <v>2238</v>
      </c>
      <c r="E511" s="32" t="s">
        <v>1471</v>
      </c>
      <c r="F511" s="32" t="s">
        <v>1751</v>
      </c>
      <c r="G511" s="32">
        <f>IFERROR(INDEX(Ship!A$31:B$4500,MATCH(C511,Ship!A$31:A$4500,0),2),0)</f>
        <v>23</v>
      </c>
    </row>
    <row r="512" spans="1:7" x14ac:dyDescent="0.3">
      <c r="A512" s="32" t="s">
        <v>1795</v>
      </c>
      <c r="B512" s="32" t="s">
        <v>1796</v>
      </c>
      <c r="C512" s="32" t="s">
        <v>1783</v>
      </c>
      <c r="D512" s="32" t="s">
        <v>1492</v>
      </c>
      <c r="E512" s="32" t="s">
        <v>1471</v>
      </c>
      <c r="F512" s="32" t="s">
        <v>1751</v>
      </c>
      <c r="G512" s="32">
        <f>IFERROR(INDEX(Ship!A$31:B$4500,MATCH(C512,Ship!A$31:A$4500,0),2),0)</f>
        <v>136</v>
      </c>
    </row>
    <row r="513" spans="1:7" x14ac:dyDescent="0.3">
      <c r="A513" s="32" t="s">
        <v>1795</v>
      </c>
      <c r="B513" s="32" t="s">
        <v>1796</v>
      </c>
      <c r="C513" s="32" t="s">
        <v>1684</v>
      </c>
      <c r="D513" s="32" t="s">
        <v>2243</v>
      </c>
      <c r="E513" s="32" t="s">
        <v>1471</v>
      </c>
      <c r="F513" s="32" t="s">
        <v>1751</v>
      </c>
      <c r="G513" s="32">
        <f>IFERROR(INDEX(Ship!A$31:B$4500,MATCH(C513,Ship!A$31:A$4500,0),2),0)</f>
        <v>67</v>
      </c>
    </row>
    <row r="514" spans="1:7" x14ac:dyDescent="0.3">
      <c r="A514" s="32" t="s">
        <v>1795</v>
      </c>
      <c r="B514" s="32" t="s">
        <v>1796</v>
      </c>
      <c r="C514" s="32" t="s">
        <v>1784</v>
      </c>
      <c r="D514" s="32" t="s">
        <v>1493</v>
      </c>
      <c r="E514" s="32" t="s">
        <v>1471</v>
      </c>
      <c r="F514" s="32" t="s">
        <v>1751</v>
      </c>
      <c r="G514" s="32">
        <f>IFERROR(INDEX(Ship!A$31:B$4500,MATCH(C514,Ship!A$31:A$4500,0),2),0)</f>
        <v>82</v>
      </c>
    </row>
    <row r="515" spans="1:7" x14ac:dyDescent="0.3">
      <c r="A515" s="32" t="s">
        <v>1795</v>
      </c>
      <c r="B515" s="32" t="s">
        <v>1796</v>
      </c>
      <c r="C515" s="32" t="s">
        <v>1688</v>
      </c>
      <c r="D515" s="32" t="s">
        <v>2248</v>
      </c>
      <c r="E515" s="32" t="s">
        <v>1471</v>
      </c>
      <c r="F515" s="32" t="s">
        <v>1751</v>
      </c>
      <c r="G515" s="32">
        <f>IFERROR(INDEX(Ship!A$31:B$4500,MATCH(C515,Ship!A$31:A$4500,0),2),0)</f>
        <v>5</v>
      </c>
    </row>
    <row r="516" spans="1:7" x14ac:dyDescent="0.3">
      <c r="A516" s="32" t="s">
        <v>1795</v>
      </c>
      <c r="B516" s="32" t="s">
        <v>1796</v>
      </c>
      <c r="C516" s="32" t="s">
        <v>1786</v>
      </c>
      <c r="D516" s="32" t="s">
        <v>1494</v>
      </c>
      <c r="E516" s="32" t="s">
        <v>1471</v>
      </c>
      <c r="F516" s="32" t="s">
        <v>1751</v>
      </c>
      <c r="G516" s="32">
        <f>IFERROR(INDEX(Ship!A$31:B$4500,MATCH(C516,Ship!A$31:A$4500,0),2),0)</f>
        <v>0</v>
      </c>
    </row>
    <row r="517" spans="1:7" x14ac:dyDescent="0.3">
      <c r="A517" s="32" t="s">
        <v>1795</v>
      </c>
      <c r="B517" s="32" t="s">
        <v>1796</v>
      </c>
      <c r="C517" s="32" t="s">
        <v>1692</v>
      </c>
      <c r="D517" s="32" t="s">
        <v>2253</v>
      </c>
      <c r="E517" s="32" t="s">
        <v>1471</v>
      </c>
      <c r="F517" s="32" t="s">
        <v>1751</v>
      </c>
      <c r="G517" s="32">
        <f>IFERROR(INDEX(Ship!A$31:B$4500,MATCH(C517,Ship!A$31:A$4500,0),2),0)</f>
        <v>0</v>
      </c>
    </row>
    <row r="518" spans="1:7" x14ac:dyDescent="0.3">
      <c r="A518" s="32" t="s">
        <v>1795</v>
      </c>
      <c r="B518" s="32" t="s">
        <v>1796</v>
      </c>
      <c r="C518" s="32" t="s">
        <v>1397</v>
      </c>
      <c r="D518" s="32" t="s">
        <v>1495</v>
      </c>
      <c r="E518" s="32" t="s">
        <v>1471</v>
      </c>
      <c r="F518" s="32" t="s">
        <v>1751</v>
      </c>
      <c r="G518" s="32">
        <f>IFERROR(INDEX(Ship!A$31:B$4500,MATCH(C518,Ship!A$31:A$4500,0),2),0)</f>
        <v>838</v>
      </c>
    </row>
    <row r="519" spans="1:7" x14ac:dyDescent="0.3">
      <c r="A519" s="32" t="s">
        <v>1795</v>
      </c>
      <c r="B519" s="32" t="s">
        <v>1796</v>
      </c>
      <c r="C519" s="32" t="s">
        <v>1696</v>
      </c>
      <c r="D519" s="32" t="s">
        <v>2258</v>
      </c>
      <c r="E519" s="32" t="s">
        <v>1471</v>
      </c>
      <c r="F519" s="32" t="s">
        <v>1751</v>
      </c>
      <c r="G519" s="32">
        <f>IFERROR(INDEX(Ship!A$31:B$4500,MATCH(C519,Ship!A$31:A$4500,0),2),0)</f>
        <v>47</v>
      </c>
    </row>
    <row r="520" spans="1:7" x14ac:dyDescent="0.3">
      <c r="A520" s="32" t="s">
        <v>1795</v>
      </c>
      <c r="B520" s="32" t="s">
        <v>1796</v>
      </c>
      <c r="C520" s="32" t="s">
        <v>1406</v>
      </c>
      <c r="D520" s="32" t="s">
        <v>1496</v>
      </c>
      <c r="E520" s="32" t="s">
        <v>1471</v>
      </c>
      <c r="F520" s="32" t="s">
        <v>1751</v>
      </c>
      <c r="G520" s="32">
        <f>IFERROR(INDEX(Ship!A$31:B$4500,MATCH(C520,Ship!A$31:A$4500,0),2),0)</f>
        <v>0</v>
      </c>
    </row>
    <row r="521" spans="1:7" x14ac:dyDescent="0.3">
      <c r="A521" s="32" t="s">
        <v>1795</v>
      </c>
      <c r="B521" s="32" t="s">
        <v>1796</v>
      </c>
      <c r="C521" s="32" t="s">
        <v>1700</v>
      </c>
      <c r="D521" s="32" t="s">
        <v>2263</v>
      </c>
      <c r="E521" s="32" t="s">
        <v>1471</v>
      </c>
      <c r="F521" s="32" t="s">
        <v>1751</v>
      </c>
      <c r="G521" s="32">
        <f>IFERROR(INDEX(Ship!A$31:B$4500,MATCH(C521,Ship!A$31:A$4500,0),2),0)</f>
        <v>0</v>
      </c>
    </row>
    <row r="522" spans="1:7" x14ac:dyDescent="0.3">
      <c r="A522" s="32" t="s">
        <v>1795</v>
      </c>
      <c r="B522" s="32" t="s">
        <v>1796</v>
      </c>
      <c r="C522" s="32" t="s">
        <v>1408</v>
      </c>
      <c r="D522" s="32" t="s">
        <v>1497</v>
      </c>
      <c r="E522" s="32" t="s">
        <v>1471</v>
      </c>
      <c r="F522" s="32" t="s">
        <v>1751</v>
      </c>
      <c r="G522" s="32">
        <f>IFERROR(INDEX(Ship!A$31:B$4500,MATCH(C522,Ship!A$31:A$4500,0),2),0)</f>
        <v>1</v>
      </c>
    </row>
    <row r="523" spans="1:7" x14ac:dyDescent="0.3">
      <c r="A523" s="32" t="s">
        <v>1795</v>
      </c>
      <c r="B523" s="32" t="s">
        <v>1796</v>
      </c>
      <c r="C523" s="32" t="s">
        <v>1704</v>
      </c>
      <c r="D523" s="32" t="s">
        <v>2268</v>
      </c>
      <c r="E523" s="32" t="s">
        <v>1471</v>
      </c>
      <c r="F523" s="32" t="s">
        <v>1751</v>
      </c>
      <c r="G523" s="32">
        <f>IFERROR(INDEX(Ship!A$31:B$4500,MATCH(C523,Ship!A$31:A$4500,0),2),0)</f>
        <v>1</v>
      </c>
    </row>
    <row r="524" spans="1:7" x14ac:dyDescent="0.3">
      <c r="A524" s="32" t="s">
        <v>1795</v>
      </c>
      <c r="B524" s="32" t="s">
        <v>1796</v>
      </c>
      <c r="C524" s="32" t="s">
        <v>1409</v>
      </c>
      <c r="D524" s="32" t="s">
        <v>1498</v>
      </c>
      <c r="E524" s="32" t="s">
        <v>1471</v>
      </c>
      <c r="F524" s="32" t="s">
        <v>1751</v>
      </c>
      <c r="G524" s="32">
        <f>IFERROR(INDEX(Ship!A$31:B$4500,MATCH(C524,Ship!A$31:A$4500,0),2),0)</f>
        <v>20</v>
      </c>
    </row>
    <row r="525" spans="1:7" x14ac:dyDescent="0.3">
      <c r="A525" s="32" t="s">
        <v>1795</v>
      </c>
      <c r="B525" s="32" t="s">
        <v>1796</v>
      </c>
      <c r="C525" s="32" t="s">
        <v>1708</v>
      </c>
      <c r="D525" s="32" t="s">
        <v>2273</v>
      </c>
      <c r="E525" s="32" t="s">
        <v>1471</v>
      </c>
      <c r="F525" s="32" t="s">
        <v>1751</v>
      </c>
      <c r="G525" s="32">
        <f>IFERROR(INDEX(Ship!A$31:B$4500,MATCH(C525,Ship!A$31:A$4500,0),2),0)</f>
        <v>0</v>
      </c>
    </row>
    <row r="526" spans="1:7" x14ac:dyDescent="0.3">
      <c r="A526" s="32" t="s">
        <v>1795</v>
      </c>
      <c r="B526" s="32" t="s">
        <v>1796</v>
      </c>
      <c r="C526" s="32" t="s">
        <v>1411</v>
      </c>
      <c r="D526" s="32" t="s">
        <v>1499</v>
      </c>
      <c r="E526" s="32" t="s">
        <v>1471</v>
      </c>
      <c r="F526" s="32" t="s">
        <v>1751</v>
      </c>
      <c r="G526" s="32">
        <f>IFERROR(INDEX(Ship!A$31:B$4500,MATCH(C526,Ship!A$31:A$4500,0),2),0)</f>
        <v>8</v>
      </c>
    </row>
    <row r="527" spans="1:7" x14ac:dyDescent="0.3">
      <c r="A527" s="32" t="s">
        <v>1795</v>
      </c>
      <c r="B527" s="32" t="s">
        <v>1796</v>
      </c>
      <c r="C527" s="32" t="s">
        <v>1712</v>
      </c>
      <c r="D527" s="32" t="s">
        <v>2278</v>
      </c>
      <c r="E527" s="32" t="s">
        <v>1471</v>
      </c>
      <c r="F527" s="32" t="s">
        <v>1751</v>
      </c>
      <c r="G527" s="32">
        <f>IFERROR(INDEX(Ship!A$31:B$4500,MATCH(C527,Ship!A$31:A$4500,0),2),0)</f>
        <v>3</v>
      </c>
    </row>
    <row r="528" spans="1:7" x14ac:dyDescent="0.3">
      <c r="A528" s="32" t="s">
        <v>1795</v>
      </c>
      <c r="B528" s="32" t="s">
        <v>1796</v>
      </c>
      <c r="C528" s="32" t="s">
        <v>1413</v>
      </c>
      <c r="D528" s="32" t="s">
        <v>1500</v>
      </c>
      <c r="E528" s="32" t="s">
        <v>1471</v>
      </c>
      <c r="F528" s="32" t="s">
        <v>1751</v>
      </c>
      <c r="G528" s="32">
        <f>IFERROR(INDEX(Ship!A$31:B$4500,MATCH(C528,Ship!A$31:A$4500,0),2),0)</f>
        <v>0</v>
      </c>
    </row>
    <row r="529" spans="1:7" x14ac:dyDescent="0.3">
      <c r="A529" s="32" t="s">
        <v>1795</v>
      </c>
      <c r="B529" s="32" t="s">
        <v>1796</v>
      </c>
      <c r="C529" s="32" t="s">
        <v>1716</v>
      </c>
      <c r="D529" s="32" t="s">
        <v>2283</v>
      </c>
      <c r="E529" s="32" t="s">
        <v>1471</v>
      </c>
      <c r="F529" s="32" t="s">
        <v>1751</v>
      </c>
      <c r="G529" s="32">
        <f>IFERROR(INDEX(Ship!A$31:B$4500,MATCH(C529,Ship!A$31:A$4500,0),2),0)</f>
        <v>0</v>
      </c>
    </row>
    <row r="530" spans="1:7" x14ac:dyDescent="0.3">
      <c r="A530" s="32" t="s">
        <v>1795</v>
      </c>
      <c r="B530" s="32" t="s">
        <v>1796</v>
      </c>
      <c r="C530" s="32" t="s">
        <v>1788</v>
      </c>
      <c r="D530" s="32" t="s">
        <v>1501</v>
      </c>
      <c r="E530" s="32" t="s">
        <v>1471</v>
      </c>
      <c r="F530" s="32" t="s">
        <v>1751</v>
      </c>
      <c r="G530" s="32">
        <f>IFERROR(INDEX(Ship!A$31:B$4500,MATCH(C530,Ship!A$31:A$4500,0),2),0)</f>
        <v>219</v>
      </c>
    </row>
    <row r="531" spans="1:7" x14ac:dyDescent="0.3">
      <c r="A531" s="32" t="s">
        <v>1795</v>
      </c>
      <c r="B531" s="32" t="s">
        <v>1796</v>
      </c>
      <c r="C531" s="32" t="s">
        <v>1720</v>
      </c>
      <c r="D531" s="32" t="s">
        <v>2288</v>
      </c>
      <c r="E531" s="32" t="s">
        <v>1471</v>
      </c>
      <c r="F531" s="32" t="s">
        <v>1751</v>
      </c>
      <c r="G531" s="32">
        <f>IFERROR(INDEX(Ship!A$31:B$4500,MATCH(C531,Ship!A$31:A$4500,0),2),0)</f>
        <v>1367</v>
      </c>
    </row>
    <row r="532" spans="1:7" x14ac:dyDescent="0.3">
      <c r="A532" s="32" t="s">
        <v>1795</v>
      </c>
      <c r="B532" s="32" t="s">
        <v>1796</v>
      </c>
      <c r="C532" s="32" t="s">
        <v>1723</v>
      </c>
      <c r="D532" s="32" t="s">
        <v>2291</v>
      </c>
      <c r="E532" s="32" t="s">
        <v>1471</v>
      </c>
      <c r="F532" s="32" t="s">
        <v>1751</v>
      </c>
      <c r="G532" s="32">
        <f>IFERROR(INDEX(Ship!A$31:B$4500,MATCH(C532,Ship!A$31:A$4500,0),2),0)</f>
        <v>0</v>
      </c>
    </row>
    <row r="533" spans="1:7" x14ac:dyDescent="0.3">
      <c r="A533" s="32" t="s">
        <v>1795</v>
      </c>
      <c r="B533" s="32" t="s">
        <v>1796</v>
      </c>
      <c r="C533" s="32" t="s">
        <v>1424</v>
      </c>
      <c r="D533" s="32" t="s">
        <v>1502</v>
      </c>
      <c r="E533" s="32" t="s">
        <v>1471</v>
      </c>
      <c r="F533" s="32" t="s">
        <v>1751</v>
      </c>
      <c r="G533" s="32">
        <f>IFERROR(INDEX(Ship!A$31:B$4500,MATCH(C533,Ship!A$31:A$4500,0),2),0)</f>
        <v>0</v>
      </c>
    </row>
    <row r="534" spans="1:7" x14ac:dyDescent="0.3">
      <c r="A534" s="32" t="s">
        <v>1795</v>
      </c>
      <c r="B534" s="32" t="s">
        <v>1796</v>
      </c>
      <c r="C534" s="32" t="s">
        <v>1727</v>
      </c>
      <c r="D534" s="32" t="s">
        <v>2296</v>
      </c>
      <c r="E534" s="32" t="s">
        <v>1471</v>
      </c>
      <c r="F534" s="32" t="s">
        <v>1751</v>
      </c>
      <c r="G534" s="32">
        <f>IFERROR(INDEX(Ship!A$31:B$4500,MATCH(C534,Ship!A$31:A$4500,0),2),0)</f>
        <v>0</v>
      </c>
    </row>
    <row r="535" spans="1:7" x14ac:dyDescent="0.3">
      <c r="A535" s="32" t="s">
        <v>1795</v>
      </c>
      <c r="B535" s="32" t="s">
        <v>1796</v>
      </c>
      <c r="C535" s="32" t="s">
        <v>1789</v>
      </c>
      <c r="D535" s="32" t="s">
        <v>1503</v>
      </c>
      <c r="E535" s="32" t="s">
        <v>1471</v>
      </c>
      <c r="F535" s="32" t="s">
        <v>1751</v>
      </c>
      <c r="G535" s="32">
        <f>IFERROR(INDEX(Ship!A$31:B$4500,MATCH(C535,Ship!A$31:A$4500,0),2),0)</f>
        <v>0</v>
      </c>
    </row>
    <row r="536" spans="1:7" x14ac:dyDescent="0.3">
      <c r="A536" s="32" t="s">
        <v>1795</v>
      </c>
      <c r="B536" s="32" t="s">
        <v>1796</v>
      </c>
      <c r="C536" s="32" t="s">
        <v>1731</v>
      </c>
      <c r="D536" s="32" t="s">
        <v>2301</v>
      </c>
      <c r="E536" s="32" t="s">
        <v>1471</v>
      </c>
      <c r="F536" s="32" t="s">
        <v>1751</v>
      </c>
      <c r="G536" s="32">
        <f>IFERROR(INDEX(Ship!A$31:B$4500,MATCH(C536,Ship!A$31:A$4500,0),2),0)</f>
        <v>0</v>
      </c>
    </row>
    <row r="537" spans="1:7" x14ac:dyDescent="0.3">
      <c r="A537" s="32" t="s">
        <v>1795</v>
      </c>
      <c r="B537" s="32" t="s">
        <v>1796</v>
      </c>
      <c r="C537" s="32" t="s">
        <v>1434</v>
      </c>
      <c r="D537" s="32" t="s">
        <v>1504</v>
      </c>
      <c r="E537" s="32" t="s">
        <v>1471</v>
      </c>
      <c r="F537" s="32" t="s">
        <v>1751</v>
      </c>
      <c r="G537" s="32">
        <f>IFERROR(INDEX(Ship!A$31:B$4500,MATCH(C537,Ship!A$31:A$4500,0),2),0)</f>
        <v>11</v>
      </c>
    </row>
    <row r="538" spans="1:7" x14ac:dyDescent="0.3">
      <c r="A538" s="32" t="s">
        <v>1795</v>
      </c>
      <c r="B538" s="32" t="s">
        <v>1796</v>
      </c>
      <c r="C538" s="32" t="s">
        <v>1735</v>
      </c>
      <c r="D538" s="32" t="s">
        <v>2306</v>
      </c>
      <c r="E538" s="32" t="s">
        <v>1471</v>
      </c>
      <c r="F538" s="32" t="s">
        <v>1751</v>
      </c>
      <c r="G538" s="32">
        <f>IFERROR(INDEX(Ship!A$31:B$4500,MATCH(C538,Ship!A$31:A$4500,0),2),0)</f>
        <v>0</v>
      </c>
    </row>
    <row r="539" spans="1:7" x14ac:dyDescent="0.3">
      <c r="A539" s="32" t="s">
        <v>1795</v>
      </c>
      <c r="B539" s="32" t="s">
        <v>1796</v>
      </c>
      <c r="C539" s="32" t="s">
        <v>1443</v>
      </c>
      <c r="D539" s="32" t="s">
        <v>1505</v>
      </c>
      <c r="E539" s="32" t="s">
        <v>1471</v>
      </c>
      <c r="F539" s="32" t="s">
        <v>1751</v>
      </c>
      <c r="G539" s="32">
        <f>IFERROR(INDEX(Ship!A$31:B$4500,MATCH(C539,Ship!A$31:A$4500,0),2),0)</f>
        <v>0</v>
      </c>
    </row>
    <row r="540" spans="1:7" x14ac:dyDescent="0.3">
      <c r="A540" s="32" t="s">
        <v>1795</v>
      </c>
      <c r="B540" s="32" t="s">
        <v>1796</v>
      </c>
      <c r="C540" s="32" t="s">
        <v>1739</v>
      </c>
      <c r="D540" s="32" t="s">
        <v>2311</v>
      </c>
      <c r="E540" s="32" t="s">
        <v>1471</v>
      </c>
      <c r="F540" s="32" t="s">
        <v>1751</v>
      </c>
      <c r="G540" s="32">
        <f>IFERROR(INDEX(Ship!A$31:B$4500,MATCH(C540,Ship!A$31:A$4500,0),2),0)</f>
        <v>0</v>
      </c>
    </row>
    <row r="541" spans="1:7" x14ac:dyDescent="0.3">
      <c r="A541" s="32" t="s">
        <v>1795</v>
      </c>
      <c r="B541" s="32" t="s">
        <v>1796</v>
      </c>
      <c r="C541" s="32" t="s">
        <v>1444</v>
      </c>
      <c r="D541" s="32" t="s">
        <v>1506</v>
      </c>
      <c r="E541" s="32" t="s">
        <v>1471</v>
      </c>
      <c r="F541" s="32" t="s">
        <v>1751</v>
      </c>
      <c r="G541" s="32">
        <f>IFERROR(INDEX(Ship!A$31:B$4500,MATCH(C541,Ship!A$31:A$4500,0),2),0)</f>
        <v>0</v>
      </c>
    </row>
    <row r="542" spans="1:7" x14ac:dyDescent="0.3">
      <c r="A542" s="32" t="s">
        <v>1795</v>
      </c>
      <c r="B542" s="32" t="s">
        <v>1796</v>
      </c>
      <c r="C542" s="32" t="s">
        <v>2711</v>
      </c>
      <c r="D542" s="32" t="s">
        <v>2316</v>
      </c>
      <c r="E542" s="32" t="s">
        <v>1471</v>
      </c>
      <c r="F542" s="32" t="s">
        <v>1751</v>
      </c>
      <c r="G542" s="32">
        <f>IFERROR(INDEX(Ship!A$31:B$4500,MATCH(C542,Ship!A$31:A$4500,0),2),0)</f>
        <v>0</v>
      </c>
    </row>
    <row r="543" spans="1:7" x14ac:dyDescent="0.3">
      <c r="A543" s="32" t="s">
        <v>1795</v>
      </c>
      <c r="B543" s="32" t="s">
        <v>1796</v>
      </c>
      <c r="C543" s="32" t="s">
        <v>1445</v>
      </c>
      <c r="D543" s="32" t="s">
        <v>1507</v>
      </c>
      <c r="E543" s="32" t="s">
        <v>1471</v>
      </c>
      <c r="F543" s="32" t="s">
        <v>1751</v>
      </c>
      <c r="G543" s="32">
        <f>IFERROR(INDEX(Ship!A$31:B$4500,MATCH(C543,Ship!A$31:A$4500,0),2),0)</f>
        <v>112</v>
      </c>
    </row>
    <row r="544" spans="1:7" x14ac:dyDescent="0.3">
      <c r="A544" s="32" t="s">
        <v>1795</v>
      </c>
      <c r="B544" s="32" t="s">
        <v>1796</v>
      </c>
      <c r="C544" s="32" t="s">
        <v>2712</v>
      </c>
      <c r="D544" s="32" t="s">
        <v>2321</v>
      </c>
      <c r="E544" s="32" t="s">
        <v>1471</v>
      </c>
      <c r="F544" s="32" t="s">
        <v>1751</v>
      </c>
      <c r="G544" s="32">
        <f>IFERROR(INDEX(Ship!A$31:B$4500,MATCH(C544,Ship!A$31:A$4500,0),2),0)</f>
        <v>0</v>
      </c>
    </row>
    <row r="545" spans="1:7" x14ac:dyDescent="0.3">
      <c r="A545" s="32" t="s">
        <v>1795</v>
      </c>
      <c r="B545" s="32" t="s">
        <v>1796</v>
      </c>
      <c r="C545" s="32" t="s">
        <v>1446</v>
      </c>
      <c r="D545" s="32" t="s">
        <v>1508</v>
      </c>
      <c r="E545" s="32" t="s">
        <v>1471</v>
      </c>
      <c r="F545" s="32" t="s">
        <v>1751</v>
      </c>
      <c r="G545" s="32">
        <f>IFERROR(INDEX(Ship!A$31:B$4500,MATCH(C545,Ship!A$31:A$4500,0),2),0)</f>
        <v>12</v>
      </c>
    </row>
    <row r="546" spans="1:7" x14ac:dyDescent="0.3">
      <c r="A546" s="32" t="s">
        <v>1795</v>
      </c>
      <c r="B546" s="32" t="s">
        <v>1796</v>
      </c>
      <c r="C546" s="32" t="s">
        <v>2713</v>
      </c>
      <c r="D546" s="32" t="s">
        <v>2326</v>
      </c>
      <c r="E546" s="32" t="s">
        <v>1471</v>
      </c>
      <c r="F546" s="32" t="s">
        <v>1751</v>
      </c>
      <c r="G546" s="32">
        <f>IFERROR(INDEX(Ship!A$31:B$4500,MATCH(C546,Ship!A$31:A$4500,0),2),0)</f>
        <v>0</v>
      </c>
    </row>
    <row r="547" spans="1:7" x14ac:dyDescent="0.3">
      <c r="A547" s="32" t="s">
        <v>1795</v>
      </c>
      <c r="B547" s="32" t="s">
        <v>1796</v>
      </c>
      <c r="C547" s="32" t="s">
        <v>1454</v>
      </c>
      <c r="D547" s="32" t="s">
        <v>1509</v>
      </c>
      <c r="E547" s="32" t="s">
        <v>1471</v>
      </c>
      <c r="F547" s="32" t="s">
        <v>1751</v>
      </c>
      <c r="G547" s="32">
        <f>IFERROR(INDEX(Ship!A$31:B$4500,MATCH(C547,Ship!A$31:A$4500,0),2),0)</f>
        <v>1</v>
      </c>
    </row>
    <row r="548" spans="1:7" x14ac:dyDescent="0.3">
      <c r="A548" s="32" t="s">
        <v>1795</v>
      </c>
      <c r="B548" s="32" t="s">
        <v>1796</v>
      </c>
      <c r="C548" s="32" t="s">
        <v>2714</v>
      </c>
      <c r="D548" s="32" t="s">
        <v>2331</v>
      </c>
      <c r="E548" s="32" t="s">
        <v>1471</v>
      </c>
      <c r="F548" s="32" t="s">
        <v>1751</v>
      </c>
      <c r="G548" s="32">
        <f>IFERROR(INDEX(Ship!A$31:B$4500,MATCH(C548,Ship!A$31:A$4500,0),2),0)</f>
        <v>113</v>
      </c>
    </row>
    <row r="549" spans="1:7" x14ac:dyDescent="0.3">
      <c r="A549" s="32" t="s">
        <v>1795</v>
      </c>
      <c r="B549" s="32" t="s">
        <v>1796</v>
      </c>
      <c r="C549" s="32" t="s">
        <v>2715</v>
      </c>
      <c r="D549" s="32" t="s">
        <v>2334</v>
      </c>
      <c r="E549" s="32" t="s">
        <v>1471</v>
      </c>
      <c r="F549" s="32" t="s">
        <v>1751</v>
      </c>
      <c r="G549" s="32">
        <f>IFERROR(INDEX(Ship!A$31:B$4500,MATCH(C549,Ship!A$31:A$4500,0),2),0)</f>
        <v>4</v>
      </c>
    </row>
    <row r="550" spans="1:7" x14ac:dyDescent="0.3">
      <c r="A550" s="32" t="s">
        <v>1795</v>
      </c>
      <c r="B550" s="32" t="s">
        <v>1796</v>
      </c>
      <c r="C550" s="32" t="s">
        <v>2716</v>
      </c>
      <c r="D550" s="32" t="s">
        <v>2337</v>
      </c>
      <c r="E550" s="32" t="s">
        <v>1471</v>
      </c>
      <c r="F550" s="32" t="s">
        <v>1751</v>
      </c>
      <c r="G550" s="32">
        <f>IFERROR(INDEX(Ship!A$31:B$4500,MATCH(C550,Ship!A$31:A$4500,0),2),0)</f>
        <v>126</v>
      </c>
    </row>
    <row r="551" spans="1:7" x14ac:dyDescent="0.3">
      <c r="A551" s="32" t="s">
        <v>1795</v>
      </c>
      <c r="B551" s="32" t="s">
        <v>1796</v>
      </c>
      <c r="C551" s="32" t="s">
        <v>2717</v>
      </c>
      <c r="D551" s="32" t="s">
        <v>2340</v>
      </c>
      <c r="E551" s="32" t="s">
        <v>1471</v>
      </c>
      <c r="F551" s="32" t="s">
        <v>1751</v>
      </c>
      <c r="G551" s="32">
        <f>IFERROR(INDEX(Ship!A$31:B$4500,MATCH(C551,Ship!A$31:A$4500,0),2),0)</f>
        <v>0</v>
      </c>
    </row>
    <row r="552" spans="1:7" x14ac:dyDescent="0.3">
      <c r="A552" s="32" t="s">
        <v>1795</v>
      </c>
      <c r="B552" s="32" t="s">
        <v>1796</v>
      </c>
      <c r="C552" s="32" t="s">
        <v>2718</v>
      </c>
      <c r="D552" s="32" t="s">
        <v>2343</v>
      </c>
      <c r="E552" s="32" t="s">
        <v>1471</v>
      </c>
      <c r="F552" s="32" t="s">
        <v>1751</v>
      </c>
      <c r="G552" s="32">
        <f>IFERROR(INDEX(Ship!A$31:B$4500,MATCH(C552,Ship!A$31:A$4500,0),2),0)</f>
        <v>2</v>
      </c>
    </row>
    <row r="553" spans="1:7" x14ac:dyDescent="0.3">
      <c r="A553" s="32" t="s">
        <v>1795</v>
      </c>
      <c r="B553" s="32" t="s">
        <v>1796</v>
      </c>
      <c r="C553" s="32" t="s">
        <v>2719</v>
      </c>
      <c r="D553" s="32" t="s">
        <v>2346</v>
      </c>
      <c r="E553" s="32" t="s">
        <v>1471</v>
      </c>
      <c r="F553" s="32" t="s">
        <v>1751</v>
      </c>
      <c r="G553" s="32">
        <f>IFERROR(INDEX(Ship!A$31:B$4500,MATCH(C553,Ship!A$31:A$4500,0),2),0)</f>
        <v>8</v>
      </c>
    </row>
    <row r="554" spans="1:7" x14ac:dyDescent="0.3">
      <c r="A554" s="32" t="s">
        <v>1795</v>
      </c>
      <c r="B554" s="32" t="s">
        <v>1796</v>
      </c>
      <c r="C554" s="32" t="s">
        <v>2720</v>
      </c>
      <c r="D554" s="32" t="s">
        <v>2349</v>
      </c>
      <c r="E554" s="32" t="s">
        <v>1471</v>
      </c>
      <c r="F554" s="32" t="s">
        <v>1751</v>
      </c>
      <c r="G554" s="32">
        <f>IFERROR(INDEX(Ship!A$31:B$4500,MATCH(C554,Ship!A$31:A$4500,0),2),0)</f>
        <v>441</v>
      </c>
    </row>
    <row r="555" spans="1:7" x14ac:dyDescent="0.3">
      <c r="A555" s="32" t="s">
        <v>1795</v>
      </c>
      <c r="B555" s="32" t="s">
        <v>1796</v>
      </c>
      <c r="C555" s="32" t="s">
        <v>2721</v>
      </c>
      <c r="D555" s="32" t="s">
        <v>2352</v>
      </c>
      <c r="E555" s="32" t="s">
        <v>1471</v>
      </c>
      <c r="F555" s="32" t="s">
        <v>1751</v>
      </c>
      <c r="G555" s="32">
        <f>IFERROR(INDEX(Ship!A$31:B$4500,MATCH(C555,Ship!A$31:A$4500,0),2),0)</f>
        <v>0</v>
      </c>
    </row>
    <row r="556" spans="1:7" x14ac:dyDescent="0.3">
      <c r="A556" s="32" t="s">
        <v>1795</v>
      </c>
      <c r="B556" s="32" t="s">
        <v>1796</v>
      </c>
      <c r="C556" s="32" t="s">
        <v>2722</v>
      </c>
      <c r="D556" s="32" t="s">
        <v>2355</v>
      </c>
      <c r="E556" s="32" t="s">
        <v>1471</v>
      </c>
      <c r="F556" s="32" t="s">
        <v>1751</v>
      </c>
      <c r="G556" s="32">
        <f>IFERROR(INDEX(Ship!A$31:B$4500,MATCH(C556,Ship!A$31:A$4500,0),2),0)</f>
        <v>52</v>
      </c>
    </row>
    <row r="557" spans="1:7" x14ac:dyDescent="0.3">
      <c r="A557" s="32" t="s">
        <v>1795</v>
      </c>
      <c r="B557" s="32" t="s">
        <v>1796</v>
      </c>
      <c r="C557" s="32" t="s">
        <v>2723</v>
      </c>
      <c r="D557" s="32" t="s">
        <v>2358</v>
      </c>
      <c r="E557" s="32" t="s">
        <v>1471</v>
      </c>
      <c r="F557" s="32" t="s">
        <v>1751</v>
      </c>
      <c r="G557" s="32">
        <f>IFERROR(INDEX(Ship!A$31:B$4500,MATCH(C557,Ship!A$31:A$4500,0),2),0)</f>
        <v>0</v>
      </c>
    </row>
    <row r="558" spans="1:7" x14ac:dyDescent="0.3">
      <c r="A558" s="32" t="s">
        <v>1795</v>
      </c>
      <c r="B558" s="32" t="s">
        <v>1796</v>
      </c>
      <c r="C558" s="32" t="s">
        <v>2724</v>
      </c>
      <c r="D558" s="32" t="s">
        <v>2361</v>
      </c>
      <c r="E558" s="32" t="s">
        <v>1471</v>
      </c>
      <c r="F558" s="32" t="s">
        <v>1751</v>
      </c>
      <c r="G558" s="32">
        <f>IFERROR(INDEX(Ship!A$31:B$4500,MATCH(C558,Ship!A$31:A$4500,0),2),0)</f>
        <v>298</v>
      </c>
    </row>
    <row r="559" spans="1:7" x14ac:dyDescent="0.3">
      <c r="A559" s="32" t="s">
        <v>1795</v>
      </c>
      <c r="B559" s="32" t="s">
        <v>1796</v>
      </c>
      <c r="C559" s="32" t="s">
        <v>2725</v>
      </c>
      <c r="D559" s="32" t="s">
        <v>2364</v>
      </c>
      <c r="E559" s="32" t="s">
        <v>1471</v>
      </c>
      <c r="F559" s="32" t="s">
        <v>1751</v>
      </c>
      <c r="G559" s="32">
        <f>IFERROR(INDEX(Ship!A$31:B$4500,MATCH(C559,Ship!A$31:A$4500,0),2),0)</f>
        <v>0</v>
      </c>
    </row>
    <row r="560" spans="1:7" x14ac:dyDescent="0.3">
      <c r="A560" s="32" t="s">
        <v>1795</v>
      </c>
      <c r="B560" s="32" t="s">
        <v>1796</v>
      </c>
      <c r="C560" s="32" t="s">
        <v>2726</v>
      </c>
      <c r="D560" s="32" t="s">
        <v>2367</v>
      </c>
      <c r="E560" s="32" t="s">
        <v>1471</v>
      </c>
      <c r="F560" s="32" t="s">
        <v>1751</v>
      </c>
      <c r="G560" s="32">
        <f>IFERROR(INDEX(Ship!A$31:B$4500,MATCH(C560,Ship!A$31:A$4500,0),2),0)</f>
        <v>953</v>
      </c>
    </row>
    <row r="561" spans="1:7" x14ac:dyDescent="0.3">
      <c r="A561" s="32" t="s">
        <v>1795</v>
      </c>
      <c r="B561" s="32" t="s">
        <v>1796</v>
      </c>
      <c r="C561" s="32" t="s">
        <v>2727</v>
      </c>
      <c r="D561" s="32" t="s">
        <v>2370</v>
      </c>
      <c r="E561" s="32" t="s">
        <v>1471</v>
      </c>
      <c r="F561" s="32" t="s">
        <v>1751</v>
      </c>
      <c r="G561" s="32">
        <f>IFERROR(INDEX(Ship!A$31:B$4500,MATCH(C561,Ship!A$31:A$4500,0),2),0)</f>
        <v>61</v>
      </c>
    </row>
    <row r="562" spans="1:7" x14ac:dyDescent="0.3">
      <c r="A562" s="32" t="s">
        <v>1795</v>
      </c>
      <c r="B562" s="32" t="s">
        <v>1796</v>
      </c>
      <c r="C562" s="32" t="s">
        <v>2728</v>
      </c>
      <c r="D562" s="32" t="s">
        <v>2373</v>
      </c>
      <c r="E562" s="32" t="s">
        <v>1471</v>
      </c>
      <c r="F562" s="32" t="s">
        <v>1751</v>
      </c>
      <c r="G562" s="32">
        <f>IFERROR(INDEX(Ship!A$31:B$4500,MATCH(C562,Ship!A$31:A$4500,0),2),0)</f>
        <v>270</v>
      </c>
    </row>
    <row r="563" spans="1:7" x14ac:dyDescent="0.3">
      <c r="A563" s="32" t="s">
        <v>1795</v>
      </c>
      <c r="B563" s="32" t="s">
        <v>1796</v>
      </c>
      <c r="C563" s="32" t="s">
        <v>2729</v>
      </c>
      <c r="D563" s="32" t="s">
        <v>2376</v>
      </c>
      <c r="E563" s="32" t="s">
        <v>1471</v>
      </c>
      <c r="F563" s="32" t="s">
        <v>1751</v>
      </c>
      <c r="G563" s="32">
        <f>IFERROR(INDEX(Ship!A$31:B$4500,MATCH(C563,Ship!A$31:A$4500,0),2),0)</f>
        <v>0</v>
      </c>
    </row>
    <row r="564" spans="1:7" x14ac:dyDescent="0.3">
      <c r="A564" s="32" t="s">
        <v>1795</v>
      </c>
      <c r="B564" s="32" t="s">
        <v>1796</v>
      </c>
      <c r="C564" s="32" t="s">
        <v>2730</v>
      </c>
      <c r="D564" s="32" t="s">
        <v>2379</v>
      </c>
      <c r="E564" s="32" t="s">
        <v>1471</v>
      </c>
      <c r="F564" s="32" t="s">
        <v>1751</v>
      </c>
      <c r="G564" s="32">
        <f>IFERROR(INDEX(Ship!A$31:B$4500,MATCH(C564,Ship!A$31:A$4500,0),2),0)</f>
        <v>302</v>
      </c>
    </row>
    <row r="565" spans="1:7" x14ac:dyDescent="0.3">
      <c r="A565" s="32" t="s">
        <v>1795</v>
      </c>
      <c r="B565" s="32" t="s">
        <v>1796</v>
      </c>
      <c r="C565" s="32" t="s">
        <v>2731</v>
      </c>
      <c r="D565" s="32" t="s">
        <v>2382</v>
      </c>
      <c r="E565" s="32" t="s">
        <v>1471</v>
      </c>
      <c r="F565" s="32" t="s">
        <v>1751</v>
      </c>
      <c r="G565" s="32">
        <f>IFERROR(INDEX(Ship!A$31:B$4500,MATCH(C565,Ship!A$31:A$4500,0),2),0)</f>
        <v>0</v>
      </c>
    </row>
    <row r="566" spans="1:7" x14ac:dyDescent="0.3">
      <c r="A566" s="32" t="s">
        <v>1795</v>
      </c>
      <c r="B566" s="32" t="s">
        <v>1796</v>
      </c>
      <c r="C566" s="32" t="s">
        <v>2732</v>
      </c>
      <c r="D566" s="32" t="s">
        <v>2385</v>
      </c>
      <c r="E566" s="32" t="s">
        <v>1471</v>
      </c>
      <c r="F566" s="32" t="s">
        <v>1751</v>
      </c>
      <c r="G566" s="32">
        <f>IFERROR(INDEX(Ship!A$31:B$4500,MATCH(C566,Ship!A$31:A$4500,0),2),0)</f>
        <v>21</v>
      </c>
    </row>
    <row r="567" spans="1:7" x14ac:dyDescent="0.3">
      <c r="A567" s="32" t="s">
        <v>1795</v>
      </c>
      <c r="B567" s="32" t="s">
        <v>1796</v>
      </c>
      <c r="C567" s="32" t="s">
        <v>2733</v>
      </c>
      <c r="D567" s="32" t="s">
        <v>2388</v>
      </c>
      <c r="E567" s="32" t="s">
        <v>1471</v>
      </c>
      <c r="F567" s="32" t="s">
        <v>1751</v>
      </c>
      <c r="G567" s="32">
        <f>IFERROR(INDEX(Ship!A$31:B$4500,MATCH(C567,Ship!A$31:A$4500,0),2),0)</f>
        <v>63</v>
      </c>
    </row>
    <row r="568" spans="1:7" x14ac:dyDescent="0.3">
      <c r="A568" s="32" t="s">
        <v>1795</v>
      </c>
      <c r="B568" s="32" t="s">
        <v>1796</v>
      </c>
      <c r="C568" s="32" t="s">
        <v>2734</v>
      </c>
      <c r="D568" s="32" t="s">
        <v>2391</v>
      </c>
      <c r="E568" s="32" t="s">
        <v>1471</v>
      </c>
      <c r="F568" s="32" t="s">
        <v>1751</v>
      </c>
      <c r="G568" s="32">
        <f>IFERROR(INDEX(Ship!A$31:B$4500,MATCH(C568,Ship!A$31:A$4500,0),2),0)</f>
        <v>413</v>
      </c>
    </row>
    <row r="569" spans="1:7" x14ac:dyDescent="0.3">
      <c r="A569" s="32" t="s">
        <v>1795</v>
      </c>
      <c r="B569" s="32" t="s">
        <v>1796</v>
      </c>
      <c r="C569" s="32" t="s">
        <v>2735</v>
      </c>
      <c r="D569" s="32" t="s">
        <v>2394</v>
      </c>
      <c r="E569" s="32" t="s">
        <v>1471</v>
      </c>
      <c r="F569" s="32" t="s">
        <v>1751</v>
      </c>
      <c r="G569" s="32">
        <f>IFERROR(INDEX(Ship!A$31:B$4500,MATCH(C569,Ship!A$31:A$4500,0),2),0)</f>
        <v>19</v>
      </c>
    </row>
    <row r="570" spans="1:7" x14ac:dyDescent="0.3">
      <c r="A570" s="32" t="s">
        <v>1795</v>
      </c>
      <c r="B570" s="32" t="s">
        <v>1796</v>
      </c>
      <c r="C570" s="32" t="s">
        <v>2736</v>
      </c>
      <c r="D570" s="32" t="s">
        <v>2397</v>
      </c>
      <c r="E570" s="32" t="s">
        <v>1471</v>
      </c>
      <c r="F570" s="32" t="s">
        <v>1751</v>
      </c>
      <c r="G570" s="32">
        <f>IFERROR(INDEX(Ship!A$31:B$4500,MATCH(C570,Ship!A$31:A$4500,0),2),0)</f>
        <v>51</v>
      </c>
    </row>
    <row r="571" spans="1:7" x14ac:dyDescent="0.3">
      <c r="A571" s="32" t="s">
        <v>1795</v>
      </c>
      <c r="B571" s="32" t="s">
        <v>1796</v>
      </c>
      <c r="C571" s="32" t="s">
        <v>2737</v>
      </c>
      <c r="D571" s="32" t="s">
        <v>2400</v>
      </c>
      <c r="E571" s="32" t="s">
        <v>1471</v>
      </c>
      <c r="F571" s="32" t="s">
        <v>1751</v>
      </c>
      <c r="G571" s="32">
        <f>IFERROR(INDEX(Ship!A$31:B$4500,MATCH(C571,Ship!A$31:A$4500,0),2),0)</f>
        <v>2</v>
      </c>
    </row>
    <row r="572" spans="1:7" x14ac:dyDescent="0.3">
      <c r="A572" s="32" t="s">
        <v>1795</v>
      </c>
      <c r="B572" s="32" t="s">
        <v>1796</v>
      </c>
      <c r="C572" s="32" t="s">
        <v>2738</v>
      </c>
      <c r="D572" s="32" t="s">
        <v>2403</v>
      </c>
      <c r="E572" s="32" t="s">
        <v>1471</v>
      </c>
      <c r="F572" s="32" t="s">
        <v>1751</v>
      </c>
      <c r="G572" s="32">
        <f>IFERROR(INDEX(Ship!A$31:B$4500,MATCH(C572,Ship!A$31:A$4500,0),2),0)</f>
        <v>18</v>
      </c>
    </row>
    <row r="573" spans="1:7" x14ac:dyDescent="0.3">
      <c r="A573" s="32" t="s">
        <v>1795</v>
      </c>
      <c r="B573" s="32" t="s">
        <v>1796</v>
      </c>
      <c r="C573" s="32" t="s">
        <v>2739</v>
      </c>
      <c r="D573" s="32" t="s">
        <v>2406</v>
      </c>
      <c r="E573" s="32" t="s">
        <v>1471</v>
      </c>
      <c r="F573" s="32" t="s">
        <v>1751</v>
      </c>
      <c r="G573" s="32">
        <f>IFERROR(INDEX(Ship!A$31:B$4500,MATCH(C573,Ship!A$31:A$4500,0),2),0)</f>
        <v>10</v>
      </c>
    </row>
    <row r="574" spans="1:7" x14ac:dyDescent="0.3">
      <c r="A574" s="32" t="s">
        <v>1795</v>
      </c>
      <c r="B574" s="32" t="s">
        <v>1796</v>
      </c>
      <c r="C574" s="32" t="s">
        <v>2740</v>
      </c>
      <c r="D574" s="32" t="s">
        <v>2409</v>
      </c>
      <c r="E574" s="32" t="s">
        <v>1471</v>
      </c>
      <c r="F574" s="32" t="s">
        <v>1751</v>
      </c>
      <c r="G574" s="32">
        <f>IFERROR(INDEX(Ship!A$31:B$4500,MATCH(C574,Ship!A$31:A$4500,0),2),0)</f>
        <v>1093</v>
      </c>
    </row>
    <row r="575" spans="1:7" x14ac:dyDescent="0.3">
      <c r="A575" s="32" t="s">
        <v>1795</v>
      </c>
      <c r="B575" s="32" t="s">
        <v>1796</v>
      </c>
      <c r="C575" s="32" t="s">
        <v>2741</v>
      </c>
      <c r="D575" s="32" t="s">
        <v>2412</v>
      </c>
      <c r="E575" s="32" t="s">
        <v>1471</v>
      </c>
      <c r="F575" s="32" t="s">
        <v>1751</v>
      </c>
      <c r="G575" s="32">
        <f>IFERROR(INDEX(Ship!A$31:B$4500,MATCH(C575,Ship!A$31:A$4500,0),2),0)</f>
        <v>0</v>
      </c>
    </row>
    <row r="576" spans="1:7" x14ac:dyDescent="0.3">
      <c r="A576" s="32" t="s">
        <v>1795</v>
      </c>
      <c r="B576" s="32" t="s">
        <v>1796</v>
      </c>
      <c r="C576" s="32" t="s">
        <v>2742</v>
      </c>
      <c r="D576" s="32" t="s">
        <v>2415</v>
      </c>
      <c r="E576" s="32" t="s">
        <v>1471</v>
      </c>
      <c r="F576" s="32" t="s">
        <v>1751</v>
      </c>
      <c r="G576" s="32">
        <f>IFERROR(INDEX(Ship!A$31:B$4500,MATCH(C576,Ship!A$31:A$4500,0),2),0)</f>
        <v>967</v>
      </c>
    </row>
    <row r="577" spans="1:7" x14ac:dyDescent="0.3">
      <c r="A577" s="32" t="s">
        <v>1795</v>
      </c>
      <c r="B577" s="32" t="s">
        <v>1796</v>
      </c>
      <c r="C577" s="32" t="s">
        <v>2743</v>
      </c>
      <c r="D577" s="32" t="s">
        <v>2418</v>
      </c>
      <c r="E577" s="32" t="s">
        <v>1471</v>
      </c>
      <c r="F577" s="32" t="s">
        <v>1751</v>
      </c>
      <c r="G577" s="32">
        <f>IFERROR(INDEX(Ship!A$31:B$4500,MATCH(C577,Ship!A$31:A$4500,0),2),0)</f>
        <v>29</v>
      </c>
    </row>
    <row r="578" spans="1:7" x14ac:dyDescent="0.3">
      <c r="A578" s="32" t="s">
        <v>1795</v>
      </c>
      <c r="B578" s="32" t="s">
        <v>1796</v>
      </c>
      <c r="C578" s="32" t="s">
        <v>2744</v>
      </c>
      <c r="D578" s="32" t="s">
        <v>2421</v>
      </c>
      <c r="E578" s="32" t="s">
        <v>1471</v>
      </c>
      <c r="F578" s="32" t="s">
        <v>1751</v>
      </c>
      <c r="G578" s="32">
        <f>IFERROR(INDEX(Ship!A$31:B$4500,MATCH(C578,Ship!A$31:A$4500,0),2),0)</f>
        <v>58</v>
      </c>
    </row>
    <row r="579" spans="1:7" x14ac:dyDescent="0.3">
      <c r="A579" s="32" t="s">
        <v>1795</v>
      </c>
      <c r="B579" s="32" t="s">
        <v>1796</v>
      </c>
      <c r="C579" s="32" t="s">
        <v>2745</v>
      </c>
      <c r="D579" s="32" t="s">
        <v>2424</v>
      </c>
      <c r="E579" s="32" t="s">
        <v>1471</v>
      </c>
      <c r="F579" s="32" t="s">
        <v>1751</v>
      </c>
      <c r="G579" s="32">
        <f>IFERROR(INDEX(Ship!A$31:B$4500,MATCH(C579,Ship!A$31:A$4500,0),2),0)</f>
        <v>9</v>
      </c>
    </row>
    <row r="580" spans="1:7" x14ac:dyDescent="0.3">
      <c r="A580" s="32" t="s">
        <v>1795</v>
      </c>
      <c r="B580" s="32" t="s">
        <v>1796</v>
      </c>
      <c r="C580" s="32" t="s">
        <v>2746</v>
      </c>
      <c r="D580" s="32" t="s">
        <v>2427</v>
      </c>
      <c r="E580" s="32" t="s">
        <v>1471</v>
      </c>
      <c r="F580" s="32" t="s">
        <v>1751</v>
      </c>
      <c r="G580" s="32">
        <f>IFERROR(INDEX(Ship!A$31:B$4500,MATCH(C580,Ship!A$31:A$4500,0),2),0)</f>
        <v>222</v>
      </c>
    </row>
    <row r="581" spans="1:7" x14ac:dyDescent="0.3">
      <c r="A581" s="32" t="s">
        <v>1795</v>
      </c>
      <c r="B581" s="32" t="s">
        <v>1796</v>
      </c>
      <c r="C581" s="32" t="s">
        <v>2747</v>
      </c>
      <c r="D581" s="32" t="s">
        <v>2430</v>
      </c>
      <c r="E581" s="32" t="s">
        <v>1471</v>
      </c>
      <c r="F581" s="32" t="s">
        <v>1751</v>
      </c>
      <c r="G581" s="32">
        <f>IFERROR(INDEX(Ship!A$31:B$4500,MATCH(C581,Ship!A$31:A$4500,0),2),0)</f>
        <v>26</v>
      </c>
    </row>
    <row r="582" spans="1:7" x14ac:dyDescent="0.3">
      <c r="A582" s="32" t="s">
        <v>1795</v>
      </c>
      <c r="B582" s="32" t="s">
        <v>1796</v>
      </c>
      <c r="C582" s="32" t="s">
        <v>2748</v>
      </c>
      <c r="D582" s="32" t="s">
        <v>2433</v>
      </c>
      <c r="E582" s="32" t="s">
        <v>1471</v>
      </c>
      <c r="F582" s="32" t="s">
        <v>1751</v>
      </c>
      <c r="G582" s="32">
        <f>IFERROR(INDEX(Ship!A$31:B$4500,MATCH(C582,Ship!A$31:A$4500,0),2),0)</f>
        <v>67</v>
      </c>
    </row>
    <row r="583" spans="1:7" x14ac:dyDescent="0.3">
      <c r="A583" s="32" t="s">
        <v>1795</v>
      </c>
      <c r="B583" s="32" t="s">
        <v>1796</v>
      </c>
      <c r="C583" s="32" t="s">
        <v>2749</v>
      </c>
      <c r="D583" s="32" t="s">
        <v>2436</v>
      </c>
      <c r="E583" s="32" t="s">
        <v>1471</v>
      </c>
      <c r="F583" s="32" t="s">
        <v>1751</v>
      </c>
      <c r="G583" s="32">
        <f>IFERROR(INDEX(Ship!A$31:B$4500,MATCH(C583,Ship!A$31:A$4500,0),2),0)</f>
        <v>0</v>
      </c>
    </row>
    <row r="584" spans="1:7" x14ac:dyDescent="0.3">
      <c r="A584" s="32" t="s">
        <v>1795</v>
      </c>
      <c r="B584" s="32" t="s">
        <v>1796</v>
      </c>
      <c r="C584" s="32" t="s">
        <v>2750</v>
      </c>
      <c r="D584" s="32" t="s">
        <v>2439</v>
      </c>
      <c r="E584" s="32" t="s">
        <v>1471</v>
      </c>
      <c r="F584" s="32" t="s">
        <v>1751</v>
      </c>
      <c r="G584" s="32">
        <f>IFERROR(INDEX(Ship!A$31:B$4500,MATCH(C584,Ship!A$31:A$4500,0),2),0)</f>
        <v>270</v>
      </c>
    </row>
    <row r="585" spans="1:7" x14ac:dyDescent="0.3">
      <c r="A585" s="32" t="s">
        <v>1795</v>
      </c>
      <c r="B585" s="32" t="s">
        <v>1796</v>
      </c>
      <c r="C585" s="32" t="s">
        <v>2751</v>
      </c>
      <c r="D585" s="32" t="s">
        <v>2442</v>
      </c>
      <c r="E585" s="32" t="s">
        <v>1471</v>
      </c>
      <c r="F585" s="32" t="s">
        <v>1751</v>
      </c>
      <c r="G585" s="32">
        <f>IFERROR(INDEX(Ship!A$31:B$4500,MATCH(C585,Ship!A$31:A$4500,0),2),0)</f>
        <v>864</v>
      </c>
    </row>
    <row r="586" spans="1:7" x14ac:dyDescent="0.3">
      <c r="A586" s="32" t="s">
        <v>1795</v>
      </c>
      <c r="B586" s="32" t="s">
        <v>1796</v>
      </c>
      <c r="C586" s="32" t="s">
        <v>2752</v>
      </c>
      <c r="D586" s="32" t="s">
        <v>2445</v>
      </c>
      <c r="E586" s="32" t="s">
        <v>1471</v>
      </c>
      <c r="F586" s="32" t="s">
        <v>1751</v>
      </c>
      <c r="G586" s="32">
        <f>IFERROR(INDEX(Ship!A$31:B$4500,MATCH(C586,Ship!A$31:A$4500,0),2),0)</f>
        <v>7</v>
      </c>
    </row>
    <row r="587" spans="1:7" x14ac:dyDescent="0.3">
      <c r="A587" s="32" t="s">
        <v>1795</v>
      </c>
      <c r="B587" s="32" t="s">
        <v>1796</v>
      </c>
      <c r="C587" s="32" t="s">
        <v>2753</v>
      </c>
      <c r="D587" s="32" t="s">
        <v>2448</v>
      </c>
      <c r="E587" s="32" t="s">
        <v>1471</v>
      </c>
      <c r="F587" s="32" t="s">
        <v>1751</v>
      </c>
      <c r="G587" s="32">
        <f>IFERROR(INDEX(Ship!A$31:B$4500,MATCH(C587,Ship!A$31:A$4500,0),2),0)</f>
        <v>338</v>
      </c>
    </row>
    <row r="588" spans="1:7" x14ac:dyDescent="0.3">
      <c r="A588" s="32" t="s">
        <v>1795</v>
      </c>
      <c r="B588" s="32" t="s">
        <v>1796</v>
      </c>
      <c r="C588" s="32" t="s">
        <v>2754</v>
      </c>
      <c r="D588" s="32" t="s">
        <v>2451</v>
      </c>
      <c r="E588" s="32" t="s">
        <v>1471</v>
      </c>
      <c r="F588" s="32" t="s">
        <v>1751</v>
      </c>
      <c r="G588" s="32">
        <f>IFERROR(INDEX(Ship!A$31:B$4500,MATCH(C588,Ship!A$31:A$4500,0),2),0)</f>
        <v>0</v>
      </c>
    </row>
    <row r="589" spans="1:7" x14ac:dyDescent="0.3">
      <c r="A589" s="32" t="s">
        <v>1795</v>
      </c>
      <c r="B589" s="32" t="s">
        <v>1796</v>
      </c>
      <c r="C589" s="32" t="s">
        <v>2755</v>
      </c>
      <c r="D589" s="32" t="s">
        <v>2454</v>
      </c>
      <c r="E589" s="32" t="s">
        <v>1471</v>
      </c>
      <c r="F589" s="32" t="s">
        <v>1751</v>
      </c>
      <c r="G589" s="32">
        <f>IFERROR(INDEX(Ship!A$31:B$4500,MATCH(C589,Ship!A$31:A$4500,0),2),0)</f>
        <v>0</v>
      </c>
    </row>
    <row r="590" spans="1:7" x14ac:dyDescent="0.3">
      <c r="A590" s="32" t="s">
        <v>1795</v>
      </c>
      <c r="B590" s="32" t="s">
        <v>1796</v>
      </c>
      <c r="C590" s="32" t="s">
        <v>2756</v>
      </c>
      <c r="D590" s="32" t="s">
        <v>2457</v>
      </c>
      <c r="E590" s="32" t="s">
        <v>1471</v>
      </c>
      <c r="F590" s="32" t="s">
        <v>1751</v>
      </c>
      <c r="G590" s="32">
        <f>IFERROR(INDEX(Ship!A$31:B$4500,MATCH(C590,Ship!A$31:A$4500,0),2),0)</f>
        <v>120</v>
      </c>
    </row>
    <row r="591" spans="1:7" x14ac:dyDescent="0.3">
      <c r="A591" s="32" t="s">
        <v>1795</v>
      </c>
      <c r="B591" s="32" t="s">
        <v>1796</v>
      </c>
      <c r="C591" s="32" t="s">
        <v>2757</v>
      </c>
      <c r="D591" s="32" t="s">
        <v>2460</v>
      </c>
      <c r="E591" s="32" t="s">
        <v>1471</v>
      </c>
      <c r="F591" s="32" t="s">
        <v>1751</v>
      </c>
      <c r="G591" s="32">
        <f>IFERROR(INDEX(Ship!A$31:B$4500,MATCH(C591,Ship!A$31:A$4500,0),2),0)</f>
        <v>0</v>
      </c>
    </row>
    <row r="592" spans="1:7" x14ac:dyDescent="0.3">
      <c r="A592" s="32" t="s">
        <v>1795</v>
      </c>
      <c r="B592" s="32" t="s">
        <v>1796</v>
      </c>
      <c r="C592" s="32" t="s">
        <v>2758</v>
      </c>
      <c r="D592" s="32" t="s">
        <v>2463</v>
      </c>
      <c r="E592" s="32" t="s">
        <v>1471</v>
      </c>
      <c r="F592" s="32" t="s">
        <v>1751</v>
      </c>
      <c r="G592" s="32">
        <f>IFERROR(INDEX(Ship!A$31:B$4500,MATCH(C592,Ship!A$31:A$4500,0),2),0)</f>
        <v>0</v>
      </c>
    </row>
    <row r="593" spans="1:7" x14ac:dyDescent="0.3">
      <c r="A593" s="32" t="s">
        <v>1795</v>
      </c>
      <c r="B593" s="32" t="s">
        <v>1796</v>
      </c>
      <c r="C593" s="32" t="s">
        <v>2759</v>
      </c>
      <c r="D593" s="32" t="s">
        <v>2466</v>
      </c>
      <c r="E593" s="32" t="s">
        <v>1471</v>
      </c>
      <c r="F593" s="32" t="s">
        <v>1751</v>
      </c>
      <c r="G593" s="32">
        <f>IFERROR(INDEX(Ship!A$31:B$4500,MATCH(C593,Ship!A$31:A$4500,0),2),0)</f>
        <v>1</v>
      </c>
    </row>
    <row r="594" spans="1:7" x14ac:dyDescent="0.3">
      <c r="A594" s="32" t="s">
        <v>1795</v>
      </c>
      <c r="B594" s="32" t="s">
        <v>1796</v>
      </c>
      <c r="C594" s="32" t="s">
        <v>2760</v>
      </c>
      <c r="D594" s="32" t="s">
        <v>2469</v>
      </c>
      <c r="E594" s="32" t="s">
        <v>1471</v>
      </c>
      <c r="F594" s="32" t="s">
        <v>1751</v>
      </c>
      <c r="G594" s="32">
        <f>IFERROR(INDEX(Ship!A$31:B$4500,MATCH(C594,Ship!A$31:A$4500,0),2),0)</f>
        <v>0</v>
      </c>
    </row>
    <row r="595" spans="1:7" x14ac:dyDescent="0.3">
      <c r="A595" s="32" t="s">
        <v>1795</v>
      </c>
      <c r="B595" s="32" t="s">
        <v>1796</v>
      </c>
      <c r="C595" s="32" t="s">
        <v>2761</v>
      </c>
      <c r="D595" s="32" t="s">
        <v>2472</v>
      </c>
      <c r="E595" s="32" t="s">
        <v>1471</v>
      </c>
      <c r="F595" s="32" t="s">
        <v>1751</v>
      </c>
      <c r="G595" s="32">
        <f>IFERROR(INDEX(Ship!A$31:B$4500,MATCH(C595,Ship!A$31:A$4500,0),2),0)</f>
        <v>0</v>
      </c>
    </row>
    <row r="596" spans="1:7" x14ac:dyDescent="0.3">
      <c r="A596" s="32" t="s">
        <v>1795</v>
      </c>
      <c r="B596" s="32" t="s">
        <v>1796</v>
      </c>
      <c r="C596" s="32" t="s">
        <v>2762</v>
      </c>
      <c r="D596" s="32" t="s">
        <v>2475</v>
      </c>
      <c r="E596" s="32" t="s">
        <v>1471</v>
      </c>
      <c r="F596" s="32" t="s">
        <v>1751</v>
      </c>
      <c r="G596" s="32">
        <f>IFERROR(INDEX(Ship!A$31:B$4500,MATCH(C596,Ship!A$31:A$4500,0),2),0)</f>
        <v>3</v>
      </c>
    </row>
    <row r="597" spans="1:7" x14ac:dyDescent="0.3">
      <c r="A597" s="32" t="s">
        <v>1795</v>
      </c>
      <c r="B597" s="32" t="s">
        <v>1796</v>
      </c>
      <c r="C597" s="32" t="s">
        <v>2763</v>
      </c>
      <c r="D597" s="32" t="s">
        <v>2478</v>
      </c>
      <c r="E597" s="32" t="s">
        <v>1471</v>
      </c>
      <c r="F597" s="32" t="s">
        <v>1751</v>
      </c>
      <c r="G597" s="32">
        <f>IFERROR(INDEX(Ship!A$31:B$4500,MATCH(C597,Ship!A$31:A$4500,0),2),0)</f>
        <v>2</v>
      </c>
    </row>
    <row r="598" spans="1:7" x14ac:dyDescent="0.3">
      <c r="A598" s="32" t="s">
        <v>1795</v>
      </c>
      <c r="B598" s="32" t="s">
        <v>1796</v>
      </c>
      <c r="C598" s="32" t="s">
        <v>2764</v>
      </c>
      <c r="D598" s="32" t="s">
        <v>2481</v>
      </c>
      <c r="E598" s="32" t="s">
        <v>1471</v>
      </c>
      <c r="F598" s="32" t="s">
        <v>1751</v>
      </c>
      <c r="G598" s="32">
        <f>IFERROR(INDEX(Ship!A$31:B$4500,MATCH(C598,Ship!A$31:A$4500,0),2),0)</f>
        <v>1141</v>
      </c>
    </row>
    <row r="599" spans="1:7" x14ac:dyDescent="0.3">
      <c r="A599" s="32" t="s">
        <v>1795</v>
      </c>
      <c r="B599" s="32" t="s">
        <v>1796</v>
      </c>
      <c r="C599" s="32" t="s">
        <v>2765</v>
      </c>
      <c r="D599" s="32" t="s">
        <v>2484</v>
      </c>
      <c r="E599" s="32" t="s">
        <v>1471</v>
      </c>
      <c r="F599" s="32" t="s">
        <v>1751</v>
      </c>
      <c r="G599" s="32">
        <f>IFERROR(INDEX(Ship!A$31:B$4500,MATCH(C599,Ship!A$31:A$4500,0),2),0)</f>
        <v>424</v>
      </c>
    </row>
    <row r="600" spans="1:7" x14ac:dyDescent="0.3">
      <c r="A600" s="32" t="s">
        <v>1795</v>
      </c>
      <c r="B600" s="32" t="s">
        <v>1796</v>
      </c>
      <c r="C600" s="32" t="s">
        <v>2766</v>
      </c>
      <c r="D600" s="32" t="s">
        <v>2487</v>
      </c>
      <c r="E600" s="32" t="s">
        <v>1471</v>
      </c>
      <c r="F600" s="32" t="s">
        <v>1751</v>
      </c>
      <c r="G600" s="32">
        <f>IFERROR(INDEX(Ship!A$31:B$4500,MATCH(C600,Ship!A$31:A$4500,0),2),0)</f>
        <v>566</v>
      </c>
    </row>
    <row r="601" spans="1:7" x14ac:dyDescent="0.3">
      <c r="A601" s="32" t="s">
        <v>1795</v>
      </c>
      <c r="B601" s="32" t="s">
        <v>1796</v>
      </c>
      <c r="C601" s="32" t="s">
        <v>2767</v>
      </c>
      <c r="D601" s="32" t="s">
        <v>2490</v>
      </c>
      <c r="E601" s="32" t="s">
        <v>1471</v>
      </c>
      <c r="F601" s="32" t="s">
        <v>1751</v>
      </c>
      <c r="G601" s="32">
        <f>IFERROR(INDEX(Ship!A$31:B$4500,MATCH(C601,Ship!A$31:A$4500,0),2),0)</f>
        <v>229</v>
      </c>
    </row>
    <row r="602" spans="1:7" x14ac:dyDescent="0.3">
      <c r="A602" s="32" t="s">
        <v>1795</v>
      </c>
      <c r="B602" s="32" t="s">
        <v>1796</v>
      </c>
      <c r="C602" s="32" t="s">
        <v>2768</v>
      </c>
      <c r="D602" s="32" t="s">
        <v>2493</v>
      </c>
      <c r="E602" s="32" t="s">
        <v>1471</v>
      </c>
      <c r="F602" s="32" t="s">
        <v>1751</v>
      </c>
      <c r="G602" s="32">
        <f>IFERROR(INDEX(Ship!A$31:B$4500,MATCH(C602,Ship!A$31:A$4500,0),2),0)</f>
        <v>219</v>
      </c>
    </row>
    <row r="603" spans="1:7" x14ac:dyDescent="0.3">
      <c r="A603" s="32" t="s">
        <v>1795</v>
      </c>
      <c r="B603" s="32" t="s">
        <v>1796</v>
      </c>
      <c r="C603" s="32" t="s">
        <v>2769</v>
      </c>
      <c r="D603" s="32" t="s">
        <v>2496</v>
      </c>
      <c r="E603" s="32" t="s">
        <v>1471</v>
      </c>
      <c r="F603" s="32" t="s">
        <v>1751</v>
      </c>
      <c r="G603" s="32">
        <f>IFERROR(INDEX(Ship!A$31:B$4500,MATCH(C603,Ship!A$31:A$4500,0),2),0)</f>
        <v>364</v>
      </c>
    </row>
    <row r="604" spans="1:7" x14ac:dyDescent="0.3">
      <c r="A604" s="32" t="s">
        <v>1795</v>
      </c>
      <c r="B604" s="32" t="s">
        <v>1796</v>
      </c>
      <c r="C604" s="32" t="s">
        <v>2770</v>
      </c>
      <c r="D604" s="32" t="s">
        <v>1797</v>
      </c>
      <c r="E604" s="32" t="s">
        <v>1471</v>
      </c>
      <c r="F604" s="32" t="s">
        <v>1752</v>
      </c>
      <c r="G604" s="32">
        <f>IFERROR(INDEX(Ship!A$31:B$4500,MATCH(C604,Ship!A$31:A$4500,0),2),0)</f>
        <v>0</v>
      </c>
    </row>
    <row r="605" spans="1:7" x14ac:dyDescent="0.3">
      <c r="A605" s="32" t="s">
        <v>1795</v>
      </c>
      <c r="B605" s="32" t="s">
        <v>1796</v>
      </c>
      <c r="C605" s="32" t="s">
        <v>2771</v>
      </c>
      <c r="D605" s="32" t="s">
        <v>1798</v>
      </c>
      <c r="E605" s="32" t="s">
        <v>1471</v>
      </c>
      <c r="F605" s="32" t="s">
        <v>1752</v>
      </c>
      <c r="G605" s="32">
        <f>IFERROR(INDEX(Ship!A$31:B$4500,MATCH(C605,Ship!A$31:A$4500,0),2),0)</f>
        <v>119</v>
      </c>
    </row>
    <row r="606" spans="1:7" x14ac:dyDescent="0.3">
      <c r="A606" s="32" t="s">
        <v>1795</v>
      </c>
      <c r="B606" s="32" t="s">
        <v>1796</v>
      </c>
      <c r="C606" s="32" t="s">
        <v>2772</v>
      </c>
      <c r="D606" s="32" t="s">
        <v>1799</v>
      </c>
      <c r="E606" s="32" t="s">
        <v>1471</v>
      </c>
      <c r="F606" s="32" t="s">
        <v>1752</v>
      </c>
      <c r="G606" s="32">
        <f>IFERROR(INDEX(Ship!A$31:B$4500,MATCH(C606,Ship!A$31:A$4500,0),2),0)</f>
        <v>0</v>
      </c>
    </row>
    <row r="607" spans="1:7" x14ac:dyDescent="0.3">
      <c r="A607" s="32" t="s">
        <v>1795</v>
      </c>
      <c r="B607" s="32" t="s">
        <v>1796</v>
      </c>
      <c r="C607" s="32" t="s">
        <v>2773</v>
      </c>
      <c r="D607" s="32" t="s">
        <v>1800</v>
      </c>
      <c r="E607" s="32" t="s">
        <v>1471</v>
      </c>
      <c r="F607" s="32" t="s">
        <v>1752</v>
      </c>
      <c r="G607" s="32">
        <f>IFERROR(INDEX(Ship!A$31:B$4500,MATCH(C607,Ship!A$31:A$4500,0),2),0)</f>
        <v>178</v>
      </c>
    </row>
    <row r="608" spans="1:7" x14ac:dyDescent="0.3">
      <c r="A608" s="32" t="s">
        <v>1795</v>
      </c>
      <c r="B608" s="32" t="s">
        <v>1796</v>
      </c>
      <c r="C608" s="32" t="s">
        <v>2774</v>
      </c>
      <c r="D608" s="32" t="s">
        <v>1801</v>
      </c>
      <c r="E608" s="32" t="s">
        <v>1471</v>
      </c>
      <c r="F608" s="32" t="s">
        <v>1752</v>
      </c>
      <c r="G608" s="32">
        <f>IFERROR(INDEX(Ship!A$31:B$4500,MATCH(C608,Ship!A$31:A$4500,0),2),0)</f>
        <v>0</v>
      </c>
    </row>
    <row r="609" spans="1:7" x14ac:dyDescent="0.3">
      <c r="A609" s="32" t="s">
        <v>1795</v>
      </c>
      <c r="B609" s="32" t="s">
        <v>1796</v>
      </c>
      <c r="C609" s="32" t="s">
        <v>2775</v>
      </c>
      <c r="D609" s="32" t="s">
        <v>1802</v>
      </c>
      <c r="E609" s="32" t="s">
        <v>1471</v>
      </c>
      <c r="F609" s="32" t="s">
        <v>1752</v>
      </c>
      <c r="G609" s="32">
        <f>IFERROR(INDEX(Ship!A$31:B$4500,MATCH(C609,Ship!A$31:A$4500,0),2),0)</f>
        <v>82</v>
      </c>
    </row>
    <row r="610" spans="1:7" x14ac:dyDescent="0.3">
      <c r="A610" s="32" t="s">
        <v>1795</v>
      </c>
      <c r="B610" s="32" t="s">
        <v>1796</v>
      </c>
      <c r="C610" s="32" t="s">
        <v>2776</v>
      </c>
      <c r="D610" s="32" t="s">
        <v>1803</v>
      </c>
      <c r="E610" s="32" t="s">
        <v>1471</v>
      </c>
      <c r="F610" s="32" t="s">
        <v>1752</v>
      </c>
      <c r="G610" s="32">
        <f>IFERROR(INDEX(Ship!A$31:B$4500,MATCH(C610,Ship!A$31:A$4500,0),2),0)</f>
        <v>0</v>
      </c>
    </row>
    <row r="611" spans="1:7" x14ac:dyDescent="0.3">
      <c r="A611" s="32" t="s">
        <v>1795</v>
      </c>
      <c r="B611" s="32" t="s">
        <v>1796</v>
      </c>
      <c r="C611" s="32" t="s">
        <v>2777</v>
      </c>
      <c r="D611" s="32" t="s">
        <v>1804</v>
      </c>
      <c r="E611" s="32" t="s">
        <v>1471</v>
      </c>
      <c r="F611" s="32" t="s">
        <v>1752</v>
      </c>
      <c r="G611" s="32">
        <f>IFERROR(INDEX(Ship!A$31:B$4500,MATCH(C611,Ship!A$31:A$4500,0),2),0)</f>
        <v>344</v>
      </c>
    </row>
    <row r="612" spans="1:7" x14ac:dyDescent="0.3">
      <c r="A612" s="32" t="s">
        <v>1795</v>
      </c>
      <c r="B612" s="32" t="s">
        <v>1796</v>
      </c>
      <c r="C612" s="32" t="s">
        <v>2778</v>
      </c>
      <c r="D612" s="32" t="s">
        <v>1805</v>
      </c>
      <c r="E612" s="32" t="s">
        <v>1471</v>
      </c>
      <c r="F612" s="32" t="s">
        <v>1752</v>
      </c>
      <c r="G612" s="32">
        <f>IFERROR(INDEX(Ship!A$31:B$4500,MATCH(C612,Ship!A$31:A$4500,0),2),0)</f>
        <v>0</v>
      </c>
    </row>
    <row r="613" spans="1:7" x14ac:dyDescent="0.3">
      <c r="A613" s="32" t="s">
        <v>1795</v>
      </c>
      <c r="B613" s="32" t="s">
        <v>1796</v>
      </c>
      <c r="C613" s="32" t="s">
        <v>2779</v>
      </c>
      <c r="D613" s="32" t="s">
        <v>1806</v>
      </c>
      <c r="E613" s="32" t="s">
        <v>1471</v>
      </c>
      <c r="F613" s="32" t="s">
        <v>1752</v>
      </c>
      <c r="G613" s="32">
        <f>IFERROR(INDEX(Ship!A$31:B$4500,MATCH(C613,Ship!A$31:A$4500,0),2),0)</f>
        <v>280</v>
      </c>
    </row>
    <row r="614" spans="1:7" x14ac:dyDescent="0.3">
      <c r="A614" s="32" t="s">
        <v>1795</v>
      </c>
      <c r="B614" s="32" t="s">
        <v>1796</v>
      </c>
      <c r="C614" s="32" t="s">
        <v>2780</v>
      </c>
      <c r="D614" s="32" t="s">
        <v>1807</v>
      </c>
      <c r="E614" s="32" t="s">
        <v>1471</v>
      </c>
      <c r="F614" s="32" t="s">
        <v>1752</v>
      </c>
      <c r="G614" s="32">
        <f>IFERROR(INDEX(Ship!A$31:B$4500,MATCH(C614,Ship!A$31:A$4500,0),2),0)</f>
        <v>0</v>
      </c>
    </row>
    <row r="615" spans="1:7" x14ac:dyDescent="0.3">
      <c r="A615" s="32" t="s">
        <v>1795</v>
      </c>
      <c r="B615" s="32" t="s">
        <v>1796</v>
      </c>
      <c r="C615" s="32" t="s">
        <v>2781</v>
      </c>
      <c r="D615" s="32" t="s">
        <v>1808</v>
      </c>
      <c r="E615" s="32" t="s">
        <v>1471</v>
      </c>
      <c r="F615" s="32" t="s">
        <v>1752</v>
      </c>
      <c r="G615" s="32">
        <f>IFERROR(INDEX(Ship!A$31:B$4500,MATCH(C615,Ship!A$31:A$4500,0),2),0)</f>
        <v>112</v>
      </c>
    </row>
    <row r="616" spans="1:7" x14ac:dyDescent="0.3">
      <c r="A616" s="32" t="s">
        <v>1795</v>
      </c>
      <c r="B616" s="32" t="s">
        <v>1796</v>
      </c>
      <c r="C616" s="32" t="s">
        <v>2782</v>
      </c>
      <c r="D616" s="32" t="s">
        <v>1809</v>
      </c>
      <c r="E616" s="32" t="s">
        <v>1471</v>
      </c>
      <c r="F616" s="32" t="s">
        <v>1752</v>
      </c>
      <c r="G616" s="32">
        <f>IFERROR(INDEX(Ship!A$31:B$4500,MATCH(C616,Ship!A$31:A$4500,0),2),0)</f>
        <v>0</v>
      </c>
    </row>
    <row r="617" spans="1:7" x14ac:dyDescent="0.3">
      <c r="A617" s="32" t="s">
        <v>1795</v>
      </c>
      <c r="B617" s="32" t="s">
        <v>1796</v>
      </c>
      <c r="C617" s="32" t="s">
        <v>2783</v>
      </c>
      <c r="D617" s="32" t="s">
        <v>1810</v>
      </c>
      <c r="E617" s="32" t="s">
        <v>1471</v>
      </c>
      <c r="F617" s="32" t="s">
        <v>1752</v>
      </c>
      <c r="G617" s="32">
        <f>IFERROR(INDEX(Ship!A$31:B$4500,MATCH(C617,Ship!A$31:A$4500,0),2),0)</f>
        <v>18</v>
      </c>
    </row>
    <row r="618" spans="1:7" x14ac:dyDescent="0.3">
      <c r="A618" s="32" t="s">
        <v>1795</v>
      </c>
      <c r="B618" s="32" t="s">
        <v>1796</v>
      </c>
      <c r="C618" s="32" t="s">
        <v>2784</v>
      </c>
      <c r="D618" s="32" t="s">
        <v>1811</v>
      </c>
      <c r="E618" s="32" t="s">
        <v>1471</v>
      </c>
      <c r="F618" s="32" t="s">
        <v>1752</v>
      </c>
      <c r="G618" s="32">
        <f>IFERROR(INDEX(Ship!A$31:B$4500,MATCH(C618,Ship!A$31:A$4500,0),2),0)</f>
        <v>0</v>
      </c>
    </row>
    <row r="619" spans="1:7" x14ac:dyDescent="0.3">
      <c r="A619" s="32" t="s">
        <v>1795</v>
      </c>
      <c r="B619" s="32" t="s">
        <v>1796</v>
      </c>
      <c r="C619" s="32" t="s">
        <v>2785</v>
      </c>
      <c r="D619" s="32" t="s">
        <v>1812</v>
      </c>
      <c r="E619" s="32" t="s">
        <v>1471</v>
      </c>
      <c r="F619" s="32" t="s">
        <v>1752</v>
      </c>
      <c r="G619" s="32">
        <f>IFERROR(INDEX(Ship!A$31:B$4500,MATCH(C619,Ship!A$31:A$4500,0),2),0)</f>
        <v>384</v>
      </c>
    </row>
    <row r="620" spans="1:7" x14ac:dyDescent="0.3">
      <c r="A620" s="32" t="s">
        <v>1795</v>
      </c>
      <c r="B620" s="32" t="s">
        <v>1796</v>
      </c>
      <c r="C620" s="32" t="s">
        <v>2786</v>
      </c>
      <c r="D620" s="32" t="s">
        <v>1813</v>
      </c>
      <c r="E620" s="32" t="s">
        <v>1471</v>
      </c>
      <c r="F620" s="32" t="s">
        <v>1752</v>
      </c>
      <c r="G620" s="32">
        <f>IFERROR(INDEX(Ship!A$31:B$4500,MATCH(C620,Ship!A$31:A$4500,0),2),0)</f>
        <v>0</v>
      </c>
    </row>
    <row r="621" spans="1:7" x14ac:dyDescent="0.3">
      <c r="A621" s="32" t="s">
        <v>1795</v>
      </c>
      <c r="B621" s="32" t="s">
        <v>1796</v>
      </c>
      <c r="C621" s="32" t="s">
        <v>2787</v>
      </c>
      <c r="D621" s="32" t="s">
        <v>1814</v>
      </c>
      <c r="E621" s="32" t="s">
        <v>1471</v>
      </c>
      <c r="F621" s="32" t="s">
        <v>1752</v>
      </c>
      <c r="G621" s="32">
        <f>IFERROR(INDEX(Ship!A$31:B$4500,MATCH(C621,Ship!A$31:A$4500,0),2),0)</f>
        <v>146</v>
      </c>
    </row>
    <row r="622" spans="1:7" x14ac:dyDescent="0.3">
      <c r="A622" s="32" t="s">
        <v>1795</v>
      </c>
      <c r="B622" s="32" t="s">
        <v>1796</v>
      </c>
      <c r="C622" s="32" t="s">
        <v>2788</v>
      </c>
      <c r="D622" s="32" t="s">
        <v>1815</v>
      </c>
      <c r="E622" s="32" t="s">
        <v>1471</v>
      </c>
      <c r="F622" s="32" t="s">
        <v>1752</v>
      </c>
      <c r="G622" s="32">
        <f>IFERROR(INDEX(Ship!A$31:B$4500,MATCH(C622,Ship!A$31:A$4500,0),2),0)</f>
        <v>0</v>
      </c>
    </row>
    <row r="623" spans="1:7" x14ac:dyDescent="0.3">
      <c r="A623" s="32" t="s">
        <v>1795</v>
      </c>
      <c r="B623" s="32" t="s">
        <v>1796</v>
      </c>
      <c r="C623" s="32" t="s">
        <v>2789</v>
      </c>
      <c r="D623" s="32" t="s">
        <v>1816</v>
      </c>
      <c r="E623" s="32" t="s">
        <v>1471</v>
      </c>
      <c r="F623" s="32" t="s">
        <v>1752</v>
      </c>
      <c r="G623" s="32">
        <f>IFERROR(INDEX(Ship!A$31:B$4500,MATCH(C623,Ship!A$31:A$4500,0),2),0)</f>
        <v>115</v>
      </c>
    </row>
    <row r="624" spans="1:7" x14ac:dyDescent="0.3">
      <c r="A624" s="32" t="s">
        <v>1795</v>
      </c>
      <c r="B624" s="32" t="s">
        <v>1796</v>
      </c>
      <c r="C624" s="32" t="s">
        <v>2790</v>
      </c>
      <c r="D624" s="32" t="s">
        <v>1817</v>
      </c>
      <c r="E624" s="32" t="s">
        <v>1471</v>
      </c>
      <c r="F624" s="32" t="s">
        <v>1752</v>
      </c>
      <c r="G624" s="32">
        <f>IFERROR(INDEX(Ship!A$31:B$4500,MATCH(C624,Ship!A$31:A$4500,0),2),0)</f>
        <v>0</v>
      </c>
    </row>
    <row r="625" spans="1:7" x14ac:dyDescent="0.3">
      <c r="A625" s="32" t="s">
        <v>1795</v>
      </c>
      <c r="B625" s="32" t="s">
        <v>1796</v>
      </c>
      <c r="C625" s="32" t="s">
        <v>2791</v>
      </c>
      <c r="D625" s="32" t="s">
        <v>1818</v>
      </c>
      <c r="E625" s="32" t="s">
        <v>1471</v>
      </c>
      <c r="F625" s="32" t="s">
        <v>1752</v>
      </c>
      <c r="G625" s="32">
        <f>IFERROR(INDEX(Ship!A$31:B$4500,MATCH(C625,Ship!A$31:A$4500,0),2),0)</f>
        <v>204</v>
      </c>
    </row>
    <row r="626" spans="1:7" x14ac:dyDescent="0.3">
      <c r="A626" s="32" t="s">
        <v>1795</v>
      </c>
      <c r="B626" s="32" t="s">
        <v>1796</v>
      </c>
      <c r="C626" s="32" t="s">
        <v>2792</v>
      </c>
      <c r="D626" s="32" t="s">
        <v>1819</v>
      </c>
      <c r="E626" s="32" t="s">
        <v>1471</v>
      </c>
      <c r="F626" s="32" t="s">
        <v>1752</v>
      </c>
      <c r="G626" s="32">
        <f>IFERROR(INDEX(Ship!A$31:B$4500,MATCH(C626,Ship!A$31:A$4500,0),2),0)</f>
        <v>0</v>
      </c>
    </row>
    <row r="627" spans="1:7" x14ac:dyDescent="0.3">
      <c r="A627" s="32" t="s">
        <v>1795</v>
      </c>
      <c r="B627" s="32" t="s">
        <v>1796</v>
      </c>
      <c r="C627" s="32" t="s">
        <v>2793</v>
      </c>
      <c r="D627" s="32" t="s">
        <v>1820</v>
      </c>
      <c r="E627" s="32" t="s">
        <v>1471</v>
      </c>
      <c r="F627" s="32" t="s">
        <v>1752</v>
      </c>
      <c r="G627" s="32">
        <f>IFERROR(INDEX(Ship!A$31:B$4500,MATCH(C627,Ship!A$31:A$4500,0),2),0)</f>
        <v>23</v>
      </c>
    </row>
    <row r="628" spans="1:7" x14ac:dyDescent="0.3">
      <c r="A628" s="32" t="s">
        <v>1795</v>
      </c>
      <c r="B628" s="32" t="s">
        <v>1796</v>
      </c>
      <c r="C628" s="32" t="s">
        <v>2794</v>
      </c>
      <c r="D628" s="32" t="s">
        <v>1821</v>
      </c>
      <c r="E628" s="32" t="s">
        <v>1471</v>
      </c>
      <c r="F628" s="32" t="s">
        <v>1752</v>
      </c>
      <c r="G628" s="32">
        <f>IFERROR(INDEX(Ship!A$31:B$4500,MATCH(C628,Ship!A$31:A$4500,0),2),0)</f>
        <v>0</v>
      </c>
    </row>
    <row r="629" spans="1:7" x14ac:dyDescent="0.3">
      <c r="A629" s="32" t="s">
        <v>1795</v>
      </c>
      <c r="B629" s="32" t="s">
        <v>1796</v>
      </c>
      <c r="C629" s="32" t="s">
        <v>2795</v>
      </c>
      <c r="D629" s="32" t="s">
        <v>1822</v>
      </c>
      <c r="E629" s="32" t="s">
        <v>1471</v>
      </c>
      <c r="F629" s="32" t="s">
        <v>1752</v>
      </c>
      <c r="G629" s="32">
        <f>IFERROR(INDEX(Ship!A$31:B$4500,MATCH(C629,Ship!A$31:A$4500,0),2),0)</f>
        <v>0</v>
      </c>
    </row>
    <row r="630" spans="1:7" x14ac:dyDescent="0.3">
      <c r="A630" s="32" t="s">
        <v>1795</v>
      </c>
      <c r="B630" s="32" t="s">
        <v>1796</v>
      </c>
      <c r="C630" s="32" t="s">
        <v>2796</v>
      </c>
      <c r="D630" s="32" t="s">
        <v>1823</v>
      </c>
      <c r="E630" s="32" t="s">
        <v>1471</v>
      </c>
      <c r="F630" s="32" t="s">
        <v>1752</v>
      </c>
      <c r="G630" s="32">
        <f>IFERROR(INDEX(Ship!A$31:B$4500,MATCH(C630,Ship!A$31:A$4500,0),2),0)</f>
        <v>0</v>
      </c>
    </row>
    <row r="631" spans="1:7" x14ac:dyDescent="0.3">
      <c r="A631" s="32" t="s">
        <v>1795</v>
      </c>
      <c r="B631" s="32" t="s">
        <v>1796</v>
      </c>
      <c r="C631" s="32" t="s">
        <v>2797</v>
      </c>
      <c r="D631" s="32" t="s">
        <v>1824</v>
      </c>
      <c r="E631" s="32" t="s">
        <v>1471</v>
      </c>
      <c r="F631" s="32" t="s">
        <v>1752</v>
      </c>
      <c r="G631" s="32">
        <f>IFERROR(INDEX(Ship!A$31:B$4500,MATCH(C631,Ship!A$31:A$4500,0),2),0)</f>
        <v>94</v>
      </c>
    </row>
    <row r="632" spans="1:7" x14ac:dyDescent="0.3">
      <c r="A632" s="32" t="s">
        <v>1795</v>
      </c>
      <c r="B632" s="32" t="s">
        <v>1796</v>
      </c>
      <c r="C632" s="32" t="s">
        <v>2798</v>
      </c>
      <c r="D632" s="32" t="s">
        <v>1825</v>
      </c>
      <c r="E632" s="32" t="s">
        <v>1471</v>
      </c>
      <c r="F632" s="32" t="s">
        <v>1752</v>
      </c>
      <c r="G632" s="32">
        <f>IFERROR(INDEX(Ship!A$31:B$4500,MATCH(C632,Ship!A$31:A$4500,0),2),0)</f>
        <v>0</v>
      </c>
    </row>
    <row r="633" spans="1:7" x14ac:dyDescent="0.3">
      <c r="A633" s="32" t="s">
        <v>1795</v>
      </c>
      <c r="B633" s="32" t="s">
        <v>1796</v>
      </c>
      <c r="C633" s="32" t="s">
        <v>2799</v>
      </c>
      <c r="D633" s="32" t="s">
        <v>1826</v>
      </c>
      <c r="E633" s="32" t="s">
        <v>1471</v>
      </c>
      <c r="F633" s="32" t="s">
        <v>1752</v>
      </c>
      <c r="G633" s="32">
        <f>IFERROR(INDEX(Ship!A$31:B$4500,MATCH(C633,Ship!A$31:A$4500,0),2),0)</f>
        <v>288</v>
      </c>
    </row>
    <row r="634" spans="1:7" x14ac:dyDescent="0.3">
      <c r="A634" s="32" t="s">
        <v>1795</v>
      </c>
      <c r="B634" s="32" t="s">
        <v>1796</v>
      </c>
      <c r="C634" s="32" t="s">
        <v>2800</v>
      </c>
      <c r="D634" s="32" t="s">
        <v>1827</v>
      </c>
      <c r="E634" s="32" t="s">
        <v>1471</v>
      </c>
      <c r="F634" s="32" t="s">
        <v>1752</v>
      </c>
      <c r="G634" s="32">
        <f>IFERROR(INDEX(Ship!A$31:B$4500,MATCH(C634,Ship!A$31:A$4500,0),2),0)</f>
        <v>0</v>
      </c>
    </row>
    <row r="635" spans="1:7" x14ac:dyDescent="0.3">
      <c r="A635" s="32" t="s">
        <v>1795</v>
      </c>
      <c r="B635" s="32" t="s">
        <v>1796</v>
      </c>
      <c r="C635" s="32" t="s">
        <v>2801</v>
      </c>
      <c r="D635" s="32" t="s">
        <v>1828</v>
      </c>
      <c r="E635" s="32" t="s">
        <v>1471</v>
      </c>
      <c r="F635" s="32" t="s">
        <v>1752</v>
      </c>
      <c r="G635" s="32">
        <f>IFERROR(INDEX(Ship!A$31:B$4500,MATCH(C635,Ship!A$31:A$4500,0),2),0)</f>
        <v>66</v>
      </c>
    </row>
    <row r="636" spans="1:7" x14ac:dyDescent="0.3">
      <c r="A636" s="32" t="s">
        <v>1795</v>
      </c>
      <c r="B636" s="32" t="s">
        <v>1796</v>
      </c>
      <c r="C636" s="32" t="s">
        <v>2802</v>
      </c>
      <c r="D636" s="32" t="s">
        <v>1829</v>
      </c>
      <c r="E636" s="32" t="s">
        <v>1471</v>
      </c>
      <c r="F636" s="32" t="s">
        <v>1752</v>
      </c>
      <c r="G636" s="32">
        <f>IFERROR(INDEX(Ship!A$31:B$4500,MATCH(C636,Ship!A$31:A$4500,0),2),0)</f>
        <v>0</v>
      </c>
    </row>
    <row r="637" spans="1:7" x14ac:dyDescent="0.3">
      <c r="A637" s="32" t="s">
        <v>1795</v>
      </c>
      <c r="B637" s="32" t="s">
        <v>1796</v>
      </c>
      <c r="C637" s="32" t="s">
        <v>2803</v>
      </c>
      <c r="D637" s="32" t="s">
        <v>1830</v>
      </c>
      <c r="E637" s="32" t="s">
        <v>1471</v>
      </c>
      <c r="F637" s="32" t="s">
        <v>1752</v>
      </c>
      <c r="G637" s="32">
        <f>IFERROR(INDEX(Ship!A$31:B$4500,MATCH(C637,Ship!A$31:A$4500,0),2),0)</f>
        <v>168</v>
      </c>
    </row>
    <row r="638" spans="1:7" x14ac:dyDescent="0.3">
      <c r="A638" s="32" t="s">
        <v>1795</v>
      </c>
      <c r="B638" s="32" t="s">
        <v>1796</v>
      </c>
      <c r="C638" s="32" t="s">
        <v>2804</v>
      </c>
      <c r="D638" s="32" t="s">
        <v>1831</v>
      </c>
      <c r="E638" s="32" t="s">
        <v>1471</v>
      </c>
      <c r="F638" s="32" t="s">
        <v>1752</v>
      </c>
      <c r="G638" s="32">
        <f>IFERROR(INDEX(Ship!A$31:B$4500,MATCH(C638,Ship!A$31:A$4500,0),2),0)</f>
        <v>0</v>
      </c>
    </row>
    <row r="639" spans="1:7" x14ac:dyDescent="0.3">
      <c r="A639" s="32" t="s">
        <v>1795</v>
      </c>
      <c r="B639" s="32" t="s">
        <v>1796</v>
      </c>
      <c r="C639" s="32" t="s">
        <v>2805</v>
      </c>
      <c r="D639" s="32" t="s">
        <v>1832</v>
      </c>
      <c r="E639" s="32" t="s">
        <v>1471</v>
      </c>
      <c r="F639" s="32" t="s">
        <v>1752</v>
      </c>
      <c r="G639" s="32">
        <f>IFERROR(INDEX(Ship!A$31:B$4500,MATCH(C639,Ship!A$31:A$4500,0),2),0)</f>
        <v>44</v>
      </c>
    </row>
    <row r="640" spans="1:7" x14ac:dyDescent="0.3">
      <c r="A640" s="32" t="s">
        <v>1795</v>
      </c>
      <c r="B640" s="32" t="s">
        <v>1796</v>
      </c>
      <c r="C640" s="32" t="s">
        <v>2806</v>
      </c>
      <c r="D640" s="32" t="s">
        <v>1833</v>
      </c>
      <c r="E640" s="32" t="s">
        <v>1471</v>
      </c>
      <c r="F640" s="32" t="s">
        <v>1752</v>
      </c>
      <c r="G640" s="32">
        <f>IFERROR(INDEX(Ship!A$31:B$4500,MATCH(C640,Ship!A$31:A$4500,0),2),0)</f>
        <v>0</v>
      </c>
    </row>
    <row r="641" spans="1:7" x14ac:dyDescent="0.3">
      <c r="A641" s="32" t="s">
        <v>1795</v>
      </c>
      <c r="B641" s="32" t="s">
        <v>1796</v>
      </c>
      <c r="C641" s="32" t="s">
        <v>2807</v>
      </c>
      <c r="D641" s="32" t="s">
        <v>1834</v>
      </c>
      <c r="E641" s="32" t="s">
        <v>1471</v>
      </c>
      <c r="F641" s="32" t="s">
        <v>1752</v>
      </c>
      <c r="G641" s="32">
        <f>IFERROR(INDEX(Ship!A$31:B$4500,MATCH(C641,Ship!A$31:A$4500,0),2),0)</f>
        <v>2</v>
      </c>
    </row>
    <row r="642" spans="1:7" x14ac:dyDescent="0.3">
      <c r="A642" s="32" t="s">
        <v>1795</v>
      </c>
      <c r="B642" s="32" t="s">
        <v>1796</v>
      </c>
      <c r="C642" s="32" t="s">
        <v>2808</v>
      </c>
      <c r="D642" s="32" t="s">
        <v>1835</v>
      </c>
      <c r="E642" s="32" t="s">
        <v>1471</v>
      </c>
      <c r="F642" s="32" t="s">
        <v>1752</v>
      </c>
      <c r="G642" s="32">
        <f>IFERROR(INDEX(Ship!A$31:B$4500,MATCH(C642,Ship!A$31:A$4500,0),2),0)</f>
        <v>0</v>
      </c>
    </row>
    <row r="643" spans="1:7" x14ac:dyDescent="0.3">
      <c r="A643" s="32" t="s">
        <v>1795</v>
      </c>
      <c r="B643" s="32" t="s">
        <v>1796</v>
      </c>
      <c r="C643" s="32" t="s">
        <v>2809</v>
      </c>
      <c r="D643" s="32" t="s">
        <v>1836</v>
      </c>
      <c r="E643" s="32" t="s">
        <v>1471</v>
      </c>
      <c r="F643" s="32" t="s">
        <v>1752</v>
      </c>
      <c r="G643" s="32">
        <f>IFERROR(INDEX(Ship!A$31:B$4500,MATCH(C643,Ship!A$31:A$4500,0),2),0)</f>
        <v>26</v>
      </c>
    </row>
    <row r="644" spans="1:7" x14ac:dyDescent="0.3">
      <c r="A644" s="32" t="s">
        <v>1795</v>
      </c>
      <c r="B644" s="32" t="s">
        <v>1796</v>
      </c>
      <c r="C644" s="32" t="s">
        <v>2810</v>
      </c>
      <c r="D644" s="32" t="s">
        <v>1837</v>
      </c>
      <c r="E644" s="32" t="s">
        <v>1471</v>
      </c>
      <c r="F644" s="32" t="s">
        <v>1752</v>
      </c>
      <c r="G644" s="32">
        <f>IFERROR(INDEX(Ship!A$31:B$4500,MATCH(C644,Ship!A$31:A$4500,0),2),0)</f>
        <v>0</v>
      </c>
    </row>
    <row r="645" spans="1:7" x14ac:dyDescent="0.3">
      <c r="A645" s="32" t="s">
        <v>1795</v>
      </c>
      <c r="B645" s="32" t="s">
        <v>1796</v>
      </c>
      <c r="C645" s="32" t="s">
        <v>2811</v>
      </c>
      <c r="D645" s="32" t="s">
        <v>1838</v>
      </c>
      <c r="E645" s="32" t="s">
        <v>1471</v>
      </c>
      <c r="F645" s="32" t="s">
        <v>1752</v>
      </c>
      <c r="G645" s="32">
        <f>IFERROR(INDEX(Ship!A$31:B$4500,MATCH(C645,Ship!A$31:A$4500,0),2),0)</f>
        <v>3</v>
      </c>
    </row>
    <row r="646" spans="1:7" x14ac:dyDescent="0.3">
      <c r="A646" s="32" t="s">
        <v>1795</v>
      </c>
      <c r="B646" s="32" t="s">
        <v>1796</v>
      </c>
      <c r="C646" s="32" t="s">
        <v>2812</v>
      </c>
      <c r="D646" s="32" t="s">
        <v>1839</v>
      </c>
      <c r="E646" s="32" t="s">
        <v>1471</v>
      </c>
      <c r="F646" s="32" t="s">
        <v>1752</v>
      </c>
      <c r="G646" s="32">
        <f>IFERROR(INDEX(Ship!A$31:B$4500,MATCH(C646,Ship!A$31:A$4500,0),2),0)</f>
        <v>0</v>
      </c>
    </row>
    <row r="647" spans="1:7" x14ac:dyDescent="0.3">
      <c r="A647" s="32" t="s">
        <v>1795</v>
      </c>
      <c r="B647" s="32" t="s">
        <v>1796</v>
      </c>
      <c r="C647" s="32" t="s">
        <v>2813</v>
      </c>
      <c r="D647" s="32" t="s">
        <v>1840</v>
      </c>
      <c r="E647" s="32" t="s">
        <v>1471</v>
      </c>
      <c r="F647" s="32" t="s">
        <v>1752</v>
      </c>
      <c r="G647" s="32">
        <f>IFERROR(INDEX(Ship!A$31:B$4500,MATCH(C647,Ship!A$31:A$4500,0),2),0)</f>
        <v>8</v>
      </c>
    </row>
    <row r="648" spans="1:7" x14ac:dyDescent="0.3">
      <c r="A648" s="32" t="s">
        <v>1795</v>
      </c>
      <c r="B648" s="32" t="s">
        <v>1796</v>
      </c>
      <c r="C648" s="32" t="s">
        <v>2814</v>
      </c>
      <c r="D648" s="32" t="s">
        <v>1841</v>
      </c>
      <c r="E648" s="32" t="s">
        <v>1471</v>
      </c>
      <c r="F648" s="32" t="s">
        <v>1752</v>
      </c>
      <c r="G648" s="32">
        <f>IFERROR(INDEX(Ship!A$31:B$4500,MATCH(C648,Ship!A$31:A$4500,0),2),0)</f>
        <v>0</v>
      </c>
    </row>
    <row r="649" spans="1:7" x14ac:dyDescent="0.3">
      <c r="A649" s="32" t="s">
        <v>1795</v>
      </c>
      <c r="B649" s="32" t="s">
        <v>1796</v>
      </c>
      <c r="C649" s="32" t="s">
        <v>2815</v>
      </c>
      <c r="D649" s="32" t="s">
        <v>1842</v>
      </c>
      <c r="E649" s="32" t="s">
        <v>1471</v>
      </c>
      <c r="F649" s="32" t="s">
        <v>1752</v>
      </c>
      <c r="G649" s="32">
        <f>IFERROR(INDEX(Ship!A$31:B$4500,MATCH(C649,Ship!A$31:A$4500,0),2),0)</f>
        <v>97</v>
      </c>
    </row>
    <row r="650" spans="1:7" x14ac:dyDescent="0.3">
      <c r="A650" s="32" t="s">
        <v>1795</v>
      </c>
      <c r="B650" s="32" t="s">
        <v>1796</v>
      </c>
      <c r="C650" s="32" t="s">
        <v>2816</v>
      </c>
      <c r="D650" s="32" t="s">
        <v>1843</v>
      </c>
      <c r="E650" s="32" t="s">
        <v>1471</v>
      </c>
      <c r="F650" s="32" t="s">
        <v>1752</v>
      </c>
      <c r="G650" s="32">
        <f>IFERROR(INDEX(Ship!A$31:B$4500,MATCH(C650,Ship!A$31:A$4500,0),2),0)</f>
        <v>0</v>
      </c>
    </row>
    <row r="651" spans="1:7" x14ac:dyDescent="0.3">
      <c r="A651" s="32" t="s">
        <v>1795</v>
      </c>
      <c r="B651" s="32" t="s">
        <v>1796</v>
      </c>
      <c r="C651" s="32" t="s">
        <v>2817</v>
      </c>
      <c r="D651" s="32" t="s">
        <v>1844</v>
      </c>
      <c r="E651" s="32" t="s">
        <v>1471</v>
      </c>
      <c r="F651" s="32" t="s">
        <v>1752</v>
      </c>
      <c r="G651" s="32">
        <f>IFERROR(INDEX(Ship!A$31:B$4500,MATCH(C651,Ship!A$31:A$4500,0),2),0)</f>
        <v>1</v>
      </c>
    </row>
    <row r="652" spans="1:7" x14ac:dyDescent="0.3">
      <c r="A652" s="32" t="s">
        <v>1795</v>
      </c>
      <c r="B652" s="32" t="s">
        <v>1796</v>
      </c>
      <c r="C652" s="32" t="s">
        <v>2818</v>
      </c>
      <c r="D652" s="32" t="s">
        <v>1845</v>
      </c>
      <c r="E652" s="32" t="s">
        <v>1471</v>
      </c>
      <c r="F652" s="32" t="s">
        <v>1752</v>
      </c>
      <c r="G652" s="32">
        <f>IFERROR(INDEX(Ship!A$31:B$4500,MATCH(C652,Ship!A$31:A$4500,0),2),0)</f>
        <v>0</v>
      </c>
    </row>
    <row r="653" spans="1:7" x14ac:dyDescent="0.3">
      <c r="A653" s="32" t="s">
        <v>1795</v>
      </c>
      <c r="B653" s="32" t="s">
        <v>1796</v>
      </c>
      <c r="C653" s="32" t="s">
        <v>2819</v>
      </c>
      <c r="D653" s="32" t="s">
        <v>1846</v>
      </c>
      <c r="E653" s="32" t="s">
        <v>1471</v>
      </c>
      <c r="F653" s="32" t="s">
        <v>1752</v>
      </c>
      <c r="G653" s="32">
        <f>IFERROR(INDEX(Ship!A$31:B$4500,MATCH(C653,Ship!A$31:A$4500,0),2),0)</f>
        <v>161</v>
      </c>
    </row>
    <row r="654" spans="1:7" x14ac:dyDescent="0.3">
      <c r="A654" s="32" t="s">
        <v>1795</v>
      </c>
      <c r="B654" s="32" t="s">
        <v>1796</v>
      </c>
      <c r="C654" s="32" t="s">
        <v>2820</v>
      </c>
      <c r="D654" s="32" t="s">
        <v>1847</v>
      </c>
      <c r="E654" s="32" t="s">
        <v>1471</v>
      </c>
      <c r="F654" s="32" t="s">
        <v>1752</v>
      </c>
      <c r="G654" s="32">
        <f>IFERROR(INDEX(Ship!A$31:B$4500,MATCH(C654,Ship!A$31:A$4500,0),2),0)</f>
        <v>0</v>
      </c>
    </row>
    <row r="655" spans="1:7" x14ac:dyDescent="0.3">
      <c r="A655" s="32" t="s">
        <v>1795</v>
      </c>
      <c r="B655" s="32" t="s">
        <v>1796</v>
      </c>
      <c r="C655" s="32" t="s">
        <v>2821</v>
      </c>
      <c r="D655" s="32" t="s">
        <v>1848</v>
      </c>
      <c r="E655" s="32" t="s">
        <v>1471</v>
      </c>
      <c r="F655" s="32" t="s">
        <v>1752</v>
      </c>
      <c r="G655" s="32">
        <f>IFERROR(INDEX(Ship!A$31:B$4500,MATCH(C655,Ship!A$31:A$4500,0),2),0)</f>
        <v>223</v>
      </c>
    </row>
    <row r="656" spans="1:7" x14ac:dyDescent="0.3">
      <c r="A656" s="32" t="s">
        <v>1795</v>
      </c>
      <c r="B656" s="32" t="s">
        <v>1796</v>
      </c>
      <c r="C656" s="32" t="s">
        <v>2822</v>
      </c>
      <c r="D656" s="32" t="s">
        <v>1849</v>
      </c>
      <c r="E656" s="32" t="s">
        <v>1471</v>
      </c>
      <c r="F656" s="32" t="s">
        <v>1752</v>
      </c>
      <c r="G656" s="32">
        <f>IFERROR(INDEX(Ship!A$31:B$4500,MATCH(C656,Ship!A$31:A$4500,0),2),0)</f>
        <v>0</v>
      </c>
    </row>
    <row r="657" spans="1:7" x14ac:dyDescent="0.3">
      <c r="A657" s="32" t="s">
        <v>1795</v>
      </c>
      <c r="B657" s="32" t="s">
        <v>1796</v>
      </c>
      <c r="C657" s="32" t="s">
        <v>2823</v>
      </c>
      <c r="D657" s="32" t="s">
        <v>1850</v>
      </c>
      <c r="E657" s="32" t="s">
        <v>1471</v>
      </c>
      <c r="F657" s="32" t="s">
        <v>1752</v>
      </c>
      <c r="G657" s="32">
        <f>IFERROR(INDEX(Ship!A$31:B$4500,MATCH(C657,Ship!A$31:A$4500,0),2),0)</f>
        <v>21</v>
      </c>
    </row>
    <row r="658" spans="1:7" x14ac:dyDescent="0.3">
      <c r="A658" s="32" t="s">
        <v>1795</v>
      </c>
      <c r="B658" s="32" t="s">
        <v>1796</v>
      </c>
      <c r="C658" s="32" t="s">
        <v>2824</v>
      </c>
      <c r="D658" s="32" t="s">
        <v>1851</v>
      </c>
      <c r="E658" s="32" t="s">
        <v>1471</v>
      </c>
      <c r="F658" s="32" t="s">
        <v>1752</v>
      </c>
      <c r="G658" s="32">
        <f>IFERROR(INDEX(Ship!A$31:B$4500,MATCH(C658,Ship!A$31:A$4500,0),2),0)</f>
        <v>0</v>
      </c>
    </row>
    <row r="659" spans="1:7" x14ac:dyDescent="0.3">
      <c r="A659" s="32" t="s">
        <v>1795</v>
      </c>
      <c r="B659" s="32" t="s">
        <v>1796</v>
      </c>
      <c r="C659" s="32" t="s">
        <v>2825</v>
      </c>
      <c r="D659" s="32" t="s">
        <v>1852</v>
      </c>
      <c r="E659" s="32" t="s">
        <v>1471</v>
      </c>
      <c r="F659" s="32" t="s">
        <v>1752</v>
      </c>
      <c r="G659" s="32">
        <f>IFERROR(INDEX(Ship!A$31:B$4500,MATCH(C659,Ship!A$31:A$4500,0),2),0)</f>
        <v>0</v>
      </c>
    </row>
    <row r="660" spans="1:7" x14ac:dyDescent="0.3">
      <c r="A660" s="32" t="s">
        <v>1795</v>
      </c>
      <c r="B660" s="32" t="s">
        <v>1796</v>
      </c>
      <c r="C660" s="32" t="s">
        <v>2826</v>
      </c>
      <c r="D660" s="32" t="s">
        <v>1853</v>
      </c>
      <c r="E660" s="32" t="s">
        <v>1471</v>
      </c>
      <c r="F660" s="32" t="s">
        <v>1752</v>
      </c>
      <c r="G660" s="32">
        <f>IFERROR(INDEX(Ship!A$31:B$4500,MATCH(C660,Ship!A$31:A$4500,0),2),0)</f>
        <v>0</v>
      </c>
    </row>
    <row r="661" spans="1:7" x14ac:dyDescent="0.3">
      <c r="A661" s="32" t="s">
        <v>1795</v>
      </c>
      <c r="B661" s="32" t="s">
        <v>1796</v>
      </c>
      <c r="C661" s="32" t="s">
        <v>2827</v>
      </c>
      <c r="D661" s="32" t="s">
        <v>1854</v>
      </c>
      <c r="E661" s="32" t="s">
        <v>1471</v>
      </c>
      <c r="F661" s="32" t="s">
        <v>1752</v>
      </c>
      <c r="G661" s="32">
        <f>IFERROR(INDEX(Ship!A$31:B$4500,MATCH(C661,Ship!A$31:A$4500,0),2),0)</f>
        <v>0</v>
      </c>
    </row>
    <row r="662" spans="1:7" x14ac:dyDescent="0.3">
      <c r="A662" s="32" t="s">
        <v>1795</v>
      </c>
      <c r="B662" s="32" t="s">
        <v>1796</v>
      </c>
      <c r="C662" s="32" t="s">
        <v>2828</v>
      </c>
      <c r="D662" s="32" t="s">
        <v>1855</v>
      </c>
      <c r="E662" s="32" t="s">
        <v>1471</v>
      </c>
      <c r="F662" s="32" t="s">
        <v>1752</v>
      </c>
      <c r="G662" s="32">
        <f>IFERROR(INDEX(Ship!A$31:B$4500,MATCH(C662,Ship!A$31:A$4500,0),2),0)</f>
        <v>0</v>
      </c>
    </row>
    <row r="663" spans="1:7" x14ac:dyDescent="0.3">
      <c r="A663" s="32" t="s">
        <v>1795</v>
      </c>
      <c r="B663" s="32" t="s">
        <v>1796</v>
      </c>
      <c r="C663" s="32" t="s">
        <v>2829</v>
      </c>
      <c r="D663" s="32" t="s">
        <v>1856</v>
      </c>
      <c r="E663" s="32" t="s">
        <v>1471</v>
      </c>
      <c r="F663" s="32" t="s">
        <v>1752</v>
      </c>
      <c r="G663" s="32">
        <f>IFERROR(INDEX(Ship!A$31:B$4500,MATCH(C663,Ship!A$31:A$4500,0),2),0)</f>
        <v>0</v>
      </c>
    </row>
    <row r="664" spans="1:7" x14ac:dyDescent="0.3">
      <c r="A664" s="32" t="s">
        <v>1795</v>
      </c>
      <c r="B664" s="32" t="s">
        <v>1796</v>
      </c>
      <c r="C664" s="32" t="s">
        <v>2830</v>
      </c>
      <c r="D664" s="32" t="s">
        <v>1857</v>
      </c>
      <c r="E664" s="32" t="s">
        <v>1471</v>
      </c>
      <c r="F664" s="32" t="s">
        <v>1752</v>
      </c>
      <c r="G664" s="32">
        <f>IFERROR(INDEX(Ship!A$31:B$4500,MATCH(C664,Ship!A$31:A$4500,0),2),0)</f>
        <v>0</v>
      </c>
    </row>
    <row r="665" spans="1:7" x14ac:dyDescent="0.3">
      <c r="A665" s="32" t="s">
        <v>1795</v>
      </c>
      <c r="B665" s="32" t="s">
        <v>1796</v>
      </c>
      <c r="C665" s="32" t="s">
        <v>2831</v>
      </c>
      <c r="D665" s="32" t="s">
        <v>1858</v>
      </c>
      <c r="E665" s="32" t="s">
        <v>1471</v>
      </c>
      <c r="F665" s="32" t="s">
        <v>1752</v>
      </c>
      <c r="G665" s="32">
        <f>IFERROR(INDEX(Ship!A$31:B$4500,MATCH(C665,Ship!A$31:A$4500,0),2),0)</f>
        <v>0</v>
      </c>
    </row>
    <row r="666" spans="1:7" x14ac:dyDescent="0.3">
      <c r="A666" s="32" t="s">
        <v>1795</v>
      </c>
      <c r="B666" s="32" t="s">
        <v>1796</v>
      </c>
      <c r="C666" s="32" t="s">
        <v>2832</v>
      </c>
      <c r="D666" s="32" t="s">
        <v>1859</v>
      </c>
      <c r="E666" s="32" t="s">
        <v>1471</v>
      </c>
      <c r="F666" s="32" t="s">
        <v>1752</v>
      </c>
      <c r="G666" s="32">
        <f>IFERROR(INDEX(Ship!A$31:B$4500,MATCH(C666,Ship!A$31:A$4500,0),2),0)</f>
        <v>0</v>
      </c>
    </row>
    <row r="667" spans="1:7" x14ac:dyDescent="0.3">
      <c r="A667" s="32" t="s">
        <v>1795</v>
      </c>
      <c r="B667" s="32" t="s">
        <v>1796</v>
      </c>
      <c r="C667" s="32" t="s">
        <v>2833</v>
      </c>
      <c r="D667" s="32" t="s">
        <v>1860</v>
      </c>
      <c r="E667" s="32" t="s">
        <v>1471</v>
      </c>
      <c r="F667" s="32" t="s">
        <v>1752</v>
      </c>
      <c r="G667" s="32">
        <f>IFERROR(INDEX(Ship!A$31:B$4500,MATCH(C667,Ship!A$31:A$4500,0),2),0)</f>
        <v>56</v>
      </c>
    </row>
    <row r="668" spans="1:7" x14ac:dyDescent="0.3">
      <c r="A668" s="32" t="s">
        <v>1795</v>
      </c>
      <c r="B668" s="32" t="s">
        <v>1796</v>
      </c>
      <c r="C668" s="32" t="s">
        <v>2834</v>
      </c>
      <c r="D668" s="32" t="s">
        <v>1861</v>
      </c>
      <c r="E668" s="32" t="s">
        <v>1471</v>
      </c>
      <c r="F668" s="32" t="s">
        <v>1752</v>
      </c>
      <c r="G668" s="32">
        <f>IFERROR(INDEX(Ship!A$31:B$4500,MATCH(C668,Ship!A$31:A$4500,0),2),0)</f>
        <v>0</v>
      </c>
    </row>
    <row r="669" spans="1:7" x14ac:dyDescent="0.3">
      <c r="A669" s="32" t="s">
        <v>1795</v>
      </c>
      <c r="B669" s="32" t="s">
        <v>1796</v>
      </c>
      <c r="C669" s="32" t="s">
        <v>2835</v>
      </c>
      <c r="D669" s="32" t="s">
        <v>1862</v>
      </c>
      <c r="E669" s="32" t="s">
        <v>1471</v>
      </c>
      <c r="F669" s="32" t="s">
        <v>1752</v>
      </c>
      <c r="G669" s="32">
        <f>IFERROR(INDEX(Ship!A$31:B$4500,MATCH(C669,Ship!A$31:A$4500,0),2),0)</f>
        <v>0</v>
      </c>
    </row>
    <row r="670" spans="1:7" x14ac:dyDescent="0.3">
      <c r="A670" s="32" t="s">
        <v>1795</v>
      </c>
      <c r="B670" s="32" t="s">
        <v>1796</v>
      </c>
      <c r="C670" s="32" t="s">
        <v>2836</v>
      </c>
      <c r="D670" s="32" t="s">
        <v>1863</v>
      </c>
      <c r="E670" s="32" t="s">
        <v>1471</v>
      </c>
      <c r="F670" s="32" t="s">
        <v>1752</v>
      </c>
      <c r="G670" s="32">
        <f>IFERROR(INDEX(Ship!A$31:B$4500,MATCH(C670,Ship!A$31:A$4500,0),2),0)</f>
        <v>142</v>
      </c>
    </row>
    <row r="671" spans="1:7" x14ac:dyDescent="0.3">
      <c r="A671" s="32" t="s">
        <v>1795</v>
      </c>
      <c r="B671" s="32" t="s">
        <v>1796</v>
      </c>
      <c r="C671" s="32" t="s">
        <v>2837</v>
      </c>
      <c r="D671" s="32" t="s">
        <v>1864</v>
      </c>
      <c r="E671" s="32" t="s">
        <v>1471</v>
      </c>
      <c r="F671" s="32" t="s">
        <v>1752</v>
      </c>
      <c r="G671" s="32">
        <f>IFERROR(INDEX(Ship!A$31:B$4500,MATCH(C671,Ship!A$31:A$4500,0),2),0)</f>
        <v>135</v>
      </c>
    </row>
    <row r="672" spans="1:7" x14ac:dyDescent="0.3">
      <c r="A672" s="32" t="s">
        <v>1795</v>
      </c>
      <c r="B672" s="32" t="s">
        <v>1796</v>
      </c>
      <c r="C672" s="32" t="s">
        <v>2838</v>
      </c>
      <c r="D672" s="32" t="s">
        <v>1865</v>
      </c>
      <c r="E672" s="32" t="s">
        <v>1471</v>
      </c>
      <c r="F672" s="32" t="s">
        <v>1752</v>
      </c>
      <c r="G672" s="32">
        <f>IFERROR(INDEX(Ship!A$31:B$4500,MATCH(C672,Ship!A$31:A$4500,0),2),0)</f>
        <v>163</v>
      </c>
    </row>
    <row r="673" spans="1:7" x14ac:dyDescent="0.3">
      <c r="A673" s="32" t="s">
        <v>1795</v>
      </c>
      <c r="B673" s="32" t="s">
        <v>1796</v>
      </c>
      <c r="C673" s="32" t="s">
        <v>2839</v>
      </c>
      <c r="D673" s="32" t="s">
        <v>1866</v>
      </c>
      <c r="E673" s="32" t="s">
        <v>1471</v>
      </c>
      <c r="F673" s="32" t="s">
        <v>1752</v>
      </c>
      <c r="G673" s="32">
        <f>IFERROR(INDEX(Ship!A$31:B$4500,MATCH(C673,Ship!A$31:A$4500,0),2),0)</f>
        <v>0</v>
      </c>
    </row>
    <row r="674" spans="1:7" x14ac:dyDescent="0.3">
      <c r="A674" s="32" t="s">
        <v>1795</v>
      </c>
      <c r="B674" s="32" t="s">
        <v>1796</v>
      </c>
      <c r="C674" s="32" t="s">
        <v>383</v>
      </c>
      <c r="D674" s="32" t="s">
        <v>1867</v>
      </c>
      <c r="E674" s="32" t="s">
        <v>1471</v>
      </c>
      <c r="F674" s="32" t="s">
        <v>1752</v>
      </c>
      <c r="G674" s="32">
        <f>IFERROR(INDEX(Ship!A$31:B$4500,MATCH(C674,Ship!A$31:A$4500,0),2),0)</f>
        <v>0</v>
      </c>
    </row>
    <row r="675" spans="1:7" x14ac:dyDescent="0.3">
      <c r="A675" s="32" t="s">
        <v>1795</v>
      </c>
      <c r="B675" s="32" t="s">
        <v>1796</v>
      </c>
      <c r="C675" s="32" t="s">
        <v>384</v>
      </c>
      <c r="D675" s="32" t="s">
        <v>1868</v>
      </c>
      <c r="E675" s="32" t="s">
        <v>1471</v>
      </c>
      <c r="F675" s="32" t="s">
        <v>1752</v>
      </c>
      <c r="G675" s="32">
        <f>IFERROR(INDEX(Ship!A$31:B$4500,MATCH(C675,Ship!A$31:A$4500,0),2),0)</f>
        <v>116</v>
      </c>
    </row>
    <row r="676" spans="1:7" x14ac:dyDescent="0.3">
      <c r="A676" s="32" t="s">
        <v>1795</v>
      </c>
      <c r="B676" s="32" t="s">
        <v>1796</v>
      </c>
      <c r="C676" s="32" t="s">
        <v>1755</v>
      </c>
      <c r="D676" s="32" t="s">
        <v>1869</v>
      </c>
      <c r="E676" s="32" t="s">
        <v>1471</v>
      </c>
      <c r="F676" s="32" t="s">
        <v>1752</v>
      </c>
      <c r="G676" s="32">
        <f>IFERROR(INDEX(Ship!A$31:B$4500,MATCH(C676,Ship!A$31:A$4500,0),2),0)</f>
        <v>3</v>
      </c>
    </row>
    <row r="677" spans="1:7" x14ac:dyDescent="0.3">
      <c r="A677" s="32" t="s">
        <v>1795</v>
      </c>
      <c r="B677" s="32" t="s">
        <v>1796</v>
      </c>
      <c r="C677" s="32" t="s">
        <v>385</v>
      </c>
      <c r="D677" s="32" t="s">
        <v>1870</v>
      </c>
      <c r="E677" s="32" t="s">
        <v>1471</v>
      </c>
      <c r="F677" s="32" t="s">
        <v>1752</v>
      </c>
      <c r="G677" s="32">
        <f>IFERROR(INDEX(Ship!A$31:B$4500,MATCH(C677,Ship!A$31:A$4500,0),2),0)</f>
        <v>6</v>
      </c>
    </row>
    <row r="678" spans="1:7" x14ac:dyDescent="0.3">
      <c r="A678" s="32" t="s">
        <v>1795</v>
      </c>
      <c r="B678" s="32" t="s">
        <v>1796</v>
      </c>
      <c r="C678" s="32" t="s">
        <v>386</v>
      </c>
      <c r="D678" s="32" t="s">
        <v>1871</v>
      </c>
      <c r="E678" s="32" t="s">
        <v>1471</v>
      </c>
      <c r="F678" s="32" t="s">
        <v>1752</v>
      </c>
      <c r="G678" s="32">
        <f>IFERROR(INDEX(Ship!A$31:B$4500,MATCH(C678,Ship!A$31:A$4500,0),2),0)</f>
        <v>0</v>
      </c>
    </row>
    <row r="679" spans="1:7" x14ac:dyDescent="0.3">
      <c r="A679" s="32" t="s">
        <v>1795</v>
      </c>
      <c r="B679" s="32" t="s">
        <v>1796</v>
      </c>
      <c r="C679" s="32" t="s">
        <v>387</v>
      </c>
      <c r="D679" s="32" t="s">
        <v>1872</v>
      </c>
      <c r="E679" s="32" t="s">
        <v>1471</v>
      </c>
      <c r="F679" s="32" t="s">
        <v>1752</v>
      </c>
      <c r="G679" s="32">
        <f>IFERROR(INDEX(Ship!A$31:B$4500,MATCH(C679,Ship!A$31:A$4500,0),2),0)</f>
        <v>2</v>
      </c>
    </row>
    <row r="680" spans="1:7" x14ac:dyDescent="0.3">
      <c r="A680" s="32" t="s">
        <v>1795</v>
      </c>
      <c r="B680" s="32" t="s">
        <v>1796</v>
      </c>
      <c r="C680" s="32" t="s">
        <v>388</v>
      </c>
      <c r="D680" s="32" t="s">
        <v>1873</v>
      </c>
      <c r="E680" s="32" t="s">
        <v>1471</v>
      </c>
      <c r="F680" s="32" t="s">
        <v>1752</v>
      </c>
      <c r="G680" s="32">
        <f>IFERROR(INDEX(Ship!A$31:B$4500,MATCH(C680,Ship!A$31:A$4500,0),2),0)</f>
        <v>0</v>
      </c>
    </row>
    <row r="681" spans="1:7" x14ac:dyDescent="0.3">
      <c r="A681" s="32" t="s">
        <v>1795</v>
      </c>
      <c r="B681" s="32" t="s">
        <v>1796</v>
      </c>
      <c r="C681" s="32" t="s">
        <v>396</v>
      </c>
      <c r="D681" s="32" t="s">
        <v>1874</v>
      </c>
      <c r="E681" s="32" t="s">
        <v>1471</v>
      </c>
      <c r="F681" s="32" t="s">
        <v>1752</v>
      </c>
      <c r="G681" s="32">
        <f>IFERROR(INDEX(Ship!A$31:B$4500,MATCH(C681,Ship!A$31:A$4500,0),2),0)</f>
        <v>11</v>
      </c>
    </row>
    <row r="682" spans="1:7" x14ac:dyDescent="0.3">
      <c r="A682" s="32" t="s">
        <v>1795</v>
      </c>
      <c r="B682" s="32" t="s">
        <v>1796</v>
      </c>
      <c r="C682" s="32" t="s">
        <v>1756</v>
      </c>
      <c r="D682" s="32" t="s">
        <v>1875</v>
      </c>
      <c r="E682" s="32" t="s">
        <v>1471</v>
      </c>
      <c r="F682" s="32" t="s">
        <v>1752</v>
      </c>
      <c r="G682" s="32">
        <f>IFERROR(INDEX(Ship!A$31:B$4500,MATCH(C682,Ship!A$31:A$4500,0),2),0)</f>
        <v>1</v>
      </c>
    </row>
    <row r="683" spans="1:7" x14ac:dyDescent="0.3">
      <c r="A683" s="32" t="s">
        <v>1795</v>
      </c>
      <c r="B683" s="32" t="s">
        <v>1796</v>
      </c>
      <c r="C683" s="32" t="s">
        <v>397</v>
      </c>
      <c r="D683" s="32" t="s">
        <v>1876</v>
      </c>
      <c r="E683" s="32" t="s">
        <v>1471</v>
      </c>
      <c r="F683" s="32" t="s">
        <v>1752</v>
      </c>
      <c r="G683" s="32">
        <f>IFERROR(INDEX(Ship!A$31:B$4500,MATCH(C683,Ship!A$31:A$4500,0),2),0)</f>
        <v>89</v>
      </c>
    </row>
    <row r="684" spans="1:7" x14ac:dyDescent="0.3">
      <c r="A684" s="32" t="s">
        <v>1795</v>
      </c>
      <c r="B684" s="32" t="s">
        <v>1796</v>
      </c>
      <c r="C684" s="32" t="s">
        <v>398</v>
      </c>
      <c r="D684" s="32" t="s">
        <v>1877</v>
      </c>
      <c r="E684" s="32" t="s">
        <v>1471</v>
      </c>
      <c r="F684" s="32" t="s">
        <v>1752</v>
      </c>
      <c r="G684" s="32">
        <f>IFERROR(INDEX(Ship!A$31:B$4500,MATCH(C684,Ship!A$31:A$4500,0),2),0)</f>
        <v>0</v>
      </c>
    </row>
    <row r="685" spans="1:7" x14ac:dyDescent="0.3">
      <c r="A685" s="32" t="s">
        <v>1795</v>
      </c>
      <c r="B685" s="32" t="s">
        <v>1796</v>
      </c>
      <c r="C685" s="32" t="s">
        <v>399</v>
      </c>
      <c r="D685" s="32" t="s">
        <v>1878</v>
      </c>
      <c r="E685" s="32" t="s">
        <v>1471</v>
      </c>
      <c r="F685" s="32" t="s">
        <v>1752</v>
      </c>
      <c r="G685" s="32">
        <f>IFERROR(INDEX(Ship!A$31:B$4500,MATCH(C685,Ship!A$31:A$4500,0),2),0)</f>
        <v>1</v>
      </c>
    </row>
    <row r="686" spans="1:7" x14ac:dyDescent="0.3">
      <c r="A686" s="32" t="s">
        <v>1795</v>
      </c>
      <c r="B686" s="32" t="s">
        <v>1796</v>
      </c>
      <c r="C686" s="32" t="s">
        <v>407</v>
      </c>
      <c r="D686" s="32" t="s">
        <v>1879</v>
      </c>
      <c r="E686" s="32" t="s">
        <v>1471</v>
      </c>
      <c r="F686" s="32" t="s">
        <v>1752</v>
      </c>
      <c r="G686" s="32">
        <f>IFERROR(INDEX(Ship!A$31:B$4500,MATCH(C686,Ship!A$31:A$4500,0),2),0)</f>
        <v>64</v>
      </c>
    </row>
    <row r="687" spans="1:7" x14ac:dyDescent="0.3">
      <c r="A687" s="32" t="s">
        <v>1795</v>
      </c>
      <c r="B687" s="32" t="s">
        <v>1796</v>
      </c>
      <c r="C687" s="32" t="s">
        <v>415</v>
      </c>
      <c r="D687" s="32" t="s">
        <v>1880</v>
      </c>
      <c r="E687" s="32" t="s">
        <v>1471</v>
      </c>
      <c r="F687" s="32" t="s">
        <v>1752</v>
      </c>
      <c r="G687" s="32">
        <f>IFERROR(INDEX(Ship!A$31:B$4500,MATCH(C687,Ship!A$31:A$4500,0),2),0)</f>
        <v>0</v>
      </c>
    </row>
    <row r="688" spans="1:7" x14ac:dyDescent="0.3">
      <c r="A688" s="32" t="s">
        <v>1795</v>
      </c>
      <c r="B688" s="32" t="s">
        <v>1796</v>
      </c>
      <c r="C688" s="32" t="s">
        <v>423</v>
      </c>
      <c r="D688" s="32" t="s">
        <v>1881</v>
      </c>
      <c r="E688" s="32" t="s">
        <v>1471</v>
      </c>
      <c r="F688" s="32" t="s">
        <v>1752</v>
      </c>
      <c r="G688" s="32">
        <f>IFERROR(INDEX(Ship!A$31:B$4500,MATCH(C688,Ship!A$31:A$4500,0),2),0)</f>
        <v>1</v>
      </c>
    </row>
    <row r="689" spans="1:7" x14ac:dyDescent="0.3">
      <c r="A689" s="32" t="s">
        <v>1795</v>
      </c>
      <c r="B689" s="32" t="s">
        <v>1796</v>
      </c>
      <c r="C689" s="32" t="s">
        <v>431</v>
      </c>
      <c r="D689" s="32" t="s">
        <v>1882</v>
      </c>
      <c r="E689" s="32" t="s">
        <v>1471</v>
      </c>
      <c r="F689" s="32" t="s">
        <v>1752</v>
      </c>
      <c r="G689" s="32">
        <f>IFERROR(INDEX(Ship!A$31:B$4500,MATCH(C689,Ship!A$31:A$4500,0),2),0)</f>
        <v>0</v>
      </c>
    </row>
    <row r="690" spans="1:7" x14ac:dyDescent="0.3">
      <c r="A690" s="32" t="s">
        <v>1795</v>
      </c>
      <c r="B690" s="32" t="s">
        <v>1796</v>
      </c>
      <c r="C690" s="32" t="s">
        <v>439</v>
      </c>
      <c r="D690" s="32" t="s">
        <v>1883</v>
      </c>
      <c r="E690" s="32" t="s">
        <v>1471</v>
      </c>
      <c r="F690" s="32" t="s">
        <v>1752</v>
      </c>
      <c r="G690" s="32">
        <f>IFERROR(INDEX(Ship!A$31:B$4500,MATCH(C690,Ship!A$31:A$4500,0),2),0)</f>
        <v>1</v>
      </c>
    </row>
    <row r="691" spans="1:7" x14ac:dyDescent="0.3">
      <c r="A691" s="32" t="s">
        <v>1795</v>
      </c>
      <c r="B691" s="32" t="s">
        <v>1796</v>
      </c>
      <c r="C691" s="32" t="s">
        <v>447</v>
      </c>
      <c r="D691" s="32" t="s">
        <v>1884</v>
      </c>
      <c r="E691" s="32" t="s">
        <v>1471</v>
      </c>
      <c r="F691" s="32" t="s">
        <v>1752</v>
      </c>
      <c r="G691" s="32">
        <f>IFERROR(INDEX(Ship!A$31:B$4500,MATCH(C691,Ship!A$31:A$4500,0),2),0)</f>
        <v>83</v>
      </c>
    </row>
    <row r="692" spans="1:7" x14ac:dyDescent="0.3">
      <c r="A692" s="32" t="s">
        <v>1795</v>
      </c>
      <c r="B692" s="32" t="s">
        <v>1796</v>
      </c>
      <c r="C692" s="32" t="s">
        <v>455</v>
      </c>
      <c r="D692" s="32" t="s">
        <v>1885</v>
      </c>
      <c r="E692" s="32" t="s">
        <v>1471</v>
      </c>
      <c r="F692" s="32" t="s">
        <v>1752</v>
      </c>
      <c r="G692" s="32">
        <f>IFERROR(INDEX(Ship!A$31:B$4500,MATCH(C692,Ship!A$31:A$4500,0),2),0)</f>
        <v>2</v>
      </c>
    </row>
    <row r="693" spans="1:7" x14ac:dyDescent="0.3">
      <c r="A693" s="32" t="s">
        <v>1795</v>
      </c>
      <c r="B693" s="32" t="s">
        <v>1796</v>
      </c>
      <c r="C693" s="32" t="s">
        <v>463</v>
      </c>
      <c r="D693" s="32" t="s">
        <v>1886</v>
      </c>
      <c r="E693" s="32" t="s">
        <v>1471</v>
      </c>
      <c r="F693" s="32" t="s">
        <v>1752</v>
      </c>
      <c r="G693" s="32">
        <f>IFERROR(INDEX(Ship!A$31:B$4500,MATCH(C693,Ship!A$31:A$4500,0),2),0)</f>
        <v>5</v>
      </c>
    </row>
    <row r="694" spans="1:7" x14ac:dyDescent="0.3">
      <c r="A694" s="32" t="s">
        <v>1795</v>
      </c>
      <c r="B694" s="32" t="s">
        <v>1796</v>
      </c>
      <c r="C694" s="32" t="s">
        <v>471</v>
      </c>
      <c r="D694" s="32" t="s">
        <v>1887</v>
      </c>
      <c r="E694" s="32" t="s">
        <v>1471</v>
      </c>
      <c r="F694" s="32" t="s">
        <v>1752</v>
      </c>
      <c r="G694" s="32">
        <f>IFERROR(INDEX(Ship!A$31:B$4500,MATCH(C694,Ship!A$31:A$4500,0),2),0)</f>
        <v>0</v>
      </c>
    </row>
    <row r="695" spans="1:7" x14ac:dyDescent="0.3">
      <c r="A695" s="32" t="s">
        <v>1795</v>
      </c>
      <c r="B695" s="32" t="s">
        <v>1796</v>
      </c>
      <c r="C695" s="32" t="s">
        <v>479</v>
      </c>
      <c r="D695" s="32" t="s">
        <v>1888</v>
      </c>
      <c r="E695" s="32" t="s">
        <v>1471</v>
      </c>
      <c r="F695" s="32" t="s">
        <v>1752</v>
      </c>
      <c r="G695" s="32">
        <f>IFERROR(INDEX(Ship!A$31:B$4500,MATCH(C695,Ship!A$31:A$4500,0),2),0)</f>
        <v>0</v>
      </c>
    </row>
    <row r="696" spans="1:7" x14ac:dyDescent="0.3">
      <c r="A696" s="32" t="s">
        <v>1795</v>
      </c>
      <c r="B696" s="32" t="s">
        <v>1796</v>
      </c>
      <c r="C696" s="32" t="s">
        <v>487</v>
      </c>
      <c r="D696" s="32" t="s">
        <v>1889</v>
      </c>
      <c r="E696" s="32" t="s">
        <v>1471</v>
      </c>
      <c r="F696" s="32" t="s">
        <v>1752</v>
      </c>
      <c r="G696" s="32">
        <f>IFERROR(INDEX(Ship!A$31:B$4500,MATCH(C696,Ship!A$31:A$4500,0),2),0)</f>
        <v>0</v>
      </c>
    </row>
    <row r="697" spans="1:7" x14ac:dyDescent="0.3">
      <c r="A697" s="32" t="s">
        <v>1795</v>
      </c>
      <c r="B697" s="32" t="s">
        <v>1796</v>
      </c>
      <c r="C697" s="32" t="s">
        <v>495</v>
      </c>
      <c r="D697" s="32" t="s">
        <v>1890</v>
      </c>
      <c r="E697" s="32" t="s">
        <v>1471</v>
      </c>
      <c r="F697" s="32" t="s">
        <v>1752</v>
      </c>
      <c r="G697" s="32">
        <f>IFERROR(INDEX(Ship!A$31:B$4500,MATCH(C697,Ship!A$31:A$4500,0),2),0)</f>
        <v>85</v>
      </c>
    </row>
    <row r="698" spans="1:7" x14ac:dyDescent="0.3">
      <c r="A698" s="32" t="s">
        <v>1795</v>
      </c>
      <c r="B698" s="32" t="s">
        <v>1796</v>
      </c>
      <c r="C698" s="32" t="s">
        <v>503</v>
      </c>
      <c r="D698" s="32" t="s">
        <v>1891</v>
      </c>
      <c r="E698" s="32" t="s">
        <v>1471</v>
      </c>
      <c r="F698" s="32" t="s">
        <v>1752</v>
      </c>
      <c r="G698" s="32">
        <f>IFERROR(INDEX(Ship!A$31:B$4500,MATCH(C698,Ship!A$31:A$4500,0),2),0)</f>
        <v>1</v>
      </c>
    </row>
    <row r="699" spans="1:7" x14ac:dyDescent="0.3">
      <c r="A699" s="32" t="s">
        <v>1795</v>
      </c>
      <c r="B699" s="32" t="s">
        <v>1796</v>
      </c>
      <c r="C699" s="32" t="s">
        <v>511</v>
      </c>
      <c r="D699" s="32" t="s">
        <v>1892</v>
      </c>
      <c r="E699" s="32" t="s">
        <v>1471</v>
      </c>
      <c r="F699" s="32" t="s">
        <v>1752</v>
      </c>
      <c r="G699" s="32">
        <f>IFERROR(INDEX(Ship!A$31:B$4500,MATCH(C699,Ship!A$31:A$4500,0),2),0)</f>
        <v>7</v>
      </c>
    </row>
    <row r="700" spans="1:7" x14ac:dyDescent="0.3">
      <c r="A700" s="32" t="s">
        <v>1795</v>
      </c>
      <c r="B700" s="32" t="s">
        <v>1796</v>
      </c>
      <c r="C700" s="32" t="s">
        <v>519</v>
      </c>
      <c r="D700" s="32" t="s">
        <v>1893</v>
      </c>
      <c r="E700" s="32" t="s">
        <v>1471</v>
      </c>
      <c r="F700" s="32" t="s">
        <v>1752</v>
      </c>
      <c r="G700" s="32">
        <f>IFERROR(INDEX(Ship!A$31:B$4500,MATCH(C700,Ship!A$31:A$4500,0),2),0)</f>
        <v>0</v>
      </c>
    </row>
    <row r="701" spans="1:7" x14ac:dyDescent="0.3">
      <c r="A701" s="32" t="s">
        <v>1795</v>
      </c>
      <c r="B701" s="32" t="s">
        <v>1796</v>
      </c>
      <c r="C701" s="32" t="s">
        <v>520</v>
      </c>
      <c r="D701" s="32" t="s">
        <v>1894</v>
      </c>
      <c r="E701" s="32" t="s">
        <v>1471</v>
      </c>
      <c r="F701" s="32" t="s">
        <v>1752</v>
      </c>
      <c r="G701" s="32">
        <f>IFERROR(INDEX(Ship!A$31:B$4500,MATCH(C701,Ship!A$31:A$4500,0),2),0)</f>
        <v>0</v>
      </c>
    </row>
    <row r="702" spans="1:7" x14ac:dyDescent="0.3">
      <c r="A702" s="32" t="s">
        <v>1795</v>
      </c>
      <c r="B702" s="32" t="s">
        <v>1796</v>
      </c>
      <c r="C702" s="32" t="s">
        <v>521</v>
      </c>
      <c r="D702" s="32" t="s">
        <v>1895</v>
      </c>
      <c r="E702" s="32" t="s">
        <v>1471</v>
      </c>
      <c r="F702" s="32" t="s">
        <v>1752</v>
      </c>
      <c r="G702" s="32">
        <f>IFERROR(INDEX(Ship!A$31:B$4500,MATCH(C702,Ship!A$31:A$4500,0),2),0)</f>
        <v>1</v>
      </c>
    </row>
    <row r="703" spans="1:7" x14ac:dyDescent="0.3">
      <c r="A703" s="32" t="s">
        <v>1795</v>
      </c>
      <c r="B703" s="32" t="s">
        <v>1796</v>
      </c>
      <c r="C703" s="32" t="s">
        <v>529</v>
      </c>
      <c r="D703" s="32" t="s">
        <v>1896</v>
      </c>
      <c r="E703" s="32" t="s">
        <v>1471</v>
      </c>
      <c r="F703" s="32" t="s">
        <v>1752</v>
      </c>
      <c r="G703" s="32">
        <f>IFERROR(INDEX(Ship!A$31:B$4500,MATCH(C703,Ship!A$31:A$4500,0),2),0)</f>
        <v>0</v>
      </c>
    </row>
    <row r="704" spans="1:7" x14ac:dyDescent="0.3">
      <c r="A704" s="32" t="s">
        <v>1795</v>
      </c>
      <c r="B704" s="32" t="s">
        <v>1796</v>
      </c>
      <c r="C704" s="32" t="s">
        <v>537</v>
      </c>
      <c r="D704" s="32" t="s">
        <v>1897</v>
      </c>
      <c r="E704" s="32" t="s">
        <v>1471</v>
      </c>
      <c r="F704" s="32" t="s">
        <v>1752</v>
      </c>
      <c r="G704" s="32">
        <f>IFERROR(INDEX(Ship!A$31:B$4500,MATCH(C704,Ship!A$31:A$4500,0),2),0)</f>
        <v>0</v>
      </c>
    </row>
    <row r="705" spans="1:7" x14ac:dyDescent="0.3">
      <c r="A705" s="32" t="s">
        <v>1795</v>
      </c>
      <c r="B705" s="32" t="s">
        <v>1796</v>
      </c>
      <c r="C705" s="32" t="s">
        <v>538</v>
      </c>
      <c r="D705" s="32" t="s">
        <v>1898</v>
      </c>
      <c r="E705" s="32" t="s">
        <v>1471</v>
      </c>
      <c r="F705" s="32" t="s">
        <v>1752</v>
      </c>
      <c r="G705" s="32">
        <f>IFERROR(INDEX(Ship!A$31:B$4500,MATCH(C705,Ship!A$31:A$4500,0),2),0)</f>
        <v>0</v>
      </c>
    </row>
    <row r="706" spans="1:7" x14ac:dyDescent="0.3">
      <c r="A706" s="32" t="s">
        <v>1795</v>
      </c>
      <c r="B706" s="32" t="s">
        <v>1796</v>
      </c>
      <c r="C706" s="32" t="s">
        <v>539</v>
      </c>
      <c r="D706" s="32" t="s">
        <v>1899</v>
      </c>
      <c r="E706" s="32" t="s">
        <v>1471</v>
      </c>
      <c r="F706" s="32" t="s">
        <v>1752</v>
      </c>
      <c r="G706" s="32">
        <f>IFERROR(INDEX(Ship!A$31:B$4500,MATCH(C706,Ship!A$31:A$4500,0),2),0)</f>
        <v>0</v>
      </c>
    </row>
    <row r="707" spans="1:7" x14ac:dyDescent="0.3">
      <c r="A707" s="32" t="s">
        <v>1795</v>
      </c>
      <c r="B707" s="32" t="s">
        <v>1796</v>
      </c>
      <c r="C707" s="32" t="s">
        <v>540</v>
      </c>
      <c r="D707" s="32" t="s">
        <v>1900</v>
      </c>
      <c r="E707" s="32" t="s">
        <v>1471</v>
      </c>
      <c r="F707" s="32" t="s">
        <v>1752</v>
      </c>
      <c r="G707" s="32">
        <f>IFERROR(INDEX(Ship!A$31:B$4500,MATCH(C707,Ship!A$31:A$4500,0),2),0)</f>
        <v>0</v>
      </c>
    </row>
    <row r="708" spans="1:7" x14ac:dyDescent="0.3">
      <c r="A708" s="32" t="s">
        <v>1795</v>
      </c>
      <c r="B708" s="32" t="s">
        <v>1796</v>
      </c>
      <c r="C708" s="32" t="s">
        <v>2840</v>
      </c>
      <c r="D708" s="32" t="s">
        <v>1901</v>
      </c>
      <c r="E708" s="32" t="s">
        <v>1471</v>
      </c>
      <c r="F708" s="32" t="s">
        <v>1752</v>
      </c>
      <c r="G708" s="32">
        <f>IFERROR(INDEX(Ship!A$31:B$4500,MATCH(C708,Ship!A$31:A$4500,0),2),0)</f>
        <v>0</v>
      </c>
    </row>
    <row r="709" spans="1:7" x14ac:dyDescent="0.3">
      <c r="A709" s="32" t="s">
        <v>1795</v>
      </c>
      <c r="B709" s="32" t="s">
        <v>1796</v>
      </c>
      <c r="C709" s="32" t="s">
        <v>2841</v>
      </c>
      <c r="D709" s="32" t="s">
        <v>1902</v>
      </c>
      <c r="E709" s="32" t="s">
        <v>1471</v>
      </c>
      <c r="F709" s="32" t="s">
        <v>1752</v>
      </c>
      <c r="G709" s="32">
        <f>IFERROR(INDEX(Ship!A$31:B$4500,MATCH(C709,Ship!A$31:A$4500,0),2),0)</f>
        <v>27</v>
      </c>
    </row>
    <row r="710" spans="1:7" x14ac:dyDescent="0.3">
      <c r="A710" s="32" t="s">
        <v>1795</v>
      </c>
      <c r="B710" s="32" t="s">
        <v>1796</v>
      </c>
      <c r="C710" s="32" t="s">
        <v>2842</v>
      </c>
      <c r="D710" s="32" t="s">
        <v>1903</v>
      </c>
      <c r="E710" s="32" t="s">
        <v>1471</v>
      </c>
      <c r="F710" s="32" t="s">
        <v>1752</v>
      </c>
      <c r="G710" s="32">
        <f>IFERROR(INDEX(Ship!A$31:B$4500,MATCH(C710,Ship!A$31:A$4500,0),2),0)</f>
        <v>0</v>
      </c>
    </row>
    <row r="711" spans="1:7" x14ac:dyDescent="0.3">
      <c r="A711" s="32" t="s">
        <v>1795</v>
      </c>
      <c r="B711" s="32" t="s">
        <v>1796</v>
      </c>
      <c r="C711" s="32" t="s">
        <v>2843</v>
      </c>
      <c r="D711" s="32" t="s">
        <v>1904</v>
      </c>
      <c r="E711" s="32" t="s">
        <v>1471</v>
      </c>
      <c r="F711" s="32" t="s">
        <v>1752</v>
      </c>
      <c r="G711" s="32">
        <f>IFERROR(INDEX(Ship!A$31:B$4500,MATCH(C711,Ship!A$31:A$4500,0),2),0)</f>
        <v>0</v>
      </c>
    </row>
    <row r="712" spans="1:7" x14ac:dyDescent="0.3">
      <c r="A712" s="32" t="s">
        <v>1795</v>
      </c>
      <c r="B712" s="32" t="s">
        <v>1796</v>
      </c>
      <c r="C712" s="32" t="s">
        <v>2844</v>
      </c>
      <c r="D712" s="32" t="s">
        <v>1905</v>
      </c>
      <c r="E712" s="32" t="s">
        <v>1471</v>
      </c>
      <c r="F712" s="32" t="s">
        <v>1752</v>
      </c>
      <c r="G712" s="32">
        <f>IFERROR(INDEX(Ship!A$31:B$4500,MATCH(C712,Ship!A$31:A$4500,0),2),0)</f>
        <v>0</v>
      </c>
    </row>
    <row r="713" spans="1:7" x14ac:dyDescent="0.3">
      <c r="A713" s="32" t="s">
        <v>1795</v>
      </c>
      <c r="B713" s="32" t="s">
        <v>1796</v>
      </c>
      <c r="C713" s="32" t="s">
        <v>2845</v>
      </c>
      <c r="D713" s="32" t="s">
        <v>1906</v>
      </c>
      <c r="E713" s="32" t="s">
        <v>1471</v>
      </c>
      <c r="F713" s="32" t="s">
        <v>1752</v>
      </c>
      <c r="G713" s="32">
        <f>IFERROR(INDEX(Ship!A$31:B$4500,MATCH(C713,Ship!A$31:A$4500,0),2),0)</f>
        <v>4</v>
      </c>
    </row>
    <row r="714" spans="1:7" x14ac:dyDescent="0.3">
      <c r="A714" s="32" t="s">
        <v>1795</v>
      </c>
      <c r="B714" s="32" t="s">
        <v>1796</v>
      </c>
      <c r="C714" s="32" t="s">
        <v>2846</v>
      </c>
      <c r="D714" s="32" t="s">
        <v>1907</v>
      </c>
      <c r="E714" s="32" t="s">
        <v>1471</v>
      </c>
      <c r="F714" s="32" t="s">
        <v>1752</v>
      </c>
      <c r="G714" s="32">
        <f>IFERROR(INDEX(Ship!A$31:B$4500,MATCH(C714,Ship!A$31:A$4500,0),2),0)</f>
        <v>0</v>
      </c>
    </row>
    <row r="715" spans="1:7" x14ac:dyDescent="0.3">
      <c r="A715" s="32" t="s">
        <v>1795</v>
      </c>
      <c r="B715" s="32" t="s">
        <v>1796</v>
      </c>
      <c r="C715" s="32" t="s">
        <v>2847</v>
      </c>
      <c r="D715" s="32" t="s">
        <v>1908</v>
      </c>
      <c r="E715" s="32" t="s">
        <v>1471</v>
      </c>
      <c r="F715" s="32" t="s">
        <v>1752</v>
      </c>
      <c r="G715" s="32">
        <f>IFERROR(INDEX(Ship!A$31:B$4500,MATCH(C715,Ship!A$31:A$4500,0),2),0)</f>
        <v>0</v>
      </c>
    </row>
    <row r="716" spans="1:7" x14ac:dyDescent="0.3">
      <c r="A716" s="32" t="s">
        <v>1795</v>
      </c>
      <c r="B716" s="32" t="s">
        <v>1796</v>
      </c>
      <c r="C716" s="32" t="s">
        <v>2848</v>
      </c>
      <c r="D716" s="32" t="s">
        <v>1909</v>
      </c>
      <c r="E716" s="32" t="s">
        <v>1471</v>
      </c>
      <c r="F716" s="32" t="s">
        <v>1752</v>
      </c>
      <c r="G716" s="32">
        <f>IFERROR(INDEX(Ship!A$31:B$4500,MATCH(C716,Ship!A$31:A$4500,0),2),0)</f>
        <v>0</v>
      </c>
    </row>
    <row r="717" spans="1:7" x14ac:dyDescent="0.3">
      <c r="A717" s="32" t="s">
        <v>1795</v>
      </c>
      <c r="B717" s="32" t="s">
        <v>1796</v>
      </c>
      <c r="C717" s="32" t="s">
        <v>2849</v>
      </c>
      <c r="D717" s="32" t="s">
        <v>1910</v>
      </c>
      <c r="E717" s="32" t="s">
        <v>1471</v>
      </c>
      <c r="F717" s="32" t="s">
        <v>1752</v>
      </c>
      <c r="G717" s="32">
        <f>IFERROR(INDEX(Ship!A$31:B$4500,MATCH(C717,Ship!A$31:A$4500,0),2),0)</f>
        <v>52</v>
      </c>
    </row>
    <row r="718" spans="1:7" x14ac:dyDescent="0.3">
      <c r="A718" s="32" t="s">
        <v>1795</v>
      </c>
      <c r="B718" s="32" t="s">
        <v>1796</v>
      </c>
      <c r="C718" s="32" t="s">
        <v>2850</v>
      </c>
      <c r="D718" s="32" t="s">
        <v>1911</v>
      </c>
      <c r="E718" s="32" t="s">
        <v>1471</v>
      </c>
      <c r="F718" s="32" t="s">
        <v>1752</v>
      </c>
      <c r="G718" s="32">
        <f>IFERROR(INDEX(Ship!A$31:B$4500,MATCH(C718,Ship!A$31:A$4500,0),2),0)</f>
        <v>1</v>
      </c>
    </row>
    <row r="719" spans="1:7" x14ac:dyDescent="0.3">
      <c r="A719" s="32" t="s">
        <v>1795</v>
      </c>
      <c r="B719" s="32" t="s">
        <v>1796</v>
      </c>
      <c r="C719" s="32" t="s">
        <v>2851</v>
      </c>
      <c r="D719" s="32" t="s">
        <v>1912</v>
      </c>
      <c r="E719" s="32" t="s">
        <v>1471</v>
      </c>
      <c r="F719" s="32" t="s">
        <v>1752</v>
      </c>
      <c r="G719" s="32">
        <f>IFERROR(INDEX(Ship!A$31:B$4500,MATCH(C719,Ship!A$31:A$4500,0),2),0)</f>
        <v>61</v>
      </c>
    </row>
    <row r="720" spans="1:7" x14ac:dyDescent="0.3">
      <c r="A720" s="32" t="s">
        <v>1795</v>
      </c>
      <c r="B720" s="32" t="s">
        <v>1796</v>
      </c>
      <c r="C720" s="32" t="s">
        <v>2852</v>
      </c>
      <c r="D720" s="32" t="s">
        <v>1913</v>
      </c>
      <c r="E720" s="32" t="s">
        <v>1471</v>
      </c>
      <c r="F720" s="32" t="s">
        <v>1752</v>
      </c>
      <c r="G720" s="32">
        <f>IFERROR(INDEX(Ship!A$31:B$4500,MATCH(C720,Ship!A$31:A$4500,0),2),0)</f>
        <v>0</v>
      </c>
    </row>
    <row r="721" spans="1:7" x14ac:dyDescent="0.3">
      <c r="A721" s="32" t="s">
        <v>1795</v>
      </c>
      <c r="B721" s="32" t="s">
        <v>1796</v>
      </c>
      <c r="C721" s="32" t="s">
        <v>2853</v>
      </c>
      <c r="D721" s="32" t="s">
        <v>1914</v>
      </c>
      <c r="E721" s="32" t="s">
        <v>1471</v>
      </c>
      <c r="F721" s="32" t="s">
        <v>1752</v>
      </c>
      <c r="G721" s="32">
        <f>IFERROR(INDEX(Ship!A$31:B$4500,MATCH(C721,Ship!A$31:A$4500,0),2),0)</f>
        <v>0</v>
      </c>
    </row>
    <row r="722" spans="1:7" x14ac:dyDescent="0.3">
      <c r="A722" s="32" t="s">
        <v>1795</v>
      </c>
      <c r="B722" s="32" t="s">
        <v>1796</v>
      </c>
      <c r="C722" s="32" t="s">
        <v>2854</v>
      </c>
      <c r="D722" s="32" t="s">
        <v>1915</v>
      </c>
      <c r="E722" s="32" t="s">
        <v>1471</v>
      </c>
      <c r="F722" s="32" t="s">
        <v>1752</v>
      </c>
      <c r="G722" s="32">
        <f>IFERROR(INDEX(Ship!A$31:B$4500,MATCH(C722,Ship!A$31:A$4500,0),2),0)</f>
        <v>2</v>
      </c>
    </row>
    <row r="723" spans="1:7" x14ac:dyDescent="0.3">
      <c r="A723" s="32" t="s">
        <v>1795</v>
      </c>
      <c r="B723" s="32" t="s">
        <v>1796</v>
      </c>
      <c r="C723" s="32" t="s">
        <v>2855</v>
      </c>
      <c r="D723" s="32" t="s">
        <v>1916</v>
      </c>
      <c r="E723" s="32" t="s">
        <v>1471</v>
      </c>
      <c r="F723" s="32" t="s">
        <v>1752</v>
      </c>
      <c r="G723" s="32">
        <f>IFERROR(INDEX(Ship!A$31:B$4500,MATCH(C723,Ship!A$31:A$4500,0),2),0)</f>
        <v>0</v>
      </c>
    </row>
    <row r="724" spans="1:7" x14ac:dyDescent="0.3">
      <c r="A724" s="32" t="s">
        <v>1795</v>
      </c>
      <c r="B724" s="32" t="s">
        <v>1796</v>
      </c>
      <c r="C724" s="32" t="s">
        <v>2856</v>
      </c>
      <c r="D724" s="32" t="s">
        <v>1917</v>
      </c>
      <c r="E724" s="32" t="s">
        <v>1471</v>
      </c>
      <c r="F724" s="32" t="s">
        <v>1752</v>
      </c>
      <c r="G724" s="32">
        <f>IFERROR(INDEX(Ship!A$31:B$4500,MATCH(C724,Ship!A$31:A$4500,0),2),0)</f>
        <v>1</v>
      </c>
    </row>
    <row r="725" spans="1:7" x14ac:dyDescent="0.3">
      <c r="A725" s="32" t="s">
        <v>1795</v>
      </c>
      <c r="B725" s="32" t="s">
        <v>1796</v>
      </c>
      <c r="C725" s="32" t="s">
        <v>2857</v>
      </c>
      <c r="D725" s="32" t="s">
        <v>1918</v>
      </c>
      <c r="E725" s="32" t="s">
        <v>1471</v>
      </c>
      <c r="F725" s="32" t="s">
        <v>1752</v>
      </c>
      <c r="G725" s="32">
        <f>IFERROR(INDEX(Ship!A$31:B$4500,MATCH(C725,Ship!A$31:A$4500,0),2),0)</f>
        <v>0</v>
      </c>
    </row>
    <row r="726" spans="1:7" x14ac:dyDescent="0.3">
      <c r="A726" s="32" t="s">
        <v>1795</v>
      </c>
      <c r="B726" s="32" t="s">
        <v>1796</v>
      </c>
      <c r="C726" s="32" t="s">
        <v>2858</v>
      </c>
      <c r="D726" s="32" t="s">
        <v>1919</v>
      </c>
      <c r="E726" s="32" t="s">
        <v>1471</v>
      </c>
      <c r="F726" s="32" t="s">
        <v>1752</v>
      </c>
      <c r="G726" s="32">
        <f>IFERROR(INDEX(Ship!A$31:B$4500,MATCH(C726,Ship!A$31:A$4500,0),2),0)</f>
        <v>3</v>
      </c>
    </row>
    <row r="727" spans="1:7" x14ac:dyDescent="0.3">
      <c r="A727" s="32" t="s">
        <v>1795</v>
      </c>
      <c r="B727" s="32" t="s">
        <v>1796</v>
      </c>
      <c r="C727" s="32" t="s">
        <v>2859</v>
      </c>
      <c r="D727" s="32" t="s">
        <v>1920</v>
      </c>
      <c r="E727" s="32" t="s">
        <v>1471</v>
      </c>
      <c r="F727" s="32" t="s">
        <v>1752</v>
      </c>
      <c r="G727" s="32">
        <f>IFERROR(INDEX(Ship!A$31:B$4500,MATCH(C727,Ship!A$31:A$4500,0),2),0)</f>
        <v>80</v>
      </c>
    </row>
    <row r="728" spans="1:7" x14ac:dyDescent="0.3">
      <c r="A728" s="32" t="s">
        <v>1795</v>
      </c>
      <c r="B728" s="32" t="s">
        <v>1796</v>
      </c>
      <c r="C728" s="32" t="s">
        <v>2860</v>
      </c>
      <c r="D728" s="32" t="s">
        <v>1921</v>
      </c>
      <c r="E728" s="32" t="s">
        <v>1471</v>
      </c>
      <c r="F728" s="32" t="s">
        <v>1752</v>
      </c>
      <c r="G728" s="32">
        <f>IFERROR(INDEX(Ship!A$31:B$4500,MATCH(C728,Ship!A$31:A$4500,0),2),0)</f>
        <v>21</v>
      </c>
    </row>
    <row r="729" spans="1:7" x14ac:dyDescent="0.3">
      <c r="A729" s="32" t="s">
        <v>1795</v>
      </c>
      <c r="B729" s="32" t="s">
        <v>1796</v>
      </c>
      <c r="C729" s="32" t="s">
        <v>2861</v>
      </c>
      <c r="D729" s="32" t="s">
        <v>1922</v>
      </c>
      <c r="E729" s="32" t="s">
        <v>1471</v>
      </c>
      <c r="F729" s="32" t="s">
        <v>1752</v>
      </c>
      <c r="G729" s="32">
        <f>IFERROR(INDEX(Ship!A$31:B$4500,MATCH(C729,Ship!A$31:A$4500,0),2),0)</f>
        <v>137</v>
      </c>
    </row>
    <row r="730" spans="1:7" x14ac:dyDescent="0.3">
      <c r="A730" s="32" t="s">
        <v>1795</v>
      </c>
      <c r="B730" s="32" t="s">
        <v>1796</v>
      </c>
      <c r="C730" s="32" t="s">
        <v>2862</v>
      </c>
      <c r="D730" s="32" t="s">
        <v>1923</v>
      </c>
      <c r="E730" s="32" t="s">
        <v>1471</v>
      </c>
      <c r="F730" s="32" t="s">
        <v>1752</v>
      </c>
      <c r="G730" s="32">
        <f>IFERROR(INDEX(Ship!A$31:B$4500,MATCH(C730,Ship!A$31:A$4500,0),2),0)</f>
        <v>0</v>
      </c>
    </row>
    <row r="731" spans="1:7" x14ac:dyDescent="0.3">
      <c r="A731" s="32" t="s">
        <v>1795</v>
      </c>
      <c r="B731" s="32" t="s">
        <v>1796</v>
      </c>
      <c r="C731" s="32" t="s">
        <v>2863</v>
      </c>
      <c r="D731" s="32" t="s">
        <v>1924</v>
      </c>
      <c r="E731" s="32" t="s">
        <v>1471</v>
      </c>
      <c r="F731" s="32" t="s">
        <v>1752</v>
      </c>
      <c r="G731" s="32">
        <f>IFERROR(INDEX(Ship!A$31:B$4500,MATCH(C731,Ship!A$31:A$4500,0),2),0)</f>
        <v>0</v>
      </c>
    </row>
    <row r="732" spans="1:7" x14ac:dyDescent="0.3">
      <c r="A732" s="32" t="s">
        <v>1795</v>
      </c>
      <c r="B732" s="32" t="s">
        <v>1796</v>
      </c>
      <c r="C732" s="32" t="s">
        <v>2864</v>
      </c>
      <c r="D732" s="32" t="s">
        <v>1925</v>
      </c>
      <c r="E732" s="32" t="s">
        <v>1471</v>
      </c>
      <c r="F732" s="32" t="s">
        <v>1752</v>
      </c>
      <c r="G732" s="32">
        <f>IFERROR(INDEX(Ship!A$31:B$4500,MATCH(C732,Ship!A$31:A$4500,0),2),0)</f>
        <v>3</v>
      </c>
    </row>
    <row r="733" spans="1:7" x14ac:dyDescent="0.3">
      <c r="A733" s="32" t="s">
        <v>1795</v>
      </c>
      <c r="B733" s="32" t="s">
        <v>1796</v>
      </c>
      <c r="C733" s="32" t="s">
        <v>2865</v>
      </c>
      <c r="D733" s="32" t="s">
        <v>1926</v>
      </c>
      <c r="E733" s="32" t="s">
        <v>1471</v>
      </c>
      <c r="F733" s="32" t="s">
        <v>1752</v>
      </c>
      <c r="G733" s="32">
        <f>IFERROR(INDEX(Ship!A$31:B$4500,MATCH(C733,Ship!A$31:A$4500,0),2),0)</f>
        <v>0</v>
      </c>
    </row>
    <row r="734" spans="1:7" x14ac:dyDescent="0.3">
      <c r="A734" s="32" t="s">
        <v>1795</v>
      </c>
      <c r="B734" s="32" t="s">
        <v>1796</v>
      </c>
      <c r="C734" s="32" t="s">
        <v>2866</v>
      </c>
      <c r="D734" s="32" t="s">
        <v>1927</v>
      </c>
      <c r="E734" s="32" t="s">
        <v>1471</v>
      </c>
      <c r="F734" s="32" t="s">
        <v>1752</v>
      </c>
      <c r="G734" s="32">
        <f>IFERROR(INDEX(Ship!A$31:B$4500,MATCH(C734,Ship!A$31:A$4500,0),2),0)</f>
        <v>0</v>
      </c>
    </row>
    <row r="735" spans="1:7" x14ac:dyDescent="0.3">
      <c r="A735" s="32" t="s">
        <v>1795</v>
      </c>
      <c r="B735" s="32" t="s">
        <v>1796</v>
      </c>
      <c r="C735" s="32" t="s">
        <v>2867</v>
      </c>
      <c r="D735" s="32" t="s">
        <v>1928</v>
      </c>
      <c r="E735" s="32" t="s">
        <v>1471</v>
      </c>
      <c r="F735" s="32" t="s">
        <v>1752</v>
      </c>
      <c r="G735" s="32">
        <f>IFERROR(INDEX(Ship!A$31:B$4500,MATCH(C735,Ship!A$31:A$4500,0),2),0)</f>
        <v>0</v>
      </c>
    </row>
    <row r="736" spans="1:7" x14ac:dyDescent="0.3">
      <c r="A736" s="32" t="s">
        <v>1795</v>
      </c>
      <c r="B736" s="32" t="s">
        <v>1796</v>
      </c>
      <c r="C736" s="32" t="s">
        <v>2868</v>
      </c>
      <c r="D736" s="32" t="s">
        <v>1929</v>
      </c>
      <c r="E736" s="32" t="s">
        <v>1471</v>
      </c>
      <c r="F736" s="32" t="s">
        <v>1752</v>
      </c>
      <c r="G736" s="32">
        <f>IFERROR(INDEX(Ship!A$31:B$4500,MATCH(C736,Ship!A$31:A$4500,0),2),0)</f>
        <v>4</v>
      </c>
    </row>
    <row r="737" spans="1:7" x14ac:dyDescent="0.3">
      <c r="A737" s="32" t="s">
        <v>1795</v>
      </c>
      <c r="B737" s="32" t="s">
        <v>1796</v>
      </c>
      <c r="C737" s="32" t="s">
        <v>2869</v>
      </c>
      <c r="D737" s="32" t="s">
        <v>1930</v>
      </c>
      <c r="E737" s="32" t="s">
        <v>1471</v>
      </c>
      <c r="F737" s="32" t="s">
        <v>1752</v>
      </c>
      <c r="G737" s="32">
        <f>IFERROR(INDEX(Ship!A$31:B$4500,MATCH(C737,Ship!A$31:A$4500,0),2),0)</f>
        <v>4</v>
      </c>
    </row>
    <row r="738" spans="1:7" x14ac:dyDescent="0.3">
      <c r="A738" s="32" t="s">
        <v>1795</v>
      </c>
      <c r="B738" s="32" t="s">
        <v>1796</v>
      </c>
      <c r="C738" s="32" t="s">
        <v>2870</v>
      </c>
      <c r="D738" s="32" t="s">
        <v>1931</v>
      </c>
      <c r="E738" s="32" t="s">
        <v>1471</v>
      </c>
      <c r="F738" s="32" t="s">
        <v>1752</v>
      </c>
      <c r="G738" s="32">
        <f>IFERROR(INDEX(Ship!A$31:B$4500,MATCH(C738,Ship!A$31:A$4500,0),2),0)</f>
        <v>1</v>
      </c>
    </row>
    <row r="739" spans="1:7" x14ac:dyDescent="0.3">
      <c r="A739" s="32" t="s">
        <v>1795</v>
      </c>
      <c r="B739" s="32" t="s">
        <v>1796</v>
      </c>
      <c r="C739" s="32" t="s">
        <v>2871</v>
      </c>
      <c r="D739" s="32" t="s">
        <v>1932</v>
      </c>
      <c r="E739" s="32" t="s">
        <v>1471</v>
      </c>
      <c r="F739" s="32" t="s">
        <v>1752</v>
      </c>
      <c r="G739" s="32">
        <f>IFERROR(INDEX(Ship!A$31:B$4500,MATCH(C739,Ship!A$31:A$4500,0),2),0)</f>
        <v>0</v>
      </c>
    </row>
    <row r="740" spans="1:7" x14ac:dyDescent="0.3">
      <c r="A740" s="32" t="s">
        <v>1795</v>
      </c>
      <c r="B740" s="32" t="s">
        <v>1796</v>
      </c>
      <c r="C740" s="32" t="s">
        <v>2872</v>
      </c>
      <c r="D740" s="32" t="s">
        <v>1933</v>
      </c>
      <c r="E740" s="32" t="s">
        <v>1471</v>
      </c>
      <c r="F740" s="32" t="s">
        <v>1752</v>
      </c>
      <c r="G740" s="32">
        <f>IFERROR(INDEX(Ship!A$31:B$4500,MATCH(C740,Ship!A$31:A$4500,0),2),0)</f>
        <v>0</v>
      </c>
    </row>
    <row r="741" spans="1:7" x14ac:dyDescent="0.3">
      <c r="A741" s="32" t="s">
        <v>1795</v>
      </c>
      <c r="B741" s="32" t="s">
        <v>1796</v>
      </c>
      <c r="C741" s="32" t="s">
        <v>2873</v>
      </c>
      <c r="D741" s="32" t="s">
        <v>1934</v>
      </c>
      <c r="E741" s="32" t="s">
        <v>1471</v>
      </c>
      <c r="F741" s="32" t="s">
        <v>1752</v>
      </c>
      <c r="G741" s="32">
        <f>IFERROR(INDEX(Ship!A$31:B$4500,MATCH(C741,Ship!A$31:A$4500,0),2),0)</f>
        <v>333</v>
      </c>
    </row>
    <row r="742" spans="1:7" x14ac:dyDescent="0.3">
      <c r="A742" s="32" t="s">
        <v>1795</v>
      </c>
      <c r="B742" s="32" t="s">
        <v>1796</v>
      </c>
      <c r="C742" s="32" t="s">
        <v>2874</v>
      </c>
      <c r="D742" s="32" t="s">
        <v>1935</v>
      </c>
      <c r="E742" s="32" t="s">
        <v>1471</v>
      </c>
      <c r="F742" s="32" t="s">
        <v>1752</v>
      </c>
      <c r="G742" s="32">
        <f>IFERROR(INDEX(Ship!A$31:B$4500,MATCH(C742,Ship!A$31:A$4500,0),2),0)</f>
        <v>0</v>
      </c>
    </row>
    <row r="743" spans="1:7" x14ac:dyDescent="0.3">
      <c r="A743" s="32" t="s">
        <v>1795</v>
      </c>
      <c r="B743" s="32" t="s">
        <v>1796</v>
      </c>
      <c r="C743" s="32" t="s">
        <v>2875</v>
      </c>
      <c r="D743" s="32" t="s">
        <v>1936</v>
      </c>
      <c r="E743" s="32" t="s">
        <v>1471</v>
      </c>
      <c r="F743" s="32" t="s">
        <v>1752</v>
      </c>
      <c r="G743" s="32">
        <f>IFERROR(INDEX(Ship!A$31:B$4500,MATCH(C743,Ship!A$31:A$4500,0),2),0)</f>
        <v>0</v>
      </c>
    </row>
    <row r="744" spans="1:7" x14ac:dyDescent="0.3">
      <c r="A744" s="32" t="s">
        <v>1795</v>
      </c>
      <c r="B744" s="32" t="s">
        <v>1796</v>
      </c>
      <c r="C744" s="32" t="s">
        <v>2876</v>
      </c>
      <c r="D744" s="32" t="s">
        <v>1937</v>
      </c>
      <c r="E744" s="32" t="s">
        <v>1471</v>
      </c>
      <c r="F744" s="32" t="s">
        <v>1752</v>
      </c>
      <c r="G744" s="32">
        <f>IFERROR(INDEX(Ship!A$31:B$4500,MATCH(C744,Ship!A$31:A$4500,0),2),0)</f>
        <v>0</v>
      </c>
    </row>
    <row r="745" spans="1:7" x14ac:dyDescent="0.3">
      <c r="A745" s="32" t="s">
        <v>1795</v>
      </c>
      <c r="B745" s="32" t="s">
        <v>1796</v>
      </c>
      <c r="C745" s="32" t="s">
        <v>2877</v>
      </c>
      <c r="D745" s="32" t="s">
        <v>1938</v>
      </c>
      <c r="E745" s="32" t="s">
        <v>1471</v>
      </c>
      <c r="F745" s="32" t="s">
        <v>1752</v>
      </c>
      <c r="G745" s="32">
        <f>IFERROR(INDEX(Ship!A$31:B$4500,MATCH(C745,Ship!A$31:A$4500,0),2),0)</f>
        <v>0</v>
      </c>
    </row>
    <row r="746" spans="1:7" x14ac:dyDescent="0.3">
      <c r="A746" s="32" t="s">
        <v>1795</v>
      </c>
      <c r="B746" s="32" t="s">
        <v>1796</v>
      </c>
      <c r="C746" s="32" t="s">
        <v>2878</v>
      </c>
      <c r="D746" s="32" t="s">
        <v>1939</v>
      </c>
      <c r="E746" s="32" t="s">
        <v>1471</v>
      </c>
      <c r="F746" s="32" t="s">
        <v>1752</v>
      </c>
      <c r="G746" s="32">
        <f>IFERROR(INDEX(Ship!A$31:B$4500,MATCH(C746,Ship!A$31:A$4500,0),2),0)</f>
        <v>0</v>
      </c>
    </row>
    <row r="747" spans="1:7" x14ac:dyDescent="0.3">
      <c r="A747" s="32" t="s">
        <v>1795</v>
      </c>
      <c r="B747" s="32" t="s">
        <v>1796</v>
      </c>
      <c r="C747" s="32" t="s">
        <v>2879</v>
      </c>
      <c r="D747" s="32" t="s">
        <v>1940</v>
      </c>
      <c r="E747" s="32" t="s">
        <v>1471</v>
      </c>
      <c r="F747" s="32" t="s">
        <v>1752</v>
      </c>
      <c r="G747" s="32">
        <f>IFERROR(INDEX(Ship!A$31:B$4500,MATCH(C747,Ship!A$31:A$4500,0),2),0)</f>
        <v>167</v>
      </c>
    </row>
    <row r="748" spans="1:7" x14ac:dyDescent="0.3">
      <c r="A748" s="32" t="s">
        <v>1795</v>
      </c>
      <c r="B748" s="32" t="s">
        <v>1796</v>
      </c>
      <c r="C748" s="32" t="s">
        <v>2880</v>
      </c>
      <c r="D748" s="32" t="s">
        <v>1941</v>
      </c>
      <c r="E748" s="32" t="s">
        <v>1471</v>
      </c>
      <c r="F748" s="32" t="s">
        <v>1752</v>
      </c>
      <c r="G748" s="32">
        <f>IFERROR(INDEX(Ship!A$31:B$4500,MATCH(C748,Ship!A$31:A$4500,0),2),0)</f>
        <v>2</v>
      </c>
    </row>
    <row r="749" spans="1:7" x14ac:dyDescent="0.3">
      <c r="A749" s="32" t="s">
        <v>1795</v>
      </c>
      <c r="B749" s="32" t="s">
        <v>1796</v>
      </c>
      <c r="C749" s="32" t="s">
        <v>2881</v>
      </c>
      <c r="D749" s="32" t="s">
        <v>1942</v>
      </c>
      <c r="E749" s="32" t="s">
        <v>1471</v>
      </c>
      <c r="F749" s="32" t="s">
        <v>1752</v>
      </c>
      <c r="G749" s="32">
        <f>IFERROR(INDEX(Ship!A$31:B$4500,MATCH(C749,Ship!A$31:A$4500,0),2),0)</f>
        <v>6</v>
      </c>
    </row>
    <row r="750" spans="1:7" x14ac:dyDescent="0.3">
      <c r="A750" s="32" t="s">
        <v>1795</v>
      </c>
      <c r="B750" s="32" t="s">
        <v>1796</v>
      </c>
      <c r="C750" s="32" t="s">
        <v>2882</v>
      </c>
      <c r="D750" s="32" t="s">
        <v>1943</v>
      </c>
      <c r="E750" s="32" t="s">
        <v>1471</v>
      </c>
      <c r="F750" s="32" t="s">
        <v>1752</v>
      </c>
      <c r="G750" s="32">
        <f>IFERROR(INDEX(Ship!A$31:B$4500,MATCH(C750,Ship!A$31:A$4500,0),2),0)</f>
        <v>33</v>
      </c>
    </row>
    <row r="751" spans="1:7" x14ac:dyDescent="0.3">
      <c r="A751" s="32" t="s">
        <v>1795</v>
      </c>
      <c r="B751" s="32" t="s">
        <v>1796</v>
      </c>
      <c r="C751" s="32" t="s">
        <v>2883</v>
      </c>
      <c r="D751" s="32" t="s">
        <v>1944</v>
      </c>
      <c r="E751" s="32" t="s">
        <v>1471</v>
      </c>
      <c r="F751" s="32" t="s">
        <v>1752</v>
      </c>
      <c r="G751" s="32">
        <f>IFERROR(INDEX(Ship!A$31:B$4500,MATCH(C751,Ship!A$31:A$4500,0),2),0)</f>
        <v>311</v>
      </c>
    </row>
    <row r="752" spans="1:7" x14ac:dyDescent="0.3">
      <c r="A752" s="32" t="s">
        <v>1795</v>
      </c>
      <c r="B752" s="32" t="s">
        <v>1796</v>
      </c>
      <c r="C752" s="32" t="s">
        <v>2884</v>
      </c>
      <c r="D752" s="32" t="s">
        <v>1945</v>
      </c>
      <c r="E752" s="32" t="s">
        <v>1471</v>
      </c>
      <c r="F752" s="32" t="s">
        <v>1752</v>
      </c>
      <c r="G752" s="32">
        <f>IFERROR(INDEX(Ship!A$31:B$4500,MATCH(C752,Ship!A$31:A$4500,0),2),0)</f>
        <v>6</v>
      </c>
    </row>
    <row r="753" spans="1:7" x14ac:dyDescent="0.3">
      <c r="A753" s="32" t="s">
        <v>1795</v>
      </c>
      <c r="B753" s="32" t="s">
        <v>1796</v>
      </c>
      <c r="C753" s="32" t="s">
        <v>2885</v>
      </c>
      <c r="D753" s="32" t="s">
        <v>1946</v>
      </c>
      <c r="E753" s="32" t="s">
        <v>1471</v>
      </c>
      <c r="F753" s="32" t="s">
        <v>1752</v>
      </c>
      <c r="G753" s="32">
        <f>IFERROR(INDEX(Ship!A$31:B$4500,MATCH(C753,Ship!A$31:A$4500,0),2),0)</f>
        <v>70</v>
      </c>
    </row>
    <row r="754" spans="1:7" x14ac:dyDescent="0.3">
      <c r="A754" s="32" t="s">
        <v>1795</v>
      </c>
      <c r="B754" s="32" t="s">
        <v>1796</v>
      </c>
      <c r="C754" s="32" t="s">
        <v>2886</v>
      </c>
      <c r="D754" s="32" t="s">
        <v>1947</v>
      </c>
      <c r="E754" s="32" t="s">
        <v>1471</v>
      </c>
      <c r="F754" s="32" t="s">
        <v>1752</v>
      </c>
      <c r="G754" s="32">
        <f>IFERROR(INDEX(Ship!A$31:B$4500,MATCH(C754,Ship!A$31:A$4500,0),2),0)</f>
        <v>0</v>
      </c>
    </row>
    <row r="755" spans="1:7" x14ac:dyDescent="0.3">
      <c r="A755" s="32" t="s">
        <v>1795</v>
      </c>
      <c r="B755" s="32" t="s">
        <v>1796</v>
      </c>
      <c r="C755" s="32" t="s">
        <v>2887</v>
      </c>
      <c r="D755" s="32" t="s">
        <v>1948</v>
      </c>
      <c r="E755" s="32" t="s">
        <v>1471</v>
      </c>
      <c r="F755" s="32" t="s">
        <v>1752</v>
      </c>
      <c r="G755" s="32">
        <f>IFERROR(INDEX(Ship!A$31:B$4500,MATCH(C755,Ship!A$31:A$4500,0),2),0)</f>
        <v>0</v>
      </c>
    </row>
    <row r="756" spans="1:7" x14ac:dyDescent="0.3">
      <c r="A756" s="32" t="s">
        <v>1795</v>
      </c>
      <c r="B756" s="32" t="s">
        <v>1796</v>
      </c>
      <c r="C756" s="32" t="s">
        <v>2888</v>
      </c>
      <c r="D756" s="32" t="s">
        <v>1949</v>
      </c>
      <c r="E756" s="32" t="s">
        <v>1471</v>
      </c>
      <c r="F756" s="32" t="s">
        <v>1752</v>
      </c>
      <c r="G756" s="32">
        <f>IFERROR(INDEX(Ship!A$31:B$4500,MATCH(C756,Ship!A$31:A$4500,0),2),0)</f>
        <v>39</v>
      </c>
    </row>
    <row r="757" spans="1:7" x14ac:dyDescent="0.3">
      <c r="A757" s="32" t="s">
        <v>1795</v>
      </c>
      <c r="B757" s="32" t="s">
        <v>1796</v>
      </c>
      <c r="C757" s="32" t="s">
        <v>2889</v>
      </c>
      <c r="D757" s="32" t="s">
        <v>1950</v>
      </c>
      <c r="E757" s="32" t="s">
        <v>1471</v>
      </c>
      <c r="F757" s="32" t="s">
        <v>1752</v>
      </c>
      <c r="G757" s="32">
        <f>IFERROR(INDEX(Ship!A$31:B$4500,MATCH(C757,Ship!A$31:A$4500,0),2),0)</f>
        <v>0</v>
      </c>
    </row>
    <row r="758" spans="1:7" x14ac:dyDescent="0.3">
      <c r="A758" s="32" t="s">
        <v>1795</v>
      </c>
      <c r="B758" s="32" t="s">
        <v>1796</v>
      </c>
      <c r="C758" s="32" t="s">
        <v>2890</v>
      </c>
      <c r="D758" s="32" t="s">
        <v>1951</v>
      </c>
      <c r="E758" s="32" t="s">
        <v>1471</v>
      </c>
      <c r="F758" s="32" t="s">
        <v>1752</v>
      </c>
      <c r="G758" s="32">
        <f>IFERROR(INDEX(Ship!A$31:B$4500,MATCH(C758,Ship!A$31:A$4500,0),2),0)</f>
        <v>0</v>
      </c>
    </row>
    <row r="759" spans="1:7" x14ac:dyDescent="0.3">
      <c r="A759" s="32" t="s">
        <v>1795</v>
      </c>
      <c r="B759" s="32" t="s">
        <v>1796</v>
      </c>
      <c r="C759" s="32" t="s">
        <v>2891</v>
      </c>
      <c r="D759" s="32" t="s">
        <v>1952</v>
      </c>
      <c r="E759" s="32" t="s">
        <v>1471</v>
      </c>
      <c r="F759" s="32" t="s">
        <v>1752</v>
      </c>
      <c r="G759" s="32">
        <f>IFERROR(INDEX(Ship!A$31:B$4500,MATCH(C759,Ship!A$31:A$4500,0),2),0)</f>
        <v>0</v>
      </c>
    </row>
    <row r="760" spans="1:7" x14ac:dyDescent="0.3">
      <c r="A760" s="32" t="s">
        <v>1795</v>
      </c>
      <c r="B760" s="32" t="s">
        <v>1796</v>
      </c>
      <c r="C760" s="32" t="s">
        <v>2892</v>
      </c>
      <c r="D760" s="32" t="s">
        <v>1953</v>
      </c>
      <c r="E760" s="32" t="s">
        <v>1471</v>
      </c>
      <c r="F760" s="32" t="s">
        <v>1752</v>
      </c>
      <c r="G760" s="32">
        <f>IFERROR(INDEX(Ship!A$31:B$4500,MATCH(C760,Ship!A$31:A$4500,0),2),0)</f>
        <v>0</v>
      </c>
    </row>
    <row r="761" spans="1:7" x14ac:dyDescent="0.3">
      <c r="A761" s="32" t="s">
        <v>1795</v>
      </c>
      <c r="B761" s="32" t="s">
        <v>1796</v>
      </c>
      <c r="C761" s="32" t="s">
        <v>2893</v>
      </c>
      <c r="D761" s="32" t="s">
        <v>1954</v>
      </c>
      <c r="E761" s="32" t="s">
        <v>1471</v>
      </c>
      <c r="F761" s="32" t="s">
        <v>1752</v>
      </c>
      <c r="G761" s="32">
        <f>IFERROR(INDEX(Ship!A$31:B$4500,MATCH(C761,Ship!A$31:A$4500,0),2),0)</f>
        <v>0</v>
      </c>
    </row>
    <row r="762" spans="1:7" x14ac:dyDescent="0.3">
      <c r="A762" s="32" t="s">
        <v>1795</v>
      </c>
      <c r="B762" s="32" t="s">
        <v>1796</v>
      </c>
      <c r="C762" s="32" t="s">
        <v>2894</v>
      </c>
      <c r="D762" s="32" t="s">
        <v>1955</v>
      </c>
      <c r="E762" s="32" t="s">
        <v>1471</v>
      </c>
      <c r="F762" s="32" t="s">
        <v>1752</v>
      </c>
      <c r="G762" s="32">
        <f>IFERROR(INDEX(Ship!A$31:B$4500,MATCH(C762,Ship!A$31:A$4500,0),2),0)</f>
        <v>0</v>
      </c>
    </row>
    <row r="763" spans="1:7" x14ac:dyDescent="0.3">
      <c r="A763" s="32" t="s">
        <v>1795</v>
      </c>
      <c r="B763" s="32" t="s">
        <v>1796</v>
      </c>
      <c r="C763" s="32" t="s">
        <v>2895</v>
      </c>
      <c r="D763" s="32" t="s">
        <v>1956</v>
      </c>
      <c r="E763" s="32" t="s">
        <v>1471</v>
      </c>
      <c r="F763" s="32" t="s">
        <v>1752</v>
      </c>
      <c r="G763" s="32">
        <f>IFERROR(INDEX(Ship!A$31:B$4500,MATCH(C763,Ship!A$31:A$4500,0),2),0)</f>
        <v>119</v>
      </c>
    </row>
    <row r="764" spans="1:7" x14ac:dyDescent="0.3">
      <c r="A764" s="32" t="s">
        <v>1795</v>
      </c>
      <c r="B764" s="32" t="s">
        <v>1796</v>
      </c>
      <c r="C764" s="32" t="s">
        <v>2896</v>
      </c>
      <c r="D764" s="32" t="s">
        <v>1957</v>
      </c>
      <c r="E764" s="32" t="s">
        <v>1471</v>
      </c>
      <c r="F764" s="32" t="s">
        <v>1752</v>
      </c>
      <c r="G764" s="32">
        <f>IFERROR(INDEX(Ship!A$31:B$4500,MATCH(C764,Ship!A$31:A$4500,0),2),0)</f>
        <v>16</v>
      </c>
    </row>
    <row r="765" spans="1:7" x14ac:dyDescent="0.3">
      <c r="A765" s="32" t="s">
        <v>1795</v>
      </c>
      <c r="B765" s="32" t="s">
        <v>1796</v>
      </c>
      <c r="C765" s="32" t="s">
        <v>2897</v>
      </c>
      <c r="D765" s="32" t="s">
        <v>1958</v>
      </c>
      <c r="E765" s="32" t="s">
        <v>1471</v>
      </c>
      <c r="F765" s="32" t="s">
        <v>1752</v>
      </c>
      <c r="G765" s="32">
        <f>IFERROR(INDEX(Ship!A$31:B$4500,MATCH(C765,Ship!A$31:A$4500,0),2),0)</f>
        <v>62</v>
      </c>
    </row>
    <row r="766" spans="1:7" x14ac:dyDescent="0.3">
      <c r="A766" s="32" t="s">
        <v>1795</v>
      </c>
      <c r="B766" s="32" t="s">
        <v>1796</v>
      </c>
      <c r="C766" s="32" t="s">
        <v>548</v>
      </c>
      <c r="D766" s="32" t="s">
        <v>1959</v>
      </c>
      <c r="E766" s="32" t="s">
        <v>1471</v>
      </c>
      <c r="F766" s="32" t="s">
        <v>1752</v>
      </c>
      <c r="G766" s="32">
        <f>IFERROR(INDEX(Ship!A$31:B$4500,MATCH(C766,Ship!A$31:A$4500,0),2),0)</f>
        <v>129</v>
      </c>
    </row>
    <row r="767" spans="1:7" x14ac:dyDescent="0.3">
      <c r="A767" s="32" t="s">
        <v>1795</v>
      </c>
      <c r="B767" s="32" t="s">
        <v>1796</v>
      </c>
      <c r="C767" s="32" t="s">
        <v>1791</v>
      </c>
      <c r="D767" s="32" t="s">
        <v>1960</v>
      </c>
      <c r="E767" s="32" t="s">
        <v>1471</v>
      </c>
      <c r="F767" s="32" t="s">
        <v>1752</v>
      </c>
      <c r="G767" s="32">
        <f>IFERROR(INDEX(Ship!A$31:B$4500,MATCH(C767,Ship!A$31:A$4500,0),2),0)</f>
        <v>40</v>
      </c>
    </row>
    <row r="768" spans="1:7" x14ac:dyDescent="0.3">
      <c r="A768" s="32" t="s">
        <v>1795</v>
      </c>
      <c r="B768" s="32" t="s">
        <v>1796</v>
      </c>
      <c r="C768" s="32" t="s">
        <v>549</v>
      </c>
      <c r="D768" s="32" t="s">
        <v>1961</v>
      </c>
      <c r="E768" s="32" t="s">
        <v>1471</v>
      </c>
      <c r="F768" s="32" t="s">
        <v>1752</v>
      </c>
      <c r="G768" s="32">
        <f>IFERROR(INDEX(Ship!A$31:B$4500,MATCH(C768,Ship!A$31:A$4500,0),2),0)</f>
        <v>0</v>
      </c>
    </row>
    <row r="769" spans="1:7" x14ac:dyDescent="0.3">
      <c r="A769" s="32" t="s">
        <v>1795</v>
      </c>
      <c r="B769" s="32" t="s">
        <v>1796</v>
      </c>
      <c r="C769" s="32" t="s">
        <v>557</v>
      </c>
      <c r="D769" s="32" t="s">
        <v>1962</v>
      </c>
      <c r="E769" s="32" t="s">
        <v>1471</v>
      </c>
      <c r="F769" s="32" t="s">
        <v>1752</v>
      </c>
      <c r="G769" s="32">
        <f>IFERROR(INDEX(Ship!A$31:B$4500,MATCH(C769,Ship!A$31:A$4500,0),2),0)</f>
        <v>165</v>
      </c>
    </row>
    <row r="770" spans="1:7" x14ac:dyDescent="0.3">
      <c r="A770" s="32" t="s">
        <v>1795</v>
      </c>
      <c r="B770" s="32" t="s">
        <v>1796</v>
      </c>
      <c r="C770" s="32" t="s">
        <v>565</v>
      </c>
      <c r="D770" s="32" t="s">
        <v>1963</v>
      </c>
      <c r="E770" s="32" t="s">
        <v>1471</v>
      </c>
      <c r="F770" s="32" t="s">
        <v>1752</v>
      </c>
      <c r="G770" s="32">
        <f>IFERROR(INDEX(Ship!A$31:B$4500,MATCH(C770,Ship!A$31:A$4500,0),2),0)</f>
        <v>0</v>
      </c>
    </row>
    <row r="771" spans="1:7" x14ac:dyDescent="0.3">
      <c r="A771" s="32" t="s">
        <v>1795</v>
      </c>
      <c r="B771" s="32" t="s">
        <v>1796</v>
      </c>
      <c r="C771" s="32" t="s">
        <v>573</v>
      </c>
      <c r="D771" s="32" t="s">
        <v>1964</v>
      </c>
      <c r="E771" s="32" t="s">
        <v>1471</v>
      </c>
      <c r="F771" s="32" t="s">
        <v>1752</v>
      </c>
      <c r="G771" s="32">
        <f>IFERROR(INDEX(Ship!A$31:B$4500,MATCH(C771,Ship!A$31:A$4500,0),2),0)</f>
        <v>0</v>
      </c>
    </row>
    <row r="772" spans="1:7" x14ac:dyDescent="0.3">
      <c r="A772" s="32" t="s">
        <v>1795</v>
      </c>
      <c r="B772" s="32" t="s">
        <v>1796</v>
      </c>
      <c r="C772" s="32" t="s">
        <v>581</v>
      </c>
      <c r="D772" s="32" t="s">
        <v>1965</v>
      </c>
      <c r="E772" s="32" t="s">
        <v>1471</v>
      </c>
      <c r="F772" s="32" t="s">
        <v>1752</v>
      </c>
      <c r="G772" s="32">
        <f>IFERROR(INDEX(Ship!A$31:B$4500,MATCH(C772,Ship!A$31:A$4500,0),2),0)</f>
        <v>0</v>
      </c>
    </row>
    <row r="773" spans="1:7" x14ac:dyDescent="0.3">
      <c r="A773" s="32" t="s">
        <v>1795</v>
      </c>
      <c r="B773" s="32" t="s">
        <v>1796</v>
      </c>
      <c r="C773" s="32" t="s">
        <v>589</v>
      </c>
      <c r="D773" s="32" t="s">
        <v>1966</v>
      </c>
      <c r="E773" s="32" t="s">
        <v>1471</v>
      </c>
      <c r="F773" s="32" t="s">
        <v>1752</v>
      </c>
      <c r="G773" s="32">
        <f>IFERROR(INDEX(Ship!A$31:B$4500,MATCH(C773,Ship!A$31:A$4500,0),2),0)</f>
        <v>112</v>
      </c>
    </row>
    <row r="774" spans="1:7" x14ac:dyDescent="0.3">
      <c r="A774" s="32" t="s">
        <v>1795</v>
      </c>
      <c r="B774" s="32" t="s">
        <v>1796</v>
      </c>
      <c r="C774" s="32" t="s">
        <v>597</v>
      </c>
      <c r="D774" s="32" t="s">
        <v>1967</v>
      </c>
      <c r="E774" s="32" t="s">
        <v>1471</v>
      </c>
      <c r="F774" s="32" t="s">
        <v>1752</v>
      </c>
      <c r="G774" s="32">
        <f>IFERROR(INDEX(Ship!A$31:B$4500,MATCH(C774,Ship!A$31:A$4500,0),2),0)</f>
        <v>102</v>
      </c>
    </row>
    <row r="775" spans="1:7" x14ac:dyDescent="0.3">
      <c r="A775" s="32" t="s">
        <v>1795</v>
      </c>
      <c r="B775" s="32" t="s">
        <v>1796</v>
      </c>
      <c r="C775" s="32" t="s">
        <v>605</v>
      </c>
      <c r="D775" s="32" t="s">
        <v>1968</v>
      </c>
      <c r="E775" s="32" t="s">
        <v>1471</v>
      </c>
      <c r="F775" s="32" t="s">
        <v>1752</v>
      </c>
      <c r="G775" s="32">
        <f>IFERROR(INDEX(Ship!A$31:B$4500,MATCH(C775,Ship!A$31:A$4500,0),2),0)</f>
        <v>0</v>
      </c>
    </row>
    <row r="776" spans="1:7" x14ac:dyDescent="0.3">
      <c r="A776" s="32" t="s">
        <v>1795</v>
      </c>
      <c r="B776" s="32" t="s">
        <v>1796</v>
      </c>
      <c r="C776" s="32" t="s">
        <v>613</v>
      </c>
      <c r="D776" s="32" t="s">
        <v>1969</v>
      </c>
      <c r="E776" s="32" t="s">
        <v>1471</v>
      </c>
      <c r="F776" s="32" t="s">
        <v>1752</v>
      </c>
      <c r="G776" s="32">
        <f>IFERROR(INDEX(Ship!A$31:B$4500,MATCH(C776,Ship!A$31:A$4500,0),2),0)</f>
        <v>0</v>
      </c>
    </row>
    <row r="777" spans="1:7" x14ac:dyDescent="0.3">
      <c r="A777" s="32" t="s">
        <v>1795</v>
      </c>
      <c r="B777" s="32" t="s">
        <v>1796</v>
      </c>
      <c r="C777" s="32" t="s">
        <v>621</v>
      </c>
      <c r="D777" s="32" t="s">
        <v>1970</v>
      </c>
      <c r="E777" s="32" t="s">
        <v>1471</v>
      </c>
      <c r="F777" s="32" t="s">
        <v>1752</v>
      </c>
      <c r="G777" s="32">
        <f>IFERROR(INDEX(Ship!A$31:B$4500,MATCH(C777,Ship!A$31:A$4500,0),2),0)</f>
        <v>0</v>
      </c>
    </row>
    <row r="778" spans="1:7" x14ac:dyDescent="0.3">
      <c r="A778" s="32" t="s">
        <v>1795</v>
      </c>
      <c r="B778" s="32" t="s">
        <v>1796</v>
      </c>
      <c r="C778" s="32" t="s">
        <v>622</v>
      </c>
      <c r="D778" s="32" t="s">
        <v>1971</v>
      </c>
      <c r="E778" s="32" t="s">
        <v>1471</v>
      </c>
      <c r="F778" s="32" t="s">
        <v>1752</v>
      </c>
      <c r="G778" s="32">
        <f>IFERROR(INDEX(Ship!A$31:B$4500,MATCH(C778,Ship!A$31:A$4500,0),2),0)</f>
        <v>1</v>
      </c>
    </row>
    <row r="779" spans="1:7" x14ac:dyDescent="0.3">
      <c r="A779" s="32" t="s">
        <v>1795</v>
      </c>
      <c r="B779" s="32" t="s">
        <v>1796</v>
      </c>
      <c r="C779" s="32" t="s">
        <v>630</v>
      </c>
      <c r="D779" s="32" t="s">
        <v>1972</v>
      </c>
      <c r="E779" s="32" t="s">
        <v>1471</v>
      </c>
      <c r="F779" s="32" t="s">
        <v>1752</v>
      </c>
      <c r="G779" s="32">
        <f>IFERROR(INDEX(Ship!A$31:B$4500,MATCH(C779,Ship!A$31:A$4500,0),2),0)</f>
        <v>1</v>
      </c>
    </row>
    <row r="780" spans="1:7" x14ac:dyDescent="0.3">
      <c r="A780" s="32" t="s">
        <v>1795</v>
      </c>
      <c r="B780" s="32" t="s">
        <v>1796</v>
      </c>
      <c r="C780" s="32" t="s">
        <v>638</v>
      </c>
      <c r="D780" s="32" t="s">
        <v>1973</v>
      </c>
      <c r="E780" s="32" t="s">
        <v>1471</v>
      </c>
      <c r="F780" s="32" t="s">
        <v>1752</v>
      </c>
      <c r="G780" s="32">
        <f>IFERROR(INDEX(Ship!A$31:B$4500,MATCH(C780,Ship!A$31:A$4500,0),2),0)</f>
        <v>0</v>
      </c>
    </row>
    <row r="781" spans="1:7" x14ac:dyDescent="0.3">
      <c r="A781" s="32" t="s">
        <v>1795</v>
      </c>
      <c r="B781" s="32" t="s">
        <v>1796</v>
      </c>
      <c r="C781" s="32" t="s">
        <v>639</v>
      </c>
      <c r="D781" s="32" t="s">
        <v>1974</v>
      </c>
      <c r="E781" s="32" t="s">
        <v>1471</v>
      </c>
      <c r="F781" s="32" t="s">
        <v>1752</v>
      </c>
      <c r="G781" s="32">
        <f>IFERROR(INDEX(Ship!A$31:B$4500,MATCH(C781,Ship!A$31:A$4500,0),2),0)</f>
        <v>0</v>
      </c>
    </row>
    <row r="782" spans="1:7" x14ac:dyDescent="0.3">
      <c r="A782" s="32" t="s">
        <v>1795</v>
      </c>
      <c r="B782" s="32" t="s">
        <v>1796</v>
      </c>
      <c r="C782" s="32" t="s">
        <v>647</v>
      </c>
      <c r="D782" s="32" t="s">
        <v>1975</v>
      </c>
      <c r="E782" s="32" t="s">
        <v>1471</v>
      </c>
      <c r="F782" s="32" t="s">
        <v>1752</v>
      </c>
      <c r="G782" s="32">
        <f>IFERROR(INDEX(Ship!A$31:B$4500,MATCH(C782,Ship!A$31:A$4500,0),2),0)</f>
        <v>0</v>
      </c>
    </row>
    <row r="783" spans="1:7" x14ac:dyDescent="0.3">
      <c r="A783" s="32" t="s">
        <v>1795</v>
      </c>
      <c r="B783" s="32" t="s">
        <v>1796</v>
      </c>
      <c r="C783" s="32" t="s">
        <v>1792</v>
      </c>
      <c r="D783" s="32" t="s">
        <v>1510</v>
      </c>
      <c r="E783" s="32" t="s">
        <v>1471</v>
      </c>
      <c r="F783" s="32" t="s">
        <v>1752</v>
      </c>
      <c r="G783" s="32">
        <f>IFERROR(INDEX(Ship!A$31:B$4500,MATCH(C783,Ship!A$31:A$4500,0),2),0)</f>
        <v>0</v>
      </c>
    </row>
    <row r="784" spans="1:7" x14ac:dyDescent="0.3">
      <c r="A784" s="32" t="s">
        <v>1795</v>
      </c>
      <c r="B784" s="32" t="s">
        <v>1796</v>
      </c>
      <c r="C784" s="32" t="s">
        <v>648</v>
      </c>
      <c r="D784" s="32" t="s">
        <v>1976</v>
      </c>
      <c r="E784" s="32" t="s">
        <v>1471</v>
      </c>
      <c r="F784" s="32" t="s">
        <v>1752</v>
      </c>
      <c r="G784" s="32">
        <f>IFERROR(INDEX(Ship!A$31:B$4500,MATCH(C784,Ship!A$31:A$4500,0),2),0)</f>
        <v>0</v>
      </c>
    </row>
    <row r="785" spans="1:7" x14ac:dyDescent="0.3">
      <c r="A785" s="32" t="s">
        <v>1795</v>
      </c>
      <c r="B785" s="32" t="s">
        <v>1796</v>
      </c>
      <c r="C785" s="32" t="s">
        <v>1753</v>
      </c>
      <c r="D785" s="32" t="s">
        <v>1977</v>
      </c>
      <c r="E785" s="32" t="s">
        <v>1471</v>
      </c>
      <c r="F785" s="32" t="s">
        <v>1752</v>
      </c>
      <c r="G785" s="32">
        <f>IFERROR(INDEX(Ship!A$31:B$4500,MATCH(C785,Ship!A$31:A$4500,0),2),0)</f>
        <v>0</v>
      </c>
    </row>
    <row r="786" spans="1:7" x14ac:dyDescent="0.3">
      <c r="A786" s="32" t="s">
        <v>1795</v>
      </c>
      <c r="B786" s="32" t="s">
        <v>1796</v>
      </c>
      <c r="C786" s="32" t="s">
        <v>649</v>
      </c>
      <c r="D786" s="32" t="s">
        <v>1978</v>
      </c>
      <c r="E786" s="32" t="s">
        <v>1471</v>
      </c>
      <c r="F786" s="32" t="s">
        <v>1752</v>
      </c>
      <c r="G786" s="32">
        <f>IFERROR(INDEX(Ship!A$31:B$4500,MATCH(C786,Ship!A$31:A$4500,0),2),0)</f>
        <v>0</v>
      </c>
    </row>
    <row r="787" spans="1:7" x14ac:dyDescent="0.3">
      <c r="A787" s="32" t="s">
        <v>1795</v>
      </c>
      <c r="B787" s="32" t="s">
        <v>1796</v>
      </c>
      <c r="C787" s="32" t="s">
        <v>650</v>
      </c>
      <c r="D787" s="32" t="s">
        <v>1979</v>
      </c>
      <c r="E787" s="32" t="s">
        <v>1471</v>
      </c>
      <c r="F787" s="32" t="s">
        <v>1752</v>
      </c>
      <c r="G787" s="32">
        <f>IFERROR(INDEX(Ship!A$31:B$4500,MATCH(C787,Ship!A$31:A$4500,0),2),0)</f>
        <v>14</v>
      </c>
    </row>
    <row r="788" spans="1:7" x14ac:dyDescent="0.3">
      <c r="A788" s="32" t="s">
        <v>1795</v>
      </c>
      <c r="B788" s="32" t="s">
        <v>1796</v>
      </c>
      <c r="C788" s="32" t="s">
        <v>658</v>
      </c>
      <c r="D788" s="32" t="s">
        <v>1980</v>
      </c>
      <c r="E788" s="32" t="s">
        <v>1471</v>
      </c>
      <c r="F788" s="32" t="s">
        <v>1752</v>
      </c>
      <c r="G788" s="32">
        <f>IFERROR(INDEX(Ship!A$31:B$4500,MATCH(C788,Ship!A$31:A$4500,0),2),0)</f>
        <v>0</v>
      </c>
    </row>
    <row r="789" spans="1:7" x14ac:dyDescent="0.3">
      <c r="A789" s="32" t="s">
        <v>1795</v>
      </c>
      <c r="B789" s="32" t="s">
        <v>1796</v>
      </c>
      <c r="C789" s="32" t="s">
        <v>659</v>
      </c>
      <c r="D789" s="32" t="s">
        <v>1981</v>
      </c>
      <c r="E789" s="32" t="s">
        <v>1471</v>
      </c>
      <c r="F789" s="32" t="s">
        <v>1752</v>
      </c>
      <c r="G789" s="32">
        <f>IFERROR(INDEX(Ship!A$31:B$4500,MATCH(C789,Ship!A$31:A$4500,0),2),0)</f>
        <v>0</v>
      </c>
    </row>
    <row r="790" spans="1:7" x14ac:dyDescent="0.3">
      <c r="A790" s="32" t="s">
        <v>1795</v>
      </c>
      <c r="B790" s="32" t="s">
        <v>1796</v>
      </c>
      <c r="C790" s="32" t="s">
        <v>669</v>
      </c>
      <c r="D790" s="32" t="s">
        <v>1984</v>
      </c>
      <c r="E790" s="32" t="s">
        <v>1471</v>
      </c>
      <c r="F790" s="32" t="s">
        <v>1752</v>
      </c>
      <c r="G790" s="32">
        <f>IFERROR(INDEX(Ship!A$31:B$4500,MATCH(C790,Ship!A$31:A$4500,0),2),0)</f>
        <v>10</v>
      </c>
    </row>
    <row r="791" spans="1:7" x14ac:dyDescent="0.3">
      <c r="A791" s="32" t="s">
        <v>1795</v>
      </c>
      <c r="B791" s="32" t="s">
        <v>1796</v>
      </c>
      <c r="C791" s="32" t="s">
        <v>678</v>
      </c>
      <c r="D791" s="32" t="s">
        <v>1986</v>
      </c>
      <c r="E791" s="32" t="s">
        <v>1471</v>
      </c>
      <c r="F791" s="32" t="s">
        <v>1752</v>
      </c>
      <c r="G791" s="32">
        <f>IFERROR(INDEX(Ship!A$31:B$4500,MATCH(C791,Ship!A$31:A$4500,0),2),0)</f>
        <v>0</v>
      </c>
    </row>
    <row r="792" spans="1:7" x14ac:dyDescent="0.3">
      <c r="A792" s="32" t="s">
        <v>1795</v>
      </c>
      <c r="B792" s="32" t="s">
        <v>1796</v>
      </c>
      <c r="C792" s="32" t="s">
        <v>687</v>
      </c>
      <c r="D792" s="32" t="s">
        <v>1988</v>
      </c>
      <c r="E792" s="32" t="s">
        <v>1471</v>
      </c>
      <c r="F792" s="32" t="s">
        <v>1752</v>
      </c>
      <c r="G792" s="32">
        <f>IFERROR(INDEX(Ship!A$31:B$4500,MATCH(C792,Ship!A$31:A$4500,0),2),0)</f>
        <v>0</v>
      </c>
    </row>
    <row r="793" spans="1:7" x14ac:dyDescent="0.3">
      <c r="A793" s="32" t="s">
        <v>1795</v>
      </c>
      <c r="B793" s="32" t="s">
        <v>1796</v>
      </c>
      <c r="C793" s="32" t="s">
        <v>696</v>
      </c>
      <c r="D793" s="32" t="s">
        <v>1990</v>
      </c>
      <c r="E793" s="32" t="s">
        <v>1471</v>
      </c>
      <c r="F793" s="32" t="s">
        <v>1752</v>
      </c>
      <c r="G793" s="32">
        <f>IFERROR(INDEX(Ship!A$31:B$4500,MATCH(C793,Ship!A$31:A$4500,0),2),0)</f>
        <v>0</v>
      </c>
    </row>
    <row r="794" spans="1:7" x14ac:dyDescent="0.3">
      <c r="A794" s="32" t="s">
        <v>1795</v>
      </c>
      <c r="B794" s="32" t="s">
        <v>1796</v>
      </c>
      <c r="C794" s="32" t="s">
        <v>698</v>
      </c>
      <c r="D794" s="32" t="s">
        <v>1992</v>
      </c>
      <c r="E794" s="32" t="s">
        <v>1471</v>
      </c>
      <c r="F794" s="32" t="s">
        <v>1752</v>
      </c>
      <c r="G794" s="32">
        <f>IFERROR(INDEX(Ship!A$31:B$4500,MATCH(C794,Ship!A$31:A$4500,0),2),0)</f>
        <v>47</v>
      </c>
    </row>
    <row r="795" spans="1:7" x14ac:dyDescent="0.3">
      <c r="A795" s="32" t="s">
        <v>1795</v>
      </c>
      <c r="B795" s="32" t="s">
        <v>1796</v>
      </c>
      <c r="C795" s="32" t="s">
        <v>707</v>
      </c>
      <c r="D795" s="32" t="s">
        <v>1994</v>
      </c>
      <c r="E795" s="32" t="s">
        <v>1471</v>
      </c>
      <c r="F795" s="32" t="s">
        <v>1752</v>
      </c>
      <c r="G795" s="32">
        <f>IFERROR(INDEX(Ship!A$31:B$4500,MATCH(C795,Ship!A$31:A$4500,0),2),0)</f>
        <v>0</v>
      </c>
    </row>
    <row r="796" spans="1:7" x14ac:dyDescent="0.3">
      <c r="A796" s="32" t="s">
        <v>1795</v>
      </c>
      <c r="B796" s="32" t="s">
        <v>1796</v>
      </c>
      <c r="C796" s="32" t="s">
        <v>717</v>
      </c>
      <c r="D796" s="32" t="s">
        <v>1997</v>
      </c>
      <c r="E796" s="32" t="s">
        <v>1471</v>
      </c>
      <c r="F796" s="32" t="s">
        <v>1752</v>
      </c>
      <c r="G796" s="32">
        <f>IFERROR(INDEX(Ship!A$31:B$4500,MATCH(C796,Ship!A$31:A$4500,0),2),0)</f>
        <v>2</v>
      </c>
    </row>
    <row r="797" spans="1:7" x14ac:dyDescent="0.3">
      <c r="A797" s="32" t="s">
        <v>1795</v>
      </c>
      <c r="B797" s="32" t="s">
        <v>1796</v>
      </c>
      <c r="C797" s="32" t="s">
        <v>726</v>
      </c>
      <c r="D797" s="32" t="s">
        <v>1999</v>
      </c>
      <c r="E797" s="32" t="s">
        <v>1471</v>
      </c>
      <c r="F797" s="32" t="s">
        <v>1752</v>
      </c>
      <c r="G797" s="32">
        <f>IFERROR(INDEX(Ship!A$31:B$4500,MATCH(C797,Ship!A$31:A$4500,0),2),0)</f>
        <v>0</v>
      </c>
    </row>
    <row r="798" spans="1:7" x14ac:dyDescent="0.3">
      <c r="A798" s="32" t="s">
        <v>1795</v>
      </c>
      <c r="B798" s="32" t="s">
        <v>1796</v>
      </c>
      <c r="C798" s="32" t="s">
        <v>728</v>
      </c>
      <c r="D798" s="32" t="s">
        <v>2001</v>
      </c>
      <c r="E798" s="32" t="s">
        <v>1471</v>
      </c>
      <c r="F798" s="32" t="s">
        <v>1752</v>
      </c>
      <c r="G798" s="32">
        <f>IFERROR(INDEX(Ship!A$31:B$4500,MATCH(C798,Ship!A$31:A$4500,0),2),0)</f>
        <v>7</v>
      </c>
    </row>
    <row r="799" spans="1:7" x14ac:dyDescent="0.3">
      <c r="A799" s="32" t="s">
        <v>1795</v>
      </c>
      <c r="B799" s="32" t="s">
        <v>1796</v>
      </c>
      <c r="C799" s="32" t="s">
        <v>745</v>
      </c>
      <c r="D799" s="32" t="s">
        <v>2004</v>
      </c>
      <c r="E799" s="32" t="s">
        <v>1471</v>
      </c>
      <c r="F799" s="32" t="s">
        <v>1752</v>
      </c>
      <c r="G799" s="32">
        <f>IFERROR(INDEX(Ship!A$31:B$4500,MATCH(C799,Ship!A$31:A$4500,0),2),0)</f>
        <v>0</v>
      </c>
    </row>
    <row r="800" spans="1:7" x14ac:dyDescent="0.3">
      <c r="A800" s="32" t="s">
        <v>1795</v>
      </c>
      <c r="B800" s="32" t="s">
        <v>1796</v>
      </c>
      <c r="C800" s="32" t="s">
        <v>761</v>
      </c>
      <c r="D800" s="32" t="s">
        <v>2006</v>
      </c>
      <c r="E800" s="32" t="s">
        <v>1471</v>
      </c>
      <c r="F800" s="32" t="s">
        <v>1752</v>
      </c>
      <c r="G800" s="32">
        <f>IFERROR(INDEX(Ship!A$31:B$4500,MATCH(C800,Ship!A$31:A$4500,0),2),0)</f>
        <v>0</v>
      </c>
    </row>
    <row r="801" spans="1:7" x14ac:dyDescent="0.3">
      <c r="A801" s="32" t="s">
        <v>1795</v>
      </c>
      <c r="B801" s="32" t="s">
        <v>1796</v>
      </c>
      <c r="C801" s="32" t="s">
        <v>2898</v>
      </c>
      <c r="D801" s="32" t="s">
        <v>2008</v>
      </c>
      <c r="E801" s="32" t="s">
        <v>1471</v>
      </c>
      <c r="F801" s="32" t="s">
        <v>1752</v>
      </c>
      <c r="G801" s="32">
        <f>IFERROR(INDEX(Ship!A$31:B$4500,MATCH(C801,Ship!A$31:A$4500,0),2),0)</f>
        <v>28</v>
      </c>
    </row>
    <row r="802" spans="1:7" x14ac:dyDescent="0.3">
      <c r="A802" s="32" t="s">
        <v>1795</v>
      </c>
      <c r="B802" s="32" t="s">
        <v>1796</v>
      </c>
      <c r="C802" s="32" t="s">
        <v>1008</v>
      </c>
      <c r="D802" s="32" t="s">
        <v>2008</v>
      </c>
      <c r="E802" s="32" t="s">
        <v>1471</v>
      </c>
      <c r="F802" s="32" t="s">
        <v>1752</v>
      </c>
      <c r="G802" s="32">
        <f>IFERROR(INDEX(Ship!A$31:B$4500,MATCH(C802,Ship!A$31:A$4500,0),2),0)</f>
        <v>11</v>
      </c>
    </row>
    <row r="803" spans="1:7" x14ac:dyDescent="0.3">
      <c r="A803" s="32" t="s">
        <v>1795</v>
      </c>
      <c r="B803" s="32" t="s">
        <v>1796</v>
      </c>
      <c r="C803" s="32" t="s">
        <v>1024</v>
      </c>
      <c r="D803" s="32" t="s">
        <v>2006</v>
      </c>
      <c r="E803" s="32" t="s">
        <v>1471</v>
      </c>
      <c r="F803" s="32" t="s">
        <v>1752</v>
      </c>
      <c r="G803" s="32">
        <f>IFERROR(INDEX(Ship!A$31:B$4500,MATCH(C803,Ship!A$31:A$4500,0),2),0)</f>
        <v>0</v>
      </c>
    </row>
    <row r="804" spans="1:7" x14ac:dyDescent="0.3">
      <c r="A804" s="32" t="s">
        <v>1795</v>
      </c>
      <c r="B804" s="32" t="s">
        <v>1796</v>
      </c>
      <c r="C804" s="32" t="s">
        <v>1033</v>
      </c>
      <c r="D804" s="32" t="s">
        <v>2004</v>
      </c>
      <c r="E804" s="32" t="s">
        <v>1471</v>
      </c>
      <c r="F804" s="32" t="s">
        <v>1752</v>
      </c>
      <c r="G804" s="32">
        <f>IFERROR(INDEX(Ship!A$31:B$4500,MATCH(C804,Ship!A$31:A$4500,0),2),0)</f>
        <v>0</v>
      </c>
    </row>
    <row r="805" spans="1:7" x14ac:dyDescent="0.3">
      <c r="A805" s="32" t="s">
        <v>1795</v>
      </c>
      <c r="B805" s="32" t="s">
        <v>1796</v>
      </c>
      <c r="C805" s="32" t="s">
        <v>1057</v>
      </c>
      <c r="D805" s="32" t="s">
        <v>2001</v>
      </c>
      <c r="E805" s="32" t="s">
        <v>1471</v>
      </c>
      <c r="F805" s="32" t="s">
        <v>1752</v>
      </c>
      <c r="G805" s="32">
        <f>IFERROR(INDEX(Ship!A$31:B$4500,MATCH(C805,Ship!A$31:A$4500,0),2),0)</f>
        <v>6</v>
      </c>
    </row>
    <row r="806" spans="1:7" x14ac:dyDescent="0.3">
      <c r="A806" s="32" t="s">
        <v>1795</v>
      </c>
      <c r="B806" s="32" t="s">
        <v>1796</v>
      </c>
      <c r="C806" s="32" t="s">
        <v>1058</v>
      </c>
      <c r="D806" s="32" t="s">
        <v>1999</v>
      </c>
      <c r="E806" s="32" t="s">
        <v>1471</v>
      </c>
      <c r="F806" s="32" t="s">
        <v>1752</v>
      </c>
      <c r="G806" s="32">
        <f>IFERROR(INDEX(Ship!A$31:B$4500,MATCH(C806,Ship!A$31:A$4500,0),2),0)</f>
        <v>0</v>
      </c>
    </row>
    <row r="807" spans="1:7" x14ac:dyDescent="0.3">
      <c r="A807" s="32" t="s">
        <v>1795</v>
      </c>
      <c r="B807" s="32" t="s">
        <v>1796</v>
      </c>
      <c r="C807" s="32" t="s">
        <v>1060</v>
      </c>
      <c r="D807" s="32" t="s">
        <v>1997</v>
      </c>
      <c r="E807" s="32" t="s">
        <v>1471</v>
      </c>
      <c r="F807" s="32" t="s">
        <v>1752</v>
      </c>
      <c r="G807" s="32">
        <f>IFERROR(INDEX(Ship!A$31:B$4500,MATCH(C807,Ship!A$31:A$4500,0),2),0)</f>
        <v>0</v>
      </c>
    </row>
    <row r="808" spans="1:7" x14ac:dyDescent="0.3">
      <c r="A808" s="32" t="s">
        <v>1795</v>
      </c>
      <c r="B808" s="32" t="s">
        <v>1796</v>
      </c>
      <c r="C808" s="32" t="s">
        <v>1070</v>
      </c>
      <c r="D808" s="32" t="s">
        <v>1994</v>
      </c>
      <c r="E808" s="32" t="s">
        <v>1471</v>
      </c>
      <c r="F808" s="32" t="s">
        <v>1752</v>
      </c>
      <c r="G808" s="32">
        <f>IFERROR(INDEX(Ship!A$31:B$4500,MATCH(C808,Ship!A$31:A$4500,0),2),0)</f>
        <v>0</v>
      </c>
    </row>
    <row r="809" spans="1:7" x14ac:dyDescent="0.3">
      <c r="A809" s="32" t="s">
        <v>1795</v>
      </c>
      <c r="B809" s="32" t="s">
        <v>1796</v>
      </c>
      <c r="C809" s="32" t="s">
        <v>1079</v>
      </c>
      <c r="D809" s="32" t="s">
        <v>1992</v>
      </c>
      <c r="E809" s="32" t="s">
        <v>1471</v>
      </c>
      <c r="F809" s="32" t="s">
        <v>1752</v>
      </c>
      <c r="G809" s="32">
        <f>IFERROR(INDEX(Ship!A$31:B$4500,MATCH(C809,Ship!A$31:A$4500,0),2),0)</f>
        <v>49</v>
      </c>
    </row>
    <row r="810" spans="1:7" x14ac:dyDescent="0.3">
      <c r="A810" s="32" t="s">
        <v>1795</v>
      </c>
      <c r="B810" s="32" t="s">
        <v>1796</v>
      </c>
      <c r="C810" s="32" t="s">
        <v>1088</v>
      </c>
      <c r="D810" s="32" t="s">
        <v>1990</v>
      </c>
      <c r="E810" s="32" t="s">
        <v>1471</v>
      </c>
      <c r="F810" s="32" t="s">
        <v>1752</v>
      </c>
      <c r="G810" s="32">
        <f>IFERROR(INDEX(Ship!A$31:B$4500,MATCH(C810,Ship!A$31:A$4500,0),2),0)</f>
        <v>0</v>
      </c>
    </row>
    <row r="811" spans="1:7" x14ac:dyDescent="0.3">
      <c r="A811" s="32" t="s">
        <v>1795</v>
      </c>
      <c r="B811" s="32" t="s">
        <v>1796</v>
      </c>
      <c r="C811" s="32" t="s">
        <v>1097</v>
      </c>
      <c r="D811" s="32" t="s">
        <v>1988</v>
      </c>
      <c r="E811" s="32" t="s">
        <v>1471</v>
      </c>
      <c r="F811" s="32" t="s">
        <v>1752</v>
      </c>
      <c r="G811" s="32">
        <f>IFERROR(INDEX(Ship!A$31:B$4500,MATCH(C811,Ship!A$31:A$4500,0),2),0)</f>
        <v>0</v>
      </c>
    </row>
    <row r="812" spans="1:7" x14ac:dyDescent="0.3">
      <c r="A812" s="32" t="s">
        <v>1795</v>
      </c>
      <c r="B812" s="32" t="s">
        <v>1796</v>
      </c>
      <c r="C812" s="32" t="s">
        <v>1106</v>
      </c>
      <c r="D812" s="32" t="s">
        <v>1986</v>
      </c>
      <c r="E812" s="32" t="s">
        <v>1471</v>
      </c>
      <c r="F812" s="32" t="s">
        <v>1752</v>
      </c>
      <c r="G812" s="32">
        <f>IFERROR(INDEX(Ship!A$31:B$4500,MATCH(C812,Ship!A$31:A$4500,0),2),0)</f>
        <v>0</v>
      </c>
    </row>
    <row r="813" spans="1:7" x14ac:dyDescent="0.3">
      <c r="A813" s="32" t="s">
        <v>1795</v>
      </c>
      <c r="B813" s="32" t="s">
        <v>1796</v>
      </c>
      <c r="C813" s="32" t="s">
        <v>1115</v>
      </c>
      <c r="D813" s="32" t="s">
        <v>1984</v>
      </c>
      <c r="E813" s="32" t="s">
        <v>1471</v>
      </c>
      <c r="F813" s="32" t="s">
        <v>1752</v>
      </c>
      <c r="G813" s="32">
        <f>IFERROR(INDEX(Ship!A$31:B$4500,MATCH(C813,Ship!A$31:A$4500,0),2),0)</f>
        <v>7</v>
      </c>
    </row>
    <row r="814" spans="1:7" x14ac:dyDescent="0.3">
      <c r="A814" s="32" t="s">
        <v>1795</v>
      </c>
      <c r="B814" s="32" t="s">
        <v>1796</v>
      </c>
      <c r="C814" s="32" t="s">
        <v>1124</v>
      </c>
      <c r="D814" s="32" t="s">
        <v>1981</v>
      </c>
      <c r="E814" s="32" t="s">
        <v>1471</v>
      </c>
      <c r="F814" s="32" t="s">
        <v>1752</v>
      </c>
      <c r="G814" s="32">
        <f>IFERROR(INDEX(Ship!A$31:B$4500,MATCH(C814,Ship!A$31:A$4500,0),2),0)</f>
        <v>0</v>
      </c>
    </row>
    <row r="815" spans="1:7" x14ac:dyDescent="0.3">
      <c r="A815" s="32" t="s">
        <v>1795</v>
      </c>
      <c r="B815" s="32" t="s">
        <v>1796</v>
      </c>
      <c r="C815" s="32" t="s">
        <v>1132</v>
      </c>
      <c r="D815" s="32" t="s">
        <v>1980</v>
      </c>
      <c r="E815" s="32" t="s">
        <v>1471</v>
      </c>
      <c r="F815" s="32" t="s">
        <v>1752</v>
      </c>
      <c r="G815" s="32">
        <f>IFERROR(INDEX(Ship!A$31:B$4500,MATCH(C815,Ship!A$31:A$4500,0),2),0)</f>
        <v>0</v>
      </c>
    </row>
    <row r="816" spans="1:7" x14ac:dyDescent="0.3">
      <c r="A816" s="32" t="s">
        <v>1795</v>
      </c>
      <c r="B816" s="32" t="s">
        <v>1796</v>
      </c>
      <c r="C816" s="32" t="s">
        <v>1133</v>
      </c>
      <c r="D816" s="32" t="s">
        <v>1979</v>
      </c>
      <c r="E816" s="32" t="s">
        <v>1471</v>
      </c>
      <c r="F816" s="32" t="s">
        <v>1752</v>
      </c>
      <c r="G816" s="32">
        <f>IFERROR(INDEX(Ship!A$31:B$4500,MATCH(C816,Ship!A$31:A$4500,0),2),0)</f>
        <v>5</v>
      </c>
    </row>
    <row r="817" spans="1:7" x14ac:dyDescent="0.3">
      <c r="A817" s="32" t="s">
        <v>1795</v>
      </c>
      <c r="B817" s="32" t="s">
        <v>1796</v>
      </c>
      <c r="C817" s="32" t="s">
        <v>1141</v>
      </c>
      <c r="D817" s="32" t="s">
        <v>1978</v>
      </c>
      <c r="E817" s="32" t="s">
        <v>1471</v>
      </c>
      <c r="F817" s="32" t="s">
        <v>1752</v>
      </c>
      <c r="G817" s="32">
        <f>IFERROR(INDEX(Ship!A$31:B$4500,MATCH(C817,Ship!A$31:A$4500,0),2),0)</f>
        <v>0</v>
      </c>
    </row>
    <row r="818" spans="1:7" x14ac:dyDescent="0.3">
      <c r="A818" s="32" t="s">
        <v>1795</v>
      </c>
      <c r="B818" s="32" t="s">
        <v>1796</v>
      </c>
      <c r="C818" s="32" t="s">
        <v>1142</v>
      </c>
      <c r="D818" s="32" t="s">
        <v>1977</v>
      </c>
      <c r="E818" s="32" t="s">
        <v>1471</v>
      </c>
      <c r="F818" s="32" t="s">
        <v>1752</v>
      </c>
      <c r="G818" s="32">
        <f>IFERROR(INDEX(Ship!A$31:B$4500,MATCH(C818,Ship!A$31:A$4500,0),2),0)</f>
        <v>0</v>
      </c>
    </row>
    <row r="819" spans="1:7" x14ac:dyDescent="0.3">
      <c r="A819" s="32" t="s">
        <v>1795</v>
      </c>
      <c r="B819" s="32" t="s">
        <v>1796</v>
      </c>
      <c r="C819" s="32" t="s">
        <v>1150</v>
      </c>
      <c r="D819" s="32" t="s">
        <v>1976</v>
      </c>
      <c r="E819" s="32" t="s">
        <v>1471</v>
      </c>
      <c r="F819" s="32" t="s">
        <v>1752</v>
      </c>
      <c r="G819" s="32">
        <f>IFERROR(INDEX(Ship!A$31:B$4500,MATCH(C819,Ship!A$31:A$4500,0),2),0)</f>
        <v>77</v>
      </c>
    </row>
    <row r="820" spans="1:7" x14ac:dyDescent="0.3">
      <c r="A820" s="32" t="s">
        <v>1795</v>
      </c>
      <c r="B820" s="32" t="s">
        <v>1796</v>
      </c>
      <c r="C820" s="32" t="s">
        <v>1151</v>
      </c>
      <c r="D820" s="32" t="s">
        <v>1510</v>
      </c>
      <c r="E820" s="32" t="s">
        <v>1471</v>
      </c>
      <c r="F820" s="32" t="s">
        <v>1752</v>
      </c>
      <c r="G820" s="32">
        <f>IFERROR(INDEX(Ship!A$31:B$4500,MATCH(C820,Ship!A$31:A$4500,0),2),0)</f>
        <v>0</v>
      </c>
    </row>
    <row r="821" spans="1:7" x14ac:dyDescent="0.3">
      <c r="A821" s="32" t="s">
        <v>1795</v>
      </c>
      <c r="B821" s="32" t="s">
        <v>1796</v>
      </c>
      <c r="C821" s="32" t="s">
        <v>1159</v>
      </c>
      <c r="D821" s="32" t="s">
        <v>1975</v>
      </c>
      <c r="E821" s="32" t="s">
        <v>1471</v>
      </c>
      <c r="F821" s="32" t="s">
        <v>1752</v>
      </c>
      <c r="G821" s="32">
        <f>IFERROR(INDEX(Ship!A$31:B$4500,MATCH(C821,Ship!A$31:A$4500,0),2),0)</f>
        <v>0</v>
      </c>
    </row>
    <row r="822" spans="1:7" x14ac:dyDescent="0.3">
      <c r="A822" s="32" t="s">
        <v>1795</v>
      </c>
      <c r="B822" s="32" t="s">
        <v>1796</v>
      </c>
      <c r="C822" s="32" t="s">
        <v>1160</v>
      </c>
      <c r="D822" s="32" t="s">
        <v>1974</v>
      </c>
      <c r="E822" s="32" t="s">
        <v>1471</v>
      </c>
      <c r="F822" s="32" t="s">
        <v>1752</v>
      </c>
      <c r="G822" s="32">
        <f>IFERROR(INDEX(Ship!A$31:B$4500,MATCH(C822,Ship!A$31:A$4500,0),2),0)</f>
        <v>0</v>
      </c>
    </row>
    <row r="823" spans="1:7" x14ac:dyDescent="0.3">
      <c r="A823" s="32" t="s">
        <v>1795</v>
      </c>
      <c r="B823" s="32" t="s">
        <v>1796</v>
      </c>
      <c r="C823" s="32" t="s">
        <v>1168</v>
      </c>
      <c r="D823" s="32" t="s">
        <v>1973</v>
      </c>
      <c r="E823" s="32" t="s">
        <v>1471</v>
      </c>
      <c r="F823" s="32" t="s">
        <v>1752</v>
      </c>
      <c r="G823" s="32">
        <f>IFERROR(INDEX(Ship!A$31:B$4500,MATCH(C823,Ship!A$31:A$4500,0),2),0)</f>
        <v>0</v>
      </c>
    </row>
    <row r="824" spans="1:7" x14ac:dyDescent="0.3">
      <c r="A824" s="32" t="s">
        <v>1795</v>
      </c>
      <c r="B824" s="32" t="s">
        <v>1796</v>
      </c>
      <c r="C824" s="32" t="s">
        <v>1169</v>
      </c>
      <c r="D824" s="32" t="s">
        <v>1972</v>
      </c>
      <c r="E824" s="32" t="s">
        <v>1471</v>
      </c>
      <c r="F824" s="32" t="s">
        <v>1752</v>
      </c>
      <c r="G824" s="32">
        <f>IFERROR(INDEX(Ship!A$31:B$4500,MATCH(C824,Ship!A$31:A$4500,0),2),0)</f>
        <v>2</v>
      </c>
    </row>
    <row r="825" spans="1:7" x14ac:dyDescent="0.3">
      <c r="A825" s="32" t="s">
        <v>1795</v>
      </c>
      <c r="B825" s="32" t="s">
        <v>1796</v>
      </c>
      <c r="C825" s="32" t="s">
        <v>1177</v>
      </c>
      <c r="D825" s="32" t="s">
        <v>1971</v>
      </c>
      <c r="E825" s="32" t="s">
        <v>1471</v>
      </c>
      <c r="F825" s="32" t="s">
        <v>1752</v>
      </c>
      <c r="G825" s="32">
        <f>IFERROR(INDEX(Ship!A$31:B$4500,MATCH(C825,Ship!A$31:A$4500,0),2),0)</f>
        <v>0</v>
      </c>
    </row>
    <row r="826" spans="1:7" x14ac:dyDescent="0.3">
      <c r="A826" s="32" t="s">
        <v>1795</v>
      </c>
      <c r="B826" s="32" t="s">
        <v>1796</v>
      </c>
      <c r="C826" s="32" t="s">
        <v>1178</v>
      </c>
      <c r="D826" s="32" t="s">
        <v>1970</v>
      </c>
      <c r="E826" s="32" t="s">
        <v>1471</v>
      </c>
      <c r="F826" s="32" t="s">
        <v>1752</v>
      </c>
      <c r="G826" s="32">
        <f>IFERROR(INDEX(Ship!A$31:B$4500,MATCH(C826,Ship!A$31:A$4500,0),2),0)</f>
        <v>0</v>
      </c>
    </row>
    <row r="827" spans="1:7" x14ac:dyDescent="0.3">
      <c r="A827" s="32" t="s">
        <v>1795</v>
      </c>
      <c r="B827" s="32" t="s">
        <v>1796</v>
      </c>
      <c r="C827" s="32" t="s">
        <v>1179</v>
      </c>
      <c r="D827" s="32" t="s">
        <v>1969</v>
      </c>
      <c r="E827" s="32" t="s">
        <v>1471</v>
      </c>
      <c r="F827" s="32" t="s">
        <v>1752</v>
      </c>
      <c r="G827" s="32">
        <f>IFERROR(INDEX(Ship!A$31:B$4500,MATCH(C827,Ship!A$31:A$4500,0),2),0)</f>
        <v>0</v>
      </c>
    </row>
    <row r="828" spans="1:7" x14ac:dyDescent="0.3">
      <c r="A828" s="32" t="s">
        <v>1795</v>
      </c>
      <c r="B828" s="32" t="s">
        <v>1796</v>
      </c>
      <c r="C828" s="32" t="s">
        <v>1187</v>
      </c>
      <c r="D828" s="32" t="s">
        <v>1968</v>
      </c>
      <c r="E828" s="32" t="s">
        <v>1471</v>
      </c>
      <c r="F828" s="32" t="s">
        <v>1752</v>
      </c>
      <c r="G828" s="32">
        <f>IFERROR(INDEX(Ship!A$31:B$4500,MATCH(C828,Ship!A$31:A$4500,0),2),0)</f>
        <v>0</v>
      </c>
    </row>
    <row r="829" spans="1:7" x14ac:dyDescent="0.3">
      <c r="A829" s="32" t="s">
        <v>1795</v>
      </c>
      <c r="B829" s="32" t="s">
        <v>1796</v>
      </c>
      <c r="C829" s="32" t="s">
        <v>1195</v>
      </c>
      <c r="D829" s="32" t="s">
        <v>1967</v>
      </c>
      <c r="E829" s="32" t="s">
        <v>1471</v>
      </c>
      <c r="F829" s="32" t="s">
        <v>1752</v>
      </c>
      <c r="G829" s="32">
        <f>IFERROR(INDEX(Ship!A$31:B$4500,MATCH(C829,Ship!A$31:A$4500,0),2),0)</f>
        <v>31</v>
      </c>
    </row>
    <row r="830" spans="1:7" x14ac:dyDescent="0.3">
      <c r="A830" s="32" t="s">
        <v>1795</v>
      </c>
      <c r="B830" s="32" t="s">
        <v>1796</v>
      </c>
      <c r="C830" s="32" t="s">
        <v>1203</v>
      </c>
      <c r="D830" s="32" t="s">
        <v>1966</v>
      </c>
      <c r="E830" s="32" t="s">
        <v>1471</v>
      </c>
      <c r="F830" s="32" t="s">
        <v>1752</v>
      </c>
      <c r="G830" s="32">
        <f>IFERROR(INDEX(Ship!A$31:B$4500,MATCH(C830,Ship!A$31:A$4500,0),2),0)</f>
        <v>0</v>
      </c>
    </row>
    <row r="831" spans="1:7" x14ac:dyDescent="0.3">
      <c r="A831" s="32" t="s">
        <v>1795</v>
      </c>
      <c r="B831" s="32" t="s">
        <v>1796</v>
      </c>
      <c r="C831" s="32" t="s">
        <v>1211</v>
      </c>
      <c r="D831" s="32" t="s">
        <v>1965</v>
      </c>
      <c r="E831" s="32" t="s">
        <v>1471</v>
      </c>
      <c r="F831" s="32" t="s">
        <v>1752</v>
      </c>
      <c r="G831" s="32">
        <f>IFERROR(INDEX(Ship!A$31:B$4500,MATCH(C831,Ship!A$31:A$4500,0),2),0)</f>
        <v>0</v>
      </c>
    </row>
    <row r="832" spans="1:7" x14ac:dyDescent="0.3">
      <c r="A832" s="32" t="s">
        <v>1795</v>
      </c>
      <c r="B832" s="32" t="s">
        <v>1796</v>
      </c>
      <c r="C832" s="32" t="s">
        <v>1219</v>
      </c>
      <c r="D832" s="32" t="s">
        <v>1964</v>
      </c>
      <c r="E832" s="32" t="s">
        <v>1471</v>
      </c>
      <c r="F832" s="32" t="s">
        <v>1752</v>
      </c>
      <c r="G832" s="32">
        <f>IFERROR(INDEX(Ship!A$31:B$4500,MATCH(C832,Ship!A$31:A$4500,0),2),0)</f>
        <v>0</v>
      </c>
    </row>
    <row r="833" spans="1:7" x14ac:dyDescent="0.3">
      <c r="A833" s="32" t="s">
        <v>1795</v>
      </c>
      <c r="B833" s="32" t="s">
        <v>1796</v>
      </c>
      <c r="C833" s="32" t="s">
        <v>1227</v>
      </c>
      <c r="D833" s="32" t="s">
        <v>1963</v>
      </c>
      <c r="E833" s="32" t="s">
        <v>1471</v>
      </c>
      <c r="F833" s="32" t="s">
        <v>1752</v>
      </c>
      <c r="G833" s="32">
        <f>IFERROR(INDEX(Ship!A$31:B$4500,MATCH(C833,Ship!A$31:A$4500,0),2),0)</f>
        <v>0</v>
      </c>
    </row>
    <row r="834" spans="1:7" x14ac:dyDescent="0.3">
      <c r="A834" s="32" t="s">
        <v>1795</v>
      </c>
      <c r="B834" s="32" t="s">
        <v>1796</v>
      </c>
      <c r="C834" s="32" t="s">
        <v>1235</v>
      </c>
      <c r="D834" s="32" t="s">
        <v>1962</v>
      </c>
      <c r="E834" s="32" t="s">
        <v>1471</v>
      </c>
      <c r="F834" s="32" t="s">
        <v>1752</v>
      </c>
      <c r="G834" s="32">
        <f>IFERROR(INDEX(Ship!A$31:B$4500,MATCH(C834,Ship!A$31:A$4500,0),2),0)</f>
        <v>123</v>
      </c>
    </row>
    <row r="835" spans="1:7" x14ac:dyDescent="0.3">
      <c r="A835" s="32" t="s">
        <v>1795</v>
      </c>
      <c r="B835" s="32" t="s">
        <v>1796</v>
      </c>
      <c r="C835" s="32" t="s">
        <v>1243</v>
      </c>
      <c r="D835" s="32" t="s">
        <v>1961</v>
      </c>
      <c r="E835" s="32" t="s">
        <v>1471</v>
      </c>
      <c r="F835" s="32" t="s">
        <v>1752</v>
      </c>
      <c r="G835" s="32">
        <f>IFERROR(INDEX(Ship!A$31:B$4500,MATCH(C835,Ship!A$31:A$4500,0),2),0)</f>
        <v>0</v>
      </c>
    </row>
    <row r="836" spans="1:7" x14ac:dyDescent="0.3">
      <c r="A836" s="32" t="s">
        <v>1795</v>
      </c>
      <c r="B836" s="32" t="s">
        <v>1796</v>
      </c>
      <c r="C836" s="32" t="s">
        <v>1251</v>
      </c>
      <c r="D836" s="32" t="s">
        <v>1960</v>
      </c>
      <c r="E836" s="32" t="s">
        <v>1471</v>
      </c>
      <c r="F836" s="32" t="s">
        <v>1752</v>
      </c>
      <c r="G836" s="32">
        <f>IFERROR(INDEX(Ship!A$31:B$4500,MATCH(C836,Ship!A$31:A$4500,0),2),0)</f>
        <v>0</v>
      </c>
    </row>
    <row r="837" spans="1:7" x14ac:dyDescent="0.3">
      <c r="A837" s="32" t="s">
        <v>1795</v>
      </c>
      <c r="B837" s="32" t="s">
        <v>1796</v>
      </c>
      <c r="C837" s="32" t="s">
        <v>1259</v>
      </c>
      <c r="D837" s="32" t="s">
        <v>1959</v>
      </c>
      <c r="E837" s="32" t="s">
        <v>1471</v>
      </c>
      <c r="F837" s="32" t="s">
        <v>1752</v>
      </c>
      <c r="G837" s="32">
        <f>IFERROR(INDEX(Ship!A$31:B$4500,MATCH(C837,Ship!A$31:A$4500,0),2),0)</f>
        <v>87</v>
      </c>
    </row>
    <row r="838" spans="1:7" x14ac:dyDescent="0.3">
      <c r="A838" s="32" t="s">
        <v>1795</v>
      </c>
      <c r="B838" s="32" t="s">
        <v>1796</v>
      </c>
      <c r="C838" s="32" t="s">
        <v>1260</v>
      </c>
      <c r="D838" s="32" t="s">
        <v>1958</v>
      </c>
      <c r="E838" s="32" t="s">
        <v>1471</v>
      </c>
      <c r="F838" s="32" t="s">
        <v>1752</v>
      </c>
      <c r="G838" s="32">
        <f>IFERROR(INDEX(Ship!A$31:B$4500,MATCH(C838,Ship!A$31:A$4500,0),2),0)</f>
        <v>54</v>
      </c>
    </row>
    <row r="839" spans="1:7" x14ac:dyDescent="0.3">
      <c r="A839" s="32" t="s">
        <v>1795</v>
      </c>
      <c r="B839" s="32" t="s">
        <v>1796</v>
      </c>
      <c r="C839" s="32" t="s">
        <v>1268</v>
      </c>
      <c r="D839" s="32" t="s">
        <v>1957</v>
      </c>
      <c r="E839" s="32" t="s">
        <v>1471</v>
      </c>
      <c r="F839" s="32" t="s">
        <v>1752</v>
      </c>
      <c r="G839" s="32">
        <f>IFERROR(INDEX(Ship!A$31:B$4500,MATCH(C839,Ship!A$31:A$4500,0),2),0)</f>
        <v>16</v>
      </c>
    </row>
    <row r="840" spans="1:7" x14ac:dyDescent="0.3">
      <c r="A840" s="32" t="s">
        <v>1795</v>
      </c>
      <c r="B840" s="32" t="s">
        <v>1796</v>
      </c>
      <c r="C840" s="32" t="s">
        <v>2899</v>
      </c>
      <c r="D840" s="32" t="s">
        <v>1956</v>
      </c>
      <c r="E840" s="32" t="s">
        <v>1471</v>
      </c>
      <c r="F840" s="32" t="s">
        <v>1752</v>
      </c>
      <c r="G840" s="32">
        <f>IFERROR(INDEX(Ship!A$31:B$4500,MATCH(C840,Ship!A$31:A$4500,0),2),0)</f>
        <v>81</v>
      </c>
    </row>
    <row r="841" spans="1:7" x14ac:dyDescent="0.3">
      <c r="A841" s="32" t="s">
        <v>1795</v>
      </c>
      <c r="B841" s="32" t="s">
        <v>1796</v>
      </c>
      <c r="C841" s="32" t="s">
        <v>2900</v>
      </c>
      <c r="D841" s="32" t="s">
        <v>1955</v>
      </c>
      <c r="E841" s="32" t="s">
        <v>1471</v>
      </c>
      <c r="F841" s="32" t="s">
        <v>1752</v>
      </c>
      <c r="G841" s="32">
        <f>IFERROR(INDEX(Ship!A$31:B$4500,MATCH(C841,Ship!A$31:A$4500,0),2),0)</f>
        <v>0</v>
      </c>
    </row>
    <row r="842" spans="1:7" x14ac:dyDescent="0.3">
      <c r="A842" s="32" t="s">
        <v>1795</v>
      </c>
      <c r="B842" s="32" t="s">
        <v>1796</v>
      </c>
      <c r="C842" s="32" t="s">
        <v>2901</v>
      </c>
      <c r="D842" s="32" t="s">
        <v>1954</v>
      </c>
      <c r="E842" s="32" t="s">
        <v>1471</v>
      </c>
      <c r="F842" s="32" t="s">
        <v>1752</v>
      </c>
      <c r="G842" s="32">
        <f>IFERROR(INDEX(Ship!A$31:B$4500,MATCH(C842,Ship!A$31:A$4500,0),2),0)</f>
        <v>0</v>
      </c>
    </row>
    <row r="843" spans="1:7" x14ac:dyDescent="0.3">
      <c r="A843" s="32" t="s">
        <v>1795</v>
      </c>
      <c r="B843" s="32" t="s">
        <v>1796</v>
      </c>
      <c r="C843" s="32" t="s">
        <v>2902</v>
      </c>
      <c r="D843" s="32" t="s">
        <v>1953</v>
      </c>
      <c r="E843" s="32" t="s">
        <v>1471</v>
      </c>
      <c r="F843" s="32" t="s">
        <v>1752</v>
      </c>
      <c r="G843" s="32">
        <f>IFERROR(INDEX(Ship!A$31:B$4500,MATCH(C843,Ship!A$31:A$4500,0),2),0)</f>
        <v>0</v>
      </c>
    </row>
    <row r="844" spans="1:7" x14ac:dyDescent="0.3">
      <c r="A844" s="32" t="s">
        <v>1795</v>
      </c>
      <c r="B844" s="32" t="s">
        <v>1796</v>
      </c>
      <c r="C844" s="32" t="s">
        <v>2903</v>
      </c>
      <c r="D844" s="32" t="s">
        <v>1952</v>
      </c>
      <c r="E844" s="32" t="s">
        <v>1471</v>
      </c>
      <c r="F844" s="32" t="s">
        <v>1752</v>
      </c>
      <c r="G844" s="32">
        <f>IFERROR(INDEX(Ship!A$31:B$4500,MATCH(C844,Ship!A$31:A$4500,0),2),0)</f>
        <v>0</v>
      </c>
    </row>
    <row r="845" spans="1:7" x14ac:dyDescent="0.3">
      <c r="A845" s="32" t="s">
        <v>1795</v>
      </c>
      <c r="B845" s="32" t="s">
        <v>1796</v>
      </c>
      <c r="C845" s="32" t="s">
        <v>2904</v>
      </c>
      <c r="D845" s="32" t="s">
        <v>1951</v>
      </c>
      <c r="E845" s="32" t="s">
        <v>1471</v>
      </c>
      <c r="F845" s="32" t="s">
        <v>1752</v>
      </c>
      <c r="G845" s="32">
        <f>IFERROR(INDEX(Ship!A$31:B$4500,MATCH(C845,Ship!A$31:A$4500,0),2),0)</f>
        <v>0</v>
      </c>
    </row>
    <row r="846" spans="1:7" x14ac:dyDescent="0.3">
      <c r="A846" s="32" t="s">
        <v>1795</v>
      </c>
      <c r="B846" s="32" t="s">
        <v>1796</v>
      </c>
      <c r="C846" s="32" t="s">
        <v>2905</v>
      </c>
      <c r="D846" s="32" t="s">
        <v>1950</v>
      </c>
      <c r="E846" s="32" t="s">
        <v>1471</v>
      </c>
      <c r="F846" s="32" t="s">
        <v>1752</v>
      </c>
      <c r="G846" s="32">
        <f>IFERROR(INDEX(Ship!A$31:B$4500,MATCH(C846,Ship!A$31:A$4500,0),2),0)</f>
        <v>0</v>
      </c>
    </row>
    <row r="847" spans="1:7" x14ac:dyDescent="0.3">
      <c r="A847" s="32" t="s">
        <v>1795</v>
      </c>
      <c r="B847" s="32" t="s">
        <v>1796</v>
      </c>
      <c r="C847" s="32" t="s">
        <v>2906</v>
      </c>
      <c r="D847" s="32" t="s">
        <v>1949</v>
      </c>
      <c r="E847" s="32" t="s">
        <v>1471</v>
      </c>
      <c r="F847" s="32" t="s">
        <v>1752</v>
      </c>
      <c r="G847" s="32">
        <f>IFERROR(INDEX(Ship!A$31:B$4500,MATCH(C847,Ship!A$31:A$4500,0),2),0)</f>
        <v>25</v>
      </c>
    </row>
    <row r="848" spans="1:7" x14ac:dyDescent="0.3">
      <c r="A848" s="32" t="s">
        <v>1795</v>
      </c>
      <c r="B848" s="32" t="s">
        <v>1796</v>
      </c>
      <c r="C848" s="32" t="s">
        <v>2907</v>
      </c>
      <c r="D848" s="32" t="s">
        <v>1948</v>
      </c>
      <c r="E848" s="32" t="s">
        <v>1471</v>
      </c>
      <c r="F848" s="32" t="s">
        <v>1752</v>
      </c>
      <c r="G848" s="32">
        <f>IFERROR(INDEX(Ship!A$31:B$4500,MATCH(C848,Ship!A$31:A$4500,0),2),0)</f>
        <v>0</v>
      </c>
    </row>
    <row r="849" spans="1:7" x14ac:dyDescent="0.3">
      <c r="A849" s="32" t="s">
        <v>1795</v>
      </c>
      <c r="B849" s="32" t="s">
        <v>1796</v>
      </c>
      <c r="C849" s="32" t="s">
        <v>2908</v>
      </c>
      <c r="D849" s="32" t="s">
        <v>1947</v>
      </c>
      <c r="E849" s="32" t="s">
        <v>1471</v>
      </c>
      <c r="F849" s="32" t="s">
        <v>1752</v>
      </c>
      <c r="G849" s="32">
        <f>IFERROR(INDEX(Ship!A$31:B$4500,MATCH(C849,Ship!A$31:A$4500,0),2),0)</f>
        <v>0</v>
      </c>
    </row>
    <row r="850" spans="1:7" x14ac:dyDescent="0.3">
      <c r="A850" s="32" t="s">
        <v>1795</v>
      </c>
      <c r="B850" s="32" t="s">
        <v>1796</v>
      </c>
      <c r="C850" s="32" t="s">
        <v>2909</v>
      </c>
      <c r="D850" s="32" t="s">
        <v>1946</v>
      </c>
      <c r="E850" s="32" t="s">
        <v>1471</v>
      </c>
      <c r="F850" s="32" t="s">
        <v>1752</v>
      </c>
      <c r="G850" s="32">
        <f>IFERROR(INDEX(Ship!A$31:B$4500,MATCH(C850,Ship!A$31:A$4500,0),2),0)</f>
        <v>50</v>
      </c>
    </row>
    <row r="851" spans="1:7" x14ac:dyDescent="0.3">
      <c r="A851" s="32" t="s">
        <v>1795</v>
      </c>
      <c r="B851" s="32" t="s">
        <v>1796</v>
      </c>
      <c r="C851" s="32" t="s">
        <v>2910</v>
      </c>
      <c r="D851" s="32" t="s">
        <v>1945</v>
      </c>
      <c r="E851" s="32" t="s">
        <v>1471</v>
      </c>
      <c r="F851" s="32" t="s">
        <v>1752</v>
      </c>
      <c r="G851" s="32">
        <f>IFERROR(INDEX(Ship!A$31:B$4500,MATCH(C851,Ship!A$31:A$4500,0),2),0)</f>
        <v>2</v>
      </c>
    </row>
    <row r="852" spans="1:7" x14ac:dyDescent="0.3">
      <c r="A852" s="32" t="s">
        <v>1795</v>
      </c>
      <c r="B852" s="32" t="s">
        <v>1796</v>
      </c>
      <c r="C852" s="32" t="s">
        <v>2911</v>
      </c>
      <c r="D852" s="32" t="s">
        <v>1944</v>
      </c>
      <c r="E852" s="32" t="s">
        <v>1471</v>
      </c>
      <c r="F852" s="32" t="s">
        <v>1752</v>
      </c>
      <c r="G852" s="32">
        <f>IFERROR(INDEX(Ship!A$31:B$4500,MATCH(C852,Ship!A$31:A$4500,0),2),0)</f>
        <v>205</v>
      </c>
    </row>
    <row r="853" spans="1:7" x14ac:dyDescent="0.3">
      <c r="A853" s="32" t="s">
        <v>1795</v>
      </c>
      <c r="B853" s="32" t="s">
        <v>1796</v>
      </c>
      <c r="C853" s="32" t="s">
        <v>2912</v>
      </c>
      <c r="D853" s="32" t="s">
        <v>1943</v>
      </c>
      <c r="E853" s="32" t="s">
        <v>1471</v>
      </c>
      <c r="F853" s="32" t="s">
        <v>1752</v>
      </c>
      <c r="G853" s="32">
        <f>IFERROR(INDEX(Ship!A$31:B$4500,MATCH(C853,Ship!A$31:A$4500,0),2),0)</f>
        <v>29</v>
      </c>
    </row>
    <row r="854" spans="1:7" x14ac:dyDescent="0.3">
      <c r="A854" s="32" t="s">
        <v>1795</v>
      </c>
      <c r="B854" s="32" t="s">
        <v>1796</v>
      </c>
      <c r="C854" s="32" t="s">
        <v>2913</v>
      </c>
      <c r="D854" s="32" t="s">
        <v>1942</v>
      </c>
      <c r="E854" s="32" t="s">
        <v>1471</v>
      </c>
      <c r="F854" s="32" t="s">
        <v>1752</v>
      </c>
      <c r="G854" s="32">
        <f>IFERROR(INDEX(Ship!A$31:B$4500,MATCH(C854,Ship!A$31:A$4500,0),2),0)</f>
        <v>4</v>
      </c>
    </row>
    <row r="855" spans="1:7" x14ac:dyDescent="0.3">
      <c r="A855" s="32" t="s">
        <v>1795</v>
      </c>
      <c r="B855" s="32" t="s">
        <v>1796</v>
      </c>
      <c r="C855" s="32" t="s">
        <v>2914</v>
      </c>
      <c r="D855" s="32" t="s">
        <v>1941</v>
      </c>
      <c r="E855" s="32" t="s">
        <v>1471</v>
      </c>
      <c r="F855" s="32" t="s">
        <v>1752</v>
      </c>
      <c r="G855" s="32">
        <f>IFERROR(INDEX(Ship!A$31:B$4500,MATCH(C855,Ship!A$31:A$4500,0),2),0)</f>
        <v>3</v>
      </c>
    </row>
    <row r="856" spans="1:7" x14ac:dyDescent="0.3">
      <c r="A856" s="32" t="s">
        <v>1795</v>
      </c>
      <c r="B856" s="32" t="s">
        <v>1796</v>
      </c>
      <c r="C856" s="32" t="s">
        <v>2915</v>
      </c>
      <c r="D856" s="32" t="s">
        <v>1940</v>
      </c>
      <c r="E856" s="32" t="s">
        <v>1471</v>
      </c>
      <c r="F856" s="32" t="s">
        <v>1752</v>
      </c>
      <c r="G856" s="32">
        <f>IFERROR(INDEX(Ship!A$31:B$4500,MATCH(C856,Ship!A$31:A$4500,0),2),0)</f>
        <v>116</v>
      </c>
    </row>
    <row r="857" spans="1:7" x14ac:dyDescent="0.3">
      <c r="A857" s="32" t="s">
        <v>1795</v>
      </c>
      <c r="B857" s="32" t="s">
        <v>1796</v>
      </c>
      <c r="C857" s="32" t="s">
        <v>2916</v>
      </c>
      <c r="D857" s="32" t="s">
        <v>1939</v>
      </c>
      <c r="E857" s="32" t="s">
        <v>1471</v>
      </c>
      <c r="F857" s="32" t="s">
        <v>1752</v>
      </c>
      <c r="G857" s="32">
        <f>IFERROR(INDEX(Ship!A$31:B$4500,MATCH(C857,Ship!A$31:A$4500,0),2),0)</f>
        <v>0</v>
      </c>
    </row>
    <row r="858" spans="1:7" x14ac:dyDescent="0.3">
      <c r="A858" s="32" t="s">
        <v>1795</v>
      </c>
      <c r="B858" s="32" t="s">
        <v>1796</v>
      </c>
      <c r="C858" s="32" t="s">
        <v>2917</v>
      </c>
      <c r="D858" s="32" t="s">
        <v>1938</v>
      </c>
      <c r="E858" s="32" t="s">
        <v>1471</v>
      </c>
      <c r="F858" s="32" t="s">
        <v>1752</v>
      </c>
      <c r="G858" s="32">
        <f>IFERROR(INDEX(Ship!A$31:B$4500,MATCH(C858,Ship!A$31:A$4500,0),2),0)</f>
        <v>0</v>
      </c>
    </row>
    <row r="859" spans="1:7" x14ac:dyDescent="0.3">
      <c r="A859" s="32" t="s">
        <v>1795</v>
      </c>
      <c r="B859" s="32" t="s">
        <v>1796</v>
      </c>
      <c r="C859" s="32" t="s">
        <v>2918</v>
      </c>
      <c r="D859" s="32" t="s">
        <v>1937</v>
      </c>
      <c r="E859" s="32" t="s">
        <v>1471</v>
      </c>
      <c r="F859" s="32" t="s">
        <v>1752</v>
      </c>
      <c r="G859" s="32">
        <f>IFERROR(INDEX(Ship!A$31:B$4500,MATCH(C859,Ship!A$31:A$4500,0),2),0)</f>
        <v>1</v>
      </c>
    </row>
    <row r="860" spans="1:7" x14ac:dyDescent="0.3">
      <c r="A860" s="32" t="s">
        <v>1795</v>
      </c>
      <c r="B860" s="32" t="s">
        <v>1796</v>
      </c>
      <c r="C860" s="32" t="s">
        <v>2919</v>
      </c>
      <c r="D860" s="32" t="s">
        <v>1936</v>
      </c>
      <c r="E860" s="32" t="s">
        <v>1471</v>
      </c>
      <c r="F860" s="32" t="s">
        <v>1752</v>
      </c>
      <c r="G860" s="32">
        <f>IFERROR(INDEX(Ship!A$31:B$4500,MATCH(C860,Ship!A$31:A$4500,0),2),0)</f>
        <v>0</v>
      </c>
    </row>
    <row r="861" spans="1:7" x14ac:dyDescent="0.3">
      <c r="A861" s="32" t="s">
        <v>1795</v>
      </c>
      <c r="B861" s="32" t="s">
        <v>1796</v>
      </c>
      <c r="C861" s="32" t="s">
        <v>2920</v>
      </c>
      <c r="D861" s="32" t="s">
        <v>1935</v>
      </c>
      <c r="E861" s="32" t="s">
        <v>1471</v>
      </c>
      <c r="F861" s="32" t="s">
        <v>1752</v>
      </c>
      <c r="G861" s="32">
        <f>IFERROR(INDEX(Ship!A$31:B$4500,MATCH(C861,Ship!A$31:A$4500,0),2),0)</f>
        <v>0</v>
      </c>
    </row>
    <row r="862" spans="1:7" x14ac:dyDescent="0.3">
      <c r="A862" s="32" t="s">
        <v>1795</v>
      </c>
      <c r="B862" s="32" t="s">
        <v>1796</v>
      </c>
      <c r="C862" s="32" t="s">
        <v>2921</v>
      </c>
      <c r="D862" s="32" t="s">
        <v>1934</v>
      </c>
      <c r="E862" s="32" t="s">
        <v>1471</v>
      </c>
      <c r="F862" s="32" t="s">
        <v>1752</v>
      </c>
      <c r="G862" s="32">
        <f>IFERROR(INDEX(Ship!A$31:B$4500,MATCH(C862,Ship!A$31:A$4500,0),2),0)</f>
        <v>199</v>
      </c>
    </row>
    <row r="863" spans="1:7" x14ac:dyDescent="0.3">
      <c r="A863" s="32" t="s">
        <v>1795</v>
      </c>
      <c r="B863" s="32" t="s">
        <v>1796</v>
      </c>
      <c r="C863" s="32" t="s">
        <v>2922</v>
      </c>
      <c r="D863" s="32" t="s">
        <v>1933</v>
      </c>
      <c r="E863" s="32" t="s">
        <v>1471</v>
      </c>
      <c r="F863" s="32" t="s">
        <v>1752</v>
      </c>
      <c r="G863" s="32">
        <f>IFERROR(INDEX(Ship!A$31:B$4500,MATCH(C863,Ship!A$31:A$4500,0),2),0)</f>
        <v>5</v>
      </c>
    </row>
    <row r="864" spans="1:7" x14ac:dyDescent="0.3">
      <c r="A864" s="32" t="s">
        <v>1795</v>
      </c>
      <c r="B864" s="32" t="s">
        <v>1796</v>
      </c>
      <c r="C864" s="32" t="s">
        <v>2923</v>
      </c>
      <c r="D864" s="32" t="s">
        <v>1932</v>
      </c>
      <c r="E864" s="32" t="s">
        <v>1471</v>
      </c>
      <c r="F864" s="32" t="s">
        <v>1752</v>
      </c>
      <c r="G864" s="32">
        <f>IFERROR(INDEX(Ship!A$31:B$4500,MATCH(C864,Ship!A$31:A$4500,0),2),0)</f>
        <v>0</v>
      </c>
    </row>
    <row r="865" spans="1:7" x14ac:dyDescent="0.3">
      <c r="A865" s="32" t="s">
        <v>1795</v>
      </c>
      <c r="B865" s="32" t="s">
        <v>1796</v>
      </c>
      <c r="C865" s="32" t="s">
        <v>2924</v>
      </c>
      <c r="D865" s="32" t="s">
        <v>1931</v>
      </c>
      <c r="E865" s="32" t="s">
        <v>1471</v>
      </c>
      <c r="F865" s="32" t="s">
        <v>1752</v>
      </c>
      <c r="G865" s="32">
        <f>IFERROR(INDEX(Ship!A$31:B$4500,MATCH(C865,Ship!A$31:A$4500,0),2),0)</f>
        <v>1</v>
      </c>
    </row>
    <row r="866" spans="1:7" x14ac:dyDescent="0.3">
      <c r="A866" s="32" t="s">
        <v>1795</v>
      </c>
      <c r="B866" s="32" t="s">
        <v>1796</v>
      </c>
      <c r="C866" s="32" t="s">
        <v>2925</v>
      </c>
      <c r="D866" s="32" t="s">
        <v>1930</v>
      </c>
      <c r="E866" s="32" t="s">
        <v>1471</v>
      </c>
      <c r="F866" s="32" t="s">
        <v>1752</v>
      </c>
      <c r="G866" s="32">
        <f>IFERROR(INDEX(Ship!A$31:B$4500,MATCH(C866,Ship!A$31:A$4500,0),2),0)</f>
        <v>3</v>
      </c>
    </row>
    <row r="867" spans="1:7" x14ac:dyDescent="0.3">
      <c r="A867" s="32" t="s">
        <v>1795</v>
      </c>
      <c r="B867" s="32" t="s">
        <v>1796</v>
      </c>
      <c r="C867" s="32" t="s">
        <v>2926</v>
      </c>
      <c r="D867" s="32" t="s">
        <v>1929</v>
      </c>
      <c r="E867" s="32" t="s">
        <v>1471</v>
      </c>
      <c r="F867" s="32" t="s">
        <v>1752</v>
      </c>
      <c r="G867" s="32">
        <f>IFERROR(INDEX(Ship!A$31:B$4500,MATCH(C867,Ship!A$31:A$4500,0),2),0)</f>
        <v>4</v>
      </c>
    </row>
    <row r="868" spans="1:7" x14ac:dyDescent="0.3">
      <c r="A868" s="32" t="s">
        <v>1795</v>
      </c>
      <c r="B868" s="32" t="s">
        <v>1796</v>
      </c>
      <c r="C868" s="32" t="s">
        <v>2927</v>
      </c>
      <c r="D868" s="32" t="s">
        <v>1928</v>
      </c>
      <c r="E868" s="32" t="s">
        <v>1471</v>
      </c>
      <c r="F868" s="32" t="s">
        <v>1752</v>
      </c>
      <c r="G868" s="32">
        <f>IFERROR(INDEX(Ship!A$31:B$4500,MATCH(C868,Ship!A$31:A$4500,0),2),0)</f>
        <v>0</v>
      </c>
    </row>
    <row r="869" spans="1:7" x14ac:dyDescent="0.3">
      <c r="A869" s="32" t="s">
        <v>1795</v>
      </c>
      <c r="B869" s="32" t="s">
        <v>1796</v>
      </c>
      <c r="C869" s="32" t="s">
        <v>2928</v>
      </c>
      <c r="D869" s="32" t="s">
        <v>1927</v>
      </c>
      <c r="E869" s="32" t="s">
        <v>1471</v>
      </c>
      <c r="F869" s="32" t="s">
        <v>1752</v>
      </c>
      <c r="G869" s="32">
        <f>IFERROR(INDEX(Ship!A$31:B$4500,MATCH(C869,Ship!A$31:A$4500,0),2),0)</f>
        <v>0</v>
      </c>
    </row>
    <row r="870" spans="1:7" x14ac:dyDescent="0.3">
      <c r="A870" s="32" t="s">
        <v>1795</v>
      </c>
      <c r="B870" s="32" t="s">
        <v>1796</v>
      </c>
      <c r="C870" s="32" t="s">
        <v>2929</v>
      </c>
      <c r="D870" s="32" t="s">
        <v>1926</v>
      </c>
      <c r="E870" s="32" t="s">
        <v>1471</v>
      </c>
      <c r="F870" s="32" t="s">
        <v>1752</v>
      </c>
      <c r="G870" s="32">
        <f>IFERROR(INDEX(Ship!A$31:B$4500,MATCH(C870,Ship!A$31:A$4500,0),2),0)</f>
        <v>0</v>
      </c>
    </row>
    <row r="871" spans="1:7" x14ac:dyDescent="0.3">
      <c r="A871" s="32" t="s">
        <v>1795</v>
      </c>
      <c r="B871" s="32" t="s">
        <v>1796</v>
      </c>
      <c r="C871" s="32" t="s">
        <v>2930</v>
      </c>
      <c r="D871" s="32" t="s">
        <v>1925</v>
      </c>
      <c r="E871" s="32" t="s">
        <v>1471</v>
      </c>
      <c r="F871" s="32" t="s">
        <v>1752</v>
      </c>
      <c r="G871" s="32">
        <f>IFERROR(INDEX(Ship!A$31:B$4500,MATCH(C871,Ship!A$31:A$4500,0),2),0)</f>
        <v>4</v>
      </c>
    </row>
    <row r="872" spans="1:7" x14ac:dyDescent="0.3">
      <c r="A872" s="32" t="s">
        <v>1795</v>
      </c>
      <c r="B872" s="32" t="s">
        <v>1796</v>
      </c>
      <c r="C872" s="32" t="s">
        <v>2931</v>
      </c>
      <c r="D872" s="32" t="s">
        <v>1924</v>
      </c>
      <c r="E872" s="32" t="s">
        <v>1471</v>
      </c>
      <c r="F872" s="32" t="s">
        <v>1752</v>
      </c>
      <c r="G872" s="32">
        <f>IFERROR(INDEX(Ship!A$31:B$4500,MATCH(C872,Ship!A$31:A$4500,0),2),0)</f>
        <v>0</v>
      </c>
    </row>
    <row r="873" spans="1:7" x14ac:dyDescent="0.3">
      <c r="A873" s="32" t="s">
        <v>1795</v>
      </c>
      <c r="B873" s="32" t="s">
        <v>1796</v>
      </c>
      <c r="C873" s="32" t="s">
        <v>2932</v>
      </c>
      <c r="D873" s="32" t="s">
        <v>1923</v>
      </c>
      <c r="E873" s="32" t="s">
        <v>1471</v>
      </c>
      <c r="F873" s="32" t="s">
        <v>1752</v>
      </c>
      <c r="G873" s="32">
        <f>IFERROR(INDEX(Ship!A$31:B$4500,MATCH(C873,Ship!A$31:A$4500,0),2),0)</f>
        <v>8</v>
      </c>
    </row>
    <row r="874" spans="1:7" x14ac:dyDescent="0.3">
      <c r="A874" s="32" t="s">
        <v>1795</v>
      </c>
      <c r="B874" s="32" t="s">
        <v>1796</v>
      </c>
      <c r="C874" s="32" t="s">
        <v>2933</v>
      </c>
      <c r="D874" s="32" t="s">
        <v>1922</v>
      </c>
      <c r="E874" s="32" t="s">
        <v>1471</v>
      </c>
      <c r="F874" s="32" t="s">
        <v>1752</v>
      </c>
      <c r="G874" s="32">
        <f>IFERROR(INDEX(Ship!A$31:B$4500,MATCH(C874,Ship!A$31:A$4500,0),2),0)</f>
        <v>113</v>
      </c>
    </row>
    <row r="875" spans="1:7" x14ac:dyDescent="0.3">
      <c r="A875" s="32" t="s">
        <v>1795</v>
      </c>
      <c r="B875" s="32" t="s">
        <v>1796</v>
      </c>
      <c r="C875" s="32" t="s">
        <v>2934</v>
      </c>
      <c r="D875" s="32" t="s">
        <v>1921</v>
      </c>
      <c r="E875" s="32" t="s">
        <v>1471</v>
      </c>
      <c r="F875" s="32" t="s">
        <v>1752</v>
      </c>
      <c r="G875" s="32">
        <f>IFERROR(INDEX(Ship!A$31:B$4500,MATCH(C875,Ship!A$31:A$4500,0),2),0)</f>
        <v>0</v>
      </c>
    </row>
    <row r="876" spans="1:7" x14ac:dyDescent="0.3">
      <c r="A876" s="32" t="s">
        <v>1795</v>
      </c>
      <c r="B876" s="32" t="s">
        <v>1796</v>
      </c>
      <c r="C876" s="32" t="s">
        <v>2935</v>
      </c>
      <c r="D876" s="32" t="s">
        <v>1920</v>
      </c>
      <c r="E876" s="32" t="s">
        <v>1471</v>
      </c>
      <c r="F876" s="32" t="s">
        <v>1752</v>
      </c>
      <c r="G876" s="32">
        <f>IFERROR(INDEX(Ship!A$31:B$4500,MATCH(C876,Ship!A$31:A$4500,0),2),0)</f>
        <v>42</v>
      </c>
    </row>
    <row r="877" spans="1:7" x14ac:dyDescent="0.3">
      <c r="A877" s="32" t="s">
        <v>1795</v>
      </c>
      <c r="B877" s="32" t="s">
        <v>1796</v>
      </c>
      <c r="C877" s="32" t="s">
        <v>2936</v>
      </c>
      <c r="D877" s="32" t="s">
        <v>1919</v>
      </c>
      <c r="E877" s="32" t="s">
        <v>1471</v>
      </c>
      <c r="F877" s="32" t="s">
        <v>1752</v>
      </c>
      <c r="G877" s="32">
        <f>IFERROR(INDEX(Ship!A$31:B$4500,MATCH(C877,Ship!A$31:A$4500,0),2),0)</f>
        <v>2</v>
      </c>
    </row>
    <row r="878" spans="1:7" x14ac:dyDescent="0.3">
      <c r="A878" s="32" t="s">
        <v>1795</v>
      </c>
      <c r="B878" s="32" t="s">
        <v>1796</v>
      </c>
      <c r="C878" s="32" t="s">
        <v>2937</v>
      </c>
      <c r="D878" s="32" t="s">
        <v>1918</v>
      </c>
      <c r="E878" s="32" t="s">
        <v>1471</v>
      </c>
      <c r="F878" s="32" t="s">
        <v>1752</v>
      </c>
      <c r="G878" s="32">
        <f>IFERROR(INDEX(Ship!A$31:B$4500,MATCH(C878,Ship!A$31:A$4500,0),2),0)</f>
        <v>0</v>
      </c>
    </row>
    <row r="879" spans="1:7" x14ac:dyDescent="0.3">
      <c r="A879" s="32" t="s">
        <v>1795</v>
      </c>
      <c r="B879" s="32" t="s">
        <v>1796</v>
      </c>
      <c r="C879" s="32" t="s">
        <v>2938</v>
      </c>
      <c r="D879" s="32" t="s">
        <v>1917</v>
      </c>
      <c r="E879" s="32" t="s">
        <v>1471</v>
      </c>
      <c r="F879" s="32" t="s">
        <v>1752</v>
      </c>
      <c r="G879" s="32">
        <f>IFERROR(INDEX(Ship!A$31:B$4500,MATCH(C879,Ship!A$31:A$4500,0),2),0)</f>
        <v>0</v>
      </c>
    </row>
    <row r="880" spans="1:7" x14ac:dyDescent="0.3">
      <c r="A880" s="32" t="s">
        <v>1795</v>
      </c>
      <c r="B880" s="32" t="s">
        <v>1796</v>
      </c>
      <c r="C880" s="32" t="s">
        <v>2939</v>
      </c>
      <c r="D880" s="32" t="s">
        <v>1916</v>
      </c>
      <c r="E880" s="32" t="s">
        <v>1471</v>
      </c>
      <c r="F880" s="32" t="s">
        <v>1752</v>
      </c>
      <c r="G880" s="32">
        <f>IFERROR(INDEX(Ship!A$31:B$4500,MATCH(C880,Ship!A$31:A$4500,0),2),0)</f>
        <v>86</v>
      </c>
    </row>
    <row r="881" spans="1:7" x14ac:dyDescent="0.3">
      <c r="A881" s="32" t="s">
        <v>1795</v>
      </c>
      <c r="B881" s="32" t="s">
        <v>1796</v>
      </c>
      <c r="C881" s="32" t="s">
        <v>2940</v>
      </c>
      <c r="D881" s="32" t="s">
        <v>1915</v>
      </c>
      <c r="E881" s="32" t="s">
        <v>1471</v>
      </c>
      <c r="F881" s="32" t="s">
        <v>1752</v>
      </c>
      <c r="G881" s="32">
        <f>IFERROR(INDEX(Ship!A$31:B$4500,MATCH(C881,Ship!A$31:A$4500,0),2),0)</f>
        <v>0</v>
      </c>
    </row>
    <row r="882" spans="1:7" x14ac:dyDescent="0.3">
      <c r="A882" s="32" t="s">
        <v>1795</v>
      </c>
      <c r="B882" s="32" t="s">
        <v>1796</v>
      </c>
      <c r="C882" s="32" t="s">
        <v>2941</v>
      </c>
      <c r="D882" s="32" t="s">
        <v>1914</v>
      </c>
      <c r="E882" s="32" t="s">
        <v>1471</v>
      </c>
      <c r="F882" s="32" t="s">
        <v>1752</v>
      </c>
      <c r="G882" s="32">
        <f>IFERROR(INDEX(Ship!A$31:B$4500,MATCH(C882,Ship!A$31:A$4500,0),2),0)</f>
        <v>5</v>
      </c>
    </row>
    <row r="883" spans="1:7" x14ac:dyDescent="0.3">
      <c r="A883" s="32" t="s">
        <v>1795</v>
      </c>
      <c r="B883" s="32" t="s">
        <v>1796</v>
      </c>
      <c r="C883" s="32" t="s">
        <v>2942</v>
      </c>
      <c r="D883" s="32" t="s">
        <v>1913</v>
      </c>
      <c r="E883" s="32" t="s">
        <v>1471</v>
      </c>
      <c r="F883" s="32" t="s">
        <v>1752</v>
      </c>
      <c r="G883" s="32">
        <f>IFERROR(INDEX(Ship!A$31:B$4500,MATCH(C883,Ship!A$31:A$4500,0),2),0)</f>
        <v>0</v>
      </c>
    </row>
    <row r="884" spans="1:7" x14ac:dyDescent="0.3">
      <c r="A884" s="32" t="s">
        <v>1795</v>
      </c>
      <c r="B884" s="32" t="s">
        <v>1796</v>
      </c>
      <c r="C884" s="32" t="s">
        <v>2943</v>
      </c>
      <c r="D884" s="32" t="s">
        <v>1912</v>
      </c>
      <c r="E884" s="32" t="s">
        <v>1471</v>
      </c>
      <c r="F884" s="32" t="s">
        <v>1752</v>
      </c>
      <c r="G884" s="32">
        <f>IFERROR(INDEX(Ship!A$31:B$4500,MATCH(C884,Ship!A$31:A$4500,0),2),0)</f>
        <v>5</v>
      </c>
    </row>
    <row r="885" spans="1:7" x14ac:dyDescent="0.3">
      <c r="A885" s="32" t="s">
        <v>1795</v>
      </c>
      <c r="B885" s="32" t="s">
        <v>1796</v>
      </c>
      <c r="C885" s="32" t="s">
        <v>2944</v>
      </c>
      <c r="D885" s="32" t="s">
        <v>1911</v>
      </c>
      <c r="E885" s="32" t="s">
        <v>1471</v>
      </c>
      <c r="F885" s="32" t="s">
        <v>1752</v>
      </c>
      <c r="G885" s="32">
        <f>IFERROR(INDEX(Ship!A$31:B$4500,MATCH(C885,Ship!A$31:A$4500,0),2),0)</f>
        <v>1</v>
      </c>
    </row>
    <row r="886" spans="1:7" x14ac:dyDescent="0.3">
      <c r="A886" s="32" t="s">
        <v>1795</v>
      </c>
      <c r="B886" s="32" t="s">
        <v>1796</v>
      </c>
      <c r="C886" s="32" t="s">
        <v>2945</v>
      </c>
      <c r="D886" s="32" t="s">
        <v>1910</v>
      </c>
      <c r="E886" s="32" t="s">
        <v>1471</v>
      </c>
      <c r="F886" s="32" t="s">
        <v>1752</v>
      </c>
      <c r="G886" s="32">
        <f>IFERROR(INDEX(Ship!A$31:B$4500,MATCH(C886,Ship!A$31:A$4500,0),2),0)</f>
        <v>47</v>
      </c>
    </row>
    <row r="887" spans="1:7" x14ac:dyDescent="0.3">
      <c r="A887" s="32" t="s">
        <v>1795</v>
      </c>
      <c r="B887" s="32" t="s">
        <v>1796</v>
      </c>
      <c r="C887" s="32" t="s">
        <v>2946</v>
      </c>
      <c r="D887" s="32" t="s">
        <v>1909</v>
      </c>
      <c r="E887" s="32" t="s">
        <v>1471</v>
      </c>
      <c r="F887" s="32" t="s">
        <v>1752</v>
      </c>
      <c r="G887" s="32">
        <f>IFERROR(INDEX(Ship!A$31:B$4500,MATCH(C887,Ship!A$31:A$4500,0),2),0)</f>
        <v>0</v>
      </c>
    </row>
    <row r="888" spans="1:7" x14ac:dyDescent="0.3">
      <c r="A888" s="32" t="s">
        <v>1795</v>
      </c>
      <c r="B888" s="32" t="s">
        <v>1796</v>
      </c>
      <c r="C888" s="32" t="s">
        <v>2947</v>
      </c>
      <c r="D888" s="32" t="s">
        <v>1908</v>
      </c>
      <c r="E888" s="32" t="s">
        <v>1471</v>
      </c>
      <c r="F888" s="32" t="s">
        <v>1752</v>
      </c>
      <c r="G888" s="32">
        <f>IFERROR(INDEX(Ship!A$31:B$4500,MATCH(C888,Ship!A$31:A$4500,0),2),0)</f>
        <v>0</v>
      </c>
    </row>
    <row r="889" spans="1:7" x14ac:dyDescent="0.3">
      <c r="A889" s="32" t="s">
        <v>1795</v>
      </c>
      <c r="B889" s="32" t="s">
        <v>1796</v>
      </c>
      <c r="C889" s="32" t="s">
        <v>2948</v>
      </c>
      <c r="D889" s="32" t="s">
        <v>1907</v>
      </c>
      <c r="E889" s="32" t="s">
        <v>1471</v>
      </c>
      <c r="F889" s="32" t="s">
        <v>1752</v>
      </c>
      <c r="G889" s="32">
        <f>IFERROR(INDEX(Ship!A$31:B$4500,MATCH(C889,Ship!A$31:A$4500,0),2),0)</f>
        <v>0</v>
      </c>
    </row>
    <row r="890" spans="1:7" x14ac:dyDescent="0.3">
      <c r="A890" s="32" t="s">
        <v>1795</v>
      </c>
      <c r="B890" s="32" t="s">
        <v>1796</v>
      </c>
      <c r="C890" s="32" t="s">
        <v>2949</v>
      </c>
      <c r="D890" s="32" t="s">
        <v>1906</v>
      </c>
      <c r="E890" s="32" t="s">
        <v>1471</v>
      </c>
      <c r="F890" s="32" t="s">
        <v>1752</v>
      </c>
      <c r="G890" s="32">
        <f>IFERROR(INDEX(Ship!A$31:B$4500,MATCH(C890,Ship!A$31:A$4500,0),2),0)</f>
        <v>1</v>
      </c>
    </row>
    <row r="891" spans="1:7" x14ac:dyDescent="0.3">
      <c r="A891" s="32" t="s">
        <v>1795</v>
      </c>
      <c r="B891" s="32" t="s">
        <v>1796</v>
      </c>
      <c r="C891" s="32" t="s">
        <v>2950</v>
      </c>
      <c r="D891" s="32" t="s">
        <v>1905</v>
      </c>
      <c r="E891" s="32" t="s">
        <v>1471</v>
      </c>
      <c r="F891" s="32" t="s">
        <v>1752</v>
      </c>
      <c r="G891" s="32">
        <f>IFERROR(INDEX(Ship!A$31:B$4500,MATCH(C891,Ship!A$31:A$4500,0),2),0)</f>
        <v>0</v>
      </c>
    </row>
    <row r="892" spans="1:7" x14ac:dyDescent="0.3">
      <c r="A892" s="32" t="s">
        <v>1795</v>
      </c>
      <c r="B892" s="32" t="s">
        <v>1796</v>
      </c>
      <c r="C892" s="32" t="s">
        <v>2951</v>
      </c>
      <c r="D892" s="32" t="s">
        <v>1904</v>
      </c>
      <c r="E892" s="32" t="s">
        <v>1471</v>
      </c>
      <c r="F892" s="32" t="s">
        <v>1752</v>
      </c>
      <c r="G892" s="32">
        <f>IFERROR(INDEX(Ship!A$31:B$4500,MATCH(C892,Ship!A$31:A$4500,0),2),0)</f>
        <v>0</v>
      </c>
    </row>
    <row r="893" spans="1:7" x14ac:dyDescent="0.3">
      <c r="A893" s="32" t="s">
        <v>1795</v>
      </c>
      <c r="B893" s="32" t="s">
        <v>1796</v>
      </c>
      <c r="C893" s="32" t="s">
        <v>2952</v>
      </c>
      <c r="D893" s="32" t="s">
        <v>1903</v>
      </c>
      <c r="E893" s="32" t="s">
        <v>1471</v>
      </c>
      <c r="F893" s="32" t="s">
        <v>1752</v>
      </c>
      <c r="G893" s="32">
        <f>IFERROR(INDEX(Ship!A$31:B$4500,MATCH(C893,Ship!A$31:A$4500,0),2),0)</f>
        <v>0</v>
      </c>
    </row>
    <row r="894" spans="1:7" x14ac:dyDescent="0.3">
      <c r="A894" s="32" t="s">
        <v>1795</v>
      </c>
      <c r="B894" s="32" t="s">
        <v>1796</v>
      </c>
      <c r="C894" s="32" t="s">
        <v>2953</v>
      </c>
      <c r="D894" s="32" t="s">
        <v>1902</v>
      </c>
      <c r="E894" s="32" t="s">
        <v>1471</v>
      </c>
      <c r="F894" s="32" t="s">
        <v>1752</v>
      </c>
      <c r="G894" s="32">
        <f>IFERROR(INDEX(Ship!A$31:B$4500,MATCH(C894,Ship!A$31:A$4500,0),2),0)</f>
        <v>23</v>
      </c>
    </row>
    <row r="895" spans="1:7" x14ac:dyDescent="0.3">
      <c r="A895" s="32" t="s">
        <v>1795</v>
      </c>
      <c r="B895" s="32" t="s">
        <v>1796</v>
      </c>
      <c r="C895" s="32" t="s">
        <v>2954</v>
      </c>
      <c r="D895" s="32" t="s">
        <v>1901</v>
      </c>
      <c r="E895" s="32" t="s">
        <v>1471</v>
      </c>
      <c r="F895" s="32" t="s">
        <v>1752</v>
      </c>
      <c r="G895" s="32">
        <f>IFERROR(INDEX(Ship!A$31:B$4500,MATCH(C895,Ship!A$31:A$4500,0),2),0)</f>
        <v>0</v>
      </c>
    </row>
    <row r="896" spans="1:7" x14ac:dyDescent="0.3">
      <c r="A896" s="32" t="s">
        <v>1795</v>
      </c>
      <c r="B896" s="32" t="s">
        <v>1796</v>
      </c>
      <c r="C896" s="32" t="s">
        <v>2955</v>
      </c>
      <c r="D896" s="32" t="s">
        <v>1900</v>
      </c>
      <c r="E896" s="32" t="s">
        <v>1471</v>
      </c>
      <c r="F896" s="32" t="s">
        <v>1752</v>
      </c>
      <c r="G896" s="32">
        <f>IFERROR(INDEX(Ship!A$31:B$4500,MATCH(C896,Ship!A$31:A$4500,0),2),0)</f>
        <v>0</v>
      </c>
    </row>
    <row r="897" spans="1:7" x14ac:dyDescent="0.3">
      <c r="A897" s="32" t="s">
        <v>1795</v>
      </c>
      <c r="B897" s="32" t="s">
        <v>1796</v>
      </c>
      <c r="C897" s="32" t="s">
        <v>2956</v>
      </c>
      <c r="D897" s="32" t="s">
        <v>1899</v>
      </c>
      <c r="E897" s="32" t="s">
        <v>1471</v>
      </c>
      <c r="F897" s="32" t="s">
        <v>1752</v>
      </c>
      <c r="G897" s="32">
        <f>IFERROR(INDEX(Ship!A$31:B$4500,MATCH(C897,Ship!A$31:A$4500,0),2),0)</f>
        <v>0</v>
      </c>
    </row>
    <row r="898" spans="1:7" x14ac:dyDescent="0.3">
      <c r="A898" s="32" t="s">
        <v>1795</v>
      </c>
      <c r="B898" s="32" t="s">
        <v>1796</v>
      </c>
      <c r="C898" s="32" t="s">
        <v>2957</v>
      </c>
      <c r="D898" s="32" t="s">
        <v>1898</v>
      </c>
      <c r="E898" s="32" t="s">
        <v>1471</v>
      </c>
      <c r="F898" s="32" t="s">
        <v>1752</v>
      </c>
      <c r="G898" s="32">
        <f>IFERROR(INDEX(Ship!A$31:B$4500,MATCH(C898,Ship!A$31:A$4500,0),2),0)</f>
        <v>0</v>
      </c>
    </row>
    <row r="899" spans="1:7" x14ac:dyDescent="0.3">
      <c r="A899" s="32" t="s">
        <v>1795</v>
      </c>
      <c r="B899" s="32" t="s">
        <v>1796</v>
      </c>
      <c r="C899" s="32" t="s">
        <v>2958</v>
      </c>
      <c r="D899" s="32" t="s">
        <v>1897</v>
      </c>
      <c r="E899" s="32" t="s">
        <v>1471</v>
      </c>
      <c r="F899" s="32" t="s">
        <v>1752</v>
      </c>
      <c r="G899" s="32">
        <f>IFERROR(INDEX(Ship!A$31:B$4500,MATCH(C899,Ship!A$31:A$4500,0),2),0)</f>
        <v>0</v>
      </c>
    </row>
    <row r="900" spans="1:7" x14ac:dyDescent="0.3">
      <c r="A900" s="32" t="s">
        <v>1795</v>
      </c>
      <c r="B900" s="32" t="s">
        <v>1796</v>
      </c>
      <c r="C900" s="32" t="s">
        <v>2959</v>
      </c>
      <c r="D900" s="32" t="s">
        <v>1896</v>
      </c>
      <c r="E900" s="32" t="s">
        <v>1471</v>
      </c>
      <c r="F900" s="32" t="s">
        <v>1752</v>
      </c>
      <c r="G900" s="32">
        <f>IFERROR(INDEX(Ship!A$31:B$4500,MATCH(C900,Ship!A$31:A$4500,0),2),0)</f>
        <v>0</v>
      </c>
    </row>
    <row r="901" spans="1:7" x14ac:dyDescent="0.3">
      <c r="A901" s="32" t="s">
        <v>1795</v>
      </c>
      <c r="B901" s="32" t="s">
        <v>1796</v>
      </c>
      <c r="C901" s="32" t="s">
        <v>2960</v>
      </c>
      <c r="D901" s="32" t="s">
        <v>1895</v>
      </c>
      <c r="E901" s="32" t="s">
        <v>1471</v>
      </c>
      <c r="F901" s="32" t="s">
        <v>1752</v>
      </c>
      <c r="G901" s="32">
        <f>IFERROR(INDEX(Ship!A$31:B$4500,MATCH(C901,Ship!A$31:A$4500,0),2),0)</f>
        <v>1</v>
      </c>
    </row>
    <row r="902" spans="1:7" x14ac:dyDescent="0.3">
      <c r="A902" s="32" t="s">
        <v>1795</v>
      </c>
      <c r="B902" s="32" t="s">
        <v>1796</v>
      </c>
      <c r="C902" s="32" t="s">
        <v>2961</v>
      </c>
      <c r="D902" s="32" t="s">
        <v>1894</v>
      </c>
      <c r="E902" s="32" t="s">
        <v>1471</v>
      </c>
      <c r="F902" s="32" t="s">
        <v>1752</v>
      </c>
      <c r="G902" s="32">
        <f>IFERROR(INDEX(Ship!A$31:B$4500,MATCH(C902,Ship!A$31:A$4500,0),2),0)</f>
        <v>0</v>
      </c>
    </row>
    <row r="903" spans="1:7" x14ac:dyDescent="0.3">
      <c r="A903" s="32" t="s">
        <v>1795</v>
      </c>
      <c r="B903" s="32" t="s">
        <v>1796</v>
      </c>
      <c r="C903" s="32" t="s">
        <v>2962</v>
      </c>
      <c r="D903" s="32" t="s">
        <v>1893</v>
      </c>
      <c r="E903" s="32" t="s">
        <v>1471</v>
      </c>
      <c r="F903" s="32" t="s">
        <v>1752</v>
      </c>
      <c r="G903" s="32">
        <f>IFERROR(INDEX(Ship!A$31:B$4500,MATCH(C903,Ship!A$31:A$4500,0),2),0)</f>
        <v>0</v>
      </c>
    </row>
    <row r="904" spans="1:7" x14ac:dyDescent="0.3">
      <c r="A904" s="32" t="s">
        <v>1795</v>
      </c>
      <c r="B904" s="32" t="s">
        <v>1796</v>
      </c>
      <c r="C904" s="32" t="s">
        <v>2963</v>
      </c>
      <c r="D904" s="32" t="s">
        <v>1892</v>
      </c>
      <c r="E904" s="32" t="s">
        <v>1471</v>
      </c>
      <c r="F904" s="32" t="s">
        <v>1752</v>
      </c>
      <c r="G904" s="32">
        <f>IFERROR(INDEX(Ship!A$31:B$4500,MATCH(C904,Ship!A$31:A$4500,0),2),0)</f>
        <v>0</v>
      </c>
    </row>
    <row r="905" spans="1:7" x14ac:dyDescent="0.3">
      <c r="A905" s="32" t="s">
        <v>1795</v>
      </c>
      <c r="B905" s="32" t="s">
        <v>1796</v>
      </c>
      <c r="C905" s="32" t="s">
        <v>2964</v>
      </c>
      <c r="D905" s="32" t="s">
        <v>1891</v>
      </c>
      <c r="E905" s="32" t="s">
        <v>1471</v>
      </c>
      <c r="F905" s="32" t="s">
        <v>1752</v>
      </c>
      <c r="G905" s="32">
        <f>IFERROR(INDEX(Ship!A$31:B$4500,MATCH(C905,Ship!A$31:A$4500,0),2),0)</f>
        <v>0</v>
      </c>
    </row>
    <row r="906" spans="1:7" x14ac:dyDescent="0.3">
      <c r="A906" s="32" t="s">
        <v>1795</v>
      </c>
      <c r="B906" s="32" t="s">
        <v>1796</v>
      </c>
      <c r="C906" s="32" t="s">
        <v>1511</v>
      </c>
      <c r="D906" s="32" t="s">
        <v>1890</v>
      </c>
      <c r="E906" s="32" t="s">
        <v>1471</v>
      </c>
      <c r="F906" s="32" t="s">
        <v>1752</v>
      </c>
      <c r="G906" s="32">
        <f>IFERROR(INDEX(Ship!A$31:B$4500,MATCH(C906,Ship!A$31:A$4500,0),2),0)</f>
        <v>59</v>
      </c>
    </row>
    <row r="907" spans="1:7" x14ac:dyDescent="0.3">
      <c r="A907" s="32" t="s">
        <v>1795</v>
      </c>
      <c r="B907" s="32" t="s">
        <v>1796</v>
      </c>
      <c r="C907" s="32" t="s">
        <v>1513</v>
      </c>
      <c r="D907" s="32" t="s">
        <v>1889</v>
      </c>
      <c r="E907" s="32" t="s">
        <v>1471</v>
      </c>
      <c r="F907" s="32" t="s">
        <v>1752</v>
      </c>
      <c r="G907" s="32">
        <f>IFERROR(INDEX(Ship!A$31:B$4500,MATCH(C907,Ship!A$31:A$4500,0),2),0)</f>
        <v>0</v>
      </c>
    </row>
    <row r="908" spans="1:7" x14ac:dyDescent="0.3">
      <c r="A908" s="32" t="s">
        <v>1795</v>
      </c>
      <c r="B908" s="32" t="s">
        <v>1796</v>
      </c>
      <c r="C908" s="32" t="s">
        <v>1276</v>
      </c>
      <c r="D908" s="32" t="s">
        <v>1888</v>
      </c>
      <c r="E908" s="32" t="s">
        <v>1471</v>
      </c>
      <c r="F908" s="32" t="s">
        <v>1752</v>
      </c>
      <c r="G908" s="32">
        <f>IFERROR(INDEX(Ship!A$31:B$4500,MATCH(C908,Ship!A$31:A$4500,0),2),0)</f>
        <v>0</v>
      </c>
    </row>
    <row r="909" spans="1:7" x14ac:dyDescent="0.3">
      <c r="A909" s="32" t="s">
        <v>1795</v>
      </c>
      <c r="B909" s="32" t="s">
        <v>1796</v>
      </c>
      <c r="C909" s="32" t="s">
        <v>1284</v>
      </c>
      <c r="D909" s="32" t="s">
        <v>1887</v>
      </c>
      <c r="E909" s="32" t="s">
        <v>1471</v>
      </c>
      <c r="F909" s="32" t="s">
        <v>1752</v>
      </c>
      <c r="G909" s="32">
        <f>IFERROR(INDEX(Ship!A$31:B$4500,MATCH(C909,Ship!A$31:A$4500,0),2),0)</f>
        <v>6</v>
      </c>
    </row>
    <row r="910" spans="1:7" x14ac:dyDescent="0.3">
      <c r="A910" s="32" t="s">
        <v>1795</v>
      </c>
      <c r="B910" s="32" t="s">
        <v>1796</v>
      </c>
      <c r="C910" s="32" t="s">
        <v>1512</v>
      </c>
      <c r="D910" s="32" t="s">
        <v>1886</v>
      </c>
      <c r="E910" s="32" t="s">
        <v>1471</v>
      </c>
      <c r="F910" s="32" t="s">
        <v>1752</v>
      </c>
      <c r="G910" s="32">
        <f>IFERROR(INDEX(Ship!A$31:B$4500,MATCH(C910,Ship!A$31:A$4500,0),2),0)</f>
        <v>2</v>
      </c>
    </row>
    <row r="911" spans="1:7" x14ac:dyDescent="0.3">
      <c r="A911" s="32" t="s">
        <v>1795</v>
      </c>
      <c r="B911" s="32" t="s">
        <v>1796</v>
      </c>
      <c r="C911" s="32" t="s">
        <v>1514</v>
      </c>
      <c r="D911" s="32" t="s">
        <v>1885</v>
      </c>
      <c r="E911" s="32" t="s">
        <v>1471</v>
      </c>
      <c r="F911" s="32" t="s">
        <v>1752</v>
      </c>
      <c r="G911" s="32">
        <f>IFERROR(INDEX(Ship!A$31:B$4500,MATCH(C911,Ship!A$31:A$4500,0),2),0)</f>
        <v>0</v>
      </c>
    </row>
    <row r="912" spans="1:7" x14ac:dyDescent="0.3">
      <c r="A912" s="32" t="s">
        <v>1795</v>
      </c>
      <c r="B912" s="32" t="s">
        <v>1796</v>
      </c>
      <c r="C912" s="32" t="s">
        <v>1515</v>
      </c>
      <c r="D912" s="32" t="s">
        <v>1884</v>
      </c>
      <c r="E912" s="32" t="s">
        <v>1471</v>
      </c>
      <c r="F912" s="32" t="s">
        <v>1752</v>
      </c>
      <c r="G912" s="32">
        <f>IFERROR(INDEX(Ship!A$31:B$4500,MATCH(C912,Ship!A$31:A$4500,0),2),0)</f>
        <v>59</v>
      </c>
    </row>
    <row r="913" spans="1:7" x14ac:dyDescent="0.3">
      <c r="A913" s="32" t="s">
        <v>1795</v>
      </c>
      <c r="B913" s="32" t="s">
        <v>1796</v>
      </c>
      <c r="C913" s="32" t="s">
        <v>1517</v>
      </c>
      <c r="D913" s="32" t="s">
        <v>1883</v>
      </c>
      <c r="E913" s="32" t="s">
        <v>1471</v>
      </c>
      <c r="F913" s="32" t="s">
        <v>1752</v>
      </c>
      <c r="G913" s="32">
        <f>IFERROR(INDEX(Ship!A$31:B$4500,MATCH(C913,Ship!A$31:A$4500,0),2),0)</f>
        <v>2</v>
      </c>
    </row>
    <row r="914" spans="1:7" x14ac:dyDescent="0.3">
      <c r="A914" s="32" t="s">
        <v>1795</v>
      </c>
      <c r="B914" s="32" t="s">
        <v>1796</v>
      </c>
      <c r="C914" s="32" t="s">
        <v>1292</v>
      </c>
      <c r="D914" s="32" t="s">
        <v>1882</v>
      </c>
      <c r="E914" s="32" t="s">
        <v>1471</v>
      </c>
      <c r="F914" s="32" t="s">
        <v>1752</v>
      </c>
      <c r="G914" s="32">
        <f>IFERROR(INDEX(Ship!A$31:B$4500,MATCH(C914,Ship!A$31:A$4500,0),2),0)</f>
        <v>35</v>
      </c>
    </row>
    <row r="915" spans="1:7" x14ac:dyDescent="0.3">
      <c r="A915" s="32" t="s">
        <v>1795</v>
      </c>
      <c r="B915" s="32" t="s">
        <v>1796</v>
      </c>
      <c r="C915" s="32" t="s">
        <v>1300</v>
      </c>
      <c r="D915" s="32" t="s">
        <v>1881</v>
      </c>
      <c r="E915" s="32" t="s">
        <v>1471</v>
      </c>
      <c r="F915" s="32" t="s">
        <v>1752</v>
      </c>
      <c r="G915" s="32">
        <f>IFERROR(INDEX(Ship!A$31:B$4500,MATCH(C915,Ship!A$31:A$4500,0),2),0)</f>
        <v>0</v>
      </c>
    </row>
    <row r="916" spans="1:7" x14ac:dyDescent="0.3">
      <c r="A916" s="32" t="s">
        <v>1795</v>
      </c>
      <c r="B916" s="32" t="s">
        <v>1796</v>
      </c>
      <c r="C916" s="32" t="s">
        <v>1516</v>
      </c>
      <c r="D916" s="32" t="s">
        <v>1880</v>
      </c>
      <c r="E916" s="32" t="s">
        <v>1471</v>
      </c>
      <c r="F916" s="32" t="s">
        <v>1752</v>
      </c>
      <c r="G916" s="32">
        <f>IFERROR(INDEX(Ship!A$31:B$4500,MATCH(C916,Ship!A$31:A$4500,0),2),0)</f>
        <v>0</v>
      </c>
    </row>
    <row r="917" spans="1:7" x14ac:dyDescent="0.3">
      <c r="A917" s="32" t="s">
        <v>1795</v>
      </c>
      <c r="B917" s="32" t="s">
        <v>1796</v>
      </c>
      <c r="C917" s="32" t="s">
        <v>1518</v>
      </c>
      <c r="D917" s="32" t="s">
        <v>1879</v>
      </c>
      <c r="E917" s="32" t="s">
        <v>1471</v>
      </c>
      <c r="F917" s="32" t="s">
        <v>1752</v>
      </c>
      <c r="G917" s="32">
        <f>IFERROR(INDEX(Ship!A$31:B$4500,MATCH(C917,Ship!A$31:A$4500,0),2),0)</f>
        <v>25</v>
      </c>
    </row>
    <row r="918" spans="1:7" x14ac:dyDescent="0.3">
      <c r="A918" s="32" t="s">
        <v>1795</v>
      </c>
      <c r="B918" s="32" t="s">
        <v>1796</v>
      </c>
      <c r="C918" s="32" t="s">
        <v>1519</v>
      </c>
      <c r="D918" s="32" t="s">
        <v>1878</v>
      </c>
      <c r="E918" s="32" t="s">
        <v>1471</v>
      </c>
      <c r="F918" s="32" t="s">
        <v>1752</v>
      </c>
      <c r="G918" s="32">
        <f>IFERROR(INDEX(Ship!A$31:B$4500,MATCH(C918,Ship!A$31:A$4500,0),2),0)</f>
        <v>0</v>
      </c>
    </row>
    <row r="919" spans="1:7" x14ac:dyDescent="0.3">
      <c r="A919" s="32" t="s">
        <v>1795</v>
      </c>
      <c r="B919" s="32" t="s">
        <v>1796</v>
      </c>
      <c r="C919" s="32" t="s">
        <v>1521</v>
      </c>
      <c r="D919" s="32" t="s">
        <v>1877</v>
      </c>
      <c r="E919" s="32" t="s">
        <v>1471</v>
      </c>
      <c r="F919" s="32" t="s">
        <v>1752</v>
      </c>
      <c r="G919" s="32">
        <f>IFERROR(INDEX(Ship!A$31:B$4500,MATCH(C919,Ship!A$31:A$4500,0),2),0)</f>
        <v>0</v>
      </c>
    </row>
    <row r="920" spans="1:7" x14ac:dyDescent="0.3">
      <c r="A920" s="32" t="s">
        <v>1795</v>
      </c>
      <c r="B920" s="32" t="s">
        <v>1796</v>
      </c>
      <c r="C920" s="32" t="s">
        <v>1308</v>
      </c>
      <c r="D920" s="32" t="s">
        <v>1876</v>
      </c>
      <c r="E920" s="32" t="s">
        <v>1471</v>
      </c>
      <c r="F920" s="32" t="s">
        <v>1752</v>
      </c>
      <c r="G920" s="32">
        <f>IFERROR(INDEX(Ship!A$31:B$4500,MATCH(C920,Ship!A$31:A$4500,0),2),0)</f>
        <v>83</v>
      </c>
    </row>
    <row r="921" spans="1:7" x14ac:dyDescent="0.3">
      <c r="A921" s="32" t="s">
        <v>1795</v>
      </c>
      <c r="B921" s="32" t="s">
        <v>1796</v>
      </c>
      <c r="C921" s="32" t="s">
        <v>1309</v>
      </c>
      <c r="D921" s="32" t="s">
        <v>1875</v>
      </c>
      <c r="E921" s="32" t="s">
        <v>1471</v>
      </c>
      <c r="F921" s="32" t="s">
        <v>1752</v>
      </c>
      <c r="G921" s="32">
        <f>IFERROR(INDEX(Ship!A$31:B$4500,MATCH(C921,Ship!A$31:A$4500,0),2),0)</f>
        <v>0</v>
      </c>
    </row>
    <row r="922" spans="1:7" x14ac:dyDescent="0.3">
      <c r="A922" s="32" t="s">
        <v>1795</v>
      </c>
      <c r="B922" s="32" t="s">
        <v>1796</v>
      </c>
      <c r="C922" s="32" t="s">
        <v>1520</v>
      </c>
      <c r="D922" s="32" t="s">
        <v>1874</v>
      </c>
      <c r="E922" s="32" t="s">
        <v>1471</v>
      </c>
      <c r="F922" s="32" t="s">
        <v>1752</v>
      </c>
      <c r="G922" s="32">
        <f>IFERROR(INDEX(Ship!A$31:B$4500,MATCH(C922,Ship!A$31:A$4500,0),2),0)</f>
        <v>2</v>
      </c>
    </row>
    <row r="923" spans="1:7" x14ac:dyDescent="0.3">
      <c r="A923" s="32" t="s">
        <v>1795</v>
      </c>
      <c r="B923" s="32" t="s">
        <v>1796</v>
      </c>
      <c r="C923" s="32" t="s">
        <v>1522</v>
      </c>
      <c r="D923" s="32" t="s">
        <v>1873</v>
      </c>
      <c r="E923" s="32" t="s">
        <v>1471</v>
      </c>
      <c r="F923" s="32" t="s">
        <v>1752</v>
      </c>
      <c r="G923" s="32">
        <f>IFERROR(INDEX(Ship!A$31:B$4500,MATCH(C923,Ship!A$31:A$4500,0),2),0)</f>
        <v>1</v>
      </c>
    </row>
    <row r="924" spans="1:7" x14ac:dyDescent="0.3">
      <c r="A924" s="32" t="s">
        <v>1795</v>
      </c>
      <c r="B924" s="32" t="s">
        <v>1796</v>
      </c>
      <c r="C924" s="32" t="s">
        <v>1523</v>
      </c>
      <c r="D924" s="32" t="s">
        <v>1872</v>
      </c>
      <c r="E924" s="32" t="s">
        <v>1471</v>
      </c>
      <c r="F924" s="32" t="s">
        <v>1752</v>
      </c>
      <c r="G924" s="32">
        <f>IFERROR(INDEX(Ship!A$31:B$4500,MATCH(C924,Ship!A$31:A$4500,0),2),0)</f>
        <v>3</v>
      </c>
    </row>
    <row r="925" spans="1:7" x14ac:dyDescent="0.3">
      <c r="A925" s="32" t="s">
        <v>1795</v>
      </c>
      <c r="B925" s="32" t="s">
        <v>1796</v>
      </c>
      <c r="C925" s="32" t="s">
        <v>1525</v>
      </c>
      <c r="D925" s="32" t="s">
        <v>1871</v>
      </c>
      <c r="E925" s="32" t="s">
        <v>1471</v>
      </c>
      <c r="F925" s="32" t="s">
        <v>1752</v>
      </c>
      <c r="G925" s="32">
        <f>IFERROR(INDEX(Ship!A$31:B$4500,MATCH(C925,Ship!A$31:A$4500,0),2),0)</f>
        <v>0</v>
      </c>
    </row>
    <row r="926" spans="1:7" x14ac:dyDescent="0.3">
      <c r="A926" s="32" t="s">
        <v>1795</v>
      </c>
      <c r="B926" s="32" t="s">
        <v>1796</v>
      </c>
      <c r="C926" s="32" t="s">
        <v>1317</v>
      </c>
      <c r="D926" s="32" t="s">
        <v>1870</v>
      </c>
      <c r="E926" s="32" t="s">
        <v>1471</v>
      </c>
      <c r="F926" s="32" t="s">
        <v>1752</v>
      </c>
      <c r="G926" s="32">
        <f>IFERROR(INDEX(Ship!A$31:B$4500,MATCH(C926,Ship!A$31:A$4500,0),2),0)</f>
        <v>1</v>
      </c>
    </row>
    <row r="927" spans="1:7" x14ac:dyDescent="0.3">
      <c r="A927" s="32" t="s">
        <v>1795</v>
      </c>
      <c r="B927" s="32" t="s">
        <v>1796</v>
      </c>
      <c r="C927" s="32" t="s">
        <v>1318</v>
      </c>
      <c r="D927" s="32" t="s">
        <v>1869</v>
      </c>
      <c r="E927" s="32" t="s">
        <v>1471</v>
      </c>
      <c r="F927" s="32" t="s">
        <v>1752</v>
      </c>
      <c r="G927" s="32">
        <f>IFERROR(INDEX(Ship!A$31:B$4500,MATCH(C927,Ship!A$31:A$4500,0),2),0)</f>
        <v>2</v>
      </c>
    </row>
    <row r="928" spans="1:7" x14ac:dyDescent="0.3">
      <c r="A928" s="32" t="s">
        <v>1795</v>
      </c>
      <c r="B928" s="32" t="s">
        <v>1796</v>
      </c>
      <c r="C928" s="32" t="s">
        <v>1524</v>
      </c>
      <c r="D928" s="32" t="s">
        <v>1868</v>
      </c>
      <c r="E928" s="32" t="s">
        <v>1471</v>
      </c>
      <c r="F928" s="32" t="s">
        <v>1752</v>
      </c>
      <c r="G928" s="32">
        <f>IFERROR(INDEX(Ship!A$31:B$4500,MATCH(C928,Ship!A$31:A$4500,0),2),0)</f>
        <v>76</v>
      </c>
    </row>
    <row r="929" spans="1:7" x14ac:dyDescent="0.3">
      <c r="A929" s="32" t="s">
        <v>1795</v>
      </c>
      <c r="B929" s="32" t="s">
        <v>1796</v>
      </c>
      <c r="C929" s="32" t="s">
        <v>1526</v>
      </c>
      <c r="D929" s="32" t="s">
        <v>1867</v>
      </c>
      <c r="E929" s="32" t="s">
        <v>1471</v>
      </c>
      <c r="F929" s="32" t="s">
        <v>1752</v>
      </c>
      <c r="G929" s="32">
        <f>IFERROR(INDEX(Ship!A$31:B$4500,MATCH(C929,Ship!A$31:A$4500,0),2),0)</f>
        <v>0</v>
      </c>
    </row>
    <row r="930" spans="1:7" x14ac:dyDescent="0.3">
      <c r="A930" s="32" t="s">
        <v>1795</v>
      </c>
      <c r="B930" s="32" t="s">
        <v>1796</v>
      </c>
      <c r="C930" s="32" t="s">
        <v>1326</v>
      </c>
      <c r="D930" s="32" t="s">
        <v>1866</v>
      </c>
      <c r="E930" s="32" t="s">
        <v>1471</v>
      </c>
      <c r="F930" s="32" t="s">
        <v>1752</v>
      </c>
      <c r="G930" s="32">
        <f>IFERROR(INDEX(Ship!A$31:B$4500,MATCH(C930,Ship!A$31:A$4500,0),2),0)</f>
        <v>0</v>
      </c>
    </row>
    <row r="931" spans="1:7" x14ac:dyDescent="0.3">
      <c r="A931" s="32" t="s">
        <v>1795</v>
      </c>
      <c r="B931" s="32" t="s">
        <v>1796</v>
      </c>
      <c r="C931" s="32" t="s">
        <v>1527</v>
      </c>
      <c r="D931" s="32" t="s">
        <v>1865</v>
      </c>
      <c r="E931" s="32" t="s">
        <v>1471</v>
      </c>
      <c r="F931" s="32" t="s">
        <v>1752</v>
      </c>
      <c r="G931" s="32">
        <f>IFERROR(INDEX(Ship!A$31:B$4500,MATCH(C931,Ship!A$31:A$4500,0),2),0)</f>
        <v>132</v>
      </c>
    </row>
    <row r="932" spans="1:7" x14ac:dyDescent="0.3">
      <c r="A932" s="32" t="s">
        <v>1795</v>
      </c>
      <c r="B932" s="32" t="s">
        <v>1796</v>
      </c>
      <c r="C932" s="32" t="s">
        <v>1327</v>
      </c>
      <c r="D932" s="32" t="s">
        <v>1864</v>
      </c>
      <c r="E932" s="32" t="s">
        <v>1471</v>
      </c>
      <c r="F932" s="32" t="s">
        <v>1752</v>
      </c>
      <c r="G932" s="32">
        <f>IFERROR(INDEX(Ship!A$31:B$4500,MATCH(C932,Ship!A$31:A$4500,0),2),0)</f>
        <v>128</v>
      </c>
    </row>
    <row r="933" spans="1:7" x14ac:dyDescent="0.3">
      <c r="A933" s="32" t="s">
        <v>1795</v>
      </c>
      <c r="B933" s="32" t="s">
        <v>1796</v>
      </c>
      <c r="C933" s="32" t="s">
        <v>1328</v>
      </c>
      <c r="D933" s="32" t="s">
        <v>1863</v>
      </c>
      <c r="E933" s="32" t="s">
        <v>1471</v>
      </c>
      <c r="F933" s="32" t="s">
        <v>1752</v>
      </c>
      <c r="G933" s="32">
        <f>IFERROR(INDEX(Ship!A$31:B$4500,MATCH(C933,Ship!A$31:A$4500,0),2),0)</f>
        <v>94</v>
      </c>
    </row>
    <row r="934" spans="1:7" x14ac:dyDescent="0.3">
      <c r="A934" s="32" t="s">
        <v>1795</v>
      </c>
      <c r="B934" s="32" t="s">
        <v>1796</v>
      </c>
      <c r="C934" s="32" t="s">
        <v>1529</v>
      </c>
      <c r="D934" s="32" t="s">
        <v>1862</v>
      </c>
      <c r="E934" s="32" t="s">
        <v>1471</v>
      </c>
      <c r="F934" s="32" t="s">
        <v>1752</v>
      </c>
      <c r="G934" s="32">
        <f>IFERROR(INDEX(Ship!A$31:B$4500,MATCH(C934,Ship!A$31:A$4500,0),2),0)</f>
        <v>0</v>
      </c>
    </row>
    <row r="935" spans="1:7" x14ac:dyDescent="0.3">
      <c r="A935" s="32" t="s">
        <v>1795</v>
      </c>
      <c r="B935" s="32" t="s">
        <v>1796</v>
      </c>
      <c r="C935" s="32" t="s">
        <v>1528</v>
      </c>
      <c r="D935" s="32" t="s">
        <v>1861</v>
      </c>
      <c r="E935" s="32" t="s">
        <v>1471</v>
      </c>
      <c r="F935" s="32" t="s">
        <v>1752</v>
      </c>
      <c r="G935" s="32">
        <f>IFERROR(INDEX(Ship!A$31:B$4500,MATCH(C935,Ship!A$31:A$4500,0),2),0)</f>
        <v>0</v>
      </c>
    </row>
    <row r="936" spans="1:7" x14ac:dyDescent="0.3">
      <c r="A936" s="32" t="s">
        <v>1795</v>
      </c>
      <c r="B936" s="32" t="s">
        <v>1796</v>
      </c>
      <c r="C936" s="32" t="s">
        <v>1329</v>
      </c>
      <c r="D936" s="32" t="s">
        <v>1860</v>
      </c>
      <c r="E936" s="32" t="s">
        <v>1471</v>
      </c>
      <c r="F936" s="32" t="s">
        <v>1752</v>
      </c>
      <c r="G936" s="32">
        <f>IFERROR(INDEX(Ship!A$31:B$4500,MATCH(C936,Ship!A$31:A$4500,0),2),0)</f>
        <v>31</v>
      </c>
    </row>
    <row r="937" spans="1:7" x14ac:dyDescent="0.3">
      <c r="A937" s="32" t="s">
        <v>1795</v>
      </c>
      <c r="B937" s="32" t="s">
        <v>1796</v>
      </c>
      <c r="C937" s="32" t="s">
        <v>1531</v>
      </c>
      <c r="D937" s="32" t="s">
        <v>1859</v>
      </c>
      <c r="E937" s="32" t="s">
        <v>1471</v>
      </c>
      <c r="F937" s="32" t="s">
        <v>1752</v>
      </c>
      <c r="G937" s="32">
        <f>IFERROR(INDEX(Ship!A$31:B$4500,MATCH(C937,Ship!A$31:A$4500,0),2),0)</f>
        <v>0</v>
      </c>
    </row>
    <row r="938" spans="1:7" x14ac:dyDescent="0.3">
      <c r="A938" s="32" t="s">
        <v>1795</v>
      </c>
      <c r="B938" s="32" t="s">
        <v>1796</v>
      </c>
      <c r="C938" s="32" t="s">
        <v>1530</v>
      </c>
      <c r="D938" s="32" t="s">
        <v>1858</v>
      </c>
      <c r="E938" s="32" t="s">
        <v>1471</v>
      </c>
      <c r="F938" s="32" t="s">
        <v>1752</v>
      </c>
      <c r="G938" s="32">
        <f>IFERROR(INDEX(Ship!A$31:B$4500,MATCH(C938,Ship!A$31:A$4500,0),2),0)</f>
        <v>0</v>
      </c>
    </row>
    <row r="939" spans="1:7" x14ac:dyDescent="0.3">
      <c r="A939" s="32" t="s">
        <v>1795</v>
      </c>
      <c r="B939" s="32" t="s">
        <v>1796</v>
      </c>
      <c r="C939" s="32" t="s">
        <v>1330</v>
      </c>
      <c r="D939" s="32" t="s">
        <v>1857</v>
      </c>
      <c r="E939" s="32" t="s">
        <v>1471</v>
      </c>
      <c r="F939" s="32" t="s">
        <v>1752</v>
      </c>
      <c r="G939" s="32">
        <f>IFERROR(INDEX(Ship!A$31:B$4500,MATCH(C939,Ship!A$31:A$4500,0),2),0)</f>
        <v>0</v>
      </c>
    </row>
    <row r="940" spans="1:7" x14ac:dyDescent="0.3">
      <c r="A940" s="32" t="s">
        <v>1795</v>
      </c>
      <c r="B940" s="32" t="s">
        <v>1796</v>
      </c>
      <c r="C940" s="32" t="s">
        <v>1532</v>
      </c>
      <c r="D940" s="32" t="s">
        <v>1856</v>
      </c>
      <c r="E940" s="32" t="s">
        <v>1471</v>
      </c>
      <c r="F940" s="32" t="s">
        <v>1752</v>
      </c>
      <c r="G940" s="32">
        <f>IFERROR(INDEX(Ship!A$31:B$4500,MATCH(C940,Ship!A$31:A$4500,0),2),0)</f>
        <v>0</v>
      </c>
    </row>
    <row r="941" spans="1:7" x14ac:dyDescent="0.3">
      <c r="A941" s="32" t="s">
        <v>1795</v>
      </c>
      <c r="B941" s="32" t="s">
        <v>1796</v>
      </c>
      <c r="C941" s="32" t="s">
        <v>1331</v>
      </c>
      <c r="D941" s="32" t="s">
        <v>1855</v>
      </c>
      <c r="E941" s="32" t="s">
        <v>1471</v>
      </c>
      <c r="F941" s="32" t="s">
        <v>1752</v>
      </c>
      <c r="G941" s="32">
        <f>IFERROR(INDEX(Ship!A$31:B$4500,MATCH(C941,Ship!A$31:A$4500,0),2),0)</f>
        <v>0</v>
      </c>
    </row>
    <row r="942" spans="1:7" x14ac:dyDescent="0.3">
      <c r="A942" s="32" t="s">
        <v>1795</v>
      </c>
      <c r="B942" s="32" t="s">
        <v>1796</v>
      </c>
      <c r="C942" s="32" t="s">
        <v>1534</v>
      </c>
      <c r="D942" s="32" t="s">
        <v>1854</v>
      </c>
      <c r="E942" s="32" t="s">
        <v>1471</v>
      </c>
      <c r="F942" s="32" t="s">
        <v>1752</v>
      </c>
      <c r="G942" s="32">
        <f>IFERROR(INDEX(Ship!A$31:B$4500,MATCH(C942,Ship!A$31:A$4500,0),2),0)</f>
        <v>0</v>
      </c>
    </row>
    <row r="943" spans="1:7" x14ac:dyDescent="0.3">
      <c r="A943" s="32" t="s">
        <v>1795</v>
      </c>
      <c r="B943" s="32" t="s">
        <v>1796</v>
      </c>
      <c r="C943" s="32" t="s">
        <v>1533</v>
      </c>
      <c r="D943" s="32" t="s">
        <v>1853</v>
      </c>
      <c r="E943" s="32" t="s">
        <v>1471</v>
      </c>
      <c r="F943" s="32" t="s">
        <v>1752</v>
      </c>
      <c r="G943" s="32">
        <f>IFERROR(INDEX(Ship!A$31:B$4500,MATCH(C943,Ship!A$31:A$4500,0),2),0)</f>
        <v>0</v>
      </c>
    </row>
    <row r="944" spans="1:7" x14ac:dyDescent="0.3">
      <c r="A944" s="32" t="s">
        <v>1795</v>
      </c>
      <c r="B944" s="32" t="s">
        <v>1796</v>
      </c>
      <c r="C944" s="32" t="s">
        <v>1332</v>
      </c>
      <c r="D944" s="32" t="s">
        <v>1852</v>
      </c>
      <c r="E944" s="32" t="s">
        <v>1471</v>
      </c>
      <c r="F944" s="32" t="s">
        <v>1752</v>
      </c>
      <c r="G944" s="32">
        <f>IFERROR(INDEX(Ship!A$31:B$4500,MATCH(C944,Ship!A$31:A$4500,0),2),0)</f>
        <v>0</v>
      </c>
    </row>
    <row r="945" spans="1:7" x14ac:dyDescent="0.3">
      <c r="A945" s="32" t="s">
        <v>1795</v>
      </c>
      <c r="B945" s="32" t="s">
        <v>1796</v>
      </c>
      <c r="C945" s="32" t="s">
        <v>1536</v>
      </c>
      <c r="D945" s="32" t="s">
        <v>1851</v>
      </c>
      <c r="E945" s="32" t="s">
        <v>1471</v>
      </c>
      <c r="F945" s="32" t="s">
        <v>1752</v>
      </c>
      <c r="G945" s="32">
        <f>IFERROR(INDEX(Ship!A$31:B$4500,MATCH(C945,Ship!A$31:A$4500,0),2),0)</f>
        <v>0</v>
      </c>
    </row>
    <row r="946" spans="1:7" x14ac:dyDescent="0.3">
      <c r="A946" s="32" t="s">
        <v>1795</v>
      </c>
      <c r="B946" s="32" t="s">
        <v>1796</v>
      </c>
      <c r="C946" s="32" t="s">
        <v>1535</v>
      </c>
      <c r="D946" s="32" t="s">
        <v>1850</v>
      </c>
      <c r="E946" s="32" t="s">
        <v>1471</v>
      </c>
      <c r="F946" s="32" t="s">
        <v>1752</v>
      </c>
      <c r="G946" s="32">
        <f>IFERROR(INDEX(Ship!A$31:B$4500,MATCH(C946,Ship!A$31:A$4500,0),2),0)</f>
        <v>14</v>
      </c>
    </row>
    <row r="947" spans="1:7" x14ac:dyDescent="0.3">
      <c r="A947" s="32" t="s">
        <v>1795</v>
      </c>
      <c r="B947" s="32" t="s">
        <v>1796</v>
      </c>
      <c r="C947" s="32" t="s">
        <v>1333</v>
      </c>
      <c r="D947" s="32" t="s">
        <v>1849</v>
      </c>
      <c r="E947" s="32" t="s">
        <v>1471</v>
      </c>
      <c r="F947" s="32" t="s">
        <v>1752</v>
      </c>
      <c r="G947" s="32">
        <f>IFERROR(INDEX(Ship!A$31:B$4500,MATCH(C947,Ship!A$31:A$4500,0),2),0)</f>
        <v>0</v>
      </c>
    </row>
    <row r="948" spans="1:7" x14ac:dyDescent="0.3">
      <c r="A948" s="32" t="s">
        <v>1795</v>
      </c>
      <c r="B948" s="32" t="s">
        <v>1796</v>
      </c>
      <c r="C948" s="32" t="s">
        <v>1538</v>
      </c>
      <c r="D948" s="32" t="s">
        <v>1848</v>
      </c>
      <c r="E948" s="32" t="s">
        <v>1471</v>
      </c>
      <c r="F948" s="32" t="s">
        <v>1752</v>
      </c>
      <c r="G948" s="32">
        <f>IFERROR(INDEX(Ship!A$31:B$4500,MATCH(C948,Ship!A$31:A$4500,0),2),0)</f>
        <v>130</v>
      </c>
    </row>
    <row r="949" spans="1:7" x14ac:dyDescent="0.3">
      <c r="A949" s="32" t="s">
        <v>1795</v>
      </c>
      <c r="B949" s="32" t="s">
        <v>1796</v>
      </c>
      <c r="C949" s="32" t="s">
        <v>1537</v>
      </c>
      <c r="D949" s="32" t="s">
        <v>1847</v>
      </c>
      <c r="E949" s="32" t="s">
        <v>1471</v>
      </c>
      <c r="F949" s="32" t="s">
        <v>1752</v>
      </c>
      <c r="G949" s="32">
        <f>IFERROR(INDEX(Ship!A$31:B$4500,MATCH(C949,Ship!A$31:A$4500,0),2),0)</f>
        <v>0</v>
      </c>
    </row>
    <row r="950" spans="1:7" x14ac:dyDescent="0.3">
      <c r="A950" s="32" t="s">
        <v>1795</v>
      </c>
      <c r="B950" s="32" t="s">
        <v>1796</v>
      </c>
      <c r="C950" s="32" t="s">
        <v>1334</v>
      </c>
      <c r="D950" s="32" t="s">
        <v>1846</v>
      </c>
      <c r="E950" s="32" t="s">
        <v>1471</v>
      </c>
      <c r="F950" s="32" t="s">
        <v>1752</v>
      </c>
      <c r="G950" s="32">
        <f>IFERROR(INDEX(Ship!A$31:B$4500,MATCH(C950,Ship!A$31:A$4500,0),2),0)</f>
        <v>115</v>
      </c>
    </row>
    <row r="951" spans="1:7" x14ac:dyDescent="0.3">
      <c r="A951" s="32" t="s">
        <v>1795</v>
      </c>
      <c r="B951" s="32" t="s">
        <v>1796</v>
      </c>
      <c r="C951" s="32" t="s">
        <v>1540</v>
      </c>
      <c r="D951" s="32" t="s">
        <v>1845</v>
      </c>
      <c r="E951" s="32" t="s">
        <v>1471</v>
      </c>
      <c r="F951" s="32" t="s">
        <v>1752</v>
      </c>
      <c r="G951" s="32">
        <f>IFERROR(INDEX(Ship!A$31:B$4500,MATCH(C951,Ship!A$31:A$4500,0),2),0)</f>
        <v>0</v>
      </c>
    </row>
    <row r="952" spans="1:7" x14ac:dyDescent="0.3">
      <c r="A952" s="32" t="s">
        <v>1795</v>
      </c>
      <c r="B952" s="32" t="s">
        <v>1796</v>
      </c>
      <c r="C952" s="32" t="s">
        <v>1539</v>
      </c>
      <c r="D952" s="32" t="s">
        <v>1844</v>
      </c>
      <c r="E952" s="32" t="s">
        <v>1471</v>
      </c>
      <c r="F952" s="32" t="s">
        <v>1752</v>
      </c>
      <c r="G952" s="32">
        <f>IFERROR(INDEX(Ship!A$31:B$4500,MATCH(C952,Ship!A$31:A$4500,0),2),0)</f>
        <v>2</v>
      </c>
    </row>
    <row r="953" spans="1:7" x14ac:dyDescent="0.3">
      <c r="A953" s="32" t="s">
        <v>1795</v>
      </c>
      <c r="B953" s="32" t="s">
        <v>1796</v>
      </c>
      <c r="C953" s="32" t="s">
        <v>1335</v>
      </c>
      <c r="D953" s="32" t="s">
        <v>1843</v>
      </c>
      <c r="E953" s="32" t="s">
        <v>1471</v>
      </c>
      <c r="F953" s="32" t="s">
        <v>1752</v>
      </c>
      <c r="G953" s="32">
        <f>IFERROR(INDEX(Ship!A$31:B$4500,MATCH(C953,Ship!A$31:A$4500,0),2),0)</f>
        <v>0</v>
      </c>
    </row>
    <row r="954" spans="1:7" x14ac:dyDescent="0.3">
      <c r="A954" s="32" t="s">
        <v>1795</v>
      </c>
      <c r="B954" s="32" t="s">
        <v>1796</v>
      </c>
      <c r="C954" s="32" t="s">
        <v>1542</v>
      </c>
      <c r="D954" s="32" t="s">
        <v>1842</v>
      </c>
      <c r="E954" s="32" t="s">
        <v>1471</v>
      </c>
      <c r="F954" s="32" t="s">
        <v>1752</v>
      </c>
      <c r="G954" s="32">
        <f>IFERROR(INDEX(Ship!A$31:B$4500,MATCH(C954,Ship!A$31:A$4500,0),2),0)</f>
        <v>72</v>
      </c>
    </row>
    <row r="955" spans="1:7" x14ac:dyDescent="0.3">
      <c r="A955" s="32" t="s">
        <v>1795</v>
      </c>
      <c r="B955" s="32" t="s">
        <v>1796</v>
      </c>
      <c r="C955" s="32" t="s">
        <v>1541</v>
      </c>
      <c r="D955" s="32" t="s">
        <v>1841</v>
      </c>
      <c r="E955" s="32" t="s">
        <v>1471</v>
      </c>
      <c r="F955" s="32" t="s">
        <v>1752</v>
      </c>
      <c r="G955" s="32">
        <f>IFERROR(INDEX(Ship!A$31:B$4500,MATCH(C955,Ship!A$31:A$4500,0),2),0)</f>
        <v>0</v>
      </c>
    </row>
    <row r="956" spans="1:7" x14ac:dyDescent="0.3">
      <c r="A956" s="32" t="s">
        <v>1795</v>
      </c>
      <c r="B956" s="32" t="s">
        <v>1796</v>
      </c>
      <c r="C956" s="32" t="s">
        <v>1336</v>
      </c>
      <c r="D956" s="32" t="s">
        <v>1840</v>
      </c>
      <c r="E956" s="32" t="s">
        <v>1471</v>
      </c>
      <c r="F956" s="32" t="s">
        <v>1752</v>
      </c>
      <c r="G956" s="32">
        <f>IFERROR(INDEX(Ship!A$31:B$4500,MATCH(C956,Ship!A$31:A$4500,0),2),0)</f>
        <v>7</v>
      </c>
    </row>
    <row r="957" spans="1:7" x14ac:dyDescent="0.3">
      <c r="A957" s="32" t="s">
        <v>1795</v>
      </c>
      <c r="B957" s="32" t="s">
        <v>1796</v>
      </c>
      <c r="C957" s="32" t="s">
        <v>1544</v>
      </c>
      <c r="D957" s="32" t="s">
        <v>1839</v>
      </c>
      <c r="E957" s="32" t="s">
        <v>1471</v>
      </c>
      <c r="F957" s="32" t="s">
        <v>1752</v>
      </c>
      <c r="G957" s="32">
        <f>IFERROR(INDEX(Ship!A$31:B$4500,MATCH(C957,Ship!A$31:A$4500,0),2),0)</f>
        <v>0</v>
      </c>
    </row>
    <row r="958" spans="1:7" x14ac:dyDescent="0.3">
      <c r="A958" s="32" t="s">
        <v>1795</v>
      </c>
      <c r="B958" s="32" t="s">
        <v>1796</v>
      </c>
      <c r="C958" s="32" t="s">
        <v>1543</v>
      </c>
      <c r="D958" s="32" t="s">
        <v>1838</v>
      </c>
      <c r="E958" s="32" t="s">
        <v>1471</v>
      </c>
      <c r="F958" s="32" t="s">
        <v>1752</v>
      </c>
      <c r="G958" s="32">
        <f>IFERROR(INDEX(Ship!A$31:B$4500,MATCH(C958,Ship!A$31:A$4500,0),2),0)</f>
        <v>1</v>
      </c>
    </row>
    <row r="959" spans="1:7" x14ac:dyDescent="0.3">
      <c r="A959" s="32" t="s">
        <v>1795</v>
      </c>
      <c r="B959" s="32" t="s">
        <v>1796</v>
      </c>
      <c r="C959" s="32" t="s">
        <v>1337</v>
      </c>
      <c r="D959" s="32" t="s">
        <v>1837</v>
      </c>
      <c r="E959" s="32" t="s">
        <v>1471</v>
      </c>
      <c r="F959" s="32" t="s">
        <v>1752</v>
      </c>
      <c r="G959" s="32">
        <f>IFERROR(INDEX(Ship!A$31:B$4500,MATCH(C959,Ship!A$31:A$4500,0),2),0)</f>
        <v>0</v>
      </c>
    </row>
    <row r="960" spans="1:7" x14ac:dyDescent="0.3">
      <c r="A960" s="32" t="s">
        <v>1795</v>
      </c>
      <c r="B960" s="32" t="s">
        <v>1796</v>
      </c>
      <c r="C960" s="32" t="s">
        <v>1546</v>
      </c>
      <c r="D960" s="32" t="s">
        <v>1836</v>
      </c>
      <c r="E960" s="32" t="s">
        <v>1471</v>
      </c>
      <c r="F960" s="32" t="s">
        <v>1752</v>
      </c>
      <c r="G960" s="32">
        <f>IFERROR(INDEX(Ship!A$31:B$4500,MATCH(C960,Ship!A$31:A$4500,0),2),0)</f>
        <v>123</v>
      </c>
    </row>
    <row r="961" spans="1:7" x14ac:dyDescent="0.3">
      <c r="A961" s="32" t="s">
        <v>1795</v>
      </c>
      <c r="B961" s="32" t="s">
        <v>1796</v>
      </c>
      <c r="C961" s="32" t="s">
        <v>1545</v>
      </c>
      <c r="D961" s="32" t="s">
        <v>1835</v>
      </c>
      <c r="E961" s="32" t="s">
        <v>1471</v>
      </c>
      <c r="F961" s="32" t="s">
        <v>1752</v>
      </c>
      <c r="G961" s="32">
        <f>IFERROR(INDEX(Ship!A$31:B$4500,MATCH(C961,Ship!A$31:A$4500,0),2),0)</f>
        <v>0</v>
      </c>
    </row>
    <row r="962" spans="1:7" x14ac:dyDescent="0.3">
      <c r="A962" s="32" t="s">
        <v>1795</v>
      </c>
      <c r="B962" s="32" t="s">
        <v>1796</v>
      </c>
      <c r="C962" s="32" t="s">
        <v>1338</v>
      </c>
      <c r="D962" s="32" t="s">
        <v>1834</v>
      </c>
      <c r="E962" s="32" t="s">
        <v>1471</v>
      </c>
      <c r="F962" s="32" t="s">
        <v>1752</v>
      </c>
      <c r="G962" s="32">
        <f>IFERROR(INDEX(Ship!A$31:B$4500,MATCH(C962,Ship!A$31:A$4500,0),2),0)</f>
        <v>3</v>
      </c>
    </row>
    <row r="963" spans="1:7" x14ac:dyDescent="0.3">
      <c r="A963" s="32" t="s">
        <v>1795</v>
      </c>
      <c r="B963" s="32" t="s">
        <v>1796</v>
      </c>
      <c r="C963" s="32" t="s">
        <v>1548</v>
      </c>
      <c r="D963" s="32" t="s">
        <v>1833</v>
      </c>
      <c r="E963" s="32" t="s">
        <v>1471</v>
      </c>
      <c r="F963" s="32" t="s">
        <v>1752</v>
      </c>
      <c r="G963" s="32">
        <f>IFERROR(INDEX(Ship!A$31:B$4500,MATCH(C963,Ship!A$31:A$4500,0),2),0)</f>
        <v>0</v>
      </c>
    </row>
    <row r="964" spans="1:7" x14ac:dyDescent="0.3">
      <c r="A964" s="32" t="s">
        <v>1795</v>
      </c>
      <c r="B964" s="32" t="s">
        <v>1796</v>
      </c>
      <c r="C964" s="32" t="s">
        <v>1547</v>
      </c>
      <c r="D964" s="32" t="s">
        <v>1832</v>
      </c>
      <c r="E964" s="32" t="s">
        <v>1471</v>
      </c>
      <c r="F964" s="32" t="s">
        <v>1752</v>
      </c>
      <c r="G964" s="32">
        <f>IFERROR(INDEX(Ship!A$31:B$4500,MATCH(C964,Ship!A$31:A$4500,0),2),0)</f>
        <v>14</v>
      </c>
    </row>
    <row r="965" spans="1:7" x14ac:dyDescent="0.3">
      <c r="A965" s="32" t="s">
        <v>1795</v>
      </c>
      <c r="B965" s="32" t="s">
        <v>1796</v>
      </c>
      <c r="C965" s="32" t="s">
        <v>1339</v>
      </c>
      <c r="D965" s="32" t="s">
        <v>1831</v>
      </c>
      <c r="E965" s="32" t="s">
        <v>1471</v>
      </c>
      <c r="F965" s="32" t="s">
        <v>1752</v>
      </c>
      <c r="G965" s="32">
        <f>IFERROR(INDEX(Ship!A$31:B$4500,MATCH(C965,Ship!A$31:A$4500,0),2),0)</f>
        <v>0</v>
      </c>
    </row>
    <row r="966" spans="1:7" x14ac:dyDescent="0.3">
      <c r="A966" s="32" t="s">
        <v>1795</v>
      </c>
      <c r="B966" s="32" t="s">
        <v>1796</v>
      </c>
      <c r="C966" s="32" t="s">
        <v>1550</v>
      </c>
      <c r="D966" s="32" t="s">
        <v>1830</v>
      </c>
      <c r="E966" s="32" t="s">
        <v>1471</v>
      </c>
      <c r="F966" s="32" t="s">
        <v>1752</v>
      </c>
      <c r="G966" s="32">
        <f>IFERROR(INDEX(Ship!A$31:B$4500,MATCH(C966,Ship!A$31:A$4500,0),2),0)</f>
        <v>0</v>
      </c>
    </row>
    <row r="967" spans="1:7" x14ac:dyDescent="0.3">
      <c r="A967" s="32" t="s">
        <v>1795</v>
      </c>
      <c r="B967" s="32" t="s">
        <v>1796</v>
      </c>
      <c r="C967" s="32" t="s">
        <v>1549</v>
      </c>
      <c r="D967" s="32" t="s">
        <v>1829</v>
      </c>
      <c r="E967" s="32" t="s">
        <v>1471</v>
      </c>
      <c r="F967" s="32" t="s">
        <v>1752</v>
      </c>
      <c r="G967" s="32">
        <f>IFERROR(INDEX(Ship!A$31:B$4500,MATCH(C967,Ship!A$31:A$4500,0),2),0)</f>
        <v>0</v>
      </c>
    </row>
    <row r="968" spans="1:7" x14ac:dyDescent="0.3">
      <c r="A968" s="32" t="s">
        <v>1795</v>
      </c>
      <c r="B968" s="32" t="s">
        <v>1796</v>
      </c>
      <c r="C968" s="32" t="s">
        <v>1340</v>
      </c>
      <c r="D968" s="32" t="s">
        <v>1828</v>
      </c>
      <c r="E968" s="32" t="s">
        <v>1471</v>
      </c>
      <c r="F968" s="32" t="s">
        <v>1752</v>
      </c>
      <c r="G968" s="32">
        <f>IFERROR(INDEX(Ship!A$31:B$4500,MATCH(C968,Ship!A$31:A$4500,0),2),0)</f>
        <v>154</v>
      </c>
    </row>
    <row r="969" spans="1:7" x14ac:dyDescent="0.3">
      <c r="A969" s="32" t="s">
        <v>1795</v>
      </c>
      <c r="B969" s="32" t="s">
        <v>1796</v>
      </c>
      <c r="C969" s="32" t="s">
        <v>1552</v>
      </c>
      <c r="D969" s="32" t="s">
        <v>1827</v>
      </c>
      <c r="E969" s="32" t="s">
        <v>1471</v>
      </c>
      <c r="F969" s="32" t="s">
        <v>1752</v>
      </c>
      <c r="G969" s="32">
        <f>IFERROR(INDEX(Ship!A$31:B$4500,MATCH(C969,Ship!A$31:A$4500,0),2),0)</f>
        <v>0</v>
      </c>
    </row>
    <row r="970" spans="1:7" x14ac:dyDescent="0.3">
      <c r="A970" s="32" t="s">
        <v>1795</v>
      </c>
      <c r="B970" s="32" t="s">
        <v>1796</v>
      </c>
      <c r="C970" s="32" t="s">
        <v>1551</v>
      </c>
      <c r="D970" s="32" t="s">
        <v>1826</v>
      </c>
      <c r="E970" s="32" t="s">
        <v>1471</v>
      </c>
      <c r="F970" s="32" t="s">
        <v>1752</v>
      </c>
      <c r="G970" s="32">
        <f>IFERROR(INDEX(Ship!A$31:B$4500,MATCH(C970,Ship!A$31:A$4500,0),2),0)</f>
        <v>177</v>
      </c>
    </row>
    <row r="971" spans="1:7" x14ac:dyDescent="0.3">
      <c r="A971" s="32" t="s">
        <v>1795</v>
      </c>
      <c r="B971" s="32" t="s">
        <v>1796</v>
      </c>
      <c r="C971" s="32" t="s">
        <v>1341</v>
      </c>
      <c r="D971" s="32" t="s">
        <v>1825</v>
      </c>
      <c r="E971" s="32" t="s">
        <v>1471</v>
      </c>
      <c r="F971" s="32" t="s">
        <v>1752</v>
      </c>
      <c r="G971" s="32">
        <f>IFERROR(INDEX(Ship!A$31:B$4500,MATCH(C971,Ship!A$31:A$4500,0),2),0)</f>
        <v>0</v>
      </c>
    </row>
    <row r="972" spans="1:7" x14ac:dyDescent="0.3">
      <c r="A972" s="32" t="s">
        <v>1795</v>
      </c>
      <c r="B972" s="32" t="s">
        <v>1796</v>
      </c>
      <c r="C972" s="32" t="s">
        <v>1554</v>
      </c>
      <c r="D972" s="32" t="s">
        <v>1824</v>
      </c>
      <c r="E972" s="32" t="s">
        <v>1471</v>
      </c>
      <c r="F972" s="32" t="s">
        <v>1752</v>
      </c>
      <c r="G972" s="32">
        <f>IFERROR(INDEX(Ship!A$31:B$4500,MATCH(C972,Ship!A$31:A$4500,0),2),0)</f>
        <v>81</v>
      </c>
    </row>
    <row r="973" spans="1:7" x14ac:dyDescent="0.3">
      <c r="A973" s="32" t="s">
        <v>1795</v>
      </c>
      <c r="B973" s="32" t="s">
        <v>1796</v>
      </c>
      <c r="C973" s="32" t="s">
        <v>1553</v>
      </c>
      <c r="D973" s="32" t="s">
        <v>1823</v>
      </c>
      <c r="E973" s="32" t="s">
        <v>1471</v>
      </c>
      <c r="F973" s="32" t="s">
        <v>1752</v>
      </c>
      <c r="G973" s="32">
        <f>IFERROR(INDEX(Ship!A$31:B$4500,MATCH(C973,Ship!A$31:A$4500,0),2),0)</f>
        <v>0</v>
      </c>
    </row>
    <row r="974" spans="1:7" x14ac:dyDescent="0.3">
      <c r="A974" s="32" t="s">
        <v>1795</v>
      </c>
      <c r="B974" s="32" t="s">
        <v>1796</v>
      </c>
      <c r="C974" s="32" t="s">
        <v>1342</v>
      </c>
      <c r="D974" s="32" t="s">
        <v>1822</v>
      </c>
      <c r="E974" s="32" t="s">
        <v>1471</v>
      </c>
      <c r="F974" s="32" t="s">
        <v>1752</v>
      </c>
      <c r="G974" s="32">
        <f>IFERROR(INDEX(Ship!A$31:B$4500,MATCH(C974,Ship!A$31:A$4500,0),2),0)</f>
        <v>0</v>
      </c>
    </row>
    <row r="975" spans="1:7" x14ac:dyDescent="0.3">
      <c r="A975" s="32" t="s">
        <v>1795</v>
      </c>
      <c r="B975" s="32" t="s">
        <v>1796</v>
      </c>
      <c r="C975" s="32" t="s">
        <v>1556</v>
      </c>
      <c r="D975" s="32" t="s">
        <v>1821</v>
      </c>
      <c r="E975" s="32" t="s">
        <v>1471</v>
      </c>
      <c r="F975" s="32" t="s">
        <v>1752</v>
      </c>
      <c r="G975" s="32">
        <f>IFERROR(INDEX(Ship!A$31:B$4500,MATCH(C975,Ship!A$31:A$4500,0),2),0)</f>
        <v>0</v>
      </c>
    </row>
    <row r="976" spans="1:7" x14ac:dyDescent="0.3">
      <c r="A976" s="32" t="s">
        <v>1795</v>
      </c>
      <c r="B976" s="32" t="s">
        <v>1796</v>
      </c>
      <c r="C976" s="32" t="s">
        <v>1555</v>
      </c>
      <c r="D976" s="32" t="s">
        <v>1820</v>
      </c>
      <c r="E976" s="32" t="s">
        <v>1471</v>
      </c>
      <c r="F976" s="32" t="s">
        <v>1752</v>
      </c>
      <c r="G976" s="32">
        <f>IFERROR(INDEX(Ship!A$31:B$4500,MATCH(C976,Ship!A$31:A$4500,0),2),0)</f>
        <v>13</v>
      </c>
    </row>
    <row r="977" spans="1:7" x14ac:dyDescent="0.3">
      <c r="A977" s="32" t="s">
        <v>1795</v>
      </c>
      <c r="B977" s="32" t="s">
        <v>1796</v>
      </c>
      <c r="C977" s="32" t="s">
        <v>1343</v>
      </c>
      <c r="D977" s="32" t="s">
        <v>1819</v>
      </c>
      <c r="E977" s="32" t="s">
        <v>1471</v>
      </c>
      <c r="F977" s="32" t="s">
        <v>1752</v>
      </c>
      <c r="G977" s="32">
        <f>IFERROR(INDEX(Ship!A$31:B$4500,MATCH(C977,Ship!A$31:A$4500,0),2),0)</f>
        <v>0</v>
      </c>
    </row>
    <row r="978" spans="1:7" x14ac:dyDescent="0.3">
      <c r="A978" s="32" t="s">
        <v>1795</v>
      </c>
      <c r="B978" s="32" t="s">
        <v>1796</v>
      </c>
      <c r="C978" s="32" t="s">
        <v>1558</v>
      </c>
      <c r="D978" s="32" t="s">
        <v>1818</v>
      </c>
      <c r="E978" s="32" t="s">
        <v>1471</v>
      </c>
      <c r="F978" s="32" t="s">
        <v>1752</v>
      </c>
      <c r="G978" s="32">
        <f>IFERROR(INDEX(Ship!A$31:B$4500,MATCH(C978,Ship!A$31:A$4500,0),2),0)</f>
        <v>150</v>
      </c>
    </row>
    <row r="979" spans="1:7" x14ac:dyDescent="0.3">
      <c r="A979" s="32" t="s">
        <v>1795</v>
      </c>
      <c r="B979" s="32" t="s">
        <v>1796</v>
      </c>
      <c r="C979" s="32" t="s">
        <v>1557</v>
      </c>
      <c r="D979" s="32" t="s">
        <v>1817</v>
      </c>
      <c r="E979" s="32" t="s">
        <v>1471</v>
      </c>
      <c r="F979" s="32" t="s">
        <v>1752</v>
      </c>
      <c r="G979" s="32">
        <f>IFERROR(INDEX(Ship!A$31:B$4500,MATCH(C979,Ship!A$31:A$4500,0),2),0)</f>
        <v>0</v>
      </c>
    </row>
    <row r="980" spans="1:7" x14ac:dyDescent="0.3">
      <c r="A980" s="32" t="s">
        <v>1795</v>
      </c>
      <c r="B980" s="32" t="s">
        <v>1796</v>
      </c>
      <c r="C980" s="32" t="s">
        <v>1560</v>
      </c>
      <c r="D980" s="32" t="s">
        <v>1816</v>
      </c>
      <c r="E980" s="32" t="s">
        <v>1471</v>
      </c>
      <c r="F980" s="32" t="s">
        <v>1752</v>
      </c>
      <c r="G980" s="32">
        <f>IFERROR(INDEX(Ship!A$31:B$4500,MATCH(C980,Ship!A$31:A$4500,0),2),0)</f>
        <v>3</v>
      </c>
    </row>
    <row r="981" spans="1:7" x14ac:dyDescent="0.3">
      <c r="A981" s="32" t="s">
        <v>1795</v>
      </c>
      <c r="B981" s="32" t="s">
        <v>1796</v>
      </c>
      <c r="C981" s="32" t="s">
        <v>1559</v>
      </c>
      <c r="D981" s="32" t="s">
        <v>1815</v>
      </c>
      <c r="E981" s="32" t="s">
        <v>1471</v>
      </c>
      <c r="F981" s="32" t="s">
        <v>1752</v>
      </c>
      <c r="G981" s="32">
        <f>IFERROR(INDEX(Ship!A$31:B$4500,MATCH(C981,Ship!A$31:A$4500,0),2),0)</f>
        <v>0</v>
      </c>
    </row>
    <row r="982" spans="1:7" x14ac:dyDescent="0.3">
      <c r="A982" s="32" t="s">
        <v>1795</v>
      </c>
      <c r="B982" s="32" t="s">
        <v>1796</v>
      </c>
      <c r="C982" s="32" t="s">
        <v>1344</v>
      </c>
      <c r="D982" s="32" t="s">
        <v>1814</v>
      </c>
      <c r="E982" s="32" t="s">
        <v>1471</v>
      </c>
      <c r="F982" s="32" t="s">
        <v>1752</v>
      </c>
      <c r="G982" s="32">
        <f>IFERROR(INDEX(Ship!A$31:B$4500,MATCH(C982,Ship!A$31:A$4500,0),2),0)</f>
        <v>70</v>
      </c>
    </row>
    <row r="983" spans="1:7" x14ac:dyDescent="0.3">
      <c r="A983" s="32" t="s">
        <v>1795</v>
      </c>
      <c r="B983" s="32" t="s">
        <v>1796</v>
      </c>
      <c r="C983" s="32" t="s">
        <v>1562</v>
      </c>
      <c r="D983" s="32" t="s">
        <v>1813</v>
      </c>
      <c r="E983" s="32" t="s">
        <v>1471</v>
      </c>
      <c r="F983" s="32" t="s">
        <v>1752</v>
      </c>
      <c r="G983" s="32">
        <f>IFERROR(INDEX(Ship!A$31:B$4500,MATCH(C983,Ship!A$31:A$4500,0),2),0)</f>
        <v>0</v>
      </c>
    </row>
    <row r="984" spans="1:7" x14ac:dyDescent="0.3">
      <c r="A984" s="32" t="s">
        <v>1795</v>
      </c>
      <c r="B984" s="32" t="s">
        <v>1796</v>
      </c>
      <c r="C984" s="32" t="s">
        <v>1561</v>
      </c>
      <c r="D984" s="32" t="s">
        <v>1812</v>
      </c>
      <c r="E984" s="32" t="s">
        <v>1471</v>
      </c>
      <c r="F984" s="32" t="s">
        <v>1752</v>
      </c>
      <c r="G984" s="32">
        <f>IFERROR(INDEX(Ship!A$31:B$4500,MATCH(C984,Ship!A$31:A$4500,0),2),0)</f>
        <v>333</v>
      </c>
    </row>
    <row r="985" spans="1:7" x14ac:dyDescent="0.3">
      <c r="A985" s="32" t="s">
        <v>1795</v>
      </c>
      <c r="B985" s="32" t="s">
        <v>1796</v>
      </c>
      <c r="C985" s="32" t="s">
        <v>1345</v>
      </c>
      <c r="D985" s="32" t="s">
        <v>1811</v>
      </c>
      <c r="E985" s="32" t="s">
        <v>1471</v>
      </c>
      <c r="F985" s="32" t="s">
        <v>1752</v>
      </c>
      <c r="G985" s="32">
        <f>IFERROR(INDEX(Ship!A$31:B$4500,MATCH(C985,Ship!A$31:A$4500,0),2),0)</f>
        <v>0</v>
      </c>
    </row>
    <row r="986" spans="1:7" x14ac:dyDescent="0.3">
      <c r="A986" s="32" t="s">
        <v>1795</v>
      </c>
      <c r="B986" s="32" t="s">
        <v>1796</v>
      </c>
      <c r="C986" s="32" t="s">
        <v>1564</v>
      </c>
      <c r="D986" s="32" t="s">
        <v>1810</v>
      </c>
      <c r="E986" s="32" t="s">
        <v>1471</v>
      </c>
      <c r="F986" s="32" t="s">
        <v>1752</v>
      </c>
      <c r="G986" s="32">
        <f>IFERROR(INDEX(Ship!A$31:B$4500,MATCH(C986,Ship!A$31:A$4500,0),2),0)</f>
        <v>40</v>
      </c>
    </row>
    <row r="987" spans="1:7" x14ac:dyDescent="0.3">
      <c r="A987" s="32" t="s">
        <v>1795</v>
      </c>
      <c r="B987" s="32" t="s">
        <v>1796</v>
      </c>
      <c r="C987" s="32" t="s">
        <v>1563</v>
      </c>
      <c r="D987" s="32" t="s">
        <v>1809</v>
      </c>
      <c r="E987" s="32" t="s">
        <v>1471</v>
      </c>
      <c r="F987" s="32" t="s">
        <v>1752</v>
      </c>
      <c r="G987" s="32">
        <f>IFERROR(INDEX(Ship!A$31:B$4500,MATCH(C987,Ship!A$31:A$4500,0),2),0)</f>
        <v>0</v>
      </c>
    </row>
    <row r="988" spans="1:7" x14ac:dyDescent="0.3">
      <c r="A988" s="32" t="s">
        <v>1795</v>
      </c>
      <c r="B988" s="32" t="s">
        <v>1796</v>
      </c>
      <c r="C988" s="32" t="s">
        <v>1346</v>
      </c>
      <c r="D988" s="32" t="s">
        <v>1808</v>
      </c>
      <c r="E988" s="32" t="s">
        <v>1471</v>
      </c>
      <c r="F988" s="32" t="s">
        <v>1752</v>
      </c>
      <c r="G988" s="32">
        <f>IFERROR(INDEX(Ship!A$31:B$4500,MATCH(C988,Ship!A$31:A$4500,0),2),0)</f>
        <v>63</v>
      </c>
    </row>
    <row r="989" spans="1:7" x14ac:dyDescent="0.3">
      <c r="A989" s="32" t="s">
        <v>1795</v>
      </c>
      <c r="B989" s="32" t="s">
        <v>1796</v>
      </c>
      <c r="C989" s="32" t="s">
        <v>1566</v>
      </c>
      <c r="D989" s="32" t="s">
        <v>1807</v>
      </c>
      <c r="E989" s="32" t="s">
        <v>1471</v>
      </c>
      <c r="F989" s="32" t="s">
        <v>1752</v>
      </c>
      <c r="G989" s="32">
        <f>IFERROR(INDEX(Ship!A$31:B$4500,MATCH(C989,Ship!A$31:A$4500,0),2),0)</f>
        <v>0</v>
      </c>
    </row>
    <row r="990" spans="1:7" x14ac:dyDescent="0.3">
      <c r="A990" s="32" t="s">
        <v>1795</v>
      </c>
      <c r="B990" s="32" t="s">
        <v>1796</v>
      </c>
      <c r="C990" s="32" t="s">
        <v>1565</v>
      </c>
      <c r="D990" s="32" t="s">
        <v>1806</v>
      </c>
      <c r="E990" s="32" t="s">
        <v>1471</v>
      </c>
      <c r="F990" s="32" t="s">
        <v>1752</v>
      </c>
      <c r="G990" s="32">
        <f>IFERROR(INDEX(Ship!A$31:B$4500,MATCH(C990,Ship!A$31:A$4500,0),2),0)</f>
        <v>258</v>
      </c>
    </row>
    <row r="991" spans="1:7" x14ac:dyDescent="0.3">
      <c r="A991" s="32" t="s">
        <v>1795</v>
      </c>
      <c r="B991" s="32" t="s">
        <v>1796</v>
      </c>
      <c r="C991" s="32" t="s">
        <v>1347</v>
      </c>
      <c r="D991" s="32" t="s">
        <v>1805</v>
      </c>
      <c r="E991" s="32" t="s">
        <v>1471</v>
      </c>
      <c r="F991" s="32" t="s">
        <v>1752</v>
      </c>
      <c r="G991" s="32">
        <f>IFERROR(INDEX(Ship!A$31:B$4500,MATCH(C991,Ship!A$31:A$4500,0),2),0)</f>
        <v>0</v>
      </c>
    </row>
    <row r="992" spans="1:7" x14ac:dyDescent="0.3">
      <c r="A992" s="32" t="s">
        <v>1795</v>
      </c>
      <c r="B992" s="32" t="s">
        <v>1796</v>
      </c>
      <c r="C992" s="32" t="s">
        <v>1568</v>
      </c>
      <c r="D992" s="32" t="s">
        <v>1804</v>
      </c>
      <c r="E992" s="32" t="s">
        <v>1471</v>
      </c>
      <c r="F992" s="32" t="s">
        <v>1752</v>
      </c>
      <c r="G992" s="32">
        <f>IFERROR(INDEX(Ship!A$31:B$4500,MATCH(C992,Ship!A$31:A$4500,0),2),0)</f>
        <v>190</v>
      </c>
    </row>
    <row r="993" spans="1:7" x14ac:dyDescent="0.3">
      <c r="A993" s="32" t="s">
        <v>1795</v>
      </c>
      <c r="B993" s="32" t="s">
        <v>1796</v>
      </c>
      <c r="C993" s="32" t="s">
        <v>1567</v>
      </c>
      <c r="D993" s="32" t="s">
        <v>1803</v>
      </c>
      <c r="E993" s="32" t="s">
        <v>1471</v>
      </c>
      <c r="F993" s="32" t="s">
        <v>1752</v>
      </c>
      <c r="G993" s="32">
        <f>IFERROR(INDEX(Ship!A$31:B$4500,MATCH(C993,Ship!A$31:A$4500,0),2),0)</f>
        <v>0</v>
      </c>
    </row>
    <row r="994" spans="1:7" x14ac:dyDescent="0.3">
      <c r="A994" s="32" t="s">
        <v>1795</v>
      </c>
      <c r="B994" s="32" t="s">
        <v>1796</v>
      </c>
      <c r="C994" s="32" t="s">
        <v>1348</v>
      </c>
      <c r="D994" s="32" t="s">
        <v>1802</v>
      </c>
      <c r="E994" s="32" t="s">
        <v>1471</v>
      </c>
      <c r="F994" s="32" t="s">
        <v>1752</v>
      </c>
      <c r="G994" s="32">
        <f>IFERROR(INDEX(Ship!A$31:B$4500,MATCH(C994,Ship!A$31:A$4500,0),2),0)</f>
        <v>61</v>
      </c>
    </row>
    <row r="995" spans="1:7" x14ac:dyDescent="0.3">
      <c r="A995" s="32" t="s">
        <v>1795</v>
      </c>
      <c r="B995" s="32" t="s">
        <v>1796</v>
      </c>
      <c r="C995" s="32" t="s">
        <v>1570</v>
      </c>
      <c r="D995" s="32" t="s">
        <v>1801</v>
      </c>
      <c r="E995" s="32" t="s">
        <v>1471</v>
      </c>
      <c r="F995" s="32" t="s">
        <v>1752</v>
      </c>
      <c r="G995" s="32">
        <f>IFERROR(INDEX(Ship!A$31:B$4500,MATCH(C995,Ship!A$31:A$4500,0),2),0)</f>
        <v>0</v>
      </c>
    </row>
    <row r="996" spans="1:7" x14ac:dyDescent="0.3">
      <c r="A996" s="32" t="s">
        <v>1795</v>
      </c>
      <c r="B996" s="32" t="s">
        <v>1796</v>
      </c>
      <c r="C996" s="32" t="s">
        <v>1569</v>
      </c>
      <c r="D996" s="32" t="s">
        <v>1800</v>
      </c>
      <c r="E996" s="32" t="s">
        <v>1471</v>
      </c>
      <c r="F996" s="32" t="s">
        <v>1752</v>
      </c>
      <c r="G996" s="32">
        <f>IFERROR(INDEX(Ship!A$31:B$4500,MATCH(C996,Ship!A$31:A$4500,0),2),0)</f>
        <v>210</v>
      </c>
    </row>
    <row r="997" spans="1:7" x14ac:dyDescent="0.3">
      <c r="A997" s="32" t="s">
        <v>1795</v>
      </c>
      <c r="B997" s="32" t="s">
        <v>1796</v>
      </c>
      <c r="C997" s="32" t="s">
        <v>1349</v>
      </c>
      <c r="D997" s="32" t="s">
        <v>1799</v>
      </c>
      <c r="E997" s="32" t="s">
        <v>1471</v>
      </c>
      <c r="F997" s="32" t="s">
        <v>1752</v>
      </c>
      <c r="G997" s="32">
        <f>IFERROR(INDEX(Ship!A$31:B$4500,MATCH(C997,Ship!A$31:A$4500,0),2),0)</f>
        <v>0</v>
      </c>
    </row>
    <row r="998" spans="1:7" x14ac:dyDescent="0.3">
      <c r="A998" s="32" t="s">
        <v>1795</v>
      </c>
      <c r="B998" s="32" t="s">
        <v>1796</v>
      </c>
      <c r="C998" s="32" t="s">
        <v>1572</v>
      </c>
      <c r="D998" s="32" t="s">
        <v>1798</v>
      </c>
      <c r="E998" s="32" t="s">
        <v>1471</v>
      </c>
      <c r="F998" s="32" t="s">
        <v>1752</v>
      </c>
      <c r="G998" s="32">
        <f>IFERROR(INDEX(Ship!A$31:B$4500,MATCH(C998,Ship!A$31:A$4500,0),2),0)</f>
        <v>25</v>
      </c>
    </row>
    <row r="999" spans="1:7" x14ac:dyDescent="0.3">
      <c r="A999" s="32" t="s">
        <v>1795</v>
      </c>
      <c r="B999" s="32" t="s">
        <v>1796</v>
      </c>
      <c r="C999" s="32" t="s">
        <v>1571</v>
      </c>
      <c r="D999" s="32" t="s">
        <v>1797</v>
      </c>
      <c r="E999" s="32" t="s">
        <v>1471</v>
      </c>
      <c r="F999" s="32" t="s">
        <v>1752</v>
      </c>
      <c r="G999" s="32">
        <f>IFERROR(INDEX(Ship!A$31:B$4500,MATCH(C999,Ship!A$31:A$4500,0),2),0)</f>
        <v>0</v>
      </c>
    </row>
  </sheetData>
  <sortState ref="A2:G999">
    <sortCondition ref="F2:F99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42"/>
  <sheetViews>
    <sheetView workbookViewId="0">
      <selection sqref="A1:A1048576"/>
    </sheetView>
  </sheetViews>
  <sheetFormatPr defaultRowHeight="14.4" x14ac:dyDescent="0.3"/>
  <cols>
    <col min="1" max="1" width="80.77734375" customWidth="1"/>
    <col min="2" max="2" width="31.77734375" bestFit="1" customWidth="1"/>
    <col min="5" max="5" width="30.6640625" bestFit="1" customWidth="1"/>
  </cols>
  <sheetData>
    <row r="1" spans="1:18" x14ac:dyDescent="0.3">
      <c r="A1" s="22" t="s">
        <v>82</v>
      </c>
      <c r="B1" s="22" t="s">
        <v>83</v>
      </c>
      <c r="C1" t="s">
        <v>84</v>
      </c>
      <c r="D1" t="s">
        <v>85</v>
      </c>
      <c r="E1" t="s">
        <v>79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  <c r="M1" t="s">
        <v>93</v>
      </c>
      <c r="N1" t="s">
        <v>94</v>
      </c>
      <c r="O1" t="s">
        <v>95</v>
      </c>
      <c r="P1" t="s">
        <v>96</v>
      </c>
      <c r="Q1" t="s">
        <v>80</v>
      </c>
      <c r="R1" t="s">
        <v>97</v>
      </c>
    </row>
    <row r="2" spans="1:18" x14ac:dyDescent="0.3">
      <c r="A2" s="22" t="s">
        <v>74</v>
      </c>
      <c r="B2" s="22" t="s">
        <v>99</v>
      </c>
      <c r="C2" t="s">
        <v>98</v>
      </c>
      <c r="D2">
        <v>0</v>
      </c>
      <c r="E2" t="s">
        <v>100</v>
      </c>
      <c r="F2" t="s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101</v>
      </c>
      <c r="M2">
        <v>40309</v>
      </c>
      <c r="N2">
        <v>0</v>
      </c>
      <c r="O2" t="s">
        <v>102</v>
      </c>
      <c r="P2" t="s">
        <v>103</v>
      </c>
      <c r="Q2">
        <v>40309</v>
      </c>
      <c r="R2">
        <v>0</v>
      </c>
    </row>
    <row r="3" spans="1:18" x14ac:dyDescent="0.3">
      <c r="A3" s="22" t="s">
        <v>74</v>
      </c>
      <c r="B3" s="22" t="s">
        <v>66</v>
      </c>
      <c r="C3" t="s">
        <v>98</v>
      </c>
      <c r="D3">
        <v>0</v>
      </c>
      <c r="E3" t="s">
        <v>100</v>
      </c>
      <c r="F3" t="s">
        <v>100</v>
      </c>
      <c r="G3">
        <v>0</v>
      </c>
      <c r="H3">
        <v>0</v>
      </c>
      <c r="I3">
        <v>0</v>
      </c>
      <c r="J3">
        <v>0</v>
      </c>
      <c r="K3">
        <v>0</v>
      </c>
      <c r="L3" t="s">
        <v>101</v>
      </c>
      <c r="M3">
        <v>10475</v>
      </c>
      <c r="N3">
        <v>0</v>
      </c>
      <c r="O3" t="s">
        <v>102</v>
      </c>
      <c r="P3" t="s">
        <v>103</v>
      </c>
      <c r="Q3">
        <v>10475</v>
      </c>
      <c r="R3">
        <v>0</v>
      </c>
    </row>
    <row r="4" spans="1:18" x14ac:dyDescent="0.3">
      <c r="A4" s="22" t="s">
        <v>74</v>
      </c>
      <c r="B4" s="22" t="s">
        <v>66</v>
      </c>
      <c r="C4" t="s">
        <v>98</v>
      </c>
      <c r="D4">
        <v>100796285</v>
      </c>
      <c r="E4" t="s">
        <v>5579</v>
      </c>
      <c r="F4" t="s">
        <v>5563</v>
      </c>
      <c r="G4">
        <v>0</v>
      </c>
      <c r="H4">
        <v>0</v>
      </c>
      <c r="I4">
        <v>0</v>
      </c>
      <c r="J4">
        <v>0</v>
      </c>
      <c r="K4">
        <v>1.25</v>
      </c>
      <c r="L4" t="s">
        <v>101</v>
      </c>
      <c r="M4">
        <v>0</v>
      </c>
      <c r="N4">
        <v>0</v>
      </c>
      <c r="O4" t="s">
        <v>102</v>
      </c>
      <c r="P4" t="s">
        <v>103</v>
      </c>
      <c r="Q4">
        <v>0</v>
      </c>
      <c r="R4">
        <v>0</v>
      </c>
    </row>
    <row r="5" spans="1:18" x14ac:dyDescent="0.3">
      <c r="A5" s="22" t="s">
        <v>74</v>
      </c>
      <c r="B5" s="22" t="s">
        <v>66</v>
      </c>
      <c r="C5" t="s">
        <v>98</v>
      </c>
      <c r="D5">
        <v>100882950</v>
      </c>
      <c r="E5" t="s">
        <v>5888</v>
      </c>
      <c r="F5" t="s">
        <v>5595</v>
      </c>
      <c r="G5">
        <v>0</v>
      </c>
      <c r="H5">
        <v>0</v>
      </c>
      <c r="I5">
        <v>0</v>
      </c>
      <c r="J5">
        <v>0</v>
      </c>
      <c r="K5">
        <v>3.93</v>
      </c>
      <c r="L5" t="s">
        <v>101</v>
      </c>
      <c r="M5">
        <v>0</v>
      </c>
      <c r="N5">
        <v>0</v>
      </c>
      <c r="O5" t="s">
        <v>102</v>
      </c>
      <c r="P5" t="s">
        <v>103</v>
      </c>
      <c r="Q5">
        <v>0</v>
      </c>
      <c r="R5">
        <v>0</v>
      </c>
    </row>
    <row r="6" spans="1:18" x14ac:dyDescent="0.3">
      <c r="A6" s="22" t="s">
        <v>74</v>
      </c>
      <c r="B6" s="22" t="s">
        <v>66</v>
      </c>
      <c r="C6" t="s">
        <v>98</v>
      </c>
      <c r="D6">
        <v>103569927</v>
      </c>
      <c r="E6" t="s">
        <v>5921</v>
      </c>
      <c r="F6" t="s">
        <v>5169</v>
      </c>
      <c r="G6">
        <v>0</v>
      </c>
      <c r="H6">
        <v>0</v>
      </c>
      <c r="I6">
        <v>0</v>
      </c>
      <c r="J6">
        <v>0</v>
      </c>
      <c r="K6">
        <v>5.5</v>
      </c>
      <c r="L6" t="s">
        <v>101</v>
      </c>
      <c r="M6">
        <v>0</v>
      </c>
      <c r="N6">
        <v>0</v>
      </c>
      <c r="O6" t="s">
        <v>102</v>
      </c>
      <c r="P6" t="s">
        <v>103</v>
      </c>
      <c r="Q6">
        <v>0</v>
      </c>
      <c r="R6">
        <v>0</v>
      </c>
    </row>
    <row r="7" spans="1:18" x14ac:dyDescent="0.3">
      <c r="A7" s="22" t="s">
        <v>74</v>
      </c>
      <c r="B7" t="s">
        <v>66</v>
      </c>
      <c r="C7" t="s">
        <v>98</v>
      </c>
      <c r="D7">
        <v>103724462</v>
      </c>
      <c r="E7" t="s">
        <v>5929</v>
      </c>
      <c r="F7" t="s">
        <v>5595</v>
      </c>
      <c r="G7">
        <v>0</v>
      </c>
      <c r="H7">
        <v>0</v>
      </c>
      <c r="I7">
        <v>0</v>
      </c>
      <c r="J7">
        <v>0</v>
      </c>
      <c r="K7">
        <v>5.01</v>
      </c>
      <c r="L7" t="s">
        <v>101</v>
      </c>
      <c r="M7">
        <v>0</v>
      </c>
      <c r="N7">
        <v>0</v>
      </c>
      <c r="O7" t="s">
        <v>102</v>
      </c>
      <c r="P7" t="s">
        <v>103</v>
      </c>
      <c r="Q7">
        <v>0</v>
      </c>
      <c r="R7">
        <v>0</v>
      </c>
    </row>
    <row r="8" spans="1:18" x14ac:dyDescent="0.3">
      <c r="A8" s="22" t="s">
        <v>74</v>
      </c>
      <c r="B8" t="s">
        <v>66</v>
      </c>
      <c r="C8" t="s">
        <v>98</v>
      </c>
      <c r="D8">
        <v>104118810</v>
      </c>
      <c r="E8" t="s">
        <v>5625</v>
      </c>
      <c r="F8" t="s">
        <v>5169</v>
      </c>
      <c r="G8">
        <v>0</v>
      </c>
      <c r="H8">
        <v>0</v>
      </c>
      <c r="I8">
        <v>0</v>
      </c>
      <c r="J8">
        <v>0</v>
      </c>
      <c r="K8">
        <v>3.1</v>
      </c>
      <c r="L8" t="s">
        <v>101</v>
      </c>
      <c r="M8">
        <v>0</v>
      </c>
      <c r="N8">
        <v>0</v>
      </c>
      <c r="O8" t="s">
        <v>102</v>
      </c>
      <c r="P8" t="s">
        <v>103</v>
      </c>
      <c r="Q8">
        <v>0</v>
      </c>
      <c r="R8">
        <v>0</v>
      </c>
    </row>
    <row r="9" spans="1:18" x14ac:dyDescent="0.3">
      <c r="A9" s="22" t="s">
        <v>74</v>
      </c>
      <c r="B9" t="s">
        <v>66</v>
      </c>
      <c r="C9" t="s">
        <v>98</v>
      </c>
      <c r="D9">
        <v>106657435</v>
      </c>
      <c r="E9" t="s">
        <v>5930</v>
      </c>
      <c r="F9" t="s">
        <v>5595</v>
      </c>
      <c r="G9">
        <v>0</v>
      </c>
      <c r="H9">
        <v>0</v>
      </c>
      <c r="I9">
        <v>0</v>
      </c>
      <c r="J9">
        <v>0</v>
      </c>
      <c r="K9">
        <v>2.4300000000000002</v>
      </c>
      <c r="L9" t="s">
        <v>101</v>
      </c>
      <c r="M9">
        <v>49</v>
      </c>
      <c r="N9">
        <v>20.149999999999999</v>
      </c>
      <c r="O9" t="s">
        <v>102</v>
      </c>
      <c r="P9" t="s">
        <v>103</v>
      </c>
      <c r="Q9">
        <v>49</v>
      </c>
      <c r="R9">
        <v>20.149999999999999</v>
      </c>
    </row>
    <row r="10" spans="1:18" x14ac:dyDescent="0.3">
      <c r="A10" s="22" t="s">
        <v>74</v>
      </c>
      <c r="B10" t="s">
        <v>66</v>
      </c>
      <c r="C10" t="s">
        <v>98</v>
      </c>
      <c r="D10">
        <v>106853252</v>
      </c>
      <c r="E10" t="s">
        <v>5626</v>
      </c>
      <c r="F10" t="s">
        <v>5169</v>
      </c>
      <c r="G10">
        <v>0</v>
      </c>
      <c r="H10">
        <v>0</v>
      </c>
      <c r="I10">
        <v>0</v>
      </c>
      <c r="J10">
        <v>0</v>
      </c>
      <c r="K10">
        <v>5.5</v>
      </c>
      <c r="L10" t="s">
        <v>101</v>
      </c>
      <c r="M10">
        <v>0</v>
      </c>
      <c r="N10">
        <v>0</v>
      </c>
      <c r="O10" t="s">
        <v>102</v>
      </c>
      <c r="P10" t="s">
        <v>103</v>
      </c>
      <c r="Q10">
        <v>0</v>
      </c>
      <c r="R10">
        <v>0</v>
      </c>
    </row>
    <row r="11" spans="1:18" x14ac:dyDescent="0.3">
      <c r="A11" s="22" t="s">
        <v>74</v>
      </c>
      <c r="B11" t="s">
        <v>66</v>
      </c>
      <c r="C11" t="s">
        <v>98</v>
      </c>
      <c r="D11">
        <v>106889408</v>
      </c>
      <c r="E11" t="s">
        <v>5628</v>
      </c>
      <c r="F11" t="s">
        <v>5169</v>
      </c>
      <c r="G11">
        <v>0</v>
      </c>
      <c r="H11">
        <v>0</v>
      </c>
      <c r="I11">
        <v>0</v>
      </c>
      <c r="J11">
        <v>0</v>
      </c>
      <c r="K11">
        <v>3.97</v>
      </c>
      <c r="L11" t="s">
        <v>101</v>
      </c>
      <c r="M11">
        <v>0</v>
      </c>
      <c r="N11">
        <v>0</v>
      </c>
      <c r="O11" t="s">
        <v>102</v>
      </c>
      <c r="P11" t="s">
        <v>103</v>
      </c>
      <c r="Q11">
        <v>0</v>
      </c>
      <c r="R11">
        <v>0</v>
      </c>
    </row>
    <row r="12" spans="1:18" x14ac:dyDescent="0.3">
      <c r="A12" s="22" t="s">
        <v>74</v>
      </c>
      <c r="B12" t="s">
        <v>66</v>
      </c>
      <c r="C12" t="s">
        <v>98</v>
      </c>
      <c r="D12">
        <v>108144642</v>
      </c>
      <c r="E12" t="s">
        <v>5925</v>
      </c>
      <c r="F12" t="s">
        <v>5563</v>
      </c>
      <c r="G12">
        <v>0</v>
      </c>
      <c r="H12">
        <v>0</v>
      </c>
      <c r="I12">
        <v>0</v>
      </c>
      <c r="J12">
        <v>0</v>
      </c>
      <c r="K12">
        <v>4.5199999999999996</v>
      </c>
      <c r="L12" t="s">
        <v>101</v>
      </c>
      <c r="M12">
        <v>0</v>
      </c>
      <c r="N12">
        <v>0</v>
      </c>
      <c r="O12" t="s">
        <v>102</v>
      </c>
      <c r="P12" t="s">
        <v>103</v>
      </c>
      <c r="Q12">
        <v>0</v>
      </c>
      <c r="R12">
        <v>0</v>
      </c>
    </row>
    <row r="13" spans="1:18" x14ac:dyDescent="0.3">
      <c r="A13" s="22" t="s">
        <v>74</v>
      </c>
      <c r="B13" t="s">
        <v>66</v>
      </c>
      <c r="C13" t="s">
        <v>98</v>
      </c>
      <c r="D13">
        <v>108146650</v>
      </c>
      <c r="E13" t="s">
        <v>5931</v>
      </c>
      <c r="F13" t="s">
        <v>5918</v>
      </c>
      <c r="G13">
        <v>0</v>
      </c>
      <c r="H13">
        <v>0</v>
      </c>
      <c r="I13">
        <v>0</v>
      </c>
      <c r="J13">
        <v>0</v>
      </c>
      <c r="K13">
        <v>0.23</v>
      </c>
      <c r="L13" t="s">
        <v>101</v>
      </c>
      <c r="M13">
        <v>0</v>
      </c>
      <c r="N13">
        <v>0</v>
      </c>
      <c r="O13" t="s">
        <v>102</v>
      </c>
      <c r="P13" t="s">
        <v>103</v>
      </c>
      <c r="Q13">
        <v>0</v>
      </c>
      <c r="R13">
        <v>0</v>
      </c>
    </row>
    <row r="14" spans="1:18" x14ac:dyDescent="0.3">
      <c r="A14" s="22" t="s">
        <v>74</v>
      </c>
      <c r="B14" t="s">
        <v>66</v>
      </c>
      <c r="C14" t="s">
        <v>98</v>
      </c>
      <c r="D14">
        <v>108183470</v>
      </c>
      <c r="E14" t="s">
        <v>5580</v>
      </c>
      <c r="F14" t="s">
        <v>5563</v>
      </c>
      <c r="G14">
        <v>0</v>
      </c>
      <c r="H14">
        <v>0</v>
      </c>
      <c r="I14">
        <v>0</v>
      </c>
      <c r="J14">
        <v>0</v>
      </c>
      <c r="K14">
        <v>2.06</v>
      </c>
      <c r="L14" t="s">
        <v>101</v>
      </c>
      <c r="M14">
        <v>0</v>
      </c>
      <c r="N14">
        <v>0</v>
      </c>
      <c r="O14" t="s">
        <v>102</v>
      </c>
      <c r="P14" t="s">
        <v>103</v>
      </c>
      <c r="Q14">
        <v>0</v>
      </c>
      <c r="R14">
        <v>0</v>
      </c>
    </row>
    <row r="15" spans="1:18" x14ac:dyDescent="0.3">
      <c r="A15" s="22" t="s">
        <v>74</v>
      </c>
      <c r="B15" t="s">
        <v>66</v>
      </c>
      <c r="C15" t="s">
        <v>98</v>
      </c>
      <c r="D15">
        <v>108208895</v>
      </c>
      <c r="E15" t="s">
        <v>5890</v>
      </c>
      <c r="F15" t="s">
        <v>5595</v>
      </c>
      <c r="G15">
        <v>0</v>
      </c>
      <c r="H15">
        <v>0</v>
      </c>
      <c r="I15">
        <v>0</v>
      </c>
      <c r="J15">
        <v>0</v>
      </c>
      <c r="K15">
        <v>4.74</v>
      </c>
      <c r="L15" t="s">
        <v>101</v>
      </c>
      <c r="M15">
        <v>0</v>
      </c>
      <c r="N15">
        <v>0</v>
      </c>
      <c r="O15" t="s">
        <v>102</v>
      </c>
      <c r="P15" t="s">
        <v>103</v>
      </c>
      <c r="Q15">
        <v>0</v>
      </c>
      <c r="R15">
        <v>0</v>
      </c>
    </row>
    <row r="16" spans="1:18" x14ac:dyDescent="0.3">
      <c r="A16" s="22" t="s">
        <v>74</v>
      </c>
      <c r="B16" t="s">
        <v>66</v>
      </c>
      <c r="C16" t="s">
        <v>98</v>
      </c>
      <c r="D16">
        <v>108221062</v>
      </c>
      <c r="E16" t="s">
        <v>5891</v>
      </c>
      <c r="F16" t="s">
        <v>5169</v>
      </c>
      <c r="G16">
        <v>0</v>
      </c>
      <c r="H16">
        <v>0</v>
      </c>
      <c r="I16">
        <v>0</v>
      </c>
      <c r="J16">
        <v>0</v>
      </c>
      <c r="K16">
        <v>3.16</v>
      </c>
      <c r="L16" t="s">
        <v>101</v>
      </c>
      <c r="M16">
        <v>0</v>
      </c>
      <c r="N16">
        <v>0</v>
      </c>
      <c r="O16" t="s">
        <v>102</v>
      </c>
      <c r="P16" t="s">
        <v>103</v>
      </c>
      <c r="Q16">
        <v>0</v>
      </c>
      <c r="R16">
        <v>0</v>
      </c>
    </row>
    <row r="17" spans="1:18" x14ac:dyDescent="0.3">
      <c r="A17" s="22" t="s">
        <v>74</v>
      </c>
      <c r="B17" t="s">
        <v>66</v>
      </c>
      <c r="C17" t="s">
        <v>98</v>
      </c>
      <c r="D17">
        <v>108309887</v>
      </c>
      <c r="E17" t="s">
        <v>5932</v>
      </c>
      <c r="F17" t="s">
        <v>5563</v>
      </c>
      <c r="G17">
        <v>0</v>
      </c>
      <c r="H17">
        <v>0</v>
      </c>
      <c r="I17">
        <v>0</v>
      </c>
      <c r="J17">
        <v>0</v>
      </c>
      <c r="K17">
        <v>3.76</v>
      </c>
      <c r="L17" t="s">
        <v>101</v>
      </c>
      <c r="M17">
        <v>0</v>
      </c>
      <c r="N17">
        <v>0</v>
      </c>
      <c r="O17" t="s">
        <v>102</v>
      </c>
      <c r="P17" t="s">
        <v>103</v>
      </c>
      <c r="Q17">
        <v>0</v>
      </c>
      <c r="R17">
        <v>0</v>
      </c>
    </row>
    <row r="18" spans="1:18" x14ac:dyDescent="0.3">
      <c r="A18" s="22" t="s">
        <v>74</v>
      </c>
      <c r="B18" t="s">
        <v>66</v>
      </c>
      <c r="C18" t="s">
        <v>98</v>
      </c>
      <c r="D18">
        <v>108493028</v>
      </c>
      <c r="E18" t="s">
        <v>5629</v>
      </c>
      <c r="F18" t="s">
        <v>5169</v>
      </c>
      <c r="G18">
        <v>0</v>
      </c>
      <c r="H18">
        <v>0</v>
      </c>
      <c r="I18">
        <v>0</v>
      </c>
      <c r="J18">
        <v>0</v>
      </c>
      <c r="K18">
        <v>0.51</v>
      </c>
      <c r="L18" t="s">
        <v>101</v>
      </c>
      <c r="M18">
        <v>0</v>
      </c>
      <c r="N18">
        <v>0</v>
      </c>
      <c r="O18" t="s">
        <v>102</v>
      </c>
      <c r="P18" t="s">
        <v>103</v>
      </c>
      <c r="Q18">
        <v>0</v>
      </c>
      <c r="R18">
        <v>0</v>
      </c>
    </row>
    <row r="19" spans="1:18" x14ac:dyDescent="0.3">
      <c r="A19" s="22" t="s">
        <v>74</v>
      </c>
      <c r="B19" t="s">
        <v>66</v>
      </c>
      <c r="C19" t="s">
        <v>98</v>
      </c>
      <c r="D19">
        <v>108567550</v>
      </c>
      <c r="E19" t="s">
        <v>5627</v>
      </c>
      <c r="F19" t="s">
        <v>5563</v>
      </c>
      <c r="G19">
        <v>0</v>
      </c>
      <c r="H19">
        <v>0</v>
      </c>
      <c r="I19">
        <v>0</v>
      </c>
      <c r="J19">
        <v>0</v>
      </c>
      <c r="K19">
        <v>1.59</v>
      </c>
      <c r="L19" t="s">
        <v>101</v>
      </c>
      <c r="M19">
        <v>0</v>
      </c>
      <c r="N19">
        <v>0</v>
      </c>
      <c r="O19" t="s">
        <v>102</v>
      </c>
      <c r="P19" t="s">
        <v>103</v>
      </c>
      <c r="Q19">
        <v>0</v>
      </c>
      <c r="R19">
        <v>0</v>
      </c>
    </row>
    <row r="20" spans="1:18" x14ac:dyDescent="0.3">
      <c r="A20" s="22" t="s">
        <v>74</v>
      </c>
      <c r="B20" t="s">
        <v>66</v>
      </c>
      <c r="C20" t="s">
        <v>98</v>
      </c>
      <c r="D20">
        <v>108836581</v>
      </c>
      <c r="E20" t="s">
        <v>5647</v>
      </c>
      <c r="F20" t="s">
        <v>5563</v>
      </c>
      <c r="G20">
        <v>0</v>
      </c>
      <c r="H20">
        <v>0</v>
      </c>
      <c r="I20">
        <v>0</v>
      </c>
      <c r="J20">
        <v>0</v>
      </c>
      <c r="K20">
        <v>1.92</v>
      </c>
      <c r="L20" t="s">
        <v>101</v>
      </c>
      <c r="M20">
        <v>0</v>
      </c>
      <c r="N20">
        <v>0</v>
      </c>
      <c r="O20" t="s">
        <v>102</v>
      </c>
      <c r="P20" t="s">
        <v>103</v>
      </c>
      <c r="Q20">
        <v>0</v>
      </c>
      <c r="R20">
        <v>0</v>
      </c>
    </row>
    <row r="21" spans="1:18" x14ac:dyDescent="0.3">
      <c r="A21" s="22" t="s">
        <v>74</v>
      </c>
      <c r="B21" t="s">
        <v>66</v>
      </c>
      <c r="C21" t="s">
        <v>98</v>
      </c>
      <c r="D21">
        <v>108838352</v>
      </c>
      <c r="E21" t="s">
        <v>5894</v>
      </c>
      <c r="F21" t="s">
        <v>5169</v>
      </c>
      <c r="G21">
        <v>0</v>
      </c>
      <c r="H21">
        <v>0</v>
      </c>
      <c r="I21">
        <v>0</v>
      </c>
      <c r="J21">
        <v>0</v>
      </c>
      <c r="K21">
        <v>1.2</v>
      </c>
      <c r="L21" t="s">
        <v>101</v>
      </c>
      <c r="M21">
        <v>0</v>
      </c>
      <c r="N21">
        <v>0</v>
      </c>
      <c r="O21" t="s">
        <v>102</v>
      </c>
      <c r="P21" t="s">
        <v>103</v>
      </c>
      <c r="Q21">
        <v>0</v>
      </c>
      <c r="R21">
        <v>0</v>
      </c>
    </row>
    <row r="22" spans="1:18" x14ac:dyDescent="0.3">
      <c r="A22" s="22" t="s">
        <v>74</v>
      </c>
      <c r="B22" t="s">
        <v>66</v>
      </c>
      <c r="C22" t="s">
        <v>98</v>
      </c>
      <c r="D22">
        <v>108883511</v>
      </c>
      <c r="E22" t="s">
        <v>5933</v>
      </c>
      <c r="F22" t="s">
        <v>5595</v>
      </c>
      <c r="G22">
        <v>0</v>
      </c>
      <c r="H22">
        <v>0</v>
      </c>
      <c r="I22">
        <v>0</v>
      </c>
      <c r="J22">
        <v>0</v>
      </c>
      <c r="K22">
        <v>5.5</v>
      </c>
      <c r="L22" t="s">
        <v>101</v>
      </c>
      <c r="M22">
        <v>0</v>
      </c>
      <c r="N22">
        <v>0</v>
      </c>
      <c r="O22" t="s">
        <v>102</v>
      </c>
      <c r="P22" t="s">
        <v>103</v>
      </c>
      <c r="Q22">
        <v>0</v>
      </c>
      <c r="R22">
        <v>0</v>
      </c>
    </row>
    <row r="23" spans="1:18" x14ac:dyDescent="0.3">
      <c r="A23" s="22" t="s">
        <v>74</v>
      </c>
      <c r="B23" t="s">
        <v>66</v>
      </c>
      <c r="C23" t="s">
        <v>98</v>
      </c>
      <c r="D23">
        <v>108909472</v>
      </c>
      <c r="E23" t="s">
        <v>5658</v>
      </c>
      <c r="F23" t="s">
        <v>5169</v>
      </c>
      <c r="G23">
        <v>0</v>
      </c>
      <c r="H23">
        <v>0</v>
      </c>
      <c r="I23">
        <v>0</v>
      </c>
      <c r="J23">
        <v>0</v>
      </c>
      <c r="K23">
        <v>5.5</v>
      </c>
      <c r="L23" t="s">
        <v>101</v>
      </c>
      <c r="M23">
        <v>0</v>
      </c>
      <c r="N23">
        <v>0</v>
      </c>
      <c r="O23" t="s">
        <v>102</v>
      </c>
      <c r="P23" t="s">
        <v>103</v>
      </c>
      <c r="Q23">
        <v>0</v>
      </c>
      <c r="R23">
        <v>0</v>
      </c>
    </row>
    <row r="24" spans="1:18" x14ac:dyDescent="0.3">
      <c r="A24" s="22" t="s">
        <v>74</v>
      </c>
      <c r="B24" t="s">
        <v>66</v>
      </c>
      <c r="C24" t="s">
        <v>98</v>
      </c>
      <c r="D24">
        <v>109400344</v>
      </c>
      <c r="E24" t="s">
        <v>5934</v>
      </c>
      <c r="F24" t="s">
        <v>5935</v>
      </c>
      <c r="G24">
        <v>0</v>
      </c>
      <c r="H24">
        <v>0</v>
      </c>
      <c r="I24">
        <v>0</v>
      </c>
      <c r="J24">
        <v>0</v>
      </c>
      <c r="K24">
        <v>5.1100000000000003</v>
      </c>
      <c r="L24" t="s">
        <v>101</v>
      </c>
      <c r="M24">
        <v>0</v>
      </c>
      <c r="N24">
        <v>0</v>
      </c>
      <c r="O24" t="s">
        <v>102</v>
      </c>
      <c r="P24" t="s">
        <v>103</v>
      </c>
      <c r="Q24">
        <v>0</v>
      </c>
      <c r="R24">
        <v>0</v>
      </c>
    </row>
    <row r="25" spans="1:18" x14ac:dyDescent="0.3">
      <c r="A25" s="22" t="s">
        <v>74</v>
      </c>
      <c r="B25" t="s">
        <v>67</v>
      </c>
      <c r="C25" t="s">
        <v>5892</v>
      </c>
      <c r="D25">
        <v>107283022</v>
      </c>
      <c r="E25" t="s">
        <v>5936</v>
      </c>
      <c r="F25" t="s">
        <v>5937</v>
      </c>
      <c r="G25">
        <v>0</v>
      </c>
      <c r="H25">
        <v>0</v>
      </c>
      <c r="I25">
        <v>0</v>
      </c>
      <c r="J25">
        <v>0</v>
      </c>
      <c r="K25">
        <v>4.5</v>
      </c>
    </row>
    <row r="26" spans="1:18" x14ac:dyDescent="0.3">
      <c r="A26" s="22" t="s">
        <v>74</v>
      </c>
      <c r="B26" t="s">
        <v>67</v>
      </c>
      <c r="C26" t="s">
        <v>98</v>
      </c>
      <c r="D26">
        <v>108850745</v>
      </c>
      <c r="E26" t="s">
        <v>5938</v>
      </c>
      <c r="F26" t="s">
        <v>5939</v>
      </c>
      <c r="G26">
        <v>0</v>
      </c>
      <c r="H26">
        <v>0</v>
      </c>
      <c r="I26">
        <v>0</v>
      </c>
      <c r="J26">
        <v>0</v>
      </c>
      <c r="K26">
        <v>5.5</v>
      </c>
    </row>
    <row r="27" spans="1:18" x14ac:dyDescent="0.3">
      <c r="A27" s="22" t="s">
        <v>74</v>
      </c>
      <c r="B27" t="s">
        <v>67</v>
      </c>
      <c r="C27" t="s">
        <v>98</v>
      </c>
      <c r="D27">
        <v>108988747</v>
      </c>
      <c r="E27" t="s">
        <v>5940</v>
      </c>
      <c r="F27" t="s">
        <v>5595</v>
      </c>
      <c r="G27">
        <v>0</v>
      </c>
      <c r="H27">
        <v>0</v>
      </c>
      <c r="I27">
        <v>0</v>
      </c>
      <c r="J27">
        <v>0</v>
      </c>
      <c r="K27">
        <v>5.5</v>
      </c>
    </row>
    <row r="28" spans="1:18" x14ac:dyDescent="0.3">
      <c r="A28" s="22" t="s">
        <v>74</v>
      </c>
      <c r="B28" t="s">
        <v>67</v>
      </c>
      <c r="C28" t="s">
        <v>98</v>
      </c>
      <c r="D28">
        <v>109124285</v>
      </c>
      <c r="E28" t="s">
        <v>5941</v>
      </c>
      <c r="F28" t="s">
        <v>5942</v>
      </c>
      <c r="G28">
        <v>0</v>
      </c>
      <c r="H28">
        <v>0</v>
      </c>
      <c r="I28">
        <v>0</v>
      </c>
      <c r="J28">
        <v>0</v>
      </c>
      <c r="K28">
        <v>5.5</v>
      </c>
    </row>
    <row r="29" spans="1:18" x14ac:dyDescent="0.3">
      <c r="A29" s="22" t="s">
        <v>74</v>
      </c>
      <c r="B29" t="s">
        <v>68</v>
      </c>
      <c r="C29" t="s">
        <v>98</v>
      </c>
      <c r="D29">
        <v>100072946</v>
      </c>
      <c r="E29" t="s">
        <v>5920</v>
      </c>
      <c r="F29" t="s">
        <v>5578</v>
      </c>
      <c r="G29">
        <v>0</v>
      </c>
      <c r="H29">
        <v>0</v>
      </c>
      <c r="I29">
        <v>0</v>
      </c>
      <c r="J29">
        <v>0</v>
      </c>
      <c r="K29">
        <v>0.2</v>
      </c>
      <c r="L29" t="s">
        <v>4857</v>
      </c>
      <c r="M29">
        <v>0</v>
      </c>
      <c r="N29">
        <v>0</v>
      </c>
      <c r="O29" t="s">
        <v>104</v>
      </c>
      <c r="P29" t="s">
        <v>103</v>
      </c>
      <c r="Q29">
        <v>0</v>
      </c>
      <c r="R29">
        <v>0</v>
      </c>
    </row>
    <row r="30" spans="1:18" x14ac:dyDescent="0.3">
      <c r="A30" s="22" t="s">
        <v>74</v>
      </c>
      <c r="B30" t="s">
        <v>68</v>
      </c>
      <c r="C30" t="s">
        <v>98</v>
      </c>
      <c r="D30">
        <v>100335496</v>
      </c>
      <c r="E30" t="s">
        <v>5887</v>
      </c>
      <c r="F30" t="s">
        <v>5595</v>
      </c>
      <c r="G30">
        <v>0</v>
      </c>
      <c r="H30">
        <v>0</v>
      </c>
      <c r="I30">
        <v>0</v>
      </c>
      <c r="J30">
        <v>0</v>
      </c>
      <c r="K30">
        <v>1.55</v>
      </c>
      <c r="L30" t="s">
        <v>4857</v>
      </c>
      <c r="M30">
        <v>7</v>
      </c>
      <c r="N30">
        <v>4.5199999999999996</v>
      </c>
      <c r="O30" t="s">
        <v>104</v>
      </c>
      <c r="P30" t="s">
        <v>103</v>
      </c>
      <c r="Q30">
        <v>7</v>
      </c>
      <c r="R30">
        <v>4.5199999999999996</v>
      </c>
    </row>
    <row r="31" spans="1:18" x14ac:dyDescent="0.3">
      <c r="A31" s="22" t="s">
        <v>74</v>
      </c>
      <c r="B31" t="s">
        <v>68</v>
      </c>
      <c r="C31" t="s">
        <v>98</v>
      </c>
      <c r="D31">
        <v>100796285</v>
      </c>
      <c r="E31" t="s">
        <v>5579</v>
      </c>
      <c r="F31" t="s">
        <v>5563</v>
      </c>
      <c r="G31">
        <v>0</v>
      </c>
      <c r="H31">
        <v>0</v>
      </c>
      <c r="I31">
        <v>0</v>
      </c>
      <c r="J31">
        <v>0</v>
      </c>
      <c r="K31">
        <v>1.34</v>
      </c>
      <c r="L31" t="s">
        <v>4857</v>
      </c>
      <c r="M31">
        <v>8</v>
      </c>
      <c r="N31">
        <v>5.95</v>
      </c>
      <c r="O31" t="s">
        <v>104</v>
      </c>
      <c r="P31" t="s">
        <v>103</v>
      </c>
      <c r="Q31">
        <v>8</v>
      </c>
      <c r="R31">
        <v>5.95</v>
      </c>
    </row>
    <row r="32" spans="1:18" x14ac:dyDescent="0.3">
      <c r="A32" s="22" t="s">
        <v>74</v>
      </c>
      <c r="B32" t="s">
        <v>68</v>
      </c>
      <c r="C32" t="s">
        <v>98</v>
      </c>
      <c r="D32">
        <v>100882950</v>
      </c>
      <c r="E32" t="s">
        <v>5888</v>
      </c>
      <c r="F32" t="s">
        <v>5595</v>
      </c>
      <c r="G32">
        <v>0</v>
      </c>
      <c r="H32">
        <v>0</v>
      </c>
      <c r="I32">
        <v>0</v>
      </c>
      <c r="J32">
        <v>0</v>
      </c>
      <c r="K32">
        <v>0</v>
      </c>
      <c r="L32" t="s">
        <v>4857</v>
      </c>
      <c r="M32">
        <v>1</v>
      </c>
      <c r="N32">
        <v>0</v>
      </c>
      <c r="O32" t="s">
        <v>104</v>
      </c>
      <c r="P32" t="s">
        <v>103</v>
      </c>
      <c r="Q32">
        <v>1</v>
      </c>
      <c r="R32">
        <v>0</v>
      </c>
    </row>
    <row r="33" spans="1:18" x14ac:dyDescent="0.3">
      <c r="A33" s="22" t="s">
        <v>74</v>
      </c>
      <c r="B33" t="s">
        <v>68</v>
      </c>
      <c r="C33" t="s">
        <v>98</v>
      </c>
      <c r="D33">
        <v>102695292</v>
      </c>
      <c r="E33" t="s">
        <v>5630</v>
      </c>
      <c r="F33" t="s">
        <v>5595</v>
      </c>
      <c r="G33">
        <v>0</v>
      </c>
      <c r="H33">
        <v>0</v>
      </c>
      <c r="I33">
        <v>0</v>
      </c>
      <c r="J33">
        <v>0</v>
      </c>
      <c r="K33">
        <v>0</v>
      </c>
      <c r="L33" t="s">
        <v>4857</v>
      </c>
      <c r="M33">
        <v>1</v>
      </c>
      <c r="N33">
        <v>0</v>
      </c>
      <c r="O33" t="s">
        <v>104</v>
      </c>
      <c r="P33" t="s">
        <v>103</v>
      </c>
      <c r="Q33">
        <v>1</v>
      </c>
      <c r="R33">
        <v>0</v>
      </c>
    </row>
    <row r="34" spans="1:18" x14ac:dyDescent="0.3">
      <c r="A34" s="22" t="s">
        <v>74</v>
      </c>
      <c r="B34" t="s">
        <v>68</v>
      </c>
      <c r="C34" t="s">
        <v>98</v>
      </c>
      <c r="D34">
        <v>103646413</v>
      </c>
      <c r="E34" t="s">
        <v>5924</v>
      </c>
      <c r="F34" t="s">
        <v>5917</v>
      </c>
      <c r="G34">
        <v>0</v>
      </c>
      <c r="H34">
        <v>0</v>
      </c>
      <c r="I34">
        <v>0</v>
      </c>
      <c r="J34">
        <v>0</v>
      </c>
      <c r="K34">
        <v>0.05</v>
      </c>
      <c r="L34" t="s">
        <v>4857</v>
      </c>
      <c r="M34">
        <v>0</v>
      </c>
      <c r="N34">
        <v>0</v>
      </c>
      <c r="O34" t="s">
        <v>104</v>
      </c>
      <c r="P34" t="s">
        <v>103</v>
      </c>
      <c r="Q34">
        <v>0</v>
      </c>
      <c r="R34">
        <v>0</v>
      </c>
    </row>
    <row r="35" spans="1:18" x14ac:dyDescent="0.3">
      <c r="A35" s="22" t="s">
        <v>74</v>
      </c>
      <c r="B35" t="s">
        <v>68</v>
      </c>
      <c r="C35" t="s">
        <v>98</v>
      </c>
      <c r="D35">
        <v>103724462</v>
      </c>
      <c r="E35" t="s">
        <v>5929</v>
      </c>
      <c r="F35" t="s">
        <v>5595</v>
      </c>
      <c r="G35">
        <v>0</v>
      </c>
      <c r="H35">
        <v>0</v>
      </c>
      <c r="I35">
        <v>0</v>
      </c>
      <c r="J35">
        <v>0</v>
      </c>
      <c r="K35">
        <v>0</v>
      </c>
      <c r="L35" t="s">
        <v>4857</v>
      </c>
      <c r="M35">
        <v>2</v>
      </c>
      <c r="N35">
        <v>0</v>
      </c>
      <c r="O35" t="s">
        <v>104</v>
      </c>
      <c r="P35" t="s">
        <v>103</v>
      </c>
      <c r="Q35">
        <v>2</v>
      </c>
      <c r="R35">
        <v>0</v>
      </c>
    </row>
    <row r="36" spans="1:18" x14ac:dyDescent="0.3">
      <c r="A36" s="22" t="s">
        <v>74</v>
      </c>
      <c r="B36" t="s">
        <v>68</v>
      </c>
      <c r="C36" t="s">
        <v>98</v>
      </c>
      <c r="D36">
        <v>104118810</v>
      </c>
      <c r="E36" t="s">
        <v>5625</v>
      </c>
      <c r="F36" t="s">
        <v>5169</v>
      </c>
      <c r="G36">
        <v>0</v>
      </c>
      <c r="H36">
        <v>0</v>
      </c>
      <c r="I36">
        <v>0</v>
      </c>
      <c r="J36">
        <v>0</v>
      </c>
      <c r="K36">
        <v>0.8</v>
      </c>
      <c r="L36" t="s">
        <v>4857</v>
      </c>
      <c r="M36">
        <v>5</v>
      </c>
      <c r="N36">
        <v>6.22</v>
      </c>
      <c r="O36" t="s">
        <v>104</v>
      </c>
      <c r="P36" t="s">
        <v>103</v>
      </c>
      <c r="Q36">
        <v>5</v>
      </c>
      <c r="R36">
        <v>6.22</v>
      </c>
    </row>
    <row r="37" spans="1:18" x14ac:dyDescent="0.3">
      <c r="A37" s="22" t="s">
        <v>74</v>
      </c>
      <c r="B37" t="s">
        <v>68</v>
      </c>
      <c r="C37" t="s">
        <v>98</v>
      </c>
      <c r="D37">
        <v>106657435</v>
      </c>
      <c r="E37" t="s">
        <v>5930</v>
      </c>
      <c r="F37" t="s">
        <v>5595</v>
      </c>
      <c r="G37">
        <v>0</v>
      </c>
      <c r="H37">
        <v>0</v>
      </c>
      <c r="I37">
        <v>0</v>
      </c>
      <c r="J37">
        <v>0</v>
      </c>
      <c r="K37">
        <v>1.46</v>
      </c>
      <c r="L37" t="s">
        <v>4857</v>
      </c>
      <c r="M37">
        <v>17</v>
      </c>
      <c r="N37">
        <v>11.61</v>
      </c>
      <c r="O37" t="s">
        <v>104</v>
      </c>
      <c r="P37" t="s">
        <v>103</v>
      </c>
      <c r="Q37">
        <v>17</v>
      </c>
      <c r="R37">
        <v>11.61</v>
      </c>
    </row>
    <row r="38" spans="1:18" x14ac:dyDescent="0.3">
      <c r="A38" s="22" t="s">
        <v>74</v>
      </c>
      <c r="B38" t="s">
        <v>68</v>
      </c>
      <c r="C38" t="s">
        <v>98</v>
      </c>
      <c r="D38">
        <v>106889408</v>
      </c>
      <c r="E38" t="s">
        <v>5628</v>
      </c>
      <c r="F38" t="s">
        <v>5169</v>
      </c>
      <c r="G38">
        <v>0</v>
      </c>
      <c r="H38">
        <v>0</v>
      </c>
      <c r="I38">
        <v>0</v>
      </c>
      <c r="J38">
        <v>0</v>
      </c>
      <c r="K38">
        <v>0.4</v>
      </c>
      <c r="L38" t="s">
        <v>4857</v>
      </c>
      <c r="M38">
        <v>10</v>
      </c>
      <c r="N38">
        <v>24.73</v>
      </c>
      <c r="O38" t="s">
        <v>104</v>
      </c>
      <c r="P38" t="s">
        <v>103</v>
      </c>
      <c r="Q38">
        <v>10</v>
      </c>
      <c r="R38">
        <v>24.73</v>
      </c>
    </row>
    <row r="39" spans="1:18" x14ac:dyDescent="0.3">
      <c r="A39" s="22" t="s">
        <v>74</v>
      </c>
      <c r="B39" t="s">
        <v>68</v>
      </c>
      <c r="C39" t="s">
        <v>98</v>
      </c>
      <c r="D39">
        <v>107847791</v>
      </c>
      <c r="E39" t="s">
        <v>5895</v>
      </c>
      <c r="F39" t="s">
        <v>5656</v>
      </c>
      <c r="G39">
        <v>0</v>
      </c>
      <c r="H39">
        <v>0</v>
      </c>
      <c r="I39">
        <v>0</v>
      </c>
      <c r="J39">
        <v>0</v>
      </c>
      <c r="K39">
        <v>0.08</v>
      </c>
      <c r="L39" t="s">
        <v>4857</v>
      </c>
      <c r="M39">
        <v>0</v>
      </c>
      <c r="N39">
        <v>0</v>
      </c>
      <c r="O39" t="s">
        <v>104</v>
      </c>
      <c r="P39" t="s">
        <v>103</v>
      </c>
      <c r="Q39">
        <v>0</v>
      </c>
      <c r="R39">
        <v>0</v>
      </c>
    </row>
    <row r="40" spans="1:18" x14ac:dyDescent="0.3">
      <c r="A40" s="22" t="s">
        <v>74</v>
      </c>
      <c r="B40" t="s">
        <v>68</v>
      </c>
      <c r="C40" t="s">
        <v>98</v>
      </c>
      <c r="D40">
        <v>107859065</v>
      </c>
      <c r="E40" t="s">
        <v>5884</v>
      </c>
      <c r="F40" t="s">
        <v>5563</v>
      </c>
      <c r="G40">
        <v>0</v>
      </c>
      <c r="H40">
        <v>0</v>
      </c>
      <c r="I40">
        <v>0</v>
      </c>
      <c r="J40">
        <v>0</v>
      </c>
      <c r="K40">
        <v>0</v>
      </c>
      <c r="L40" t="s">
        <v>4857</v>
      </c>
      <c r="M40">
        <v>1</v>
      </c>
      <c r="N40">
        <v>0</v>
      </c>
      <c r="O40" t="s">
        <v>104</v>
      </c>
      <c r="P40" t="s">
        <v>103</v>
      </c>
      <c r="Q40">
        <v>1</v>
      </c>
      <c r="R40">
        <v>0</v>
      </c>
    </row>
    <row r="41" spans="1:18" x14ac:dyDescent="0.3">
      <c r="A41" s="22" t="s">
        <v>74</v>
      </c>
      <c r="B41" t="s">
        <v>68</v>
      </c>
      <c r="C41" t="s">
        <v>98</v>
      </c>
      <c r="D41">
        <v>108133314</v>
      </c>
      <c r="E41" t="s">
        <v>5943</v>
      </c>
      <c r="F41" t="s">
        <v>5595</v>
      </c>
      <c r="G41">
        <v>0</v>
      </c>
      <c r="H41">
        <v>0</v>
      </c>
      <c r="I41">
        <v>0</v>
      </c>
      <c r="J41">
        <v>0</v>
      </c>
      <c r="K41">
        <v>3.39</v>
      </c>
      <c r="L41" t="s">
        <v>4857</v>
      </c>
      <c r="M41">
        <v>16</v>
      </c>
      <c r="N41">
        <v>4.72</v>
      </c>
      <c r="O41" t="s">
        <v>104</v>
      </c>
      <c r="P41" t="s">
        <v>103</v>
      </c>
      <c r="Q41">
        <v>16</v>
      </c>
      <c r="R41">
        <v>4.72</v>
      </c>
    </row>
    <row r="42" spans="1:18" x14ac:dyDescent="0.3">
      <c r="A42" s="22" t="s">
        <v>74</v>
      </c>
      <c r="B42" t="s">
        <v>68</v>
      </c>
      <c r="C42" t="s">
        <v>98</v>
      </c>
      <c r="D42">
        <v>108183470</v>
      </c>
      <c r="E42" t="s">
        <v>5580</v>
      </c>
      <c r="F42" t="s">
        <v>5563</v>
      </c>
      <c r="G42">
        <v>0</v>
      </c>
      <c r="H42">
        <v>0</v>
      </c>
      <c r="I42">
        <v>0</v>
      </c>
      <c r="J42">
        <v>0</v>
      </c>
      <c r="K42">
        <v>1.26</v>
      </c>
      <c r="L42" t="s">
        <v>4857</v>
      </c>
      <c r="M42">
        <v>4</v>
      </c>
      <c r="N42">
        <v>3.18</v>
      </c>
      <c r="O42" t="s">
        <v>104</v>
      </c>
      <c r="P42" t="s">
        <v>103</v>
      </c>
      <c r="Q42">
        <v>4</v>
      </c>
      <c r="R42">
        <v>3.18</v>
      </c>
    </row>
    <row r="43" spans="1:18" x14ac:dyDescent="0.3">
      <c r="A43" s="22" t="s">
        <v>74</v>
      </c>
      <c r="B43" t="s">
        <v>68</v>
      </c>
      <c r="C43" t="s">
        <v>98</v>
      </c>
      <c r="D43">
        <v>108208895</v>
      </c>
      <c r="E43" t="s">
        <v>5890</v>
      </c>
      <c r="F43" t="s">
        <v>5595</v>
      </c>
      <c r="G43">
        <v>0</v>
      </c>
      <c r="H43">
        <v>0</v>
      </c>
      <c r="I43">
        <v>0</v>
      </c>
      <c r="J43">
        <v>0</v>
      </c>
      <c r="K43">
        <v>0.14000000000000001</v>
      </c>
      <c r="L43" t="s">
        <v>4857</v>
      </c>
      <c r="M43">
        <v>4</v>
      </c>
      <c r="N43">
        <v>28.51</v>
      </c>
      <c r="O43" t="s">
        <v>104</v>
      </c>
      <c r="P43" t="s">
        <v>103</v>
      </c>
      <c r="Q43">
        <v>4</v>
      </c>
      <c r="R43">
        <v>28.51</v>
      </c>
    </row>
    <row r="44" spans="1:18" x14ac:dyDescent="0.3">
      <c r="A44" s="22" t="s">
        <v>74</v>
      </c>
      <c r="B44" t="s">
        <v>68</v>
      </c>
      <c r="C44" t="s">
        <v>98</v>
      </c>
      <c r="D44">
        <v>108221062</v>
      </c>
      <c r="E44" t="s">
        <v>5891</v>
      </c>
      <c r="F44" t="s">
        <v>5169</v>
      </c>
      <c r="G44">
        <v>0</v>
      </c>
      <c r="H44">
        <v>0</v>
      </c>
      <c r="I44">
        <v>0</v>
      </c>
      <c r="J44">
        <v>0</v>
      </c>
      <c r="K44">
        <v>0.16</v>
      </c>
      <c r="L44" t="s">
        <v>4857</v>
      </c>
      <c r="M44">
        <v>4</v>
      </c>
      <c r="N44">
        <v>25.04</v>
      </c>
      <c r="O44" t="s">
        <v>104</v>
      </c>
      <c r="P44" t="s">
        <v>103</v>
      </c>
      <c r="Q44">
        <v>4</v>
      </c>
      <c r="R44">
        <v>25.04</v>
      </c>
    </row>
    <row r="45" spans="1:18" x14ac:dyDescent="0.3">
      <c r="A45" s="22" t="s">
        <v>74</v>
      </c>
      <c r="B45" t="s">
        <v>68</v>
      </c>
      <c r="C45" t="s">
        <v>98</v>
      </c>
      <c r="D45">
        <v>108309887</v>
      </c>
      <c r="E45" t="s">
        <v>5932</v>
      </c>
      <c r="F45" t="s">
        <v>5563</v>
      </c>
      <c r="G45">
        <v>0</v>
      </c>
      <c r="H45">
        <v>0</v>
      </c>
      <c r="I45">
        <v>0</v>
      </c>
      <c r="J45">
        <v>0</v>
      </c>
      <c r="K45">
        <v>1.0900000000000001</v>
      </c>
      <c r="L45" t="s">
        <v>4857</v>
      </c>
      <c r="M45">
        <v>2</v>
      </c>
      <c r="N45">
        <v>1.84</v>
      </c>
      <c r="O45" t="s">
        <v>104</v>
      </c>
      <c r="P45" t="s">
        <v>103</v>
      </c>
      <c r="Q45">
        <v>2</v>
      </c>
      <c r="R45">
        <v>1.84</v>
      </c>
    </row>
    <row r="46" spans="1:18" x14ac:dyDescent="0.3">
      <c r="A46" s="22" t="s">
        <v>74</v>
      </c>
      <c r="B46" t="s">
        <v>68</v>
      </c>
      <c r="C46" t="s">
        <v>98</v>
      </c>
      <c r="D46">
        <v>108407370</v>
      </c>
      <c r="E46" t="s">
        <v>5944</v>
      </c>
      <c r="F46" t="s">
        <v>5886</v>
      </c>
      <c r="G46">
        <v>0</v>
      </c>
      <c r="H46">
        <v>0</v>
      </c>
      <c r="I46">
        <v>0</v>
      </c>
      <c r="J46">
        <v>0</v>
      </c>
      <c r="K46">
        <v>2.3199999999999998</v>
      </c>
      <c r="L46" t="s">
        <v>4857</v>
      </c>
      <c r="M46">
        <v>4</v>
      </c>
      <c r="N46">
        <v>1.72</v>
      </c>
      <c r="O46" t="s">
        <v>104</v>
      </c>
      <c r="P46" t="s">
        <v>103</v>
      </c>
      <c r="Q46">
        <v>4</v>
      </c>
      <c r="R46">
        <v>1.72</v>
      </c>
    </row>
    <row r="47" spans="1:18" x14ac:dyDescent="0.3">
      <c r="A47" s="22" t="s">
        <v>74</v>
      </c>
      <c r="B47" t="s">
        <v>68</v>
      </c>
      <c r="C47" t="s">
        <v>98</v>
      </c>
      <c r="D47">
        <v>108567550</v>
      </c>
      <c r="E47" t="s">
        <v>5627</v>
      </c>
      <c r="F47" t="s">
        <v>5563</v>
      </c>
      <c r="G47">
        <v>0</v>
      </c>
      <c r="H47">
        <v>0</v>
      </c>
      <c r="I47">
        <v>0</v>
      </c>
      <c r="J47">
        <v>0</v>
      </c>
      <c r="K47">
        <v>1.36</v>
      </c>
      <c r="L47" t="s">
        <v>4857</v>
      </c>
      <c r="M47">
        <v>6</v>
      </c>
      <c r="N47">
        <v>4.42</v>
      </c>
      <c r="O47" t="s">
        <v>104</v>
      </c>
      <c r="P47" t="s">
        <v>103</v>
      </c>
      <c r="Q47">
        <v>6</v>
      </c>
      <c r="R47">
        <v>4.42</v>
      </c>
    </row>
    <row r="48" spans="1:18" x14ac:dyDescent="0.3">
      <c r="A48" s="22" t="s">
        <v>74</v>
      </c>
      <c r="B48" t="s">
        <v>68</v>
      </c>
      <c r="C48" t="s">
        <v>98</v>
      </c>
      <c r="D48">
        <v>108567934</v>
      </c>
      <c r="E48" t="s">
        <v>5646</v>
      </c>
      <c r="F48" t="s">
        <v>5169</v>
      </c>
      <c r="G48">
        <v>0</v>
      </c>
      <c r="H48">
        <v>0</v>
      </c>
      <c r="I48">
        <v>0</v>
      </c>
      <c r="J48">
        <v>0</v>
      </c>
      <c r="K48">
        <v>0.2</v>
      </c>
      <c r="L48" t="s">
        <v>4857</v>
      </c>
      <c r="M48">
        <v>7</v>
      </c>
      <c r="N48">
        <v>35.29</v>
      </c>
      <c r="O48" t="s">
        <v>104</v>
      </c>
      <c r="P48" t="s">
        <v>103</v>
      </c>
      <c r="Q48">
        <v>7</v>
      </c>
      <c r="R48">
        <v>35.29</v>
      </c>
    </row>
    <row r="49" spans="1:18" x14ac:dyDescent="0.3">
      <c r="A49" s="22" t="s">
        <v>74</v>
      </c>
      <c r="B49" t="s">
        <v>68</v>
      </c>
      <c r="C49" t="s">
        <v>98</v>
      </c>
      <c r="D49">
        <v>108626236</v>
      </c>
      <c r="E49" t="s">
        <v>5885</v>
      </c>
      <c r="F49" t="s">
        <v>5563</v>
      </c>
      <c r="G49">
        <v>0</v>
      </c>
      <c r="H49">
        <v>0</v>
      </c>
      <c r="I49">
        <v>0</v>
      </c>
      <c r="J49">
        <v>0</v>
      </c>
      <c r="K49">
        <v>0.82</v>
      </c>
      <c r="L49" t="s">
        <v>4857</v>
      </c>
      <c r="M49">
        <v>4</v>
      </c>
      <c r="N49">
        <v>4.9000000000000004</v>
      </c>
      <c r="O49" t="s">
        <v>104</v>
      </c>
      <c r="P49" t="s">
        <v>103</v>
      </c>
      <c r="Q49">
        <v>4</v>
      </c>
      <c r="R49">
        <v>4.9000000000000004</v>
      </c>
    </row>
    <row r="50" spans="1:18" x14ac:dyDescent="0.3">
      <c r="A50" s="22" t="s">
        <v>74</v>
      </c>
      <c r="B50" t="s">
        <v>68</v>
      </c>
      <c r="C50" t="s">
        <v>5892</v>
      </c>
      <c r="D50">
        <v>108636794</v>
      </c>
      <c r="E50" t="s">
        <v>5893</v>
      </c>
      <c r="F50" t="s">
        <v>5595</v>
      </c>
      <c r="G50">
        <v>0</v>
      </c>
      <c r="H50">
        <v>0</v>
      </c>
      <c r="I50">
        <v>0</v>
      </c>
      <c r="J50">
        <v>0</v>
      </c>
      <c r="K50">
        <v>0.52</v>
      </c>
      <c r="L50" t="s">
        <v>4857</v>
      </c>
      <c r="M50">
        <v>21</v>
      </c>
      <c r="N50">
        <v>40.020000000000003</v>
      </c>
      <c r="O50" t="s">
        <v>104</v>
      </c>
      <c r="P50" t="s">
        <v>103</v>
      </c>
      <c r="Q50">
        <v>21</v>
      </c>
      <c r="R50">
        <v>40.020000000000003</v>
      </c>
    </row>
    <row r="51" spans="1:18" x14ac:dyDescent="0.3">
      <c r="A51" s="22" t="s">
        <v>74</v>
      </c>
      <c r="B51" t="s">
        <v>68</v>
      </c>
      <c r="C51" t="s">
        <v>98</v>
      </c>
      <c r="D51">
        <v>108683886</v>
      </c>
      <c r="E51" t="s">
        <v>5883</v>
      </c>
      <c r="F51" t="s">
        <v>5595</v>
      </c>
      <c r="G51">
        <v>0</v>
      </c>
      <c r="H51">
        <v>0</v>
      </c>
      <c r="I51">
        <v>0</v>
      </c>
      <c r="J51">
        <v>0</v>
      </c>
      <c r="K51">
        <v>0.23</v>
      </c>
      <c r="L51" t="s">
        <v>4857</v>
      </c>
      <c r="M51">
        <v>3</v>
      </c>
      <c r="N51">
        <v>13.24</v>
      </c>
      <c r="O51" t="s">
        <v>104</v>
      </c>
      <c r="P51" t="s">
        <v>103</v>
      </c>
      <c r="Q51">
        <v>3</v>
      </c>
      <c r="R51">
        <v>13.24</v>
      </c>
    </row>
    <row r="52" spans="1:18" x14ac:dyDescent="0.3">
      <c r="A52" s="22" t="s">
        <v>74</v>
      </c>
      <c r="B52" t="s">
        <v>68</v>
      </c>
      <c r="C52" t="s">
        <v>98</v>
      </c>
      <c r="D52">
        <v>108836581</v>
      </c>
      <c r="E52" t="s">
        <v>5647</v>
      </c>
      <c r="F52" t="s">
        <v>5563</v>
      </c>
      <c r="G52">
        <v>0</v>
      </c>
      <c r="H52">
        <v>0</v>
      </c>
      <c r="I52">
        <v>0</v>
      </c>
      <c r="J52">
        <v>0</v>
      </c>
      <c r="K52">
        <v>0.97</v>
      </c>
      <c r="L52" t="s">
        <v>4857</v>
      </c>
      <c r="M52">
        <v>11</v>
      </c>
      <c r="N52">
        <v>11.31</v>
      </c>
      <c r="O52" t="s">
        <v>104</v>
      </c>
      <c r="P52" t="s">
        <v>103</v>
      </c>
      <c r="Q52">
        <v>11</v>
      </c>
      <c r="R52">
        <v>11.31</v>
      </c>
    </row>
    <row r="53" spans="1:18" x14ac:dyDescent="0.3">
      <c r="A53" s="22" t="s">
        <v>74</v>
      </c>
      <c r="B53" t="s">
        <v>68</v>
      </c>
      <c r="C53" t="s">
        <v>98</v>
      </c>
      <c r="D53">
        <v>108838352</v>
      </c>
      <c r="E53" t="s">
        <v>5894</v>
      </c>
      <c r="F53" t="s">
        <v>5169</v>
      </c>
      <c r="G53">
        <v>0</v>
      </c>
      <c r="H53">
        <v>0</v>
      </c>
      <c r="I53">
        <v>0</v>
      </c>
      <c r="J53">
        <v>0</v>
      </c>
      <c r="K53">
        <v>0.04</v>
      </c>
      <c r="L53" t="s">
        <v>4857</v>
      </c>
      <c r="M53">
        <v>2</v>
      </c>
      <c r="N53">
        <v>47.06</v>
      </c>
      <c r="O53" t="s">
        <v>104</v>
      </c>
      <c r="P53" t="s">
        <v>103</v>
      </c>
      <c r="Q53">
        <v>2</v>
      </c>
      <c r="R53">
        <v>47.06</v>
      </c>
    </row>
    <row r="54" spans="1:18" x14ac:dyDescent="0.3">
      <c r="A54" s="22" t="s">
        <v>74</v>
      </c>
      <c r="B54" t="s">
        <v>68</v>
      </c>
      <c r="C54" t="s">
        <v>98</v>
      </c>
      <c r="D54">
        <v>109400344</v>
      </c>
      <c r="E54" t="s">
        <v>5934</v>
      </c>
      <c r="F54" t="s">
        <v>5935</v>
      </c>
      <c r="G54">
        <v>0</v>
      </c>
      <c r="H54">
        <v>0</v>
      </c>
      <c r="I54">
        <v>0</v>
      </c>
      <c r="J54">
        <v>0</v>
      </c>
      <c r="K54">
        <v>0</v>
      </c>
      <c r="L54" t="s">
        <v>4857</v>
      </c>
      <c r="M54">
        <v>1</v>
      </c>
      <c r="N54">
        <v>0</v>
      </c>
      <c r="O54" t="s">
        <v>104</v>
      </c>
      <c r="P54" t="s">
        <v>103</v>
      </c>
      <c r="Q54">
        <v>1</v>
      </c>
      <c r="R54">
        <v>0</v>
      </c>
    </row>
    <row r="55" spans="1:18" x14ac:dyDescent="0.3">
      <c r="A55" s="22" t="s">
        <v>74</v>
      </c>
      <c r="B55" t="s">
        <v>68</v>
      </c>
      <c r="C55" t="s">
        <v>98</v>
      </c>
      <c r="D55">
        <v>109400368</v>
      </c>
      <c r="E55" t="s">
        <v>5945</v>
      </c>
      <c r="F55" t="s">
        <v>5935</v>
      </c>
      <c r="G55">
        <v>0</v>
      </c>
      <c r="H55">
        <v>0</v>
      </c>
      <c r="I55">
        <v>0</v>
      </c>
      <c r="J55">
        <v>0</v>
      </c>
      <c r="K55">
        <v>0</v>
      </c>
      <c r="L55" t="s">
        <v>4857</v>
      </c>
      <c r="M55">
        <v>2</v>
      </c>
      <c r="N55">
        <v>0</v>
      </c>
      <c r="O55" t="s">
        <v>104</v>
      </c>
      <c r="P55" t="s">
        <v>103</v>
      </c>
      <c r="Q55">
        <v>2</v>
      </c>
      <c r="R55">
        <v>0</v>
      </c>
    </row>
    <row r="56" spans="1:18" x14ac:dyDescent="0.3">
      <c r="A56" s="22" t="s">
        <v>74</v>
      </c>
      <c r="B56" t="s">
        <v>70</v>
      </c>
      <c r="C56" t="s">
        <v>98</v>
      </c>
      <c r="D56">
        <v>102695292</v>
      </c>
      <c r="E56" t="s">
        <v>5630</v>
      </c>
      <c r="F56" t="s">
        <v>5595</v>
      </c>
      <c r="G56">
        <v>0</v>
      </c>
      <c r="H56">
        <v>0</v>
      </c>
      <c r="I56">
        <v>0</v>
      </c>
      <c r="J56">
        <v>0</v>
      </c>
      <c r="K56">
        <v>5</v>
      </c>
    </row>
    <row r="57" spans="1:18" x14ac:dyDescent="0.3">
      <c r="A57" s="22" t="s">
        <v>74</v>
      </c>
      <c r="B57" t="s">
        <v>70</v>
      </c>
      <c r="C57" t="s">
        <v>98</v>
      </c>
      <c r="D57">
        <v>108134531</v>
      </c>
      <c r="E57" t="s">
        <v>5919</v>
      </c>
      <c r="F57" t="s">
        <v>5917</v>
      </c>
      <c r="G57">
        <v>0</v>
      </c>
      <c r="H57">
        <v>0</v>
      </c>
      <c r="I57">
        <v>0</v>
      </c>
      <c r="J57">
        <v>0</v>
      </c>
      <c r="K57">
        <v>0.12</v>
      </c>
    </row>
    <row r="58" spans="1:18" x14ac:dyDescent="0.3">
      <c r="A58" s="22" t="s">
        <v>74</v>
      </c>
      <c r="B58" t="s">
        <v>5946</v>
      </c>
      <c r="C58" t="s">
        <v>98</v>
      </c>
      <c r="D58">
        <v>108132832</v>
      </c>
      <c r="E58" t="s">
        <v>5947</v>
      </c>
      <c r="F58" t="s">
        <v>5935</v>
      </c>
      <c r="G58">
        <v>0</v>
      </c>
      <c r="H58">
        <v>0</v>
      </c>
      <c r="I58">
        <v>0</v>
      </c>
      <c r="J58">
        <v>0</v>
      </c>
      <c r="K58">
        <v>5.67</v>
      </c>
    </row>
    <row r="59" spans="1:18" x14ac:dyDescent="0.3">
      <c r="A59" s="22" t="s">
        <v>74</v>
      </c>
      <c r="B59" t="s">
        <v>69</v>
      </c>
      <c r="C59" t="s">
        <v>98</v>
      </c>
      <c r="D59">
        <v>100335496</v>
      </c>
      <c r="E59" t="s">
        <v>5887</v>
      </c>
      <c r="F59" t="s">
        <v>5595</v>
      </c>
      <c r="G59">
        <v>0</v>
      </c>
      <c r="H59">
        <v>0</v>
      </c>
      <c r="I59">
        <v>0</v>
      </c>
      <c r="J59">
        <v>0</v>
      </c>
      <c r="K59">
        <v>3.9</v>
      </c>
      <c r="L59" t="s">
        <v>4858</v>
      </c>
      <c r="M59">
        <v>16</v>
      </c>
      <c r="N59">
        <v>4.1100000000000003</v>
      </c>
      <c r="O59" t="s">
        <v>104</v>
      </c>
      <c r="P59" t="s">
        <v>103</v>
      </c>
      <c r="Q59">
        <v>16</v>
      </c>
      <c r="R59">
        <v>4.1100000000000003</v>
      </c>
    </row>
    <row r="60" spans="1:18" x14ac:dyDescent="0.3">
      <c r="A60" s="22" t="s">
        <v>74</v>
      </c>
      <c r="B60" t="s">
        <v>69</v>
      </c>
      <c r="C60" t="s">
        <v>98</v>
      </c>
      <c r="D60">
        <v>100796285</v>
      </c>
      <c r="E60" t="s">
        <v>5579</v>
      </c>
      <c r="F60" t="s">
        <v>5563</v>
      </c>
      <c r="G60">
        <v>0</v>
      </c>
      <c r="H60">
        <v>0</v>
      </c>
      <c r="I60">
        <v>0</v>
      </c>
      <c r="J60">
        <v>0</v>
      </c>
      <c r="K60">
        <v>2.72</v>
      </c>
      <c r="L60" t="s">
        <v>4858</v>
      </c>
      <c r="M60">
        <v>23</v>
      </c>
      <c r="N60">
        <v>8.4600000000000009</v>
      </c>
      <c r="O60" t="s">
        <v>104</v>
      </c>
      <c r="P60" t="s">
        <v>103</v>
      </c>
      <c r="Q60">
        <v>23</v>
      </c>
      <c r="R60">
        <v>8.4600000000000009</v>
      </c>
    </row>
    <row r="61" spans="1:18" x14ac:dyDescent="0.3">
      <c r="A61" s="22" t="s">
        <v>74</v>
      </c>
      <c r="B61" t="s">
        <v>69</v>
      </c>
      <c r="C61" t="s">
        <v>98</v>
      </c>
      <c r="D61">
        <v>100882950</v>
      </c>
      <c r="E61" t="s">
        <v>5888</v>
      </c>
      <c r="F61" t="s">
        <v>5595</v>
      </c>
      <c r="G61">
        <v>0</v>
      </c>
      <c r="H61">
        <v>0</v>
      </c>
      <c r="I61">
        <v>0</v>
      </c>
      <c r="J61">
        <v>0</v>
      </c>
      <c r="K61">
        <v>0.47</v>
      </c>
      <c r="L61" t="s">
        <v>4858</v>
      </c>
      <c r="M61">
        <v>10</v>
      </c>
      <c r="N61">
        <v>21.08</v>
      </c>
      <c r="O61" t="s">
        <v>104</v>
      </c>
      <c r="P61" t="s">
        <v>103</v>
      </c>
      <c r="Q61">
        <v>10</v>
      </c>
      <c r="R61">
        <v>21.08</v>
      </c>
    </row>
    <row r="62" spans="1:18" x14ac:dyDescent="0.3">
      <c r="A62" s="22" t="s">
        <v>74</v>
      </c>
      <c r="B62" t="s">
        <v>69</v>
      </c>
      <c r="C62" t="s">
        <v>98</v>
      </c>
      <c r="D62">
        <v>102035878</v>
      </c>
      <c r="E62" t="s">
        <v>5655</v>
      </c>
      <c r="F62" t="s">
        <v>5578</v>
      </c>
      <c r="G62">
        <v>0</v>
      </c>
      <c r="H62">
        <v>0</v>
      </c>
      <c r="I62">
        <v>0</v>
      </c>
      <c r="J62">
        <v>0</v>
      </c>
      <c r="K62">
        <v>0.03</v>
      </c>
      <c r="L62" t="s">
        <v>4858</v>
      </c>
      <c r="M62">
        <v>0</v>
      </c>
      <c r="N62">
        <v>0</v>
      </c>
      <c r="O62" t="s">
        <v>104</v>
      </c>
      <c r="P62" t="s">
        <v>103</v>
      </c>
      <c r="Q62">
        <v>0</v>
      </c>
      <c r="R62">
        <v>0</v>
      </c>
    </row>
    <row r="63" spans="1:18" x14ac:dyDescent="0.3">
      <c r="A63" s="22" t="s">
        <v>74</v>
      </c>
      <c r="B63" t="s">
        <v>69</v>
      </c>
      <c r="C63" t="s">
        <v>98</v>
      </c>
      <c r="D63">
        <v>102673959</v>
      </c>
      <c r="E63" t="s">
        <v>5889</v>
      </c>
      <c r="F63" t="s">
        <v>5169</v>
      </c>
      <c r="G63">
        <v>0</v>
      </c>
      <c r="H63">
        <v>0</v>
      </c>
      <c r="I63">
        <v>0</v>
      </c>
      <c r="J63">
        <v>0</v>
      </c>
      <c r="K63">
        <v>0</v>
      </c>
      <c r="L63" t="s">
        <v>4858</v>
      </c>
      <c r="M63">
        <v>1</v>
      </c>
      <c r="N63">
        <v>0</v>
      </c>
      <c r="O63" t="s">
        <v>104</v>
      </c>
      <c r="P63" t="s">
        <v>103</v>
      </c>
      <c r="Q63">
        <v>1</v>
      </c>
      <c r="R63">
        <v>0</v>
      </c>
    </row>
    <row r="64" spans="1:18" x14ac:dyDescent="0.3">
      <c r="A64" s="22" t="s">
        <v>74</v>
      </c>
      <c r="B64" t="s">
        <v>69</v>
      </c>
      <c r="C64" t="s">
        <v>98</v>
      </c>
      <c r="D64">
        <v>102695292</v>
      </c>
      <c r="E64" t="s">
        <v>5630</v>
      </c>
      <c r="F64" t="s">
        <v>5595</v>
      </c>
      <c r="G64">
        <v>0</v>
      </c>
      <c r="H64">
        <v>0</v>
      </c>
      <c r="I64">
        <v>0</v>
      </c>
      <c r="J64">
        <v>0</v>
      </c>
      <c r="K64">
        <v>0</v>
      </c>
      <c r="L64" t="s">
        <v>4858</v>
      </c>
      <c r="M64">
        <v>5</v>
      </c>
      <c r="N64">
        <v>0</v>
      </c>
      <c r="O64" t="s">
        <v>104</v>
      </c>
      <c r="P64" t="s">
        <v>103</v>
      </c>
      <c r="Q64">
        <v>5</v>
      </c>
      <c r="R64">
        <v>0</v>
      </c>
    </row>
    <row r="65" spans="1:18" x14ac:dyDescent="0.3">
      <c r="A65" s="22" t="s">
        <v>74</v>
      </c>
      <c r="B65" t="s">
        <v>69</v>
      </c>
      <c r="C65" t="s">
        <v>98</v>
      </c>
      <c r="D65">
        <v>103484088</v>
      </c>
      <c r="E65" t="s">
        <v>5923</v>
      </c>
      <c r="F65" t="s">
        <v>5657</v>
      </c>
      <c r="G65">
        <v>0</v>
      </c>
      <c r="H65">
        <v>0</v>
      </c>
      <c r="I65">
        <v>0</v>
      </c>
      <c r="J65">
        <v>0</v>
      </c>
      <c r="K65">
        <v>0.05</v>
      </c>
      <c r="L65" t="s">
        <v>4858</v>
      </c>
      <c r="M65">
        <v>0</v>
      </c>
      <c r="N65">
        <v>0</v>
      </c>
      <c r="O65" t="s">
        <v>104</v>
      </c>
      <c r="P65" t="s">
        <v>103</v>
      </c>
      <c r="Q65">
        <v>0</v>
      </c>
      <c r="R65">
        <v>0</v>
      </c>
    </row>
    <row r="66" spans="1:18" x14ac:dyDescent="0.3">
      <c r="A66" s="22" t="s">
        <v>74</v>
      </c>
      <c r="B66" t="s">
        <v>69</v>
      </c>
      <c r="C66" t="s">
        <v>98</v>
      </c>
      <c r="D66">
        <v>103724462</v>
      </c>
      <c r="E66" t="s">
        <v>5929</v>
      </c>
      <c r="F66" t="s">
        <v>5595</v>
      </c>
      <c r="G66">
        <v>0</v>
      </c>
      <c r="H66">
        <v>0</v>
      </c>
      <c r="I66">
        <v>0</v>
      </c>
      <c r="J66">
        <v>0</v>
      </c>
      <c r="K66">
        <v>0.27</v>
      </c>
      <c r="L66" t="s">
        <v>4858</v>
      </c>
      <c r="M66">
        <v>3</v>
      </c>
      <c r="N66">
        <v>11.02</v>
      </c>
      <c r="O66" t="s">
        <v>104</v>
      </c>
      <c r="P66" t="s">
        <v>103</v>
      </c>
      <c r="Q66">
        <v>3</v>
      </c>
      <c r="R66">
        <v>11.02</v>
      </c>
    </row>
    <row r="67" spans="1:18" x14ac:dyDescent="0.3">
      <c r="A67" s="22" t="s">
        <v>74</v>
      </c>
      <c r="B67" t="s">
        <v>69</v>
      </c>
      <c r="C67" t="s">
        <v>98</v>
      </c>
      <c r="D67">
        <v>104118810</v>
      </c>
      <c r="E67" t="s">
        <v>5625</v>
      </c>
      <c r="F67" t="s">
        <v>5169</v>
      </c>
      <c r="G67">
        <v>0</v>
      </c>
      <c r="H67">
        <v>0</v>
      </c>
      <c r="I67">
        <v>0</v>
      </c>
      <c r="J67">
        <v>0</v>
      </c>
      <c r="K67">
        <v>1.59</v>
      </c>
      <c r="L67" t="s">
        <v>4858</v>
      </c>
      <c r="M67">
        <v>23</v>
      </c>
      <c r="N67">
        <v>14.48</v>
      </c>
      <c r="O67" t="s">
        <v>104</v>
      </c>
      <c r="P67" t="s">
        <v>103</v>
      </c>
      <c r="Q67">
        <v>23</v>
      </c>
      <c r="R67">
        <v>14.48</v>
      </c>
    </row>
    <row r="68" spans="1:18" x14ac:dyDescent="0.3">
      <c r="A68" s="22" t="s">
        <v>74</v>
      </c>
      <c r="B68" t="s">
        <v>69</v>
      </c>
      <c r="C68" t="s">
        <v>98</v>
      </c>
      <c r="D68">
        <v>106657435</v>
      </c>
      <c r="E68" t="s">
        <v>5930</v>
      </c>
      <c r="F68" t="s">
        <v>5595</v>
      </c>
      <c r="G68">
        <v>0</v>
      </c>
      <c r="H68">
        <v>0</v>
      </c>
      <c r="I68">
        <v>0</v>
      </c>
      <c r="J68">
        <v>0</v>
      </c>
      <c r="K68">
        <v>1.6</v>
      </c>
      <c r="L68" t="s">
        <v>4858</v>
      </c>
      <c r="M68">
        <v>15</v>
      </c>
      <c r="N68">
        <v>9.39</v>
      </c>
      <c r="O68" t="s">
        <v>104</v>
      </c>
      <c r="P68" t="s">
        <v>103</v>
      </c>
      <c r="Q68">
        <v>15</v>
      </c>
      <c r="R68">
        <v>9.39</v>
      </c>
    </row>
    <row r="69" spans="1:18" x14ac:dyDescent="0.3">
      <c r="A69" s="22" t="s">
        <v>74</v>
      </c>
      <c r="B69" t="s">
        <v>69</v>
      </c>
      <c r="C69" t="s">
        <v>98</v>
      </c>
      <c r="D69">
        <v>106889408</v>
      </c>
      <c r="E69" t="s">
        <v>5628</v>
      </c>
      <c r="F69" t="s">
        <v>5169</v>
      </c>
      <c r="G69">
        <v>0</v>
      </c>
      <c r="H69">
        <v>0</v>
      </c>
      <c r="I69">
        <v>0</v>
      </c>
      <c r="J69">
        <v>0</v>
      </c>
      <c r="K69">
        <v>0.88</v>
      </c>
      <c r="L69" t="s">
        <v>4858</v>
      </c>
      <c r="M69">
        <v>4</v>
      </c>
      <c r="N69">
        <v>4.55</v>
      </c>
      <c r="O69" t="s">
        <v>104</v>
      </c>
      <c r="P69" t="s">
        <v>103</v>
      </c>
      <c r="Q69">
        <v>4</v>
      </c>
      <c r="R69">
        <v>4.55</v>
      </c>
    </row>
    <row r="70" spans="1:18" x14ac:dyDescent="0.3">
      <c r="A70" s="22" t="s">
        <v>74</v>
      </c>
      <c r="B70" t="s">
        <v>69</v>
      </c>
      <c r="C70" t="s">
        <v>98</v>
      </c>
      <c r="D70">
        <v>107859065</v>
      </c>
      <c r="E70" t="s">
        <v>5884</v>
      </c>
      <c r="F70" t="s">
        <v>5563</v>
      </c>
      <c r="G70">
        <v>0</v>
      </c>
      <c r="H70">
        <v>0</v>
      </c>
      <c r="I70">
        <v>0</v>
      </c>
      <c r="J70">
        <v>0</v>
      </c>
      <c r="K70">
        <v>0.13</v>
      </c>
      <c r="L70" t="s">
        <v>4858</v>
      </c>
      <c r="M70">
        <v>1</v>
      </c>
      <c r="N70">
        <v>7.68</v>
      </c>
      <c r="O70" t="s">
        <v>104</v>
      </c>
      <c r="P70" t="s">
        <v>103</v>
      </c>
      <c r="Q70">
        <v>1</v>
      </c>
      <c r="R70">
        <v>7.68</v>
      </c>
    </row>
    <row r="71" spans="1:18" x14ac:dyDescent="0.3">
      <c r="A71" s="22" t="s">
        <v>74</v>
      </c>
      <c r="B71" t="s">
        <v>69</v>
      </c>
      <c r="C71" t="s">
        <v>98</v>
      </c>
      <c r="D71">
        <v>107948334</v>
      </c>
      <c r="E71" t="s">
        <v>5922</v>
      </c>
      <c r="F71" t="s">
        <v>5917</v>
      </c>
      <c r="G71">
        <v>0</v>
      </c>
      <c r="H71">
        <v>0</v>
      </c>
      <c r="I71">
        <v>0</v>
      </c>
      <c r="J71">
        <v>0</v>
      </c>
      <c r="K71">
        <v>0.02</v>
      </c>
      <c r="L71" t="s">
        <v>4858</v>
      </c>
      <c r="M71">
        <v>0</v>
      </c>
      <c r="N71">
        <v>0</v>
      </c>
      <c r="O71" t="s">
        <v>104</v>
      </c>
      <c r="P71" t="s">
        <v>103</v>
      </c>
      <c r="Q71">
        <v>0</v>
      </c>
      <c r="R71">
        <v>0</v>
      </c>
    </row>
    <row r="72" spans="1:18" x14ac:dyDescent="0.3">
      <c r="A72" s="22" t="s">
        <v>74</v>
      </c>
      <c r="B72" t="s">
        <v>69</v>
      </c>
      <c r="C72" t="s">
        <v>98</v>
      </c>
      <c r="D72">
        <v>108133314</v>
      </c>
      <c r="E72" t="s">
        <v>5943</v>
      </c>
      <c r="F72" t="s">
        <v>5595</v>
      </c>
      <c r="G72">
        <v>0</v>
      </c>
      <c r="H72">
        <v>0</v>
      </c>
      <c r="I72">
        <v>0</v>
      </c>
      <c r="J72">
        <v>0</v>
      </c>
      <c r="K72">
        <v>1.86</v>
      </c>
      <c r="L72" t="s">
        <v>4858</v>
      </c>
      <c r="M72">
        <v>10</v>
      </c>
      <c r="N72">
        <v>5.39</v>
      </c>
      <c r="O72" t="s">
        <v>104</v>
      </c>
      <c r="P72" t="s">
        <v>103</v>
      </c>
      <c r="Q72">
        <v>10</v>
      </c>
      <c r="R72">
        <v>5.39</v>
      </c>
    </row>
    <row r="73" spans="1:18" x14ac:dyDescent="0.3">
      <c r="A73" s="22" t="s">
        <v>74</v>
      </c>
      <c r="B73" t="s">
        <v>69</v>
      </c>
      <c r="C73" t="s">
        <v>98</v>
      </c>
      <c r="D73">
        <v>108144642</v>
      </c>
      <c r="E73" t="s">
        <v>5925</v>
      </c>
      <c r="F73" t="s">
        <v>5563</v>
      </c>
      <c r="G73">
        <v>0</v>
      </c>
      <c r="H73">
        <v>0</v>
      </c>
      <c r="I73">
        <v>0</v>
      </c>
      <c r="J73">
        <v>0</v>
      </c>
      <c r="K73">
        <v>0.98</v>
      </c>
      <c r="L73" t="s">
        <v>4858</v>
      </c>
      <c r="M73">
        <v>16</v>
      </c>
      <c r="N73">
        <v>16.29</v>
      </c>
      <c r="O73" t="s">
        <v>104</v>
      </c>
      <c r="P73" t="s">
        <v>103</v>
      </c>
      <c r="Q73">
        <v>16</v>
      </c>
      <c r="R73">
        <v>16.29</v>
      </c>
    </row>
    <row r="74" spans="1:18" x14ac:dyDescent="0.3">
      <c r="A74" s="22" t="s">
        <v>74</v>
      </c>
      <c r="B74" t="s">
        <v>69</v>
      </c>
      <c r="C74" t="s">
        <v>98</v>
      </c>
      <c r="D74">
        <v>108183470</v>
      </c>
      <c r="E74" t="s">
        <v>5580</v>
      </c>
      <c r="F74" t="s">
        <v>5563</v>
      </c>
      <c r="G74">
        <v>0</v>
      </c>
      <c r="H74">
        <v>0</v>
      </c>
      <c r="I74">
        <v>0</v>
      </c>
      <c r="J74">
        <v>0</v>
      </c>
      <c r="K74">
        <v>2.1800000000000002</v>
      </c>
      <c r="L74" t="s">
        <v>4858</v>
      </c>
      <c r="M74">
        <v>15</v>
      </c>
      <c r="N74">
        <v>6.89</v>
      </c>
      <c r="O74" t="s">
        <v>104</v>
      </c>
      <c r="P74" t="s">
        <v>103</v>
      </c>
      <c r="Q74">
        <v>15</v>
      </c>
      <c r="R74">
        <v>6.89</v>
      </c>
    </row>
    <row r="75" spans="1:18" x14ac:dyDescent="0.3">
      <c r="A75" s="22" t="s">
        <v>74</v>
      </c>
      <c r="B75" t="s">
        <v>69</v>
      </c>
      <c r="C75" t="s">
        <v>98</v>
      </c>
      <c r="D75">
        <v>108208895</v>
      </c>
      <c r="E75" t="s">
        <v>5890</v>
      </c>
      <c r="F75" t="s">
        <v>5595</v>
      </c>
      <c r="G75">
        <v>0</v>
      </c>
      <c r="H75">
        <v>0</v>
      </c>
      <c r="I75">
        <v>0</v>
      </c>
      <c r="J75">
        <v>0</v>
      </c>
      <c r="K75">
        <v>0.46</v>
      </c>
      <c r="L75" t="s">
        <v>4858</v>
      </c>
      <c r="M75">
        <v>10</v>
      </c>
      <c r="N75">
        <v>21.95</v>
      </c>
      <c r="O75" t="s">
        <v>104</v>
      </c>
      <c r="P75" t="s">
        <v>103</v>
      </c>
      <c r="Q75">
        <v>10</v>
      </c>
      <c r="R75">
        <v>21.95</v>
      </c>
    </row>
    <row r="76" spans="1:18" x14ac:dyDescent="0.3">
      <c r="A76" s="22" t="s">
        <v>74</v>
      </c>
      <c r="B76" t="s">
        <v>69</v>
      </c>
      <c r="C76" t="s">
        <v>98</v>
      </c>
      <c r="D76">
        <v>108213527</v>
      </c>
      <c r="E76" t="s">
        <v>5948</v>
      </c>
      <c r="F76" t="s">
        <v>5595</v>
      </c>
      <c r="G76">
        <v>0</v>
      </c>
      <c r="H76">
        <v>0</v>
      </c>
      <c r="I76">
        <v>0</v>
      </c>
      <c r="J76">
        <v>0</v>
      </c>
      <c r="K76">
        <v>0.82</v>
      </c>
      <c r="L76" t="s">
        <v>4858</v>
      </c>
      <c r="M76">
        <v>1</v>
      </c>
      <c r="N76">
        <v>1.22</v>
      </c>
      <c r="O76" t="s">
        <v>104</v>
      </c>
      <c r="P76" t="s">
        <v>103</v>
      </c>
      <c r="Q76">
        <v>1</v>
      </c>
      <c r="R76">
        <v>1.22</v>
      </c>
    </row>
    <row r="77" spans="1:18" x14ac:dyDescent="0.3">
      <c r="A77" s="22" t="s">
        <v>74</v>
      </c>
      <c r="B77" t="s">
        <v>69</v>
      </c>
      <c r="C77" t="s">
        <v>98</v>
      </c>
      <c r="D77">
        <v>108221062</v>
      </c>
      <c r="E77" t="s">
        <v>5891</v>
      </c>
      <c r="F77" t="s">
        <v>5169</v>
      </c>
      <c r="G77">
        <v>0</v>
      </c>
      <c r="H77">
        <v>0</v>
      </c>
      <c r="I77">
        <v>0</v>
      </c>
      <c r="J77">
        <v>0</v>
      </c>
      <c r="K77">
        <v>1.99</v>
      </c>
      <c r="L77" t="s">
        <v>4858</v>
      </c>
      <c r="M77">
        <v>9</v>
      </c>
      <c r="N77">
        <v>4.51</v>
      </c>
      <c r="O77" t="s">
        <v>104</v>
      </c>
      <c r="P77" t="s">
        <v>103</v>
      </c>
      <c r="Q77">
        <v>9</v>
      </c>
      <c r="R77">
        <v>4.51</v>
      </c>
    </row>
    <row r="78" spans="1:18" x14ac:dyDescent="0.3">
      <c r="A78" s="22" t="s">
        <v>74</v>
      </c>
      <c r="B78" t="s">
        <v>69</v>
      </c>
      <c r="C78" t="s">
        <v>98</v>
      </c>
      <c r="D78">
        <v>108309887</v>
      </c>
      <c r="E78" t="s">
        <v>5932</v>
      </c>
      <c r="F78" t="s">
        <v>5563</v>
      </c>
      <c r="G78">
        <v>0</v>
      </c>
      <c r="H78">
        <v>0</v>
      </c>
      <c r="I78">
        <v>0</v>
      </c>
      <c r="J78">
        <v>0</v>
      </c>
      <c r="K78">
        <v>0.28000000000000003</v>
      </c>
      <c r="L78" t="s">
        <v>4858</v>
      </c>
      <c r="M78">
        <v>10</v>
      </c>
      <c r="N78">
        <v>35.29</v>
      </c>
      <c r="O78" t="s">
        <v>104</v>
      </c>
      <c r="P78" t="s">
        <v>103</v>
      </c>
      <c r="Q78">
        <v>10</v>
      </c>
      <c r="R78">
        <v>35.29</v>
      </c>
    </row>
    <row r="79" spans="1:18" x14ac:dyDescent="0.3">
      <c r="A79" s="22" t="s">
        <v>74</v>
      </c>
      <c r="B79" t="s">
        <v>69</v>
      </c>
      <c r="C79" t="s">
        <v>98</v>
      </c>
      <c r="D79">
        <v>108407370</v>
      </c>
      <c r="E79" t="s">
        <v>5944</v>
      </c>
      <c r="F79" t="s">
        <v>5886</v>
      </c>
      <c r="G79">
        <v>0</v>
      </c>
      <c r="H79">
        <v>0</v>
      </c>
      <c r="I79">
        <v>0</v>
      </c>
      <c r="J79">
        <v>0</v>
      </c>
      <c r="K79">
        <v>2.69</v>
      </c>
      <c r="L79" t="s">
        <v>4858</v>
      </c>
      <c r="M79">
        <v>14</v>
      </c>
      <c r="N79">
        <v>5.2</v>
      </c>
      <c r="O79" t="s">
        <v>104</v>
      </c>
      <c r="P79" t="s">
        <v>103</v>
      </c>
      <c r="Q79">
        <v>14</v>
      </c>
      <c r="R79">
        <v>5.2</v>
      </c>
    </row>
    <row r="80" spans="1:18" x14ac:dyDescent="0.3">
      <c r="A80" s="22" t="s">
        <v>74</v>
      </c>
      <c r="B80" t="s">
        <v>69</v>
      </c>
      <c r="C80" t="s">
        <v>98</v>
      </c>
      <c r="D80">
        <v>108493028</v>
      </c>
      <c r="E80" t="s">
        <v>5629</v>
      </c>
      <c r="F80" t="s">
        <v>5169</v>
      </c>
      <c r="G80">
        <v>0</v>
      </c>
      <c r="H80">
        <v>0</v>
      </c>
      <c r="I80">
        <v>0</v>
      </c>
      <c r="J80">
        <v>0</v>
      </c>
      <c r="K80">
        <v>0.39</v>
      </c>
      <c r="L80" t="s">
        <v>4858</v>
      </c>
      <c r="M80">
        <v>9</v>
      </c>
      <c r="N80">
        <v>22.93</v>
      </c>
      <c r="O80" t="s">
        <v>104</v>
      </c>
      <c r="P80" t="s">
        <v>103</v>
      </c>
      <c r="Q80">
        <v>9</v>
      </c>
      <c r="R80">
        <v>22.93</v>
      </c>
    </row>
    <row r="81" spans="1:18" x14ac:dyDescent="0.3">
      <c r="A81" s="22" t="s">
        <v>74</v>
      </c>
      <c r="B81" t="s">
        <v>69</v>
      </c>
      <c r="C81" t="s">
        <v>98</v>
      </c>
      <c r="D81">
        <v>108567550</v>
      </c>
      <c r="E81" t="s">
        <v>5627</v>
      </c>
      <c r="F81" t="s">
        <v>5563</v>
      </c>
      <c r="G81">
        <v>0</v>
      </c>
      <c r="H81">
        <v>0</v>
      </c>
      <c r="I81">
        <v>0</v>
      </c>
      <c r="J81">
        <v>0</v>
      </c>
      <c r="K81">
        <v>2.54</v>
      </c>
      <c r="L81" t="s">
        <v>4858</v>
      </c>
      <c r="M81">
        <v>23</v>
      </c>
      <c r="N81">
        <v>9.0500000000000007</v>
      </c>
      <c r="O81" t="s">
        <v>104</v>
      </c>
      <c r="P81" t="s">
        <v>103</v>
      </c>
      <c r="Q81">
        <v>23</v>
      </c>
      <c r="R81">
        <v>9.0500000000000007</v>
      </c>
    </row>
    <row r="82" spans="1:18" x14ac:dyDescent="0.3">
      <c r="A82" s="22" t="s">
        <v>74</v>
      </c>
      <c r="B82" t="s">
        <v>69</v>
      </c>
      <c r="C82" t="s">
        <v>98</v>
      </c>
      <c r="D82">
        <v>108567934</v>
      </c>
      <c r="E82" t="s">
        <v>5646</v>
      </c>
      <c r="F82" t="s">
        <v>5169</v>
      </c>
      <c r="G82">
        <v>0</v>
      </c>
      <c r="H82">
        <v>0</v>
      </c>
      <c r="I82">
        <v>0</v>
      </c>
      <c r="J82">
        <v>0</v>
      </c>
      <c r="K82">
        <v>5.08</v>
      </c>
      <c r="L82" t="s">
        <v>4858</v>
      </c>
      <c r="M82">
        <v>26</v>
      </c>
      <c r="N82">
        <v>5.12</v>
      </c>
      <c r="O82" t="s">
        <v>104</v>
      </c>
      <c r="P82" t="s">
        <v>103</v>
      </c>
      <c r="Q82">
        <v>26</v>
      </c>
      <c r="R82">
        <v>5.12</v>
      </c>
    </row>
    <row r="83" spans="1:18" x14ac:dyDescent="0.3">
      <c r="A83" s="22" t="s">
        <v>74</v>
      </c>
      <c r="B83" t="s">
        <v>69</v>
      </c>
      <c r="C83" t="s">
        <v>98</v>
      </c>
      <c r="D83">
        <v>108626236</v>
      </c>
      <c r="E83" t="s">
        <v>5885</v>
      </c>
      <c r="F83" t="s">
        <v>5563</v>
      </c>
      <c r="G83">
        <v>0</v>
      </c>
      <c r="H83">
        <v>0</v>
      </c>
      <c r="I83">
        <v>0</v>
      </c>
      <c r="J83">
        <v>0</v>
      </c>
      <c r="K83">
        <v>4.68</v>
      </c>
      <c r="L83" t="s">
        <v>4858</v>
      </c>
      <c r="M83">
        <v>10</v>
      </c>
      <c r="N83">
        <v>2.14</v>
      </c>
      <c r="O83" t="s">
        <v>104</v>
      </c>
      <c r="P83" t="s">
        <v>103</v>
      </c>
      <c r="Q83">
        <v>10</v>
      </c>
      <c r="R83">
        <v>2.14</v>
      </c>
    </row>
    <row r="84" spans="1:18" x14ac:dyDescent="0.3">
      <c r="A84" s="22" t="s">
        <v>74</v>
      </c>
      <c r="B84" t="s">
        <v>69</v>
      </c>
      <c r="C84" t="s">
        <v>5892</v>
      </c>
      <c r="D84">
        <v>108636794</v>
      </c>
      <c r="E84" t="s">
        <v>5893</v>
      </c>
      <c r="F84" t="s">
        <v>5595</v>
      </c>
      <c r="G84">
        <v>0</v>
      </c>
      <c r="H84">
        <v>0</v>
      </c>
      <c r="I84">
        <v>0</v>
      </c>
      <c r="J84">
        <v>0</v>
      </c>
      <c r="K84">
        <v>3.34</v>
      </c>
      <c r="L84" t="s">
        <v>4858</v>
      </c>
      <c r="M84">
        <v>11</v>
      </c>
      <c r="N84">
        <v>3.29</v>
      </c>
      <c r="O84" t="s">
        <v>104</v>
      </c>
      <c r="P84" t="s">
        <v>103</v>
      </c>
      <c r="Q84">
        <v>11</v>
      </c>
      <c r="R84">
        <v>3.29</v>
      </c>
    </row>
    <row r="85" spans="1:18" x14ac:dyDescent="0.3">
      <c r="A85" s="22" t="s">
        <v>74</v>
      </c>
      <c r="B85" t="s">
        <v>69</v>
      </c>
      <c r="C85" t="s">
        <v>98</v>
      </c>
      <c r="D85">
        <v>108683886</v>
      </c>
      <c r="E85" t="s">
        <v>5883</v>
      </c>
      <c r="F85" t="s">
        <v>5595</v>
      </c>
      <c r="G85">
        <v>0</v>
      </c>
      <c r="H85">
        <v>0</v>
      </c>
      <c r="I85">
        <v>0</v>
      </c>
      <c r="J85">
        <v>0</v>
      </c>
      <c r="K85">
        <v>0</v>
      </c>
      <c r="L85" t="s">
        <v>4858</v>
      </c>
      <c r="M85">
        <v>2</v>
      </c>
      <c r="N85">
        <v>0</v>
      </c>
      <c r="O85" t="s">
        <v>104</v>
      </c>
      <c r="P85" t="s">
        <v>103</v>
      </c>
      <c r="Q85">
        <v>2</v>
      </c>
      <c r="R85">
        <v>0</v>
      </c>
    </row>
    <row r="86" spans="1:18" x14ac:dyDescent="0.3">
      <c r="A86" s="22" t="s">
        <v>74</v>
      </c>
      <c r="B86" t="s">
        <v>69</v>
      </c>
      <c r="C86" t="s">
        <v>98</v>
      </c>
      <c r="D86">
        <v>108836581</v>
      </c>
      <c r="E86" t="s">
        <v>5647</v>
      </c>
      <c r="F86" t="s">
        <v>5563</v>
      </c>
      <c r="G86">
        <v>0</v>
      </c>
      <c r="H86">
        <v>0</v>
      </c>
      <c r="I86">
        <v>0</v>
      </c>
      <c r="J86">
        <v>0</v>
      </c>
      <c r="K86">
        <v>1.99</v>
      </c>
      <c r="L86" t="s">
        <v>4858</v>
      </c>
      <c r="M86">
        <v>7</v>
      </c>
      <c r="N86">
        <v>3.52</v>
      </c>
      <c r="O86" t="s">
        <v>104</v>
      </c>
      <c r="P86" t="s">
        <v>103</v>
      </c>
      <c r="Q86">
        <v>7</v>
      </c>
      <c r="R86">
        <v>3.52</v>
      </c>
    </row>
    <row r="87" spans="1:18" x14ac:dyDescent="0.3">
      <c r="A87" s="22" t="s">
        <v>74</v>
      </c>
      <c r="B87" t="s">
        <v>69</v>
      </c>
      <c r="C87" t="s">
        <v>98</v>
      </c>
      <c r="D87">
        <v>108838352</v>
      </c>
      <c r="E87" t="s">
        <v>5894</v>
      </c>
      <c r="F87" t="s">
        <v>5169</v>
      </c>
      <c r="G87">
        <v>0</v>
      </c>
      <c r="H87">
        <v>0</v>
      </c>
      <c r="I87">
        <v>0</v>
      </c>
      <c r="J87">
        <v>0</v>
      </c>
      <c r="K87">
        <v>4.25</v>
      </c>
      <c r="L87" t="s">
        <v>4858</v>
      </c>
      <c r="M87">
        <v>39</v>
      </c>
      <c r="N87">
        <v>9.17</v>
      </c>
      <c r="O87" t="s">
        <v>104</v>
      </c>
      <c r="P87" t="s">
        <v>103</v>
      </c>
      <c r="Q87">
        <v>39</v>
      </c>
      <c r="R87">
        <v>9.17</v>
      </c>
    </row>
    <row r="88" spans="1:18" x14ac:dyDescent="0.3">
      <c r="A88" s="22" t="s">
        <v>74</v>
      </c>
      <c r="B88" t="s">
        <v>69</v>
      </c>
      <c r="C88" t="s">
        <v>98</v>
      </c>
      <c r="D88">
        <v>109400344</v>
      </c>
      <c r="E88" t="s">
        <v>5934</v>
      </c>
      <c r="F88" t="s">
        <v>5935</v>
      </c>
      <c r="G88">
        <v>0</v>
      </c>
      <c r="H88">
        <v>0</v>
      </c>
      <c r="I88">
        <v>0</v>
      </c>
      <c r="J88">
        <v>0</v>
      </c>
      <c r="K88">
        <v>0.23</v>
      </c>
      <c r="L88" t="s">
        <v>4858</v>
      </c>
      <c r="M88">
        <v>13</v>
      </c>
      <c r="N88">
        <v>57.28</v>
      </c>
      <c r="O88" t="s">
        <v>104</v>
      </c>
      <c r="P88" t="s">
        <v>103</v>
      </c>
      <c r="Q88">
        <v>13</v>
      </c>
      <c r="R88">
        <v>57.28</v>
      </c>
    </row>
    <row r="89" spans="1:18" x14ac:dyDescent="0.3">
      <c r="A89" s="22" t="s">
        <v>74</v>
      </c>
      <c r="B89" t="s">
        <v>69</v>
      </c>
      <c r="C89" t="s">
        <v>98</v>
      </c>
      <c r="D89">
        <v>109400368</v>
      </c>
      <c r="E89" t="s">
        <v>5945</v>
      </c>
      <c r="F89" t="s">
        <v>5935</v>
      </c>
      <c r="G89">
        <v>0</v>
      </c>
      <c r="H89">
        <v>0</v>
      </c>
      <c r="I89">
        <v>0</v>
      </c>
      <c r="J89">
        <v>0</v>
      </c>
      <c r="K89">
        <v>0.45</v>
      </c>
      <c r="L89" t="s">
        <v>4858</v>
      </c>
      <c r="M89">
        <v>13</v>
      </c>
      <c r="N89">
        <v>28.89</v>
      </c>
      <c r="O89" t="s">
        <v>104</v>
      </c>
      <c r="P89" t="s">
        <v>103</v>
      </c>
      <c r="Q89">
        <v>13</v>
      </c>
      <c r="R89">
        <v>28.89</v>
      </c>
    </row>
    <row r="90" spans="1:18" x14ac:dyDescent="0.3">
      <c r="A90" s="22" t="s">
        <v>74</v>
      </c>
      <c r="B90" t="s">
        <v>78</v>
      </c>
      <c r="C90" t="s">
        <v>98</v>
      </c>
      <c r="D90">
        <v>109017982</v>
      </c>
      <c r="E90" t="s">
        <v>5926</v>
      </c>
      <c r="F90" t="s">
        <v>5917</v>
      </c>
      <c r="G90">
        <v>0</v>
      </c>
      <c r="H90">
        <v>0</v>
      </c>
      <c r="I90">
        <v>0</v>
      </c>
      <c r="J90">
        <v>0</v>
      </c>
      <c r="K90">
        <v>7.0000000000000007E-2</v>
      </c>
    </row>
    <row r="91" spans="1:18" x14ac:dyDescent="0.3">
      <c r="A91" s="22" t="s">
        <v>74</v>
      </c>
      <c r="B91" t="s">
        <v>5949</v>
      </c>
      <c r="C91" t="s">
        <v>98</v>
      </c>
      <c r="D91">
        <v>100882950</v>
      </c>
      <c r="E91" t="s">
        <v>5888</v>
      </c>
      <c r="F91" t="s">
        <v>5595</v>
      </c>
      <c r="G91">
        <v>0</v>
      </c>
      <c r="H91">
        <v>0</v>
      </c>
      <c r="I91">
        <v>0</v>
      </c>
      <c r="J91">
        <v>0</v>
      </c>
      <c r="K91">
        <v>0.7</v>
      </c>
    </row>
    <row r="92" spans="1:18" x14ac:dyDescent="0.3">
      <c r="A92" s="22" t="s">
        <v>74</v>
      </c>
      <c r="B92" t="s">
        <v>5596</v>
      </c>
      <c r="C92" t="s">
        <v>98</v>
      </c>
      <c r="D92">
        <v>108063740</v>
      </c>
      <c r="E92" t="s">
        <v>5631</v>
      </c>
      <c r="F92" t="s">
        <v>5563</v>
      </c>
      <c r="G92">
        <v>0</v>
      </c>
      <c r="H92">
        <v>0</v>
      </c>
      <c r="I92">
        <v>0</v>
      </c>
      <c r="J92">
        <v>0</v>
      </c>
      <c r="K92">
        <v>5.5</v>
      </c>
      <c r="L92" t="s">
        <v>4858</v>
      </c>
      <c r="M92">
        <v>4</v>
      </c>
      <c r="N92">
        <v>0.73</v>
      </c>
      <c r="O92" t="s">
        <v>104</v>
      </c>
      <c r="P92" t="s">
        <v>103</v>
      </c>
      <c r="Q92">
        <v>4</v>
      </c>
      <c r="R92">
        <v>0.73</v>
      </c>
    </row>
    <row r="93" spans="1:18" x14ac:dyDescent="0.3">
      <c r="A93" s="22" t="s">
        <v>74</v>
      </c>
      <c r="B93" t="s">
        <v>5596</v>
      </c>
      <c r="C93" t="s">
        <v>98</v>
      </c>
      <c r="D93">
        <v>108063740</v>
      </c>
      <c r="E93" t="s">
        <v>5631</v>
      </c>
      <c r="F93" t="s">
        <v>5563</v>
      </c>
      <c r="G93">
        <v>0</v>
      </c>
      <c r="H93">
        <v>0</v>
      </c>
      <c r="I93">
        <v>0</v>
      </c>
      <c r="J93">
        <v>0</v>
      </c>
      <c r="K93">
        <v>5.5</v>
      </c>
      <c r="L93" t="s">
        <v>4857</v>
      </c>
      <c r="M93">
        <v>1</v>
      </c>
      <c r="N93">
        <v>0.18</v>
      </c>
      <c r="O93" t="s">
        <v>104</v>
      </c>
      <c r="P93" t="s">
        <v>103</v>
      </c>
      <c r="Q93">
        <v>1</v>
      </c>
      <c r="R93">
        <v>0.18</v>
      </c>
    </row>
    <row r="94" spans="1:18" x14ac:dyDescent="0.3">
      <c r="A94" s="22" t="s">
        <v>74</v>
      </c>
      <c r="B94" t="s">
        <v>5596</v>
      </c>
      <c r="C94" t="s">
        <v>98</v>
      </c>
      <c r="D94">
        <v>108146628</v>
      </c>
      <c r="E94" t="s">
        <v>5950</v>
      </c>
      <c r="F94" t="s">
        <v>5563</v>
      </c>
      <c r="G94">
        <v>0</v>
      </c>
      <c r="H94">
        <v>0</v>
      </c>
      <c r="I94">
        <v>0</v>
      </c>
      <c r="J94">
        <v>0</v>
      </c>
      <c r="K94">
        <v>5.42</v>
      </c>
      <c r="L94" t="s">
        <v>4858</v>
      </c>
      <c r="M94">
        <v>0</v>
      </c>
      <c r="N94">
        <v>0</v>
      </c>
      <c r="O94" t="s">
        <v>104</v>
      </c>
      <c r="P94" t="s">
        <v>103</v>
      </c>
      <c r="Q94">
        <v>0</v>
      </c>
      <c r="R94">
        <v>0</v>
      </c>
    </row>
    <row r="95" spans="1:18" x14ac:dyDescent="0.3">
      <c r="A95" s="22" t="s">
        <v>74</v>
      </c>
      <c r="B95" t="s">
        <v>5596</v>
      </c>
      <c r="C95" t="s">
        <v>98</v>
      </c>
      <c r="D95">
        <v>108146628</v>
      </c>
      <c r="E95" t="s">
        <v>5950</v>
      </c>
      <c r="F95" t="s">
        <v>5563</v>
      </c>
      <c r="G95">
        <v>0</v>
      </c>
      <c r="H95">
        <v>0</v>
      </c>
      <c r="I95">
        <v>0</v>
      </c>
      <c r="J95">
        <v>0</v>
      </c>
      <c r="K95">
        <v>5.42</v>
      </c>
      <c r="L95" t="s">
        <v>4857</v>
      </c>
      <c r="M95">
        <v>0</v>
      </c>
      <c r="N95">
        <v>0</v>
      </c>
      <c r="O95" t="s">
        <v>104</v>
      </c>
      <c r="P95" t="s">
        <v>103</v>
      </c>
      <c r="Q95">
        <v>0</v>
      </c>
      <c r="R95">
        <v>0</v>
      </c>
    </row>
    <row r="96" spans="1:18" x14ac:dyDescent="0.3">
      <c r="A96" s="22" t="s">
        <v>74</v>
      </c>
      <c r="B96" t="s">
        <v>65</v>
      </c>
      <c r="C96" t="s">
        <v>98</v>
      </c>
      <c r="D96">
        <v>108493028</v>
      </c>
      <c r="E96" t="s">
        <v>5629</v>
      </c>
      <c r="F96" t="s">
        <v>5169</v>
      </c>
      <c r="G96">
        <v>0</v>
      </c>
      <c r="H96">
        <v>0</v>
      </c>
      <c r="I96">
        <v>0</v>
      </c>
      <c r="J96">
        <v>0</v>
      </c>
      <c r="K96">
        <v>4.5999999999999996</v>
      </c>
    </row>
    <row r="97" spans="1:1" x14ac:dyDescent="0.3">
      <c r="A97" s="22" t="s">
        <v>81</v>
      </c>
    </row>
    <row r="98" spans="1:1" x14ac:dyDescent="0.3">
      <c r="A98" s="22"/>
    </row>
    <row r="99" spans="1:1" x14ac:dyDescent="0.3">
      <c r="A99" s="22"/>
    </row>
    <row r="100" spans="1:1" x14ac:dyDescent="0.3">
      <c r="A100" s="22"/>
    </row>
    <row r="101" spans="1:1" x14ac:dyDescent="0.3">
      <c r="A101" s="22"/>
    </row>
    <row r="102" spans="1:1" x14ac:dyDescent="0.3">
      <c r="A102" s="22"/>
    </row>
    <row r="103" spans="1:1" x14ac:dyDescent="0.3">
      <c r="A103" s="22"/>
    </row>
    <row r="104" spans="1:1" x14ac:dyDescent="0.3">
      <c r="A104" s="22"/>
    </row>
    <row r="105" spans="1:1" x14ac:dyDescent="0.3">
      <c r="A105" s="22"/>
    </row>
    <row r="106" spans="1:1" x14ac:dyDescent="0.3">
      <c r="A106" s="22"/>
    </row>
    <row r="107" spans="1:1" x14ac:dyDescent="0.3">
      <c r="A107" s="22"/>
    </row>
    <row r="108" spans="1:1" x14ac:dyDescent="0.3">
      <c r="A108" s="22"/>
    </row>
    <row r="109" spans="1:1" x14ac:dyDescent="0.3">
      <c r="A109" s="22"/>
    </row>
    <row r="110" spans="1:1" x14ac:dyDescent="0.3">
      <c r="A110" s="22"/>
    </row>
    <row r="111" spans="1:1" x14ac:dyDescent="0.3">
      <c r="A111" s="22"/>
    </row>
    <row r="112" spans="1:1" x14ac:dyDescent="0.3">
      <c r="A112" s="22"/>
    </row>
    <row r="113" spans="1:1" x14ac:dyDescent="0.3">
      <c r="A113" s="22"/>
    </row>
    <row r="114" spans="1:1" x14ac:dyDescent="0.3">
      <c r="A114" s="22"/>
    </row>
    <row r="115" spans="1:1" x14ac:dyDescent="0.3">
      <c r="A115" s="22"/>
    </row>
    <row r="116" spans="1:1" x14ac:dyDescent="0.3">
      <c r="A116" s="22"/>
    </row>
    <row r="117" spans="1:1" x14ac:dyDescent="0.3">
      <c r="A117" s="22"/>
    </row>
    <row r="118" spans="1:1" x14ac:dyDescent="0.3">
      <c r="A118" s="22"/>
    </row>
    <row r="119" spans="1:1" x14ac:dyDescent="0.3">
      <c r="A119" s="22"/>
    </row>
    <row r="120" spans="1:1" x14ac:dyDescent="0.3">
      <c r="A120" s="22"/>
    </row>
    <row r="121" spans="1:1" x14ac:dyDescent="0.3">
      <c r="A121" s="22"/>
    </row>
    <row r="122" spans="1:1" x14ac:dyDescent="0.3">
      <c r="A122" s="22"/>
    </row>
    <row r="123" spans="1:1" x14ac:dyDescent="0.3">
      <c r="A123" s="22"/>
    </row>
    <row r="124" spans="1:1" x14ac:dyDescent="0.3">
      <c r="A124" s="22"/>
    </row>
    <row r="125" spans="1:1" x14ac:dyDescent="0.3">
      <c r="A125" s="22"/>
    </row>
    <row r="126" spans="1:1" x14ac:dyDescent="0.3">
      <c r="A126" s="22"/>
    </row>
    <row r="127" spans="1:1" x14ac:dyDescent="0.3">
      <c r="A127" s="22"/>
    </row>
    <row r="128" spans="1:1" x14ac:dyDescent="0.3">
      <c r="A128" s="22"/>
    </row>
    <row r="129" spans="1:1" x14ac:dyDescent="0.3">
      <c r="A129" s="22"/>
    </row>
    <row r="130" spans="1:1" x14ac:dyDescent="0.3">
      <c r="A130" s="22"/>
    </row>
    <row r="131" spans="1:1" x14ac:dyDescent="0.3">
      <c r="A131" s="22"/>
    </row>
    <row r="132" spans="1:1" x14ac:dyDescent="0.3">
      <c r="A132" s="22"/>
    </row>
    <row r="133" spans="1:1" x14ac:dyDescent="0.3">
      <c r="A133" s="22"/>
    </row>
    <row r="134" spans="1:1" x14ac:dyDescent="0.3">
      <c r="A134" s="22"/>
    </row>
    <row r="135" spans="1:1" x14ac:dyDescent="0.3">
      <c r="A135" s="22"/>
    </row>
    <row r="136" spans="1:1" x14ac:dyDescent="0.3">
      <c r="A136" s="22"/>
    </row>
    <row r="137" spans="1:1" x14ac:dyDescent="0.3">
      <c r="A137" s="22"/>
    </row>
    <row r="138" spans="1:1" x14ac:dyDescent="0.3">
      <c r="A138" s="22"/>
    </row>
    <row r="139" spans="1:1" x14ac:dyDescent="0.3">
      <c r="A139" s="22"/>
    </row>
    <row r="140" spans="1:1" x14ac:dyDescent="0.3">
      <c r="A140" s="22"/>
    </row>
    <row r="141" spans="1:1" x14ac:dyDescent="0.3">
      <c r="A141" s="22"/>
    </row>
    <row r="142" spans="1:1" x14ac:dyDescent="0.3">
      <c r="A142" s="22"/>
    </row>
    <row r="143" spans="1:1" x14ac:dyDescent="0.3">
      <c r="A143" s="22"/>
    </row>
    <row r="144" spans="1:1" x14ac:dyDescent="0.3">
      <c r="A144" s="22"/>
    </row>
    <row r="145" spans="1:1" x14ac:dyDescent="0.3">
      <c r="A145" s="22"/>
    </row>
    <row r="146" spans="1:1" x14ac:dyDescent="0.3">
      <c r="A146" s="22"/>
    </row>
    <row r="147" spans="1:1" x14ac:dyDescent="0.3">
      <c r="A147" s="22"/>
    </row>
    <row r="148" spans="1:1" x14ac:dyDescent="0.3">
      <c r="A148" s="22"/>
    </row>
    <row r="149" spans="1:1" x14ac:dyDescent="0.3">
      <c r="A149" s="22"/>
    </row>
    <row r="150" spans="1:1" x14ac:dyDescent="0.3">
      <c r="A150" s="22"/>
    </row>
    <row r="151" spans="1:1" x14ac:dyDescent="0.3">
      <c r="A151" s="22"/>
    </row>
    <row r="152" spans="1:1" x14ac:dyDescent="0.3">
      <c r="A152" s="22"/>
    </row>
    <row r="153" spans="1:1" x14ac:dyDescent="0.3">
      <c r="A153" s="22"/>
    </row>
    <row r="154" spans="1:1" x14ac:dyDescent="0.3">
      <c r="A154" s="22"/>
    </row>
    <row r="155" spans="1:1" x14ac:dyDescent="0.3">
      <c r="A155" s="22"/>
    </row>
    <row r="156" spans="1:1" x14ac:dyDescent="0.3">
      <c r="A156" s="22"/>
    </row>
    <row r="157" spans="1:1" x14ac:dyDescent="0.3">
      <c r="A157" s="22"/>
    </row>
    <row r="158" spans="1:1" x14ac:dyDescent="0.3">
      <c r="A158" s="22"/>
    </row>
    <row r="159" spans="1:1" x14ac:dyDescent="0.3">
      <c r="A159" s="22"/>
    </row>
    <row r="160" spans="1:1" x14ac:dyDescent="0.3">
      <c r="A160" s="22"/>
    </row>
    <row r="161" spans="1:1" x14ac:dyDescent="0.3">
      <c r="A161" s="22"/>
    </row>
    <row r="162" spans="1:1" x14ac:dyDescent="0.3">
      <c r="A162" s="22"/>
    </row>
    <row r="163" spans="1:1" x14ac:dyDescent="0.3">
      <c r="A163" s="22"/>
    </row>
    <row r="164" spans="1:1" x14ac:dyDescent="0.3">
      <c r="A164" s="22"/>
    </row>
    <row r="165" spans="1:1" x14ac:dyDescent="0.3">
      <c r="A165" s="22"/>
    </row>
    <row r="166" spans="1:1" x14ac:dyDescent="0.3">
      <c r="A166" s="22"/>
    </row>
    <row r="167" spans="1:1" x14ac:dyDescent="0.3">
      <c r="A167" s="22"/>
    </row>
    <row r="168" spans="1:1" x14ac:dyDescent="0.3">
      <c r="A168" s="22"/>
    </row>
    <row r="169" spans="1:1" x14ac:dyDescent="0.3">
      <c r="A169" s="22"/>
    </row>
    <row r="170" spans="1:1" x14ac:dyDescent="0.3">
      <c r="A170" s="22"/>
    </row>
    <row r="171" spans="1:1" x14ac:dyDescent="0.3">
      <c r="A171" s="22"/>
    </row>
    <row r="172" spans="1:1" x14ac:dyDescent="0.3">
      <c r="A172" s="22"/>
    </row>
    <row r="173" spans="1:1" x14ac:dyDescent="0.3">
      <c r="A173" s="22"/>
    </row>
    <row r="174" spans="1:1" x14ac:dyDescent="0.3">
      <c r="A174" s="22"/>
    </row>
    <row r="175" spans="1:1" x14ac:dyDescent="0.3">
      <c r="A175" s="22"/>
    </row>
    <row r="176" spans="1:1" x14ac:dyDescent="0.3">
      <c r="A176" s="22"/>
    </row>
    <row r="177" spans="1:1" x14ac:dyDescent="0.3">
      <c r="A177" s="22"/>
    </row>
    <row r="178" spans="1:1" x14ac:dyDescent="0.3">
      <c r="A178" s="22"/>
    </row>
    <row r="179" spans="1:1" x14ac:dyDescent="0.3">
      <c r="A179" s="22"/>
    </row>
    <row r="180" spans="1:1" x14ac:dyDescent="0.3">
      <c r="A180" s="22"/>
    </row>
    <row r="181" spans="1:1" x14ac:dyDescent="0.3">
      <c r="A181" s="22"/>
    </row>
    <row r="182" spans="1:1" x14ac:dyDescent="0.3">
      <c r="A182" s="22"/>
    </row>
    <row r="183" spans="1:1" x14ac:dyDescent="0.3">
      <c r="A183" s="22"/>
    </row>
    <row r="184" spans="1:1" x14ac:dyDescent="0.3">
      <c r="A184" s="22"/>
    </row>
    <row r="185" spans="1:1" x14ac:dyDescent="0.3">
      <c r="A185" s="22"/>
    </row>
    <row r="186" spans="1:1" x14ac:dyDescent="0.3">
      <c r="A186" s="22"/>
    </row>
    <row r="187" spans="1:1" x14ac:dyDescent="0.3">
      <c r="A187" s="22"/>
    </row>
    <row r="188" spans="1:1" x14ac:dyDescent="0.3">
      <c r="A188" s="22"/>
    </row>
    <row r="189" spans="1:1" x14ac:dyDescent="0.3">
      <c r="A189" s="22"/>
    </row>
    <row r="190" spans="1:1" x14ac:dyDescent="0.3">
      <c r="A190" s="22"/>
    </row>
    <row r="191" spans="1:1" x14ac:dyDescent="0.3">
      <c r="A191" s="22"/>
    </row>
    <row r="192" spans="1:1" x14ac:dyDescent="0.3">
      <c r="A192" s="22"/>
    </row>
    <row r="193" spans="1:1" x14ac:dyDescent="0.3">
      <c r="A193" s="22"/>
    </row>
    <row r="194" spans="1:1" x14ac:dyDescent="0.3">
      <c r="A194" s="22"/>
    </row>
    <row r="195" spans="1:1" x14ac:dyDescent="0.3">
      <c r="A195" s="22"/>
    </row>
    <row r="196" spans="1:1" x14ac:dyDescent="0.3">
      <c r="A196" s="22"/>
    </row>
    <row r="197" spans="1:1" x14ac:dyDescent="0.3">
      <c r="A197" s="22"/>
    </row>
    <row r="198" spans="1:1" x14ac:dyDescent="0.3">
      <c r="A198" s="22"/>
    </row>
    <row r="199" spans="1:1" x14ac:dyDescent="0.3">
      <c r="A199" s="22"/>
    </row>
    <row r="200" spans="1:1" x14ac:dyDescent="0.3">
      <c r="A200" s="22"/>
    </row>
    <row r="201" spans="1:1" x14ac:dyDescent="0.3">
      <c r="A201" s="22"/>
    </row>
    <row r="202" spans="1:1" x14ac:dyDescent="0.3">
      <c r="A202" s="22"/>
    </row>
    <row r="203" spans="1:1" x14ac:dyDescent="0.3">
      <c r="A203" s="22"/>
    </row>
    <row r="204" spans="1:1" x14ac:dyDescent="0.3">
      <c r="A204" s="22"/>
    </row>
    <row r="205" spans="1:1" x14ac:dyDescent="0.3">
      <c r="A205" s="22"/>
    </row>
    <row r="206" spans="1:1" x14ac:dyDescent="0.3">
      <c r="A206" s="22"/>
    </row>
    <row r="207" spans="1:1" x14ac:dyDescent="0.3">
      <c r="A207" s="22"/>
    </row>
    <row r="208" spans="1:1" x14ac:dyDescent="0.3">
      <c r="A208" s="22"/>
    </row>
    <row r="209" spans="1:1" x14ac:dyDescent="0.3">
      <c r="A209" s="22"/>
    </row>
    <row r="210" spans="1:1" x14ac:dyDescent="0.3">
      <c r="A210" s="22"/>
    </row>
    <row r="211" spans="1:1" x14ac:dyDescent="0.3">
      <c r="A211" s="22"/>
    </row>
    <row r="212" spans="1:1" x14ac:dyDescent="0.3">
      <c r="A212" s="22"/>
    </row>
    <row r="213" spans="1:1" x14ac:dyDescent="0.3">
      <c r="A213" s="22"/>
    </row>
    <row r="214" spans="1:1" x14ac:dyDescent="0.3">
      <c r="A214" s="22"/>
    </row>
    <row r="215" spans="1:1" x14ac:dyDescent="0.3">
      <c r="A215" s="22"/>
    </row>
    <row r="216" spans="1:1" x14ac:dyDescent="0.3">
      <c r="A216" s="22"/>
    </row>
    <row r="217" spans="1:1" x14ac:dyDescent="0.3">
      <c r="A217" s="22"/>
    </row>
    <row r="218" spans="1:1" x14ac:dyDescent="0.3">
      <c r="A218" s="22"/>
    </row>
    <row r="219" spans="1:1" x14ac:dyDescent="0.3">
      <c r="A219" s="22"/>
    </row>
    <row r="220" spans="1:1" x14ac:dyDescent="0.3">
      <c r="A220" s="22"/>
    </row>
    <row r="221" spans="1:1" x14ac:dyDescent="0.3">
      <c r="A221" s="22"/>
    </row>
    <row r="222" spans="1:1" x14ac:dyDescent="0.3">
      <c r="A222" s="22"/>
    </row>
    <row r="223" spans="1:1" x14ac:dyDescent="0.3">
      <c r="A223" s="22"/>
    </row>
    <row r="224" spans="1:1" x14ac:dyDescent="0.3">
      <c r="A224" s="22"/>
    </row>
    <row r="225" spans="1:1" x14ac:dyDescent="0.3">
      <c r="A225" s="22"/>
    </row>
    <row r="226" spans="1:1" x14ac:dyDescent="0.3">
      <c r="A226" s="22"/>
    </row>
    <row r="227" spans="1:1" x14ac:dyDescent="0.3">
      <c r="A227" s="22"/>
    </row>
    <row r="228" spans="1:1" x14ac:dyDescent="0.3">
      <c r="A228" s="22"/>
    </row>
    <row r="229" spans="1:1" x14ac:dyDescent="0.3">
      <c r="A229" s="22"/>
    </row>
    <row r="230" spans="1:1" x14ac:dyDescent="0.3">
      <c r="A230" s="22"/>
    </row>
    <row r="231" spans="1:1" x14ac:dyDescent="0.3">
      <c r="A231" s="22"/>
    </row>
    <row r="232" spans="1:1" x14ac:dyDescent="0.3">
      <c r="A232" s="22"/>
    </row>
    <row r="233" spans="1:1" x14ac:dyDescent="0.3">
      <c r="A233" s="22"/>
    </row>
    <row r="234" spans="1:1" x14ac:dyDescent="0.3">
      <c r="A234" s="22"/>
    </row>
    <row r="235" spans="1:1" x14ac:dyDescent="0.3">
      <c r="A235" s="22"/>
    </row>
    <row r="236" spans="1:1" x14ac:dyDescent="0.3">
      <c r="A236" s="22"/>
    </row>
    <row r="237" spans="1:1" x14ac:dyDescent="0.3">
      <c r="A237" s="22"/>
    </row>
    <row r="238" spans="1:1" x14ac:dyDescent="0.3">
      <c r="A238" s="22"/>
    </row>
    <row r="239" spans="1:1" x14ac:dyDescent="0.3">
      <c r="A239" s="22"/>
    </row>
    <row r="240" spans="1:1" x14ac:dyDescent="0.3">
      <c r="A240" s="22"/>
    </row>
    <row r="241" spans="1:1" x14ac:dyDescent="0.3">
      <c r="A241" s="22"/>
    </row>
    <row r="242" spans="1:1" x14ac:dyDescent="0.3">
      <c r="A242" s="22"/>
    </row>
    <row r="243" spans="1:1" x14ac:dyDescent="0.3">
      <c r="A243" s="22"/>
    </row>
    <row r="244" spans="1:1" x14ac:dyDescent="0.3">
      <c r="A244" s="22"/>
    </row>
    <row r="245" spans="1:1" x14ac:dyDescent="0.3">
      <c r="A245" s="22"/>
    </row>
    <row r="246" spans="1:1" x14ac:dyDescent="0.3">
      <c r="A246" s="22"/>
    </row>
    <row r="247" spans="1:1" x14ac:dyDescent="0.3">
      <c r="A247" s="22"/>
    </row>
    <row r="248" spans="1:1" x14ac:dyDescent="0.3">
      <c r="A248" s="22"/>
    </row>
    <row r="249" spans="1:1" x14ac:dyDescent="0.3">
      <c r="A249" s="22"/>
    </row>
    <row r="250" spans="1:1" x14ac:dyDescent="0.3">
      <c r="A250" s="22"/>
    </row>
    <row r="251" spans="1:1" x14ac:dyDescent="0.3">
      <c r="A251" s="22"/>
    </row>
    <row r="252" spans="1:1" x14ac:dyDescent="0.3">
      <c r="A252" s="22"/>
    </row>
    <row r="253" spans="1:1" x14ac:dyDescent="0.3">
      <c r="A253" s="22"/>
    </row>
    <row r="254" spans="1:1" x14ac:dyDescent="0.3">
      <c r="A254" s="22"/>
    </row>
    <row r="255" spans="1:1" x14ac:dyDescent="0.3">
      <c r="A255" s="22"/>
    </row>
    <row r="256" spans="1:1" x14ac:dyDescent="0.3">
      <c r="A256" s="22"/>
    </row>
    <row r="257" spans="1:1" x14ac:dyDescent="0.3">
      <c r="A257" s="22"/>
    </row>
    <row r="258" spans="1:1" x14ac:dyDescent="0.3">
      <c r="A258" s="22"/>
    </row>
    <row r="259" spans="1:1" x14ac:dyDescent="0.3">
      <c r="A259" s="22"/>
    </row>
    <row r="260" spans="1:1" x14ac:dyDescent="0.3">
      <c r="A260" s="22"/>
    </row>
    <row r="261" spans="1:1" x14ac:dyDescent="0.3">
      <c r="A261" s="22"/>
    </row>
    <row r="262" spans="1:1" x14ac:dyDescent="0.3">
      <c r="A262" s="22"/>
    </row>
    <row r="263" spans="1:1" x14ac:dyDescent="0.3">
      <c r="A263" s="22"/>
    </row>
    <row r="264" spans="1:1" x14ac:dyDescent="0.3">
      <c r="A264" s="22"/>
    </row>
    <row r="265" spans="1:1" x14ac:dyDescent="0.3">
      <c r="A265" s="22"/>
    </row>
    <row r="266" spans="1:1" x14ac:dyDescent="0.3">
      <c r="A266" s="22"/>
    </row>
    <row r="267" spans="1:1" x14ac:dyDescent="0.3">
      <c r="A267" s="22"/>
    </row>
    <row r="268" spans="1:1" x14ac:dyDescent="0.3">
      <c r="A268" s="22"/>
    </row>
    <row r="269" spans="1:1" x14ac:dyDescent="0.3">
      <c r="A269" s="22"/>
    </row>
    <row r="270" spans="1:1" x14ac:dyDescent="0.3">
      <c r="A270" s="22"/>
    </row>
    <row r="271" spans="1:1" x14ac:dyDescent="0.3">
      <c r="A271" s="22"/>
    </row>
    <row r="272" spans="1:1" x14ac:dyDescent="0.3">
      <c r="A272" s="22"/>
    </row>
    <row r="273" spans="1:1" x14ac:dyDescent="0.3">
      <c r="A273" s="22"/>
    </row>
    <row r="274" spans="1:1" x14ac:dyDescent="0.3">
      <c r="A274" s="22"/>
    </row>
    <row r="275" spans="1:1" x14ac:dyDescent="0.3">
      <c r="A275" s="22"/>
    </row>
    <row r="276" spans="1:1" x14ac:dyDescent="0.3">
      <c r="A276" s="22"/>
    </row>
    <row r="277" spans="1:1" x14ac:dyDescent="0.3">
      <c r="A277" s="22"/>
    </row>
    <row r="278" spans="1:1" x14ac:dyDescent="0.3">
      <c r="A278" s="22"/>
    </row>
    <row r="279" spans="1:1" x14ac:dyDescent="0.3">
      <c r="A279" s="22"/>
    </row>
    <row r="280" spans="1:1" x14ac:dyDescent="0.3">
      <c r="A280" s="22"/>
    </row>
    <row r="281" spans="1:1" x14ac:dyDescent="0.3">
      <c r="A281" s="22"/>
    </row>
    <row r="282" spans="1:1" x14ac:dyDescent="0.3">
      <c r="A282" s="22"/>
    </row>
    <row r="283" spans="1:1" x14ac:dyDescent="0.3">
      <c r="A283" s="22"/>
    </row>
    <row r="284" spans="1:1" x14ac:dyDescent="0.3">
      <c r="A284" s="22"/>
    </row>
    <row r="285" spans="1:1" x14ac:dyDescent="0.3">
      <c r="A285" s="22"/>
    </row>
    <row r="286" spans="1:1" x14ac:dyDescent="0.3">
      <c r="A286" s="22"/>
    </row>
    <row r="287" spans="1:1" x14ac:dyDescent="0.3">
      <c r="A287" s="22"/>
    </row>
    <row r="288" spans="1:1" x14ac:dyDescent="0.3">
      <c r="A288" s="22"/>
    </row>
    <row r="289" spans="1:1" x14ac:dyDescent="0.3">
      <c r="A289" s="22"/>
    </row>
    <row r="290" spans="1:1" x14ac:dyDescent="0.3">
      <c r="A290" s="22"/>
    </row>
    <row r="291" spans="1:1" x14ac:dyDescent="0.3">
      <c r="A291" s="22"/>
    </row>
    <row r="292" spans="1:1" x14ac:dyDescent="0.3">
      <c r="A292" s="22"/>
    </row>
    <row r="293" spans="1:1" x14ac:dyDescent="0.3">
      <c r="A293" s="22"/>
    </row>
    <row r="294" spans="1:1" x14ac:dyDescent="0.3">
      <c r="A294" s="22"/>
    </row>
    <row r="295" spans="1:1" x14ac:dyDescent="0.3">
      <c r="A295" s="22"/>
    </row>
    <row r="296" spans="1:1" x14ac:dyDescent="0.3">
      <c r="A296" s="22"/>
    </row>
    <row r="297" spans="1:1" x14ac:dyDescent="0.3">
      <c r="A297" s="22"/>
    </row>
    <row r="298" spans="1:1" x14ac:dyDescent="0.3">
      <c r="A298" s="22"/>
    </row>
    <row r="299" spans="1:1" x14ac:dyDescent="0.3">
      <c r="A299" s="22"/>
    </row>
    <row r="300" spans="1:1" x14ac:dyDescent="0.3">
      <c r="A300" s="22"/>
    </row>
    <row r="301" spans="1:1" x14ac:dyDescent="0.3">
      <c r="A301" s="22"/>
    </row>
    <row r="302" spans="1:1" x14ac:dyDescent="0.3">
      <c r="A302" s="22"/>
    </row>
    <row r="303" spans="1:1" x14ac:dyDescent="0.3">
      <c r="A303" s="22"/>
    </row>
    <row r="304" spans="1:1" x14ac:dyDescent="0.3">
      <c r="A304" s="22"/>
    </row>
    <row r="305" spans="1:1" x14ac:dyDescent="0.3">
      <c r="A305" s="22"/>
    </row>
    <row r="306" spans="1:1" x14ac:dyDescent="0.3">
      <c r="A306" s="22"/>
    </row>
    <row r="307" spans="1:1" x14ac:dyDescent="0.3">
      <c r="A307" s="22"/>
    </row>
    <row r="308" spans="1:1" x14ac:dyDescent="0.3">
      <c r="A308" s="22"/>
    </row>
    <row r="309" spans="1:1" x14ac:dyDescent="0.3">
      <c r="A309" s="22"/>
    </row>
    <row r="310" spans="1:1" x14ac:dyDescent="0.3">
      <c r="A310" s="22"/>
    </row>
    <row r="311" spans="1:1" x14ac:dyDescent="0.3">
      <c r="A311" s="22"/>
    </row>
    <row r="312" spans="1:1" x14ac:dyDescent="0.3">
      <c r="A312" s="22"/>
    </row>
    <row r="313" spans="1:1" x14ac:dyDescent="0.3">
      <c r="A313" s="22"/>
    </row>
    <row r="314" spans="1:1" x14ac:dyDescent="0.3">
      <c r="A314" s="22"/>
    </row>
    <row r="315" spans="1:1" x14ac:dyDescent="0.3">
      <c r="A315" s="22"/>
    </row>
    <row r="316" spans="1:1" x14ac:dyDescent="0.3">
      <c r="A316" s="22"/>
    </row>
    <row r="317" spans="1:1" x14ac:dyDescent="0.3">
      <c r="A317" s="22"/>
    </row>
    <row r="318" spans="1:1" x14ac:dyDescent="0.3">
      <c r="A318" s="22"/>
    </row>
    <row r="319" spans="1:1" x14ac:dyDescent="0.3">
      <c r="A319" s="22"/>
    </row>
    <row r="320" spans="1:1" x14ac:dyDescent="0.3">
      <c r="A320" s="22"/>
    </row>
    <row r="321" spans="1:1" x14ac:dyDescent="0.3">
      <c r="A321" s="22"/>
    </row>
    <row r="322" spans="1:1" x14ac:dyDescent="0.3">
      <c r="A322" s="22"/>
    </row>
    <row r="323" spans="1:1" x14ac:dyDescent="0.3">
      <c r="A323" s="22"/>
    </row>
    <row r="324" spans="1:1" x14ac:dyDescent="0.3">
      <c r="A324" s="22"/>
    </row>
    <row r="325" spans="1:1" x14ac:dyDescent="0.3">
      <c r="A325" s="22"/>
    </row>
    <row r="326" spans="1:1" x14ac:dyDescent="0.3">
      <c r="A326" s="22"/>
    </row>
    <row r="327" spans="1:1" x14ac:dyDescent="0.3">
      <c r="A327" s="22"/>
    </row>
    <row r="328" spans="1:1" x14ac:dyDescent="0.3">
      <c r="A328" s="22"/>
    </row>
    <row r="329" spans="1:1" x14ac:dyDescent="0.3">
      <c r="A329" s="22"/>
    </row>
    <row r="330" spans="1:1" x14ac:dyDescent="0.3">
      <c r="A330" s="22"/>
    </row>
    <row r="331" spans="1:1" x14ac:dyDescent="0.3">
      <c r="A331" s="22"/>
    </row>
    <row r="332" spans="1:1" x14ac:dyDescent="0.3">
      <c r="A332" s="22"/>
    </row>
    <row r="333" spans="1:1" x14ac:dyDescent="0.3">
      <c r="A333" s="22"/>
    </row>
    <row r="334" spans="1:1" x14ac:dyDescent="0.3">
      <c r="A334" s="22"/>
    </row>
    <row r="335" spans="1:1" x14ac:dyDescent="0.3">
      <c r="A335" s="22"/>
    </row>
    <row r="336" spans="1:1" x14ac:dyDescent="0.3">
      <c r="A336" s="22"/>
    </row>
    <row r="337" spans="1:1" x14ac:dyDescent="0.3">
      <c r="A337" s="22"/>
    </row>
    <row r="338" spans="1:1" x14ac:dyDescent="0.3">
      <c r="A338" s="22"/>
    </row>
    <row r="339" spans="1:1" x14ac:dyDescent="0.3">
      <c r="A339" s="22"/>
    </row>
    <row r="340" spans="1:1" x14ac:dyDescent="0.3">
      <c r="A340" s="22"/>
    </row>
    <row r="341" spans="1:1" x14ac:dyDescent="0.3">
      <c r="A341" s="22"/>
    </row>
    <row r="342" spans="1:1" x14ac:dyDescent="0.3">
      <c r="A342" s="22"/>
    </row>
    <row r="343" spans="1:1" x14ac:dyDescent="0.3">
      <c r="A343" s="22"/>
    </row>
    <row r="344" spans="1:1" x14ac:dyDescent="0.3">
      <c r="A344" s="22"/>
    </row>
    <row r="345" spans="1:1" x14ac:dyDescent="0.3">
      <c r="A345" s="22"/>
    </row>
    <row r="346" spans="1:1" x14ac:dyDescent="0.3">
      <c r="A346" s="22"/>
    </row>
    <row r="347" spans="1:1" x14ac:dyDescent="0.3">
      <c r="A347" s="22"/>
    </row>
    <row r="348" spans="1:1" x14ac:dyDescent="0.3">
      <c r="A348" s="22"/>
    </row>
    <row r="349" spans="1:1" x14ac:dyDescent="0.3">
      <c r="A349" s="22"/>
    </row>
    <row r="350" spans="1:1" x14ac:dyDescent="0.3">
      <c r="A350" s="22"/>
    </row>
    <row r="351" spans="1:1" x14ac:dyDescent="0.3">
      <c r="A351" s="22"/>
    </row>
    <row r="352" spans="1:1" x14ac:dyDescent="0.3">
      <c r="A352" s="22"/>
    </row>
    <row r="353" spans="1:1" x14ac:dyDescent="0.3">
      <c r="A353" s="22"/>
    </row>
    <row r="354" spans="1:1" x14ac:dyDescent="0.3">
      <c r="A354" s="22"/>
    </row>
    <row r="355" spans="1:1" x14ac:dyDescent="0.3">
      <c r="A355" s="22"/>
    </row>
    <row r="356" spans="1:1" x14ac:dyDescent="0.3">
      <c r="A356" s="22"/>
    </row>
    <row r="357" spans="1:1" x14ac:dyDescent="0.3">
      <c r="A357" s="22"/>
    </row>
    <row r="358" spans="1:1" x14ac:dyDescent="0.3">
      <c r="A358" s="22"/>
    </row>
    <row r="359" spans="1:1" x14ac:dyDescent="0.3">
      <c r="A359" s="22"/>
    </row>
    <row r="360" spans="1:1" x14ac:dyDescent="0.3">
      <c r="A360" s="22"/>
    </row>
    <row r="361" spans="1:1" x14ac:dyDescent="0.3">
      <c r="A361" s="22"/>
    </row>
    <row r="362" spans="1:1" x14ac:dyDescent="0.3">
      <c r="A362" s="22"/>
    </row>
    <row r="363" spans="1:1" x14ac:dyDescent="0.3">
      <c r="A363" s="22"/>
    </row>
    <row r="364" spans="1:1" x14ac:dyDescent="0.3">
      <c r="A364" s="22"/>
    </row>
    <row r="365" spans="1:1" x14ac:dyDescent="0.3">
      <c r="A365" s="22"/>
    </row>
    <row r="366" spans="1:1" x14ac:dyDescent="0.3">
      <c r="A366" s="22"/>
    </row>
    <row r="367" spans="1:1" x14ac:dyDescent="0.3">
      <c r="A367" s="22"/>
    </row>
    <row r="368" spans="1:1" x14ac:dyDescent="0.3">
      <c r="A368" s="22"/>
    </row>
    <row r="369" spans="1:1" x14ac:dyDescent="0.3">
      <c r="A369" s="22"/>
    </row>
    <row r="370" spans="1:1" x14ac:dyDescent="0.3">
      <c r="A370" s="22"/>
    </row>
    <row r="371" spans="1:1" x14ac:dyDescent="0.3">
      <c r="A371" s="22"/>
    </row>
    <row r="372" spans="1:1" x14ac:dyDescent="0.3">
      <c r="A372" s="22"/>
    </row>
    <row r="373" spans="1:1" x14ac:dyDescent="0.3">
      <c r="A373" s="22"/>
    </row>
    <row r="374" spans="1:1" x14ac:dyDescent="0.3">
      <c r="A374" s="22"/>
    </row>
    <row r="375" spans="1:1" x14ac:dyDescent="0.3">
      <c r="A375" s="22"/>
    </row>
    <row r="376" spans="1:1" x14ac:dyDescent="0.3">
      <c r="A376" s="22"/>
    </row>
    <row r="377" spans="1:1" x14ac:dyDescent="0.3">
      <c r="A377" s="22"/>
    </row>
    <row r="378" spans="1:1" x14ac:dyDescent="0.3">
      <c r="A378" s="22"/>
    </row>
    <row r="379" spans="1:1" x14ac:dyDescent="0.3">
      <c r="A379" s="22"/>
    </row>
    <row r="380" spans="1:1" x14ac:dyDescent="0.3">
      <c r="A380" s="22"/>
    </row>
    <row r="381" spans="1:1" x14ac:dyDescent="0.3">
      <c r="A381" s="22"/>
    </row>
    <row r="382" spans="1:1" x14ac:dyDescent="0.3">
      <c r="A382" s="22"/>
    </row>
    <row r="383" spans="1:1" x14ac:dyDescent="0.3">
      <c r="A383" s="22"/>
    </row>
    <row r="384" spans="1:1" x14ac:dyDescent="0.3">
      <c r="A384" s="22"/>
    </row>
    <row r="385" spans="1:1" x14ac:dyDescent="0.3">
      <c r="A385" s="22"/>
    </row>
    <row r="386" spans="1:1" x14ac:dyDescent="0.3">
      <c r="A386" s="22"/>
    </row>
    <row r="387" spans="1:1" x14ac:dyDescent="0.3">
      <c r="A387" s="22"/>
    </row>
    <row r="388" spans="1:1" x14ac:dyDescent="0.3">
      <c r="A388" s="22"/>
    </row>
    <row r="389" spans="1:1" x14ac:dyDescent="0.3">
      <c r="A389" s="22"/>
    </row>
    <row r="390" spans="1:1" x14ac:dyDescent="0.3">
      <c r="A390" s="22"/>
    </row>
    <row r="391" spans="1:1" x14ac:dyDescent="0.3">
      <c r="A391" s="22"/>
    </row>
    <row r="392" spans="1:1" x14ac:dyDescent="0.3">
      <c r="A392" s="22"/>
    </row>
    <row r="393" spans="1:1" x14ac:dyDescent="0.3">
      <c r="A393" s="22"/>
    </row>
    <row r="394" spans="1:1" x14ac:dyDescent="0.3">
      <c r="A394" s="22"/>
    </row>
    <row r="395" spans="1:1" x14ac:dyDescent="0.3">
      <c r="A395" s="22"/>
    </row>
    <row r="396" spans="1:1" x14ac:dyDescent="0.3">
      <c r="A396" s="22"/>
    </row>
    <row r="397" spans="1:1" x14ac:dyDescent="0.3">
      <c r="A397" s="22"/>
    </row>
    <row r="398" spans="1:1" x14ac:dyDescent="0.3">
      <c r="A398" s="22"/>
    </row>
    <row r="399" spans="1:1" x14ac:dyDescent="0.3">
      <c r="A399" s="22"/>
    </row>
    <row r="400" spans="1:1" x14ac:dyDescent="0.3">
      <c r="A400" s="22"/>
    </row>
    <row r="401" spans="1:1" x14ac:dyDescent="0.3">
      <c r="A401" s="22"/>
    </row>
    <row r="402" spans="1:1" x14ac:dyDescent="0.3">
      <c r="A402" s="22"/>
    </row>
    <row r="403" spans="1:1" x14ac:dyDescent="0.3">
      <c r="A403" s="22"/>
    </row>
    <row r="404" spans="1:1" x14ac:dyDescent="0.3">
      <c r="A404" s="22"/>
    </row>
    <row r="405" spans="1:1" x14ac:dyDescent="0.3">
      <c r="A405" s="22"/>
    </row>
    <row r="406" spans="1:1" x14ac:dyDescent="0.3">
      <c r="A406" s="22"/>
    </row>
    <row r="407" spans="1:1" x14ac:dyDescent="0.3">
      <c r="A407" s="22"/>
    </row>
    <row r="408" spans="1:1" x14ac:dyDescent="0.3">
      <c r="A408" s="22"/>
    </row>
    <row r="409" spans="1:1" x14ac:dyDescent="0.3">
      <c r="A409" s="22"/>
    </row>
    <row r="410" spans="1:1" x14ac:dyDescent="0.3">
      <c r="A410" s="22"/>
    </row>
    <row r="411" spans="1:1" x14ac:dyDescent="0.3">
      <c r="A411" s="22"/>
    </row>
    <row r="412" spans="1:1" x14ac:dyDescent="0.3">
      <c r="A412" s="22"/>
    </row>
    <row r="413" spans="1:1" x14ac:dyDescent="0.3">
      <c r="A413" s="22"/>
    </row>
    <row r="414" spans="1:1" x14ac:dyDescent="0.3">
      <c r="A414" s="22"/>
    </row>
    <row r="415" spans="1:1" x14ac:dyDescent="0.3">
      <c r="A415" s="22"/>
    </row>
    <row r="416" spans="1:1" x14ac:dyDescent="0.3">
      <c r="A416" s="22"/>
    </row>
    <row r="417" spans="1:1" x14ac:dyDescent="0.3">
      <c r="A417" s="22"/>
    </row>
    <row r="418" spans="1:1" x14ac:dyDescent="0.3">
      <c r="A418" s="22"/>
    </row>
    <row r="419" spans="1:1" x14ac:dyDescent="0.3">
      <c r="A419" s="22"/>
    </row>
    <row r="420" spans="1:1" x14ac:dyDescent="0.3">
      <c r="A420" s="22"/>
    </row>
    <row r="421" spans="1:1" x14ac:dyDescent="0.3">
      <c r="A421" s="22"/>
    </row>
    <row r="422" spans="1:1" x14ac:dyDescent="0.3">
      <c r="A422" s="22"/>
    </row>
    <row r="423" spans="1:1" x14ac:dyDescent="0.3">
      <c r="A423" s="22"/>
    </row>
    <row r="424" spans="1:1" x14ac:dyDescent="0.3">
      <c r="A424" s="22"/>
    </row>
    <row r="425" spans="1:1" x14ac:dyDescent="0.3">
      <c r="A425" s="22"/>
    </row>
    <row r="426" spans="1:1" x14ac:dyDescent="0.3">
      <c r="A426" s="22"/>
    </row>
    <row r="427" spans="1:1" x14ac:dyDescent="0.3">
      <c r="A427" s="22"/>
    </row>
    <row r="428" spans="1:1" x14ac:dyDescent="0.3">
      <c r="A428" s="22"/>
    </row>
    <row r="429" spans="1:1" x14ac:dyDescent="0.3">
      <c r="A429" s="22"/>
    </row>
    <row r="430" spans="1:1" x14ac:dyDescent="0.3">
      <c r="A430" s="22"/>
    </row>
    <row r="431" spans="1:1" x14ac:dyDescent="0.3">
      <c r="A431" s="22"/>
    </row>
    <row r="432" spans="1:1" x14ac:dyDescent="0.3">
      <c r="A432" s="22"/>
    </row>
    <row r="433" spans="1:1" x14ac:dyDescent="0.3">
      <c r="A433" s="22"/>
    </row>
    <row r="434" spans="1:1" x14ac:dyDescent="0.3">
      <c r="A434" s="22"/>
    </row>
    <row r="435" spans="1:1" x14ac:dyDescent="0.3">
      <c r="A435" s="22"/>
    </row>
    <row r="436" spans="1:1" x14ac:dyDescent="0.3">
      <c r="A436" s="22"/>
    </row>
    <row r="437" spans="1:1" x14ac:dyDescent="0.3">
      <c r="A437" s="22"/>
    </row>
    <row r="438" spans="1:1" x14ac:dyDescent="0.3">
      <c r="A438" s="22"/>
    </row>
    <row r="439" spans="1:1" x14ac:dyDescent="0.3">
      <c r="A439" s="22"/>
    </row>
    <row r="440" spans="1:1" x14ac:dyDescent="0.3">
      <c r="A440" s="22"/>
    </row>
    <row r="441" spans="1:1" x14ac:dyDescent="0.3">
      <c r="A441" s="22"/>
    </row>
    <row r="442" spans="1:1" x14ac:dyDescent="0.3">
      <c r="A442" s="22"/>
    </row>
    <row r="443" spans="1:1" x14ac:dyDescent="0.3">
      <c r="A443" s="22"/>
    </row>
    <row r="444" spans="1:1" x14ac:dyDescent="0.3">
      <c r="A444" s="22"/>
    </row>
    <row r="445" spans="1:1" x14ac:dyDescent="0.3">
      <c r="A445" s="22"/>
    </row>
    <row r="446" spans="1:1" x14ac:dyDescent="0.3">
      <c r="A446" s="22"/>
    </row>
    <row r="447" spans="1:1" x14ac:dyDescent="0.3">
      <c r="A447" s="22"/>
    </row>
    <row r="448" spans="1:1" x14ac:dyDescent="0.3">
      <c r="A448" s="22"/>
    </row>
    <row r="449" spans="1:1" x14ac:dyDescent="0.3">
      <c r="A449" s="22"/>
    </row>
    <row r="450" spans="1:1" x14ac:dyDescent="0.3">
      <c r="A450" s="22"/>
    </row>
    <row r="451" spans="1:1" x14ac:dyDescent="0.3">
      <c r="A451" s="22"/>
    </row>
    <row r="452" spans="1:1" x14ac:dyDescent="0.3">
      <c r="A452" s="22"/>
    </row>
    <row r="453" spans="1:1" x14ac:dyDescent="0.3">
      <c r="A453" s="22"/>
    </row>
    <row r="454" spans="1:1" x14ac:dyDescent="0.3">
      <c r="A454" s="22"/>
    </row>
    <row r="455" spans="1:1" x14ac:dyDescent="0.3">
      <c r="A455" s="22"/>
    </row>
    <row r="456" spans="1:1" x14ac:dyDescent="0.3">
      <c r="A456" s="22"/>
    </row>
    <row r="457" spans="1:1" x14ac:dyDescent="0.3">
      <c r="A457" s="22"/>
    </row>
    <row r="458" spans="1:1" x14ac:dyDescent="0.3">
      <c r="A458" s="22"/>
    </row>
    <row r="459" spans="1:1" x14ac:dyDescent="0.3">
      <c r="A459" s="22"/>
    </row>
    <row r="460" spans="1:1" x14ac:dyDescent="0.3">
      <c r="A460" s="22"/>
    </row>
    <row r="461" spans="1:1" x14ac:dyDescent="0.3">
      <c r="A461" s="22"/>
    </row>
    <row r="462" spans="1:1" x14ac:dyDescent="0.3">
      <c r="A462" s="22"/>
    </row>
    <row r="463" spans="1:1" x14ac:dyDescent="0.3">
      <c r="A463" s="22"/>
    </row>
    <row r="464" spans="1:1" x14ac:dyDescent="0.3">
      <c r="A464" s="22"/>
    </row>
    <row r="465" spans="1:1" x14ac:dyDescent="0.3">
      <c r="A465" s="22"/>
    </row>
    <row r="466" spans="1:1" x14ac:dyDescent="0.3">
      <c r="A466" s="22"/>
    </row>
    <row r="467" spans="1:1" x14ac:dyDescent="0.3">
      <c r="A467" s="22"/>
    </row>
    <row r="468" spans="1:1" x14ac:dyDescent="0.3">
      <c r="A468" s="22"/>
    </row>
    <row r="469" spans="1:1" x14ac:dyDescent="0.3">
      <c r="A469" s="22"/>
    </row>
    <row r="470" spans="1:1" x14ac:dyDescent="0.3">
      <c r="A470" s="22"/>
    </row>
    <row r="471" spans="1:1" x14ac:dyDescent="0.3">
      <c r="A471" s="22"/>
    </row>
    <row r="472" spans="1:1" x14ac:dyDescent="0.3">
      <c r="A472" s="22"/>
    </row>
    <row r="473" spans="1:1" x14ac:dyDescent="0.3">
      <c r="A473" s="22"/>
    </row>
    <row r="474" spans="1:1" x14ac:dyDescent="0.3">
      <c r="A474" s="22"/>
    </row>
    <row r="475" spans="1:1" x14ac:dyDescent="0.3">
      <c r="A475" s="22"/>
    </row>
    <row r="476" spans="1:1" x14ac:dyDescent="0.3">
      <c r="A476" s="22"/>
    </row>
    <row r="477" spans="1:1" x14ac:dyDescent="0.3">
      <c r="A477" s="22"/>
    </row>
    <row r="478" spans="1:1" x14ac:dyDescent="0.3">
      <c r="A478" s="22"/>
    </row>
    <row r="479" spans="1:1" x14ac:dyDescent="0.3">
      <c r="A479" s="22"/>
    </row>
    <row r="480" spans="1:1" x14ac:dyDescent="0.3">
      <c r="A480" s="22"/>
    </row>
    <row r="481" spans="1:1" x14ac:dyDescent="0.3">
      <c r="A481" s="22"/>
    </row>
    <row r="482" spans="1:1" x14ac:dyDescent="0.3">
      <c r="A482" s="22"/>
    </row>
    <row r="483" spans="1:1" x14ac:dyDescent="0.3">
      <c r="A483" s="22"/>
    </row>
    <row r="484" spans="1:1" x14ac:dyDescent="0.3">
      <c r="A484" s="22"/>
    </row>
    <row r="485" spans="1:1" x14ac:dyDescent="0.3">
      <c r="A485" s="22"/>
    </row>
    <row r="486" spans="1:1" x14ac:dyDescent="0.3">
      <c r="A486" s="22"/>
    </row>
    <row r="487" spans="1:1" x14ac:dyDescent="0.3">
      <c r="A487" s="22"/>
    </row>
    <row r="488" spans="1:1" x14ac:dyDescent="0.3">
      <c r="A488" s="22"/>
    </row>
    <row r="489" spans="1:1" x14ac:dyDescent="0.3">
      <c r="A489" s="22"/>
    </row>
    <row r="490" spans="1:1" x14ac:dyDescent="0.3">
      <c r="A490" s="22"/>
    </row>
    <row r="491" spans="1:1" x14ac:dyDescent="0.3">
      <c r="A491" s="22"/>
    </row>
    <row r="492" spans="1:1" x14ac:dyDescent="0.3">
      <c r="A492" s="22"/>
    </row>
    <row r="493" spans="1:1" x14ac:dyDescent="0.3">
      <c r="A493" s="22"/>
    </row>
    <row r="494" spans="1:1" x14ac:dyDescent="0.3">
      <c r="A494" s="22"/>
    </row>
    <row r="495" spans="1:1" x14ac:dyDescent="0.3">
      <c r="A495" s="22"/>
    </row>
    <row r="496" spans="1:1" x14ac:dyDescent="0.3">
      <c r="A496" s="22"/>
    </row>
    <row r="497" spans="1:1" x14ac:dyDescent="0.3">
      <c r="A497" s="22"/>
    </row>
    <row r="498" spans="1:1" x14ac:dyDescent="0.3">
      <c r="A498" s="22"/>
    </row>
    <row r="499" spans="1:1" x14ac:dyDescent="0.3">
      <c r="A499" s="22"/>
    </row>
    <row r="500" spans="1:1" x14ac:dyDescent="0.3">
      <c r="A500" s="22"/>
    </row>
    <row r="501" spans="1:1" x14ac:dyDescent="0.3">
      <c r="A501" s="22"/>
    </row>
    <row r="502" spans="1:1" x14ac:dyDescent="0.3">
      <c r="A502" s="22"/>
    </row>
    <row r="503" spans="1:1" x14ac:dyDescent="0.3">
      <c r="A503" s="22"/>
    </row>
    <row r="504" spans="1:1" x14ac:dyDescent="0.3">
      <c r="A504" s="22"/>
    </row>
    <row r="505" spans="1:1" x14ac:dyDescent="0.3">
      <c r="A505" s="22"/>
    </row>
    <row r="506" spans="1:1" x14ac:dyDescent="0.3">
      <c r="A506" s="22"/>
    </row>
    <row r="507" spans="1:1" x14ac:dyDescent="0.3">
      <c r="A507" s="22"/>
    </row>
    <row r="508" spans="1:1" x14ac:dyDescent="0.3">
      <c r="A508" s="22"/>
    </row>
    <row r="509" spans="1:1" x14ac:dyDescent="0.3">
      <c r="A509" s="22"/>
    </row>
    <row r="510" spans="1:1" x14ac:dyDescent="0.3">
      <c r="A510" s="22"/>
    </row>
    <row r="511" spans="1:1" x14ac:dyDescent="0.3">
      <c r="A511" s="22"/>
    </row>
    <row r="512" spans="1:1" x14ac:dyDescent="0.3">
      <c r="A512" s="22"/>
    </row>
    <row r="513" spans="1:1" x14ac:dyDescent="0.3">
      <c r="A513" s="22"/>
    </row>
    <row r="514" spans="1:1" x14ac:dyDescent="0.3">
      <c r="A514" s="22"/>
    </row>
    <row r="515" spans="1:1" x14ac:dyDescent="0.3">
      <c r="A515" s="22"/>
    </row>
    <row r="516" spans="1:1" x14ac:dyDescent="0.3">
      <c r="A516" s="22"/>
    </row>
    <row r="517" spans="1:1" x14ac:dyDescent="0.3">
      <c r="A517" s="22"/>
    </row>
    <row r="518" spans="1:1" x14ac:dyDescent="0.3">
      <c r="A518" s="22"/>
    </row>
    <row r="519" spans="1:1" x14ac:dyDescent="0.3">
      <c r="A519" s="22"/>
    </row>
    <row r="520" spans="1:1" x14ac:dyDescent="0.3">
      <c r="A520" s="22"/>
    </row>
    <row r="521" spans="1:1" x14ac:dyDescent="0.3">
      <c r="A521" s="22"/>
    </row>
    <row r="522" spans="1:1" x14ac:dyDescent="0.3">
      <c r="A522" s="22"/>
    </row>
    <row r="523" spans="1:1" x14ac:dyDescent="0.3">
      <c r="A523" s="22"/>
    </row>
    <row r="524" spans="1:1" x14ac:dyDescent="0.3">
      <c r="A524" s="22"/>
    </row>
    <row r="525" spans="1:1" x14ac:dyDescent="0.3">
      <c r="A525" s="22"/>
    </row>
    <row r="526" spans="1:1" x14ac:dyDescent="0.3">
      <c r="A526" s="22"/>
    </row>
    <row r="527" spans="1:1" x14ac:dyDescent="0.3">
      <c r="A527" s="22"/>
    </row>
    <row r="528" spans="1:1" x14ac:dyDescent="0.3">
      <c r="A528" s="22"/>
    </row>
    <row r="529" spans="1:1" x14ac:dyDescent="0.3">
      <c r="A529" s="22"/>
    </row>
    <row r="530" spans="1:1" x14ac:dyDescent="0.3">
      <c r="A530" s="22"/>
    </row>
    <row r="531" spans="1:1" x14ac:dyDescent="0.3">
      <c r="A531" s="22"/>
    </row>
    <row r="532" spans="1:1" x14ac:dyDescent="0.3">
      <c r="A532" s="22"/>
    </row>
    <row r="533" spans="1:1" x14ac:dyDescent="0.3">
      <c r="A533" s="22"/>
    </row>
    <row r="534" spans="1:1" x14ac:dyDescent="0.3">
      <c r="A534" s="22"/>
    </row>
    <row r="535" spans="1:1" x14ac:dyDescent="0.3">
      <c r="A535" s="22"/>
    </row>
    <row r="536" spans="1:1" x14ac:dyDescent="0.3">
      <c r="A536" s="22"/>
    </row>
    <row r="537" spans="1:1" x14ac:dyDescent="0.3">
      <c r="A537" s="22"/>
    </row>
    <row r="538" spans="1:1" x14ac:dyDescent="0.3">
      <c r="A538" s="22"/>
    </row>
    <row r="539" spans="1:1" x14ac:dyDescent="0.3">
      <c r="A539" s="22"/>
    </row>
    <row r="540" spans="1:1" x14ac:dyDescent="0.3">
      <c r="A540" s="22"/>
    </row>
    <row r="541" spans="1:1" x14ac:dyDescent="0.3">
      <c r="A541" s="22"/>
    </row>
    <row r="542" spans="1:1" x14ac:dyDescent="0.3">
      <c r="A542" s="22"/>
    </row>
    <row r="543" spans="1:1" x14ac:dyDescent="0.3">
      <c r="A543" s="22"/>
    </row>
    <row r="544" spans="1:1" x14ac:dyDescent="0.3">
      <c r="A544" s="22"/>
    </row>
    <row r="545" spans="1:1" x14ac:dyDescent="0.3">
      <c r="A545" s="22"/>
    </row>
    <row r="546" spans="1:1" x14ac:dyDescent="0.3">
      <c r="A546" s="22"/>
    </row>
    <row r="547" spans="1:1" x14ac:dyDescent="0.3">
      <c r="A547" s="22"/>
    </row>
    <row r="548" spans="1:1" x14ac:dyDescent="0.3">
      <c r="A548" s="22"/>
    </row>
    <row r="549" spans="1:1" x14ac:dyDescent="0.3">
      <c r="A549" s="22"/>
    </row>
    <row r="550" spans="1:1" x14ac:dyDescent="0.3">
      <c r="A550" s="22"/>
    </row>
    <row r="551" spans="1:1" x14ac:dyDescent="0.3">
      <c r="A551" s="22"/>
    </row>
    <row r="552" spans="1:1" x14ac:dyDescent="0.3">
      <c r="A552" s="22"/>
    </row>
    <row r="553" spans="1:1" x14ac:dyDescent="0.3">
      <c r="A553" s="22"/>
    </row>
    <row r="554" spans="1:1" x14ac:dyDescent="0.3">
      <c r="A554" s="22"/>
    </row>
    <row r="555" spans="1:1" x14ac:dyDescent="0.3">
      <c r="A555" s="22"/>
    </row>
    <row r="556" spans="1:1" x14ac:dyDescent="0.3">
      <c r="A556" s="22"/>
    </row>
    <row r="557" spans="1:1" x14ac:dyDescent="0.3">
      <c r="A557" s="22"/>
    </row>
    <row r="558" spans="1:1" x14ac:dyDescent="0.3">
      <c r="A558" s="22"/>
    </row>
    <row r="559" spans="1:1" x14ac:dyDescent="0.3">
      <c r="A559" s="22"/>
    </row>
    <row r="560" spans="1:1" x14ac:dyDescent="0.3">
      <c r="A560" s="22"/>
    </row>
    <row r="561" spans="1:1" x14ac:dyDescent="0.3">
      <c r="A561" s="22"/>
    </row>
    <row r="562" spans="1:1" x14ac:dyDescent="0.3">
      <c r="A562" s="22"/>
    </row>
    <row r="563" spans="1:1" x14ac:dyDescent="0.3">
      <c r="A563" s="22"/>
    </row>
    <row r="564" spans="1:1" x14ac:dyDescent="0.3">
      <c r="A564" s="22"/>
    </row>
    <row r="565" spans="1:1" x14ac:dyDescent="0.3">
      <c r="A565" s="22"/>
    </row>
    <row r="566" spans="1:1" x14ac:dyDescent="0.3">
      <c r="A566" s="22"/>
    </row>
    <row r="567" spans="1:1" x14ac:dyDescent="0.3">
      <c r="A567" s="22"/>
    </row>
    <row r="568" spans="1:1" x14ac:dyDescent="0.3">
      <c r="A568" s="22"/>
    </row>
    <row r="569" spans="1:1" x14ac:dyDescent="0.3">
      <c r="A569" s="22"/>
    </row>
    <row r="570" spans="1:1" x14ac:dyDescent="0.3">
      <c r="A570" s="22"/>
    </row>
    <row r="571" spans="1:1" x14ac:dyDescent="0.3">
      <c r="A571" s="22"/>
    </row>
    <row r="572" spans="1:1" x14ac:dyDescent="0.3">
      <c r="A572" s="22"/>
    </row>
    <row r="573" spans="1:1" x14ac:dyDescent="0.3">
      <c r="A573" s="22"/>
    </row>
    <row r="574" spans="1:1" x14ac:dyDescent="0.3">
      <c r="A574" s="22"/>
    </row>
    <row r="575" spans="1:1" x14ac:dyDescent="0.3">
      <c r="A575" s="22"/>
    </row>
    <row r="576" spans="1:1" x14ac:dyDescent="0.3">
      <c r="A576" s="22"/>
    </row>
    <row r="577" spans="1:1" x14ac:dyDescent="0.3">
      <c r="A577" s="22"/>
    </row>
    <row r="578" spans="1:1" x14ac:dyDescent="0.3">
      <c r="A578" s="22"/>
    </row>
    <row r="579" spans="1:1" x14ac:dyDescent="0.3">
      <c r="A579" s="22"/>
    </row>
    <row r="580" spans="1:1" x14ac:dyDescent="0.3">
      <c r="A580" s="22"/>
    </row>
    <row r="581" spans="1:1" x14ac:dyDescent="0.3">
      <c r="A581" s="22"/>
    </row>
    <row r="582" spans="1:1" x14ac:dyDescent="0.3">
      <c r="A582" s="22"/>
    </row>
    <row r="583" spans="1:1" x14ac:dyDescent="0.3">
      <c r="A583" s="22"/>
    </row>
    <row r="584" spans="1:1" x14ac:dyDescent="0.3">
      <c r="A584" s="22"/>
    </row>
    <row r="585" spans="1:1" x14ac:dyDescent="0.3">
      <c r="A585" s="22"/>
    </row>
    <row r="586" spans="1:1" x14ac:dyDescent="0.3">
      <c r="A586" s="22"/>
    </row>
    <row r="587" spans="1:1" x14ac:dyDescent="0.3">
      <c r="A587" s="22"/>
    </row>
    <row r="588" spans="1:1" x14ac:dyDescent="0.3">
      <c r="A588" s="22"/>
    </row>
    <row r="589" spans="1:1" x14ac:dyDescent="0.3">
      <c r="A589" s="22"/>
    </row>
    <row r="590" spans="1:1" x14ac:dyDescent="0.3">
      <c r="A590" s="22"/>
    </row>
    <row r="591" spans="1:1" x14ac:dyDescent="0.3">
      <c r="A591" s="22"/>
    </row>
    <row r="592" spans="1:1" x14ac:dyDescent="0.3">
      <c r="A592" s="22"/>
    </row>
    <row r="593" spans="1:1" x14ac:dyDescent="0.3">
      <c r="A593" s="22"/>
    </row>
    <row r="594" spans="1:1" x14ac:dyDescent="0.3">
      <c r="A594" s="22"/>
    </row>
    <row r="595" spans="1:1" x14ac:dyDescent="0.3">
      <c r="A595" s="22"/>
    </row>
    <row r="596" spans="1:1" x14ac:dyDescent="0.3">
      <c r="A596" s="22"/>
    </row>
    <row r="597" spans="1:1" x14ac:dyDescent="0.3">
      <c r="A597" s="22"/>
    </row>
    <row r="598" spans="1:1" x14ac:dyDescent="0.3">
      <c r="A598" s="22"/>
    </row>
    <row r="599" spans="1:1" x14ac:dyDescent="0.3">
      <c r="A599" s="22"/>
    </row>
    <row r="600" spans="1:1" x14ac:dyDescent="0.3">
      <c r="A600" s="22"/>
    </row>
    <row r="601" spans="1:1" x14ac:dyDescent="0.3">
      <c r="A601" s="22"/>
    </row>
    <row r="602" spans="1:1" x14ac:dyDescent="0.3">
      <c r="A602" s="22"/>
    </row>
    <row r="603" spans="1:1" x14ac:dyDescent="0.3">
      <c r="A603" s="22"/>
    </row>
    <row r="604" spans="1:1" x14ac:dyDescent="0.3">
      <c r="A604" s="22"/>
    </row>
    <row r="605" spans="1:1" x14ac:dyDescent="0.3">
      <c r="A605" s="22"/>
    </row>
    <row r="606" spans="1:1" x14ac:dyDescent="0.3">
      <c r="A606" s="22"/>
    </row>
    <row r="607" spans="1:1" x14ac:dyDescent="0.3">
      <c r="A607" s="22"/>
    </row>
    <row r="608" spans="1:1" x14ac:dyDescent="0.3">
      <c r="A608" s="22"/>
    </row>
    <row r="609" spans="1:1" x14ac:dyDescent="0.3">
      <c r="A609" s="22"/>
    </row>
    <row r="610" spans="1:1" x14ac:dyDescent="0.3">
      <c r="A610" s="22"/>
    </row>
    <row r="611" spans="1:1" x14ac:dyDescent="0.3">
      <c r="A611" s="22"/>
    </row>
    <row r="612" spans="1:1" x14ac:dyDescent="0.3">
      <c r="A612" s="22"/>
    </row>
    <row r="613" spans="1:1" x14ac:dyDescent="0.3">
      <c r="A613" s="22"/>
    </row>
    <row r="614" spans="1:1" x14ac:dyDescent="0.3">
      <c r="A614" s="22"/>
    </row>
    <row r="615" spans="1:1" x14ac:dyDescent="0.3">
      <c r="A615" s="22"/>
    </row>
    <row r="616" spans="1:1" x14ac:dyDescent="0.3">
      <c r="A616" s="22"/>
    </row>
    <row r="617" spans="1:1" x14ac:dyDescent="0.3">
      <c r="A617" s="22"/>
    </row>
    <row r="618" spans="1:1" x14ac:dyDescent="0.3">
      <c r="A618" s="22"/>
    </row>
    <row r="619" spans="1:1" x14ac:dyDescent="0.3">
      <c r="A619" s="22"/>
    </row>
    <row r="620" spans="1:1" x14ac:dyDescent="0.3">
      <c r="A620" s="22"/>
    </row>
    <row r="621" spans="1:1" x14ac:dyDescent="0.3">
      <c r="A621" s="22"/>
    </row>
    <row r="622" spans="1:1" x14ac:dyDescent="0.3">
      <c r="A622" s="22"/>
    </row>
    <row r="623" spans="1:1" x14ac:dyDescent="0.3">
      <c r="A623" s="22"/>
    </row>
    <row r="624" spans="1:1" x14ac:dyDescent="0.3">
      <c r="A624" s="22"/>
    </row>
    <row r="625" spans="1:1" x14ac:dyDescent="0.3">
      <c r="A625" s="22"/>
    </row>
    <row r="626" spans="1:1" x14ac:dyDescent="0.3">
      <c r="A626" s="22"/>
    </row>
    <row r="627" spans="1:1" x14ac:dyDescent="0.3">
      <c r="A627" s="22"/>
    </row>
    <row r="628" spans="1:1" x14ac:dyDescent="0.3">
      <c r="A628" s="22"/>
    </row>
    <row r="629" spans="1:1" x14ac:dyDescent="0.3">
      <c r="A629" s="22"/>
    </row>
    <row r="630" spans="1:1" x14ac:dyDescent="0.3">
      <c r="A630" s="22"/>
    </row>
    <row r="631" spans="1:1" x14ac:dyDescent="0.3">
      <c r="A631" s="22"/>
    </row>
    <row r="632" spans="1:1" x14ac:dyDescent="0.3">
      <c r="A632" s="22"/>
    </row>
    <row r="633" spans="1:1" x14ac:dyDescent="0.3">
      <c r="A633" s="22"/>
    </row>
    <row r="634" spans="1:1" x14ac:dyDescent="0.3">
      <c r="A634" s="22"/>
    </row>
    <row r="635" spans="1:1" x14ac:dyDescent="0.3">
      <c r="A635" s="22"/>
    </row>
    <row r="636" spans="1:1" x14ac:dyDescent="0.3">
      <c r="A636" s="22"/>
    </row>
    <row r="637" spans="1:1" x14ac:dyDescent="0.3">
      <c r="A637" s="22"/>
    </row>
    <row r="638" spans="1:1" x14ac:dyDescent="0.3">
      <c r="A638" s="22"/>
    </row>
    <row r="639" spans="1:1" x14ac:dyDescent="0.3">
      <c r="A639" s="22"/>
    </row>
    <row r="640" spans="1:1" x14ac:dyDescent="0.3">
      <c r="A640" s="22"/>
    </row>
    <row r="641" spans="1:1" x14ac:dyDescent="0.3">
      <c r="A641" s="22"/>
    </row>
    <row r="642" spans="1:1" x14ac:dyDescent="0.3">
      <c r="A642" s="22"/>
    </row>
    <row r="643" spans="1:1" x14ac:dyDescent="0.3">
      <c r="A643" s="22"/>
    </row>
    <row r="644" spans="1:1" x14ac:dyDescent="0.3">
      <c r="A644" s="22"/>
    </row>
    <row r="645" spans="1:1" x14ac:dyDescent="0.3">
      <c r="A645" s="22"/>
    </row>
    <row r="646" spans="1:1" x14ac:dyDescent="0.3">
      <c r="A646" s="22"/>
    </row>
    <row r="647" spans="1:1" x14ac:dyDescent="0.3">
      <c r="A647" s="22"/>
    </row>
    <row r="648" spans="1:1" x14ac:dyDescent="0.3">
      <c r="A648" s="22"/>
    </row>
    <row r="649" spans="1:1" x14ac:dyDescent="0.3">
      <c r="A649" s="22"/>
    </row>
    <row r="650" spans="1:1" x14ac:dyDescent="0.3">
      <c r="A650" s="22"/>
    </row>
    <row r="651" spans="1:1" x14ac:dyDescent="0.3">
      <c r="A651" s="22"/>
    </row>
    <row r="652" spans="1:1" x14ac:dyDescent="0.3">
      <c r="A652" s="22"/>
    </row>
    <row r="653" spans="1:1" x14ac:dyDescent="0.3">
      <c r="A653" s="22"/>
    </row>
    <row r="654" spans="1:1" x14ac:dyDescent="0.3">
      <c r="A654" s="22"/>
    </row>
    <row r="655" spans="1:1" x14ac:dyDescent="0.3">
      <c r="A655" s="22"/>
    </row>
    <row r="656" spans="1:1" x14ac:dyDescent="0.3">
      <c r="A656" s="22"/>
    </row>
    <row r="657" spans="1:1" x14ac:dyDescent="0.3">
      <c r="A657" s="22"/>
    </row>
    <row r="658" spans="1:1" x14ac:dyDescent="0.3">
      <c r="A658" s="22"/>
    </row>
    <row r="659" spans="1:1" x14ac:dyDescent="0.3">
      <c r="A659" s="22"/>
    </row>
    <row r="660" spans="1:1" x14ac:dyDescent="0.3">
      <c r="A660" s="22"/>
    </row>
    <row r="661" spans="1:1" x14ac:dyDescent="0.3">
      <c r="A661" s="22"/>
    </row>
    <row r="662" spans="1:1" x14ac:dyDescent="0.3">
      <c r="A662" s="22"/>
    </row>
    <row r="663" spans="1:1" x14ac:dyDescent="0.3">
      <c r="A663" s="22"/>
    </row>
    <row r="664" spans="1:1" x14ac:dyDescent="0.3">
      <c r="A664" s="22"/>
    </row>
    <row r="665" spans="1:1" x14ac:dyDescent="0.3">
      <c r="A665" s="22"/>
    </row>
    <row r="666" spans="1:1" x14ac:dyDescent="0.3">
      <c r="A666" s="22"/>
    </row>
    <row r="667" spans="1:1" x14ac:dyDescent="0.3">
      <c r="A667" s="22"/>
    </row>
    <row r="668" spans="1:1" x14ac:dyDescent="0.3">
      <c r="A668" s="22"/>
    </row>
    <row r="669" spans="1:1" x14ac:dyDescent="0.3">
      <c r="A669" s="22"/>
    </row>
    <row r="670" spans="1:1" x14ac:dyDescent="0.3">
      <c r="A670" s="22"/>
    </row>
    <row r="671" spans="1:1" x14ac:dyDescent="0.3">
      <c r="A671" s="22"/>
    </row>
    <row r="672" spans="1:1" x14ac:dyDescent="0.3">
      <c r="A672" s="22"/>
    </row>
    <row r="673" spans="1:1" x14ac:dyDescent="0.3">
      <c r="A673" s="22"/>
    </row>
    <row r="674" spans="1:1" x14ac:dyDescent="0.3">
      <c r="A674" s="22"/>
    </row>
    <row r="675" spans="1:1" x14ac:dyDescent="0.3">
      <c r="A675" s="22"/>
    </row>
    <row r="676" spans="1:1" x14ac:dyDescent="0.3">
      <c r="A676" s="22"/>
    </row>
    <row r="677" spans="1:1" x14ac:dyDescent="0.3">
      <c r="A677" s="22"/>
    </row>
    <row r="678" spans="1:1" x14ac:dyDescent="0.3">
      <c r="A678" s="22"/>
    </row>
    <row r="679" spans="1:1" x14ac:dyDescent="0.3">
      <c r="A679" s="22"/>
    </row>
    <row r="680" spans="1:1" x14ac:dyDescent="0.3">
      <c r="A680" s="22"/>
    </row>
    <row r="681" spans="1:1" x14ac:dyDescent="0.3">
      <c r="A681" s="22"/>
    </row>
    <row r="682" spans="1:1" x14ac:dyDescent="0.3">
      <c r="A682" s="22"/>
    </row>
    <row r="683" spans="1:1" x14ac:dyDescent="0.3">
      <c r="A683" s="22"/>
    </row>
    <row r="684" spans="1:1" x14ac:dyDescent="0.3">
      <c r="A684" s="22"/>
    </row>
    <row r="685" spans="1:1" x14ac:dyDescent="0.3">
      <c r="A685" s="22"/>
    </row>
    <row r="686" spans="1:1" x14ac:dyDescent="0.3">
      <c r="A686" s="22"/>
    </row>
    <row r="687" spans="1:1" x14ac:dyDescent="0.3">
      <c r="A687" s="22"/>
    </row>
    <row r="688" spans="1:1" x14ac:dyDescent="0.3">
      <c r="A688" s="22"/>
    </row>
    <row r="689" spans="1:1" x14ac:dyDescent="0.3">
      <c r="A689" s="22"/>
    </row>
    <row r="690" spans="1:1" x14ac:dyDescent="0.3">
      <c r="A690" s="22"/>
    </row>
    <row r="691" spans="1:1" x14ac:dyDescent="0.3">
      <c r="A691" s="22"/>
    </row>
    <row r="692" spans="1:1" x14ac:dyDescent="0.3">
      <c r="A692" s="22"/>
    </row>
    <row r="693" spans="1:1" x14ac:dyDescent="0.3">
      <c r="A693" s="22"/>
    </row>
    <row r="694" spans="1:1" x14ac:dyDescent="0.3">
      <c r="A694" s="22"/>
    </row>
    <row r="695" spans="1:1" x14ac:dyDescent="0.3">
      <c r="A695" s="22"/>
    </row>
    <row r="696" spans="1:1" x14ac:dyDescent="0.3">
      <c r="A696" s="22"/>
    </row>
    <row r="697" spans="1:1" x14ac:dyDescent="0.3">
      <c r="A697" s="22"/>
    </row>
    <row r="698" spans="1:1" x14ac:dyDescent="0.3">
      <c r="A698" s="22"/>
    </row>
    <row r="699" spans="1:1" x14ac:dyDescent="0.3">
      <c r="A699" s="22"/>
    </row>
    <row r="700" spans="1:1" x14ac:dyDescent="0.3">
      <c r="A700" s="22"/>
    </row>
    <row r="701" spans="1:1" x14ac:dyDescent="0.3">
      <c r="A701" s="22"/>
    </row>
    <row r="702" spans="1:1" x14ac:dyDescent="0.3">
      <c r="A702" s="22"/>
    </row>
    <row r="703" spans="1:1" x14ac:dyDescent="0.3">
      <c r="A703" s="22"/>
    </row>
    <row r="704" spans="1:1" x14ac:dyDescent="0.3">
      <c r="A704" s="22"/>
    </row>
    <row r="705" spans="1:1" x14ac:dyDescent="0.3">
      <c r="A705" s="22"/>
    </row>
    <row r="706" spans="1:1" x14ac:dyDescent="0.3">
      <c r="A706" s="22"/>
    </row>
    <row r="707" spans="1:1" x14ac:dyDescent="0.3">
      <c r="A707" s="22"/>
    </row>
    <row r="708" spans="1:1" x14ac:dyDescent="0.3">
      <c r="A708" s="22"/>
    </row>
    <row r="709" spans="1:1" x14ac:dyDescent="0.3">
      <c r="A709" s="22"/>
    </row>
    <row r="710" spans="1:1" x14ac:dyDescent="0.3">
      <c r="A710" s="22"/>
    </row>
    <row r="711" spans="1:1" x14ac:dyDescent="0.3">
      <c r="A711" s="22"/>
    </row>
    <row r="712" spans="1:1" x14ac:dyDescent="0.3">
      <c r="A712" s="22"/>
    </row>
    <row r="713" spans="1:1" x14ac:dyDescent="0.3">
      <c r="A713" s="22"/>
    </row>
    <row r="714" spans="1:1" x14ac:dyDescent="0.3">
      <c r="A714" s="22"/>
    </row>
    <row r="715" spans="1:1" x14ac:dyDescent="0.3">
      <c r="A715" s="22"/>
    </row>
    <row r="716" spans="1:1" x14ac:dyDescent="0.3">
      <c r="A716" s="22"/>
    </row>
    <row r="717" spans="1:1" x14ac:dyDescent="0.3">
      <c r="A717" s="22"/>
    </row>
    <row r="718" spans="1:1" x14ac:dyDescent="0.3">
      <c r="A718" s="22"/>
    </row>
    <row r="719" spans="1:1" x14ac:dyDescent="0.3">
      <c r="A719" s="22"/>
    </row>
    <row r="720" spans="1:1" x14ac:dyDescent="0.3">
      <c r="A720" s="22"/>
    </row>
    <row r="721" spans="1:1" x14ac:dyDescent="0.3">
      <c r="A721" s="22"/>
    </row>
    <row r="722" spans="1:1" x14ac:dyDescent="0.3">
      <c r="A722" s="22"/>
    </row>
    <row r="723" spans="1:1" x14ac:dyDescent="0.3">
      <c r="A723" s="22"/>
    </row>
    <row r="724" spans="1:1" x14ac:dyDescent="0.3">
      <c r="A724" s="22"/>
    </row>
    <row r="725" spans="1:1" x14ac:dyDescent="0.3">
      <c r="A725" s="22"/>
    </row>
    <row r="726" spans="1:1" x14ac:dyDescent="0.3">
      <c r="A726" s="22"/>
    </row>
    <row r="727" spans="1:1" x14ac:dyDescent="0.3">
      <c r="A727" s="22"/>
    </row>
    <row r="728" spans="1:1" x14ac:dyDescent="0.3">
      <c r="A728" s="22"/>
    </row>
    <row r="729" spans="1:1" x14ac:dyDescent="0.3">
      <c r="A729" s="22"/>
    </row>
    <row r="730" spans="1:1" x14ac:dyDescent="0.3">
      <c r="A730" s="22"/>
    </row>
    <row r="731" spans="1:1" x14ac:dyDescent="0.3">
      <c r="A731" s="22"/>
    </row>
    <row r="732" spans="1:1" x14ac:dyDescent="0.3">
      <c r="A732" s="22"/>
    </row>
    <row r="733" spans="1:1" x14ac:dyDescent="0.3">
      <c r="A733" s="22"/>
    </row>
    <row r="734" spans="1:1" x14ac:dyDescent="0.3">
      <c r="A734" s="22"/>
    </row>
    <row r="735" spans="1:1" x14ac:dyDescent="0.3">
      <c r="A735" s="22"/>
    </row>
    <row r="736" spans="1:1" x14ac:dyDescent="0.3">
      <c r="A736" s="22"/>
    </row>
    <row r="737" spans="1:1" x14ac:dyDescent="0.3">
      <c r="A737" s="22"/>
    </row>
    <row r="738" spans="1:1" x14ac:dyDescent="0.3">
      <c r="A738" s="22"/>
    </row>
    <row r="739" spans="1:1" x14ac:dyDescent="0.3">
      <c r="A739" s="22"/>
    </row>
    <row r="740" spans="1:1" x14ac:dyDescent="0.3">
      <c r="A740" s="22"/>
    </row>
    <row r="741" spans="1:1" x14ac:dyDescent="0.3">
      <c r="A741" s="22"/>
    </row>
    <row r="742" spans="1:1" x14ac:dyDescent="0.3">
      <c r="A742" s="22"/>
    </row>
    <row r="743" spans="1:1" x14ac:dyDescent="0.3">
      <c r="A743" s="22"/>
    </row>
    <row r="744" spans="1:1" x14ac:dyDescent="0.3">
      <c r="A744" s="22"/>
    </row>
    <row r="745" spans="1:1" x14ac:dyDescent="0.3">
      <c r="A745" s="22"/>
    </row>
    <row r="746" spans="1:1" x14ac:dyDescent="0.3">
      <c r="A746" s="22"/>
    </row>
    <row r="747" spans="1:1" x14ac:dyDescent="0.3">
      <c r="A747" s="22"/>
    </row>
    <row r="748" spans="1:1" x14ac:dyDescent="0.3">
      <c r="A748" s="22"/>
    </row>
    <row r="749" spans="1:1" x14ac:dyDescent="0.3">
      <c r="A749" s="22"/>
    </row>
    <row r="750" spans="1:1" x14ac:dyDescent="0.3">
      <c r="A750" s="22"/>
    </row>
    <row r="751" spans="1:1" x14ac:dyDescent="0.3">
      <c r="A751" s="22"/>
    </row>
    <row r="752" spans="1:1" x14ac:dyDescent="0.3">
      <c r="A752" s="22"/>
    </row>
    <row r="753" spans="1:1" x14ac:dyDescent="0.3">
      <c r="A753" s="22"/>
    </row>
    <row r="754" spans="1:1" x14ac:dyDescent="0.3">
      <c r="A754" s="22"/>
    </row>
    <row r="755" spans="1:1" x14ac:dyDescent="0.3">
      <c r="A755" s="22"/>
    </row>
    <row r="756" spans="1:1" x14ac:dyDescent="0.3">
      <c r="A756" s="22"/>
    </row>
    <row r="757" spans="1:1" x14ac:dyDescent="0.3">
      <c r="A757" s="22"/>
    </row>
    <row r="758" spans="1:1" x14ac:dyDescent="0.3">
      <c r="A758" s="22"/>
    </row>
    <row r="759" spans="1:1" x14ac:dyDescent="0.3">
      <c r="A759" s="22"/>
    </row>
    <row r="760" spans="1:1" x14ac:dyDescent="0.3">
      <c r="A760" s="22"/>
    </row>
    <row r="761" spans="1:1" x14ac:dyDescent="0.3">
      <c r="A761" s="22"/>
    </row>
    <row r="762" spans="1:1" x14ac:dyDescent="0.3">
      <c r="A762" s="22"/>
    </row>
    <row r="763" spans="1:1" x14ac:dyDescent="0.3">
      <c r="A763" s="22"/>
    </row>
    <row r="764" spans="1:1" x14ac:dyDescent="0.3">
      <c r="A764" s="22"/>
    </row>
    <row r="765" spans="1:1" x14ac:dyDescent="0.3">
      <c r="A765" s="22"/>
    </row>
    <row r="766" spans="1:1" x14ac:dyDescent="0.3">
      <c r="A766" s="22"/>
    </row>
    <row r="767" spans="1:1" x14ac:dyDescent="0.3">
      <c r="A767" s="22"/>
    </row>
    <row r="768" spans="1:1" x14ac:dyDescent="0.3">
      <c r="A768" s="22"/>
    </row>
    <row r="769" spans="1:1" x14ac:dyDescent="0.3">
      <c r="A769" s="22"/>
    </row>
    <row r="770" spans="1:1" x14ac:dyDescent="0.3">
      <c r="A770" s="22"/>
    </row>
    <row r="771" spans="1:1" x14ac:dyDescent="0.3">
      <c r="A771" s="22"/>
    </row>
    <row r="772" spans="1:1" x14ac:dyDescent="0.3">
      <c r="A772" s="22"/>
    </row>
    <row r="773" spans="1:1" x14ac:dyDescent="0.3">
      <c r="A773" s="22"/>
    </row>
    <row r="774" spans="1:1" x14ac:dyDescent="0.3">
      <c r="A774" s="22"/>
    </row>
    <row r="775" spans="1:1" x14ac:dyDescent="0.3">
      <c r="A775" s="22"/>
    </row>
    <row r="776" spans="1:1" x14ac:dyDescent="0.3">
      <c r="A776" s="22"/>
    </row>
    <row r="777" spans="1:1" x14ac:dyDescent="0.3">
      <c r="A777" s="22"/>
    </row>
    <row r="778" spans="1:1" x14ac:dyDescent="0.3">
      <c r="A778" s="22"/>
    </row>
    <row r="779" spans="1:1" x14ac:dyDescent="0.3">
      <c r="A779" s="22"/>
    </row>
    <row r="780" spans="1:1" x14ac:dyDescent="0.3">
      <c r="A780" s="22"/>
    </row>
    <row r="781" spans="1:1" x14ac:dyDescent="0.3">
      <c r="A781" s="22"/>
    </row>
    <row r="782" spans="1:1" x14ac:dyDescent="0.3">
      <c r="A782" s="22"/>
    </row>
    <row r="783" spans="1:1" x14ac:dyDescent="0.3">
      <c r="A783" s="22"/>
    </row>
    <row r="784" spans="1:1" x14ac:dyDescent="0.3">
      <c r="A784" s="22"/>
    </row>
    <row r="785" spans="1:1" x14ac:dyDescent="0.3">
      <c r="A785" s="22"/>
    </row>
    <row r="786" spans="1:1" x14ac:dyDescent="0.3">
      <c r="A786" s="22"/>
    </row>
    <row r="787" spans="1:1" x14ac:dyDescent="0.3">
      <c r="A787" s="22"/>
    </row>
    <row r="788" spans="1:1" x14ac:dyDescent="0.3">
      <c r="A788" s="22"/>
    </row>
    <row r="789" spans="1:1" x14ac:dyDescent="0.3">
      <c r="A789" s="22"/>
    </row>
    <row r="790" spans="1:1" x14ac:dyDescent="0.3">
      <c r="A790" s="22"/>
    </row>
    <row r="791" spans="1:1" x14ac:dyDescent="0.3">
      <c r="A791" s="22"/>
    </row>
    <row r="792" spans="1:1" x14ac:dyDescent="0.3">
      <c r="A792" s="22"/>
    </row>
    <row r="793" spans="1:1" x14ac:dyDescent="0.3">
      <c r="A793" s="22"/>
    </row>
    <row r="794" spans="1:1" x14ac:dyDescent="0.3">
      <c r="A794" s="22"/>
    </row>
    <row r="795" spans="1:1" x14ac:dyDescent="0.3">
      <c r="A795" s="22"/>
    </row>
    <row r="796" spans="1:1" x14ac:dyDescent="0.3">
      <c r="A796" s="22"/>
    </row>
    <row r="797" spans="1:1" x14ac:dyDescent="0.3">
      <c r="A797" s="22"/>
    </row>
    <row r="798" spans="1:1" x14ac:dyDescent="0.3">
      <c r="A798" s="22"/>
    </row>
    <row r="799" spans="1:1" x14ac:dyDescent="0.3">
      <c r="A799" s="22"/>
    </row>
    <row r="800" spans="1:1" x14ac:dyDescent="0.3">
      <c r="A800" s="22"/>
    </row>
    <row r="801" spans="1:1" x14ac:dyDescent="0.3">
      <c r="A801" s="22"/>
    </row>
    <row r="802" spans="1:1" x14ac:dyDescent="0.3">
      <c r="A802" s="22"/>
    </row>
    <row r="803" spans="1:1" x14ac:dyDescent="0.3">
      <c r="A803" s="22"/>
    </row>
    <row r="804" spans="1:1" x14ac:dyDescent="0.3">
      <c r="A804" s="22"/>
    </row>
    <row r="805" spans="1:1" x14ac:dyDescent="0.3">
      <c r="A805" s="22"/>
    </row>
    <row r="806" spans="1:1" x14ac:dyDescent="0.3">
      <c r="A806" s="22"/>
    </row>
    <row r="807" spans="1:1" x14ac:dyDescent="0.3">
      <c r="A807" s="22"/>
    </row>
    <row r="808" spans="1:1" x14ac:dyDescent="0.3">
      <c r="A808" s="22"/>
    </row>
    <row r="809" spans="1:1" x14ac:dyDescent="0.3">
      <c r="A809" s="22"/>
    </row>
    <row r="810" spans="1:1" x14ac:dyDescent="0.3">
      <c r="A810" s="22"/>
    </row>
    <row r="811" spans="1:1" x14ac:dyDescent="0.3">
      <c r="A811" s="22"/>
    </row>
    <row r="812" spans="1:1" x14ac:dyDescent="0.3">
      <c r="A812" s="22"/>
    </row>
    <row r="813" spans="1:1" x14ac:dyDescent="0.3">
      <c r="A813" s="22"/>
    </row>
    <row r="814" spans="1:1" x14ac:dyDescent="0.3">
      <c r="A814" s="22"/>
    </row>
    <row r="815" spans="1:1" x14ac:dyDescent="0.3">
      <c r="A815" s="22"/>
    </row>
    <row r="816" spans="1:1" x14ac:dyDescent="0.3">
      <c r="A816" s="22"/>
    </row>
    <row r="817" spans="1:1" x14ac:dyDescent="0.3">
      <c r="A817" s="22"/>
    </row>
    <row r="818" spans="1:1" x14ac:dyDescent="0.3">
      <c r="A818" s="22"/>
    </row>
    <row r="819" spans="1:1" x14ac:dyDescent="0.3">
      <c r="A819" s="22"/>
    </row>
    <row r="820" spans="1:1" x14ac:dyDescent="0.3">
      <c r="A820" s="22"/>
    </row>
    <row r="821" spans="1:1" x14ac:dyDescent="0.3">
      <c r="A821" s="22"/>
    </row>
    <row r="822" spans="1:1" x14ac:dyDescent="0.3">
      <c r="A822" s="22"/>
    </row>
    <row r="823" spans="1:1" x14ac:dyDescent="0.3">
      <c r="A823" s="22"/>
    </row>
    <row r="824" spans="1:1" x14ac:dyDescent="0.3">
      <c r="A824" s="22"/>
    </row>
    <row r="825" spans="1:1" x14ac:dyDescent="0.3">
      <c r="A825" s="22"/>
    </row>
    <row r="826" spans="1:1" x14ac:dyDescent="0.3">
      <c r="A826" s="22"/>
    </row>
    <row r="827" spans="1:1" x14ac:dyDescent="0.3">
      <c r="A827" s="22"/>
    </row>
    <row r="828" spans="1:1" x14ac:dyDescent="0.3">
      <c r="A828" s="22"/>
    </row>
    <row r="829" spans="1:1" x14ac:dyDescent="0.3">
      <c r="A829" s="22"/>
    </row>
    <row r="830" spans="1:1" x14ac:dyDescent="0.3">
      <c r="A830" s="22"/>
    </row>
    <row r="831" spans="1:1" x14ac:dyDescent="0.3">
      <c r="A831" s="22"/>
    </row>
    <row r="832" spans="1:1" x14ac:dyDescent="0.3">
      <c r="A832" s="22"/>
    </row>
    <row r="833" spans="1:1" x14ac:dyDescent="0.3">
      <c r="A833" s="22"/>
    </row>
    <row r="834" spans="1:1" x14ac:dyDescent="0.3">
      <c r="A834" s="22"/>
    </row>
    <row r="835" spans="1:1" x14ac:dyDescent="0.3">
      <c r="A835" s="22"/>
    </row>
    <row r="836" spans="1:1" x14ac:dyDescent="0.3">
      <c r="A836" s="22"/>
    </row>
    <row r="837" spans="1:1" x14ac:dyDescent="0.3">
      <c r="A837" s="22"/>
    </row>
    <row r="838" spans="1:1" x14ac:dyDescent="0.3">
      <c r="A838" s="22"/>
    </row>
    <row r="839" spans="1:1" x14ac:dyDescent="0.3">
      <c r="A839" s="22"/>
    </row>
    <row r="840" spans="1:1" x14ac:dyDescent="0.3">
      <c r="A840" s="22"/>
    </row>
    <row r="841" spans="1:1" x14ac:dyDescent="0.3">
      <c r="A841" s="22"/>
    </row>
    <row r="842" spans="1:1" x14ac:dyDescent="0.3">
      <c r="A842" s="22"/>
    </row>
    <row r="843" spans="1:1" x14ac:dyDescent="0.3">
      <c r="A843" s="22"/>
    </row>
    <row r="844" spans="1:1" x14ac:dyDescent="0.3">
      <c r="A844" s="22"/>
    </row>
    <row r="845" spans="1:1" x14ac:dyDescent="0.3">
      <c r="A845" s="22"/>
    </row>
    <row r="846" spans="1:1" x14ac:dyDescent="0.3">
      <c r="A846" s="22"/>
    </row>
    <row r="847" spans="1:1" x14ac:dyDescent="0.3">
      <c r="A847" s="22"/>
    </row>
    <row r="848" spans="1:1" x14ac:dyDescent="0.3">
      <c r="A848" s="22"/>
    </row>
    <row r="849" spans="1:1" x14ac:dyDescent="0.3">
      <c r="A849" s="22"/>
    </row>
    <row r="850" spans="1:1" x14ac:dyDescent="0.3">
      <c r="A850" s="22"/>
    </row>
    <row r="851" spans="1:1" x14ac:dyDescent="0.3">
      <c r="A851" s="22"/>
    </row>
    <row r="852" spans="1:1" x14ac:dyDescent="0.3">
      <c r="A852" s="22"/>
    </row>
    <row r="853" spans="1:1" x14ac:dyDescent="0.3">
      <c r="A853" s="22"/>
    </row>
    <row r="854" spans="1:1" x14ac:dyDescent="0.3">
      <c r="A854" s="22"/>
    </row>
    <row r="855" spans="1:1" x14ac:dyDescent="0.3">
      <c r="A855" s="22"/>
    </row>
    <row r="856" spans="1:1" x14ac:dyDescent="0.3">
      <c r="A856" s="22"/>
    </row>
    <row r="857" spans="1:1" x14ac:dyDescent="0.3">
      <c r="A857" s="22"/>
    </row>
    <row r="858" spans="1:1" x14ac:dyDescent="0.3">
      <c r="A858" s="22"/>
    </row>
    <row r="859" spans="1:1" x14ac:dyDescent="0.3">
      <c r="A859" s="22"/>
    </row>
    <row r="860" spans="1:1" x14ac:dyDescent="0.3">
      <c r="A860" s="22"/>
    </row>
    <row r="861" spans="1:1" x14ac:dyDescent="0.3">
      <c r="A861" s="22"/>
    </row>
    <row r="862" spans="1:1" x14ac:dyDescent="0.3">
      <c r="A862" s="22"/>
    </row>
    <row r="863" spans="1:1" x14ac:dyDescent="0.3">
      <c r="A863" s="22"/>
    </row>
    <row r="864" spans="1:1" x14ac:dyDescent="0.3">
      <c r="A864" s="22"/>
    </row>
    <row r="865" spans="1:1" x14ac:dyDescent="0.3">
      <c r="A865" s="22"/>
    </row>
    <row r="866" spans="1:1" x14ac:dyDescent="0.3">
      <c r="A866" s="22"/>
    </row>
    <row r="867" spans="1:1" x14ac:dyDescent="0.3">
      <c r="A867" s="22"/>
    </row>
    <row r="868" spans="1:1" x14ac:dyDescent="0.3">
      <c r="A868" s="22"/>
    </row>
    <row r="869" spans="1:1" x14ac:dyDescent="0.3">
      <c r="A869" s="22"/>
    </row>
    <row r="870" spans="1:1" x14ac:dyDescent="0.3">
      <c r="A870" s="22"/>
    </row>
    <row r="871" spans="1:1" x14ac:dyDescent="0.3">
      <c r="A871" s="22"/>
    </row>
    <row r="872" spans="1:1" x14ac:dyDescent="0.3">
      <c r="A872" s="22"/>
    </row>
    <row r="873" spans="1:1" x14ac:dyDescent="0.3">
      <c r="A873" s="22"/>
    </row>
    <row r="874" spans="1:1" x14ac:dyDescent="0.3">
      <c r="A874" s="22"/>
    </row>
    <row r="875" spans="1:1" x14ac:dyDescent="0.3">
      <c r="A875" s="22"/>
    </row>
    <row r="876" spans="1:1" x14ac:dyDescent="0.3">
      <c r="A876" s="22"/>
    </row>
    <row r="877" spans="1:1" x14ac:dyDescent="0.3">
      <c r="A877" s="22"/>
    </row>
    <row r="878" spans="1:1" x14ac:dyDescent="0.3">
      <c r="A878" s="22"/>
    </row>
    <row r="879" spans="1:1" x14ac:dyDescent="0.3">
      <c r="A879" s="22"/>
    </row>
    <row r="880" spans="1:1" x14ac:dyDescent="0.3">
      <c r="A880" s="22"/>
    </row>
    <row r="881" spans="1:1" x14ac:dyDescent="0.3">
      <c r="A881" s="22"/>
    </row>
    <row r="882" spans="1:1" x14ac:dyDescent="0.3">
      <c r="A882" s="22"/>
    </row>
    <row r="883" spans="1:1" x14ac:dyDescent="0.3">
      <c r="A883" s="22"/>
    </row>
    <row r="884" spans="1:1" x14ac:dyDescent="0.3">
      <c r="A884" s="22"/>
    </row>
    <row r="885" spans="1:1" x14ac:dyDescent="0.3">
      <c r="A885" s="22"/>
    </row>
    <row r="886" spans="1:1" x14ac:dyDescent="0.3">
      <c r="A886" s="22"/>
    </row>
    <row r="887" spans="1:1" x14ac:dyDescent="0.3">
      <c r="A887" s="22"/>
    </row>
    <row r="888" spans="1:1" x14ac:dyDescent="0.3">
      <c r="A888" s="22"/>
    </row>
    <row r="889" spans="1:1" x14ac:dyDescent="0.3">
      <c r="A889" s="22"/>
    </row>
    <row r="890" spans="1:1" x14ac:dyDescent="0.3">
      <c r="A890" s="22"/>
    </row>
    <row r="891" spans="1:1" x14ac:dyDescent="0.3">
      <c r="A891" s="22"/>
    </row>
    <row r="892" spans="1:1" x14ac:dyDescent="0.3">
      <c r="A892" s="22"/>
    </row>
    <row r="893" spans="1:1" x14ac:dyDescent="0.3">
      <c r="A893" s="22"/>
    </row>
    <row r="894" spans="1:1" x14ac:dyDescent="0.3">
      <c r="A894" s="22"/>
    </row>
    <row r="895" spans="1:1" x14ac:dyDescent="0.3">
      <c r="A895" s="22"/>
    </row>
    <row r="896" spans="1:1" x14ac:dyDescent="0.3">
      <c r="A896" s="22"/>
    </row>
    <row r="897" spans="1:1" x14ac:dyDescent="0.3">
      <c r="A897" s="22"/>
    </row>
    <row r="898" spans="1:1" x14ac:dyDescent="0.3">
      <c r="A898" s="22"/>
    </row>
    <row r="899" spans="1:1" x14ac:dyDescent="0.3">
      <c r="A899" s="22"/>
    </row>
    <row r="900" spans="1:1" x14ac:dyDescent="0.3">
      <c r="A900" s="22"/>
    </row>
    <row r="901" spans="1:1" x14ac:dyDescent="0.3">
      <c r="A901" s="22"/>
    </row>
    <row r="902" spans="1:1" x14ac:dyDescent="0.3">
      <c r="A902" s="22"/>
    </row>
    <row r="903" spans="1:1" x14ac:dyDescent="0.3">
      <c r="A903" s="22"/>
    </row>
    <row r="904" spans="1:1" x14ac:dyDescent="0.3">
      <c r="A904" s="22"/>
    </row>
    <row r="905" spans="1:1" x14ac:dyDescent="0.3">
      <c r="A905" s="22"/>
    </row>
    <row r="906" spans="1:1" x14ac:dyDescent="0.3">
      <c r="A906" s="22"/>
    </row>
    <row r="907" spans="1:1" x14ac:dyDescent="0.3">
      <c r="A907" s="22"/>
    </row>
    <row r="908" spans="1:1" x14ac:dyDescent="0.3">
      <c r="A908" s="22"/>
    </row>
    <row r="909" spans="1:1" x14ac:dyDescent="0.3">
      <c r="A909" s="22"/>
    </row>
    <row r="910" spans="1:1" x14ac:dyDescent="0.3">
      <c r="A910" s="22"/>
    </row>
    <row r="911" spans="1:1" x14ac:dyDescent="0.3">
      <c r="A911" s="22"/>
    </row>
    <row r="912" spans="1:1" x14ac:dyDescent="0.3">
      <c r="A912" s="22"/>
    </row>
    <row r="913" spans="1:1" x14ac:dyDescent="0.3">
      <c r="A913" s="22"/>
    </row>
    <row r="914" spans="1:1" x14ac:dyDescent="0.3">
      <c r="A914" s="22"/>
    </row>
    <row r="915" spans="1:1" x14ac:dyDescent="0.3">
      <c r="A915" s="22"/>
    </row>
    <row r="916" spans="1:1" x14ac:dyDescent="0.3">
      <c r="A916" s="22"/>
    </row>
    <row r="917" spans="1:1" x14ac:dyDescent="0.3">
      <c r="A917" s="22"/>
    </row>
    <row r="918" spans="1:1" x14ac:dyDescent="0.3">
      <c r="A918" s="22"/>
    </row>
    <row r="919" spans="1:1" x14ac:dyDescent="0.3">
      <c r="A919" s="22"/>
    </row>
    <row r="920" spans="1:1" x14ac:dyDescent="0.3">
      <c r="A920" s="22"/>
    </row>
    <row r="921" spans="1:1" x14ac:dyDescent="0.3">
      <c r="A921" s="22"/>
    </row>
    <row r="922" spans="1:1" x14ac:dyDescent="0.3">
      <c r="A922" s="22"/>
    </row>
    <row r="923" spans="1:1" x14ac:dyDescent="0.3">
      <c r="A923" s="22"/>
    </row>
    <row r="924" spans="1:1" x14ac:dyDescent="0.3">
      <c r="A924" s="22"/>
    </row>
    <row r="925" spans="1:1" x14ac:dyDescent="0.3">
      <c r="A925" s="22"/>
    </row>
    <row r="926" spans="1:1" x14ac:dyDescent="0.3">
      <c r="A926" s="22"/>
    </row>
    <row r="927" spans="1:1" x14ac:dyDescent="0.3">
      <c r="A927" s="22"/>
    </row>
    <row r="928" spans="1:1" x14ac:dyDescent="0.3">
      <c r="A928" s="22"/>
    </row>
    <row r="929" spans="1:1" x14ac:dyDescent="0.3">
      <c r="A929" s="22"/>
    </row>
    <row r="930" spans="1:1" x14ac:dyDescent="0.3">
      <c r="A930" s="22"/>
    </row>
    <row r="931" spans="1:1" x14ac:dyDescent="0.3">
      <c r="A931" s="22"/>
    </row>
    <row r="932" spans="1:1" x14ac:dyDescent="0.3">
      <c r="A932" s="22"/>
    </row>
    <row r="933" spans="1:1" x14ac:dyDescent="0.3">
      <c r="A933" s="22"/>
    </row>
    <row r="934" spans="1:1" x14ac:dyDescent="0.3">
      <c r="A934" s="22"/>
    </row>
    <row r="935" spans="1:1" x14ac:dyDescent="0.3">
      <c r="A935" s="22"/>
    </row>
    <row r="936" spans="1:1" x14ac:dyDescent="0.3">
      <c r="A936" s="22"/>
    </row>
    <row r="937" spans="1:1" x14ac:dyDescent="0.3">
      <c r="A937" s="22"/>
    </row>
    <row r="938" spans="1:1" x14ac:dyDescent="0.3">
      <c r="A938" s="22"/>
    </row>
    <row r="939" spans="1:1" x14ac:dyDescent="0.3">
      <c r="A939" s="22"/>
    </row>
    <row r="940" spans="1:1" x14ac:dyDescent="0.3">
      <c r="A940" s="22"/>
    </row>
    <row r="941" spans="1:1" x14ac:dyDescent="0.3">
      <c r="A941" s="22"/>
    </row>
    <row r="942" spans="1:1" x14ac:dyDescent="0.3">
      <c r="A942" s="22"/>
    </row>
    <row r="943" spans="1:1" x14ac:dyDescent="0.3">
      <c r="A943" s="22"/>
    </row>
    <row r="944" spans="1:1" x14ac:dyDescent="0.3">
      <c r="A944" s="22"/>
    </row>
    <row r="945" spans="1:1" x14ac:dyDescent="0.3">
      <c r="A945" s="22"/>
    </row>
    <row r="946" spans="1:1" x14ac:dyDescent="0.3">
      <c r="A946" s="22"/>
    </row>
    <row r="947" spans="1:1" x14ac:dyDescent="0.3">
      <c r="A947" s="22"/>
    </row>
    <row r="948" spans="1:1" x14ac:dyDescent="0.3">
      <c r="A948" s="22"/>
    </row>
    <row r="949" spans="1:1" x14ac:dyDescent="0.3">
      <c r="A949" s="22"/>
    </row>
    <row r="950" spans="1:1" x14ac:dyDescent="0.3">
      <c r="A950" s="22"/>
    </row>
    <row r="951" spans="1:1" x14ac:dyDescent="0.3">
      <c r="A951" s="22"/>
    </row>
    <row r="952" spans="1:1" x14ac:dyDescent="0.3">
      <c r="A952" s="22"/>
    </row>
    <row r="953" spans="1:1" x14ac:dyDescent="0.3">
      <c r="A953" s="22"/>
    </row>
    <row r="954" spans="1:1" x14ac:dyDescent="0.3">
      <c r="A954" s="22"/>
    </row>
    <row r="955" spans="1:1" x14ac:dyDescent="0.3">
      <c r="A955" s="22"/>
    </row>
    <row r="956" spans="1:1" x14ac:dyDescent="0.3">
      <c r="A956" s="22"/>
    </row>
    <row r="957" spans="1:1" x14ac:dyDescent="0.3">
      <c r="A957" s="22"/>
    </row>
    <row r="958" spans="1:1" x14ac:dyDescent="0.3">
      <c r="A958" s="22"/>
    </row>
    <row r="959" spans="1:1" x14ac:dyDescent="0.3">
      <c r="A959" s="22"/>
    </row>
    <row r="960" spans="1:1" x14ac:dyDescent="0.3">
      <c r="A960" s="22"/>
    </row>
    <row r="961" spans="1:1" x14ac:dyDescent="0.3">
      <c r="A961" s="22"/>
    </row>
    <row r="962" spans="1:1" x14ac:dyDescent="0.3">
      <c r="A962" s="22"/>
    </row>
    <row r="963" spans="1:1" x14ac:dyDescent="0.3">
      <c r="A963" s="22"/>
    </row>
    <row r="964" spans="1:1" x14ac:dyDescent="0.3">
      <c r="A964" s="22"/>
    </row>
    <row r="965" spans="1:1" x14ac:dyDescent="0.3">
      <c r="A965" s="22"/>
    </row>
    <row r="966" spans="1:1" x14ac:dyDescent="0.3">
      <c r="A966" s="22"/>
    </row>
    <row r="967" spans="1:1" x14ac:dyDescent="0.3">
      <c r="A967" s="22"/>
    </row>
    <row r="968" spans="1:1" x14ac:dyDescent="0.3">
      <c r="A968" s="22"/>
    </row>
    <row r="969" spans="1:1" x14ac:dyDescent="0.3">
      <c r="A969" s="22"/>
    </row>
    <row r="970" spans="1:1" x14ac:dyDescent="0.3">
      <c r="A970" s="22"/>
    </row>
    <row r="971" spans="1:1" x14ac:dyDescent="0.3">
      <c r="A971" s="22"/>
    </row>
    <row r="972" spans="1:1" x14ac:dyDescent="0.3">
      <c r="A972" s="22"/>
    </row>
    <row r="973" spans="1:1" x14ac:dyDescent="0.3">
      <c r="A973" s="22"/>
    </row>
    <row r="974" spans="1:1" x14ac:dyDescent="0.3">
      <c r="A974" s="22"/>
    </row>
    <row r="975" spans="1:1" x14ac:dyDescent="0.3">
      <c r="A975" s="22"/>
    </row>
    <row r="976" spans="1:1" x14ac:dyDescent="0.3">
      <c r="A976" s="22"/>
    </row>
    <row r="977" spans="1:1" x14ac:dyDescent="0.3">
      <c r="A977" s="22"/>
    </row>
    <row r="978" spans="1:1" x14ac:dyDescent="0.3">
      <c r="A978" s="22"/>
    </row>
    <row r="979" spans="1:1" x14ac:dyDescent="0.3">
      <c r="A979" s="22"/>
    </row>
    <row r="980" spans="1:1" x14ac:dyDescent="0.3">
      <c r="A980" s="22"/>
    </row>
    <row r="981" spans="1:1" x14ac:dyDescent="0.3">
      <c r="A981" s="22"/>
    </row>
    <row r="982" spans="1:1" x14ac:dyDescent="0.3">
      <c r="A982" s="22"/>
    </row>
    <row r="983" spans="1:1" x14ac:dyDescent="0.3">
      <c r="A983" s="22"/>
    </row>
    <row r="984" spans="1:1" x14ac:dyDescent="0.3">
      <c r="A984" s="22"/>
    </row>
    <row r="985" spans="1:1" x14ac:dyDescent="0.3">
      <c r="A985" s="22"/>
    </row>
    <row r="986" spans="1:1" x14ac:dyDescent="0.3">
      <c r="A986" s="22"/>
    </row>
    <row r="987" spans="1:1" x14ac:dyDescent="0.3">
      <c r="A987" s="22"/>
    </row>
    <row r="988" spans="1:1" x14ac:dyDescent="0.3">
      <c r="A988" s="22"/>
    </row>
    <row r="989" spans="1:1" x14ac:dyDescent="0.3">
      <c r="A989" s="22"/>
    </row>
    <row r="990" spans="1:1" x14ac:dyDescent="0.3">
      <c r="A990" s="22"/>
    </row>
    <row r="991" spans="1:1" x14ac:dyDescent="0.3">
      <c r="A991" s="22"/>
    </row>
    <row r="992" spans="1:1" x14ac:dyDescent="0.3">
      <c r="A992" s="22"/>
    </row>
    <row r="993" spans="1:1" x14ac:dyDescent="0.3">
      <c r="A993" s="22"/>
    </row>
    <row r="994" spans="1:1" x14ac:dyDescent="0.3">
      <c r="A994" s="22"/>
    </row>
    <row r="995" spans="1:1" x14ac:dyDescent="0.3">
      <c r="A995" s="22"/>
    </row>
    <row r="996" spans="1:1" x14ac:dyDescent="0.3">
      <c r="A996" s="22"/>
    </row>
    <row r="997" spans="1:1" x14ac:dyDescent="0.3">
      <c r="A997" s="22"/>
    </row>
    <row r="998" spans="1:1" x14ac:dyDescent="0.3">
      <c r="A998" s="22"/>
    </row>
    <row r="999" spans="1:1" x14ac:dyDescent="0.3">
      <c r="A999" s="22"/>
    </row>
    <row r="1000" spans="1:1" x14ac:dyDescent="0.3">
      <c r="A1000" s="22"/>
    </row>
    <row r="1001" spans="1:1" x14ac:dyDescent="0.3">
      <c r="A1001" s="22"/>
    </row>
    <row r="1002" spans="1:1" x14ac:dyDescent="0.3">
      <c r="A1002" s="22"/>
    </row>
    <row r="1003" spans="1:1" x14ac:dyDescent="0.3">
      <c r="A1003" s="22"/>
    </row>
    <row r="1004" spans="1:1" x14ac:dyDescent="0.3">
      <c r="A1004" s="22"/>
    </row>
    <row r="1005" spans="1:1" x14ac:dyDescent="0.3">
      <c r="A1005" s="22"/>
    </row>
    <row r="1006" spans="1:1" x14ac:dyDescent="0.3">
      <c r="A1006" s="22"/>
    </row>
    <row r="1007" spans="1:1" x14ac:dyDescent="0.3">
      <c r="A1007" s="22"/>
    </row>
    <row r="1008" spans="1:1" x14ac:dyDescent="0.3">
      <c r="A1008" s="22"/>
    </row>
    <row r="1009" spans="1:1" x14ac:dyDescent="0.3">
      <c r="A1009" s="22"/>
    </row>
    <row r="1010" spans="1:1" x14ac:dyDescent="0.3">
      <c r="A1010" s="22"/>
    </row>
    <row r="1011" spans="1:1" x14ac:dyDescent="0.3">
      <c r="A1011" s="22"/>
    </row>
    <row r="1012" spans="1:1" x14ac:dyDescent="0.3">
      <c r="A1012" s="22"/>
    </row>
    <row r="1013" spans="1:1" x14ac:dyDescent="0.3">
      <c r="A1013" s="22"/>
    </row>
    <row r="1014" spans="1:1" x14ac:dyDescent="0.3">
      <c r="A1014" s="22"/>
    </row>
    <row r="1015" spans="1:1" x14ac:dyDescent="0.3">
      <c r="A1015" s="22"/>
    </row>
    <row r="1016" spans="1:1" x14ac:dyDescent="0.3">
      <c r="A1016" s="22"/>
    </row>
    <row r="1017" spans="1:1" x14ac:dyDescent="0.3">
      <c r="A1017" s="22"/>
    </row>
    <row r="1018" spans="1:1" x14ac:dyDescent="0.3">
      <c r="A1018" s="22"/>
    </row>
    <row r="1019" spans="1:1" x14ac:dyDescent="0.3">
      <c r="A1019" s="22"/>
    </row>
    <row r="1020" spans="1:1" x14ac:dyDescent="0.3">
      <c r="A1020" s="22"/>
    </row>
    <row r="1021" spans="1:1" x14ac:dyDescent="0.3">
      <c r="A1021" s="22"/>
    </row>
    <row r="1022" spans="1:1" x14ac:dyDescent="0.3">
      <c r="A1022" s="22"/>
    </row>
    <row r="1023" spans="1:1" x14ac:dyDescent="0.3">
      <c r="A1023" s="22"/>
    </row>
    <row r="1024" spans="1:1" x14ac:dyDescent="0.3">
      <c r="A1024" s="22"/>
    </row>
    <row r="1025" spans="1:1" x14ac:dyDescent="0.3">
      <c r="A1025" s="22"/>
    </row>
    <row r="1026" spans="1:1" x14ac:dyDescent="0.3">
      <c r="A1026" s="22"/>
    </row>
    <row r="1027" spans="1:1" x14ac:dyDescent="0.3">
      <c r="A1027" s="22"/>
    </row>
    <row r="1028" spans="1:1" x14ac:dyDescent="0.3">
      <c r="A1028" s="22"/>
    </row>
    <row r="1029" spans="1:1" x14ac:dyDescent="0.3">
      <c r="A1029" s="22"/>
    </row>
    <row r="1030" spans="1:1" x14ac:dyDescent="0.3">
      <c r="A1030" s="22"/>
    </row>
    <row r="1031" spans="1:1" x14ac:dyDescent="0.3">
      <c r="A1031" s="22"/>
    </row>
    <row r="1032" spans="1:1" x14ac:dyDescent="0.3">
      <c r="A1032" s="22"/>
    </row>
    <row r="1033" spans="1:1" x14ac:dyDescent="0.3">
      <c r="A1033" s="22"/>
    </row>
    <row r="1034" spans="1:1" x14ac:dyDescent="0.3">
      <c r="A1034" s="22"/>
    </row>
    <row r="1035" spans="1:1" x14ac:dyDescent="0.3">
      <c r="A1035" s="22"/>
    </row>
    <row r="1036" spans="1:1" x14ac:dyDescent="0.3">
      <c r="A1036" s="22"/>
    </row>
    <row r="1037" spans="1:1" x14ac:dyDescent="0.3">
      <c r="A1037" s="22"/>
    </row>
    <row r="1038" spans="1:1" x14ac:dyDescent="0.3">
      <c r="A1038" s="22"/>
    </row>
    <row r="1039" spans="1:1" x14ac:dyDescent="0.3">
      <c r="A1039" s="22"/>
    </row>
    <row r="1040" spans="1:1" x14ac:dyDescent="0.3">
      <c r="A1040" s="22"/>
    </row>
    <row r="1041" spans="1:1" x14ac:dyDescent="0.3">
      <c r="A1041" s="22"/>
    </row>
    <row r="1042" spans="1:1" x14ac:dyDescent="0.3">
      <c r="A1042" s="2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201"/>
  <sheetViews>
    <sheetView workbookViewId="0">
      <selection sqref="A1:P2500"/>
    </sheetView>
  </sheetViews>
  <sheetFormatPr defaultRowHeight="14.4" x14ac:dyDescent="0.3"/>
  <cols>
    <col min="1" max="1" width="60.33203125" customWidth="1"/>
    <col min="2" max="2" width="31.77734375" bestFit="1" customWidth="1"/>
    <col min="3" max="3" width="54.6640625" customWidth="1"/>
    <col min="4" max="4" width="7.44140625" customWidth="1"/>
    <col min="5" max="5" width="7.21875" customWidth="1"/>
    <col min="6" max="6" width="7.77734375" customWidth="1"/>
    <col min="7" max="7" width="8.77734375" customWidth="1"/>
    <col min="8" max="8" width="12.21875" customWidth="1"/>
    <col min="9" max="9" width="7.77734375" customWidth="1"/>
    <col min="10" max="10" width="12.6640625" bestFit="1" customWidth="1"/>
    <col min="11" max="11" width="8.44140625" customWidth="1"/>
    <col min="12" max="12" width="16.109375" bestFit="1" customWidth="1"/>
    <col min="13" max="13" width="7" customWidth="1"/>
    <col min="14" max="14" width="12.6640625" bestFit="1" customWidth="1"/>
    <col min="15" max="15" width="12.5546875" bestFit="1" customWidth="1"/>
    <col min="16" max="16" width="6.109375" customWidth="1"/>
  </cols>
  <sheetData>
    <row r="1" spans="1:16" x14ac:dyDescent="0.3">
      <c r="A1" s="22" t="s">
        <v>106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x14ac:dyDescent="0.3">
      <c r="A2" s="22" t="s">
        <v>5928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x14ac:dyDescent="0.3">
      <c r="A3" s="22" t="s">
        <v>107</v>
      </c>
      <c r="B3" s="22" t="s">
        <v>108</v>
      </c>
      <c r="C3" s="22" t="s">
        <v>111</v>
      </c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</row>
    <row r="4" spans="1:16" x14ac:dyDescent="0.3">
      <c r="A4" s="22"/>
      <c r="B4" s="22" t="s">
        <v>109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</row>
    <row r="5" spans="1:16" x14ac:dyDescent="0.3">
      <c r="A5" s="22"/>
      <c r="B5" s="22" t="s">
        <v>110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</row>
    <row r="6" spans="1:16" x14ac:dyDescent="0.3">
      <c r="A6" s="22" t="s">
        <v>112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</row>
    <row r="7" spans="1:16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</row>
    <row r="8" spans="1:16" x14ac:dyDescent="0.3">
      <c r="A8" s="22"/>
      <c r="B8" s="22"/>
      <c r="C8" s="22"/>
      <c r="D8" s="22"/>
      <c r="E8" s="22" t="s">
        <v>113</v>
      </c>
      <c r="F8" s="22"/>
      <c r="G8" s="22"/>
      <c r="H8" s="22" t="s">
        <v>114</v>
      </c>
      <c r="I8" s="22"/>
      <c r="J8" s="22"/>
      <c r="K8" s="22"/>
      <c r="L8" s="22" t="s">
        <v>115</v>
      </c>
      <c r="M8" s="22"/>
      <c r="N8" s="22"/>
      <c r="O8" s="22"/>
      <c r="P8" s="22"/>
    </row>
    <row r="9" spans="1:16" x14ac:dyDescent="0.3">
      <c r="A9" s="22" t="s">
        <v>116</v>
      </c>
      <c r="B9" s="22" t="s">
        <v>117</v>
      </c>
      <c r="C9" s="22" t="s">
        <v>118</v>
      </c>
      <c r="D9" s="22" t="s">
        <v>119</v>
      </c>
      <c r="E9" s="22" t="s">
        <v>120</v>
      </c>
      <c r="F9" s="22" t="s">
        <v>121</v>
      </c>
      <c r="G9" s="22" t="s">
        <v>122</v>
      </c>
      <c r="H9" s="22" t="s">
        <v>122</v>
      </c>
      <c r="I9" s="22" t="s">
        <v>121</v>
      </c>
      <c r="J9" s="22" t="s">
        <v>123</v>
      </c>
      <c r="K9" s="22" t="s">
        <v>124</v>
      </c>
      <c r="L9" s="22" t="s">
        <v>125</v>
      </c>
      <c r="M9" s="22" t="s">
        <v>126</v>
      </c>
      <c r="N9" s="22" t="s">
        <v>127</v>
      </c>
      <c r="O9" s="22" t="s">
        <v>128</v>
      </c>
      <c r="P9" s="22" t="s">
        <v>129</v>
      </c>
    </row>
    <row r="10" spans="1:16" x14ac:dyDescent="0.3">
      <c r="A10" s="22" t="s">
        <v>130</v>
      </c>
      <c r="B10" s="22" t="s">
        <v>131</v>
      </c>
      <c r="C10" s="22" t="s">
        <v>132</v>
      </c>
      <c r="D10" s="22" t="s">
        <v>133</v>
      </c>
      <c r="E10" s="22">
        <v>0</v>
      </c>
      <c r="F10" s="22">
        <v>0</v>
      </c>
      <c r="G10" s="22">
        <v>0</v>
      </c>
      <c r="H10" s="24">
        <v>4976.21</v>
      </c>
      <c r="I10" s="22">
        <v>0</v>
      </c>
      <c r="J10" s="22">
        <v>0</v>
      </c>
      <c r="K10" s="25">
        <v>0</v>
      </c>
      <c r="L10" s="22">
        <v>0</v>
      </c>
      <c r="M10" s="22">
        <v>0</v>
      </c>
      <c r="N10" s="22">
        <v>0</v>
      </c>
      <c r="O10" s="22">
        <v>0</v>
      </c>
      <c r="P10" s="25">
        <v>0</v>
      </c>
    </row>
    <row r="11" spans="1:16" x14ac:dyDescent="0.3">
      <c r="A11" s="22"/>
      <c r="B11" s="22"/>
      <c r="C11" s="22" t="s">
        <v>134</v>
      </c>
      <c r="D11" s="22" t="s">
        <v>105</v>
      </c>
      <c r="E11" s="22">
        <v>0</v>
      </c>
      <c r="F11" s="22">
        <v>0</v>
      </c>
      <c r="G11" s="22">
        <v>0</v>
      </c>
      <c r="H11" s="22">
        <v>605.57000000000005</v>
      </c>
      <c r="I11" s="22">
        <v>0</v>
      </c>
      <c r="J11" s="22">
        <v>0</v>
      </c>
      <c r="K11" s="25">
        <v>0</v>
      </c>
      <c r="L11" s="22">
        <v>0</v>
      </c>
      <c r="M11" s="22">
        <v>0</v>
      </c>
      <c r="N11" s="22">
        <v>0</v>
      </c>
      <c r="O11" s="22">
        <v>0</v>
      </c>
      <c r="P11" s="25">
        <v>0</v>
      </c>
    </row>
    <row r="12" spans="1:16" x14ac:dyDescent="0.3">
      <c r="A12" s="22"/>
      <c r="B12" s="22"/>
      <c r="C12" s="22" t="s">
        <v>135</v>
      </c>
      <c r="D12" s="22" t="s">
        <v>105</v>
      </c>
      <c r="E12" s="22">
        <v>0</v>
      </c>
      <c r="F12" s="22">
        <v>0</v>
      </c>
      <c r="G12" s="22">
        <v>0</v>
      </c>
      <c r="H12" s="22">
        <v>953.4</v>
      </c>
      <c r="I12" s="22">
        <v>0</v>
      </c>
      <c r="J12" s="22">
        <v>0</v>
      </c>
      <c r="K12" s="25">
        <v>0</v>
      </c>
      <c r="L12" s="22">
        <v>0</v>
      </c>
      <c r="M12" s="22">
        <v>0</v>
      </c>
      <c r="N12" s="22">
        <v>0</v>
      </c>
      <c r="O12" s="22">
        <v>0</v>
      </c>
      <c r="P12" s="25">
        <v>0</v>
      </c>
    </row>
    <row r="13" spans="1:16" x14ac:dyDescent="0.3">
      <c r="A13" s="22"/>
      <c r="B13" s="22"/>
      <c r="C13" s="22" t="s">
        <v>136</v>
      </c>
      <c r="D13" s="22" t="s">
        <v>105</v>
      </c>
      <c r="E13" s="22">
        <v>0</v>
      </c>
      <c r="F13" s="22">
        <v>0</v>
      </c>
      <c r="G13" s="22">
        <v>0</v>
      </c>
      <c r="H13" s="22">
        <v>242.91</v>
      </c>
      <c r="I13" s="22">
        <v>0</v>
      </c>
      <c r="J13" s="22">
        <v>0</v>
      </c>
      <c r="K13" s="25">
        <v>0</v>
      </c>
      <c r="L13" s="22">
        <v>0</v>
      </c>
      <c r="M13" s="22">
        <v>0</v>
      </c>
      <c r="N13" s="22">
        <v>0</v>
      </c>
      <c r="O13" s="22">
        <v>0</v>
      </c>
      <c r="P13" s="25">
        <v>0</v>
      </c>
    </row>
    <row r="14" spans="1:16" x14ac:dyDescent="0.3">
      <c r="A14" s="22"/>
      <c r="B14" s="22"/>
      <c r="C14" s="22" t="s">
        <v>137</v>
      </c>
      <c r="D14" s="22" t="s">
        <v>105</v>
      </c>
      <c r="E14" s="22">
        <v>0</v>
      </c>
      <c r="F14" s="22">
        <v>0</v>
      </c>
      <c r="G14" s="22">
        <v>0</v>
      </c>
      <c r="H14" s="22">
        <v>26.17</v>
      </c>
      <c r="I14" s="22">
        <v>0</v>
      </c>
      <c r="J14" s="22">
        <v>0</v>
      </c>
      <c r="K14" s="25">
        <v>0</v>
      </c>
      <c r="L14" s="22">
        <v>0</v>
      </c>
      <c r="M14" s="22">
        <v>0</v>
      </c>
      <c r="N14" s="22">
        <v>0</v>
      </c>
      <c r="O14" s="22">
        <v>0</v>
      </c>
      <c r="P14" s="25">
        <v>0</v>
      </c>
    </row>
    <row r="15" spans="1:16" x14ac:dyDescent="0.3">
      <c r="A15" s="22"/>
      <c r="B15" s="22"/>
      <c r="C15" s="22" t="s">
        <v>138</v>
      </c>
      <c r="D15" s="22" t="s">
        <v>105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5">
        <v>0</v>
      </c>
      <c r="L15" s="22">
        <v>0</v>
      </c>
      <c r="M15" s="22">
        <v>0</v>
      </c>
      <c r="N15" s="22">
        <v>0</v>
      </c>
      <c r="O15" s="22">
        <v>0</v>
      </c>
      <c r="P15" s="25">
        <v>0</v>
      </c>
    </row>
    <row r="16" spans="1:16" x14ac:dyDescent="0.3">
      <c r="A16" s="22"/>
      <c r="B16" s="22"/>
      <c r="C16" s="22" t="s">
        <v>139</v>
      </c>
      <c r="D16" s="22" t="s">
        <v>105</v>
      </c>
      <c r="E16" s="22">
        <v>0</v>
      </c>
      <c r="F16" s="22">
        <v>0</v>
      </c>
      <c r="G16" s="22">
        <v>0</v>
      </c>
      <c r="H16" s="23">
        <v>10000</v>
      </c>
      <c r="I16" s="22">
        <v>0</v>
      </c>
      <c r="J16" s="22">
        <v>0</v>
      </c>
      <c r="K16" s="25">
        <v>0</v>
      </c>
      <c r="L16" s="22">
        <v>0</v>
      </c>
      <c r="M16" s="22">
        <v>0</v>
      </c>
      <c r="N16" s="22">
        <v>0</v>
      </c>
      <c r="O16" s="22">
        <v>0</v>
      </c>
      <c r="P16" s="25">
        <v>0</v>
      </c>
    </row>
    <row r="17" spans="1:16" x14ac:dyDescent="0.3">
      <c r="A17" s="22"/>
      <c r="B17" s="22"/>
      <c r="C17" s="22" t="s">
        <v>140</v>
      </c>
      <c r="D17" s="22" t="s">
        <v>105</v>
      </c>
      <c r="E17" s="22">
        <v>0</v>
      </c>
      <c r="F17" s="22">
        <v>0</v>
      </c>
      <c r="G17" s="22">
        <v>0</v>
      </c>
      <c r="H17" s="23">
        <v>10000</v>
      </c>
      <c r="I17" s="22">
        <v>0</v>
      </c>
      <c r="J17" s="22">
        <v>0</v>
      </c>
      <c r="K17" s="25">
        <v>0</v>
      </c>
      <c r="L17" s="22">
        <v>0</v>
      </c>
      <c r="M17" s="22">
        <v>0</v>
      </c>
      <c r="N17" s="22">
        <v>0</v>
      </c>
      <c r="O17" s="22">
        <v>0</v>
      </c>
      <c r="P17" s="25">
        <v>0</v>
      </c>
    </row>
    <row r="18" spans="1:16" x14ac:dyDescent="0.3">
      <c r="A18" s="22"/>
      <c r="B18" s="22"/>
      <c r="C18" s="22" t="s">
        <v>141</v>
      </c>
      <c r="D18" s="22" t="s">
        <v>105</v>
      </c>
      <c r="E18" s="22">
        <v>0</v>
      </c>
      <c r="F18" s="22">
        <v>0</v>
      </c>
      <c r="G18" s="22">
        <v>0</v>
      </c>
      <c r="H18" s="23">
        <v>10000</v>
      </c>
      <c r="I18" s="22">
        <v>0</v>
      </c>
      <c r="J18" s="22">
        <v>0</v>
      </c>
      <c r="K18" s="25">
        <v>0</v>
      </c>
      <c r="L18" s="22">
        <v>0</v>
      </c>
      <c r="M18" s="22">
        <v>0</v>
      </c>
      <c r="N18" s="22">
        <v>0</v>
      </c>
      <c r="O18" s="22">
        <v>0</v>
      </c>
      <c r="P18" s="25">
        <v>0</v>
      </c>
    </row>
    <row r="19" spans="1:16" x14ac:dyDescent="0.3">
      <c r="A19" s="22"/>
      <c r="B19" s="22"/>
      <c r="C19" s="22" t="s">
        <v>142</v>
      </c>
      <c r="D19" s="22" t="s">
        <v>105</v>
      </c>
      <c r="E19" s="22">
        <v>0</v>
      </c>
      <c r="F19" s="22">
        <v>0</v>
      </c>
      <c r="G19" s="22">
        <v>0</v>
      </c>
      <c r="H19" s="23">
        <v>10000</v>
      </c>
      <c r="I19" s="22">
        <v>0</v>
      </c>
      <c r="J19" s="22">
        <v>0</v>
      </c>
      <c r="K19" s="25">
        <v>0</v>
      </c>
      <c r="L19" s="22">
        <v>0</v>
      </c>
      <c r="M19" s="22">
        <v>0</v>
      </c>
      <c r="N19" s="22">
        <v>0</v>
      </c>
      <c r="O19" s="22">
        <v>0</v>
      </c>
      <c r="P19" s="25">
        <v>0</v>
      </c>
    </row>
    <row r="20" spans="1:16" x14ac:dyDescent="0.3">
      <c r="A20" s="22"/>
      <c r="B20" s="22"/>
      <c r="C20" s="22" t="s">
        <v>143</v>
      </c>
      <c r="D20" s="22" t="s">
        <v>105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5">
        <v>0</v>
      </c>
      <c r="L20" s="22">
        <v>0</v>
      </c>
      <c r="M20" s="22">
        <v>0</v>
      </c>
      <c r="N20" s="22">
        <v>0</v>
      </c>
      <c r="O20" s="22">
        <v>0</v>
      </c>
      <c r="P20" s="25">
        <v>0</v>
      </c>
    </row>
    <row r="21" spans="1:16" x14ac:dyDescent="0.3">
      <c r="A21" s="22"/>
      <c r="B21" s="22"/>
      <c r="C21" s="22" t="s">
        <v>144</v>
      </c>
      <c r="D21" s="22" t="s">
        <v>145</v>
      </c>
      <c r="E21" s="22">
        <v>0</v>
      </c>
      <c r="F21" s="22">
        <v>0</v>
      </c>
      <c r="G21" s="22">
        <v>0</v>
      </c>
      <c r="H21" s="22">
        <v>43.94</v>
      </c>
      <c r="I21" s="22">
        <v>0</v>
      </c>
      <c r="J21" s="22">
        <v>0</v>
      </c>
      <c r="K21" s="25">
        <v>0</v>
      </c>
      <c r="L21" s="22">
        <v>0</v>
      </c>
      <c r="M21" s="22">
        <v>0</v>
      </c>
      <c r="N21" s="22">
        <v>0</v>
      </c>
      <c r="O21" s="22">
        <v>0</v>
      </c>
      <c r="P21" s="25">
        <v>0</v>
      </c>
    </row>
    <row r="22" spans="1:16" x14ac:dyDescent="0.3">
      <c r="A22" s="22"/>
      <c r="B22" s="22"/>
      <c r="C22" s="22" t="s">
        <v>146</v>
      </c>
      <c r="D22" s="22" t="s">
        <v>145</v>
      </c>
      <c r="E22" s="22">
        <v>0</v>
      </c>
      <c r="F22" s="22">
        <v>0</v>
      </c>
      <c r="G22" s="22">
        <v>0</v>
      </c>
      <c r="H22" s="22">
        <v>71.13</v>
      </c>
      <c r="I22" s="22">
        <v>0</v>
      </c>
      <c r="J22" s="22">
        <v>0</v>
      </c>
      <c r="K22" s="25">
        <v>0</v>
      </c>
      <c r="L22" s="22">
        <v>0</v>
      </c>
      <c r="M22" s="22">
        <v>0</v>
      </c>
      <c r="N22" s="22">
        <v>0</v>
      </c>
      <c r="O22" s="22">
        <v>0</v>
      </c>
      <c r="P22" s="25">
        <v>0</v>
      </c>
    </row>
    <row r="23" spans="1:16" x14ac:dyDescent="0.3">
      <c r="A23" s="22"/>
      <c r="B23" s="22"/>
      <c r="C23" s="22" t="s">
        <v>147</v>
      </c>
      <c r="D23" s="22" t="s">
        <v>104</v>
      </c>
      <c r="E23" s="22">
        <v>0</v>
      </c>
      <c r="F23" s="22">
        <v>0</v>
      </c>
      <c r="G23" s="22">
        <v>0</v>
      </c>
      <c r="H23" s="22">
        <v>11.25</v>
      </c>
      <c r="I23" s="22">
        <v>0</v>
      </c>
      <c r="J23" s="22">
        <v>0</v>
      </c>
      <c r="K23" s="25">
        <v>0</v>
      </c>
      <c r="L23" s="22">
        <v>0</v>
      </c>
      <c r="M23" s="22">
        <v>0</v>
      </c>
      <c r="N23" s="22">
        <v>0</v>
      </c>
      <c r="O23" s="22">
        <v>0</v>
      </c>
      <c r="P23" s="25">
        <v>0</v>
      </c>
    </row>
    <row r="24" spans="1:16" x14ac:dyDescent="0.3">
      <c r="A24" s="22"/>
      <c r="B24" s="22"/>
      <c r="C24" s="22" t="s">
        <v>148</v>
      </c>
      <c r="D24" s="22" t="s">
        <v>133</v>
      </c>
      <c r="E24" s="22">
        <v>0</v>
      </c>
      <c r="F24" s="22">
        <v>3.18</v>
      </c>
      <c r="G24" s="22">
        <v>0</v>
      </c>
      <c r="H24" s="22">
        <v>825.79</v>
      </c>
      <c r="I24" s="22">
        <v>0</v>
      </c>
      <c r="J24" s="22">
        <v>-3.18</v>
      </c>
      <c r="K24" s="25">
        <v>0</v>
      </c>
      <c r="L24" s="22">
        <v>0</v>
      </c>
      <c r="M24" s="22">
        <v>0</v>
      </c>
      <c r="N24" s="22">
        <v>0</v>
      </c>
      <c r="O24" s="22">
        <v>0</v>
      </c>
      <c r="P24" s="25">
        <v>0</v>
      </c>
    </row>
    <row r="25" spans="1:16" x14ac:dyDescent="0.3">
      <c r="A25" s="22"/>
      <c r="B25" s="22"/>
      <c r="C25" s="22" t="s">
        <v>149</v>
      </c>
      <c r="D25" s="22" t="s">
        <v>105</v>
      </c>
      <c r="E25" s="22">
        <v>0</v>
      </c>
      <c r="F25" s="22">
        <v>3.18</v>
      </c>
      <c r="G25" s="22">
        <v>0</v>
      </c>
      <c r="H25" s="22">
        <v>0</v>
      </c>
      <c r="I25" s="22">
        <v>0</v>
      </c>
      <c r="J25" s="22">
        <v>-3.18</v>
      </c>
      <c r="K25" s="25">
        <v>0</v>
      </c>
      <c r="L25" s="22">
        <v>0</v>
      </c>
      <c r="M25" s="22">
        <v>0</v>
      </c>
      <c r="N25" s="22">
        <v>0</v>
      </c>
      <c r="O25" s="22">
        <v>0</v>
      </c>
      <c r="P25" s="25">
        <v>0</v>
      </c>
    </row>
    <row r="26" spans="1:16" x14ac:dyDescent="0.3">
      <c r="A26" s="22"/>
      <c r="B26" s="22" t="s">
        <v>150</v>
      </c>
      <c r="C26" s="22" t="s">
        <v>151</v>
      </c>
      <c r="D26" s="22" t="s">
        <v>145</v>
      </c>
      <c r="E26" s="23">
        <v>7938</v>
      </c>
      <c r="F26" s="22">
        <v>147.63999999999999</v>
      </c>
      <c r="G26" s="22">
        <v>53.77</v>
      </c>
      <c r="H26" s="22">
        <v>57.22</v>
      </c>
      <c r="I26" s="22">
        <v>138.72999999999999</v>
      </c>
      <c r="J26" s="22">
        <v>-8.91</v>
      </c>
      <c r="K26" s="26">
        <v>0.93969999999999998</v>
      </c>
      <c r="L26" s="22">
        <v>0</v>
      </c>
      <c r="M26" s="22">
        <v>0</v>
      </c>
      <c r="N26" s="22">
        <v>0</v>
      </c>
      <c r="O26" s="22">
        <v>0</v>
      </c>
      <c r="P26" s="25">
        <v>0</v>
      </c>
    </row>
    <row r="27" spans="1:16" x14ac:dyDescent="0.3">
      <c r="A27" s="22"/>
      <c r="B27" s="22"/>
      <c r="C27" s="22" t="s">
        <v>152</v>
      </c>
      <c r="D27" s="22" t="s">
        <v>105</v>
      </c>
      <c r="E27" s="23">
        <v>54960</v>
      </c>
      <c r="F27" s="22">
        <v>131.55000000000001</v>
      </c>
      <c r="G27" s="22">
        <v>417.78</v>
      </c>
      <c r="H27" s="22">
        <v>346</v>
      </c>
      <c r="I27" s="22">
        <v>158.84</v>
      </c>
      <c r="J27" s="22">
        <v>27.29</v>
      </c>
      <c r="K27" s="26">
        <v>1.2075</v>
      </c>
      <c r="L27" s="22">
        <v>0</v>
      </c>
      <c r="M27" s="22">
        <v>0</v>
      </c>
      <c r="N27" s="22">
        <v>0</v>
      </c>
      <c r="O27" s="22">
        <v>0</v>
      </c>
      <c r="P27" s="25">
        <v>0</v>
      </c>
    </row>
    <row r="28" spans="1:16" x14ac:dyDescent="0.3">
      <c r="A28" s="22"/>
      <c r="B28" s="22"/>
      <c r="C28" s="22" t="s">
        <v>153</v>
      </c>
      <c r="D28" s="22" t="s">
        <v>105</v>
      </c>
      <c r="E28" s="23">
        <v>52679</v>
      </c>
      <c r="F28" s="22">
        <v>254.36</v>
      </c>
      <c r="G28" s="22">
        <v>207.1</v>
      </c>
      <c r="H28" s="22">
        <v>183.92</v>
      </c>
      <c r="I28" s="22">
        <v>286.42</v>
      </c>
      <c r="J28" s="22">
        <v>32.06</v>
      </c>
      <c r="K28" s="26">
        <v>1.1259999999999999</v>
      </c>
      <c r="L28" s="22">
        <v>0</v>
      </c>
      <c r="M28" s="22">
        <v>0</v>
      </c>
      <c r="N28" s="22">
        <v>0</v>
      </c>
      <c r="O28" s="22">
        <v>0</v>
      </c>
      <c r="P28" s="25">
        <v>0</v>
      </c>
    </row>
    <row r="29" spans="1:16" x14ac:dyDescent="0.3">
      <c r="A29" s="22"/>
      <c r="B29" s="22"/>
      <c r="C29" s="22" t="s">
        <v>154</v>
      </c>
      <c r="D29" s="22" t="s">
        <v>105</v>
      </c>
      <c r="E29" s="22">
        <v>173</v>
      </c>
      <c r="F29" s="22">
        <v>1.26</v>
      </c>
      <c r="G29" s="22">
        <v>137.38999999999999</v>
      </c>
      <c r="H29" s="22">
        <v>124.89</v>
      </c>
      <c r="I29" s="22">
        <v>1.39</v>
      </c>
      <c r="J29" s="22">
        <v>0.13</v>
      </c>
      <c r="K29" s="26">
        <v>1.1001000000000001</v>
      </c>
      <c r="L29" s="22">
        <v>0</v>
      </c>
      <c r="M29" s="22">
        <v>0</v>
      </c>
      <c r="N29" s="22">
        <v>0</v>
      </c>
      <c r="O29" s="22">
        <v>0</v>
      </c>
      <c r="P29" s="25">
        <v>0</v>
      </c>
    </row>
    <row r="30" spans="1:16" x14ac:dyDescent="0.3">
      <c r="A30" s="22"/>
      <c r="B30" s="22"/>
      <c r="C30" s="22" t="s">
        <v>155</v>
      </c>
      <c r="D30" s="22" t="s">
        <v>105</v>
      </c>
      <c r="E30" s="22">
        <v>0</v>
      </c>
      <c r="F30" s="22">
        <v>0</v>
      </c>
      <c r="G30" s="22">
        <v>0</v>
      </c>
      <c r="H30" s="22">
        <v>95.26</v>
      </c>
      <c r="I30" s="22">
        <v>0</v>
      </c>
      <c r="J30" s="22">
        <v>0</v>
      </c>
      <c r="K30" s="25">
        <v>0</v>
      </c>
      <c r="L30" s="22">
        <v>0</v>
      </c>
      <c r="M30" s="22">
        <v>0</v>
      </c>
      <c r="N30" s="22">
        <v>0</v>
      </c>
      <c r="O30" s="22">
        <v>0</v>
      </c>
      <c r="P30" s="25">
        <v>0</v>
      </c>
    </row>
    <row r="31" spans="1:16" x14ac:dyDescent="0.3">
      <c r="A31" s="22"/>
      <c r="B31" s="22"/>
      <c r="C31" s="22" t="s">
        <v>156</v>
      </c>
      <c r="D31" s="22" t="s">
        <v>105</v>
      </c>
      <c r="E31" s="23">
        <v>107812</v>
      </c>
      <c r="F31" s="22">
        <v>387.17</v>
      </c>
      <c r="G31" s="22">
        <v>278.45999999999998</v>
      </c>
      <c r="H31" s="22">
        <v>241.38</v>
      </c>
      <c r="I31" s="22">
        <v>446.65</v>
      </c>
      <c r="J31" s="22">
        <v>59.48</v>
      </c>
      <c r="K31" s="26">
        <v>1.1536</v>
      </c>
      <c r="L31" s="22">
        <v>0</v>
      </c>
      <c r="M31" s="22">
        <v>0</v>
      </c>
      <c r="N31" s="22">
        <v>0</v>
      </c>
      <c r="O31" s="22">
        <v>0</v>
      </c>
      <c r="P31" s="25">
        <v>0</v>
      </c>
    </row>
    <row r="32" spans="1:16" x14ac:dyDescent="0.3">
      <c r="A32" s="22"/>
      <c r="B32" s="22"/>
      <c r="C32" s="22" t="s">
        <v>157</v>
      </c>
      <c r="D32" s="22" t="s">
        <v>145</v>
      </c>
      <c r="E32" s="22">
        <v>0</v>
      </c>
      <c r="F32" s="22">
        <v>0</v>
      </c>
      <c r="G32" s="22">
        <v>0</v>
      </c>
      <c r="H32" s="23">
        <v>10000</v>
      </c>
      <c r="I32" s="22">
        <v>0</v>
      </c>
      <c r="J32" s="22">
        <v>0</v>
      </c>
      <c r="K32" s="25">
        <v>0</v>
      </c>
      <c r="L32" s="22">
        <v>0</v>
      </c>
      <c r="M32" s="22">
        <v>0</v>
      </c>
      <c r="N32" s="22">
        <v>0</v>
      </c>
      <c r="O32" s="22">
        <v>0</v>
      </c>
      <c r="P32" s="25">
        <v>0</v>
      </c>
    </row>
    <row r="33" spans="1:16" x14ac:dyDescent="0.3">
      <c r="A33" s="22"/>
      <c r="B33" s="22"/>
      <c r="C33" s="22" t="s">
        <v>158</v>
      </c>
      <c r="D33" s="22" t="s">
        <v>104</v>
      </c>
      <c r="E33" s="22">
        <v>0</v>
      </c>
      <c r="F33" s="22">
        <v>0</v>
      </c>
      <c r="G33" s="22">
        <v>0</v>
      </c>
      <c r="H33" s="22">
        <v>6.28</v>
      </c>
      <c r="I33" s="22">
        <v>0</v>
      </c>
      <c r="J33" s="22">
        <v>0</v>
      </c>
      <c r="K33" s="25">
        <v>0</v>
      </c>
      <c r="L33" s="22">
        <v>0</v>
      </c>
      <c r="M33" s="22">
        <v>0</v>
      </c>
      <c r="N33" s="22">
        <v>0</v>
      </c>
      <c r="O33" s="22">
        <v>0</v>
      </c>
      <c r="P33" s="25">
        <v>0</v>
      </c>
    </row>
    <row r="34" spans="1:16" x14ac:dyDescent="0.3">
      <c r="A34" s="22"/>
      <c r="B34" s="22"/>
      <c r="C34" s="22" t="s">
        <v>159</v>
      </c>
      <c r="D34" s="22" t="s">
        <v>133</v>
      </c>
      <c r="E34" s="23">
        <v>107812</v>
      </c>
      <c r="F34" s="22">
        <v>165.73</v>
      </c>
      <c r="G34" s="22">
        <v>650.53</v>
      </c>
      <c r="H34" s="22">
        <v>870.87</v>
      </c>
      <c r="I34" s="22">
        <v>123.8</v>
      </c>
      <c r="J34" s="22">
        <v>-41.93</v>
      </c>
      <c r="K34" s="26">
        <v>0.747</v>
      </c>
      <c r="L34" s="22">
        <v>0</v>
      </c>
      <c r="M34" s="22">
        <v>0</v>
      </c>
      <c r="N34" s="22">
        <v>0</v>
      </c>
      <c r="O34" s="22">
        <v>0</v>
      </c>
      <c r="P34" s="25">
        <v>0</v>
      </c>
    </row>
    <row r="35" spans="1:16" x14ac:dyDescent="0.3">
      <c r="A35" s="22"/>
      <c r="B35" s="22"/>
      <c r="C35" s="22" t="s">
        <v>160</v>
      </c>
      <c r="D35" s="22" t="s">
        <v>105</v>
      </c>
      <c r="E35" s="23">
        <v>107812</v>
      </c>
      <c r="F35" s="22">
        <v>700.54</v>
      </c>
      <c r="G35" s="22">
        <v>153.9</v>
      </c>
      <c r="H35" s="22">
        <v>152.02000000000001</v>
      </c>
      <c r="I35" s="22">
        <v>709.18</v>
      </c>
      <c r="J35" s="22">
        <v>8.64</v>
      </c>
      <c r="K35" s="26">
        <v>1.0123</v>
      </c>
      <c r="L35" s="22">
        <v>0</v>
      </c>
      <c r="M35" s="22">
        <v>0</v>
      </c>
      <c r="N35" s="22">
        <v>0</v>
      </c>
      <c r="O35" s="22">
        <v>0</v>
      </c>
      <c r="P35" s="25">
        <v>0</v>
      </c>
    </row>
    <row r="36" spans="1:16" x14ac:dyDescent="0.3">
      <c r="A36" s="22"/>
      <c r="B36" s="22" t="s">
        <v>161</v>
      </c>
      <c r="C36" s="22" t="s">
        <v>162</v>
      </c>
      <c r="D36" s="22" t="s">
        <v>105</v>
      </c>
      <c r="E36" s="22">
        <v>0</v>
      </c>
      <c r="F36" s="22">
        <v>0.6</v>
      </c>
      <c r="G36" s="22">
        <v>0</v>
      </c>
      <c r="H36" s="22">
        <v>62.69</v>
      </c>
      <c r="I36" s="22">
        <v>0</v>
      </c>
      <c r="J36" s="22">
        <v>-0.6</v>
      </c>
      <c r="K36" s="25">
        <v>0</v>
      </c>
      <c r="L36" s="22">
        <v>0</v>
      </c>
      <c r="M36" s="22">
        <v>0</v>
      </c>
      <c r="N36" s="22">
        <v>0</v>
      </c>
      <c r="O36" s="22">
        <v>0</v>
      </c>
      <c r="P36" s="25">
        <v>0</v>
      </c>
    </row>
    <row r="37" spans="1:16" x14ac:dyDescent="0.3">
      <c r="A37" s="22"/>
      <c r="B37" s="22"/>
      <c r="C37" s="22" t="s">
        <v>163</v>
      </c>
      <c r="D37" s="22" t="s">
        <v>105</v>
      </c>
      <c r="E37" s="22">
        <v>0</v>
      </c>
      <c r="F37" s="22">
        <v>0</v>
      </c>
      <c r="G37" s="22">
        <v>0</v>
      </c>
      <c r="H37" s="23">
        <v>10000</v>
      </c>
      <c r="I37" s="22">
        <v>0</v>
      </c>
      <c r="J37" s="22">
        <v>0</v>
      </c>
      <c r="K37" s="25">
        <v>0</v>
      </c>
      <c r="L37" s="22">
        <v>0</v>
      </c>
      <c r="M37" s="22">
        <v>0</v>
      </c>
      <c r="N37" s="22">
        <v>0</v>
      </c>
      <c r="O37" s="22">
        <v>0</v>
      </c>
      <c r="P37" s="25">
        <v>0</v>
      </c>
    </row>
    <row r="38" spans="1:16" x14ac:dyDescent="0.3">
      <c r="A38" s="22"/>
      <c r="B38" s="22"/>
      <c r="C38" s="22" t="s">
        <v>164</v>
      </c>
      <c r="D38" s="22" t="s">
        <v>105</v>
      </c>
      <c r="E38" s="22">
        <v>0</v>
      </c>
      <c r="F38" s="22">
        <v>0</v>
      </c>
      <c r="G38" s="22">
        <v>0</v>
      </c>
      <c r="H38" s="22">
        <v>161.49</v>
      </c>
      <c r="I38" s="22">
        <v>0</v>
      </c>
      <c r="J38" s="22">
        <v>0</v>
      </c>
      <c r="K38" s="25">
        <v>0</v>
      </c>
      <c r="L38" s="22">
        <v>0</v>
      </c>
      <c r="M38" s="22">
        <v>0</v>
      </c>
      <c r="N38" s="22">
        <v>0</v>
      </c>
      <c r="O38" s="22">
        <v>0</v>
      </c>
      <c r="P38" s="25">
        <v>0</v>
      </c>
    </row>
    <row r="39" spans="1:16" x14ac:dyDescent="0.3">
      <c r="A39" s="22"/>
      <c r="B39" s="22"/>
      <c r="C39" s="22" t="s">
        <v>165</v>
      </c>
      <c r="D39" s="22" t="s">
        <v>105</v>
      </c>
      <c r="E39" s="22">
        <v>0</v>
      </c>
      <c r="F39" s="22">
        <v>0</v>
      </c>
      <c r="G39" s="22">
        <v>0</v>
      </c>
      <c r="H39" s="22">
        <v>75.23</v>
      </c>
      <c r="I39" s="22">
        <v>0</v>
      </c>
      <c r="J39" s="22">
        <v>0</v>
      </c>
      <c r="K39" s="25">
        <v>0</v>
      </c>
      <c r="L39" s="22">
        <v>0</v>
      </c>
      <c r="M39" s="22">
        <v>0</v>
      </c>
      <c r="N39" s="22">
        <v>0</v>
      </c>
      <c r="O39" s="22">
        <v>0</v>
      </c>
      <c r="P39" s="25">
        <v>0</v>
      </c>
    </row>
    <row r="40" spans="1:16" x14ac:dyDescent="0.3">
      <c r="A40" s="22"/>
      <c r="B40" s="22"/>
      <c r="C40" s="22" t="s">
        <v>166</v>
      </c>
      <c r="D40" s="22" t="s">
        <v>105</v>
      </c>
      <c r="E40" s="22">
        <v>0</v>
      </c>
      <c r="F40" s="22">
        <v>0</v>
      </c>
      <c r="G40" s="22">
        <v>0</v>
      </c>
      <c r="H40" s="22">
        <v>71.790000000000006</v>
      </c>
      <c r="I40" s="22">
        <v>0</v>
      </c>
      <c r="J40" s="22">
        <v>0</v>
      </c>
      <c r="K40" s="25">
        <v>0</v>
      </c>
      <c r="L40" s="22">
        <v>0</v>
      </c>
      <c r="M40" s="22">
        <v>0</v>
      </c>
      <c r="N40" s="22">
        <v>0</v>
      </c>
      <c r="O40" s="22">
        <v>0</v>
      </c>
      <c r="P40" s="25">
        <v>0</v>
      </c>
    </row>
    <row r="41" spans="1:16" x14ac:dyDescent="0.3">
      <c r="A41" s="22"/>
      <c r="B41" s="22"/>
      <c r="C41" s="22" t="s">
        <v>167</v>
      </c>
      <c r="D41" s="22" t="s">
        <v>105</v>
      </c>
      <c r="E41" s="22">
        <v>0</v>
      </c>
      <c r="F41" s="22">
        <v>0</v>
      </c>
      <c r="G41" s="22">
        <v>0</v>
      </c>
      <c r="H41" s="22">
        <v>245.8</v>
      </c>
      <c r="I41" s="22">
        <v>0</v>
      </c>
      <c r="J41" s="22">
        <v>0</v>
      </c>
      <c r="K41" s="25">
        <v>0</v>
      </c>
      <c r="L41" s="22">
        <v>0</v>
      </c>
      <c r="M41" s="22">
        <v>0</v>
      </c>
      <c r="N41" s="22">
        <v>0</v>
      </c>
      <c r="O41" s="22">
        <v>0</v>
      </c>
      <c r="P41" s="25">
        <v>0</v>
      </c>
    </row>
    <row r="42" spans="1:16" x14ac:dyDescent="0.3">
      <c r="A42" s="22"/>
      <c r="B42" s="22"/>
      <c r="C42" s="22" t="s">
        <v>168</v>
      </c>
      <c r="D42" s="22" t="s">
        <v>105</v>
      </c>
      <c r="E42" s="22">
        <v>0</v>
      </c>
      <c r="F42" s="22">
        <v>0</v>
      </c>
      <c r="G42" s="22">
        <v>0</v>
      </c>
      <c r="H42" s="22">
        <v>0</v>
      </c>
      <c r="I42" s="22">
        <v>0</v>
      </c>
      <c r="J42" s="22">
        <v>0</v>
      </c>
      <c r="K42" s="25">
        <v>0</v>
      </c>
      <c r="L42" s="22">
        <v>0</v>
      </c>
      <c r="M42" s="22">
        <v>0</v>
      </c>
      <c r="N42" s="22">
        <v>0</v>
      </c>
      <c r="O42" s="22">
        <v>0</v>
      </c>
      <c r="P42" s="25">
        <v>0</v>
      </c>
    </row>
    <row r="43" spans="1:16" x14ac:dyDescent="0.3">
      <c r="A43" s="22"/>
      <c r="B43" s="22"/>
      <c r="C43" s="22" t="s">
        <v>169</v>
      </c>
      <c r="D43" s="22" t="s">
        <v>133</v>
      </c>
      <c r="E43" s="22">
        <v>0</v>
      </c>
      <c r="F43" s="22">
        <v>0</v>
      </c>
      <c r="G43" s="22">
        <v>0</v>
      </c>
      <c r="H43" s="24">
        <v>19722.189999999999</v>
      </c>
      <c r="I43" s="22">
        <v>0</v>
      </c>
      <c r="J43" s="22">
        <v>0</v>
      </c>
      <c r="K43" s="25">
        <v>0</v>
      </c>
      <c r="L43" s="22">
        <v>0</v>
      </c>
      <c r="M43" s="22">
        <v>0</v>
      </c>
      <c r="N43" s="22">
        <v>0</v>
      </c>
      <c r="O43" s="22">
        <v>0</v>
      </c>
      <c r="P43" s="25">
        <v>0</v>
      </c>
    </row>
    <row r="44" spans="1:16" x14ac:dyDescent="0.3">
      <c r="A44" s="22"/>
      <c r="B44" s="22"/>
      <c r="C44" s="22" t="s">
        <v>170</v>
      </c>
      <c r="D44" s="22" t="s">
        <v>133</v>
      </c>
      <c r="E44" s="22">
        <v>0</v>
      </c>
      <c r="F44" s="22">
        <v>0.6</v>
      </c>
      <c r="G44" s="22">
        <v>0</v>
      </c>
      <c r="H44" s="22">
        <v>0</v>
      </c>
      <c r="I44" s="22">
        <v>0</v>
      </c>
      <c r="J44" s="22">
        <v>-0.6</v>
      </c>
      <c r="K44" s="25">
        <v>0</v>
      </c>
      <c r="L44" s="22">
        <v>0</v>
      </c>
      <c r="M44" s="22">
        <v>0</v>
      </c>
      <c r="N44" s="22">
        <v>0</v>
      </c>
      <c r="O44" s="22">
        <v>0</v>
      </c>
      <c r="P44" s="25">
        <v>0</v>
      </c>
    </row>
    <row r="45" spans="1:16" x14ac:dyDescent="0.3">
      <c r="A45" s="22"/>
      <c r="B45" s="22" t="s">
        <v>171</v>
      </c>
      <c r="C45" s="22" t="s">
        <v>172</v>
      </c>
      <c r="D45" s="22" t="s">
        <v>105</v>
      </c>
      <c r="E45" s="23">
        <v>3674</v>
      </c>
      <c r="F45" s="22">
        <v>12.35</v>
      </c>
      <c r="G45" s="22">
        <v>297.39</v>
      </c>
      <c r="H45" s="22">
        <v>297.17</v>
      </c>
      <c r="I45" s="22">
        <v>12.36</v>
      </c>
      <c r="J45" s="22">
        <v>0.01</v>
      </c>
      <c r="K45" s="26">
        <v>1.0006999999999999</v>
      </c>
      <c r="L45" s="22">
        <v>0</v>
      </c>
      <c r="M45" s="22">
        <v>0</v>
      </c>
      <c r="N45" s="22">
        <v>0</v>
      </c>
      <c r="O45" s="22">
        <v>0</v>
      </c>
      <c r="P45" s="25">
        <v>0</v>
      </c>
    </row>
    <row r="46" spans="1:16" x14ac:dyDescent="0.3">
      <c r="A46" s="22"/>
      <c r="B46" s="22"/>
      <c r="C46" s="22" t="s">
        <v>173</v>
      </c>
      <c r="D46" s="22" t="s">
        <v>105</v>
      </c>
      <c r="E46" s="23">
        <v>4241</v>
      </c>
      <c r="F46" s="22">
        <v>31.9</v>
      </c>
      <c r="G46" s="22">
        <v>132.94</v>
      </c>
      <c r="H46" s="22">
        <v>168.55</v>
      </c>
      <c r="I46" s="22">
        <v>25.16</v>
      </c>
      <c r="J46" s="22">
        <v>-6.74</v>
      </c>
      <c r="K46" s="26">
        <v>0.78869999999999996</v>
      </c>
      <c r="L46" s="22">
        <v>0</v>
      </c>
      <c r="M46" s="22">
        <v>0</v>
      </c>
      <c r="N46" s="22">
        <v>0</v>
      </c>
      <c r="O46" s="22">
        <v>0</v>
      </c>
      <c r="P46" s="25">
        <v>0</v>
      </c>
    </row>
    <row r="47" spans="1:16" x14ac:dyDescent="0.3">
      <c r="A47" s="22"/>
      <c r="B47" s="22"/>
      <c r="C47" s="22" t="s">
        <v>174</v>
      </c>
      <c r="D47" s="22" t="s">
        <v>105</v>
      </c>
      <c r="E47" s="22">
        <v>10</v>
      </c>
      <c r="F47" s="22">
        <v>0.13</v>
      </c>
      <c r="G47" s="22">
        <v>74.53</v>
      </c>
      <c r="H47" s="22">
        <v>120.09</v>
      </c>
      <c r="I47" s="22">
        <v>0.08</v>
      </c>
      <c r="J47" s="22">
        <v>-0.05</v>
      </c>
      <c r="K47" s="26">
        <v>0.62070000000000003</v>
      </c>
      <c r="L47" s="22">
        <v>0</v>
      </c>
      <c r="M47" s="22">
        <v>0</v>
      </c>
      <c r="N47" s="22">
        <v>0</v>
      </c>
      <c r="O47" s="22">
        <v>0</v>
      </c>
      <c r="P47" s="25">
        <v>0</v>
      </c>
    </row>
    <row r="48" spans="1:16" x14ac:dyDescent="0.3">
      <c r="A48" s="22"/>
      <c r="B48" s="22"/>
      <c r="C48" s="22" t="s">
        <v>175</v>
      </c>
      <c r="D48" s="22" t="s">
        <v>105</v>
      </c>
      <c r="E48" s="22">
        <v>0</v>
      </c>
      <c r="F48" s="22">
        <v>0</v>
      </c>
      <c r="G48" s="22">
        <v>0</v>
      </c>
      <c r="H48" s="22">
        <v>134.82</v>
      </c>
      <c r="I48" s="22">
        <v>0</v>
      </c>
      <c r="J48" s="22">
        <v>0</v>
      </c>
      <c r="K48" s="25">
        <v>0</v>
      </c>
      <c r="L48" s="22">
        <v>0</v>
      </c>
      <c r="M48" s="22">
        <v>0</v>
      </c>
      <c r="N48" s="22">
        <v>0</v>
      </c>
      <c r="O48" s="22">
        <v>0</v>
      </c>
      <c r="P48" s="25">
        <v>0</v>
      </c>
    </row>
    <row r="49" spans="1:16" x14ac:dyDescent="0.3">
      <c r="A49" s="22"/>
      <c r="B49" s="22"/>
      <c r="C49" s="22" t="s">
        <v>176</v>
      </c>
      <c r="D49" s="22" t="s">
        <v>105</v>
      </c>
      <c r="E49" s="23">
        <v>7925</v>
      </c>
      <c r="F49" s="22">
        <v>44.39</v>
      </c>
      <c r="G49" s="22">
        <v>178.53</v>
      </c>
      <c r="H49" s="22">
        <v>210.73</v>
      </c>
      <c r="I49" s="22">
        <v>37.61</v>
      </c>
      <c r="J49" s="22">
        <v>-6.78</v>
      </c>
      <c r="K49" s="26">
        <v>0.84719999999999995</v>
      </c>
      <c r="L49" s="22">
        <v>0</v>
      </c>
      <c r="M49" s="22">
        <v>0</v>
      </c>
      <c r="N49" s="22">
        <v>0</v>
      </c>
      <c r="O49" s="22">
        <v>0</v>
      </c>
      <c r="P49" s="25">
        <v>0</v>
      </c>
    </row>
    <row r="50" spans="1:16" x14ac:dyDescent="0.3">
      <c r="A50" s="22"/>
      <c r="B50" s="22"/>
      <c r="C50" s="22" t="s">
        <v>177</v>
      </c>
      <c r="D50" s="22" t="s">
        <v>145</v>
      </c>
      <c r="E50" s="22">
        <v>0</v>
      </c>
      <c r="F50" s="22">
        <v>0</v>
      </c>
      <c r="G50" s="22">
        <v>0</v>
      </c>
      <c r="H50" s="23">
        <v>10000</v>
      </c>
      <c r="I50" s="22">
        <v>0</v>
      </c>
      <c r="J50" s="22">
        <v>0</v>
      </c>
      <c r="K50" s="25">
        <v>0</v>
      </c>
      <c r="L50" s="22">
        <v>0</v>
      </c>
      <c r="M50" s="22">
        <v>0</v>
      </c>
      <c r="N50" s="22">
        <v>0</v>
      </c>
      <c r="O50" s="22">
        <v>0</v>
      </c>
      <c r="P50" s="25">
        <v>0</v>
      </c>
    </row>
    <row r="51" spans="1:16" x14ac:dyDescent="0.3">
      <c r="A51" s="22"/>
      <c r="B51" s="22"/>
      <c r="C51" s="22" t="s">
        <v>178</v>
      </c>
      <c r="D51" s="22" t="s">
        <v>104</v>
      </c>
      <c r="E51" s="22">
        <v>0</v>
      </c>
      <c r="F51" s="22">
        <v>0</v>
      </c>
      <c r="G51" s="22">
        <v>0</v>
      </c>
      <c r="H51" s="22">
        <v>6.55</v>
      </c>
      <c r="I51" s="22">
        <v>0</v>
      </c>
      <c r="J51" s="22">
        <v>0</v>
      </c>
      <c r="K51" s="25">
        <v>0</v>
      </c>
      <c r="L51" s="22">
        <v>0</v>
      </c>
      <c r="M51" s="22">
        <v>0</v>
      </c>
      <c r="N51" s="22">
        <v>0</v>
      </c>
      <c r="O51" s="22">
        <v>0</v>
      </c>
      <c r="P51" s="25">
        <v>0</v>
      </c>
    </row>
    <row r="52" spans="1:16" x14ac:dyDescent="0.3">
      <c r="A52" s="22"/>
      <c r="B52" s="22"/>
      <c r="C52" s="22" t="s">
        <v>179</v>
      </c>
      <c r="D52" s="22" t="s">
        <v>105</v>
      </c>
      <c r="E52" s="23">
        <v>7925</v>
      </c>
      <c r="F52" s="22">
        <v>67</v>
      </c>
      <c r="G52" s="22">
        <v>118.29</v>
      </c>
      <c r="H52" s="22">
        <v>301.51</v>
      </c>
      <c r="I52" s="22">
        <v>26.28</v>
      </c>
      <c r="J52" s="22">
        <v>-40.71</v>
      </c>
      <c r="K52" s="26">
        <v>0.39229999999999998</v>
      </c>
      <c r="L52" s="22">
        <v>0</v>
      </c>
      <c r="M52" s="22">
        <v>0</v>
      </c>
      <c r="N52" s="22">
        <v>0</v>
      </c>
      <c r="O52" s="22">
        <v>0</v>
      </c>
      <c r="P52" s="25">
        <v>0</v>
      </c>
    </row>
    <row r="53" spans="1:16" x14ac:dyDescent="0.3">
      <c r="A53" s="22"/>
      <c r="B53" s="22"/>
      <c r="C53" s="22" t="s">
        <v>180</v>
      </c>
      <c r="D53" s="22" t="s">
        <v>105</v>
      </c>
      <c r="E53" s="23">
        <v>7925</v>
      </c>
      <c r="F53" s="22">
        <v>111.39</v>
      </c>
      <c r="G53" s="22">
        <v>71.150000000000006</v>
      </c>
      <c r="H53" s="22">
        <v>124.04</v>
      </c>
      <c r="I53" s="22">
        <v>63.89</v>
      </c>
      <c r="J53" s="22">
        <v>-47.49</v>
      </c>
      <c r="K53" s="26">
        <v>0.5736</v>
      </c>
      <c r="L53" s="22">
        <v>0</v>
      </c>
      <c r="M53" s="22">
        <v>0</v>
      </c>
      <c r="N53" s="22">
        <v>0</v>
      </c>
      <c r="O53" s="22">
        <v>0</v>
      </c>
      <c r="P53" s="25">
        <v>0</v>
      </c>
    </row>
    <row r="54" spans="1:16" x14ac:dyDescent="0.3">
      <c r="A54" s="22"/>
      <c r="B54" s="22" t="s">
        <v>181</v>
      </c>
      <c r="C54" s="22" t="s">
        <v>182</v>
      </c>
      <c r="D54" s="22" t="s">
        <v>145</v>
      </c>
      <c r="E54" s="22">
        <v>0</v>
      </c>
      <c r="F54" s="22">
        <v>0</v>
      </c>
      <c r="G54" s="22">
        <v>0</v>
      </c>
      <c r="H54" s="23">
        <v>10000</v>
      </c>
      <c r="I54" s="22">
        <v>0</v>
      </c>
      <c r="J54" s="22">
        <v>0</v>
      </c>
      <c r="K54" s="25">
        <v>0</v>
      </c>
      <c r="L54" s="22">
        <v>0</v>
      </c>
      <c r="M54" s="22">
        <v>0</v>
      </c>
      <c r="N54" s="22">
        <v>0</v>
      </c>
      <c r="O54" s="22">
        <v>0</v>
      </c>
      <c r="P54" s="25">
        <v>0</v>
      </c>
    </row>
    <row r="55" spans="1:16" x14ac:dyDescent="0.3">
      <c r="A55" s="22"/>
      <c r="B55" s="22"/>
      <c r="C55" s="22" t="s">
        <v>183</v>
      </c>
      <c r="D55" s="22" t="s">
        <v>184</v>
      </c>
      <c r="E55" s="22">
        <v>0</v>
      </c>
      <c r="F55" s="22">
        <v>0</v>
      </c>
      <c r="G55" s="22">
        <v>0</v>
      </c>
      <c r="H55" s="22">
        <v>85.2</v>
      </c>
      <c r="I55" s="22">
        <v>0</v>
      </c>
      <c r="J55" s="22">
        <v>0</v>
      </c>
      <c r="K55" s="25">
        <v>0</v>
      </c>
      <c r="L55" s="22">
        <v>0</v>
      </c>
      <c r="M55" s="22">
        <v>0</v>
      </c>
      <c r="N55" s="22">
        <v>0</v>
      </c>
      <c r="O55" s="22">
        <v>0</v>
      </c>
      <c r="P55" s="25">
        <v>0</v>
      </c>
    </row>
    <row r="56" spans="1:16" x14ac:dyDescent="0.3">
      <c r="A56" s="22"/>
      <c r="B56" s="22"/>
      <c r="C56" s="22" t="s">
        <v>185</v>
      </c>
      <c r="D56" s="22" t="s">
        <v>104</v>
      </c>
      <c r="E56" s="22">
        <v>0</v>
      </c>
      <c r="F56" s="22">
        <v>0</v>
      </c>
      <c r="G56" s="22">
        <v>0</v>
      </c>
      <c r="H56" s="22">
        <v>10.88</v>
      </c>
      <c r="I56" s="22">
        <v>0</v>
      </c>
      <c r="J56" s="22">
        <v>0</v>
      </c>
      <c r="K56" s="25">
        <v>0</v>
      </c>
      <c r="L56" s="22">
        <v>0</v>
      </c>
      <c r="M56" s="22">
        <v>0</v>
      </c>
      <c r="N56" s="22">
        <v>0</v>
      </c>
      <c r="O56" s="22">
        <v>0</v>
      </c>
      <c r="P56" s="25">
        <v>0</v>
      </c>
    </row>
    <row r="57" spans="1:16" x14ac:dyDescent="0.3">
      <c r="A57" s="22"/>
      <c r="B57" s="22"/>
      <c r="C57" s="22" t="s">
        <v>186</v>
      </c>
      <c r="D57" s="22" t="s">
        <v>187</v>
      </c>
      <c r="E57" s="22">
        <v>0</v>
      </c>
      <c r="F57" s="22">
        <v>0</v>
      </c>
      <c r="G57" s="22">
        <v>0</v>
      </c>
      <c r="H57" s="22">
        <v>8.75</v>
      </c>
      <c r="I57" s="22">
        <v>0</v>
      </c>
      <c r="J57" s="22">
        <v>0</v>
      </c>
      <c r="K57" s="25">
        <v>0</v>
      </c>
      <c r="L57" s="22">
        <v>0</v>
      </c>
      <c r="M57" s="22">
        <v>0</v>
      </c>
      <c r="N57" s="22">
        <v>0</v>
      </c>
      <c r="O57" s="22">
        <v>0</v>
      </c>
      <c r="P57" s="25">
        <v>0</v>
      </c>
    </row>
    <row r="58" spans="1:16" x14ac:dyDescent="0.3">
      <c r="A58" s="22"/>
      <c r="B58" s="22"/>
      <c r="C58" s="22" t="s">
        <v>188</v>
      </c>
      <c r="D58" s="22" t="s">
        <v>133</v>
      </c>
      <c r="E58" s="23">
        <v>197444</v>
      </c>
      <c r="F58" s="22">
        <v>8.4499999999999993</v>
      </c>
      <c r="G58" s="24">
        <v>23373.07</v>
      </c>
      <c r="H58" s="24">
        <v>83804.69</v>
      </c>
      <c r="I58" s="22">
        <v>2.36</v>
      </c>
      <c r="J58" s="22">
        <v>-6.09</v>
      </c>
      <c r="K58" s="26">
        <v>0.27889999999999998</v>
      </c>
      <c r="L58" s="22">
        <v>0</v>
      </c>
      <c r="M58" s="22">
        <v>0</v>
      </c>
      <c r="N58" s="22">
        <v>0</v>
      </c>
      <c r="O58" s="22">
        <v>0</v>
      </c>
      <c r="P58" s="25">
        <v>0</v>
      </c>
    </row>
    <row r="59" spans="1:16" x14ac:dyDescent="0.3">
      <c r="A59" s="22"/>
      <c r="B59" s="22"/>
      <c r="C59" s="22" t="s">
        <v>189</v>
      </c>
      <c r="D59" s="22" t="s">
        <v>133</v>
      </c>
      <c r="E59" s="23">
        <v>197444</v>
      </c>
      <c r="F59" s="22">
        <v>8.4499999999999993</v>
      </c>
      <c r="G59" s="24">
        <v>23373.07</v>
      </c>
      <c r="H59" s="24">
        <v>83804.69</v>
      </c>
      <c r="I59" s="22">
        <v>2.36</v>
      </c>
      <c r="J59" s="22">
        <v>-6.09</v>
      </c>
      <c r="K59" s="26">
        <v>0.27889999999999998</v>
      </c>
      <c r="L59" s="22">
        <v>0</v>
      </c>
      <c r="M59" s="22">
        <v>0</v>
      </c>
      <c r="N59" s="22">
        <v>0</v>
      </c>
      <c r="O59" s="22">
        <v>0</v>
      </c>
      <c r="P59" s="25">
        <v>0</v>
      </c>
    </row>
    <row r="60" spans="1:16" x14ac:dyDescent="0.3">
      <c r="A60" s="22"/>
      <c r="B60" s="22" t="s">
        <v>190</v>
      </c>
      <c r="C60" s="22" t="s">
        <v>191</v>
      </c>
      <c r="D60" s="22" t="s">
        <v>133</v>
      </c>
      <c r="E60" s="23">
        <v>107812</v>
      </c>
      <c r="F60" s="22">
        <v>16.350000000000001</v>
      </c>
      <c r="G60" s="24">
        <v>6595.69</v>
      </c>
      <c r="H60" s="24">
        <v>5686.61</v>
      </c>
      <c r="I60" s="22">
        <v>18.96</v>
      </c>
      <c r="J60" s="22">
        <v>2.61</v>
      </c>
      <c r="K60" s="26">
        <v>1.1598999999999999</v>
      </c>
      <c r="L60" s="22">
        <v>0</v>
      </c>
      <c r="M60" s="22">
        <v>0</v>
      </c>
      <c r="N60" s="22">
        <v>0</v>
      </c>
      <c r="O60" s="22">
        <v>0</v>
      </c>
      <c r="P60" s="25">
        <v>0</v>
      </c>
    </row>
    <row r="61" spans="1:16" x14ac:dyDescent="0.3">
      <c r="A61" s="22"/>
      <c r="B61" s="22" t="s">
        <v>192</v>
      </c>
      <c r="C61" s="22" t="s">
        <v>193</v>
      </c>
      <c r="D61" s="22" t="s">
        <v>133</v>
      </c>
      <c r="E61" s="23">
        <v>107812</v>
      </c>
      <c r="F61" s="22">
        <v>109.89</v>
      </c>
      <c r="G61" s="22">
        <v>981.06</v>
      </c>
      <c r="H61" s="24">
        <v>1054.22</v>
      </c>
      <c r="I61" s="22">
        <v>102.27</v>
      </c>
      <c r="J61" s="22">
        <v>-7.63</v>
      </c>
      <c r="K61" s="26">
        <v>0.93059999999999998</v>
      </c>
      <c r="L61" s="22">
        <v>0</v>
      </c>
      <c r="M61" s="22">
        <v>0</v>
      </c>
      <c r="N61" s="22">
        <v>0</v>
      </c>
      <c r="O61" s="22">
        <v>0</v>
      </c>
      <c r="P61" s="25">
        <v>0</v>
      </c>
    </row>
    <row r="62" spans="1:16" x14ac:dyDescent="0.3">
      <c r="A62" s="22"/>
      <c r="B62" s="22" t="s">
        <v>194</v>
      </c>
      <c r="C62" s="22" t="s">
        <v>195</v>
      </c>
      <c r="D62" s="22" t="s">
        <v>105</v>
      </c>
      <c r="E62" s="23">
        <v>107812</v>
      </c>
      <c r="F62" s="22">
        <v>950.4</v>
      </c>
      <c r="G62" s="22">
        <v>113.44</v>
      </c>
      <c r="H62" s="22">
        <v>120.24</v>
      </c>
      <c r="I62" s="22">
        <v>896.65</v>
      </c>
      <c r="J62" s="22">
        <v>-53.74</v>
      </c>
      <c r="K62" s="26">
        <v>0.94350000000000001</v>
      </c>
      <c r="L62" s="22">
        <v>0</v>
      </c>
      <c r="M62" s="22">
        <v>0</v>
      </c>
      <c r="N62" s="22">
        <v>0</v>
      </c>
      <c r="O62" s="22">
        <v>0</v>
      </c>
      <c r="P62" s="25">
        <v>0</v>
      </c>
    </row>
    <row r="63" spans="1:16" x14ac:dyDescent="0.3">
      <c r="A63" s="22" t="s">
        <v>196</v>
      </c>
      <c r="B63" s="22" t="s">
        <v>197</v>
      </c>
      <c r="C63" s="22" t="s">
        <v>198</v>
      </c>
      <c r="D63" s="22" t="s">
        <v>145</v>
      </c>
      <c r="E63" s="22">
        <v>0</v>
      </c>
      <c r="F63" s="22">
        <v>0</v>
      </c>
      <c r="G63" s="22">
        <v>0</v>
      </c>
      <c r="H63" s="23">
        <v>10000</v>
      </c>
      <c r="I63" s="22">
        <v>0</v>
      </c>
      <c r="J63" s="22">
        <v>0</v>
      </c>
      <c r="K63" s="25">
        <v>0</v>
      </c>
      <c r="L63" s="22">
        <v>0</v>
      </c>
      <c r="M63" s="22">
        <v>0</v>
      </c>
      <c r="N63" s="22">
        <v>0</v>
      </c>
      <c r="O63" s="22">
        <v>0</v>
      </c>
      <c r="P63" s="25">
        <v>0</v>
      </c>
    </row>
    <row r="64" spans="1:16" x14ac:dyDescent="0.3">
      <c r="A64" s="22"/>
      <c r="B64" s="22"/>
      <c r="C64" s="22" t="s">
        <v>199</v>
      </c>
      <c r="D64" s="22" t="s">
        <v>104</v>
      </c>
      <c r="E64" s="22">
        <v>0</v>
      </c>
      <c r="F64" s="22">
        <v>0</v>
      </c>
      <c r="G64" s="22">
        <v>0</v>
      </c>
      <c r="H64" s="23">
        <v>10000</v>
      </c>
      <c r="I64" s="22">
        <v>0</v>
      </c>
      <c r="J64" s="22">
        <v>0</v>
      </c>
      <c r="K64" s="25">
        <v>0</v>
      </c>
      <c r="L64" s="22">
        <v>0</v>
      </c>
      <c r="M64" s="22">
        <v>0</v>
      </c>
      <c r="N64" s="22">
        <v>0</v>
      </c>
      <c r="O64" s="22">
        <v>0</v>
      </c>
      <c r="P64" s="25">
        <v>0</v>
      </c>
    </row>
    <row r="65" spans="1:16" x14ac:dyDescent="0.3">
      <c r="A65" s="22"/>
      <c r="B65" s="22" t="s">
        <v>200</v>
      </c>
      <c r="C65" s="22" t="s">
        <v>201</v>
      </c>
      <c r="D65" s="22" t="s">
        <v>145</v>
      </c>
      <c r="E65" s="22">
        <v>0</v>
      </c>
      <c r="F65" s="22">
        <v>0</v>
      </c>
      <c r="G65" s="22">
        <v>0</v>
      </c>
      <c r="H65" s="23">
        <v>10000</v>
      </c>
      <c r="I65" s="22">
        <v>0</v>
      </c>
      <c r="J65" s="22">
        <v>0</v>
      </c>
      <c r="K65" s="25">
        <v>0</v>
      </c>
      <c r="L65" s="22">
        <v>0</v>
      </c>
      <c r="M65" s="22">
        <v>0</v>
      </c>
      <c r="N65" s="22">
        <v>0</v>
      </c>
      <c r="O65" s="22">
        <v>0</v>
      </c>
      <c r="P65" s="25">
        <v>0</v>
      </c>
    </row>
    <row r="66" spans="1:16" x14ac:dyDescent="0.3">
      <c r="A66" s="22"/>
      <c r="B66" s="22"/>
      <c r="C66" s="22" t="s">
        <v>202</v>
      </c>
      <c r="D66" s="22" t="s">
        <v>145</v>
      </c>
      <c r="E66" s="22">
        <v>0</v>
      </c>
      <c r="F66" s="22">
        <v>0</v>
      </c>
      <c r="G66" s="22">
        <v>0</v>
      </c>
      <c r="H66" s="23">
        <v>10000</v>
      </c>
      <c r="I66" s="22">
        <v>0</v>
      </c>
      <c r="J66" s="22">
        <v>0</v>
      </c>
      <c r="K66" s="25">
        <v>0</v>
      </c>
      <c r="L66" s="22">
        <v>0</v>
      </c>
      <c r="M66" s="22">
        <v>0</v>
      </c>
      <c r="N66" s="22">
        <v>0</v>
      </c>
      <c r="O66" s="22">
        <v>0</v>
      </c>
      <c r="P66" s="25">
        <v>0</v>
      </c>
    </row>
    <row r="67" spans="1:16" x14ac:dyDescent="0.3">
      <c r="A67" s="22"/>
      <c r="B67" s="22" t="s">
        <v>203</v>
      </c>
      <c r="C67" s="22" t="s">
        <v>204</v>
      </c>
      <c r="D67" s="22" t="s">
        <v>145</v>
      </c>
      <c r="E67" s="22">
        <v>0</v>
      </c>
      <c r="F67" s="22">
        <v>0</v>
      </c>
      <c r="G67" s="22">
        <v>0</v>
      </c>
      <c r="H67" s="22">
        <v>137.93</v>
      </c>
      <c r="I67" s="22">
        <v>0</v>
      </c>
      <c r="J67" s="22">
        <v>0</v>
      </c>
      <c r="K67" s="25">
        <v>0</v>
      </c>
      <c r="L67" s="22">
        <v>0</v>
      </c>
      <c r="M67" s="22">
        <v>0</v>
      </c>
      <c r="N67" s="22">
        <v>0</v>
      </c>
      <c r="O67" s="22">
        <v>0</v>
      </c>
      <c r="P67" s="25">
        <v>0</v>
      </c>
    </row>
    <row r="68" spans="1:16" x14ac:dyDescent="0.3">
      <c r="A68" s="22"/>
      <c r="B68" s="22"/>
      <c r="C68" s="22" t="s">
        <v>205</v>
      </c>
      <c r="D68" s="22" t="s">
        <v>105</v>
      </c>
      <c r="E68" s="22">
        <v>0</v>
      </c>
      <c r="F68" s="22">
        <v>0</v>
      </c>
      <c r="G68" s="22">
        <v>0</v>
      </c>
      <c r="H68" s="22">
        <v>454.32</v>
      </c>
      <c r="I68" s="22">
        <v>0</v>
      </c>
      <c r="J68" s="22">
        <v>0</v>
      </c>
      <c r="K68" s="25">
        <v>0</v>
      </c>
      <c r="L68" s="22">
        <v>0</v>
      </c>
      <c r="M68" s="22">
        <v>0</v>
      </c>
      <c r="N68" s="22">
        <v>0</v>
      </c>
      <c r="O68" s="22">
        <v>0</v>
      </c>
      <c r="P68" s="25">
        <v>0</v>
      </c>
    </row>
    <row r="69" spans="1:16" x14ac:dyDescent="0.3">
      <c r="A69" s="22"/>
      <c r="B69" s="22"/>
      <c r="C69" s="22" t="s">
        <v>206</v>
      </c>
      <c r="D69" s="22" t="s">
        <v>105</v>
      </c>
      <c r="E69" s="22">
        <v>0</v>
      </c>
      <c r="F69" s="22">
        <v>0</v>
      </c>
      <c r="G69" s="22">
        <v>0</v>
      </c>
      <c r="H69" s="22">
        <v>217.52</v>
      </c>
      <c r="I69" s="22">
        <v>0</v>
      </c>
      <c r="J69" s="22">
        <v>0</v>
      </c>
      <c r="K69" s="25">
        <v>0</v>
      </c>
      <c r="L69" s="22">
        <v>0</v>
      </c>
      <c r="M69" s="22">
        <v>0</v>
      </c>
      <c r="N69" s="22">
        <v>0</v>
      </c>
      <c r="O69" s="22">
        <v>0</v>
      </c>
      <c r="P69" s="25">
        <v>0</v>
      </c>
    </row>
    <row r="70" spans="1:16" x14ac:dyDescent="0.3">
      <c r="A70" s="22"/>
      <c r="B70" s="22"/>
      <c r="C70" s="22" t="s">
        <v>207</v>
      </c>
      <c r="D70" s="22" t="s">
        <v>105</v>
      </c>
      <c r="E70" s="22">
        <v>0</v>
      </c>
      <c r="F70" s="22">
        <v>0</v>
      </c>
      <c r="G70" s="22">
        <v>0</v>
      </c>
      <c r="H70" s="22">
        <v>59.17</v>
      </c>
      <c r="I70" s="22">
        <v>0</v>
      </c>
      <c r="J70" s="22">
        <v>0</v>
      </c>
      <c r="K70" s="25">
        <v>0</v>
      </c>
      <c r="L70" s="22">
        <v>0</v>
      </c>
      <c r="M70" s="22">
        <v>0</v>
      </c>
      <c r="N70" s="22">
        <v>0</v>
      </c>
      <c r="O70" s="22">
        <v>0</v>
      </c>
      <c r="P70" s="25">
        <v>0</v>
      </c>
    </row>
    <row r="71" spans="1:16" x14ac:dyDescent="0.3">
      <c r="A71" s="22"/>
      <c r="B71" s="22"/>
      <c r="C71" s="22" t="s">
        <v>208</v>
      </c>
      <c r="D71" s="22" t="s">
        <v>105</v>
      </c>
      <c r="E71" s="22">
        <v>0</v>
      </c>
      <c r="F71" s="22">
        <v>0</v>
      </c>
      <c r="G71" s="22">
        <v>0</v>
      </c>
      <c r="H71" s="22">
        <v>413.56</v>
      </c>
      <c r="I71" s="22">
        <v>0</v>
      </c>
      <c r="J71" s="22">
        <v>0</v>
      </c>
      <c r="K71" s="25">
        <v>0</v>
      </c>
      <c r="L71" s="22">
        <v>0</v>
      </c>
      <c r="M71" s="22">
        <v>0</v>
      </c>
      <c r="N71" s="22">
        <v>0</v>
      </c>
      <c r="O71" s="22">
        <v>0</v>
      </c>
      <c r="P71" s="25">
        <v>0</v>
      </c>
    </row>
    <row r="72" spans="1:16" x14ac:dyDescent="0.3">
      <c r="A72" s="22"/>
      <c r="B72" s="22"/>
      <c r="C72" s="22" t="s">
        <v>209</v>
      </c>
      <c r="D72" s="22" t="s">
        <v>133</v>
      </c>
      <c r="E72" s="22">
        <v>0</v>
      </c>
      <c r="F72" s="22">
        <v>0</v>
      </c>
      <c r="G72" s="22">
        <v>0</v>
      </c>
      <c r="H72" s="22">
        <v>0</v>
      </c>
      <c r="I72" s="22">
        <v>0</v>
      </c>
      <c r="J72" s="22">
        <v>0</v>
      </c>
      <c r="K72" s="25">
        <v>0</v>
      </c>
      <c r="L72" s="22">
        <v>0</v>
      </c>
      <c r="M72" s="22">
        <v>0</v>
      </c>
      <c r="N72" s="22">
        <v>0</v>
      </c>
      <c r="O72" s="22">
        <v>0</v>
      </c>
      <c r="P72" s="25">
        <v>0</v>
      </c>
    </row>
    <row r="73" spans="1:16" x14ac:dyDescent="0.3">
      <c r="A73" s="22"/>
      <c r="B73" s="22" t="s">
        <v>210</v>
      </c>
      <c r="C73" s="22" t="s">
        <v>211</v>
      </c>
      <c r="D73" s="22" t="s">
        <v>105</v>
      </c>
      <c r="E73" s="23">
        <v>6585</v>
      </c>
      <c r="F73" s="22">
        <v>23.51</v>
      </c>
      <c r="G73" s="22">
        <v>280.11</v>
      </c>
      <c r="H73" s="22">
        <v>302.63</v>
      </c>
      <c r="I73" s="22">
        <v>21.76</v>
      </c>
      <c r="J73" s="22">
        <v>-1.75</v>
      </c>
      <c r="K73" s="26">
        <v>0.92559999999999998</v>
      </c>
      <c r="L73" s="22">
        <v>0</v>
      </c>
      <c r="M73" s="22">
        <v>0</v>
      </c>
      <c r="N73" s="22">
        <v>0</v>
      </c>
      <c r="O73" s="22">
        <v>0</v>
      </c>
      <c r="P73" s="25">
        <v>0</v>
      </c>
    </row>
    <row r="74" spans="1:16" x14ac:dyDescent="0.3">
      <c r="A74" s="22"/>
      <c r="B74" s="22"/>
      <c r="C74" s="22" t="s">
        <v>212</v>
      </c>
      <c r="D74" s="22" t="s">
        <v>105</v>
      </c>
      <c r="E74" s="23">
        <v>7653</v>
      </c>
      <c r="F74" s="22">
        <v>28.48</v>
      </c>
      <c r="G74" s="22">
        <v>268.75</v>
      </c>
      <c r="H74" s="22">
        <v>273.47000000000003</v>
      </c>
      <c r="I74" s="22">
        <v>27.98</v>
      </c>
      <c r="J74" s="22">
        <v>-0.49</v>
      </c>
      <c r="K74" s="26">
        <v>0.98270000000000002</v>
      </c>
      <c r="L74" s="22">
        <v>0</v>
      </c>
      <c r="M74" s="22">
        <v>0</v>
      </c>
      <c r="N74" s="22">
        <v>0</v>
      </c>
      <c r="O74" s="22">
        <v>0</v>
      </c>
      <c r="P74" s="25">
        <v>0</v>
      </c>
    </row>
    <row r="75" spans="1:16" x14ac:dyDescent="0.3">
      <c r="A75" s="22"/>
      <c r="B75" s="22"/>
      <c r="C75" s="22" t="s">
        <v>213</v>
      </c>
      <c r="D75" s="22" t="s">
        <v>105</v>
      </c>
      <c r="E75" s="22">
        <v>25</v>
      </c>
      <c r="F75" s="22">
        <v>0.08</v>
      </c>
      <c r="G75" s="22">
        <v>310.33999999999997</v>
      </c>
      <c r="H75" s="22">
        <v>373.25</v>
      </c>
      <c r="I75" s="22">
        <v>7.0000000000000007E-2</v>
      </c>
      <c r="J75" s="22">
        <v>-0.01</v>
      </c>
      <c r="K75" s="26">
        <v>0.83150000000000002</v>
      </c>
      <c r="L75" s="22">
        <v>0</v>
      </c>
      <c r="M75" s="22">
        <v>0</v>
      </c>
      <c r="N75" s="22">
        <v>0</v>
      </c>
      <c r="O75" s="22">
        <v>0</v>
      </c>
      <c r="P75" s="25">
        <v>0</v>
      </c>
    </row>
    <row r="76" spans="1:16" x14ac:dyDescent="0.3">
      <c r="A76" s="22"/>
      <c r="B76" s="22"/>
      <c r="C76" s="22" t="s">
        <v>214</v>
      </c>
      <c r="D76" s="22" t="s">
        <v>105</v>
      </c>
      <c r="E76" s="22">
        <v>0</v>
      </c>
      <c r="F76" s="22">
        <v>0</v>
      </c>
      <c r="G76" s="22">
        <v>0</v>
      </c>
      <c r="H76" s="22">
        <v>498.58</v>
      </c>
      <c r="I76" s="22">
        <v>0</v>
      </c>
      <c r="J76" s="22">
        <v>0</v>
      </c>
      <c r="K76" s="25">
        <v>0</v>
      </c>
      <c r="L76" s="22">
        <v>0</v>
      </c>
      <c r="M76" s="22">
        <v>0</v>
      </c>
      <c r="N76" s="22">
        <v>0</v>
      </c>
      <c r="O76" s="22">
        <v>0</v>
      </c>
      <c r="P76" s="25">
        <v>0</v>
      </c>
    </row>
    <row r="77" spans="1:16" x14ac:dyDescent="0.3">
      <c r="A77" s="22"/>
      <c r="B77" s="22"/>
      <c r="C77" s="22" t="s">
        <v>215</v>
      </c>
      <c r="D77" s="22" t="s">
        <v>105</v>
      </c>
      <c r="E77" s="23">
        <v>14263</v>
      </c>
      <c r="F77" s="22">
        <v>52.07</v>
      </c>
      <c r="G77" s="22">
        <v>273.94</v>
      </c>
      <c r="H77" s="22">
        <v>286.33999999999997</v>
      </c>
      <c r="I77" s="22">
        <v>49.81</v>
      </c>
      <c r="J77" s="22">
        <v>-2.25</v>
      </c>
      <c r="K77" s="26">
        <v>0.95669999999999999</v>
      </c>
      <c r="L77" s="22">
        <v>0</v>
      </c>
      <c r="M77" s="22">
        <v>0</v>
      </c>
      <c r="N77" s="22">
        <v>0</v>
      </c>
      <c r="O77" s="22">
        <v>0</v>
      </c>
      <c r="P77" s="25">
        <v>0</v>
      </c>
    </row>
    <row r="78" spans="1:16" x14ac:dyDescent="0.3">
      <c r="A78" s="22"/>
      <c r="B78" s="22" t="s">
        <v>216</v>
      </c>
      <c r="C78" s="22" t="s">
        <v>217</v>
      </c>
      <c r="D78" s="22" t="s">
        <v>105</v>
      </c>
      <c r="E78" s="23">
        <v>14980</v>
      </c>
      <c r="F78" s="22">
        <v>10.93</v>
      </c>
      <c r="G78" s="24">
        <v>1370.44</v>
      </c>
      <c r="H78" s="22">
        <v>599.19000000000005</v>
      </c>
      <c r="I78" s="22">
        <v>25</v>
      </c>
      <c r="J78" s="22">
        <v>14.07</v>
      </c>
      <c r="K78" s="26">
        <v>2.2871000000000001</v>
      </c>
      <c r="L78" s="22">
        <v>0</v>
      </c>
      <c r="M78" s="22">
        <v>0</v>
      </c>
      <c r="N78" s="22">
        <v>0</v>
      </c>
      <c r="O78" s="22">
        <v>0</v>
      </c>
      <c r="P78" s="25">
        <v>0</v>
      </c>
    </row>
    <row r="79" spans="1:16" x14ac:dyDescent="0.3">
      <c r="A79" s="22"/>
      <c r="B79" s="22" t="s">
        <v>218</v>
      </c>
      <c r="C79" s="22" t="s">
        <v>219</v>
      </c>
      <c r="D79" s="22" t="s">
        <v>133</v>
      </c>
      <c r="E79" s="23">
        <v>14980</v>
      </c>
      <c r="F79" s="22">
        <v>26.25</v>
      </c>
      <c r="G79" s="22">
        <v>570.74</v>
      </c>
      <c r="H79" s="22">
        <v>379.73</v>
      </c>
      <c r="I79" s="22">
        <v>39.450000000000003</v>
      </c>
      <c r="J79" s="22">
        <v>13.2</v>
      </c>
      <c r="K79" s="26">
        <v>1.5029999999999999</v>
      </c>
      <c r="L79" s="22">
        <v>0</v>
      </c>
      <c r="M79" s="22">
        <v>0</v>
      </c>
      <c r="N79" s="22">
        <v>0</v>
      </c>
      <c r="O79" s="22">
        <v>0</v>
      </c>
      <c r="P79" s="25">
        <v>0</v>
      </c>
    </row>
    <row r="80" spans="1:16" x14ac:dyDescent="0.3">
      <c r="A80" s="22"/>
      <c r="B80" s="22" t="s">
        <v>220</v>
      </c>
      <c r="C80" s="22" t="s">
        <v>221</v>
      </c>
      <c r="D80" s="22" t="s">
        <v>133</v>
      </c>
      <c r="E80" s="23">
        <v>14980</v>
      </c>
      <c r="F80" s="22">
        <v>0</v>
      </c>
      <c r="G80" s="22">
        <v>0</v>
      </c>
      <c r="H80" s="24">
        <v>18248.439999999999</v>
      </c>
      <c r="I80" s="22">
        <v>0.82</v>
      </c>
      <c r="J80" s="22">
        <v>0.82</v>
      </c>
      <c r="K80" s="25">
        <v>0</v>
      </c>
      <c r="L80" s="22">
        <v>0</v>
      </c>
      <c r="M80" s="22">
        <v>0</v>
      </c>
      <c r="N80" s="22">
        <v>0</v>
      </c>
      <c r="O80" s="22">
        <v>0</v>
      </c>
      <c r="P80" s="25">
        <v>0</v>
      </c>
    </row>
    <row r="81" spans="1:16" x14ac:dyDescent="0.3">
      <c r="A81" s="22"/>
      <c r="B81" s="22" t="s">
        <v>222</v>
      </c>
      <c r="C81" s="22" t="s">
        <v>223</v>
      </c>
      <c r="D81" s="22" t="s">
        <v>133</v>
      </c>
      <c r="E81" s="23">
        <v>14980</v>
      </c>
      <c r="F81" s="22">
        <v>0</v>
      </c>
      <c r="G81" s="22">
        <v>0</v>
      </c>
      <c r="H81" s="24">
        <v>7921.04</v>
      </c>
      <c r="I81" s="22">
        <v>1.89</v>
      </c>
      <c r="J81" s="22">
        <v>1.89</v>
      </c>
      <c r="K81" s="25">
        <v>0</v>
      </c>
      <c r="L81" s="22">
        <v>0</v>
      </c>
      <c r="M81" s="22">
        <v>0</v>
      </c>
      <c r="N81" s="22">
        <v>0</v>
      </c>
      <c r="O81" s="22">
        <v>0</v>
      </c>
      <c r="P81" s="25">
        <v>0</v>
      </c>
    </row>
    <row r="82" spans="1:16" x14ac:dyDescent="0.3">
      <c r="A82" s="22"/>
      <c r="B82" s="22" t="s">
        <v>194</v>
      </c>
      <c r="C82" s="22" t="s">
        <v>224</v>
      </c>
      <c r="D82" s="22" t="s">
        <v>133</v>
      </c>
      <c r="E82" s="23">
        <v>14980</v>
      </c>
      <c r="F82" s="22">
        <v>89.24</v>
      </c>
      <c r="G82" s="22">
        <v>167.86</v>
      </c>
      <c r="H82" s="22">
        <v>128.06</v>
      </c>
      <c r="I82" s="22">
        <v>116.97</v>
      </c>
      <c r="J82" s="22">
        <v>27.73</v>
      </c>
      <c r="K82" s="26">
        <v>1.3107</v>
      </c>
      <c r="L82" s="22">
        <v>0</v>
      </c>
      <c r="M82" s="22">
        <v>0</v>
      </c>
      <c r="N82" s="22">
        <v>0</v>
      </c>
      <c r="O82" s="22">
        <v>0</v>
      </c>
      <c r="P82" s="25">
        <v>0</v>
      </c>
    </row>
    <row r="83" spans="1:16" x14ac:dyDescent="0.3">
      <c r="A83" s="22" t="s">
        <v>225</v>
      </c>
      <c r="B83" s="22" t="s">
        <v>226</v>
      </c>
      <c r="C83" s="22" t="s">
        <v>227</v>
      </c>
      <c r="D83" s="22" t="s">
        <v>105</v>
      </c>
      <c r="E83" s="23">
        <v>41592</v>
      </c>
      <c r="F83" s="22">
        <v>126.43</v>
      </c>
      <c r="G83" s="22">
        <v>328.98</v>
      </c>
      <c r="H83" s="22">
        <v>388.32</v>
      </c>
      <c r="I83" s="22">
        <v>107.11</v>
      </c>
      <c r="J83" s="22">
        <v>-19.32</v>
      </c>
      <c r="K83" s="26">
        <v>0.84719999999999995</v>
      </c>
      <c r="L83" s="22">
        <v>0</v>
      </c>
      <c r="M83" s="22">
        <v>0</v>
      </c>
      <c r="N83" s="22">
        <v>0</v>
      </c>
      <c r="O83" s="22">
        <v>0</v>
      </c>
      <c r="P83" s="25">
        <v>0</v>
      </c>
    </row>
    <row r="84" spans="1:16" x14ac:dyDescent="0.3">
      <c r="A84" s="22"/>
      <c r="B84" s="22"/>
      <c r="C84" s="22" t="s">
        <v>228</v>
      </c>
      <c r="D84" s="22" t="s">
        <v>105</v>
      </c>
      <c r="E84" s="23">
        <v>33756</v>
      </c>
      <c r="F84" s="22">
        <v>112.88</v>
      </c>
      <c r="G84" s="22">
        <v>299.04000000000002</v>
      </c>
      <c r="H84" s="22">
        <v>329.02</v>
      </c>
      <c r="I84" s="22">
        <v>102.6</v>
      </c>
      <c r="J84" s="22">
        <v>-10.29</v>
      </c>
      <c r="K84" s="26">
        <v>0.90890000000000004</v>
      </c>
      <c r="L84" s="22">
        <v>0</v>
      </c>
      <c r="M84" s="22">
        <v>0</v>
      </c>
      <c r="N84" s="22">
        <v>0</v>
      </c>
      <c r="O84" s="22">
        <v>0</v>
      </c>
      <c r="P84" s="25">
        <v>0</v>
      </c>
    </row>
    <row r="85" spans="1:16" x14ac:dyDescent="0.3">
      <c r="A85" s="22"/>
      <c r="B85" s="22"/>
      <c r="C85" s="22" t="s">
        <v>229</v>
      </c>
      <c r="D85" s="22" t="s">
        <v>105</v>
      </c>
      <c r="E85" s="22">
        <v>244</v>
      </c>
      <c r="F85" s="22">
        <v>1.04</v>
      </c>
      <c r="G85" s="22">
        <v>234.24</v>
      </c>
      <c r="H85" s="22">
        <v>255.94</v>
      </c>
      <c r="I85" s="22">
        <v>0.95</v>
      </c>
      <c r="J85" s="22">
        <v>-0.09</v>
      </c>
      <c r="K85" s="26">
        <v>0.91520000000000001</v>
      </c>
      <c r="L85" s="22">
        <v>0</v>
      </c>
      <c r="M85" s="22">
        <v>0</v>
      </c>
      <c r="N85" s="22">
        <v>0</v>
      </c>
      <c r="O85" s="22">
        <v>0</v>
      </c>
      <c r="P85" s="25">
        <v>0</v>
      </c>
    </row>
    <row r="86" spans="1:16" x14ac:dyDescent="0.3">
      <c r="A86" s="22"/>
      <c r="B86" s="22"/>
      <c r="C86" s="22" t="s">
        <v>230</v>
      </c>
      <c r="D86" s="22" t="s">
        <v>105</v>
      </c>
      <c r="E86" s="22">
        <v>0</v>
      </c>
      <c r="F86" s="22">
        <v>0</v>
      </c>
      <c r="G86" s="22">
        <v>0</v>
      </c>
      <c r="H86" s="22">
        <v>445.91</v>
      </c>
      <c r="I86" s="22">
        <v>0</v>
      </c>
      <c r="J86" s="22">
        <v>0</v>
      </c>
      <c r="K86" s="25">
        <v>0</v>
      </c>
      <c r="L86" s="22">
        <v>0</v>
      </c>
      <c r="M86" s="22">
        <v>0</v>
      </c>
      <c r="N86" s="22">
        <v>0</v>
      </c>
      <c r="O86" s="22">
        <v>0</v>
      </c>
      <c r="P86" s="25">
        <v>0</v>
      </c>
    </row>
    <row r="87" spans="1:16" x14ac:dyDescent="0.3">
      <c r="A87" s="22"/>
      <c r="B87" s="22"/>
      <c r="C87" s="22" t="s">
        <v>231</v>
      </c>
      <c r="D87" s="22" t="s">
        <v>105</v>
      </c>
      <c r="E87" s="23">
        <v>75592</v>
      </c>
      <c r="F87" s="22">
        <v>240.35</v>
      </c>
      <c r="G87" s="22">
        <v>314.51</v>
      </c>
      <c r="H87" s="22">
        <v>358.84</v>
      </c>
      <c r="I87" s="22">
        <v>210.66</v>
      </c>
      <c r="J87" s="22">
        <v>-29.69</v>
      </c>
      <c r="K87" s="26">
        <v>0.87649999999999995</v>
      </c>
      <c r="L87" s="22">
        <v>0</v>
      </c>
      <c r="M87" s="22">
        <v>0</v>
      </c>
      <c r="N87" s="22">
        <v>0</v>
      </c>
      <c r="O87" s="22">
        <v>0</v>
      </c>
      <c r="P87" s="25">
        <v>0</v>
      </c>
    </row>
    <row r="88" spans="1:16" x14ac:dyDescent="0.3">
      <c r="A88" s="22"/>
      <c r="B88" s="22"/>
      <c r="C88" s="22" t="s">
        <v>232</v>
      </c>
      <c r="D88" s="22" t="s">
        <v>133</v>
      </c>
      <c r="E88" s="23">
        <v>89855</v>
      </c>
      <c r="F88" s="22">
        <v>61.11</v>
      </c>
      <c r="G88" s="24">
        <v>1470.44</v>
      </c>
      <c r="H88" s="24">
        <v>1888.14</v>
      </c>
      <c r="I88" s="22">
        <v>47.59</v>
      </c>
      <c r="J88" s="22">
        <v>-13.52</v>
      </c>
      <c r="K88" s="26">
        <v>0.77880000000000005</v>
      </c>
      <c r="L88" s="22">
        <v>0</v>
      </c>
      <c r="M88" s="22">
        <v>0</v>
      </c>
      <c r="N88" s="22">
        <v>0</v>
      </c>
      <c r="O88" s="22">
        <v>0</v>
      </c>
      <c r="P88" s="25">
        <v>0</v>
      </c>
    </row>
    <row r="89" spans="1:16" x14ac:dyDescent="0.3">
      <c r="A89" s="22"/>
      <c r="B89" s="22"/>
      <c r="C89" s="22" t="s">
        <v>233</v>
      </c>
      <c r="D89" s="22" t="s">
        <v>133</v>
      </c>
      <c r="E89" s="23">
        <v>75592</v>
      </c>
      <c r="F89" s="22">
        <v>301.45999999999998</v>
      </c>
      <c r="G89" s="22">
        <v>250.75</v>
      </c>
      <c r="H89" s="22">
        <v>292.70999999999998</v>
      </c>
      <c r="I89" s="22">
        <v>258.25</v>
      </c>
      <c r="J89" s="22">
        <v>-43.21</v>
      </c>
      <c r="K89" s="26">
        <v>0.85670000000000002</v>
      </c>
      <c r="L89" s="22">
        <v>0</v>
      </c>
      <c r="M89" s="22">
        <v>0</v>
      </c>
      <c r="N89" s="22">
        <v>0</v>
      </c>
      <c r="O89" s="22">
        <v>0</v>
      </c>
      <c r="P89" s="25">
        <v>0</v>
      </c>
    </row>
    <row r="90" spans="1:16" x14ac:dyDescent="0.3">
      <c r="A90" s="22"/>
      <c r="B90" s="22" t="s">
        <v>234</v>
      </c>
      <c r="C90" s="22" t="s">
        <v>235</v>
      </c>
      <c r="D90" s="22" t="s">
        <v>105</v>
      </c>
      <c r="E90" s="22">
        <v>0</v>
      </c>
      <c r="F90" s="22">
        <v>0.15</v>
      </c>
      <c r="G90" s="22">
        <v>0</v>
      </c>
      <c r="H90" s="22">
        <v>413.9</v>
      </c>
      <c r="I90" s="22">
        <v>0</v>
      </c>
      <c r="J90" s="22">
        <v>-0.15</v>
      </c>
      <c r="K90" s="25">
        <v>0</v>
      </c>
      <c r="L90" s="22">
        <v>0</v>
      </c>
      <c r="M90" s="22">
        <v>0</v>
      </c>
      <c r="N90" s="22">
        <v>0</v>
      </c>
      <c r="O90" s="22">
        <v>0</v>
      </c>
      <c r="P90" s="25">
        <v>0</v>
      </c>
    </row>
    <row r="91" spans="1:16" x14ac:dyDescent="0.3">
      <c r="A91" s="22"/>
      <c r="B91" s="22"/>
      <c r="C91" s="22" t="s">
        <v>236</v>
      </c>
      <c r="D91" s="22" t="s">
        <v>105</v>
      </c>
      <c r="E91" s="22">
        <v>0</v>
      </c>
      <c r="F91" s="22">
        <v>0.15</v>
      </c>
      <c r="G91" s="22">
        <v>0</v>
      </c>
      <c r="H91" s="22">
        <v>416.09</v>
      </c>
      <c r="I91" s="22">
        <v>0</v>
      </c>
      <c r="J91" s="22">
        <v>-0.15</v>
      </c>
      <c r="K91" s="25">
        <v>0</v>
      </c>
      <c r="L91" s="22">
        <v>0</v>
      </c>
      <c r="M91" s="22">
        <v>0</v>
      </c>
      <c r="N91" s="22">
        <v>0</v>
      </c>
      <c r="O91" s="22">
        <v>0</v>
      </c>
      <c r="P91" s="25">
        <v>0</v>
      </c>
    </row>
    <row r="92" spans="1:16" x14ac:dyDescent="0.3">
      <c r="A92" s="22"/>
      <c r="B92" s="22"/>
      <c r="C92" s="22" t="s">
        <v>237</v>
      </c>
      <c r="D92" s="22" t="s">
        <v>105</v>
      </c>
      <c r="E92" s="22">
        <v>0</v>
      </c>
      <c r="F92" s="22">
        <v>0.15</v>
      </c>
      <c r="G92" s="22">
        <v>0</v>
      </c>
      <c r="H92" s="22">
        <v>722.07</v>
      </c>
      <c r="I92" s="22">
        <v>0</v>
      </c>
      <c r="J92" s="22">
        <v>-0.15</v>
      </c>
      <c r="K92" s="25">
        <v>0</v>
      </c>
      <c r="L92" s="22">
        <v>0</v>
      </c>
      <c r="M92" s="22">
        <v>0</v>
      </c>
      <c r="N92" s="22">
        <v>0</v>
      </c>
      <c r="O92" s="22">
        <v>0</v>
      </c>
      <c r="P92" s="25">
        <v>0</v>
      </c>
    </row>
    <row r="93" spans="1:16" x14ac:dyDescent="0.3">
      <c r="A93" s="22"/>
      <c r="B93" s="22"/>
      <c r="C93" s="22" t="s">
        <v>238</v>
      </c>
      <c r="D93" s="22" t="s">
        <v>105</v>
      </c>
      <c r="E93" s="22">
        <v>0</v>
      </c>
      <c r="F93" s="22">
        <v>0.15</v>
      </c>
      <c r="G93" s="22">
        <v>0</v>
      </c>
      <c r="H93" s="22">
        <v>0.1</v>
      </c>
      <c r="I93" s="22">
        <v>0</v>
      </c>
      <c r="J93" s="22">
        <v>-0.15</v>
      </c>
      <c r="K93" s="25">
        <v>0</v>
      </c>
      <c r="L93" s="22">
        <v>0</v>
      </c>
      <c r="M93" s="22">
        <v>0</v>
      </c>
      <c r="N93" s="22">
        <v>0</v>
      </c>
      <c r="O93" s="22">
        <v>0</v>
      </c>
      <c r="P93" s="25">
        <v>0</v>
      </c>
    </row>
    <row r="94" spans="1:16" x14ac:dyDescent="0.3">
      <c r="A94" s="22"/>
      <c r="B94" s="22"/>
      <c r="C94" s="22" t="s">
        <v>239</v>
      </c>
      <c r="D94" s="22" t="s">
        <v>105</v>
      </c>
      <c r="E94" s="22">
        <v>0</v>
      </c>
      <c r="F94" s="22">
        <v>0.6</v>
      </c>
      <c r="G94" s="22">
        <v>0</v>
      </c>
      <c r="H94" s="22">
        <v>0</v>
      </c>
      <c r="I94" s="22">
        <v>0</v>
      </c>
      <c r="J94" s="22">
        <v>-0.6</v>
      </c>
      <c r="K94" s="25">
        <v>0</v>
      </c>
      <c r="L94" s="22">
        <v>0</v>
      </c>
      <c r="M94" s="22">
        <v>0</v>
      </c>
      <c r="N94" s="22">
        <v>0</v>
      </c>
      <c r="O94" s="22">
        <v>0</v>
      </c>
      <c r="P94" s="25">
        <v>0</v>
      </c>
    </row>
    <row r="95" spans="1:16" x14ac:dyDescent="0.3">
      <c r="A95" s="22"/>
      <c r="B95" s="22"/>
      <c r="C95" s="22" t="s">
        <v>240</v>
      </c>
      <c r="D95" s="22" t="s">
        <v>105</v>
      </c>
      <c r="E95" s="23">
        <v>15051</v>
      </c>
      <c r="F95" s="22">
        <v>57.44</v>
      </c>
      <c r="G95" s="22">
        <v>262.02999999999997</v>
      </c>
      <c r="H95" s="22">
        <v>240.43</v>
      </c>
      <c r="I95" s="22">
        <v>62.6</v>
      </c>
      <c r="J95" s="22">
        <v>5.16</v>
      </c>
      <c r="K95" s="26">
        <v>1.0898000000000001</v>
      </c>
      <c r="L95" s="22">
        <v>0</v>
      </c>
      <c r="M95" s="22">
        <v>0</v>
      </c>
      <c r="N95" s="22">
        <v>0</v>
      </c>
      <c r="O95" s="22">
        <v>0</v>
      </c>
      <c r="P95" s="25">
        <v>0</v>
      </c>
    </row>
    <row r="96" spans="1:16" x14ac:dyDescent="0.3">
      <c r="A96" s="22"/>
      <c r="B96" s="22"/>
      <c r="C96" s="22" t="s">
        <v>241</v>
      </c>
      <c r="D96" s="22" t="s">
        <v>105</v>
      </c>
      <c r="E96" s="23">
        <v>13130</v>
      </c>
      <c r="F96" s="22">
        <v>52.94</v>
      </c>
      <c r="G96" s="22">
        <v>248.01</v>
      </c>
      <c r="H96" s="22">
        <v>227.34</v>
      </c>
      <c r="I96" s="22">
        <v>57.75</v>
      </c>
      <c r="J96" s="22">
        <v>4.8099999999999996</v>
      </c>
      <c r="K96" s="26">
        <v>1.0909</v>
      </c>
      <c r="L96" s="22">
        <v>0</v>
      </c>
      <c r="M96" s="22">
        <v>0</v>
      </c>
      <c r="N96" s="22">
        <v>0</v>
      </c>
      <c r="O96" s="22">
        <v>0</v>
      </c>
      <c r="P96" s="25">
        <v>0</v>
      </c>
    </row>
    <row r="97" spans="1:16" x14ac:dyDescent="0.3">
      <c r="A97" s="22"/>
      <c r="B97" s="22"/>
      <c r="C97" s="22" t="s">
        <v>242</v>
      </c>
      <c r="D97" s="22" t="s">
        <v>105</v>
      </c>
      <c r="E97" s="22">
        <v>66</v>
      </c>
      <c r="F97" s="22">
        <v>0.25</v>
      </c>
      <c r="G97" s="22">
        <v>265.47000000000003</v>
      </c>
      <c r="H97" s="22">
        <v>221.02</v>
      </c>
      <c r="I97" s="22">
        <v>0.3</v>
      </c>
      <c r="J97" s="22">
        <v>0.05</v>
      </c>
      <c r="K97" s="26">
        <v>1.2011000000000001</v>
      </c>
      <c r="L97" s="22">
        <v>0</v>
      </c>
      <c r="M97" s="22">
        <v>0</v>
      </c>
      <c r="N97" s="22">
        <v>0</v>
      </c>
      <c r="O97" s="22">
        <v>0</v>
      </c>
      <c r="P97" s="25">
        <v>0</v>
      </c>
    </row>
    <row r="98" spans="1:16" x14ac:dyDescent="0.3">
      <c r="A98" s="22"/>
      <c r="B98" s="22"/>
      <c r="C98" s="22" t="s">
        <v>243</v>
      </c>
      <c r="D98" s="22" t="s">
        <v>105</v>
      </c>
      <c r="E98" s="22">
        <v>0</v>
      </c>
      <c r="F98" s="22">
        <v>0</v>
      </c>
      <c r="G98" s="22">
        <v>0</v>
      </c>
      <c r="H98" s="22">
        <v>203.49</v>
      </c>
      <c r="I98" s="22">
        <v>0</v>
      </c>
      <c r="J98" s="22">
        <v>0</v>
      </c>
      <c r="K98" s="25">
        <v>0</v>
      </c>
      <c r="L98" s="22">
        <v>0</v>
      </c>
      <c r="M98" s="22">
        <v>0</v>
      </c>
      <c r="N98" s="22">
        <v>0</v>
      </c>
      <c r="O98" s="22">
        <v>0</v>
      </c>
      <c r="P98" s="25">
        <v>0</v>
      </c>
    </row>
    <row r="99" spans="1:16" x14ac:dyDescent="0.3">
      <c r="A99" s="22"/>
      <c r="B99" s="22"/>
      <c r="C99" s="22" t="s">
        <v>244</v>
      </c>
      <c r="D99" s="22" t="s">
        <v>105</v>
      </c>
      <c r="E99" s="23">
        <v>28247</v>
      </c>
      <c r="F99" s="22">
        <v>110.63</v>
      </c>
      <c r="G99" s="22">
        <v>255.33</v>
      </c>
      <c r="H99" s="22">
        <v>234.12</v>
      </c>
      <c r="I99" s="22">
        <v>120.65</v>
      </c>
      <c r="J99" s="22">
        <v>10.02</v>
      </c>
      <c r="K99" s="26">
        <v>1.0906</v>
      </c>
      <c r="L99" s="22">
        <v>0</v>
      </c>
      <c r="M99" s="22">
        <v>0</v>
      </c>
      <c r="N99" s="22">
        <v>0</v>
      </c>
      <c r="O99" s="22">
        <v>0</v>
      </c>
      <c r="P99" s="25">
        <v>0</v>
      </c>
    </row>
    <row r="100" spans="1:16" x14ac:dyDescent="0.3">
      <c r="A100" s="22"/>
      <c r="B100" s="22"/>
      <c r="C100" s="22" t="s">
        <v>245</v>
      </c>
      <c r="D100" s="22" t="s">
        <v>133</v>
      </c>
      <c r="E100" s="23">
        <v>28247</v>
      </c>
      <c r="F100" s="22">
        <v>5.48</v>
      </c>
      <c r="G100" s="24">
        <v>5151.43</v>
      </c>
      <c r="H100" s="24">
        <v>19749.77</v>
      </c>
      <c r="I100" s="22">
        <v>1.43</v>
      </c>
      <c r="J100" s="22">
        <v>-4.05</v>
      </c>
      <c r="K100" s="26">
        <v>0.26079999999999998</v>
      </c>
      <c r="L100" s="22">
        <v>0</v>
      </c>
      <c r="M100" s="22">
        <v>0</v>
      </c>
      <c r="N100" s="22">
        <v>0</v>
      </c>
      <c r="O100" s="22">
        <v>0</v>
      </c>
      <c r="P100" s="25">
        <v>0</v>
      </c>
    </row>
    <row r="101" spans="1:16" x14ac:dyDescent="0.3">
      <c r="A101" s="22"/>
      <c r="B101" s="22"/>
      <c r="C101" s="22" t="s">
        <v>246</v>
      </c>
      <c r="D101" s="22" t="s">
        <v>105</v>
      </c>
      <c r="E101" s="23">
        <v>28247</v>
      </c>
      <c r="F101" s="22">
        <v>116.71</v>
      </c>
      <c r="G101" s="22">
        <v>242.03</v>
      </c>
      <c r="H101" s="22">
        <v>231.37</v>
      </c>
      <c r="I101" s="22">
        <v>122.08</v>
      </c>
      <c r="J101" s="22">
        <v>5.38</v>
      </c>
      <c r="K101" s="26">
        <v>1.0461</v>
      </c>
      <c r="L101" s="22">
        <v>0</v>
      </c>
      <c r="M101" s="22">
        <v>0</v>
      </c>
      <c r="N101" s="22">
        <v>0</v>
      </c>
      <c r="O101" s="22">
        <v>0</v>
      </c>
      <c r="P101" s="25">
        <v>0</v>
      </c>
    </row>
    <row r="102" spans="1:16" x14ac:dyDescent="0.3">
      <c r="A102" s="22"/>
      <c r="B102" s="22" t="s">
        <v>247</v>
      </c>
      <c r="C102" s="22" t="s">
        <v>248</v>
      </c>
      <c r="D102" s="22" t="s">
        <v>105</v>
      </c>
      <c r="E102" s="23">
        <v>16446</v>
      </c>
      <c r="F102" s="22">
        <v>92</v>
      </c>
      <c r="G102" s="22">
        <v>178.76</v>
      </c>
      <c r="H102" s="22">
        <v>156.35</v>
      </c>
      <c r="I102" s="22">
        <v>105.19</v>
      </c>
      <c r="J102" s="22">
        <v>13.19</v>
      </c>
      <c r="K102" s="26">
        <v>1.1433</v>
      </c>
      <c r="L102" s="22">
        <v>0</v>
      </c>
      <c r="M102" s="22">
        <v>0</v>
      </c>
      <c r="N102" s="22">
        <v>0</v>
      </c>
      <c r="O102" s="22">
        <v>0</v>
      </c>
      <c r="P102" s="25">
        <v>0</v>
      </c>
    </row>
    <row r="103" spans="1:16" x14ac:dyDescent="0.3">
      <c r="A103" s="22"/>
      <c r="B103" s="22"/>
      <c r="C103" s="22" t="s">
        <v>249</v>
      </c>
      <c r="D103" s="22" t="s">
        <v>105</v>
      </c>
      <c r="E103" s="23">
        <v>14248</v>
      </c>
      <c r="F103" s="22">
        <v>80.2</v>
      </c>
      <c r="G103" s="22">
        <v>177.66</v>
      </c>
      <c r="H103" s="22">
        <v>158.69999999999999</v>
      </c>
      <c r="I103" s="22">
        <v>89.78</v>
      </c>
      <c r="J103" s="22">
        <v>9.58</v>
      </c>
      <c r="K103" s="26">
        <v>1.1194</v>
      </c>
      <c r="L103" s="22">
        <v>0</v>
      </c>
      <c r="M103" s="22">
        <v>0</v>
      </c>
      <c r="N103" s="22">
        <v>0</v>
      </c>
      <c r="O103" s="22">
        <v>0</v>
      </c>
      <c r="P103" s="25">
        <v>0</v>
      </c>
    </row>
    <row r="104" spans="1:16" x14ac:dyDescent="0.3">
      <c r="A104" s="22"/>
      <c r="B104" s="22"/>
      <c r="C104" s="22" t="s">
        <v>250</v>
      </c>
      <c r="D104" s="22" t="s">
        <v>105</v>
      </c>
      <c r="E104" s="22">
        <v>79</v>
      </c>
      <c r="F104" s="22">
        <v>0.44</v>
      </c>
      <c r="G104" s="22">
        <v>177.86</v>
      </c>
      <c r="H104" s="22">
        <v>146.5</v>
      </c>
      <c r="I104" s="22">
        <v>0.54</v>
      </c>
      <c r="J104" s="22">
        <v>0.1</v>
      </c>
      <c r="K104" s="26">
        <v>1.2141</v>
      </c>
      <c r="L104" s="22">
        <v>0</v>
      </c>
      <c r="M104" s="22">
        <v>0</v>
      </c>
      <c r="N104" s="22">
        <v>0</v>
      </c>
      <c r="O104" s="22">
        <v>0</v>
      </c>
      <c r="P104" s="25">
        <v>0</v>
      </c>
    </row>
    <row r="105" spans="1:16" x14ac:dyDescent="0.3">
      <c r="A105" s="22"/>
      <c r="B105" s="22"/>
      <c r="C105" s="22" t="s">
        <v>251</v>
      </c>
      <c r="D105" s="22" t="s">
        <v>105</v>
      </c>
      <c r="E105" s="22">
        <v>0</v>
      </c>
      <c r="F105" s="22">
        <v>0</v>
      </c>
      <c r="G105" s="22">
        <v>0</v>
      </c>
      <c r="H105" s="22">
        <v>173.37</v>
      </c>
      <c r="I105" s="22">
        <v>0</v>
      </c>
      <c r="J105" s="22">
        <v>0</v>
      </c>
      <c r="K105" s="25">
        <v>0</v>
      </c>
      <c r="L105" s="22">
        <v>0</v>
      </c>
      <c r="M105" s="22">
        <v>0</v>
      </c>
      <c r="N105" s="22">
        <v>0</v>
      </c>
      <c r="O105" s="22">
        <v>0</v>
      </c>
      <c r="P105" s="25">
        <v>0</v>
      </c>
    </row>
    <row r="106" spans="1:16" x14ac:dyDescent="0.3">
      <c r="A106" s="22"/>
      <c r="B106" s="22"/>
      <c r="C106" s="22" t="s">
        <v>252</v>
      </c>
      <c r="D106" s="22" t="s">
        <v>105</v>
      </c>
      <c r="E106" s="23">
        <v>30773</v>
      </c>
      <c r="F106" s="22">
        <v>172.65</v>
      </c>
      <c r="G106" s="22">
        <v>178.24</v>
      </c>
      <c r="H106" s="22">
        <v>157.4</v>
      </c>
      <c r="I106" s="22">
        <v>195.51</v>
      </c>
      <c r="J106" s="22">
        <v>22.86</v>
      </c>
      <c r="K106" s="26">
        <v>1.1324000000000001</v>
      </c>
      <c r="L106" s="22">
        <v>0</v>
      </c>
      <c r="M106" s="22">
        <v>0</v>
      </c>
      <c r="N106" s="22">
        <v>0</v>
      </c>
      <c r="O106" s="22">
        <v>0</v>
      </c>
      <c r="P106" s="25">
        <v>0</v>
      </c>
    </row>
    <row r="107" spans="1:16" x14ac:dyDescent="0.3">
      <c r="A107" s="22"/>
      <c r="B107" s="22"/>
      <c r="C107" s="22" t="s">
        <v>253</v>
      </c>
      <c r="D107" s="22" t="s">
        <v>102</v>
      </c>
      <c r="E107" s="23">
        <v>22522</v>
      </c>
      <c r="F107" s="22">
        <v>0</v>
      </c>
      <c r="G107" s="22">
        <v>0</v>
      </c>
      <c r="H107" s="24">
        <v>30187874.489999998</v>
      </c>
      <c r="I107" s="22">
        <v>0</v>
      </c>
      <c r="J107" s="22">
        <v>0</v>
      </c>
      <c r="K107" s="25">
        <v>0</v>
      </c>
      <c r="L107" s="22">
        <v>0</v>
      </c>
      <c r="M107" s="22">
        <v>0</v>
      </c>
      <c r="N107" s="22">
        <v>0</v>
      </c>
      <c r="O107" s="22">
        <v>0</v>
      </c>
      <c r="P107" s="25">
        <v>0</v>
      </c>
    </row>
    <row r="108" spans="1:16" x14ac:dyDescent="0.3">
      <c r="A108" s="22"/>
      <c r="B108" s="22"/>
      <c r="C108" s="22" t="s">
        <v>254</v>
      </c>
      <c r="D108" s="22" t="s">
        <v>105</v>
      </c>
      <c r="E108" s="22">
        <v>0</v>
      </c>
      <c r="F108" s="22">
        <v>0</v>
      </c>
      <c r="G108" s="22">
        <v>0</v>
      </c>
      <c r="H108" s="24">
        <v>1316.73</v>
      </c>
      <c r="I108" s="22">
        <v>0</v>
      </c>
      <c r="J108" s="22">
        <v>0</v>
      </c>
      <c r="K108" s="25">
        <v>0</v>
      </c>
      <c r="L108" s="22">
        <v>0</v>
      </c>
      <c r="M108" s="22">
        <v>0</v>
      </c>
      <c r="N108" s="22">
        <v>0</v>
      </c>
      <c r="O108" s="22">
        <v>0</v>
      </c>
      <c r="P108" s="25">
        <v>0</v>
      </c>
    </row>
    <row r="109" spans="1:16" x14ac:dyDescent="0.3">
      <c r="A109" s="22"/>
      <c r="B109" s="22"/>
      <c r="C109" s="22" t="s">
        <v>255</v>
      </c>
      <c r="D109" s="22" t="s">
        <v>105</v>
      </c>
      <c r="E109" s="23">
        <v>25698</v>
      </c>
      <c r="F109" s="22">
        <v>46.53</v>
      </c>
      <c r="G109" s="22">
        <v>552.26</v>
      </c>
      <c r="H109" s="22">
        <v>451.72</v>
      </c>
      <c r="I109" s="22">
        <v>56.89</v>
      </c>
      <c r="J109" s="22">
        <v>10.36</v>
      </c>
      <c r="K109" s="26">
        <v>1.2225999999999999</v>
      </c>
      <c r="L109" s="22">
        <v>0</v>
      </c>
      <c r="M109" s="22">
        <v>0</v>
      </c>
      <c r="N109" s="22">
        <v>0</v>
      </c>
      <c r="O109" s="22">
        <v>0</v>
      </c>
      <c r="P109" s="25">
        <v>0</v>
      </c>
    </row>
    <row r="110" spans="1:16" x14ac:dyDescent="0.3">
      <c r="A110" s="22"/>
      <c r="B110" s="22"/>
      <c r="C110" s="22" t="s">
        <v>256</v>
      </c>
      <c r="D110" s="22" t="s">
        <v>105</v>
      </c>
      <c r="E110" s="23">
        <v>4354</v>
      </c>
      <c r="F110" s="22">
        <v>40.06</v>
      </c>
      <c r="G110" s="22">
        <v>108.68</v>
      </c>
      <c r="H110" s="22">
        <v>102.44</v>
      </c>
      <c r="I110" s="22">
        <v>42.5</v>
      </c>
      <c r="J110" s="22">
        <v>2.44</v>
      </c>
      <c r="K110" s="26">
        <v>1.0609</v>
      </c>
      <c r="L110" s="22">
        <v>0</v>
      </c>
      <c r="M110" s="22">
        <v>0</v>
      </c>
      <c r="N110" s="22">
        <v>0</v>
      </c>
      <c r="O110" s="22">
        <v>0</v>
      </c>
      <c r="P110" s="25">
        <v>0</v>
      </c>
    </row>
    <row r="111" spans="1:16" x14ac:dyDescent="0.3">
      <c r="A111" s="22"/>
      <c r="B111" s="22"/>
      <c r="C111" s="22" t="s">
        <v>257</v>
      </c>
      <c r="D111" s="22" t="s">
        <v>105</v>
      </c>
      <c r="E111" s="23">
        <v>13212</v>
      </c>
      <c r="F111" s="22">
        <v>172.37</v>
      </c>
      <c r="G111" s="22">
        <v>76.650000000000006</v>
      </c>
      <c r="H111" s="22">
        <v>94.68</v>
      </c>
      <c r="I111" s="22">
        <v>139.54</v>
      </c>
      <c r="J111" s="22">
        <v>-32.83</v>
      </c>
      <c r="K111" s="26">
        <v>0.8095</v>
      </c>
      <c r="L111" s="22">
        <v>0</v>
      </c>
      <c r="M111" s="22">
        <v>0</v>
      </c>
      <c r="N111" s="22">
        <v>0</v>
      </c>
      <c r="O111" s="22">
        <v>0</v>
      </c>
      <c r="P111" s="25">
        <v>0</v>
      </c>
    </row>
    <row r="112" spans="1:16" x14ac:dyDescent="0.3">
      <c r="A112" s="22"/>
      <c r="B112" s="22"/>
      <c r="C112" s="22" t="s">
        <v>258</v>
      </c>
      <c r="D112" s="22" t="s">
        <v>105</v>
      </c>
      <c r="E112" s="22">
        <v>163</v>
      </c>
      <c r="F112" s="22">
        <v>4.21</v>
      </c>
      <c r="G112" s="22">
        <v>38.71</v>
      </c>
      <c r="H112" s="22">
        <v>44.44</v>
      </c>
      <c r="I112" s="22">
        <v>3.67</v>
      </c>
      <c r="J112" s="22">
        <v>-0.54</v>
      </c>
      <c r="K112" s="26">
        <v>0.871</v>
      </c>
      <c r="L112" s="22">
        <v>0</v>
      </c>
      <c r="M112" s="22">
        <v>0</v>
      </c>
      <c r="N112" s="22">
        <v>0</v>
      </c>
      <c r="O112" s="22">
        <v>0</v>
      </c>
      <c r="P112" s="25">
        <v>0</v>
      </c>
    </row>
    <row r="113" spans="1:16" x14ac:dyDescent="0.3">
      <c r="A113" s="22"/>
      <c r="B113" s="22"/>
      <c r="C113" s="22" t="s">
        <v>259</v>
      </c>
      <c r="D113" s="22" t="s">
        <v>105</v>
      </c>
      <c r="E113" s="22">
        <v>0</v>
      </c>
      <c r="F113" s="22">
        <v>0</v>
      </c>
      <c r="G113" s="22">
        <v>0</v>
      </c>
      <c r="H113" s="22">
        <v>402</v>
      </c>
      <c r="I113" s="22">
        <v>0</v>
      </c>
      <c r="J113" s="22">
        <v>0</v>
      </c>
      <c r="K113" s="25">
        <v>0</v>
      </c>
      <c r="L113" s="22">
        <v>0</v>
      </c>
      <c r="M113" s="22">
        <v>0</v>
      </c>
      <c r="N113" s="22">
        <v>0</v>
      </c>
      <c r="O113" s="22">
        <v>0</v>
      </c>
      <c r="P113" s="25">
        <v>0</v>
      </c>
    </row>
    <row r="114" spans="1:16" x14ac:dyDescent="0.3">
      <c r="A114" s="22"/>
      <c r="B114" s="22"/>
      <c r="C114" s="22" t="s">
        <v>260</v>
      </c>
      <c r="D114" s="22" t="s">
        <v>105</v>
      </c>
      <c r="E114" s="23">
        <v>17729</v>
      </c>
      <c r="F114" s="22">
        <v>216.65</v>
      </c>
      <c r="G114" s="22">
        <v>81.83</v>
      </c>
      <c r="H114" s="22">
        <v>95.46</v>
      </c>
      <c r="I114" s="22">
        <v>185.71</v>
      </c>
      <c r="J114" s="22">
        <v>-30.93</v>
      </c>
      <c r="K114" s="26">
        <v>0.85719999999999996</v>
      </c>
      <c r="L114" s="22">
        <v>0</v>
      </c>
      <c r="M114" s="22">
        <v>0</v>
      </c>
      <c r="N114" s="22">
        <v>0</v>
      </c>
      <c r="O114" s="22">
        <v>0</v>
      </c>
      <c r="P114" s="25">
        <v>0</v>
      </c>
    </row>
    <row r="115" spans="1:16" x14ac:dyDescent="0.3">
      <c r="A115" s="22"/>
      <c r="B115" s="22"/>
      <c r="C115" s="22" t="s">
        <v>261</v>
      </c>
      <c r="D115" s="22" t="s">
        <v>105</v>
      </c>
      <c r="E115" s="22">
        <v>246</v>
      </c>
      <c r="F115" s="22">
        <v>5.6</v>
      </c>
      <c r="G115" s="22">
        <v>43.92</v>
      </c>
      <c r="H115" s="22">
        <v>104.12</v>
      </c>
      <c r="I115" s="22">
        <v>2.36</v>
      </c>
      <c r="J115" s="22">
        <v>-3.24</v>
      </c>
      <c r="K115" s="26">
        <v>0.42180000000000001</v>
      </c>
      <c r="L115" s="22">
        <v>0</v>
      </c>
      <c r="M115" s="22">
        <v>0</v>
      </c>
      <c r="N115" s="22">
        <v>0</v>
      </c>
      <c r="O115" s="22">
        <v>0</v>
      </c>
      <c r="P115" s="25">
        <v>0</v>
      </c>
    </row>
    <row r="116" spans="1:16" x14ac:dyDescent="0.3">
      <c r="A116" s="22"/>
      <c r="B116" s="22"/>
      <c r="C116" s="22" t="s">
        <v>262</v>
      </c>
      <c r="D116" s="22" t="s">
        <v>105</v>
      </c>
      <c r="E116" s="22">
        <v>228</v>
      </c>
      <c r="F116" s="22">
        <v>3.81</v>
      </c>
      <c r="G116" s="22">
        <v>59.83</v>
      </c>
      <c r="H116" s="22">
        <v>72.53</v>
      </c>
      <c r="I116" s="22">
        <v>3.14</v>
      </c>
      <c r="J116" s="22">
        <v>-0.67</v>
      </c>
      <c r="K116" s="26">
        <v>0.82479999999999998</v>
      </c>
      <c r="L116" s="22">
        <v>0</v>
      </c>
      <c r="M116" s="22">
        <v>0</v>
      </c>
      <c r="N116" s="22">
        <v>0</v>
      </c>
      <c r="O116" s="22">
        <v>0</v>
      </c>
      <c r="P116" s="25">
        <v>0</v>
      </c>
    </row>
    <row r="117" spans="1:16" x14ac:dyDescent="0.3">
      <c r="A117" s="22"/>
      <c r="B117" s="22"/>
      <c r="C117" s="22" t="s">
        <v>263</v>
      </c>
      <c r="D117" s="22" t="s">
        <v>105</v>
      </c>
      <c r="E117" s="22">
        <v>1</v>
      </c>
      <c r="F117" s="22">
        <v>0.04</v>
      </c>
      <c r="G117" s="22">
        <v>22.93</v>
      </c>
      <c r="H117" s="22">
        <v>63.99</v>
      </c>
      <c r="I117" s="22">
        <v>0.02</v>
      </c>
      <c r="J117" s="22">
        <v>-0.03</v>
      </c>
      <c r="K117" s="26">
        <v>0.35830000000000001</v>
      </c>
      <c r="L117" s="22">
        <v>0</v>
      </c>
      <c r="M117" s="22">
        <v>0</v>
      </c>
      <c r="N117" s="22">
        <v>0</v>
      </c>
      <c r="O117" s="22">
        <v>0</v>
      </c>
      <c r="P117" s="25">
        <v>0</v>
      </c>
    </row>
    <row r="118" spans="1:16" x14ac:dyDescent="0.3">
      <c r="A118" s="22"/>
      <c r="B118" s="22"/>
      <c r="C118" s="22" t="s">
        <v>264</v>
      </c>
      <c r="D118" s="22" t="s">
        <v>105</v>
      </c>
      <c r="E118" s="22">
        <v>0</v>
      </c>
      <c r="F118" s="22">
        <v>0</v>
      </c>
      <c r="G118" s="22">
        <v>0</v>
      </c>
      <c r="H118" s="23">
        <v>10000</v>
      </c>
      <c r="I118" s="22">
        <v>0</v>
      </c>
      <c r="J118" s="22">
        <v>0</v>
      </c>
      <c r="K118" s="25">
        <v>0</v>
      </c>
      <c r="L118" s="22">
        <v>0</v>
      </c>
      <c r="M118" s="22">
        <v>0</v>
      </c>
      <c r="N118" s="22">
        <v>0</v>
      </c>
      <c r="O118" s="22">
        <v>0</v>
      </c>
      <c r="P118" s="25">
        <v>0</v>
      </c>
    </row>
    <row r="119" spans="1:16" x14ac:dyDescent="0.3">
      <c r="A119" s="22"/>
      <c r="B119" s="22"/>
      <c r="C119" s="22" t="s">
        <v>265</v>
      </c>
      <c r="D119" s="22" t="s">
        <v>105</v>
      </c>
      <c r="E119" s="22">
        <v>475</v>
      </c>
      <c r="F119" s="22">
        <v>9.4600000000000009</v>
      </c>
      <c r="G119" s="22">
        <v>50.23</v>
      </c>
      <c r="H119" s="22">
        <v>86.02</v>
      </c>
      <c r="I119" s="22">
        <v>5.52</v>
      </c>
      <c r="J119" s="22">
        <v>-3.93</v>
      </c>
      <c r="K119" s="26">
        <v>0.58389999999999997</v>
      </c>
      <c r="L119" s="22">
        <v>0</v>
      </c>
      <c r="M119" s="22">
        <v>0</v>
      </c>
      <c r="N119" s="22">
        <v>0</v>
      </c>
      <c r="O119" s="22">
        <v>0</v>
      </c>
      <c r="P119" s="25">
        <v>0</v>
      </c>
    </row>
    <row r="120" spans="1:16" x14ac:dyDescent="0.3">
      <c r="A120" s="22"/>
      <c r="B120" s="22"/>
      <c r="C120" s="22" t="s">
        <v>266</v>
      </c>
      <c r="D120" s="22" t="s">
        <v>133</v>
      </c>
      <c r="E120" s="23">
        <v>74093</v>
      </c>
      <c r="F120" s="22">
        <v>171.41</v>
      </c>
      <c r="G120" s="22">
        <v>432.25</v>
      </c>
      <c r="H120" s="22">
        <v>973.04</v>
      </c>
      <c r="I120" s="22">
        <v>76.150000000000006</v>
      </c>
      <c r="J120" s="22">
        <v>-95.26</v>
      </c>
      <c r="K120" s="26">
        <v>0.44419999999999998</v>
      </c>
      <c r="L120" s="22">
        <v>0</v>
      </c>
      <c r="M120" s="22">
        <v>0</v>
      </c>
      <c r="N120" s="22">
        <v>0</v>
      </c>
      <c r="O120" s="22">
        <v>0</v>
      </c>
      <c r="P120" s="25">
        <v>0</v>
      </c>
    </row>
    <row r="121" spans="1:16" x14ac:dyDescent="0.3">
      <c r="A121" s="22"/>
      <c r="B121" s="22" t="s">
        <v>267</v>
      </c>
      <c r="C121" s="22" t="s">
        <v>268</v>
      </c>
      <c r="D121" s="22" t="s">
        <v>105</v>
      </c>
      <c r="E121" s="22">
        <v>135</v>
      </c>
      <c r="F121" s="22">
        <v>4.41</v>
      </c>
      <c r="G121" s="22">
        <v>30.63</v>
      </c>
      <c r="H121" s="22">
        <v>21.57</v>
      </c>
      <c r="I121" s="22">
        <v>6.26</v>
      </c>
      <c r="J121" s="22">
        <v>1.85</v>
      </c>
      <c r="K121" s="25">
        <v>1.42</v>
      </c>
      <c r="L121" s="22">
        <v>0</v>
      </c>
      <c r="M121" s="22">
        <v>0</v>
      </c>
      <c r="N121" s="22">
        <v>0</v>
      </c>
      <c r="O121" s="22">
        <v>0</v>
      </c>
      <c r="P121" s="25">
        <v>0</v>
      </c>
    </row>
    <row r="122" spans="1:16" x14ac:dyDescent="0.3">
      <c r="A122" s="22"/>
      <c r="B122" s="22"/>
      <c r="C122" s="22" t="s">
        <v>269</v>
      </c>
      <c r="D122" s="22" t="s">
        <v>105</v>
      </c>
      <c r="E122" s="22">
        <v>0</v>
      </c>
      <c r="F122" s="22">
        <v>0</v>
      </c>
      <c r="G122" s="22">
        <v>0</v>
      </c>
      <c r="H122" s="23">
        <v>10000</v>
      </c>
      <c r="I122" s="22">
        <v>0</v>
      </c>
      <c r="J122" s="22">
        <v>0</v>
      </c>
      <c r="K122" s="25">
        <v>0</v>
      </c>
      <c r="L122" s="22">
        <v>0</v>
      </c>
      <c r="M122" s="22">
        <v>0</v>
      </c>
      <c r="N122" s="22">
        <v>0</v>
      </c>
      <c r="O122" s="22">
        <v>0</v>
      </c>
      <c r="P122" s="25">
        <v>0</v>
      </c>
    </row>
    <row r="123" spans="1:16" x14ac:dyDescent="0.3">
      <c r="A123" s="22"/>
      <c r="B123" s="22"/>
      <c r="C123" s="22" t="s">
        <v>270</v>
      </c>
      <c r="D123" s="22" t="s">
        <v>105</v>
      </c>
      <c r="E123" s="22">
        <v>0</v>
      </c>
      <c r="F123" s="22">
        <v>0</v>
      </c>
      <c r="G123" s="22">
        <v>0</v>
      </c>
      <c r="H123" s="23">
        <v>10000</v>
      </c>
      <c r="I123" s="22">
        <v>0</v>
      </c>
      <c r="J123" s="22">
        <v>0</v>
      </c>
      <c r="K123" s="25">
        <v>0</v>
      </c>
      <c r="L123" s="22">
        <v>0</v>
      </c>
      <c r="M123" s="22">
        <v>0</v>
      </c>
      <c r="N123" s="22">
        <v>0</v>
      </c>
      <c r="O123" s="22">
        <v>0</v>
      </c>
      <c r="P123" s="25">
        <v>0</v>
      </c>
    </row>
    <row r="124" spans="1:16" x14ac:dyDescent="0.3">
      <c r="A124" s="22"/>
      <c r="B124" s="22"/>
      <c r="C124" s="22" t="s">
        <v>271</v>
      </c>
      <c r="D124" s="22" t="s">
        <v>105</v>
      </c>
      <c r="E124" s="22">
        <v>0</v>
      </c>
      <c r="F124" s="22">
        <v>0</v>
      </c>
      <c r="G124" s="22">
        <v>0</v>
      </c>
      <c r="H124" s="22">
        <v>157.35</v>
      </c>
      <c r="I124" s="22">
        <v>0</v>
      </c>
      <c r="J124" s="22">
        <v>0</v>
      </c>
      <c r="K124" s="25">
        <v>0</v>
      </c>
      <c r="L124" s="22">
        <v>0</v>
      </c>
      <c r="M124" s="22">
        <v>0</v>
      </c>
      <c r="N124" s="22">
        <v>0</v>
      </c>
      <c r="O124" s="22">
        <v>0</v>
      </c>
      <c r="P124" s="25">
        <v>0</v>
      </c>
    </row>
    <row r="125" spans="1:16" x14ac:dyDescent="0.3">
      <c r="A125" s="22"/>
      <c r="B125" s="22"/>
      <c r="C125" s="22" t="s">
        <v>272</v>
      </c>
      <c r="D125" s="22" t="s">
        <v>105</v>
      </c>
      <c r="E125" s="23">
        <v>74093</v>
      </c>
      <c r="F125" s="22">
        <v>621.1</v>
      </c>
      <c r="G125" s="22">
        <v>119.29</v>
      </c>
      <c r="H125" s="22">
        <v>140.85</v>
      </c>
      <c r="I125" s="22">
        <v>526.04</v>
      </c>
      <c r="J125" s="22">
        <v>-95.06</v>
      </c>
      <c r="K125" s="26">
        <v>0.84689999999999999</v>
      </c>
      <c r="L125" s="22">
        <v>0</v>
      </c>
      <c r="M125" s="22">
        <v>0</v>
      </c>
      <c r="N125" s="22">
        <v>0</v>
      </c>
      <c r="O125" s="22">
        <v>0</v>
      </c>
      <c r="P125" s="25">
        <v>0</v>
      </c>
    </row>
    <row r="126" spans="1:16" x14ac:dyDescent="0.3">
      <c r="A126" s="22"/>
      <c r="B126" s="22" t="s">
        <v>273</v>
      </c>
      <c r="C126" s="22" t="s">
        <v>274</v>
      </c>
      <c r="D126" s="22" t="s">
        <v>105</v>
      </c>
      <c r="E126" s="23">
        <v>74093</v>
      </c>
      <c r="F126" s="22">
        <v>30.65</v>
      </c>
      <c r="G126" s="24">
        <v>2417.15</v>
      </c>
      <c r="H126" s="24">
        <v>1775.17</v>
      </c>
      <c r="I126" s="22">
        <v>41.74</v>
      </c>
      <c r="J126" s="22">
        <v>11.09</v>
      </c>
      <c r="K126" s="26">
        <v>1.3615999999999999</v>
      </c>
      <c r="L126" s="22">
        <v>0</v>
      </c>
      <c r="M126" s="22">
        <v>0</v>
      </c>
      <c r="N126" s="22">
        <v>0</v>
      </c>
      <c r="O126" s="22">
        <v>0</v>
      </c>
      <c r="P126" s="25">
        <v>0</v>
      </c>
    </row>
    <row r="127" spans="1:16" x14ac:dyDescent="0.3">
      <c r="A127" s="22"/>
      <c r="B127" s="22" t="s">
        <v>275</v>
      </c>
      <c r="C127" s="22" t="s">
        <v>276</v>
      </c>
      <c r="D127" s="22" t="s">
        <v>105</v>
      </c>
      <c r="E127" s="23">
        <v>74093</v>
      </c>
      <c r="F127" s="22">
        <v>48.8</v>
      </c>
      <c r="G127" s="24">
        <v>1518.23</v>
      </c>
      <c r="H127" s="22">
        <v>993.31</v>
      </c>
      <c r="I127" s="22">
        <v>74.59</v>
      </c>
      <c r="J127" s="22">
        <v>25.79</v>
      </c>
      <c r="K127" s="26">
        <v>1.5285</v>
      </c>
      <c r="L127" s="22">
        <v>0</v>
      </c>
      <c r="M127" s="22">
        <v>0</v>
      </c>
      <c r="N127" s="22">
        <v>0</v>
      </c>
      <c r="O127" s="22">
        <v>0</v>
      </c>
      <c r="P127" s="25">
        <v>0</v>
      </c>
    </row>
    <row r="128" spans="1:16" x14ac:dyDescent="0.3">
      <c r="A128" s="22"/>
      <c r="B128" s="22" t="s">
        <v>1</v>
      </c>
      <c r="C128" s="22" t="s">
        <v>59</v>
      </c>
      <c r="D128" s="22" t="s">
        <v>105</v>
      </c>
      <c r="E128" s="23">
        <v>74093</v>
      </c>
      <c r="F128" s="22">
        <v>182.82</v>
      </c>
      <c r="G128" s="22">
        <v>405.28</v>
      </c>
      <c r="H128" s="22">
        <v>449.35</v>
      </c>
      <c r="I128" s="22">
        <v>164.89</v>
      </c>
      <c r="J128" s="22">
        <v>-17.93</v>
      </c>
      <c r="K128" s="26">
        <v>0.90190000000000003</v>
      </c>
      <c r="L128" s="22">
        <v>0</v>
      </c>
      <c r="M128" s="22">
        <v>0</v>
      </c>
      <c r="N128" s="22">
        <v>0</v>
      </c>
      <c r="O128" s="22">
        <v>0</v>
      </c>
      <c r="P128" s="25">
        <v>0</v>
      </c>
    </row>
    <row r="129" spans="1:16" x14ac:dyDescent="0.3">
      <c r="A129" s="22"/>
      <c r="B129" s="22" t="s">
        <v>194</v>
      </c>
      <c r="C129" s="22" t="s">
        <v>277</v>
      </c>
      <c r="D129" s="22" t="s">
        <v>105</v>
      </c>
      <c r="E129" s="23">
        <v>74093</v>
      </c>
      <c r="F129" s="24">
        <v>1301.54</v>
      </c>
      <c r="G129" s="22">
        <v>56.93</v>
      </c>
      <c r="H129" s="22">
        <v>62.39</v>
      </c>
      <c r="I129" s="24">
        <v>1187.5899999999999</v>
      </c>
      <c r="J129" s="22">
        <v>-113.95</v>
      </c>
      <c r="K129" s="26">
        <v>0.91239999999999999</v>
      </c>
      <c r="L129" s="22">
        <v>0</v>
      </c>
      <c r="M129" s="22">
        <v>0</v>
      </c>
      <c r="N129" s="22">
        <v>0</v>
      </c>
      <c r="O129" s="22">
        <v>0</v>
      </c>
      <c r="P129" s="25">
        <v>0</v>
      </c>
    </row>
    <row r="130" spans="1:16" x14ac:dyDescent="0.3">
      <c r="A130" s="22" t="s">
        <v>278</v>
      </c>
      <c r="B130" s="22" t="s">
        <v>279</v>
      </c>
      <c r="C130" s="22" t="s">
        <v>280</v>
      </c>
      <c r="D130" s="22" t="s">
        <v>105</v>
      </c>
      <c r="E130" s="22">
        <v>0</v>
      </c>
      <c r="F130" s="22">
        <v>0</v>
      </c>
      <c r="G130" s="22">
        <v>0</v>
      </c>
      <c r="H130" s="22">
        <v>40.67</v>
      </c>
      <c r="I130" s="22">
        <v>0</v>
      </c>
      <c r="J130" s="22">
        <v>0</v>
      </c>
      <c r="K130" s="25">
        <v>0</v>
      </c>
      <c r="L130" s="22">
        <v>0</v>
      </c>
      <c r="M130" s="22">
        <v>0</v>
      </c>
      <c r="N130" s="22">
        <v>0</v>
      </c>
      <c r="O130" s="22">
        <v>0</v>
      </c>
      <c r="P130" s="25">
        <v>0</v>
      </c>
    </row>
    <row r="131" spans="1:16" x14ac:dyDescent="0.3">
      <c r="A131" s="22"/>
      <c r="B131" s="22"/>
      <c r="C131" s="22" t="s">
        <v>281</v>
      </c>
      <c r="D131" s="22" t="s">
        <v>105</v>
      </c>
      <c r="E131" s="22">
        <v>0</v>
      </c>
      <c r="F131" s="22">
        <v>0</v>
      </c>
      <c r="G131" s="22">
        <v>0</v>
      </c>
      <c r="H131" s="22">
        <v>33.880000000000003</v>
      </c>
      <c r="I131" s="22">
        <v>0</v>
      </c>
      <c r="J131" s="22">
        <v>0</v>
      </c>
      <c r="K131" s="25">
        <v>0</v>
      </c>
      <c r="L131" s="22">
        <v>0</v>
      </c>
      <c r="M131" s="22">
        <v>0</v>
      </c>
      <c r="N131" s="22">
        <v>0</v>
      </c>
      <c r="O131" s="22">
        <v>0</v>
      </c>
      <c r="P131" s="25">
        <v>0</v>
      </c>
    </row>
    <row r="132" spans="1:16" x14ac:dyDescent="0.3">
      <c r="A132" s="22"/>
      <c r="B132" s="22"/>
      <c r="C132" s="22" t="s">
        <v>282</v>
      </c>
      <c r="D132" s="22" t="s">
        <v>105</v>
      </c>
      <c r="E132" s="22">
        <v>0</v>
      </c>
      <c r="F132" s="22">
        <v>0</v>
      </c>
      <c r="G132" s="22">
        <v>0</v>
      </c>
      <c r="H132" s="22">
        <v>24.95</v>
      </c>
      <c r="I132" s="22">
        <v>0</v>
      </c>
      <c r="J132" s="22">
        <v>0</v>
      </c>
      <c r="K132" s="25">
        <v>0</v>
      </c>
      <c r="L132" s="22">
        <v>0</v>
      </c>
      <c r="M132" s="22">
        <v>0</v>
      </c>
      <c r="N132" s="22">
        <v>0</v>
      </c>
      <c r="O132" s="22">
        <v>0</v>
      </c>
      <c r="P132" s="25">
        <v>0</v>
      </c>
    </row>
    <row r="133" spans="1:16" x14ac:dyDescent="0.3">
      <c r="A133" s="22"/>
      <c r="B133" s="22"/>
      <c r="C133" s="22" t="s">
        <v>283</v>
      </c>
      <c r="D133" s="22" t="s">
        <v>105</v>
      </c>
      <c r="E133" s="22">
        <v>0</v>
      </c>
      <c r="F133" s="22">
        <v>0</v>
      </c>
      <c r="G133" s="22">
        <v>0</v>
      </c>
      <c r="H133" s="22">
        <v>16.16</v>
      </c>
      <c r="I133" s="22">
        <v>0</v>
      </c>
      <c r="J133" s="22">
        <v>0</v>
      </c>
      <c r="K133" s="25">
        <v>0</v>
      </c>
      <c r="L133" s="22">
        <v>0</v>
      </c>
      <c r="M133" s="22">
        <v>0</v>
      </c>
      <c r="N133" s="22">
        <v>0</v>
      </c>
      <c r="O133" s="22">
        <v>0</v>
      </c>
      <c r="P133" s="25">
        <v>0</v>
      </c>
    </row>
    <row r="134" spans="1:16" x14ac:dyDescent="0.3">
      <c r="A134" s="22"/>
      <c r="B134" s="22"/>
      <c r="C134" s="22" t="s">
        <v>284</v>
      </c>
      <c r="D134" s="22" t="s">
        <v>133</v>
      </c>
      <c r="E134" s="22">
        <v>0</v>
      </c>
      <c r="F134" s="22">
        <v>0</v>
      </c>
      <c r="G134" s="22">
        <v>0</v>
      </c>
      <c r="H134" s="22">
        <v>0</v>
      </c>
      <c r="I134" s="22">
        <v>0</v>
      </c>
      <c r="J134" s="22">
        <v>0</v>
      </c>
      <c r="K134" s="25">
        <v>0</v>
      </c>
      <c r="L134" s="22">
        <v>0</v>
      </c>
      <c r="M134" s="22">
        <v>0</v>
      </c>
      <c r="N134" s="22">
        <v>0</v>
      </c>
      <c r="O134" s="22">
        <v>0</v>
      </c>
      <c r="P134" s="25">
        <v>0</v>
      </c>
    </row>
    <row r="135" spans="1:16" x14ac:dyDescent="0.3">
      <c r="A135" s="22"/>
      <c r="B135" s="22"/>
      <c r="C135" s="22" t="s">
        <v>285</v>
      </c>
      <c r="D135" s="22" t="s">
        <v>105</v>
      </c>
      <c r="E135" s="22">
        <v>0</v>
      </c>
      <c r="F135" s="22">
        <v>0</v>
      </c>
      <c r="G135" s="22">
        <v>0</v>
      </c>
      <c r="H135" s="22">
        <v>184.06</v>
      </c>
      <c r="I135" s="22">
        <v>0</v>
      </c>
      <c r="J135" s="22">
        <v>0</v>
      </c>
      <c r="K135" s="25">
        <v>0</v>
      </c>
      <c r="L135" s="22">
        <v>0</v>
      </c>
      <c r="M135" s="22">
        <v>0</v>
      </c>
      <c r="N135" s="22">
        <v>0</v>
      </c>
      <c r="O135" s="22">
        <v>0</v>
      </c>
      <c r="P135" s="25">
        <v>0</v>
      </c>
    </row>
    <row r="136" spans="1:16" x14ac:dyDescent="0.3">
      <c r="A136" s="22"/>
      <c r="B136" s="22"/>
      <c r="C136" s="22" t="s">
        <v>286</v>
      </c>
      <c r="D136" s="22" t="s">
        <v>105</v>
      </c>
      <c r="E136" s="22">
        <v>0</v>
      </c>
      <c r="F136" s="22">
        <v>0</v>
      </c>
      <c r="G136" s="22">
        <v>0</v>
      </c>
      <c r="H136" s="22">
        <v>117.33</v>
      </c>
      <c r="I136" s="22">
        <v>0</v>
      </c>
      <c r="J136" s="22">
        <v>0</v>
      </c>
      <c r="K136" s="25">
        <v>0</v>
      </c>
      <c r="L136" s="22">
        <v>0</v>
      </c>
      <c r="M136" s="22">
        <v>0</v>
      </c>
      <c r="N136" s="22">
        <v>0</v>
      </c>
      <c r="O136" s="22">
        <v>0</v>
      </c>
      <c r="P136" s="25">
        <v>0</v>
      </c>
    </row>
    <row r="137" spans="1:16" x14ac:dyDescent="0.3">
      <c r="A137" s="22"/>
      <c r="B137" s="22"/>
      <c r="C137" s="22" t="s">
        <v>287</v>
      </c>
      <c r="D137" s="22" t="s">
        <v>105</v>
      </c>
      <c r="E137" s="22">
        <v>0</v>
      </c>
      <c r="F137" s="22">
        <v>0</v>
      </c>
      <c r="G137" s="22">
        <v>0</v>
      </c>
      <c r="H137" s="22">
        <v>67.95</v>
      </c>
      <c r="I137" s="22">
        <v>0</v>
      </c>
      <c r="J137" s="22">
        <v>0</v>
      </c>
      <c r="K137" s="25">
        <v>0</v>
      </c>
      <c r="L137" s="22">
        <v>0</v>
      </c>
      <c r="M137" s="22">
        <v>0</v>
      </c>
      <c r="N137" s="22">
        <v>0</v>
      </c>
      <c r="O137" s="22">
        <v>0</v>
      </c>
      <c r="P137" s="25">
        <v>0</v>
      </c>
    </row>
    <row r="138" spans="1:16" x14ac:dyDescent="0.3">
      <c r="A138" s="22"/>
      <c r="B138" s="22"/>
      <c r="C138" s="22" t="s">
        <v>288</v>
      </c>
      <c r="D138" s="22" t="s">
        <v>105</v>
      </c>
      <c r="E138" s="22">
        <v>0</v>
      </c>
      <c r="F138" s="22">
        <v>0</v>
      </c>
      <c r="G138" s="22">
        <v>0</v>
      </c>
      <c r="H138" s="22">
        <v>129.19</v>
      </c>
      <c r="I138" s="22">
        <v>0</v>
      </c>
      <c r="J138" s="22">
        <v>0</v>
      </c>
      <c r="K138" s="25">
        <v>0</v>
      </c>
      <c r="L138" s="22">
        <v>0</v>
      </c>
      <c r="M138" s="22">
        <v>0</v>
      </c>
      <c r="N138" s="22">
        <v>0</v>
      </c>
      <c r="O138" s="22">
        <v>0</v>
      </c>
      <c r="P138" s="25">
        <v>0</v>
      </c>
    </row>
    <row r="139" spans="1:16" x14ac:dyDescent="0.3">
      <c r="A139" s="22"/>
      <c r="B139" s="22"/>
      <c r="C139" s="22" t="s">
        <v>289</v>
      </c>
      <c r="D139" s="22" t="s">
        <v>133</v>
      </c>
      <c r="E139" s="22">
        <v>0</v>
      </c>
      <c r="F139" s="22">
        <v>0</v>
      </c>
      <c r="G139" s="22">
        <v>0</v>
      </c>
      <c r="H139" s="22">
        <v>0</v>
      </c>
      <c r="I139" s="22">
        <v>0</v>
      </c>
      <c r="J139" s="22">
        <v>0</v>
      </c>
      <c r="K139" s="25">
        <v>0</v>
      </c>
      <c r="L139" s="22">
        <v>0</v>
      </c>
      <c r="M139" s="22">
        <v>0</v>
      </c>
      <c r="N139" s="22">
        <v>0</v>
      </c>
      <c r="O139" s="22">
        <v>0</v>
      </c>
      <c r="P139" s="25">
        <v>0</v>
      </c>
    </row>
    <row r="140" spans="1:16" x14ac:dyDescent="0.3">
      <c r="A140" s="22"/>
      <c r="B140" s="22"/>
      <c r="C140" s="22" t="s">
        <v>290</v>
      </c>
      <c r="D140" s="22" t="s">
        <v>133</v>
      </c>
      <c r="E140" s="22">
        <v>0</v>
      </c>
      <c r="F140" s="22">
        <v>0</v>
      </c>
      <c r="G140" s="22">
        <v>0</v>
      </c>
      <c r="H140" s="22">
        <v>78.08</v>
      </c>
      <c r="I140" s="22">
        <v>0</v>
      </c>
      <c r="J140" s="22">
        <v>0</v>
      </c>
      <c r="K140" s="25">
        <v>0</v>
      </c>
      <c r="L140" s="22">
        <v>0</v>
      </c>
      <c r="M140" s="22">
        <v>0</v>
      </c>
      <c r="N140" s="22">
        <v>0</v>
      </c>
      <c r="O140" s="22">
        <v>0</v>
      </c>
      <c r="P140" s="25">
        <v>0</v>
      </c>
    </row>
    <row r="141" spans="1:16" x14ac:dyDescent="0.3">
      <c r="A141" s="22"/>
      <c r="B141" s="22"/>
      <c r="C141" s="22" t="s">
        <v>291</v>
      </c>
      <c r="D141" s="22" t="s">
        <v>133</v>
      </c>
      <c r="E141" s="22">
        <v>0</v>
      </c>
      <c r="F141" s="22">
        <v>0</v>
      </c>
      <c r="G141" s="22">
        <v>0</v>
      </c>
      <c r="H141" s="22">
        <v>0</v>
      </c>
      <c r="I141" s="22">
        <v>0</v>
      </c>
      <c r="J141" s="22">
        <v>0</v>
      </c>
      <c r="K141" s="25">
        <v>0</v>
      </c>
      <c r="L141" s="22">
        <v>0</v>
      </c>
      <c r="M141" s="22">
        <v>0</v>
      </c>
      <c r="N141" s="22">
        <v>0</v>
      </c>
      <c r="O141" s="22">
        <v>0</v>
      </c>
      <c r="P141" s="25">
        <v>0</v>
      </c>
    </row>
    <row r="142" spans="1:16" x14ac:dyDescent="0.3">
      <c r="A142" s="22"/>
      <c r="B142" s="22" t="s">
        <v>292</v>
      </c>
      <c r="C142" s="22" t="s">
        <v>293</v>
      </c>
      <c r="D142" s="22" t="s">
        <v>105</v>
      </c>
      <c r="E142" s="23">
        <v>1805</v>
      </c>
      <c r="F142" s="22">
        <v>4.43</v>
      </c>
      <c r="G142" s="22">
        <v>407.68</v>
      </c>
      <c r="H142" s="22">
        <v>379.92</v>
      </c>
      <c r="I142" s="22">
        <v>4.75</v>
      </c>
      <c r="J142" s="22">
        <v>0.32</v>
      </c>
      <c r="K142" s="26">
        <v>1.0730999999999999</v>
      </c>
      <c r="L142" s="22">
        <v>0</v>
      </c>
      <c r="M142" s="22">
        <v>0</v>
      </c>
      <c r="N142" s="22">
        <v>0</v>
      </c>
      <c r="O142" s="22">
        <v>0</v>
      </c>
      <c r="P142" s="25">
        <v>0</v>
      </c>
    </row>
    <row r="143" spans="1:16" x14ac:dyDescent="0.3">
      <c r="A143" s="22"/>
      <c r="B143" s="22"/>
      <c r="C143" s="22" t="s">
        <v>294</v>
      </c>
      <c r="D143" s="22" t="s">
        <v>105</v>
      </c>
      <c r="E143" s="22">
        <v>893</v>
      </c>
      <c r="F143" s="22">
        <v>2.39</v>
      </c>
      <c r="G143" s="22">
        <v>373.94</v>
      </c>
      <c r="H143" s="22">
        <v>280.77999999999997</v>
      </c>
      <c r="I143" s="22">
        <v>3.18</v>
      </c>
      <c r="J143" s="22">
        <v>0.79</v>
      </c>
      <c r="K143" s="26">
        <v>1.3318000000000001</v>
      </c>
      <c r="L143" s="22">
        <v>0</v>
      </c>
      <c r="M143" s="22">
        <v>0</v>
      </c>
      <c r="N143" s="22">
        <v>0</v>
      </c>
      <c r="O143" s="22">
        <v>0</v>
      </c>
      <c r="P143" s="25">
        <v>0</v>
      </c>
    </row>
    <row r="144" spans="1:16" x14ac:dyDescent="0.3">
      <c r="A144" s="22"/>
      <c r="B144" s="22"/>
      <c r="C144" s="22" t="s">
        <v>295</v>
      </c>
      <c r="D144" s="22" t="s">
        <v>105</v>
      </c>
      <c r="E144" s="22">
        <v>6</v>
      </c>
      <c r="F144" s="22">
        <v>0.01</v>
      </c>
      <c r="G144" s="22">
        <v>415.38</v>
      </c>
      <c r="H144" s="22">
        <v>466.63</v>
      </c>
      <c r="I144" s="22">
        <v>0.01</v>
      </c>
      <c r="J144" s="22">
        <v>0</v>
      </c>
      <c r="K144" s="26">
        <v>0.89019999999999999</v>
      </c>
      <c r="L144" s="22">
        <v>0</v>
      </c>
      <c r="M144" s="22">
        <v>0</v>
      </c>
      <c r="N144" s="22">
        <v>0</v>
      </c>
      <c r="O144" s="22">
        <v>0</v>
      </c>
      <c r="P144" s="25">
        <v>0</v>
      </c>
    </row>
    <row r="145" spans="1:16" x14ac:dyDescent="0.3">
      <c r="A145" s="22"/>
      <c r="B145" s="22"/>
      <c r="C145" s="22" t="s">
        <v>296</v>
      </c>
      <c r="D145" s="22" t="s">
        <v>105</v>
      </c>
      <c r="E145" s="22">
        <v>0</v>
      </c>
      <c r="F145" s="22">
        <v>0</v>
      </c>
      <c r="G145" s="22">
        <v>0</v>
      </c>
      <c r="H145" s="22">
        <v>5.74</v>
      </c>
      <c r="I145" s="22">
        <v>0</v>
      </c>
      <c r="J145" s="22">
        <v>0</v>
      </c>
      <c r="K145" s="25">
        <v>0</v>
      </c>
      <c r="L145" s="22">
        <v>0</v>
      </c>
      <c r="M145" s="22">
        <v>0</v>
      </c>
      <c r="N145" s="22">
        <v>0</v>
      </c>
      <c r="O145" s="22">
        <v>0</v>
      </c>
      <c r="P145" s="25">
        <v>0</v>
      </c>
    </row>
    <row r="146" spans="1:16" x14ac:dyDescent="0.3">
      <c r="A146" s="22"/>
      <c r="B146" s="22"/>
      <c r="C146" s="22" t="s">
        <v>297</v>
      </c>
      <c r="D146" s="22" t="s">
        <v>105</v>
      </c>
      <c r="E146" s="23">
        <v>2704</v>
      </c>
      <c r="F146" s="22">
        <v>6.83</v>
      </c>
      <c r="G146" s="22">
        <v>395.9</v>
      </c>
      <c r="H146" s="22">
        <v>340.37</v>
      </c>
      <c r="I146" s="22">
        <v>7.94</v>
      </c>
      <c r="J146" s="22">
        <v>1.1100000000000001</v>
      </c>
      <c r="K146" s="26">
        <v>1.1631</v>
      </c>
      <c r="L146" s="22">
        <v>0</v>
      </c>
      <c r="M146" s="22">
        <v>0</v>
      </c>
      <c r="N146" s="22">
        <v>0</v>
      </c>
      <c r="O146" s="22">
        <v>0</v>
      </c>
      <c r="P146" s="25">
        <v>0</v>
      </c>
    </row>
    <row r="147" spans="1:16" x14ac:dyDescent="0.3">
      <c r="A147" s="22"/>
      <c r="B147" s="22"/>
      <c r="C147" s="22" t="s">
        <v>298</v>
      </c>
      <c r="D147" s="22" t="s">
        <v>105</v>
      </c>
      <c r="E147" s="22">
        <v>446</v>
      </c>
      <c r="F147" s="22">
        <v>0.98</v>
      </c>
      <c r="G147" s="22">
        <v>453.56</v>
      </c>
      <c r="H147" s="22">
        <v>315.92</v>
      </c>
      <c r="I147" s="22">
        <v>1.41</v>
      </c>
      <c r="J147" s="22">
        <v>0.43</v>
      </c>
      <c r="K147" s="26">
        <v>1.4357</v>
      </c>
      <c r="L147" s="22">
        <v>0</v>
      </c>
      <c r="M147" s="22">
        <v>0</v>
      </c>
      <c r="N147" s="22">
        <v>0</v>
      </c>
      <c r="O147" s="22">
        <v>0</v>
      </c>
      <c r="P147" s="25">
        <v>0</v>
      </c>
    </row>
    <row r="148" spans="1:16" x14ac:dyDescent="0.3">
      <c r="A148" s="22"/>
      <c r="B148" s="22"/>
      <c r="C148" s="22" t="s">
        <v>299</v>
      </c>
      <c r="D148" s="22" t="s">
        <v>105</v>
      </c>
      <c r="E148" s="22">
        <v>112</v>
      </c>
      <c r="F148" s="22">
        <v>0.37</v>
      </c>
      <c r="G148" s="22">
        <v>298.89</v>
      </c>
      <c r="H148" s="22">
        <v>162.76</v>
      </c>
      <c r="I148" s="22">
        <v>0.69</v>
      </c>
      <c r="J148" s="22">
        <v>0.31</v>
      </c>
      <c r="K148" s="26">
        <v>1.8364</v>
      </c>
      <c r="L148" s="22">
        <v>0</v>
      </c>
      <c r="M148" s="22">
        <v>0</v>
      </c>
      <c r="N148" s="22">
        <v>0</v>
      </c>
      <c r="O148" s="22">
        <v>0</v>
      </c>
      <c r="P148" s="25">
        <v>0</v>
      </c>
    </row>
    <row r="149" spans="1:16" x14ac:dyDescent="0.3">
      <c r="A149" s="22"/>
      <c r="B149" s="22"/>
      <c r="C149" s="22" t="s">
        <v>300</v>
      </c>
      <c r="D149" s="22" t="s">
        <v>105</v>
      </c>
      <c r="E149" s="22">
        <v>1</v>
      </c>
      <c r="F149" s="22">
        <v>7.0000000000000007E-2</v>
      </c>
      <c r="G149" s="22">
        <v>13.33</v>
      </c>
      <c r="H149" s="22">
        <v>352.22</v>
      </c>
      <c r="I149" s="22">
        <v>0</v>
      </c>
      <c r="J149" s="22">
        <v>-7.0000000000000007E-2</v>
      </c>
      <c r="K149" s="26">
        <v>3.7900000000000003E-2</v>
      </c>
      <c r="L149" s="22">
        <v>0</v>
      </c>
      <c r="M149" s="22">
        <v>0</v>
      </c>
      <c r="N149" s="22">
        <v>0</v>
      </c>
      <c r="O149" s="22">
        <v>0</v>
      </c>
      <c r="P149" s="25">
        <v>0</v>
      </c>
    </row>
    <row r="150" spans="1:16" x14ac:dyDescent="0.3">
      <c r="A150" s="22"/>
      <c r="B150" s="22"/>
      <c r="C150" s="22" t="s">
        <v>301</v>
      </c>
      <c r="D150" s="22" t="s">
        <v>105</v>
      </c>
      <c r="E150" s="22">
        <v>0</v>
      </c>
      <c r="F150" s="22">
        <v>0</v>
      </c>
      <c r="G150" s="22">
        <v>0</v>
      </c>
      <c r="H150" s="22">
        <v>132.76</v>
      </c>
      <c r="I150" s="22">
        <v>0</v>
      </c>
      <c r="J150" s="22">
        <v>0</v>
      </c>
      <c r="K150" s="25">
        <v>0</v>
      </c>
      <c r="L150" s="22">
        <v>0</v>
      </c>
      <c r="M150" s="22">
        <v>0</v>
      </c>
      <c r="N150" s="22">
        <v>0</v>
      </c>
      <c r="O150" s="22">
        <v>0</v>
      </c>
      <c r="P150" s="25">
        <v>0</v>
      </c>
    </row>
    <row r="151" spans="1:16" x14ac:dyDescent="0.3">
      <c r="A151" s="22"/>
      <c r="B151" s="22"/>
      <c r="C151" s="22" t="s">
        <v>302</v>
      </c>
      <c r="D151" s="22" t="s">
        <v>105</v>
      </c>
      <c r="E151" s="22">
        <v>559</v>
      </c>
      <c r="F151" s="22">
        <v>1.43</v>
      </c>
      <c r="G151" s="22">
        <v>390.08</v>
      </c>
      <c r="H151" s="22">
        <v>265.85000000000002</v>
      </c>
      <c r="I151" s="22">
        <v>2.1</v>
      </c>
      <c r="J151" s="22">
        <v>0.67</v>
      </c>
      <c r="K151" s="26">
        <v>1.4673</v>
      </c>
      <c r="L151" s="22">
        <v>0</v>
      </c>
      <c r="M151" s="22">
        <v>0</v>
      </c>
      <c r="N151" s="22">
        <v>0</v>
      </c>
      <c r="O151" s="22">
        <v>0</v>
      </c>
      <c r="P151" s="25">
        <v>0</v>
      </c>
    </row>
    <row r="152" spans="1:16" x14ac:dyDescent="0.3">
      <c r="A152" s="22"/>
      <c r="B152" s="22"/>
      <c r="C152" s="22" t="s">
        <v>303</v>
      </c>
      <c r="D152" s="22" t="s">
        <v>133</v>
      </c>
      <c r="E152" s="22">
        <v>559</v>
      </c>
      <c r="F152" s="22">
        <v>8.85</v>
      </c>
      <c r="G152" s="22">
        <v>63.15</v>
      </c>
      <c r="H152" s="22">
        <v>281.07</v>
      </c>
      <c r="I152" s="22">
        <v>1.99</v>
      </c>
      <c r="J152" s="22">
        <v>-6.86</v>
      </c>
      <c r="K152" s="26">
        <v>0.22470000000000001</v>
      </c>
      <c r="L152" s="22">
        <v>0</v>
      </c>
      <c r="M152" s="22">
        <v>0</v>
      </c>
      <c r="N152" s="22">
        <v>0</v>
      </c>
      <c r="O152" s="22">
        <v>0</v>
      </c>
      <c r="P152" s="25">
        <v>0</v>
      </c>
    </row>
    <row r="153" spans="1:16" x14ac:dyDescent="0.3">
      <c r="A153" s="22"/>
      <c r="B153" s="22"/>
      <c r="C153" s="22" t="s">
        <v>304</v>
      </c>
      <c r="D153" s="22" t="s">
        <v>105</v>
      </c>
      <c r="E153" s="22">
        <v>559</v>
      </c>
      <c r="F153" s="22">
        <v>17.12</v>
      </c>
      <c r="G153" s="22">
        <v>32.659999999999997</v>
      </c>
      <c r="H153" s="22">
        <v>46.44</v>
      </c>
      <c r="I153" s="22">
        <v>12.04</v>
      </c>
      <c r="J153" s="22">
        <v>-5.08</v>
      </c>
      <c r="K153" s="26">
        <v>0.70320000000000005</v>
      </c>
      <c r="L153" s="22">
        <v>0</v>
      </c>
      <c r="M153" s="22">
        <v>0</v>
      </c>
      <c r="N153" s="22">
        <v>0</v>
      </c>
      <c r="O153" s="22">
        <v>0</v>
      </c>
      <c r="P153" s="25">
        <v>0</v>
      </c>
    </row>
    <row r="154" spans="1:16" x14ac:dyDescent="0.3">
      <c r="A154" s="22"/>
      <c r="B154" s="22" t="s">
        <v>305</v>
      </c>
      <c r="C154" s="22" t="s">
        <v>306</v>
      </c>
      <c r="D154" s="22" t="s">
        <v>105</v>
      </c>
      <c r="E154" s="22">
        <v>0</v>
      </c>
      <c r="F154" s="22">
        <v>0</v>
      </c>
      <c r="G154" s="22">
        <v>0</v>
      </c>
      <c r="H154" s="22">
        <v>27.86</v>
      </c>
      <c r="I154" s="22">
        <v>0</v>
      </c>
      <c r="J154" s="22">
        <v>0</v>
      </c>
      <c r="K154" s="25">
        <v>0</v>
      </c>
      <c r="L154" s="22">
        <v>0</v>
      </c>
      <c r="M154" s="22">
        <v>0</v>
      </c>
      <c r="N154" s="22">
        <v>0</v>
      </c>
      <c r="O154" s="22">
        <v>0</v>
      </c>
      <c r="P154" s="25">
        <v>0</v>
      </c>
    </row>
    <row r="155" spans="1:16" x14ac:dyDescent="0.3">
      <c r="A155" s="22"/>
      <c r="B155" s="22"/>
      <c r="C155" s="22" t="s">
        <v>307</v>
      </c>
      <c r="D155" s="22" t="s">
        <v>105</v>
      </c>
      <c r="E155" s="22">
        <v>0</v>
      </c>
      <c r="F155" s="22">
        <v>0</v>
      </c>
      <c r="G155" s="22">
        <v>0</v>
      </c>
      <c r="H155" s="22">
        <v>23.23</v>
      </c>
      <c r="I155" s="22">
        <v>0</v>
      </c>
      <c r="J155" s="22">
        <v>0</v>
      </c>
      <c r="K155" s="25">
        <v>0</v>
      </c>
      <c r="L155" s="22">
        <v>0</v>
      </c>
      <c r="M155" s="22">
        <v>0</v>
      </c>
      <c r="N155" s="22">
        <v>0</v>
      </c>
      <c r="O155" s="22">
        <v>0</v>
      </c>
      <c r="P155" s="25">
        <v>0</v>
      </c>
    </row>
    <row r="156" spans="1:16" x14ac:dyDescent="0.3">
      <c r="A156" s="22"/>
      <c r="B156" s="22"/>
      <c r="C156" s="22" t="s">
        <v>308</v>
      </c>
      <c r="D156" s="22" t="s">
        <v>133</v>
      </c>
      <c r="E156" s="22">
        <v>0</v>
      </c>
      <c r="F156" s="22">
        <v>0</v>
      </c>
      <c r="G156" s="22">
        <v>0</v>
      </c>
      <c r="H156" s="22">
        <v>7.76</v>
      </c>
      <c r="I156" s="22">
        <v>0</v>
      </c>
      <c r="J156" s="22">
        <v>0</v>
      </c>
      <c r="K156" s="25">
        <v>0</v>
      </c>
      <c r="L156" s="22">
        <v>0</v>
      </c>
      <c r="M156" s="22">
        <v>0</v>
      </c>
      <c r="N156" s="22">
        <v>0</v>
      </c>
      <c r="O156" s="22">
        <v>0</v>
      </c>
      <c r="P156" s="25">
        <v>0</v>
      </c>
    </row>
    <row r="157" spans="1:16" x14ac:dyDescent="0.3">
      <c r="A157" s="22"/>
      <c r="B157" s="22"/>
      <c r="C157" s="22" t="s">
        <v>309</v>
      </c>
      <c r="D157" s="22" t="s">
        <v>133</v>
      </c>
      <c r="E157" s="22">
        <v>0</v>
      </c>
      <c r="F157" s="22">
        <v>0</v>
      </c>
      <c r="G157" s="22">
        <v>0</v>
      </c>
      <c r="H157" s="22">
        <v>0</v>
      </c>
      <c r="I157" s="22">
        <v>0</v>
      </c>
      <c r="J157" s="22">
        <v>0</v>
      </c>
      <c r="K157" s="25">
        <v>0</v>
      </c>
      <c r="L157" s="22">
        <v>0</v>
      </c>
      <c r="M157" s="22">
        <v>0</v>
      </c>
      <c r="N157" s="22">
        <v>0</v>
      </c>
      <c r="O157" s="22">
        <v>0</v>
      </c>
      <c r="P157" s="25">
        <v>0</v>
      </c>
    </row>
    <row r="158" spans="1:16" x14ac:dyDescent="0.3">
      <c r="A158" s="22"/>
      <c r="B158" s="22" t="s">
        <v>310</v>
      </c>
      <c r="C158" s="22" t="s">
        <v>311</v>
      </c>
      <c r="D158" s="22" t="s">
        <v>105</v>
      </c>
      <c r="E158" s="22">
        <v>0</v>
      </c>
      <c r="F158" s="22">
        <v>0</v>
      </c>
      <c r="G158" s="22">
        <v>0</v>
      </c>
      <c r="H158" s="22">
        <v>32.96</v>
      </c>
      <c r="I158" s="22">
        <v>0</v>
      </c>
      <c r="J158" s="22">
        <v>0</v>
      </c>
      <c r="K158" s="25">
        <v>0</v>
      </c>
      <c r="L158" s="22">
        <v>0</v>
      </c>
      <c r="M158" s="22">
        <v>0</v>
      </c>
      <c r="N158" s="22">
        <v>0</v>
      </c>
      <c r="O158" s="22">
        <v>0</v>
      </c>
      <c r="P158" s="25">
        <v>0</v>
      </c>
    </row>
    <row r="159" spans="1:16" x14ac:dyDescent="0.3">
      <c r="A159" s="22"/>
      <c r="B159" s="22"/>
      <c r="C159" s="22" t="s">
        <v>312</v>
      </c>
      <c r="D159" s="22" t="s">
        <v>133</v>
      </c>
      <c r="E159" s="22">
        <v>0</v>
      </c>
      <c r="F159" s="22">
        <v>0</v>
      </c>
      <c r="G159" s="22">
        <v>0</v>
      </c>
      <c r="H159" s="22">
        <v>145.66</v>
      </c>
      <c r="I159" s="22">
        <v>0</v>
      </c>
      <c r="J159" s="22">
        <v>0</v>
      </c>
      <c r="K159" s="25">
        <v>0</v>
      </c>
      <c r="L159" s="22">
        <v>0</v>
      </c>
      <c r="M159" s="22">
        <v>0</v>
      </c>
      <c r="N159" s="22">
        <v>0</v>
      </c>
      <c r="O159" s="22">
        <v>0</v>
      </c>
      <c r="P159" s="25">
        <v>0</v>
      </c>
    </row>
    <row r="160" spans="1:16" x14ac:dyDescent="0.3">
      <c r="A160" s="22"/>
      <c r="B160" s="22"/>
      <c r="C160" s="22" t="s">
        <v>313</v>
      </c>
      <c r="D160" s="22" t="s">
        <v>133</v>
      </c>
      <c r="E160" s="22">
        <v>0</v>
      </c>
      <c r="F160" s="22">
        <v>0</v>
      </c>
      <c r="G160" s="22">
        <v>0</v>
      </c>
      <c r="H160" s="22">
        <v>0</v>
      </c>
      <c r="I160" s="22">
        <v>0</v>
      </c>
      <c r="J160" s="22">
        <v>0</v>
      </c>
      <c r="K160" s="25">
        <v>0</v>
      </c>
      <c r="L160" s="22">
        <v>0</v>
      </c>
      <c r="M160" s="22">
        <v>0</v>
      </c>
      <c r="N160" s="22">
        <v>0</v>
      </c>
      <c r="O160" s="22">
        <v>0</v>
      </c>
      <c r="P160" s="25">
        <v>0</v>
      </c>
    </row>
    <row r="161" spans="1:16" x14ac:dyDescent="0.3">
      <c r="A161" s="22"/>
      <c r="B161" s="22" t="s">
        <v>314</v>
      </c>
      <c r="C161" s="22" t="s">
        <v>315</v>
      </c>
      <c r="D161" s="22" t="s">
        <v>105</v>
      </c>
      <c r="E161" s="22">
        <v>0</v>
      </c>
      <c r="F161" s="22">
        <v>0</v>
      </c>
      <c r="G161" s="22">
        <v>0</v>
      </c>
      <c r="H161" s="22">
        <v>37.700000000000003</v>
      </c>
      <c r="I161" s="22">
        <v>0</v>
      </c>
      <c r="J161" s="22">
        <v>0</v>
      </c>
      <c r="K161" s="25">
        <v>0</v>
      </c>
      <c r="L161" s="22">
        <v>0</v>
      </c>
      <c r="M161" s="22">
        <v>0</v>
      </c>
      <c r="N161" s="22">
        <v>0</v>
      </c>
      <c r="O161" s="22">
        <v>0</v>
      </c>
      <c r="P161" s="25">
        <v>0</v>
      </c>
    </row>
    <row r="162" spans="1:16" x14ac:dyDescent="0.3">
      <c r="A162" s="22"/>
      <c r="B162" s="22"/>
      <c r="C162" s="22" t="s">
        <v>316</v>
      </c>
      <c r="D162" s="22" t="s">
        <v>133</v>
      </c>
      <c r="E162" s="22">
        <v>0</v>
      </c>
      <c r="F162" s="22">
        <v>0</v>
      </c>
      <c r="G162" s="22">
        <v>0</v>
      </c>
      <c r="H162" s="22">
        <v>207.16</v>
      </c>
      <c r="I162" s="22">
        <v>0</v>
      </c>
      <c r="J162" s="22">
        <v>0</v>
      </c>
      <c r="K162" s="25">
        <v>0</v>
      </c>
      <c r="L162" s="22">
        <v>0</v>
      </c>
      <c r="M162" s="22">
        <v>0</v>
      </c>
      <c r="N162" s="22">
        <v>0</v>
      </c>
      <c r="O162" s="22">
        <v>0</v>
      </c>
      <c r="P162" s="25">
        <v>0</v>
      </c>
    </row>
    <row r="163" spans="1:16" x14ac:dyDescent="0.3">
      <c r="A163" s="22"/>
      <c r="B163" s="22"/>
      <c r="C163" s="22" t="s">
        <v>317</v>
      </c>
      <c r="D163" s="22" t="s">
        <v>133</v>
      </c>
      <c r="E163" s="22">
        <v>0</v>
      </c>
      <c r="F163" s="22">
        <v>0</v>
      </c>
      <c r="G163" s="22">
        <v>0</v>
      </c>
      <c r="H163" s="22">
        <v>0</v>
      </c>
      <c r="I163" s="22">
        <v>0</v>
      </c>
      <c r="J163" s="22">
        <v>0</v>
      </c>
      <c r="K163" s="25">
        <v>0</v>
      </c>
      <c r="L163" s="22">
        <v>0</v>
      </c>
      <c r="M163" s="22">
        <v>0</v>
      </c>
      <c r="N163" s="22">
        <v>0</v>
      </c>
      <c r="O163" s="22">
        <v>0</v>
      </c>
      <c r="P163" s="25">
        <v>0</v>
      </c>
    </row>
    <row r="164" spans="1:16" x14ac:dyDescent="0.3">
      <c r="A164" s="22"/>
      <c r="B164" s="22" t="s">
        <v>318</v>
      </c>
      <c r="C164" s="22" t="s">
        <v>319</v>
      </c>
      <c r="D164" s="22" t="s">
        <v>105</v>
      </c>
      <c r="E164" s="22">
        <v>0</v>
      </c>
      <c r="F164" s="22">
        <v>0</v>
      </c>
      <c r="G164" s="22">
        <v>0</v>
      </c>
      <c r="H164" s="22">
        <v>4.12</v>
      </c>
      <c r="I164" s="22">
        <v>0</v>
      </c>
      <c r="J164" s="22">
        <v>0</v>
      </c>
      <c r="K164" s="25">
        <v>0</v>
      </c>
      <c r="L164" s="22">
        <v>0</v>
      </c>
      <c r="M164" s="22">
        <v>0</v>
      </c>
      <c r="N164" s="22">
        <v>0</v>
      </c>
      <c r="O164" s="22">
        <v>0</v>
      </c>
      <c r="P164" s="25">
        <v>0</v>
      </c>
    </row>
    <row r="165" spans="1:16" x14ac:dyDescent="0.3">
      <c r="A165" s="22"/>
      <c r="B165" s="22" t="s">
        <v>194</v>
      </c>
      <c r="C165" s="22" t="s">
        <v>320</v>
      </c>
      <c r="D165" s="22" t="s">
        <v>133</v>
      </c>
      <c r="E165" s="22">
        <v>559</v>
      </c>
      <c r="F165" s="22">
        <v>17.12</v>
      </c>
      <c r="G165" s="22">
        <v>32.659999999999997</v>
      </c>
      <c r="H165" s="22">
        <v>46.44</v>
      </c>
      <c r="I165" s="22">
        <v>12.04</v>
      </c>
      <c r="J165" s="22">
        <v>-5.08</v>
      </c>
      <c r="K165" s="26">
        <v>0.70320000000000005</v>
      </c>
      <c r="L165" s="22">
        <v>0</v>
      </c>
      <c r="M165" s="22">
        <v>0</v>
      </c>
      <c r="N165" s="22">
        <v>0</v>
      </c>
      <c r="O165" s="22">
        <v>0</v>
      </c>
      <c r="P165" s="25">
        <v>0</v>
      </c>
    </row>
    <row r="166" spans="1:16" x14ac:dyDescent="0.3">
      <c r="A166" s="22" t="s">
        <v>321</v>
      </c>
      <c r="B166" s="22" t="s">
        <v>322</v>
      </c>
      <c r="C166" s="22" t="s">
        <v>323</v>
      </c>
      <c r="D166" s="22" t="s">
        <v>105</v>
      </c>
      <c r="E166" s="22">
        <v>0</v>
      </c>
      <c r="F166" s="22">
        <v>0</v>
      </c>
      <c r="G166" s="22">
        <v>0</v>
      </c>
      <c r="H166" s="23">
        <v>10000</v>
      </c>
      <c r="I166" s="22">
        <v>0</v>
      </c>
      <c r="J166" s="22">
        <v>0</v>
      </c>
      <c r="K166" s="25">
        <v>0</v>
      </c>
      <c r="L166" s="22">
        <v>0</v>
      </c>
      <c r="M166" s="22">
        <v>0</v>
      </c>
      <c r="N166" s="22">
        <v>0</v>
      </c>
      <c r="O166" s="22">
        <v>0</v>
      </c>
      <c r="P166" s="25">
        <v>0</v>
      </c>
    </row>
    <row r="167" spans="1:16" x14ac:dyDescent="0.3">
      <c r="A167" s="22"/>
      <c r="B167" s="22"/>
      <c r="C167" s="22" t="s">
        <v>324</v>
      </c>
      <c r="D167" s="22" t="s">
        <v>105</v>
      </c>
      <c r="E167" s="22">
        <v>0</v>
      </c>
      <c r="F167" s="22">
        <v>0</v>
      </c>
      <c r="G167" s="22">
        <v>0</v>
      </c>
      <c r="H167" s="23">
        <v>10000</v>
      </c>
      <c r="I167" s="22">
        <v>0</v>
      </c>
      <c r="J167" s="22">
        <v>0</v>
      </c>
      <c r="K167" s="25">
        <v>0</v>
      </c>
      <c r="L167" s="22">
        <v>0</v>
      </c>
      <c r="M167" s="22">
        <v>0</v>
      </c>
      <c r="N167" s="22">
        <v>0</v>
      </c>
      <c r="O167" s="22">
        <v>0</v>
      </c>
      <c r="P167" s="25">
        <v>0</v>
      </c>
    </row>
    <row r="168" spans="1:16" x14ac:dyDescent="0.3">
      <c r="A168" s="22"/>
      <c r="B168" s="22"/>
      <c r="C168" s="22" t="s">
        <v>325</v>
      </c>
      <c r="D168" s="22" t="s">
        <v>105</v>
      </c>
      <c r="E168" s="22">
        <v>0</v>
      </c>
      <c r="F168" s="22">
        <v>0</v>
      </c>
      <c r="G168" s="22">
        <v>0</v>
      </c>
      <c r="H168" s="23">
        <v>10000</v>
      </c>
      <c r="I168" s="22">
        <v>0</v>
      </c>
      <c r="J168" s="22">
        <v>0</v>
      </c>
      <c r="K168" s="25">
        <v>0</v>
      </c>
      <c r="L168" s="22">
        <v>0</v>
      </c>
      <c r="M168" s="22">
        <v>0</v>
      </c>
      <c r="N168" s="22">
        <v>0</v>
      </c>
      <c r="O168" s="22">
        <v>0</v>
      </c>
      <c r="P168" s="25">
        <v>0</v>
      </c>
    </row>
    <row r="169" spans="1:16" x14ac:dyDescent="0.3">
      <c r="A169" s="22" t="s">
        <v>326</v>
      </c>
      <c r="B169" s="22" t="s">
        <v>326</v>
      </c>
      <c r="C169" s="22" t="s">
        <v>327</v>
      </c>
      <c r="D169" s="22" t="s">
        <v>133</v>
      </c>
      <c r="E169" s="23">
        <v>89073</v>
      </c>
      <c r="F169" s="22">
        <v>325.51</v>
      </c>
      <c r="G169" s="22">
        <v>273.64</v>
      </c>
      <c r="H169" s="22">
        <v>141.74</v>
      </c>
      <c r="I169" s="22">
        <v>628.41999999999996</v>
      </c>
      <c r="J169" s="22">
        <v>302.91000000000003</v>
      </c>
      <c r="K169" s="26">
        <v>1.9306000000000001</v>
      </c>
      <c r="L169" s="22">
        <v>0</v>
      </c>
      <c r="M169" s="22">
        <v>0</v>
      </c>
      <c r="N169" s="22">
        <v>0</v>
      </c>
      <c r="O169" s="22">
        <v>0</v>
      </c>
      <c r="P169" s="25">
        <v>0</v>
      </c>
    </row>
    <row r="170" spans="1:16" x14ac:dyDescent="0.3">
      <c r="A170" s="22"/>
      <c r="B170" s="22"/>
      <c r="C170" s="22" t="s">
        <v>328</v>
      </c>
      <c r="D170" s="22" t="s">
        <v>133</v>
      </c>
      <c r="E170" s="23">
        <v>89073</v>
      </c>
      <c r="F170" s="22">
        <v>22.13</v>
      </c>
      <c r="G170" s="24">
        <v>4025.19</v>
      </c>
      <c r="H170" s="24">
        <v>22102.48</v>
      </c>
      <c r="I170" s="22">
        <v>4.03</v>
      </c>
      <c r="J170" s="22">
        <v>-18.100000000000001</v>
      </c>
      <c r="K170" s="26">
        <v>0.18210000000000001</v>
      </c>
      <c r="L170" s="22">
        <v>0</v>
      </c>
      <c r="M170" s="22">
        <v>0</v>
      </c>
      <c r="N170" s="22">
        <v>0</v>
      </c>
      <c r="O170" s="22">
        <v>0</v>
      </c>
      <c r="P170" s="25">
        <v>0</v>
      </c>
    </row>
    <row r="171" spans="1:16" x14ac:dyDescent="0.3">
      <c r="A171" s="22"/>
      <c r="B171" s="22"/>
      <c r="C171" s="22" t="s">
        <v>329</v>
      </c>
      <c r="D171" s="22" t="s">
        <v>133</v>
      </c>
      <c r="E171" s="23">
        <v>89073</v>
      </c>
      <c r="F171" s="22">
        <v>0</v>
      </c>
      <c r="G171" s="22">
        <v>0</v>
      </c>
      <c r="H171" s="22">
        <v>0</v>
      </c>
      <c r="I171" s="22">
        <v>0</v>
      </c>
      <c r="J171" s="22">
        <v>0</v>
      </c>
      <c r="K171" s="25">
        <v>0</v>
      </c>
      <c r="L171" s="22">
        <v>0</v>
      </c>
      <c r="M171" s="22">
        <v>0</v>
      </c>
      <c r="N171" s="22">
        <v>0</v>
      </c>
      <c r="O171" s="22">
        <v>0</v>
      </c>
      <c r="P171" s="25">
        <v>0</v>
      </c>
    </row>
    <row r="172" spans="1:16" x14ac:dyDescent="0.3">
      <c r="A172" s="22"/>
      <c r="B172" s="22"/>
      <c r="C172" s="22" t="s">
        <v>330</v>
      </c>
      <c r="D172" s="22" t="s">
        <v>133</v>
      </c>
      <c r="E172" s="23">
        <v>89073</v>
      </c>
      <c r="F172" s="22">
        <v>0</v>
      </c>
      <c r="G172" s="22">
        <v>0</v>
      </c>
      <c r="H172" s="22">
        <v>295.95</v>
      </c>
      <c r="I172" s="22">
        <v>300.97000000000003</v>
      </c>
      <c r="J172" s="22">
        <v>300.97000000000003</v>
      </c>
      <c r="K172" s="25">
        <v>0</v>
      </c>
      <c r="L172" s="22">
        <v>0</v>
      </c>
      <c r="M172" s="22">
        <v>0</v>
      </c>
      <c r="N172" s="22">
        <v>0</v>
      </c>
      <c r="O172" s="22">
        <v>0</v>
      </c>
      <c r="P172" s="25">
        <v>0</v>
      </c>
    </row>
    <row r="173" spans="1:16" x14ac:dyDescent="0.3">
      <c r="A173" s="22"/>
      <c r="B173" s="22"/>
      <c r="C173" s="22" t="s">
        <v>331</v>
      </c>
      <c r="D173" s="22" t="s">
        <v>133</v>
      </c>
      <c r="E173" s="23">
        <v>197444</v>
      </c>
      <c r="F173" s="22">
        <v>323.14</v>
      </c>
      <c r="G173" s="22">
        <v>611.03</v>
      </c>
      <c r="H173" s="22">
        <v>563.29</v>
      </c>
      <c r="I173" s="22">
        <v>350.52</v>
      </c>
      <c r="J173" s="22">
        <v>27.38</v>
      </c>
      <c r="K173" s="26">
        <v>1.0847</v>
      </c>
      <c r="L173" s="22">
        <v>0</v>
      </c>
      <c r="M173" s="22">
        <v>0</v>
      </c>
      <c r="N173" s="22">
        <v>0</v>
      </c>
      <c r="O173" s="22">
        <v>0</v>
      </c>
      <c r="P173" s="25">
        <v>0</v>
      </c>
    </row>
    <row r="174" spans="1:16" x14ac:dyDescent="0.3">
      <c r="A174" s="22"/>
      <c r="B174" s="22"/>
      <c r="C174" s="22" t="s">
        <v>332</v>
      </c>
      <c r="D174" s="22" t="s">
        <v>133</v>
      </c>
      <c r="E174" s="23">
        <v>89073</v>
      </c>
      <c r="F174" s="22">
        <v>0</v>
      </c>
      <c r="G174" s="22">
        <v>0</v>
      </c>
      <c r="H174" s="22">
        <v>0</v>
      </c>
      <c r="I174" s="22">
        <v>0</v>
      </c>
      <c r="J174" s="22">
        <v>0</v>
      </c>
      <c r="K174" s="25">
        <v>0</v>
      </c>
      <c r="L174" s="22">
        <v>0</v>
      </c>
      <c r="M174" s="22">
        <v>0</v>
      </c>
      <c r="N174" s="22">
        <v>0</v>
      </c>
      <c r="O174" s="22">
        <v>0</v>
      </c>
      <c r="P174" s="25">
        <v>0</v>
      </c>
    </row>
    <row r="175" spans="1:16" x14ac:dyDescent="0.3">
      <c r="A175" s="22" t="s">
        <v>333</v>
      </c>
      <c r="B175" s="22" t="s">
        <v>334</v>
      </c>
      <c r="C175" s="22" t="s">
        <v>335</v>
      </c>
      <c r="D175" s="22" t="s">
        <v>102</v>
      </c>
      <c r="E175" s="22">
        <v>0</v>
      </c>
      <c r="F175" s="22">
        <v>0</v>
      </c>
      <c r="G175" s="22">
        <v>0</v>
      </c>
      <c r="H175" s="23">
        <v>10000</v>
      </c>
      <c r="I175" s="22">
        <v>0</v>
      </c>
      <c r="J175" s="22">
        <v>0</v>
      </c>
      <c r="K175" s="25">
        <v>0</v>
      </c>
      <c r="L175" s="22">
        <v>0</v>
      </c>
      <c r="M175" s="22">
        <v>0</v>
      </c>
      <c r="N175" s="22">
        <v>0</v>
      </c>
      <c r="O175" s="22">
        <v>0</v>
      </c>
      <c r="P175" s="25">
        <v>0</v>
      </c>
    </row>
    <row r="176" spans="1:16" x14ac:dyDescent="0.3">
      <c r="A176" s="22"/>
      <c r="B176" s="22"/>
      <c r="C176" s="22" t="s">
        <v>336</v>
      </c>
      <c r="D176" s="22" t="s">
        <v>102</v>
      </c>
      <c r="E176" s="22">
        <v>0</v>
      </c>
      <c r="F176" s="22">
        <v>0</v>
      </c>
      <c r="G176" s="22">
        <v>0</v>
      </c>
      <c r="H176" s="23">
        <v>10000</v>
      </c>
      <c r="I176" s="22">
        <v>0</v>
      </c>
      <c r="J176" s="22">
        <v>0</v>
      </c>
      <c r="K176" s="25">
        <v>0</v>
      </c>
      <c r="L176" s="22">
        <v>0</v>
      </c>
      <c r="M176" s="22">
        <v>0</v>
      </c>
      <c r="N176" s="22">
        <v>0</v>
      </c>
      <c r="O176" s="22">
        <v>0</v>
      </c>
      <c r="P176" s="25">
        <v>0</v>
      </c>
    </row>
    <row r="177" spans="1:16" x14ac:dyDescent="0.3">
      <c r="A177" s="22"/>
      <c r="B177" s="22"/>
      <c r="C177" s="22" t="s">
        <v>337</v>
      </c>
      <c r="D177" s="22" t="s">
        <v>102</v>
      </c>
      <c r="E177" s="22">
        <v>0</v>
      </c>
      <c r="F177" s="22">
        <v>0</v>
      </c>
      <c r="G177" s="22">
        <v>0</v>
      </c>
      <c r="H177" s="23">
        <v>10000</v>
      </c>
      <c r="I177" s="22">
        <v>0</v>
      </c>
      <c r="J177" s="22">
        <v>0</v>
      </c>
      <c r="K177" s="25">
        <v>0</v>
      </c>
      <c r="L177" s="22">
        <v>0</v>
      </c>
      <c r="M177" s="22">
        <v>0</v>
      </c>
      <c r="N177" s="22">
        <v>0</v>
      </c>
      <c r="O177" s="22">
        <v>0</v>
      </c>
      <c r="P177" s="25">
        <v>0</v>
      </c>
    </row>
    <row r="178" spans="1:16" x14ac:dyDescent="0.3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</row>
    <row r="179" spans="1:16" x14ac:dyDescent="0.3">
      <c r="A179" s="22" t="s">
        <v>338</v>
      </c>
      <c r="B179" s="22" t="s">
        <v>338</v>
      </c>
      <c r="C179" s="22" t="s">
        <v>339</v>
      </c>
      <c r="D179" s="22" t="s">
        <v>105</v>
      </c>
      <c r="E179" s="22">
        <v>0</v>
      </c>
      <c r="F179" s="22">
        <v>249.86</v>
      </c>
      <c r="G179" s="22">
        <v>0</v>
      </c>
      <c r="H179" s="22">
        <v>0</v>
      </c>
      <c r="I179" s="22">
        <v>187.47</v>
      </c>
      <c r="J179" s="22">
        <v>-62.38</v>
      </c>
      <c r="K179" s="26">
        <v>0.75029999999999997</v>
      </c>
      <c r="L179" s="22">
        <v>0</v>
      </c>
      <c r="M179" s="22">
        <v>0</v>
      </c>
      <c r="N179" s="22">
        <v>0</v>
      </c>
      <c r="O179" s="22">
        <v>0</v>
      </c>
      <c r="P179" s="25">
        <v>0</v>
      </c>
    </row>
    <row r="180" spans="1:16" x14ac:dyDescent="0.3">
      <c r="A180" s="22"/>
      <c r="B180" s="22"/>
      <c r="C180" s="22" t="s">
        <v>340</v>
      </c>
      <c r="D180" s="22" t="s">
        <v>105</v>
      </c>
      <c r="E180" s="23">
        <v>107812</v>
      </c>
      <c r="F180" s="22">
        <v>700.54</v>
      </c>
      <c r="G180" s="22">
        <v>153.9</v>
      </c>
      <c r="H180" s="22">
        <v>152.02000000000001</v>
      </c>
      <c r="I180" s="22">
        <v>709.18</v>
      </c>
      <c r="J180" s="22">
        <v>8.64</v>
      </c>
      <c r="K180" s="26">
        <v>1.0123</v>
      </c>
      <c r="L180" s="22">
        <v>0</v>
      </c>
      <c r="M180" s="22">
        <v>0</v>
      </c>
      <c r="N180" s="22">
        <v>0</v>
      </c>
      <c r="O180" s="22">
        <v>0</v>
      </c>
      <c r="P180" s="25">
        <v>0</v>
      </c>
    </row>
    <row r="181" spans="1:16" x14ac:dyDescent="0.3">
      <c r="A181" s="22"/>
      <c r="B181" s="22"/>
      <c r="C181" s="22" t="s">
        <v>341</v>
      </c>
      <c r="D181" s="22" t="s">
        <v>105</v>
      </c>
      <c r="E181" s="23">
        <v>107812</v>
      </c>
      <c r="F181" s="22">
        <v>950.4</v>
      </c>
      <c r="G181" s="22">
        <v>113.44</v>
      </c>
      <c r="H181" s="22">
        <v>120.24</v>
      </c>
      <c r="I181" s="22">
        <v>896.65</v>
      </c>
      <c r="J181" s="22">
        <v>-53.74</v>
      </c>
      <c r="K181" s="26">
        <v>0.94350000000000001</v>
      </c>
      <c r="L181" s="22">
        <v>0</v>
      </c>
      <c r="M181" s="22">
        <v>0</v>
      </c>
      <c r="N181" s="22">
        <v>0</v>
      </c>
      <c r="O181" s="22">
        <v>0</v>
      </c>
      <c r="P181" s="25">
        <v>0</v>
      </c>
    </row>
    <row r="182" spans="1:16" x14ac:dyDescent="0.3">
      <c r="A182" s="22"/>
      <c r="B182" s="22"/>
      <c r="C182" s="22" t="s">
        <v>342</v>
      </c>
      <c r="D182" s="22" t="s">
        <v>105</v>
      </c>
      <c r="E182" s="23">
        <v>74093</v>
      </c>
      <c r="F182" s="24">
        <v>1301.54</v>
      </c>
      <c r="G182" s="22">
        <v>56.93</v>
      </c>
      <c r="H182" s="22">
        <v>62.39</v>
      </c>
      <c r="I182" s="24">
        <v>1187.5899999999999</v>
      </c>
      <c r="J182" s="22">
        <v>-113.95</v>
      </c>
      <c r="K182" s="26">
        <v>0.91239999999999999</v>
      </c>
      <c r="L182" s="22">
        <v>0</v>
      </c>
      <c r="M182" s="22">
        <v>0</v>
      </c>
      <c r="N182" s="22">
        <v>0</v>
      </c>
      <c r="O182" s="22">
        <v>0</v>
      </c>
      <c r="P182" s="25">
        <v>0</v>
      </c>
    </row>
    <row r="183" spans="1:16" x14ac:dyDescent="0.3">
      <c r="A183" s="22"/>
      <c r="B183" s="22"/>
      <c r="C183" s="22" t="s">
        <v>343</v>
      </c>
      <c r="D183" s="22" t="s">
        <v>105</v>
      </c>
      <c r="E183" s="23">
        <v>14980</v>
      </c>
      <c r="F183" s="22">
        <v>89.24</v>
      </c>
      <c r="G183" s="22">
        <v>167.86</v>
      </c>
      <c r="H183" s="22">
        <v>128.06</v>
      </c>
      <c r="I183" s="22">
        <v>116.97</v>
      </c>
      <c r="J183" s="22">
        <v>27.73</v>
      </c>
      <c r="K183" s="26">
        <v>1.3107</v>
      </c>
      <c r="L183" s="22">
        <v>0</v>
      </c>
      <c r="M183" s="22">
        <v>0</v>
      </c>
      <c r="N183" s="22">
        <v>0</v>
      </c>
      <c r="O183" s="22">
        <v>0</v>
      </c>
      <c r="P183" s="25">
        <v>0</v>
      </c>
    </row>
    <row r="184" spans="1:16" x14ac:dyDescent="0.3">
      <c r="A184" s="22"/>
      <c r="B184" s="22"/>
      <c r="C184" s="22" t="s">
        <v>344</v>
      </c>
      <c r="D184" s="22" t="s">
        <v>105</v>
      </c>
      <c r="E184" s="22">
        <v>559</v>
      </c>
      <c r="F184" s="22">
        <v>17.12</v>
      </c>
      <c r="G184" s="22">
        <v>32.659999999999997</v>
      </c>
      <c r="H184" s="22">
        <v>46.44</v>
      </c>
      <c r="I184" s="22">
        <v>12.04</v>
      </c>
      <c r="J184" s="22">
        <v>-5.08</v>
      </c>
      <c r="K184" s="26">
        <v>0.70320000000000005</v>
      </c>
      <c r="L184" s="22">
        <v>0</v>
      </c>
      <c r="M184" s="22">
        <v>0</v>
      </c>
      <c r="N184" s="22">
        <v>0</v>
      </c>
      <c r="O184" s="22">
        <v>0</v>
      </c>
      <c r="P184" s="25">
        <v>0</v>
      </c>
    </row>
    <row r="185" spans="1:16" x14ac:dyDescent="0.3">
      <c r="A185" s="22"/>
      <c r="B185" s="22"/>
      <c r="C185" s="22" t="s">
        <v>345</v>
      </c>
      <c r="D185" s="22" t="s">
        <v>105</v>
      </c>
      <c r="E185" s="22">
        <v>0</v>
      </c>
      <c r="F185" s="22">
        <v>0</v>
      </c>
      <c r="G185" s="22">
        <v>0</v>
      </c>
      <c r="H185" s="22">
        <v>0</v>
      </c>
      <c r="I185" s="22">
        <v>0</v>
      </c>
      <c r="J185" s="22">
        <v>0</v>
      </c>
      <c r="K185" s="25">
        <v>0</v>
      </c>
      <c r="L185" s="22">
        <v>0</v>
      </c>
      <c r="M185" s="22">
        <v>0</v>
      </c>
      <c r="N185" s="22">
        <v>0</v>
      </c>
      <c r="O185" s="22">
        <v>0</v>
      </c>
      <c r="P185" s="25">
        <v>0</v>
      </c>
    </row>
    <row r="186" spans="1:16" x14ac:dyDescent="0.3">
      <c r="A186" s="22"/>
      <c r="B186" s="22"/>
      <c r="C186" s="22" t="s">
        <v>346</v>
      </c>
      <c r="D186" s="22" t="s">
        <v>105</v>
      </c>
      <c r="E186" s="23">
        <v>89073</v>
      </c>
      <c r="F186" s="22">
        <v>670.78</v>
      </c>
      <c r="G186" s="22">
        <v>132.79</v>
      </c>
      <c r="H186" s="22">
        <v>69.37</v>
      </c>
      <c r="I186" s="24">
        <v>1283.94</v>
      </c>
      <c r="J186" s="22">
        <v>613.16</v>
      </c>
      <c r="K186" s="26">
        <v>1.9140999999999999</v>
      </c>
      <c r="L186" s="22">
        <v>0</v>
      </c>
      <c r="M186" s="22">
        <v>0</v>
      </c>
      <c r="N186" s="22">
        <v>0</v>
      </c>
      <c r="O186" s="22">
        <v>0</v>
      </c>
      <c r="P186" s="25">
        <v>0</v>
      </c>
    </row>
    <row r="187" spans="1:16" x14ac:dyDescent="0.3">
      <c r="A187" s="22"/>
      <c r="B187" s="22"/>
      <c r="C187" s="22" t="s">
        <v>347</v>
      </c>
      <c r="D187" s="22" t="s">
        <v>102</v>
      </c>
      <c r="E187" s="22">
        <v>0</v>
      </c>
      <c r="F187" s="22">
        <v>0</v>
      </c>
      <c r="G187" s="22">
        <v>0</v>
      </c>
      <c r="H187" s="22">
        <v>0</v>
      </c>
      <c r="I187" s="22">
        <v>0</v>
      </c>
      <c r="J187" s="22">
        <v>0</v>
      </c>
      <c r="K187" s="25">
        <v>0</v>
      </c>
      <c r="L187" s="22">
        <v>0</v>
      </c>
      <c r="M187" s="22">
        <v>0</v>
      </c>
      <c r="N187" s="22">
        <v>0</v>
      </c>
      <c r="O187" s="22">
        <v>0</v>
      </c>
      <c r="P187" s="25">
        <v>0</v>
      </c>
    </row>
    <row r="188" spans="1:16" x14ac:dyDescent="0.3">
      <c r="A188" s="22"/>
      <c r="B188" s="22"/>
      <c r="C188" s="22" t="s">
        <v>348</v>
      </c>
      <c r="D188" s="22" t="s">
        <v>105</v>
      </c>
      <c r="E188" s="23">
        <v>197444</v>
      </c>
      <c r="F188" s="24">
        <v>3029.07</v>
      </c>
      <c r="G188" s="22">
        <v>65.180000000000007</v>
      </c>
      <c r="H188" s="22">
        <v>56.46</v>
      </c>
      <c r="I188" s="24">
        <v>3497.19</v>
      </c>
      <c r="J188" s="22">
        <v>468.12</v>
      </c>
      <c r="K188" s="26">
        <v>1.1545000000000001</v>
      </c>
      <c r="L188" s="22">
        <v>0</v>
      </c>
      <c r="M188" s="22">
        <v>0</v>
      </c>
      <c r="N188" s="22">
        <v>0</v>
      </c>
      <c r="O188" s="22">
        <v>0</v>
      </c>
      <c r="P188" s="25">
        <v>0</v>
      </c>
    </row>
    <row r="189" spans="1:16" x14ac:dyDescent="0.3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</row>
    <row r="190" spans="1:16" x14ac:dyDescent="0.3">
      <c r="A190" s="22" t="s">
        <v>349</v>
      </c>
      <c r="B190" s="22" t="s">
        <v>349</v>
      </c>
      <c r="C190" s="22" t="s">
        <v>350</v>
      </c>
      <c r="D190" s="22" t="s">
        <v>105</v>
      </c>
      <c r="E190" s="23">
        <v>107812</v>
      </c>
      <c r="F190" s="22">
        <v>950.4</v>
      </c>
      <c r="G190" s="22">
        <v>113.44</v>
      </c>
      <c r="H190" s="22">
        <v>120.24</v>
      </c>
      <c r="I190" s="22">
        <v>896.65</v>
      </c>
      <c r="J190" s="22">
        <v>-53.74</v>
      </c>
      <c r="K190" s="26">
        <v>0.94350000000000001</v>
      </c>
      <c r="L190" s="22">
        <v>0</v>
      </c>
      <c r="M190" s="22">
        <v>0</v>
      </c>
      <c r="N190" s="22">
        <v>0</v>
      </c>
      <c r="O190" s="22">
        <v>0</v>
      </c>
      <c r="P190" s="25">
        <v>0</v>
      </c>
    </row>
    <row r="191" spans="1:16" x14ac:dyDescent="0.3">
      <c r="A191" s="22"/>
      <c r="B191" s="22"/>
      <c r="C191" s="22" t="s">
        <v>351</v>
      </c>
      <c r="D191" s="22" t="s">
        <v>105</v>
      </c>
      <c r="E191" s="23">
        <v>14980</v>
      </c>
      <c r="F191" s="22">
        <v>89.24</v>
      </c>
      <c r="G191" s="22">
        <v>167.86</v>
      </c>
      <c r="H191" s="22">
        <v>128.06</v>
      </c>
      <c r="I191" s="22">
        <v>116.97</v>
      </c>
      <c r="J191" s="22">
        <v>27.73</v>
      </c>
      <c r="K191" s="26">
        <v>1.3107</v>
      </c>
      <c r="L191" s="22">
        <v>0</v>
      </c>
      <c r="M191" s="22">
        <v>0</v>
      </c>
      <c r="N191" s="22">
        <v>0</v>
      </c>
      <c r="O191" s="22">
        <v>0</v>
      </c>
      <c r="P191" s="25">
        <v>0</v>
      </c>
    </row>
    <row r="192" spans="1:16" x14ac:dyDescent="0.3">
      <c r="A192" s="22"/>
      <c r="B192" s="22"/>
      <c r="C192" s="22" t="s">
        <v>344</v>
      </c>
      <c r="D192" s="22" t="s">
        <v>105</v>
      </c>
      <c r="E192" s="22">
        <v>559</v>
      </c>
      <c r="F192" s="22">
        <v>17.12</v>
      </c>
      <c r="G192" s="22">
        <v>32.659999999999997</v>
      </c>
      <c r="H192" s="22">
        <v>46.44</v>
      </c>
      <c r="I192" s="22">
        <v>12.04</v>
      </c>
      <c r="J192" s="22">
        <v>-5.08</v>
      </c>
      <c r="K192" s="26">
        <v>0.70320000000000005</v>
      </c>
      <c r="L192" s="22">
        <v>0</v>
      </c>
      <c r="M192" s="22">
        <v>0</v>
      </c>
      <c r="N192" s="22">
        <v>0</v>
      </c>
      <c r="O192" s="22">
        <v>0</v>
      </c>
      <c r="P192" s="25">
        <v>0</v>
      </c>
    </row>
    <row r="193" spans="1:16" x14ac:dyDescent="0.3">
      <c r="A193" s="22"/>
      <c r="B193" s="22"/>
      <c r="C193" s="22" t="s">
        <v>346</v>
      </c>
      <c r="D193" s="22" t="s">
        <v>105</v>
      </c>
      <c r="E193" s="23">
        <v>14980</v>
      </c>
      <c r="F193" s="22">
        <v>670.78</v>
      </c>
      <c r="G193" s="22">
        <v>22.33</v>
      </c>
      <c r="H193" s="22">
        <v>15.24</v>
      </c>
      <c r="I193" s="22">
        <v>982.97</v>
      </c>
      <c r="J193" s="22">
        <v>312.19</v>
      </c>
      <c r="K193" s="26">
        <v>1.4654</v>
      </c>
      <c r="L193" s="22">
        <v>0</v>
      </c>
      <c r="M193" s="22">
        <v>0</v>
      </c>
      <c r="N193" s="22">
        <v>0</v>
      </c>
      <c r="O193" s="22">
        <v>0</v>
      </c>
      <c r="P193" s="25">
        <v>0</v>
      </c>
    </row>
    <row r="194" spans="1:16" x14ac:dyDescent="0.3">
      <c r="A194" s="22"/>
      <c r="B194" s="22"/>
      <c r="C194" s="22" t="s">
        <v>347</v>
      </c>
      <c r="D194" s="22" t="s">
        <v>102</v>
      </c>
      <c r="E194" s="22">
        <v>0</v>
      </c>
      <c r="F194" s="22">
        <v>0</v>
      </c>
      <c r="G194" s="22">
        <v>0</v>
      </c>
      <c r="H194" s="22">
        <v>0</v>
      </c>
      <c r="I194" s="22">
        <v>0</v>
      </c>
      <c r="J194" s="22">
        <v>0</v>
      </c>
      <c r="K194" s="25">
        <v>0</v>
      </c>
      <c r="L194" s="22">
        <v>0</v>
      </c>
      <c r="M194" s="22">
        <v>0</v>
      </c>
      <c r="N194" s="22">
        <v>0</v>
      </c>
      <c r="O194" s="22">
        <v>0</v>
      </c>
      <c r="P194" s="25">
        <v>0</v>
      </c>
    </row>
    <row r="195" spans="1:16" x14ac:dyDescent="0.3">
      <c r="A195" s="22"/>
      <c r="B195" s="22"/>
      <c r="C195" s="22" t="s">
        <v>348</v>
      </c>
      <c r="D195" s="22" t="s">
        <v>105</v>
      </c>
      <c r="E195" s="23">
        <v>123351</v>
      </c>
      <c r="F195" s="24">
        <v>1727.53</v>
      </c>
      <c r="G195" s="22">
        <v>71.400000000000006</v>
      </c>
      <c r="H195" s="22">
        <v>61.41</v>
      </c>
      <c r="I195" s="24">
        <v>2008.63</v>
      </c>
      <c r="J195" s="22">
        <v>281.10000000000002</v>
      </c>
      <c r="K195" s="26">
        <v>1.1627000000000001</v>
      </c>
      <c r="L195" s="22">
        <v>0</v>
      </c>
      <c r="M195" s="22">
        <v>0</v>
      </c>
      <c r="N195" s="22">
        <v>0</v>
      </c>
      <c r="O195" s="22">
        <v>0</v>
      </c>
      <c r="P195" s="25">
        <v>0</v>
      </c>
    </row>
    <row r="196" spans="1:16" x14ac:dyDescent="0.3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</row>
    <row r="197" spans="1:16" x14ac:dyDescent="0.3">
      <c r="A197" s="22" t="s">
        <v>352</v>
      </c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</row>
    <row r="198" spans="1:16" x14ac:dyDescent="0.3">
      <c r="A198" s="22" t="s">
        <v>353</v>
      </c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</row>
    <row r="199" spans="1:16" x14ac:dyDescent="0.3">
      <c r="A199" s="22" t="s">
        <v>354</v>
      </c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</row>
    <row r="200" spans="1:16" x14ac:dyDescent="0.3">
      <c r="A200" s="22" t="s">
        <v>355</v>
      </c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</row>
    <row r="201" spans="1:16" x14ac:dyDescent="0.3">
      <c r="A201" s="22" t="s">
        <v>356</v>
      </c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644</vt:i4>
      </vt:variant>
    </vt:vector>
  </HeadingPairs>
  <TitlesOfParts>
    <vt:vector size="650" baseType="lpstr">
      <vt:lpstr>Report</vt:lpstr>
      <vt:lpstr>Setup</vt:lpstr>
      <vt:lpstr>Ship</vt:lpstr>
      <vt:lpstr>Chute</vt:lpstr>
      <vt:lpstr>Dock PPR</vt:lpstr>
      <vt:lpstr>PPR</vt:lpstr>
      <vt:lpstr>'Dock PPR'!PPA</vt:lpstr>
      <vt:lpstr>PPR!PPA</vt:lpstr>
      <vt:lpstr>Ship!PPA</vt:lpstr>
      <vt:lpstr>'Dock PPR'!PPA_1</vt:lpstr>
      <vt:lpstr>PPR!PPA_1</vt:lpstr>
      <vt:lpstr>Ship!PPA_1</vt:lpstr>
      <vt:lpstr>'Dock PPR'!PPA_10</vt:lpstr>
      <vt:lpstr>PPR!PPA_10</vt:lpstr>
      <vt:lpstr>Ship!PPA_10</vt:lpstr>
      <vt:lpstr>'Dock PPR'!PPA_100</vt:lpstr>
      <vt:lpstr>PPR!PPA_100</vt:lpstr>
      <vt:lpstr>'Dock PPR'!PPA_101</vt:lpstr>
      <vt:lpstr>PPR!PPA_101</vt:lpstr>
      <vt:lpstr>'Dock PPR'!PPA_102</vt:lpstr>
      <vt:lpstr>PPR!PPA_102</vt:lpstr>
      <vt:lpstr>'Dock PPR'!PPA_103</vt:lpstr>
      <vt:lpstr>PPR!PPA_103</vt:lpstr>
      <vt:lpstr>Ship!PPA_103</vt:lpstr>
      <vt:lpstr>'Dock PPR'!PPA_104</vt:lpstr>
      <vt:lpstr>Ship!PPA_104</vt:lpstr>
      <vt:lpstr>'Dock PPR'!PPA_105</vt:lpstr>
      <vt:lpstr>PPR!PPA_105</vt:lpstr>
      <vt:lpstr>'Dock PPR'!PPA_106</vt:lpstr>
      <vt:lpstr>PPR!PPA_106</vt:lpstr>
      <vt:lpstr>Ship!PPA_106</vt:lpstr>
      <vt:lpstr>'Dock PPR'!PPA_107</vt:lpstr>
      <vt:lpstr>PPR!PPA_107</vt:lpstr>
      <vt:lpstr>Ship!PPA_107</vt:lpstr>
      <vt:lpstr>'Dock PPR'!PPA_108</vt:lpstr>
      <vt:lpstr>PPR!PPA_108</vt:lpstr>
      <vt:lpstr>Ship!PPA_108</vt:lpstr>
      <vt:lpstr>'Dock PPR'!PPA_109</vt:lpstr>
      <vt:lpstr>PPR!PPA_109</vt:lpstr>
      <vt:lpstr>Ship!PPA_109</vt:lpstr>
      <vt:lpstr>'Dock PPR'!PPA_11</vt:lpstr>
      <vt:lpstr>PPR!PPA_11</vt:lpstr>
      <vt:lpstr>Ship!PPA_11</vt:lpstr>
      <vt:lpstr>'Dock PPR'!PPA_110</vt:lpstr>
      <vt:lpstr>PPR!PPA_110</vt:lpstr>
      <vt:lpstr>Ship!PPA_110</vt:lpstr>
      <vt:lpstr>'Dock PPR'!PPA_111</vt:lpstr>
      <vt:lpstr>PPR!PPA_111</vt:lpstr>
      <vt:lpstr>Ship!PPA_111</vt:lpstr>
      <vt:lpstr>'Dock PPR'!PPA_112</vt:lpstr>
      <vt:lpstr>PPR!PPA_112</vt:lpstr>
      <vt:lpstr>Ship!PPA_112</vt:lpstr>
      <vt:lpstr>'Dock PPR'!PPA_113</vt:lpstr>
      <vt:lpstr>PPR!PPA_113</vt:lpstr>
      <vt:lpstr>Ship!PPA_113</vt:lpstr>
      <vt:lpstr>'Dock PPR'!PPA_114</vt:lpstr>
      <vt:lpstr>PPR!PPA_114</vt:lpstr>
      <vt:lpstr>'Dock PPR'!PPA_115</vt:lpstr>
      <vt:lpstr>PPR!PPA_115</vt:lpstr>
      <vt:lpstr>Ship!PPA_115</vt:lpstr>
      <vt:lpstr>'Dock PPR'!PPA_116</vt:lpstr>
      <vt:lpstr>PPR!PPA_116</vt:lpstr>
      <vt:lpstr>Ship!PPA_116</vt:lpstr>
      <vt:lpstr>'Dock PPR'!PPA_117</vt:lpstr>
      <vt:lpstr>PPR!PPA_117</vt:lpstr>
      <vt:lpstr>Ship!PPA_117</vt:lpstr>
      <vt:lpstr>'Dock PPR'!PPA_118</vt:lpstr>
      <vt:lpstr>PPR!PPA_118</vt:lpstr>
      <vt:lpstr>Ship!PPA_118</vt:lpstr>
      <vt:lpstr>'Dock PPR'!PPA_119</vt:lpstr>
      <vt:lpstr>PPR!PPA_119</vt:lpstr>
      <vt:lpstr>Ship!PPA_119</vt:lpstr>
      <vt:lpstr>'Dock PPR'!PPA_12</vt:lpstr>
      <vt:lpstr>PPR!PPA_12</vt:lpstr>
      <vt:lpstr>Ship!PPA_12</vt:lpstr>
      <vt:lpstr>'Dock PPR'!PPA_120</vt:lpstr>
      <vt:lpstr>PPR!PPA_120</vt:lpstr>
      <vt:lpstr>Ship!PPA_120</vt:lpstr>
      <vt:lpstr>'Dock PPR'!PPA_121</vt:lpstr>
      <vt:lpstr>PPR!PPA_121</vt:lpstr>
      <vt:lpstr>Ship!PPA_121</vt:lpstr>
      <vt:lpstr>'Dock PPR'!PPA_122</vt:lpstr>
      <vt:lpstr>PPR!PPA_122</vt:lpstr>
      <vt:lpstr>Ship!PPA_122</vt:lpstr>
      <vt:lpstr>'Dock PPR'!PPA_123</vt:lpstr>
      <vt:lpstr>PPR!PPA_123</vt:lpstr>
      <vt:lpstr>Ship!PPA_123</vt:lpstr>
      <vt:lpstr>'Dock PPR'!PPA_124</vt:lpstr>
      <vt:lpstr>PPR!PPA_124</vt:lpstr>
      <vt:lpstr>Ship!PPA_124</vt:lpstr>
      <vt:lpstr>'Dock PPR'!PPA_125</vt:lpstr>
      <vt:lpstr>PPR!PPA_125</vt:lpstr>
      <vt:lpstr>Ship!PPA_125</vt:lpstr>
      <vt:lpstr>'Dock PPR'!PPA_126</vt:lpstr>
      <vt:lpstr>PPR!PPA_126</vt:lpstr>
      <vt:lpstr>Ship!PPA_126</vt:lpstr>
      <vt:lpstr>'Dock PPR'!PPA_127</vt:lpstr>
      <vt:lpstr>PPR!PPA_127</vt:lpstr>
      <vt:lpstr>Ship!PPA_127</vt:lpstr>
      <vt:lpstr>'Dock PPR'!PPA_128</vt:lpstr>
      <vt:lpstr>PPR!PPA_128</vt:lpstr>
      <vt:lpstr>'Dock PPR'!PPA_129</vt:lpstr>
      <vt:lpstr>PPR!PPA_129</vt:lpstr>
      <vt:lpstr>Ship!PPA_129</vt:lpstr>
      <vt:lpstr>'Dock PPR'!PPA_13</vt:lpstr>
      <vt:lpstr>PPR!PPA_13</vt:lpstr>
      <vt:lpstr>Ship!PPA_13</vt:lpstr>
      <vt:lpstr>'Dock PPR'!PPA_130</vt:lpstr>
      <vt:lpstr>PPR!PPA_130</vt:lpstr>
      <vt:lpstr>Ship!PPA_130</vt:lpstr>
      <vt:lpstr>'Dock PPR'!PPA_131</vt:lpstr>
      <vt:lpstr>PPR!PPA_131</vt:lpstr>
      <vt:lpstr>Ship!PPA_131</vt:lpstr>
      <vt:lpstr>'Dock PPR'!PPA_132</vt:lpstr>
      <vt:lpstr>PPR!PPA_132</vt:lpstr>
      <vt:lpstr>Ship!PPA_132</vt:lpstr>
      <vt:lpstr>'Dock PPR'!PPA_133</vt:lpstr>
      <vt:lpstr>PPR!PPA_133</vt:lpstr>
      <vt:lpstr>Ship!PPA_133</vt:lpstr>
      <vt:lpstr>'Dock PPR'!PPA_134</vt:lpstr>
      <vt:lpstr>PPR!PPA_134</vt:lpstr>
      <vt:lpstr>Ship!PPA_134</vt:lpstr>
      <vt:lpstr>'Dock PPR'!PPA_135</vt:lpstr>
      <vt:lpstr>PPR!PPA_135</vt:lpstr>
      <vt:lpstr>Ship!PPA_135</vt:lpstr>
      <vt:lpstr>'Dock PPR'!PPA_136</vt:lpstr>
      <vt:lpstr>PPR!PPA_136</vt:lpstr>
      <vt:lpstr>Ship!PPA_136</vt:lpstr>
      <vt:lpstr>'Dock PPR'!PPA_137</vt:lpstr>
      <vt:lpstr>PPR!PPA_137</vt:lpstr>
      <vt:lpstr>Ship!PPA_137</vt:lpstr>
      <vt:lpstr>'Dock PPR'!PPA_138</vt:lpstr>
      <vt:lpstr>PPR!PPA_138</vt:lpstr>
      <vt:lpstr>Ship!PPA_138</vt:lpstr>
      <vt:lpstr>'Dock PPR'!PPA_139</vt:lpstr>
      <vt:lpstr>PPR!PPA_139</vt:lpstr>
      <vt:lpstr>Ship!PPA_139</vt:lpstr>
      <vt:lpstr>'Dock PPR'!PPA_14</vt:lpstr>
      <vt:lpstr>PPR!PPA_14</vt:lpstr>
      <vt:lpstr>Ship!PPA_14</vt:lpstr>
      <vt:lpstr>'Dock PPR'!PPA_140</vt:lpstr>
      <vt:lpstr>PPR!PPA_140</vt:lpstr>
      <vt:lpstr>Ship!PPA_140</vt:lpstr>
      <vt:lpstr>'Dock PPR'!PPA_141</vt:lpstr>
      <vt:lpstr>PPR!PPA_141</vt:lpstr>
      <vt:lpstr>Ship!PPA_141</vt:lpstr>
      <vt:lpstr>'Dock PPR'!PPA_142</vt:lpstr>
      <vt:lpstr>PPR!PPA_142</vt:lpstr>
      <vt:lpstr>Ship!PPA_142</vt:lpstr>
      <vt:lpstr>'Dock PPR'!PPA_143</vt:lpstr>
      <vt:lpstr>PPR!PPA_143</vt:lpstr>
      <vt:lpstr>Ship!PPA_143</vt:lpstr>
      <vt:lpstr>'Dock PPR'!PPA_144</vt:lpstr>
      <vt:lpstr>PPR!PPA_144</vt:lpstr>
      <vt:lpstr>'Dock PPR'!PPA_145</vt:lpstr>
      <vt:lpstr>PPR!PPA_145</vt:lpstr>
      <vt:lpstr>Ship!PPA_145</vt:lpstr>
      <vt:lpstr>'Dock PPR'!PPA_146</vt:lpstr>
      <vt:lpstr>PPR!PPA_146</vt:lpstr>
      <vt:lpstr>'Dock PPR'!PPA_147</vt:lpstr>
      <vt:lpstr>PPR!PPA_147</vt:lpstr>
      <vt:lpstr>Ship!PPA_147</vt:lpstr>
      <vt:lpstr>'Dock PPR'!PPA_148</vt:lpstr>
      <vt:lpstr>PPR!PPA_148</vt:lpstr>
      <vt:lpstr>Ship!PPA_148</vt:lpstr>
      <vt:lpstr>'Dock PPR'!PPA_149</vt:lpstr>
      <vt:lpstr>PPR!PPA_149</vt:lpstr>
      <vt:lpstr>Ship!PPA_149</vt:lpstr>
      <vt:lpstr>'Dock PPR'!PPA_15</vt:lpstr>
      <vt:lpstr>PPR!PPA_15</vt:lpstr>
      <vt:lpstr>Ship!PPA_15</vt:lpstr>
      <vt:lpstr>'Dock PPR'!PPA_150</vt:lpstr>
      <vt:lpstr>PPR!PPA_150</vt:lpstr>
      <vt:lpstr>'Dock PPR'!PPA_151</vt:lpstr>
      <vt:lpstr>PPR!PPA_151</vt:lpstr>
      <vt:lpstr>Ship!PPA_151</vt:lpstr>
      <vt:lpstr>'Dock PPR'!PPA_152</vt:lpstr>
      <vt:lpstr>PPR!PPA_152</vt:lpstr>
      <vt:lpstr>Ship!PPA_152</vt:lpstr>
      <vt:lpstr>'Dock PPR'!PPA_153</vt:lpstr>
      <vt:lpstr>PPR!PPA_153</vt:lpstr>
      <vt:lpstr>Ship!PPA_153</vt:lpstr>
      <vt:lpstr>'Dock PPR'!PPA_154</vt:lpstr>
      <vt:lpstr>PPR!PPA_154</vt:lpstr>
      <vt:lpstr>'Dock PPR'!PPA_155</vt:lpstr>
      <vt:lpstr>PPR!PPA_155</vt:lpstr>
      <vt:lpstr>Ship!PPA_155</vt:lpstr>
      <vt:lpstr>'Dock PPR'!PPA_156</vt:lpstr>
      <vt:lpstr>PPR!PPA_156</vt:lpstr>
      <vt:lpstr>Ship!PPA_156</vt:lpstr>
      <vt:lpstr>'Dock PPR'!PPA_157</vt:lpstr>
      <vt:lpstr>PPR!PPA_157</vt:lpstr>
      <vt:lpstr>Ship!PPA_157</vt:lpstr>
      <vt:lpstr>'Dock PPR'!PPA_158</vt:lpstr>
      <vt:lpstr>PPR!PPA_158</vt:lpstr>
      <vt:lpstr>'Dock PPR'!PPA_159</vt:lpstr>
      <vt:lpstr>PPR!PPA_159</vt:lpstr>
      <vt:lpstr>Ship!PPA_159</vt:lpstr>
      <vt:lpstr>'Dock PPR'!PPA_16</vt:lpstr>
      <vt:lpstr>PPR!PPA_16</vt:lpstr>
      <vt:lpstr>Ship!PPA_16</vt:lpstr>
      <vt:lpstr>'Dock PPR'!PPA_160</vt:lpstr>
      <vt:lpstr>PPR!PPA_160</vt:lpstr>
      <vt:lpstr>Ship!PPA_160</vt:lpstr>
      <vt:lpstr>'Dock PPR'!PPA_161</vt:lpstr>
      <vt:lpstr>PPR!PPA_161</vt:lpstr>
      <vt:lpstr>Ship!PPA_161</vt:lpstr>
      <vt:lpstr>'Dock PPR'!PPA_162</vt:lpstr>
      <vt:lpstr>PPR!PPA_162</vt:lpstr>
      <vt:lpstr>Ship!PPA_162</vt:lpstr>
      <vt:lpstr>'Dock PPR'!PPA_163</vt:lpstr>
      <vt:lpstr>PPR!PPA_163</vt:lpstr>
      <vt:lpstr>Ship!PPA_163</vt:lpstr>
      <vt:lpstr>'Dock PPR'!PPA_164</vt:lpstr>
      <vt:lpstr>PPR!PPA_164</vt:lpstr>
      <vt:lpstr>Ship!PPA_164</vt:lpstr>
      <vt:lpstr>'Dock PPR'!PPA_165</vt:lpstr>
      <vt:lpstr>PPR!PPA_165</vt:lpstr>
      <vt:lpstr>Ship!PPA_165</vt:lpstr>
      <vt:lpstr>'Dock PPR'!PPA_166</vt:lpstr>
      <vt:lpstr>PPR!PPA_166</vt:lpstr>
      <vt:lpstr>Ship!PPA_166</vt:lpstr>
      <vt:lpstr>'Dock PPR'!PPA_167</vt:lpstr>
      <vt:lpstr>PPR!PPA_167</vt:lpstr>
      <vt:lpstr>Ship!PPA_167</vt:lpstr>
      <vt:lpstr>'Dock PPR'!PPA_168</vt:lpstr>
      <vt:lpstr>PPR!PPA_168</vt:lpstr>
      <vt:lpstr>'Dock PPR'!PPA_169</vt:lpstr>
      <vt:lpstr>PPR!PPA_169</vt:lpstr>
      <vt:lpstr>'Dock PPR'!PPA_17</vt:lpstr>
      <vt:lpstr>PPR!PPA_17</vt:lpstr>
      <vt:lpstr>'Dock PPR'!PPA_170</vt:lpstr>
      <vt:lpstr>PPR!PPA_170</vt:lpstr>
      <vt:lpstr>Ship!PPA_170</vt:lpstr>
      <vt:lpstr>'Dock PPR'!PPA_171</vt:lpstr>
      <vt:lpstr>PPR!PPA_171</vt:lpstr>
      <vt:lpstr>Ship!PPA_171</vt:lpstr>
      <vt:lpstr>'Dock PPR'!PPA_172</vt:lpstr>
      <vt:lpstr>PPR!PPA_172</vt:lpstr>
      <vt:lpstr>Ship!PPA_172</vt:lpstr>
      <vt:lpstr>'Dock PPR'!PPA_173</vt:lpstr>
      <vt:lpstr>PPR!PPA_173</vt:lpstr>
      <vt:lpstr>Ship!PPA_173</vt:lpstr>
      <vt:lpstr>'Dock PPR'!PPA_174</vt:lpstr>
      <vt:lpstr>PPR!PPA_174</vt:lpstr>
      <vt:lpstr>Ship!PPA_174</vt:lpstr>
      <vt:lpstr>'Dock PPR'!PPA_175</vt:lpstr>
      <vt:lpstr>PPR!PPA_175</vt:lpstr>
      <vt:lpstr>Ship!PPA_175</vt:lpstr>
      <vt:lpstr>'Dock PPR'!PPA_176</vt:lpstr>
      <vt:lpstr>PPR!PPA_176</vt:lpstr>
      <vt:lpstr>Ship!PPA_176</vt:lpstr>
      <vt:lpstr>'Dock PPR'!PPA_177</vt:lpstr>
      <vt:lpstr>PPR!PPA_177</vt:lpstr>
      <vt:lpstr>Ship!PPA_177</vt:lpstr>
      <vt:lpstr>'Dock PPR'!PPA_178</vt:lpstr>
      <vt:lpstr>PPR!PPA_178</vt:lpstr>
      <vt:lpstr>'Dock PPR'!PPA_179</vt:lpstr>
      <vt:lpstr>PPR!PPA_179</vt:lpstr>
      <vt:lpstr>'Dock PPR'!PPA_18</vt:lpstr>
      <vt:lpstr>PPR!PPA_18</vt:lpstr>
      <vt:lpstr>Ship!PPA_18</vt:lpstr>
      <vt:lpstr>'Dock PPR'!PPA_180</vt:lpstr>
      <vt:lpstr>PPR!PPA_180</vt:lpstr>
      <vt:lpstr>Ship!PPA_180</vt:lpstr>
      <vt:lpstr>'Dock PPR'!PPA_181</vt:lpstr>
      <vt:lpstr>PPR!PPA_181</vt:lpstr>
      <vt:lpstr>Ship!PPA_181</vt:lpstr>
      <vt:lpstr>'Dock PPR'!PPA_182</vt:lpstr>
      <vt:lpstr>PPR!PPA_182</vt:lpstr>
      <vt:lpstr>Ship!PPA_182</vt:lpstr>
      <vt:lpstr>'Dock PPR'!PPA_183</vt:lpstr>
      <vt:lpstr>PPR!PPA_183</vt:lpstr>
      <vt:lpstr>Ship!PPA_183</vt:lpstr>
      <vt:lpstr>'Dock PPR'!PPA_184</vt:lpstr>
      <vt:lpstr>PPR!PPA_184</vt:lpstr>
      <vt:lpstr>Ship!PPA_184</vt:lpstr>
      <vt:lpstr>'Dock PPR'!PPA_185</vt:lpstr>
      <vt:lpstr>PPR!PPA_185</vt:lpstr>
      <vt:lpstr>Ship!PPA_185</vt:lpstr>
      <vt:lpstr>'Dock PPR'!PPA_186</vt:lpstr>
      <vt:lpstr>PPR!PPA_186</vt:lpstr>
      <vt:lpstr>Ship!PPA_186</vt:lpstr>
      <vt:lpstr>'Dock PPR'!PPA_187</vt:lpstr>
      <vt:lpstr>PPR!PPA_187</vt:lpstr>
      <vt:lpstr>Ship!PPA_187</vt:lpstr>
      <vt:lpstr>'Dock PPR'!PPA_188</vt:lpstr>
      <vt:lpstr>PPR!PPA_188</vt:lpstr>
      <vt:lpstr>Ship!PPA_188</vt:lpstr>
      <vt:lpstr>'Dock PPR'!PPA_189</vt:lpstr>
      <vt:lpstr>PPR!PPA_189</vt:lpstr>
      <vt:lpstr>Ship!PPA_189</vt:lpstr>
      <vt:lpstr>'Dock PPR'!PPA_19</vt:lpstr>
      <vt:lpstr>PPR!PPA_19</vt:lpstr>
      <vt:lpstr>Ship!PPA_19</vt:lpstr>
      <vt:lpstr>'Dock PPR'!PPA_190</vt:lpstr>
      <vt:lpstr>PPR!PPA_190</vt:lpstr>
      <vt:lpstr>Ship!PPA_190</vt:lpstr>
      <vt:lpstr>'Dock PPR'!PPA_191</vt:lpstr>
      <vt:lpstr>PPR!PPA_191</vt:lpstr>
      <vt:lpstr>'Dock PPR'!PPA_192</vt:lpstr>
      <vt:lpstr>PPR!PPA_192</vt:lpstr>
      <vt:lpstr>Ship!PPA_192</vt:lpstr>
      <vt:lpstr>'Dock PPR'!PPA_193</vt:lpstr>
      <vt:lpstr>PPR!PPA_193</vt:lpstr>
      <vt:lpstr>'Dock PPR'!PPA_194</vt:lpstr>
      <vt:lpstr>PPR!PPA_194</vt:lpstr>
      <vt:lpstr>Ship!PPA_194</vt:lpstr>
      <vt:lpstr>'Dock PPR'!PPA_195</vt:lpstr>
      <vt:lpstr>PPR!PPA_195</vt:lpstr>
      <vt:lpstr>Ship!PPA_195</vt:lpstr>
      <vt:lpstr>'Dock PPR'!PPA_196</vt:lpstr>
      <vt:lpstr>PPR!PPA_196</vt:lpstr>
      <vt:lpstr>Ship!PPA_196</vt:lpstr>
      <vt:lpstr>'Dock PPR'!PPA_197</vt:lpstr>
      <vt:lpstr>PPR!PPA_197</vt:lpstr>
      <vt:lpstr>Ship!PPA_197</vt:lpstr>
      <vt:lpstr>'Dock PPR'!PPA_198</vt:lpstr>
      <vt:lpstr>PPR!PPA_198</vt:lpstr>
      <vt:lpstr>Ship!PPA_198</vt:lpstr>
      <vt:lpstr>'Dock PPR'!PPA_199</vt:lpstr>
      <vt:lpstr>PPR!PPA_199</vt:lpstr>
      <vt:lpstr>Ship!PPA_199</vt:lpstr>
      <vt:lpstr>'Dock PPR'!PPA_2</vt:lpstr>
      <vt:lpstr>PPR!PPA_2</vt:lpstr>
      <vt:lpstr>Ship!PPA_2</vt:lpstr>
      <vt:lpstr>'Dock PPR'!PPA_20</vt:lpstr>
      <vt:lpstr>PPR!PPA_20</vt:lpstr>
      <vt:lpstr>'Dock PPR'!PPA_200</vt:lpstr>
      <vt:lpstr>PPR!PPA_200</vt:lpstr>
      <vt:lpstr>Ship!PPA_200</vt:lpstr>
      <vt:lpstr>'Dock PPR'!PPA_201</vt:lpstr>
      <vt:lpstr>PPR!PPA_201</vt:lpstr>
      <vt:lpstr>Ship!PPA_201</vt:lpstr>
      <vt:lpstr>'Dock PPR'!PPA_202</vt:lpstr>
      <vt:lpstr>PPR!PPA_202</vt:lpstr>
      <vt:lpstr>Ship!PPA_202</vt:lpstr>
      <vt:lpstr>'Dock PPR'!PPA_203</vt:lpstr>
      <vt:lpstr>PPR!PPA_203</vt:lpstr>
      <vt:lpstr>Ship!PPA_203</vt:lpstr>
      <vt:lpstr>'Dock PPR'!PPA_204</vt:lpstr>
      <vt:lpstr>PPR!PPA_204</vt:lpstr>
      <vt:lpstr>Ship!PPA_204</vt:lpstr>
      <vt:lpstr>'Dock PPR'!PPA_205</vt:lpstr>
      <vt:lpstr>PPR!PPA_205</vt:lpstr>
      <vt:lpstr>'Dock PPR'!PPA_206</vt:lpstr>
      <vt:lpstr>PPR!PPA_206</vt:lpstr>
      <vt:lpstr>Ship!PPA_206</vt:lpstr>
      <vt:lpstr>'Dock PPR'!PPA_207</vt:lpstr>
      <vt:lpstr>PPR!PPA_207</vt:lpstr>
      <vt:lpstr>Ship!PPA_207</vt:lpstr>
      <vt:lpstr>'Dock PPR'!PPA_208</vt:lpstr>
      <vt:lpstr>PPR!PPA_208</vt:lpstr>
      <vt:lpstr>Ship!PPA_208</vt:lpstr>
      <vt:lpstr>'Dock PPR'!PPA_209</vt:lpstr>
      <vt:lpstr>PPR!PPA_209</vt:lpstr>
      <vt:lpstr>Ship!PPA_209</vt:lpstr>
      <vt:lpstr>'Dock PPR'!PPA_21</vt:lpstr>
      <vt:lpstr>PPR!PPA_21</vt:lpstr>
      <vt:lpstr>Ship!PPA_21</vt:lpstr>
      <vt:lpstr>'Dock PPR'!PPA_210</vt:lpstr>
      <vt:lpstr>PPR!PPA_210</vt:lpstr>
      <vt:lpstr>Ship!PPA_210</vt:lpstr>
      <vt:lpstr>'Dock PPR'!PPA_211</vt:lpstr>
      <vt:lpstr>PPR!PPA_211</vt:lpstr>
      <vt:lpstr>Ship!PPA_211</vt:lpstr>
      <vt:lpstr>'Dock PPR'!PPA_212</vt:lpstr>
      <vt:lpstr>PPR!PPA_212</vt:lpstr>
      <vt:lpstr>Ship!PPA_212</vt:lpstr>
      <vt:lpstr>'Dock PPR'!PPA_213</vt:lpstr>
      <vt:lpstr>PPR!PPA_213</vt:lpstr>
      <vt:lpstr>Ship!PPA_213</vt:lpstr>
      <vt:lpstr>'Dock PPR'!PPA_214</vt:lpstr>
      <vt:lpstr>PPR!PPA_214</vt:lpstr>
      <vt:lpstr>Ship!PPA_214</vt:lpstr>
      <vt:lpstr>'Dock PPR'!PPA_215</vt:lpstr>
      <vt:lpstr>PPR!PPA_215</vt:lpstr>
      <vt:lpstr>Ship!PPA_215</vt:lpstr>
      <vt:lpstr>'Dock PPR'!PPA_216</vt:lpstr>
      <vt:lpstr>PPR!PPA_216</vt:lpstr>
      <vt:lpstr>Ship!PPA_216</vt:lpstr>
      <vt:lpstr>'Dock PPR'!PPA_217</vt:lpstr>
      <vt:lpstr>PPR!PPA_217</vt:lpstr>
      <vt:lpstr>Ship!PPA_217</vt:lpstr>
      <vt:lpstr>'Dock PPR'!PPA_218</vt:lpstr>
      <vt:lpstr>PPR!PPA_218</vt:lpstr>
      <vt:lpstr>'Dock PPR'!PPA_219</vt:lpstr>
      <vt:lpstr>PPR!PPA_219</vt:lpstr>
      <vt:lpstr>'Dock PPR'!PPA_22</vt:lpstr>
      <vt:lpstr>PPR!PPA_22</vt:lpstr>
      <vt:lpstr>Ship!PPA_22</vt:lpstr>
      <vt:lpstr>'Dock PPR'!PPA_220</vt:lpstr>
      <vt:lpstr>PPR!PPA_220</vt:lpstr>
      <vt:lpstr>'Dock PPR'!PPA_221</vt:lpstr>
      <vt:lpstr>PPR!PPA_221</vt:lpstr>
      <vt:lpstr>'Dock PPR'!PPA_222</vt:lpstr>
      <vt:lpstr>PPR!PPA_222</vt:lpstr>
      <vt:lpstr>'Dock PPR'!PPA_223</vt:lpstr>
      <vt:lpstr>PPR!PPA_223</vt:lpstr>
      <vt:lpstr>'Dock PPR'!PPA_224</vt:lpstr>
      <vt:lpstr>PPR!PPA_224</vt:lpstr>
      <vt:lpstr>'Dock PPR'!PPA_225</vt:lpstr>
      <vt:lpstr>PPR!PPA_225</vt:lpstr>
      <vt:lpstr>'Dock PPR'!PPA_226</vt:lpstr>
      <vt:lpstr>PPR!PPA_226</vt:lpstr>
      <vt:lpstr>'Dock PPR'!PPA_227</vt:lpstr>
      <vt:lpstr>PPR!PPA_227</vt:lpstr>
      <vt:lpstr>'Dock PPR'!PPA_228</vt:lpstr>
      <vt:lpstr>'Dock PPR'!PPA_229</vt:lpstr>
      <vt:lpstr>'Dock PPR'!PPA_23</vt:lpstr>
      <vt:lpstr>PPR!PPA_23</vt:lpstr>
      <vt:lpstr>Ship!PPA_23</vt:lpstr>
      <vt:lpstr>'Dock PPR'!PPA_24</vt:lpstr>
      <vt:lpstr>PPR!PPA_24</vt:lpstr>
      <vt:lpstr>Ship!PPA_24</vt:lpstr>
      <vt:lpstr>'Dock PPR'!PPA_25</vt:lpstr>
      <vt:lpstr>PPR!PPA_25</vt:lpstr>
      <vt:lpstr>Ship!PPA_25</vt:lpstr>
      <vt:lpstr>'Dock PPR'!PPA_26</vt:lpstr>
      <vt:lpstr>PPR!PPA_26</vt:lpstr>
      <vt:lpstr>Ship!PPA_26</vt:lpstr>
      <vt:lpstr>'Dock PPR'!PPA_27</vt:lpstr>
      <vt:lpstr>PPR!PPA_27</vt:lpstr>
      <vt:lpstr>Ship!PPA_27</vt:lpstr>
      <vt:lpstr>'Dock PPR'!PPA_28</vt:lpstr>
      <vt:lpstr>PPR!PPA_28</vt:lpstr>
      <vt:lpstr>Ship!PPA_28</vt:lpstr>
      <vt:lpstr>'Dock PPR'!PPA_29</vt:lpstr>
      <vt:lpstr>PPR!PPA_29</vt:lpstr>
      <vt:lpstr>Ship!PPA_29</vt:lpstr>
      <vt:lpstr>'Dock PPR'!PPA_3</vt:lpstr>
      <vt:lpstr>PPR!PPA_3</vt:lpstr>
      <vt:lpstr>Ship!PPA_3</vt:lpstr>
      <vt:lpstr>'Dock PPR'!PPA_30</vt:lpstr>
      <vt:lpstr>PPR!PPA_30</vt:lpstr>
      <vt:lpstr>Ship!PPA_30</vt:lpstr>
      <vt:lpstr>'Dock PPR'!PPA_31</vt:lpstr>
      <vt:lpstr>PPR!PPA_31</vt:lpstr>
      <vt:lpstr>Ship!PPA_31</vt:lpstr>
      <vt:lpstr>'Dock PPR'!PPA_32</vt:lpstr>
      <vt:lpstr>PPR!PPA_32</vt:lpstr>
      <vt:lpstr>Ship!PPA_32</vt:lpstr>
      <vt:lpstr>'Dock PPR'!PPA_33</vt:lpstr>
      <vt:lpstr>PPR!PPA_33</vt:lpstr>
      <vt:lpstr>Ship!PPA_33</vt:lpstr>
      <vt:lpstr>'Dock PPR'!PPA_34</vt:lpstr>
      <vt:lpstr>PPR!PPA_34</vt:lpstr>
      <vt:lpstr>Ship!PPA_34</vt:lpstr>
      <vt:lpstr>'Dock PPR'!PPA_35</vt:lpstr>
      <vt:lpstr>PPR!PPA_35</vt:lpstr>
      <vt:lpstr>Ship!PPA_35</vt:lpstr>
      <vt:lpstr>'Dock PPR'!PPA_36</vt:lpstr>
      <vt:lpstr>PPR!PPA_36</vt:lpstr>
      <vt:lpstr>Ship!PPA_36</vt:lpstr>
      <vt:lpstr>'Dock PPR'!PPA_37</vt:lpstr>
      <vt:lpstr>PPR!PPA_37</vt:lpstr>
      <vt:lpstr>Ship!PPA_37</vt:lpstr>
      <vt:lpstr>'Dock PPR'!PPA_38</vt:lpstr>
      <vt:lpstr>PPR!PPA_38</vt:lpstr>
      <vt:lpstr>Ship!PPA_38</vt:lpstr>
      <vt:lpstr>'Dock PPR'!PPA_39</vt:lpstr>
      <vt:lpstr>PPR!PPA_39</vt:lpstr>
      <vt:lpstr>Ship!PPA_39</vt:lpstr>
      <vt:lpstr>'Dock PPR'!PPA_4</vt:lpstr>
      <vt:lpstr>PPR!PPA_4</vt:lpstr>
      <vt:lpstr>Ship!PPA_4</vt:lpstr>
      <vt:lpstr>'Dock PPR'!PPA_40</vt:lpstr>
      <vt:lpstr>PPR!PPA_40</vt:lpstr>
      <vt:lpstr>Ship!PPA_40</vt:lpstr>
      <vt:lpstr>'Dock PPR'!PPA_41</vt:lpstr>
      <vt:lpstr>PPR!PPA_41</vt:lpstr>
      <vt:lpstr>Ship!PPA_41</vt:lpstr>
      <vt:lpstr>'Dock PPR'!PPA_42</vt:lpstr>
      <vt:lpstr>PPR!PPA_42</vt:lpstr>
      <vt:lpstr>Ship!PPA_42</vt:lpstr>
      <vt:lpstr>'Dock PPR'!PPA_43</vt:lpstr>
      <vt:lpstr>PPR!PPA_43</vt:lpstr>
      <vt:lpstr>Ship!PPA_43</vt:lpstr>
      <vt:lpstr>'Dock PPR'!PPA_44</vt:lpstr>
      <vt:lpstr>PPR!PPA_44</vt:lpstr>
      <vt:lpstr>Ship!PPA_44</vt:lpstr>
      <vt:lpstr>'Dock PPR'!PPA_45</vt:lpstr>
      <vt:lpstr>PPR!PPA_45</vt:lpstr>
      <vt:lpstr>Ship!PPA_45</vt:lpstr>
      <vt:lpstr>'Dock PPR'!PPA_46</vt:lpstr>
      <vt:lpstr>PPR!PPA_46</vt:lpstr>
      <vt:lpstr>Ship!PPA_46</vt:lpstr>
      <vt:lpstr>'Dock PPR'!PPA_47</vt:lpstr>
      <vt:lpstr>PPR!PPA_47</vt:lpstr>
      <vt:lpstr>Ship!PPA_47</vt:lpstr>
      <vt:lpstr>'Dock PPR'!PPA_48</vt:lpstr>
      <vt:lpstr>PPR!PPA_48</vt:lpstr>
      <vt:lpstr>Ship!PPA_48</vt:lpstr>
      <vt:lpstr>'Dock PPR'!PPA_49</vt:lpstr>
      <vt:lpstr>PPR!PPA_49</vt:lpstr>
      <vt:lpstr>Ship!PPA_49</vt:lpstr>
      <vt:lpstr>'Dock PPR'!PPA_5</vt:lpstr>
      <vt:lpstr>PPR!PPA_5</vt:lpstr>
      <vt:lpstr>Ship!PPA_5</vt:lpstr>
      <vt:lpstr>'Dock PPR'!PPA_50</vt:lpstr>
      <vt:lpstr>PPR!PPA_50</vt:lpstr>
      <vt:lpstr>Ship!PPA_50</vt:lpstr>
      <vt:lpstr>'Dock PPR'!PPA_51</vt:lpstr>
      <vt:lpstr>PPR!PPA_51</vt:lpstr>
      <vt:lpstr>'Dock PPR'!PPA_52</vt:lpstr>
      <vt:lpstr>PPR!PPA_52</vt:lpstr>
      <vt:lpstr>Ship!PPA_52</vt:lpstr>
      <vt:lpstr>'Dock PPR'!PPA_53</vt:lpstr>
      <vt:lpstr>PPR!PPA_53</vt:lpstr>
      <vt:lpstr>Ship!PPA_53</vt:lpstr>
      <vt:lpstr>'Dock PPR'!PPA_54</vt:lpstr>
      <vt:lpstr>PPR!PPA_54</vt:lpstr>
      <vt:lpstr>'Dock PPR'!PPA_55</vt:lpstr>
      <vt:lpstr>PPR!PPA_55</vt:lpstr>
      <vt:lpstr>'Dock PPR'!PPA_56</vt:lpstr>
      <vt:lpstr>PPR!PPA_56</vt:lpstr>
      <vt:lpstr>Ship!PPA_56</vt:lpstr>
      <vt:lpstr>'Dock PPR'!PPA_57</vt:lpstr>
      <vt:lpstr>PPR!PPA_57</vt:lpstr>
      <vt:lpstr>Ship!PPA_57</vt:lpstr>
      <vt:lpstr>'Dock PPR'!PPA_58</vt:lpstr>
      <vt:lpstr>PPR!PPA_58</vt:lpstr>
      <vt:lpstr>Ship!PPA_58</vt:lpstr>
      <vt:lpstr>'Dock PPR'!PPA_59</vt:lpstr>
      <vt:lpstr>PPR!PPA_59</vt:lpstr>
      <vt:lpstr>Ship!PPA_59</vt:lpstr>
      <vt:lpstr>'Dock PPR'!PPA_6</vt:lpstr>
      <vt:lpstr>PPR!PPA_6</vt:lpstr>
      <vt:lpstr>Ship!PPA_6</vt:lpstr>
      <vt:lpstr>'Dock PPR'!PPA_60</vt:lpstr>
      <vt:lpstr>PPR!PPA_60</vt:lpstr>
      <vt:lpstr>Ship!PPA_60</vt:lpstr>
      <vt:lpstr>'Dock PPR'!PPA_61</vt:lpstr>
      <vt:lpstr>PPR!PPA_61</vt:lpstr>
      <vt:lpstr>Ship!PPA_61</vt:lpstr>
      <vt:lpstr>'Dock PPR'!PPA_62</vt:lpstr>
      <vt:lpstr>PPR!PPA_62</vt:lpstr>
      <vt:lpstr>Ship!PPA_62</vt:lpstr>
      <vt:lpstr>'Dock PPR'!PPA_63</vt:lpstr>
      <vt:lpstr>PPR!PPA_63</vt:lpstr>
      <vt:lpstr>Ship!PPA_63</vt:lpstr>
      <vt:lpstr>'Dock PPR'!PPA_64</vt:lpstr>
      <vt:lpstr>PPR!PPA_64</vt:lpstr>
      <vt:lpstr>Ship!PPA_64</vt:lpstr>
      <vt:lpstr>'Dock PPR'!PPA_65</vt:lpstr>
      <vt:lpstr>PPR!PPA_65</vt:lpstr>
      <vt:lpstr>Ship!PPA_65</vt:lpstr>
      <vt:lpstr>'Dock PPR'!PPA_66</vt:lpstr>
      <vt:lpstr>PPR!PPA_66</vt:lpstr>
      <vt:lpstr>'Dock PPR'!PPA_67</vt:lpstr>
      <vt:lpstr>PPR!PPA_67</vt:lpstr>
      <vt:lpstr>Ship!PPA_67</vt:lpstr>
      <vt:lpstr>'Dock PPR'!PPA_68</vt:lpstr>
      <vt:lpstr>PPR!PPA_68</vt:lpstr>
      <vt:lpstr>Ship!PPA_68</vt:lpstr>
      <vt:lpstr>'Dock PPR'!PPA_69</vt:lpstr>
      <vt:lpstr>PPR!PPA_69</vt:lpstr>
      <vt:lpstr>Ship!PPA_69</vt:lpstr>
      <vt:lpstr>'Dock PPR'!PPA_7</vt:lpstr>
      <vt:lpstr>PPR!PPA_7</vt:lpstr>
      <vt:lpstr>Ship!PPA_7</vt:lpstr>
      <vt:lpstr>'Dock PPR'!PPA_70</vt:lpstr>
      <vt:lpstr>PPR!PPA_70</vt:lpstr>
      <vt:lpstr>Ship!PPA_70</vt:lpstr>
      <vt:lpstr>'Dock PPR'!PPA_71</vt:lpstr>
      <vt:lpstr>PPR!PPA_71</vt:lpstr>
      <vt:lpstr>'Dock PPR'!PPA_72</vt:lpstr>
      <vt:lpstr>PPR!PPA_72</vt:lpstr>
      <vt:lpstr>'Dock PPR'!PPA_73</vt:lpstr>
      <vt:lpstr>PPR!PPA_73</vt:lpstr>
      <vt:lpstr>Ship!PPA_73</vt:lpstr>
      <vt:lpstr>'Dock PPR'!PPA_74</vt:lpstr>
      <vt:lpstr>PPR!PPA_74</vt:lpstr>
      <vt:lpstr>Ship!PPA_74</vt:lpstr>
      <vt:lpstr>'Dock PPR'!PPA_75</vt:lpstr>
      <vt:lpstr>PPR!PPA_75</vt:lpstr>
      <vt:lpstr>Ship!PPA_75</vt:lpstr>
      <vt:lpstr>PPR!PPA_76</vt:lpstr>
      <vt:lpstr>Ship!PPA_76</vt:lpstr>
      <vt:lpstr>'Dock PPR'!PPA_77</vt:lpstr>
      <vt:lpstr>PPR!PPA_77</vt:lpstr>
      <vt:lpstr>Ship!PPA_77</vt:lpstr>
      <vt:lpstr>'Dock PPR'!PPA_78</vt:lpstr>
      <vt:lpstr>PPR!PPA_78</vt:lpstr>
      <vt:lpstr>Ship!PPA_78</vt:lpstr>
      <vt:lpstr>'Dock PPR'!PPA_79</vt:lpstr>
      <vt:lpstr>PPR!PPA_79</vt:lpstr>
      <vt:lpstr>Ship!PPA_79</vt:lpstr>
      <vt:lpstr>'Dock PPR'!PPA_8</vt:lpstr>
      <vt:lpstr>PPR!PPA_8</vt:lpstr>
      <vt:lpstr>Ship!PPA_8</vt:lpstr>
      <vt:lpstr>'Dock PPR'!PPA_80</vt:lpstr>
      <vt:lpstr>PPR!PPA_80</vt:lpstr>
      <vt:lpstr>Ship!PPA_80</vt:lpstr>
      <vt:lpstr>PPR!PPA_81</vt:lpstr>
      <vt:lpstr>Ship!PPA_81</vt:lpstr>
      <vt:lpstr>'Dock PPR'!PPA_82</vt:lpstr>
      <vt:lpstr>PPR!PPA_82</vt:lpstr>
      <vt:lpstr>'Dock PPR'!PPA_83</vt:lpstr>
      <vt:lpstr>PPR!PPA_83</vt:lpstr>
      <vt:lpstr>Ship!PPA_83</vt:lpstr>
      <vt:lpstr>'Dock PPR'!PPA_84</vt:lpstr>
      <vt:lpstr>PPR!PPA_84</vt:lpstr>
      <vt:lpstr>Ship!PPA_84</vt:lpstr>
      <vt:lpstr>'Dock PPR'!PPA_85</vt:lpstr>
      <vt:lpstr>PPR!PPA_85</vt:lpstr>
      <vt:lpstr>Ship!PPA_85</vt:lpstr>
      <vt:lpstr>'Dock PPR'!PPA_86</vt:lpstr>
      <vt:lpstr>PPR!PPA_86</vt:lpstr>
      <vt:lpstr>'Dock PPR'!PPA_87</vt:lpstr>
      <vt:lpstr>PPR!PPA_87</vt:lpstr>
      <vt:lpstr>Ship!PPA_87</vt:lpstr>
      <vt:lpstr>'Dock PPR'!PPA_88</vt:lpstr>
      <vt:lpstr>PPR!PPA_88</vt:lpstr>
      <vt:lpstr>Ship!PPA_88</vt:lpstr>
      <vt:lpstr>'Dock PPR'!PPA_89</vt:lpstr>
      <vt:lpstr>PPR!PPA_89</vt:lpstr>
      <vt:lpstr>Ship!PPA_89</vt:lpstr>
      <vt:lpstr>'Dock PPR'!PPA_9</vt:lpstr>
      <vt:lpstr>PPR!PPA_9</vt:lpstr>
      <vt:lpstr>Ship!PPA_9</vt:lpstr>
      <vt:lpstr>'Dock PPR'!PPA_90</vt:lpstr>
      <vt:lpstr>PPR!PPA_90</vt:lpstr>
      <vt:lpstr>Ship!PPA_90</vt:lpstr>
      <vt:lpstr>'Dock PPR'!PPA_91</vt:lpstr>
      <vt:lpstr>PPR!PPA_91</vt:lpstr>
      <vt:lpstr>Ship!PPA_91</vt:lpstr>
      <vt:lpstr>'Dock PPR'!PPA_92</vt:lpstr>
      <vt:lpstr>PPR!PPA_92</vt:lpstr>
      <vt:lpstr>Ship!PPA_92</vt:lpstr>
      <vt:lpstr>'Dock PPR'!PPA_93</vt:lpstr>
      <vt:lpstr>PPR!PPA_93</vt:lpstr>
      <vt:lpstr>Ship!PPA_93</vt:lpstr>
      <vt:lpstr>'Dock PPR'!PPA_94</vt:lpstr>
      <vt:lpstr>PPR!PPA_94</vt:lpstr>
      <vt:lpstr>Ship!PPA_94</vt:lpstr>
      <vt:lpstr>'Dock PPR'!PPA_95</vt:lpstr>
      <vt:lpstr>Ship!PPA_95</vt:lpstr>
      <vt:lpstr>'Dock PPR'!PPA_96</vt:lpstr>
      <vt:lpstr>PPR!PPA_96</vt:lpstr>
      <vt:lpstr>Ship!PPA_96</vt:lpstr>
      <vt:lpstr>'Dock PPR'!PPA_97</vt:lpstr>
      <vt:lpstr>PPR!PPA_97</vt:lpstr>
      <vt:lpstr>Ship!PPA_97</vt:lpstr>
      <vt:lpstr>'Dock PPR'!PPA_98</vt:lpstr>
      <vt:lpstr>PPR!PPA_98</vt:lpstr>
      <vt:lpstr>Ship!PPA_98</vt:lpstr>
      <vt:lpstr>'Dock PPR'!PPA_99</vt:lpstr>
      <vt:lpstr>PPR!PPA_99</vt:lpstr>
      <vt:lpstr>Ship!PPA_99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Williams, Cameron</dc:creator>
  <cp:lastModifiedBy>Kim, Jin</cp:lastModifiedBy>
  <dcterms:created xsi:type="dcterms:W3CDTF">2021-01-21T15:38:33Z</dcterms:created>
  <dcterms:modified xsi:type="dcterms:W3CDTF">2021-03-18T18:59:59Z</dcterms:modified>
</cp:coreProperties>
</file>