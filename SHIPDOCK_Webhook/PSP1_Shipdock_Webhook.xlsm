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0 ICQA PA\Projects\SHIPDOCK_WEBHOOK\"/>
    </mc:Choice>
  </mc:AlternateContent>
  <bookViews>
    <workbookView xWindow="0" yWindow="0" windowWidth="19200" windowHeight="7065"/>
  </bookViews>
  <sheets>
    <sheet name="Base" sheetId="1" r:id="rId1"/>
    <sheet name="PPR" sheetId="18" r:id="rId2"/>
    <sheet name="PPR_V2" sheetId="19" r:id="rId3"/>
    <sheet name="Ship Sorter" sheetId="5" r:id="rId4"/>
    <sheet name="Data" sheetId="6" r:id="rId5"/>
    <sheet name="Data_V2" sheetId="7" r:id="rId6"/>
    <sheet name="Data_V3" sheetId="8" r:id="rId7"/>
    <sheet name="Data_V4" sheetId="9" r:id="rId8"/>
    <sheet name="Data_V5" sheetId="10" r:id="rId9"/>
    <sheet name="Data_V6" sheetId="11" r:id="rId10"/>
    <sheet name="Data_V7" sheetId="12" r:id="rId11"/>
    <sheet name="Data_V8" sheetId="13" r:id="rId12"/>
    <sheet name="Data_V9" sheetId="14" r:id="rId13"/>
    <sheet name="Data_V10" sheetId="15" r:id="rId14"/>
    <sheet name="Data_V11" sheetId="16" r:id="rId15"/>
    <sheet name="Data_V12" sheetId="17" r:id="rId16"/>
  </sheets>
  <definedNames>
    <definedName name="_xlnm._FilterDatabase" localSheetId="1" hidden="1">PPR!$A$1:$R$154</definedName>
    <definedName name="PPA" localSheetId="1">PPR!$A$1:$A$204</definedName>
    <definedName name="PPA" localSheetId="2">PPR_V2!$A$1:$A$186</definedName>
    <definedName name="PPA_1" localSheetId="1">PPR!$A$1:$A$204</definedName>
    <definedName name="PPA_1" localSheetId="2">PPR_V2!$A$1:$A$186</definedName>
    <definedName name="PPA_10" localSheetId="1">PPR!$A$1:$A$69</definedName>
    <definedName name="PPA_2" localSheetId="1">PPR!$A$1:$A$146</definedName>
    <definedName name="PPA_2" localSheetId="2">PPR_V2!$A$1:$A$186</definedName>
    <definedName name="PPA_3" localSheetId="1">PPR!$A$1:$A$154</definedName>
    <definedName name="PPA_3" localSheetId="2">PPR_V2!$A$1:$A$186</definedName>
    <definedName name="PPA_4" localSheetId="1">PPR!$A$1:$A$129</definedName>
    <definedName name="PPA_4" localSheetId="2">PPR_V2!$A$1:$A$186</definedName>
    <definedName name="PPA_5" localSheetId="1">PPR!$A$1:$A$134</definedName>
    <definedName name="PPA_5" localSheetId="2">PPR_V2!$A$1:$A$186</definedName>
    <definedName name="PPA_6" localSheetId="1">PPR!$A$1:$A$130</definedName>
    <definedName name="PPA_6" localSheetId="2">PPR_V2!$A$1:$A$186</definedName>
    <definedName name="PPA_7" localSheetId="1">PPR!$A$1:$A$130</definedName>
    <definedName name="PPA_7" localSheetId="2">PPR_V2!$A$1:$A$186</definedName>
    <definedName name="PPA_8" localSheetId="1">PPR!$A$1:$A$63</definedName>
    <definedName name="PPA_8" localSheetId="2">PPR_V2!$A$1:$A$186</definedName>
    <definedName name="PPA_9" localSheetId="1">PPR!$A$1:$A$69</definedName>
    <definedName name="RS_Query" localSheetId="3">'Ship Sorter'!$A$1:$C$260</definedName>
    <definedName name="RS_Query_1" localSheetId="3">'Ship Sorter'!$A$1:$C$260</definedName>
    <definedName name="RS_Query_10" localSheetId="3">'Ship Sorter'!$A$1:$C$260</definedName>
    <definedName name="RS_Query_11" localSheetId="3">'Ship Sorter'!$A$1:$C$260</definedName>
    <definedName name="RS_Query_12" localSheetId="3">'Ship Sorter'!$A$1:$C$260</definedName>
    <definedName name="RS_Query_13" localSheetId="3">'Ship Sorter'!$A$1:$C$260</definedName>
    <definedName name="RS_Query_14" localSheetId="3">'Ship Sorter'!$A$1:$C$260</definedName>
    <definedName name="RS_Query_15" localSheetId="3">'Ship Sorter'!$A$1:$C$260</definedName>
    <definedName name="RS_Query_16" localSheetId="3">'Ship Sorter'!$A$1:$C$260</definedName>
    <definedName name="RS_Query_17" localSheetId="3">'Ship Sorter'!$A$1:$C$260</definedName>
    <definedName name="RS_Query_18" localSheetId="3">'Ship Sorter'!$A$1:$C$260</definedName>
    <definedName name="RS_Query_3" localSheetId="3">'Ship Sorter'!$A$1:$C$260</definedName>
    <definedName name="RS_Query_4" localSheetId="3">'Ship Sorter'!$A$1:$C$260</definedName>
    <definedName name="RS_Query_5" localSheetId="3">'Ship Sorter'!$A$1:$C$260</definedName>
    <definedName name="RS_Query_6" localSheetId="3">'Ship Sorter'!$A$1:$C$260</definedName>
    <definedName name="RS_Query_7" localSheetId="3">'Ship Sorter'!$A$1:$C$260</definedName>
    <definedName name="RS_Query_8" localSheetId="3">'Ship Sorter'!$A$1:$C$260</definedName>
    <definedName name="RS_Query_9" localSheetId="3">'Ship Sorter'!$A$1:$C$260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<sst xmlns="http://schemas.openxmlformats.org/spreadsheetml/2006/main" count="2293" uniqueCount="941">
  <si>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</si>
  <si>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</si>
  <si>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</si>
  <si>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</si>
  <si>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</si>
  <si>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</si>
  <si>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</si>
  <si>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</si>
  <si>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</si>
  <si>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</si>
  <si>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</si>
  <si>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</si>
  <si>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</si>
  <si>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</si>
  <si>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</si>
  <si>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</si>
  <si>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</si>
  <si>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</si>
  <si>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</si>
  <si>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</si>
  <si>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</si>
  <si>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</si>
  <si>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</si>
  <si>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</si>
  <si>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</si>
  <si>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</si>
  <si>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</si>
  <si>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</si>
  <si>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SMF1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</si>
  <si>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</si>
  <si>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</si>
  <si>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</si>
  <si>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</si>
  <si>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</si>
  <si>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</si>
  <si>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</si>
  <si>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</si>
  <si>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</si>
  <si>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</si>
  <si>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</si>
  <si>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</si>
  <si>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</si>
  <si>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</si>
  <si>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</si>
  <si>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</si>
  <si>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</si>
  <si>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</si>
  <si>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</si>
  <si>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</si>
  <si>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</si>
  <si>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</si>
  <si>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</si>
  <si>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</si>
  <si>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</si>
  <si>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</si>
  <si>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</si>
  <si>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</si>
  <si>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</si>
  <si>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</si>
  <si>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</si>
  <si>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</si>
  <si>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</si>
  <si>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</si>
  <si>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</si>
  <si>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</si>
  <si>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</si>
  <si>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</si>
  <si>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</si>
  <si>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</si>
  <si>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</si>
  <si>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</si>
  <si>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</si>
  <si>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</si>
  <si>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</si>
  <si>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</si>
  <si>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</si>
  <si>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</si>
  <si>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</si>
  <si>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</si>
  <si>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</si>
  <si>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</si>
  <si>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</si>
  <si>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</si>
  <si>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</si>
  <si>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</si>
  <si>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</si>
  <si>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</si>
  <si>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</si>
  <si>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</si>
  <si>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</si>
  <si>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</si>
  <si>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</si>
  <si>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</si>
  <si>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</si>
  <si>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</si>
  <si>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</si>
  <si>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</si>
  <si>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</si>
  <si>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</si>
  <si>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</si>
  <si>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</si>
  <si>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</si>
  <si>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</si>
  <si>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</si>
  <si>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</si>
  <si>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</si>
  <si>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</si>
  <si>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</si>
  <si>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</si>
  <si>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</si>
  <si>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</si>
  <si>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</si>
  <si>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</si>
  <si>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</si>
  <si>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</si>
  <si>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</si>
  <si>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</si>
  <si>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</si>
  <si>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</si>
  <si>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</si>
  <si>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</si>
  <si>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</si>
  <si>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</si>
  <si>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</si>
  <si>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</si>
  <si>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</si>
  <si>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</si>
  <si>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</si>
  <si>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</si>
  <si>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</si>
  <si>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</si>
  <si>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</si>
  <si>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</si>
  <si>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</si>
  <si>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</si>
  <si>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</si>
  <si>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</si>
  <si>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</si>
  <si>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</si>
  <si>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</si>
  <si>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</si>
  <si>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</si>
  <si>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</si>
  <si>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</si>
  <si>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</si>
  <si>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</si>
  <si>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</si>
  <si>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</si>
  <si>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</si>
  <si>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</si>
  <si>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</si>
  <si>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</si>
  <si>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</si>
  <si>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</si>
  <si>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</si>
  <si>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</si>
  <si>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</si>
  <si>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</si>
  <si>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</si>
  <si>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</si>
  <si>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</si>
  <si>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</si>
  <si>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</si>
  <si>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</si>
  <si>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</si>
  <si>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</si>
  <si>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</si>
  <si>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</si>
  <si>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</si>
  <si>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</si>
  <si>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</si>
  <si>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</si>
  <si>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</si>
  <si>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</si>
  <si>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</si>
  <si>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</si>
  <si>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</si>
  <si>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</si>
  <si>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</si>
  <si>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</si>
  <si>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</si>
  <si>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</si>
  <si>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</si>
  <si>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</si>
  <si>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</si>
  <si>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</si>
  <si>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</si>
  <si>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</si>
  <si>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</si>
  <si>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</si>
  <si>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</si>
  <si>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</si>
  <si>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</si>
  <si>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</si>
  <si>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</si>
  <si>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</si>
  <si>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</si>
  <si>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</si>
  <si>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</si>
  <si>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</si>
  <si>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</si>
  <si>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</si>
  <si>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</si>
  <si>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</si>
  <si>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</si>
  <si>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</si>
  <si>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</si>
  <si>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</si>
  <si>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</si>
  <si>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</si>
  <si>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</si>
  <si>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</si>
  <si>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</si>
  <si>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</si>
  <si>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</si>
  <si>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</si>
  <si>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</si>
  <si>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</si>
  <si>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</si>
  <si>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</si>
  <si>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</si>
  <si>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</si>
  <si>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</si>
  <si>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</si>
  <si>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</si>
  <si>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</si>
  <si>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</si>
  <si>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</si>
  <si>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</si>
  <si>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</si>
  <si>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</si>
  <si>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</si>
  <si>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</si>
  <si>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</si>
  <si>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</si>
  <si>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</si>
  <si>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</si>
  <si>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</si>
  <si>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</si>
  <si>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</si>
  <si>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</si>
  <si>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</si>
  <si>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</si>
  <si>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</si>
  <si>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</si>
  <si>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</si>
  <si>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</si>
  <si>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</si>
  <si>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</si>
  <si>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</si>
  <si>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</si>
  <si>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</si>
  <si>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</si>
  <si>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</si>
  <si>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</si>
  <si>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</si>
  <si>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</si>
  <si>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</si>
  <si>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</si>
  <si>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</si>
  <si>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</si>
  <si>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</si>
  <si>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</si>
  <si>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</si>
  <si>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</si>
  <si>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</si>
  <si>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</si>
  <si>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</si>
  <si>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</si>
  <si>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</si>
  <si>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</si>
  <si>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</si>
  <si>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</si>
  <si>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</si>
  <si>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</si>
  <si>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</si>
  <si>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</si>
  <si>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</si>
  <si>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</si>
  <si>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</si>
  <si>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</si>
  <si>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</si>
  <si>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</si>
  <si>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</si>
  <si>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</si>
  <si>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</si>
  <si>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</si>
  <si>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</si>
  <si>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</si>
  <si>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</si>
  <si>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</si>
  <si>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</si>
  <si>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</si>
  <si>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</si>
  <si>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</si>
  <si>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</si>
  <si>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</si>
  <si>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</si>
  <si>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</si>
  <si>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</si>
  <si>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</si>
  <si>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</si>
  <si>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</si>
  <si>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</si>
  <si>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</si>
  <si>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</si>
  <si>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</si>
  <si>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</si>
  <si>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</si>
  <si>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</si>
  <si>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</si>
  <si>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</si>
  <si>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</si>
  <si>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</si>
  <si>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</si>
  <si>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</si>
  <si>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</si>
  <si>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</si>
  <si>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</si>
  <si>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</si>
  <si>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</si>
  <si>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</si>
  <si>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</si>
  <si>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</si>
  <si>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</si>
  <si>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</si>
  <si>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</si>
  <si>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</si>
  <si>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</si>
  <si>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</si>
  <si>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</si>
  <si>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</si>
  <si>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</si>
  <si>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</si>
  <si>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</si>
  <si>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</si>
  <si>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</si>
  <si>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</si>
  <si>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</si>
  <si>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</si>
  <si>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</si>
  <si>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</si>
  <si>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</si>
  <si>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</si>
  <si>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</si>
  <si>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</si>
  <si>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</si>
  <si>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</si>
  <si>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</si>
  <si>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</si>
  <si>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</si>
  <si>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</si>
  <si>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</si>
  <si>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</si>
  <si>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</si>
  <si>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</si>
  <si>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</si>
  <si>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</si>
  <si>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</si>
  <si>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</si>
  <si>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</si>
  <si>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</si>
  <si>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</si>
  <si>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</si>
  <si>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</si>
  <si>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</si>
  <si>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</si>
  <si>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</si>
  <si>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</si>
  <si>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</si>
  <si>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</si>
  <si>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</si>
  <si>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</si>
  <si>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</si>
  <si>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</si>
  <si>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</si>
  <si>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</si>
  <si>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</si>
  <si>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</si>
  <si>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</si>
  <si>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</si>
  <si>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</si>
  <si>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</si>
  <si>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</si>
  <si>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</si>
  <si>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</si>
  <si>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</si>
  <si>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</si>
  <si>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</si>
  <si>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</si>
  <si>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</si>
  <si>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</si>
  <si>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</si>
  <si>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</si>
  <si>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</si>
  <si>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</si>
  <si>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</si>
  <si>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</si>
  <si>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</si>
  <si>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</si>
  <si>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</si>
  <si>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</si>
  <si>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</si>
  <si>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</si>
  <si>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</si>
  <si>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</si>
  <si>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</si>
  <si>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</si>
  <si>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</si>
  <si>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</si>
  <si>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</si>
  <si>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</si>
  <si>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</si>
  <si>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</si>
  <si>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</si>
  <si>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</si>
  <si>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</si>
  <si>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</si>
  <si>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</si>
  <si>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</si>
  <si>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</si>
  <si>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</si>
  <si>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</si>
  <si>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</si>
  <si>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</si>
  <si>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</si>
  <si>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</si>
  <si>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</si>
  <si>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</si>
  <si>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</si>
  <si>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</si>
  <si>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</si>
  <si>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</si>
  <si>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</si>
  <si>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</si>
  <si>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</si>
  <si>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</si>
  <si>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</si>
  <si>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</si>
  <si>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</si>
  <si>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</si>
  <si>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</si>
  <si>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</si>
  <si>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</si>
  <si>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</si>
  <si>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</si>
  <si>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</si>
  <si>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</si>
  <si>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</si>
  <si>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</si>
  <si>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</si>
  <si>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</si>
  <si>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</si>
  <si>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</si>
  <si>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</si>
  <si>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</si>
  <si>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</si>
  <si>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</si>
  <si>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</si>
  <si>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</si>
  <si>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</si>
  <si>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</si>
  <si>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</si>
  <si>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</si>
  <si>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</si>
  <si>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</si>
  <si>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</si>
  <si>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</si>
  <si>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</si>
  <si>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</si>
  <si>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</si>
  <si>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</si>
  <si>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</si>
  <si>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</si>
  <si>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</si>
  <si>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</si>
  <si>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</si>
  <si>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</si>
  <si>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</si>
  <si>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</si>
  <si>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</si>
  <si>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</si>
  <si>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</si>
  <si>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</si>
  <si>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</si>
  <si>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</si>
  <si>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</si>
  <si>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</si>
  <si>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</si>
  <si>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</si>
  <si>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</si>
  <si>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</si>
  <si>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</si>
  <si>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</si>
  <si>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</si>
  <si>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</si>
  <si>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</si>
  <si>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</si>
  <si>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</si>
  <si>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</si>
  <si>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</si>
  <si>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</si>
  <si>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</si>
  <si>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</si>
  <si>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</si>
  <si>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</si>
  <si>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</si>
  <si>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</si>
  <si>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</si>
  <si>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</si>
  <si>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</si>
  <si>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</si>
  <si>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</si>
  <si>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</si>
  <si>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</si>
  <si>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</si>
  <si>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</si>
  <si>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</si>
  <si>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</si>
  <si>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</si>
  <si>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</si>
  <si>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</si>
  <si>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</si>
  <si>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</si>
  <si>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</si>
  <si>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</si>
  <si>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</si>
  <si>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</si>
  <si>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</si>
  <si>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</si>
  <si>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</si>
  <si>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</si>
  <si>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</si>
  <si>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</si>
  <si>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</si>
  <si>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</si>
  <si>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</si>
  <si>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</si>
  <si>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</si>
  <si>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</si>
  <si>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</si>
  <si>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</si>
  <si>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</si>
  <si>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</si>
  <si>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</si>
  <si>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</si>
  <si>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</si>
  <si>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</si>
  <si>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</si>
  <si>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</si>
  <si>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</si>
  <si>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</si>
  <si>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</si>
  <si>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</si>
  <si>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</si>
  <si>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</si>
  <si>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</si>
  <si>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</si>
  <si>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</si>
  <si>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</si>
  <si>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</si>
  <si>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</si>
  <si>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</si>
  <si>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</si>
  <si>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</si>
  <si>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</si>
  <si>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</si>
  <si>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</si>
  <si>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</si>
  <si>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</si>
  <si>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</si>
  <si>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</si>
  <si>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</si>
  <si>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</si>
  <si>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</si>
  <si>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</si>
  <si>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</si>
  <si>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</si>
  <si>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</si>
  <si>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</si>
  <si>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</si>
  <si>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</si>
  <si>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</si>
  <si>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</si>
  <si>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</si>
  <si>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</si>
  <si>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</si>
  <si>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</si>
  <si>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</si>
  <si>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</si>
  <si>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</si>
  <si>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</si>
  <si>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</si>
  <si>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</si>
  <si>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</si>
  <si>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</si>
  <si>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</si>
  <si>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</si>
  <si>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</si>
  <si>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</si>
  <si>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</si>
  <si>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</si>
  <si>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</si>
  <si>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</si>
  <si>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</si>
  <si>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</si>
  <si>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</si>
  <si>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</si>
  <si>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</si>
  <si>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</si>
  <si>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</si>
  <si>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</si>
  <si>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</si>
  <si>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</si>
  <si>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</si>
  <si>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</si>
  <si>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</si>
  <si>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</si>
  <si>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</si>
  <si>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</si>
  <si>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</si>
  <si>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</si>
  <si>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</si>
  <si>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</si>
  <si>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</si>
  <si>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</si>
  <si>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</si>
  <si>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</si>
  <si>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</si>
  <si>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</si>
  <si>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</si>
  <si>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</si>
  <si>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</si>
  <si>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</si>
  <si>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</si>
  <si>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</si>
  <si>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</si>
  <si>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</si>
  <si>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</si>
  <si>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</si>
  <si>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</si>
  <si>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</si>
  <si>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</si>
  <si>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</si>
  <si>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</si>
  <si>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</si>
  <si>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</si>
  <si>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</si>
  <si>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</si>
  <si>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</si>
  <si>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</si>
  <si>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</si>
  <si>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</si>
  <si>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</si>
  <si>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</si>
  <si>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</si>
  <si>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</si>
  <si>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</si>
  <si>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</si>
  <si>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</si>
  <si>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</si>
  <si>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</si>
  <si>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</si>
  <si>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</si>
  <si>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</si>
  <si>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</si>
  <si>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</si>
  <si>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</si>
  <si>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</si>
  <si>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</si>
  <si>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</si>
  <si>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</si>
  <si>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</si>
  <si>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</si>
  <si>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</si>
  <si>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</si>
  <si>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</si>
  <si>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</si>
  <si>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</si>
  <si>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</si>
  <si>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</si>
  <si>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</si>
  <si>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</si>
  <si>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</si>
  <si>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</si>
  <si>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</si>
  <si>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</si>
  <si>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</si>
  <si>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</si>
  <si>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</si>
  <si>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</si>
  <si>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</si>
  <si>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</si>
  <si>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</si>
  <si>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</si>
  <si>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</si>
  <si>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</si>
  <si>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</si>
  <si>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</si>
  <si>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</si>
  <si>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</si>
  <si>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</si>
  <si>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</si>
  <si>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</si>
  <si>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</si>
  <si>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</si>
  <si>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</si>
  <si>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</si>
  <si>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</si>
  <si>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</si>
  <si>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</si>
  <si>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</si>
  <si>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</si>
  <si>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</si>
  <si>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</si>
  <si>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</si>
  <si>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</si>
  <si>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</si>
  <si>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</si>
  <si>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</si>
  <si>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</si>
  <si>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</si>
  <si>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</si>
  <si>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</si>
  <si>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</si>
  <si>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</si>
  <si>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</si>
  <si>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</si>
  <si>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</si>
  <si>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</si>
  <si>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</si>
  <si>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</si>
  <si>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</si>
  <si>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</si>
  <si>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</si>
  <si>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</si>
  <si>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</si>
  <si>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</si>
  <si>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</si>
  <si>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</si>
  <si>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</si>
  <si>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</si>
  <si>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</si>
  <si>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</si>
  <si>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</si>
  <si>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</si>
  <si>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</si>
  <si>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</si>
  <si>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</si>
  <si>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</si>
  <si>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</si>
  <si>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</si>
  <si>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</si>
  <si>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</si>
  <si>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</si>
  <si>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</si>
  <si>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</si>
  <si>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</si>
  <si>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</si>
  <si>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</si>
  <si>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</si>
  <si>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</si>
  <si>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</si>
  <si>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</si>
  <si>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</si>
  <si>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</si>
  <si>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</si>
  <si>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</si>
  <si>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</si>
  <si>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</si>
  <si>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</si>
  <si>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</si>
  <si>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</si>
  <si>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</si>
  <si>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</si>
  <si>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</si>
  <si>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</si>
  <si>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</si>
  <si>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</si>
  <si>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</si>
  <si>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</si>
  <si>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</si>
  <si>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</si>
  <si>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</si>
  <si>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</si>
  <si>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</si>
  <si>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</si>
  <si>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</si>
  <si>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</si>
  <si>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</si>
  <si>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</si>
  <si>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</si>
  <si>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</si>
  <si>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</si>
  <si>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</si>
  <si>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</si>
  <si>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</si>
  <si>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</si>
  <si>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</si>
  <si>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</si>
  <si>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</si>
  <si>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</si>
  <si>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</si>
  <si>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</si>
  <si>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</si>
  <si>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</si>
  <si>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</si>
  <si>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</si>
  <si>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</si>
  <si>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</si>
  <si>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</si>
  <si>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</si>
  <si>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</si>
  <si>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</si>
  <si>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</si>
  <si>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</si>
  <si>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</si>
  <si>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</si>
  <si>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</si>
  <si>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</si>
  <si>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</si>
  <si>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</si>
  <si>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</si>
  <si>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</si>
  <si>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</si>
  <si>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</si>
  <si>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</si>
  <si>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</si>
  <si>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</si>
  <si>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</si>
  <si>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</si>
  <si>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</si>
  <si>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</si>
  <si>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</si>
  <si>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</si>
  <si>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</si>
  <si>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</si>
  <si>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</si>
  <si>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</si>
  <si>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</si>
  <si>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</si>
  <si>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</si>
  <si>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</si>
  <si>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</si>
  <si>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</si>
  <si>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</si>
  <si>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</si>
  <si>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</si>
  <si>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</si>
  <si>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</si>
  <si>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</si>
  <si>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</si>
  <si>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</si>
  <si>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</si>
  <si>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</si>
  <si>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</si>
  <si>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</si>
  <si>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</si>
  <si>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</si>
  <si>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</si>
  <si>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</si>
  <si>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</si>
  <si>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</si>
  <si>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</si>
  <si>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</si>
  <si>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</si>
  <si>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</si>
  <si>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</si>
  <si>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</si>
  <si>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</si>
  <si>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</si>
  <si>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</si>
  <si>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</si>
  <si>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</si>
  <si>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</si>
  <si>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</si>
  <si>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</si>
  <si>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</si>
  <si>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</si>
  <si>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</si>
  <si>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</si>
  <si>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</si>
  <si>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</si>
  <si>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</si>
  <si>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</si>
  <si>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</si>
  <si>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</si>
  <si>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</si>
  <si>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</si>
  <si>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</si>
  <si>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Willcoxson,Rodney</t>
  </si>
  <si>
    <t>Lombrana,Mitzi</t>
  </si>
  <si>
    <t>zapata,corazon</t>
  </si>
  <si>
    <t>martinez,david</t>
  </si>
  <si>
    <t>Ware,Jzmarc</t>
  </si>
  <si>
    <t>Arcineda,Janet</t>
  </si>
  <si>
    <t>Hijar Soria,Nancy</t>
  </si>
  <si>
    <t>Schwertfeger,Corey Hsuing</t>
  </si>
  <si>
    <t>Monton Jr,Irineo</t>
  </si>
  <si>
    <t>Aguirre,Johanna</t>
  </si>
  <si>
    <t>Heinzel,Kathy</t>
  </si>
  <si>
    <t>Williams,Todd Audwyn</t>
  </si>
  <si>
    <t>Diallo,Abdou</t>
  </si>
  <si>
    <t>Watkins,Von</t>
  </si>
  <si>
    <t>Fuller,Cheri</t>
  </si>
  <si>
    <t>Necochea,Nicholas</t>
  </si>
  <si>
    <t>Munoz,Ricky</t>
  </si>
  <si>
    <t>Gutierrez,Giovanni Joel</t>
  </si>
  <si>
    <t>Cole,Shanelle</t>
  </si>
  <si>
    <t>Medina,Jessica</t>
  </si>
  <si>
    <t>linares,vanessa</t>
  </si>
  <si>
    <t>Romero,Melina</t>
  </si>
  <si>
    <t>Saldivar,Erik</t>
  </si>
  <si>
    <t>MCKINNY-FEUERSTEIN,JASON MICHAEL</t>
  </si>
  <si>
    <t>Gonzalez,Emmanuel</t>
  </si>
  <si>
    <t>Miranda,Brianda</t>
  </si>
  <si>
    <t>Rodriguez,Nelson</t>
  </si>
  <si>
    <t>Desales,Arturo</t>
  </si>
  <si>
    <t>GALLEGOS,LEONARD</t>
  </si>
  <si>
    <t>Ramirez,David</t>
  </si>
  <si>
    <t>Medina,Mark</t>
  </si>
  <si>
    <t>Cortes,Ivan</t>
  </si>
  <si>
    <t>Vargas,Ceaser</t>
  </si>
  <si>
    <t>Lampman,Nick</t>
  </si>
  <si>
    <t>lizaola,carlos</t>
  </si>
  <si>
    <t>Chavez,Alfred</t>
  </si>
  <si>
    <t>Lopez,I</t>
  </si>
  <si>
    <t>Muniz,Aleta</t>
  </si>
  <si>
    <t>Carrizoza,Joaquin</t>
  </si>
  <si>
    <t>Alvarez,Alfonso</t>
  </si>
  <si>
    <t>Tavolazzi,Geno Leone</t>
  </si>
  <si>
    <t>Salcedo,Gustavo</t>
  </si>
  <si>
    <t>Gabaldon,Regina</t>
  </si>
  <si>
    <t>Salas,Anyssa Danielle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</si>
  <si>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</si>
  <si>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</si>
  <si>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</si>
  <si>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</si>
  <si>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</si>
  <si>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</si>
  <si>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https://hooks.chime.aws/incomingwebhooks/ed289b4c-4fe6-4397-8cab-20cbbfc9b67f?token=aWxqNENPQWV8MXxNSFBmTEdpMTlhMUFhREtJTVBNQTFweEwxNm5PSjgyLWlkSlN3VGY4QXN3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</si>
</sst>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6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.xml"/><Relationship Id="rId3" Type="http://schemas.openxmlformats.org/officeDocument/2006/relationships/queryTable" Target="../queryTables/queryTable14.xml"/><Relationship Id="rId7" Type="http://schemas.openxmlformats.org/officeDocument/2006/relationships/queryTable" Target="../queryTables/queryTable18.xml"/><Relationship Id="rId2" Type="http://schemas.openxmlformats.org/officeDocument/2006/relationships/queryTable" Target="../queryTables/queryTable13.xml"/><Relationship Id="rId1" Type="http://schemas.openxmlformats.org/officeDocument/2006/relationships/queryTable" Target="../queryTables/queryTable12.xml"/><Relationship Id="rId6" Type="http://schemas.openxmlformats.org/officeDocument/2006/relationships/queryTable" Target="../queryTables/queryTable17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Relationship Id="rId9" Type="http://schemas.openxmlformats.org/officeDocument/2006/relationships/queryTable" Target="../queryTables/queryTable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xml"/><Relationship Id="rId13" Type="http://schemas.openxmlformats.org/officeDocument/2006/relationships/queryTable" Target="../queryTables/queryTable33.xml"/><Relationship Id="rId18" Type="http://schemas.openxmlformats.org/officeDocument/2006/relationships/queryTable" Target="../queryTables/queryTable38.xml"/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12" Type="http://schemas.openxmlformats.org/officeDocument/2006/relationships/queryTable" Target="../queryTables/queryTable32.xml"/><Relationship Id="rId17" Type="http://schemas.openxmlformats.org/officeDocument/2006/relationships/queryTable" Target="../queryTables/queryTable37.xml"/><Relationship Id="rId2" Type="http://schemas.openxmlformats.org/officeDocument/2006/relationships/queryTable" Target="../queryTables/queryTable22.xml"/><Relationship Id="rId16" Type="http://schemas.openxmlformats.org/officeDocument/2006/relationships/queryTable" Target="../queryTables/queryTable36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5" Type="http://schemas.openxmlformats.org/officeDocument/2006/relationships/queryTable" Target="../queryTables/queryTable25.xml"/><Relationship Id="rId15" Type="http://schemas.openxmlformats.org/officeDocument/2006/relationships/queryTable" Target="../queryTables/queryTable35.xml"/><Relationship Id="rId10" Type="http://schemas.openxmlformats.org/officeDocument/2006/relationships/queryTable" Target="../queryTables/queryTable30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Relationship Id="rId14" Type="http://schemas.openxmlformats.org/officeDocument/2006/relationships/queryTable" Target="../queryTables/queryTable3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abSelected="1" workbookViewId="0"/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19.2851562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2021%2F04%2F9&amp;startHourIntraday=14&amp;startMinuteIntraday=0&amp;endDateIntraday=2021%2F04%2F9&amp;endHourIntraday=15&amp;endMinuteIntraday=0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9&amp;startHourIntraday=14&amp;startMinuteIntraday=0&amp;endDateIntraday=2021%2F04%2F9&amp;endHourIntraday=15&amp;endMinuteIntraday=0</v>
      </c>
    </row>
    <row r="7" spans="1:13">
      <c r="F7" t="s">
        <v>939</v>
      </c>
      <c r="H7" s="10" t="s">
        <v>29</v>
      </c>
      <c r="I7" t="s">
        <v>30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9&amp;startHourIntraday=14&amp;startMinuteIntraday=0&amp;endDateIntraday=2021%2F04%2F9&amp;endHourIntraday=15&amp;endMinuteIntraday=0)</v>
      </c>
    </row>
    <row r="9" spans="1:13" ht="17.25" thickBot="1"/>
    <row r="10" spans="1:13">
      <c r="A10" s="16"/>
      <c r="B10" s="25"/>
      <c r="C10" s="35" t="s">
        <v>934</v>
      </c>
      <c r="E10" s="6" t="s">
        <v>31</v>
      </c>
      <c r="F10" s="80" t="s">
        <v>940</v>
      </c>
    </row>
    <row r="11" spans="1:13">
      <c r="A11" s="36"/>
      <c r="B11" s="27"/>
      <c r="C11" s="20"/>
    </row>
    <row r="12" spans="1:13">
      <c r="A12" s="36" t="s">
        <v>37</v>
      </c>
      <c r="B12" s="18" t="s">
        <v>35</v>
      </c>
      <c r="C12" s="20">
        <f>SUMIF(PPR!$B:$B,Base!$B$12,PPR!$K:$K)</f>
        <v>6.53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9&amp;startHourIntraday=14&amp;startMinuteIntraday=0&amp;endDateIntraday=2021%2F04%2F9&amp;endHourIntraday=15&amp;endMinuteIntraday=0</v>
      </c>
    </row>
    <row r="13" spans="1:13" ht="17.25" thickBot="1">
      <c r="A13" s="36"/>
      <c r="B13" s="18" t="s">
        <v>33</v>
      </c>
      <c r="C13" s="20">
        <f>SUMIFS(PPR!$Q:$Q,PPR!$B:$B,Base!$B$12,PPR!$E:$E,Base!$B$13)</f>
        <v>3875</v>
      </c>
    </row>
    <row r="14" spans="1:13">
      <c r="A14" s="36" t="s">
        <v>38</v>
      </c>
      <c r="B14" s="18" t="s">
        <v>15</v>
      </c>
      <c r="C14" s="20">
        <f>SUMIFS(PPR!$M:$M,PPR!$B:$B,Base!$B$12)</f>
        <v>3901</v>
      </c>
      <c r="D14" s="70" t="s">
        <v>42</v>
      </c>
      <c r="E14" s="71">
        <f>IFERROR(E15/E16,0)</f>
        <v>7.2497123130034513</v>
      </c>
      <c r="F14" s="45"/>
      <c r="G14" s="72" t="s">
        <v>47</v>
      </c>
      <c r="H14" s="73">
        <f>IFERROR(H15/H16,0)</f>
        <v>3.9936102236421731</v>
      </c>
      <c r="K14" s="44"/>
      <c r="L14" s="52"/>
      <c r="M14" s="35" t="s">
        <v>28</v>
      </c>
    </row>
    <row r="15" spans="1:13">
      <c r="A15" s="36"/>
      <c r="B15" s="66" t="s">
        <v>39</v>
      </c>
      <c r="C15" s="67">
        <f>IFERROR((($C$14-$C$13)/$C$12),0)</f>
        <v>3.9816232771822357</v>
      </c>
      <c r="D15" s="36" t="s">
        <v>15</v>
      </c>
      <c r="E15" s="27">
        <f>SUMIF(PPR!$B:$B,Base!$D$14,PPR!$M:$M)</f>
        <v>63</v>
      </c>
      <c r="F15" s="59"/>
      <c r="G15" s="48" t="s">
        <v>15</v>
      </c>
      <c r="H15" s="20">
        <f>SUMIF(PPR!$B:$B,Base!$G$14,PPR!$M:$M)</f>
        <v>50</v>
      </c>
      <c r="K15" s="36"/>
      <c r="L15" s="27"/>
      <c r="M15" s="20"/>
    </row>
    <row r="16" spans="1:13">
      <c r="A16" s="36" t="s">
        <v>37</v>
      </c>
      <c r="B16" s="18" t="s">
        <v>36</v>
      </c>
      <c r="C16" s="20">
        <f>SUMIF(PPR!$B:$B,Base!$B$16,PPR!$K:$K)</f>
        <v>3</v>
      </c>
      <c r="D16" s="36" t="s">
        <v>360</v>
      </c>
      <c r="E16" s="27">
        <f>SUMIF(PPR!$B:$B,Base!$D$14,PPR!$K:$K)</f>
        <v>8.6900000000000013</v>
      </c>
      <c r="F16" s="59"/>
      <c r="G16" s="48" t="s">
        <v>360</v>
      </c>
      <c r="H16" s="20">
        <f>SUMIF(PPR!$B:$B,Base!$G$14,PPR!$K:$K)</f>
        <v>12.519999999999998</v>
      </c>
      <c r="K16" s="36" t="s">
        <v>37</v>
      </c>
      <c r="L16" s="48" t="s">
        <v>44</v>
      </c>
      <c r="M16" s="20">
        <f>SUMIF(PPR!$B:$B,Base!$L$16,PPR!$K:$K)</f>
        <v>0</v>
      </c>
    </row>
    <row r="17" spans="1:13">
      <c r="A17" s="36" t="s">
        <v>43</v>
      </c>
      <c r="B17" s="18" t="s">
        <v>15</v>
      </c>
      <c r="C17" s="20">
        <f>SUMIFS(PPR!$M:$M,PPR!$B:$B,Base!$B$16)</f>
        <v>0</v>
      </c>
      <c r="D17" s="36" t="s">
        <v>46</v>
      </c>
      <c r="E17" s="48"/>
      <c r="F17" s="48"/>
      <c r="G17" s="48" t="s">
        <v>46</v>
      </c>
      <c r="H17" s="56"/>
      <c r="K17" s="36"/>
      <c r="L17" s="48" t="s">
        <v>33</v>
      </c>
      <c r="M17" s="20">
        <f>SUMIFS(PPR!$Q:$Q,PPR!$B:$B,Base!$L$16,PPR!$E:$E,Base!$L$17)</f>
        <v>5699</v>
      </c>
    </row>
    <row r="18" spans="1:13" ht="17.25" thickBot="1">
      <c r="A18" s="37"/>
      <c r="B18" s="68" t="s">
        <v>39</v>
      </c>
      <c r="C18" s="69">
        <f>IFERROR(C17/C16,"0")</f>
        <v>0</v>
      </c>
      <c r="D18" s="37" t="s">
        <v>34</v>
      </c>
      <c r="E18" s="50"/>
      <c r="F18" s="50"/>
      <c r="G18" s="50" t="s">
        <v>34</v>
      </c>
      <c r="H18" s="60"/>
      <c r="K18" s="36" t="s">
        <v>38</v>
      </c>
      <c r="L18" s="48" t="s">
        <v>15</v>
      </c>
      <c r="M18" s="20">
        <f>SUMIFS(PPR!$M:$M,PPR!$B:$B,Base!$L$16)</f>
        <v>5699</v>
      </c>
    </row>
    <row r="19" spans="1:13" ht="17.25" thickBot="1">
      <c r="B19" s="1">
        <f ca="1">TODAY()</f>
        <v>44295</v>
      </c>
      <c r="D19" s="2"/>
      <c r="E19" s="77" t="s">
        <v>936</v>
      </c>
      <c r="F19" s="79">
        <f>IFERROR(VLOOKUP($D$21,PPR_V2!D:J,5,FALSE),0)</f>
        <v>15510</v>
      </c>
      <c r="K19" s="37"/>
      <c r="L19" s="68" t="s">
        <v>39</v>
      </c>
      <c r="M19" s="69">
        <f>IFERROR((($M$18-$M$17)/$M$16),0)</f>
        <v>0</v>
      </c>
    </row>
    <row r="20" spans="1:13" ht="17.25" thickBot="1">
      <c r="B20" s="3">
        <f ca="1">NOW()</f>
        <v>44295.625612037038</v>
      </c>
      <c r="E20" s="78" t="s">
        <v>937</v>
      </c>
      <c r="F20" s="67">
        <f>IFERROR(VLOOKUP($D$21,PPR_V2!D:J,6,FALSE),0)</f>
        <v>37.484722222222203</v>
      </c>
    </row>
    <row r="21" spans="1:13" ht="17.25" thickBot="1">
      <c r="B21" s="2" t="s">
        <v>21</v>
      </c>
      <c r="C21" s="2">
        <f ca="1">HOUR(B20)</f>
        <v>15</v>
      </c>
      <c r="D21" s="74" t="s">
        <v>32</v>
      </c>
      <c r="E21" s="75" t="s">
        <v>39</v>
      </c>
      <c r="F21" s="76">
        <f>IFERROR(VLOOKUP($D$21,PPR_V2!D:J,7,FALSE),0)</f>
        <v>413.76857238133999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15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14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44295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44295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9</v>
      </c>
      <c r="E33" s="2">
        <f ca="1">DAY(C29)</f>
        <v>9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2021%2F04%2F9</v>
      </c>
      <c r="E36" s="6" t="str">
        <f ca="1">CONCATENATE(E34,G24,E32,G24,E33)</f>
        <v>2021%2F04%2F9</v>
      </c>
    </row>
    <row r="39" spans="2:9" ht="17.25" thickBot="1"/>
    <row r="40" spans="2:9">
      <c r="B40" s="24" t="s">
        <v>50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51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59</v>
      </c>
      <c r="C43" s="30">
        <f>IFERROR(VLOOKUP($B$43,'Ship Sorter'!A:C,2,FALSE),0)</f>
        <v>5670</v>
      </c>
      <c r="D43" s="27" t="s">
        <v>316</v>
      </c>
      <c r="E43" s="27" t="s">
        <v>317</v>
      </c>
      <c r="F43" s="27"/>
      <c r="G43" s="27"/>
      <c r="H43" s="27"/>
      <c r="I43" s="20"/>
    </row>
    <row r="44" spans="2:9">
      <c r="B44" s="29" t="s">
        <v>63</v>
      </c>
      <c r="C44" s="30">
        <f>IFERROR(VLOOKUP($B$44,'Ship Sorter'!A:C,2,FALSE),0)</f>
        <v>805</v>
      </c>
      <c r="D44" s="27" t="s">
        <v>316</v>
      </c>
      <c r="E44" s="27" t="s">
        <v>317</v>
      </c>
      <c r="F44" s="27"/>
      <c r="G44" s="27"/>
      <c r="H44" s="27"/>
      <c r="I44" s="20"/>
    </row>
    <row r="45" spans="2:9">
      <c r="B45" s="28" t="s">
        <v>314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318</v>
      </c>
      <c r="F46" s="27"/>
      <c r="G46" s="32" t="s">
        <v>29</v>
      </c>
      <c r="H46" s="27" t="s">
        <v>30</v>
      </c>
      <c r="I46" s="20"/>
    </row>
    <row r="47" spans="2:9">
      <c r="B47" s="28" t="s">
        <v>319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320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322</v>
      </c>
    </row>
    <row r="51" spans="2:9" ht="17.25" thickBot="1"/>
    <row r="52" spans="2:9">
      <c r="B52" s="44" t="s">
        <v>321</v>
      </c>
      <c r="C52" s="45"/>
      <c r="D52" s="45"/>
      <c r="E52" s="45"/>
      <c r="F52" s="52"/>
      <c r="G52" s="46"/>
    </row>
    <row r="53" spans="2:9">
      <c r="B53" s="47" t="s">
        <v>348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349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350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808</v>
      </c>
    </row>
    <row r="56" spans="2:9" ht="17.25" thickBot="1">
      <c r="B56" s="55" t="s">
        <v>351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324</v>
      </c>
    </row>
    <row r="59" spans="2:9">
      <c r="B59" t="s">
        <v>325</v>
      </c>
    </row>
    <row r="60" spans="2:9" ht="17.25" thickBot="1"/>
    <row r="61" spans="2:9">
      <c r="B61" s="23" t="s">
        <v>334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345</v>
      </c>
      <c r="C72" s="25"/>
      <c r="D72" s="25"/>
      <c r="E72" s="25"/>
      <c r="F72" s="17"/>
    </row>
    <row r="73" spans="2:6">
      <c r="B73" s="28" t="s">
        <v>335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336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337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338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339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340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341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342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358</v>
      </c>
      <c r="C83" s="45"/>
      <c r="D83" s="45"/>
      <c r="E83" s="45"/>
      <c r="F83" s="52"/>
      <c r="G83" s="46"/>
    </row>
    <row r="84" spans="2:7">
      <c r="B84" s="47" t="s">
        <v>348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349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350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351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380</v>
      </c>
    </row>
    <row r="90" spans="2:7">
      <c r="B90" t="s">
        <v>6</v>
      </c>
      <c r="C90" s="62" t="s">
        <v>935</v>
      </c>
    </row>
    <row r="91" spans="2:7">
      <c r="B91" t="s">
        <v>362</v>
      </c>
      <c r="C91">
        <f>SUMIF(PPR!B:B,Base!B91,PPR!K:K)</f>
        <v>0</v>
      </c>
      <c r="G91" s="63" t="s">
        <v>381</v>
      </c>
    </row>
    <row r="92" spans="2:7">
      <c r="B92" t="s">
        <v>363</v>
      </c>
      <c r="C92">
        <f>SUMIF(PPR!B:B,Base!B92,PPR!K:K)</f>
        <v>0</v>
      </c>
      <c r="G92" s="63" t="s">
        <v>935</v>
      </c>
    </row>
    <row r="93" spans="2:7">
      <c r="B93" t="s">
        <v>44</v>
      </c>
      <c r="C93">
        <f>SUMIF(PPR!B:B,Base!B93,PPR!K:K)</f>
        <v>0</v>
      </c>
    </row>
    <row r="94" spans="2:7">
      <c r="B94" t="s">
        <v>35</v>
      </c>
      <c r="C94">
        <f>SUMIF(PPR!B:B,Base!B94,PPR!K:K)</f>
        <v>6.53</v>
      </c>
      <c r="D94" t="s">
        <v>41</v>
      </c>
    </row>
    <row r="95" spans="2:7">
      <c r="B95" t="s">
        <v>36</v>
      </c>
      <c r="C95">
        <f>SUMIF(PPR!B:B,Base!B95,PPR!K:K)</f>
        <v>3</v>
      </c>
    </row>
    <row r="96" spans="2:7">
      <c r="B96" t="s">
        <v>42</v>
      </c>
      <c r="C96">
        <f>SUMIF(PPR!B:B,Base!B96,PPR!K:K)</f>
        <v>8.6900000000000013</v>
      </c>
    </row>
    <row r="97" spans="2:11">
      <c r="B97" t="s">
        <v>49</v>
      </c>
      <c r="C97">
        <f>SUMIF(PPR!B:B,Base!B97,PPR!K:K)</f>
        <v>3</v>
      </c>
    </row>
    <row r="98" spans="2:11">
      <c r="B98" t="s">
        <v>364</v>
      </c>
      <c r="C98">
        <f>SUMIF(PPR!B:B,Base!B98,PPR!K:K)</f>
        <v>0</v>
      </c>
      <c r="I98" t="s">
        <v>44</v>
      </c>
      <c r="J98" t="s">
        <v>33</v>
      </c>
      <c r="K98" s="27">
        <f>SUMIFS(PPR!M:M,PPR!B:B,Base!I$98,PPR!$E:$E,Base!J$98)</f>
        <v>5699</v>
      </c>
    </row>
    <row r="99" spans="2:11">
      <c r="B99" t="s">
        <v>365</v>
      </c>
      <c r="C99">
        <f>SUMIF(PPR!B:B,Base!B99,PPR!K:K)</f>
        <v>0</v>
      </c>
      <c r="I99" t="s">
        <v>44</v>
      </c>
      <c r="J99" t="s">
        <v>34</v>
      </c>
      <c r="K99">
        <f>SUMIF(PPR!B:B,Base!I99,PPR!M:M)</f>
        <v>5699</v>
      </c>
    </row>
    <row r="100" spans="2:11">
      <c r="B100" t="s">
        <v>47</v>
      </c>
      <c r="C100">
        <f>SUMIF(PPR!B:B,Base!B100,PPR!K:K)</f>
        <v>12.519999999999998</v>
      </c>
      <c r="I100" t="s">
        <v>382</v>
      </c>
      <c r="K100">
        <f>K99-K98</f>
        <v>0</v>
      </c>
    </row>
    <row r="101" spans="2:11">
      <c r="B101" t="s">
        <v>361</v>
      </c>
      <c r="C101">
        <f>SUMIF(PPR!B:B,Base!B101,PPR!K:K)</f>
        <v>0</v>
      </c>
    </row>
    <row r="102" spans="2:11">
      <c r="B102" t="s">
        <v>366</v>
      </c>
      <c r="C102">
        <f>SUMIF(PPR!B:B,Base!B102,PPR!K:K)</f>
        <v>0</v>
      </c>
      <c r="I102" t="s">
        <v>35</v>
      </c>
      <c r="J102" t="s">
        <v>33</v>
      </c>
      <c r="K102" s="27">
        <f>SUMIFS(PPR!M:M,PPR!B:B,Base!I$102,PPR!$E:$E,Base!J$102)</f>
        <v>3875</v>
      </c>
    </row>
    <row r="103" spans="2:11">
      <c r="B103" t="s">
        <v>367</v>
      </c>
      <c r="C103">
        <f>SUMIF(PPR!B:B,Base!B103,PPR!K:K)</f>
        <v>0</v>
      </c>
      <c r="I103" t="s">
        <v>35</v>
      </c>
      <c r="K103">
        <f>SUMIF(PPR!B:B,Base!I103,PPR!M:M)</f>
        <v>3901</v>
      </c>
    </row>
    <row r="104" spans="2:11">
      <c r="B104" t="s">
        <v>368</v>
      </c>
      <c r="C104">
        <f>SUMIF(PPR!B:B,Base!B104,PPR!K:K)</f>
        <v>0</v>
      </c>
      <c r="I104" t="s">
        <v>382</v>
      </c>
      <c r="K104">
        <f>K103-K102</f>
        <v>26</v>
      </c>
    </row>
    <row r="105" spans="2:11">
      <c r="B105" t="s">
        <v>369</v>
      </c>
      <c r="C105">
        <f>SUMIF(PPR!B:B,Base!B105,PPR!K:K)</f>
        <v>0</v>
      </c>
    </row>
    <row r="106" spans="2:11">
      <c r="B106" t="s">
        <v>346</v>
      </c>
      <c r="C106">
        <f>SUMIF(PPR!B:B,Base!B106,PPR!K:K)</f>
        <v>0.75</v>
      </c>
      <c r="D106" t="s">
        <v>378</v>
      </c>
      <c r="E106" t="s">
        <v>379</v>
      </c>
      <c r="F106" t="s">
        <v>34</v>
      </c>
      <c r="I106" t="s">
        <v>34</v>
      </c>
      <c r="K106">
        <f>K104+K100</f>
        <v>26</v>
      </c>
    </row>
    <row r="107" spans="2:11">
      <c r="B107" t="s">
        <v>370</v>
      </c>
      <c r="C107">
        <f>SUMIF(PPR!B:B,Base!B107,PPR!K:K)</f>
        <v>0</v>
      </c>
    </row>
    <row r="108" spans="2:11">
      <c r="B108" t="s">
        <v>347</v>
      </c>
      <c r="C108">
        <f>SUMIF(PPR!B:B,Base!B108,PPR!K:K)</f>
        <v>0</v>
      </c>
      <c r="I108" t="s">
        <v>383</v>
      </c>
      <c r="K108" s="64">
        <f>IFERROR((K100/K106)*100,0)</f>
        <v>0</v>
      </c>
    </row>
    <row r="109" spans="2:11">
      <c r="B109" t="s">
        <v>371</v>
      </c>
      <c r="C109">
        <f>SUMIF(PPR!B:B,Base!B109,PPR!K:K)</f>
        <v>0</v>
      </c>
      <c r="I109" t="s">
        <v>384</v>
      </c>
      <c r="K109" s="64">
        <f>IFERROR((K104/K106)*100,0)</f>
        <v>100</v>
      </c>
    </row>
    <row r="110" spans="2:11">
      <c r="B110" t="s">
        <v>359</v>
      </c>
      <c r="C110">
        <f>SUMIF(PPR!B:B,Base!B110,PPR!K:K)</f>
        <v>1</v>
      </c>
    </row>
    <row r="111" spans="2:11">
      <c r="B111" t="s">
        <v>372</v>
      </c>
      <c r="C111">
        <f>SUMIF(PPR!B:B,Base!B111,PPR!K:K)</f>
        <v>0</v>
      </c>
    </row>
    <row r="112" spans="2:11">
      <c r="B112" t="s">
        <v>373</v>
      </c>
      <c r="C112">
        <f>SUMIF(PPR!B:B,Base!B112,PPR!K:K)</f>
        <v>2</v>
      </c>
    </row>
    <row r="113" spans="1:3">
      <c r="B113" t="s">
        <v>374</v>
      </c>
      <c r="C113">
        <f>SUMIF(PPR!B:B,Base!B113,PPR!K:K)</f>
        <v>0</v>
      </c>
    </row>
    <row r="114" spans="1:3">
      <c r="B114" t="s">
        <v>375</v>
      </c>
      <c r="C114">
        <f>SUMIF(PPR!B:B,Base!B114,PPR!K:K)</f>
        <v>0</v>
      </c>
    </row>
    <row r="115" spans="1:3">
      <c r="B115" t="s">
        <v>376</v>
      </c>
      <c r="C115">
        <f>SUMIF(PPR!B:B,Base!B115,PPR!K:K)</f>
        <v>0</v>
      </c>
    </row>
    <row r="116" spans="1:3">
      <c r="B116" t="s">
        <v>377</v>
      </c>
      <c r="C116">
        <f>SUMIF(PPR!B:B,Base!B116,PPR!K:K)</f>
        <v>0</v>
      </c>
    </row>
    <row r="117" spans="1:3">
      <c r="B117" t="s">
        <v>37</v>
      </c>
      <c r="C117">
        <f>SUM(C91:C116)</f>
        <v>37.49</v>
      </c>
    </row>
    <row r="121" spans="1:3">
      <c r="A121" s="11" t="s">
        <v>385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9&amp;startHourIntraday=14&amp;startMinuteIntraday=0&amp;endDateIntraday=2021%2F04%2F9&amp;endHourIntraday=15&amp;endMinuteIntraday=0&amp;_adjustPlanHours=on&amp;_hideEmptyLineItems=on&amp;employmentType=AllEmployees</v>
      </c>
    </row>
    <row r="122" spans="1:3">
      <c r="A122" s="11" t="s">
        <v>386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9&amp;startHourIntraday=14&amp;startMinuteIntraday=0&amp;endDateIntraday=2021%2F04%2F9&amp;endHourIntraday=15&amp;endMinuteIntraday=0&amp;_adjustPlanHours=on&amp;_hideEmptyLineItems=on&amp;employmentType=AllEmployees</v>
      </c>
    </row>
    <row r="124" spans="1:3">
      <c r="B124" t="s">
        <v>669</v>
      </c>
      <c r="C124">
        <f>IFERROR(VLOOKUP(B124,PPR_V2!D:H,5,FALSE),"-")</f>
        <v>15510</v>
      </c>
    </row>
    <row r="125" spans="1:3">
      <c r="B125" t="s">
        <v>938</v>
      </c>
    </row>
    <row r="126" spans="1:3">
      <c r="A126" s="11" t="s">
        <v>803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9&amp;startHourIntraday=14&amp;startMinuteIntraday=0&amp;endDateIntraday=2021%2F04%2F9&amp;endHourIntraday=15&amp;endMinuteIntraday=0&amp;_adjustPlanHours=on&amp;_hideEmptyLineItems=on&amp;employmentType=AllEmployees)</v>
      </c>
    </row>
    <row r="128" spans="1:3">
      <c r="B128" t="s">
        <v>804</v>
      </c>
      <c r="C128" t="s">
        <v>935</v>
      </c>
    </row>
    <row r="129" spans="2:3">
      <c r="B129" t="s">
        <v>805</v>
      </c>
      <c r="C129" t="s">
        <v>935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sqref="A1:A104857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32</v>
      </c>
      <c r="B2" t="s">
        <v>44</v>
      </c>
      <c r="C2" t="s">
        <v>3</v>
      </c>
      <c r="D2">
        <v>0</v>
      </c>
      <c r="E2" t="s">
        <v>33</v>
      </c>
      <c r="F2" t="s">
        <v>33</v>
      </c>
      <c r="G2">
        <v>0</v>
      </c>
      <c r="H2">
        <v>0</v>
      </c>
      <c r="I2">
        <v>0</v>
      </c>
      <c r="J2">
        <v>0</v>
      </c>
      <c r="K2">
        <v>0</v>
      </c>
      <c r="L2" t="s">
        <v>40</v>
      </c>
      <c r="M2">
        <v>5699</v>
      </c>
      <c r="N2">
        <v>0</v>
      </c>
      <c r="O2" t="s">
        <v>41</v>
      </c>
      <c r="P2" t="s">
        <v>34</v>
      </c>
      <c r="Q2">
        <v>5699</v>
      </c>
      <c r="R2">
        <v>0</v>
      </c>
    </row>
    <row r="3" spans="1:18">
      <c r="A3" s="12" t="s">
        <v>32</v>
      </c>
      <c r="B3" t="s">
        <v>35</v>
      </c>
      <c r="C3" t="s">
        <v>3</v>
      </c>
      <c r="D3">
        <v>0</v>
      </c>
      <c r="E3" t="s">
        <v>33</v>
      </c>
      <c r="F3" t="s">
        <v>33</v>
      </c>
      <c r="G3">
        <v>0</v>
      </c>
      <c r="H3">
        <v>0</v>
      </c>
      <c r="I3">
        <v>0</v>
      </c>
      <c r="J3">
        <v>0</v>
      </c>
      <c r="K3">
        <v>0</v>
      </c>
      <c r="L3" t="s">
        <v>40</v>
      </c>
      <c r="M3">
        <v>3875</v>
      </c>
      <c r="N3">
        <v>0</v>
      </c>
      <c r="O3" t="s">
        <v>41</v>
      </c>
      <c r="P3" t="s">
        <v>34</v>
      </c>
      <c r="Q3">
        <v>3875</v>
      </c>
      <c r="R3">
        <v>0</v>
      </c>
    </row>
    <row r="4" spans="1:18">
      <c r="A4" s="12" t="s">
        <v>32</v>
      </c>
      <c r="B4" t="s">
        <v>35</v>
      </c>
      <c r="C4" t="s">
        <v>3</v>
      </c>
      <c r="D4">
        <v>108312001</v>
      </c>
      <c r="E4" t="s">
        <v>893</v>
      </c>
      <c r="F4" t="s">
        <v>894</v>
      </c>
      <c r="G4">
        <v>0</v>
      </c>
      <c r="H4">
        <v>0</v>
      </c>
      <c r="I4">
        <v>0</v>
      </c>
      <c r="J4">
        <v>0</v>
      </c>
      <c r="K4">
        <v>0.22</v>
      </c>
      <c r="L4" t="s">
        <v>40</v>
      </c>
      <c r="M4">
        <v>0</v>
      </c>
      <c r="N4">
        <v>0</v>
      </c>
      <c r="O4" t="s">
        <v>41</v>
      </c>
      <c r="P4" t="s">
        <v>34</v>
      </c>
      <c r="Q4">
        <v>0</v>
      </c>
      <c r="R4">
        <v>0</v>
      </c>
    </row>
    <row r="5" spans="1:18">
      <c r="A5" s="12" t="s">
        <v>32</v>
      </c>
      <c r="B5" t="s">
        <v>35</v>
      </c>
      <c r="C5" t="s">
        <v>3</v>
      </c>
      <c r="D5">
        <v>108837145</v>
      </c>
      <c r="E5" t="s">
        <v>910</v>
      </c>
      <c r="F5" t="s">
        <v>894</v>
      </c>
      <c r="G5">
        <v>0</v>
      </c>
      <c r="H5">
        <v>0</v>
      </c>
      <c r="I5">
        <v>0</v>
      </c>
      <c r="J5">
        <v>0</v>
      </c>
      <c r="K5">
        <v>0.87</v>
      </c>
      <c r="L5" t="s">
        <v>40</v>
      </c>
      <c r="M5">
        <v>0</v>
      </c>
      <c r="N5">
        <v>0</v>
      </c>
      <c r="O5" t="s">
        <v>41</v>
      </c>
      <c r="P5" t="s">
        <v>34</v>
      </c>
      <c r="Q5">
        <v>0</v>
      </c>
      <c r="R5">
        <v>0</v>
      </c>
    </row>
    <row r="6" spans="1:18">
      <c r="A6" s="12" t="s">
        <v>32</v>
      </c>
      <c r="B6" t="s">
        <v>35</v>
      </c>
      <c r="C6" t="s">
        <v>3</v>
      </c>
      <c r="D6">
        <v>108988707</v>
      </c>
      <c r="E6" t="s">
        <v>895</v>
      </c>
      <c r="F6" t="s">
        <v>891</v>
      </c>
      <c r="G6">
        <v>0</v>
      </c>
      <c r="H6">
        <v>0</v>
      </c>
      <c r="I6">
        <v>0</v>
      </c>
      <c r="J6">
        <v>0</v>
      </c>
      <c r="K6">
        <v>1</v>
      </c>
      <c r="L6" t="s">
        <v>40</v>
      </c>
      <c r="M6">
        <v>0</v>
      </c>
      <c r="N6">
        <v>0</v>
      </c>
      <c r="O6" t="s">
        <v>41</v>
      </c>
      <c r="P6" t="s">
        <v>34</v>
      </c>
      <c r="Q6">
        <v>0</v>
      </c>
      <c r="R6">
        <v>0</v>
      </c>
    </row>
    <row r="7" spans="1:18">
      <c r="A7" s="12" t="s">
        <v>32</v>
      </c>
      <c r="B7" t="s">
        <v>35</v>
      </c>
      <c r="C7" t="s">
        <v>3</v>
      </c>
      <c r="D7">
        <v>109418899</v>
      </c>
      <c r="E7" t="s">
        <v>896</v>
      </c>
      <c r="F7" t="s">
        <v>897</v>
      </c>
      <c r="G7">
        <v>0</v>
      </c>
      <c r="H7">
        <v>0</v>
      </c>
      <c r="I7">
        <v>0</v>
      </c>
      <c r="J7">
        <v>0</v>
      </c>
      <c r="K7">
        <v>0.76</v>
      </c>
      <c r="L7" t="s">
        <v>40</v>
      </c>
      <c r="M7">
        <v>2</v>
      </c>
      <c r="N7">
        <v>2.65</v>
      </c>
      <c r="O7" t="s">
        <v>41</v>
      </c>
      <c r="P7" t="s">
        <v>34</v>
      </c>
      <c r="Q7">
        <v>2</v>
      </c>
      <c r="R7">
        <v>2.65</v>
      </c>
    </row>
    <row r="8" spans="1:18">
      <c r="A8" s="12" t="s">
        <v>32</v>
      </c>
      <c r="B8" t="s">
        <v>35</v>
      </c>
      <c r="C8" t="s">
        <v>3</v>
      </c>
      <c r="D8">
        <v>109471305</v>
      </c>
      <c r="E8" t="s">
        <v>915</v>
      </c>
      <c r="F8" t="s">
        <v>894</v>
      </c>
      <c r="G8">
        <v>0</v>
      </c>
      <c r="H8">
        <v>0</v>
      </c>
      <c r="I8">
        <v>0</v>
      </c>
      <c r="J8">
        <v>0</v>
      </c>
      <c r="K8">
        <v>0.18</v>
      </c>
      <c r="L8" t="s">
        <v>40</v>
      </c>
      <c r="M8">
        <v>0</v>
      </c>
      <c r="N8">
        <v>0</v>
      </c>
      <c r="O8" t="s">
        <v>41</v>
      </c>
      <c r="P8" t="s">
        <v>34</v>
      </c>
      <c r="Q8">
        <v>0</v>
      </c>
      <c r="R8">
        <v>0</v>
      </c>
    </row>
    <row r="9" spans="1:18">
      <c r="A9" s="12" t="s">
        <v>32</v>
      </c>
      <c r="B9" t="s">
        <v>35</v>
      </c>
      <c r="C9" t="s">
        <v>3</v>
      </c>
      <c r="D9">
        <v>109481448</v>
      </c>
      <c r="E9" t="s">
        <v>916</v>
      </c>
      <c r="F9" t="s">
        <v>891</v>
      </c>
      <c r="G9">
        <v>0</v>
      </c>
      <c r="H9">
        <v>0</v>
      </c>
      <c r="I9">
        <v>0</v>
      </c>
      <c r="J9">
        <v>0</v>
      </c>
      <c r="K9">
        <v>0.81</v>
      </c>
      <c r="L9" t="s">
        <v>40</v>
      </c>
      <c r="M9">
        <v>0</v>
      </c>
      <c r="N9">
        <v>0</v>
      </c>
      <c r="O9" t="s">
        <v>41</v>
      </c>
      <c r="P9" t="s">
        <v>34</v>
      </c>
      <c r="Q9">
        <v>0</v>
      </c>
      <c r="R9">
        <v>0</v>
      </c>
    </row>
    <row r="10" spans="1:18">
      <c r="A10" s="12" t="s">
        <v>32</v>
      </c>
      <c r="B10" t="s">
        <v>35</v>
      </c>
      <c r="C10" t="s">
        <v>3</v>
      </c>
      <c r="D10">
        <v>109481577</v>
      </c>
      <c r="E10" t="s">
        <v>917</v>
      </c>
      <c r="F10" t="s">
        <v>891</v>
      </c>
      <c r="G10">
        <v>0</v>
      </c>
      <c r="H10">
        <v>0</v>
      </c>
      <c r="I10">
        <v>0</v>
      </c>
      <c r="J10">
        <v>0</v>
      </c>
      <c r="K10">
        <v>1</v>
      </c>
      <c r="L10" t="s">
        <v>40</v>
      </c>
      <c r="M10">
        <v>0</v>
      </c>
      <c r="N10">
        <v>0</v>
      </c>
      <c r="O10" t="s">
        <v>41</v>
      </c>
      <c r="P10" t="s">
        <v>34</v>
      </c>
      <c r="Q10">
        <v>0</v>
      </c>
      <c r="R10">
        <v>0</v>
      </c>
    </row>
    <row r="11" spans="1:18">
      <c r="A11" s="12" t="s">
        <v>32</v>
      </c>
      <c r="B11" t="s">
        <v>35</v>
      </c>
      <c r="C11" t="s">
        <v>3</v>
      </c>
      <c r="D11">
        <v>109481585</v>
      </c>
      <c r="E11" t="s">
        <v>918</v>
      </c>
      <c r="F11" t="s">
        <v>891</v>
      </c>
      <c r="G11">
        <v>0</v>
      </c>
      <c r="H11">
        <v>0</v>
      </c>
      <c r="I11">
        <v>0</v>
      </c>
      <c r="J11">
        <v>0</v>
      </c>
      <c r="K11">
        <v>0.62</v>
      </c>
      <c r="L11" t="s">
        <v>40</v>
      </c>
      <c r="M11">
        <v>0</v>
      </c>
      <c r="N11">
        <v>0</v>
      </c>
      <c r="O11" t="s">
        <v>41</v>
      </c>
      <c r="P11" t="s">
        <v>34</v>
      </c>
      <c r="Q11">
        <v>0</v>
      </c>
      <c r="R11">
        <v>0</v>
      </c>
    </row>
    <row r="12" spans="1:18">
      <c r="A12" s="12" t="s">
        <v>32</v>
      </c>
      <c r="B12" t="s">
        <v>35</v>
      </c>
      <c r="C12" t="s">
        <v>3</v>
      </c>
      <c r="D12">
        <v>109481593</v>
      </c>
      <c r="E12" t="s">
        <v>899</v>
      </c>
      <c r="F12" t="s">
        <v>891</v>
      </c>
      <c r="G12">
        <v>0</v>
      </c>
      <c r="H12">
        <v>0</v>
      </c>
      <c r="I12">
        <v>0</v>
      </c>
      <c r="J12">
        <v>0</v>
      </c>
      <c r="K12">
        <v>0.66</v>
      </c>
      <c r="L12" t="s">
        <v>40</v>
      </c>
      <c r="M12">
        <v>0</v>
      </c>
      <c r="N12">
        <v>0</v>
      </c>
      <c r="O12" t="s">
        <v>41</v>
      </c>
      <c r="P12" t="s">
        <v>34</v>
      </c>
      <c r="Q12">
        <v>0</v>
      </c>
      <c r="R12">
        <v>0</v>
      </c>
    </row>
    <row r="13" spans="1:18">
      <c r="A13" s="12" t="s">
        <v>32</v>
      </c>
      <c r="B13" t="s">
        <v>35</v>
      </c>
      <c r="C13" t="s">
        <v>3</v>
      </c>
      <c r="D13">
        <v>109484333</v>
      </c>
      <c r="E13" t="s">
        <v>900</v>
      </c>
      <c r="F13" t="s">
        <v>891</v>
      </c>
      <c r="G13">
        <v>0</v>
      </c>
      <c r="H13">
        <v>0</v>
      </c>
      <c r="I13">
        <v>0</v>
      </c>
      <c r="J13">
        <v>0</v>
      </c>
      <c r="K13">
        <v>0.41</v>
      </c>
      <c r="L13" t="s">
        <v>40</v>
      </c>
      <c r="M13">
        <v>24</v>
      </c>
      <c r="N13">
        <v>58.1</v>
      </c>
      <c r="O13" t="s">
        <v>41</v>
      </c>
      <c r="P13" t="s">
        <v>34</v>
      </c>
      <c r="Q13">
        <v>24</v>
      </c>
      <c r="R13">
        <v>58.1</v>
      </c>
    </row>
    <row r="14" spans="1:18">
      <c r="A14" s="12" t="s">
        <v>32</v>
      </c>
      <c r="B14" t="s">
        <v>36</v>
      </c>
      <c r="C14" t="s">
        <v>3</v>
      </c>
      <c r="D14">
        <v>101120430</v>
      </c>
      <c r="E14" t="s">
        <v>901</v>
      </c>
      <c r="F14" t="s">
        <v>902</v>
      </c>
      <c r="G14">
        <v>0</v>
      </c>
      <c r="H14">
        <v>0</v>
      </c>
      <c r="I14">
        <v>0</v>
      </c>
      <c r="J14">
        <v>0</v>
      </c>
      <c r="K14">
        <v>1</v>
      </c>
    </row>
    <row r="15" spans="1:18">
      <c r="A15" s="12" t="s">
        <v>32</v>
      </c>
      <c r="B15" t="s">
        <v>36</v>
      </c>
      <c r="C15" t="s">
        <v>3</v>
      </c>
      <c r="D15">
        <v>105523605</v>
      </c>
      <c r="E15" t="s">
        <v>903</v>
      </c>
      <c r="F15" t="s">
        <v>891</v>
      </c>
      <c r="G15">
        <v>0</v>
      </c>
      <c r="H15">
        <v>0</v>
      </c>
      <c r="I15">
        <v>0</v>
      </c>
      <c r="J15">
        <v>0</v>
      </c>
      <c r="K15">
        <v>1</v>
      </c>
    </row>
    <row r="16" spans="1:18">
      <c r="A16" s="12" t="s">
        <v>32</v>
      </c>
      <c r="B16" t="s">
        <v>36</v>
      </c>
      <c r="C16" t="s">
        <v>3</v>
      </c>
      <c r="D16">
        <v>108836319</v>
      </c>
      <c r="E16" t="s">
        <v>904</v>
      </c>
      <c r="F16" t="s">
        <v>894</v>
      </c>
      <c r="G16">
        <v>0</v>
      </c>
      <c r="H16">
        <v>0</v>
      </c>
      <c r="I16">
        <v>0</v>
      </c>
      <c r="J16">
        <v>0</v>
      </c>
      <c r="K16">
        <v>1</v>
      </c>
    </row>
    <row r="17" spans="1:18">
      <c r="A17" s="12" t="s">
        <v>32</v>
      </c>
      <c r="B17" t="s">
        <v>42</v>
      </c>
      <c r="C17" t="s">
        <v>3</v>
      </c>
      <c r="D17">
        <v>100133148</v>
      </c>
      <c r="E17" t="s">
        <v>922</v>
      </c>
      <c r="F17" t="s">
        <v>894</v>
      </c>
      <c r="G17">
        <v>0</v>
      </c>
      <c r="H17">
        <v>0</v>
      </c>
      <c r="I17">
        <v>0</v>
      </c>
      <c r="J17">
        <v>0</v>
      </c>
      <c r="K17">
        <v>0.38</v>
      </c>
      <c r="L17" t="s">
        <v>45</v>
      </c>
      <c r="M17">
        <v>2</v>
      </c>
      <c r="N17">
        <v>5.26</v>
      </c>
      <c r="O17" t="s">
        <v>46</v>
      </c>
      <c r="P17" t="s">
        <v>34</v>
      </c>
      <c r="Q17">
        <v>2</v>
      </c>
      <c r="R17">
        <v>5.26</v>
      </c>
    </row>
    <row r="18" spans="1:18">
      <c r="A18" s="12" t="s">
        <v>32</v>
      </c>
      <c r="B18" t="s">
        <v>42</v>
      </c>
      <c r="C18" t="s">
        <v>3</v>
      </c>
      <c r="D18">
        <v>100424495</v>
      </c>
      <c r="E18" t="s">
        <v>905</v>
      </c>
      <c r="F18" t="s">
        <v>894</v>
      </c>
      <c r="G18">
        <v>0</v>
      </c>
      <c r="H18">
        <v>0</v>
      </c>
      <c r="I18">
        <v>0</v>
      </c>
      <c r="J18">
        <v>0</v>
      </c>
      <c r="K18">
        <v>1</v>
      </c>
      <c r="L18" t="s">
        <v>45</v>
      </c>
      <c r="M18">
        <v>4</v>
      </c>
      <c r="N18">
        <v>4</v>
      </c>
      <c r="O18" t="s">
        <v>46</v>
      </c>
      <c r="P18" t="s">
        <v>34</v>
      </c>
      <c r="Q18">
        <v>4</v>
      </c>
      <c r="R18">
        <v>4</v>
      </c>
    </row>
    <row r="19" spans="1:18">
      <c r="A19" s="12" t="s">
        <v>32</v>
      </c>
      <c r="B19" t="s">
        <v>42</v>
      </c>
      <c r="C19" t="s">
        <v>3</v>
      </c>
      <c r="D19">
        <v>103484088</v>
      </c>
      <c r="E19" t="s">
        <v>906</v>
      </c>
      <c r="F19" t="s">
        <v>897</v>
      </c>
      <c r="G19">
        <v>0</v>
      </c>
      <c r="H19">
        <v>0</v>
      </c>
      <c r="I19">
        <v>0</v>
      </c>
      <c r="J19">
        <v>0</v>
      </c>
      <c r="K19">
        <v>0</v>
      </c>
      <c r="L19" t="s">
        <v>45</v>
      </c>
      <c r="M19">
        <v>2</v>
      </c>
      <c r="N19">
        <v>0</v>
      </c>
      <c r="O19" t="s">
        <v>46</v>
      </c>
      <c r="P19" t="s">
        <v>34</v>
      </c>
      <c r="Q19">
        <v>2</v>
      </c>
      <c r="R19">
        <v>0</v>
      </c>
    </row>
    <row r="20" spans="1:18">
      <c r="A20" s="12" t="s">
        <v>32</v>
      </c>
      <c r="B20" t="s">
        <v>42</v>
      </c>
      <c r="C20" t="s">
        <v>3</v>
      </c>
      <c r="D20">
        <v>103646413</v>
      </c>
      <c r="E20" t="s">
        <v>890</v>
      </c>
      <c r="F20" t="s">
        <v>891</v>
      </c>
      <c r="G20">
        <v>0</v>
      </c>
      <c r="H20">
        <v>0</v>
      </c>
      <c r="I20">
        <v>0</v>
      </c>
      <c r="J20">
        <v>0</v>
      </c>
      <c r="K20">
        <v>0.75</v>
      </c>
      <c r="L20" t="s">
        <v>45</v>
      </c>
      <c r="M20">
        <v>1</v>
      </c>
      <c r="N20">
        <v>1.33</v>
      </c>
      <c r="O20" t="s">
        <v>46</v>
      </c>
      <c r="P20" t="s">
        <v>34</v>
      </c>
      <c r="Q20">
        <v>1</v>
      </c>
      <c r="R20">
        <v>1.33</v>
      </c>
    </row>
    <row r="21" spans="1:18">
      <c r="A21" s="12" t="s">
        <v>32</v>
      </c>
      <c r="B21" t="s">
        <v>42</v>
      </c>
      <c r="C21" t="s">
        <v>3</v>
      </c>
      <c r="D21">
        <v>103806845</v>
      </c>
      <c r="E21" t="s">
        <v>907</v>
      </c>
      <c r="F21" t="s">
        <v>894</v>
      </c>
      <c r="G21">
        <v>0</v>
      </c>
      <c r="H21">
        <v>0</v>
      </c>
      <c r="I21">
        <v>0</v>
      </c>
      <c r="J21">
        <v>0</v>
      </c>
      <c r="K21">
        <v>0.74</v>
      </c>
      <c r="L21" t="s">
        <v>45</v>
      </c>
      <c r="M21">
        <v>3</v>
      </c>
      <c r="N21">
        <v>4.05</v>
      </c>
      <c r="O21" t="s">
        <v>46</v>
      </c>
      <c r="P21" t="s">
        <v>34</v>
      </c>
      <c r="Q21">
        <v>3</v>
      </c>
      <c r="R21">
        <v>4.05</v>
      </c>
    </row>
    <row r="22" spans="1:18">
      <c r="A22" s="12" t="s">
        <v>32</v>
      </c>
      <c r="B22" t="s">
        <v>42</v>
      </c>
      <c r="C22" t="s">
        <v>3</v>
      </c>
      <c r="D22">
        <v>105375398</v>
      </c>
      <c r="E22" t="s">
        <v>908</v>
      </c>
      <c r="F22" t="s">
        <v>894</v>
      </c>
      <c r="G22">
        <v>0</v>
      </c>
      <c r="H22">
        <v>0</v>
      </c>
      <c r="I22">
        <v>0</v>
      </c>
      <c r="J22">
        <v>0</v>
      </c>
      <c r="K22">
        <v>1</v>
      </c>
      <c r="L22" t="s">
        <v>45</v>
      </c>
      <c r="M22">
        <v>4</v>
      </c>
      <c r="N22">
        <v>4</v>
      </c>
      <c r="O22" t="s">
        <v>46</v>
      </c>
      <c r="P22" t="s">
        <v>34</v>
      </c>
      <c r="Q22">
        <v>4</v>
      </c>
      <c r="R22">
        <v>4</v>
      </c>
    </row>
    <row r="23" spans="1:18">
      <c r="A23" s="12" t="s">
        <v>32</v>
      </c>
      <c r="B23" t="s">
        <v>42</v>
      </c>
      <c r="C23" t="s">
        <v>3</v>
      </c>
      <c r="D23">
        <v>107948334</v>
      </c>
      <c r="E23" t="s">
        <v>892</v>
      </c>
      <c r="F23" t="s">
        <v>891</v>
      </c>
      <c r="G23">
        <v>0</v>
      </c>
      <c r="H23">
        <v>0</v>
      </c>
      <c r="I23">
        <v>0</v>
      </c>
      <c r="J23">
        <v>0</v>
      </c>
      <c r="K23">
        <v>0.64</v>
      </c>
      <c r="L23" t="s">
        <v>45</v>
      </c>
      <c r="M23">
        <v>2</v>
      </c>
      <c r="N23">
        <v>3.12</v>
      </c>
      <c r="O23" t="s">
        <v>46</v>
      </c>
      <c r="P23" t="s">
        <v>34</v>
      </c>
      <c r="Q23">
        <v>2</v>
      </c>
      <c r="R23">
        <v>3.12</v>
      </c>
    </row>
    <row r="24" spans="1:18">
      <c r="A24" s="12" t="s">
        <v>32</v>
      </c>
      <c r="B24" t="s">
        <v>42</v>
      </c>
      <c r="C24" t="s">
        <v>3</v>
      </c>
      <c r="D24">
        <v>108312001</v>
      </c>
      <c r="E24" t="s">
        <v>893</v>
      </c>
      <c r="F24" t="s">
        <v>894</v>
      </c>
      <c r="G24">
        <v>0</v>
      </c>
      <c r="H24">
        <v>0</v>
      </c>
      <c r="I24">
        <v>0</v>
      </c>
      <c r="J24">
        <v>0</v>
      </c>
      <c r="K24">
        <v>0.49</v>
      </c>
      <c r="L24" t="s">
        <v>45</v>
      </c>
      <c r="M24">
        <v>1</v>
      </c>
      <c r="N24">
        <v>2.04</v>
      </c>
      <c r="O24" t="s">
        <v>46</v>
      </c>
      <c r="P24" t="s">
        <v>34</v>
      </c>
      <c r="Q24">
        <v>1</v>
      </c>
      <c r="R24">
        <v>2.04</v>
      </c>
    </row>
    <row r="25" spans="1:18">
      <c r="A25" s="12" t="s">
        <v>32</v>
      </c>
      <c r="B25" t="s">
        <v>42</v>
      </c>
      <c r="C25" t="s">
        <v>3</v>
      </c>
      <c r="D25">
        <v>108836849</v>
      </c>
      <c r="E25" t="s">
        <v>909</v>
      </c>
      <c r="F25" t="s">
        <v>894</v>
      </c>
      <c r="G25">
        <v>0</v>
      </c>
      <c r="H25">
        <v>0</v>
      </c>
      <c r="I25">
        <v>0</v>
      </c>
      <c r="J25">
        <v>0</v>
      </c>
      <c r="K25">
        <v>0.64</v>
      </c>
      <c r="L25" t="s">
        <v>45</v>
      </c>
      <c r="M25">
        <v>5</v>
      </c>
      <c r="N25">
        <v>7.86</v>
      </c>
      <c r="O25" t="s">
        <v>46</v>
      </c>
      <c r="P25" t="s">
        <v>34</v>
      </c>
      <c r="Q25">
        <v>5</v>
      </c>
      <c r="R25">
        <v>7.86</v>
      </c>
    </row>
    <row r="26" spans="1:18">
      <c r="A26" s="12" t="s">
        <v>32</v>
      </c>
      <c r="B26" t="s">
        <v>42</v>
      </c>
      <c r="C26" t="s">
        <v>3</v>
      </c>
      <c r="D26">
        <v>108837145</v>
      </c>
      <c r="E26" t="s">
        <v>910</v>
      </c>
      <c r="F26" t="s">
        <v>894</v>
      </c>
      <c r="G26">
        <v>0</v>
      </c>
      <c r="H26">
        <v>0</v>
      </c>
      <c r="I26">
        <v>0</v>
      </c>
      <c r="J26">
        <v>0</v>
      </c>
      <c r="K26">
        <v>0.13</v>
      </c>
      <c r="L26" t="s">
        <v>45</v>
      </c>
      <c r="M26">
        <v>4</v>
      </c>
      <c r="N26">
        <v>31.44</v>
      </c>
      <c r="O26" t="s">
        <v>46</v>
      </c>
      <c r="P26" t="s">
        <v>34</v>
      </c>
      <c r="Q26">
        <v>4</v>
      </c>
      <c r="R26">
        <v>31.44</v>
      </c>
    </row>
    <row r="27" spans="1:18">
      <c r="A27" s="12" t="s">
        <v>32</v>
      </c>
      <c r="B27" t="s">
        <v>42</v>
      </c>
      <c r="C27" t="s">
        <v>3</v>
      </c>
      <c r="D27">
        <v>108849838</v>
      </c>
      <c r="E27" t="s">
        <v>911</v>
      </c>
      <c r="F27" t="s">
        <v>891</v>
      </c>
      <c r="G27">
        <v>0</v>
      </c>
      <c r="H27">
        <v>0</v>
      </c>
      <c r="I27">
        <v>0</v>
      </c>
      <c r="J27">
        <v>0</v>
      </c>
      <c r="K27">
        <v>0.22</v>
      </c>
      <c r="L27" t="s">
        <v>45</v>
      </c>
      <c r="M27">
        <v>5</v>
      </c>
      <c r="N27">
        <v>22.64</v>
      </c>
      <c r="O27" t="s">
        <v>46</v>
      </c>
      <c r="P27" t="s">
        <v>34</v>
      </c>
      <c r="Q27">
        <v>5</v>
      </c>
      <c r="R27">
        <v>22.64</v>
      </c>
    </row>
    <row r="28" spans="1:18">
      <c r="A28" s="12" t="s">
        <v>32</v>
      </c>
      <c r="B28" t="s">
        <v>42</v>
      </c>
      <c r="C28" t="s">
        <v>3</v>
      </c>
      <c r="D28">
        <v>108851516</v>
      </c>
      <c r="E28" t="s">
        <v>912</v>
      </c>
      <c r="F28" t="s">
        <v>891</v>
      </c>
      <c r="G28">
        <v>0</v>
      </c>
      <c r="H28">
        <v>0</v>
      </c>
      <c r="I28">
        <v>0</v>
      </c>
      <c r="J28">
        <v>0</v>
      </c>
      <c r="K28">
        <v>0.09</v>
      </c>
      <c r="L28" t="s">
        <v>45</v>
      </c>
      <c r="M28">
        <v>2</v>
      </c>
      <c r="N28">
        <v>22.71</v>
      </c>
      <c r="O28" t="s">
        <v>46</v>
      </c>
      <c r="P28" t="s">
        <v>34</v>
      </c>
      <c r="Q28">
        <v>2</v>
      </c>
      <c r="R28">
        <v>22.71</v>
      </c>
    </row>
    <row r="29" spans="1:18">
      <c r="A29" s="12" t="s">
        <v>32</v>
      </c>
      <c r="B29" t="s">
        <v>42</v>
      </c>
      <c r="C29" t="s">
        <v>3</v>
      </c>
      <c r="D29">
        <v>109011683</v>
      </c>
      <c r="E29" t="s">
        <v>913</v>
      </c>
      <c r="F29" t="s">
        <v>891</v>
      </c>
      <c r="G29">
        <v>0</v>
      </c>
      <c r="H29">
        <v>0</v>
      </c>
      <c r="I29">
        <v>0</v>
      </c>
      <c r="J29">
        <v>0</v>
      </c>
      <c r="K29">
        <v>0.32</v>
      </c>
      <c r="L29" t="s">
        <v>45</v>
      </c>
      <c r="M29">
        <v>3</v>
      </c>
      <c r="N29">
        <v>9.36</v>
      </c>
      <c r="O29" t="s">
        <v>46</v>
      </c>
      <c r="P29" t="s">
        <v>34</v>
      </c>
      <c r="Q29">
        <v>3</v>
      </c>
      <c r="R29">
        <v>9.36</v>
      </c>
    </row>
    <row r="30" spans="1:18">
      <c r="A30" s="12" t="s">
        <v>32</v>
      </c>
      <c r="B30" t="s">
        <v>42</v>
      </c>
      <c r="C30" t="s">
        <v>3</v>
      </c>
      <c r="D30">
        <v>109139175</v>
      </c>
      <c r="E30" t="s">
        <v>914</v>
      </c>
      <c r="F30" t="s">
        <v>894</v>
      </c>
      <c r="G30">
        <v>0</v>
      </c>
      <c r="H30">
        <v>0</v>
      </c>
      <c r="I30">
        <v>0</v>
      </c>
      <c r="J30">
        <v>0</v>
      </c>
      <c r="K30">
        <v>7.0000000000000007E-2</v>
      </c>
      <c r="L30" t="s">
        <v>45</v>
      </c>
      <c r="M30">
        <v>1</v>
      </c>
      <c r="N30">
        <v>13.48</v>
      </c>
      <c r="O30" t="s">
        <v>46</v>
      </c>
      <c r="P30" t="s">
        <v>34</v>
      </c>
      <c r="Q30">
        <v>1</v>
      </c>
      <c r="R30">
        <v>13.48</v>
      </c>
    </row>
    <row r="31" spans="1:18">
      <c r="A31" s="12" t="s">
        <v>32</v>
      </c>
      <c r="B31" t="s">
        <v>42</v>
      </c>
      <c r="C31" t="s">
        <v>3</v>
      </c>
      <c r="D31">
        <v>109418888</v>
      </c>
      <c r="E31" t="s">
        <v>927</v>
      </c>
      <c r="F31" t="s">
        <v>891</v>
      </c>
      <c r="G31">
        <v>0</v>
      </c>
      <c r="H31">
        <v>0</v>
      </c>
      <c r="I31">
        <v>0</v>
      </c>
      <c r="J31">
        <v>0</v>
      </c>
      <c r="K31">
        <v>0.19</v>
      </c>
      <c r="L31" t="s">
        <v>45</v>
      </c>
      <c r="M31">
        <v>1</v>
      </c>
      <c r="N31">
        <v>5.29</v>
      </c>
      <c r="O31" t="s">
        <v>46</v>
      </c>
      <c r="P31" t="s">
        <v>34</v>
      </c>
      <c r="Q31">
        <v>1</v>
      </c>
      <c r="R31">
        <v>5.29</v>
      </c>
    </row>
    <row r="32" spans="1:18">
      <c r="A32" s="12" t="s">
        <v>32</v>
      </c>
      <c r="B32" t="s">
        <v>42</v>
      </c>
      <c r="C32" t="s">
        <v>3</v>
      </c>
      <c r="D32">
        <v>109418899</v>
      </c>
      <c r="E32" t="s">
        <v>896</v>
      </c>
      <c r="F32" t="s">
        <v>897</v>
      </c>
      <c r="G32">
        <v>0</v>
      </c>
      <c r="H32">
        <v>0</v>
      </c>
      <c r="I32">
        <v>0</v>
      </c>
      <c r="J32">
        <v>0</v>
      </c>
      <c r="K32">
        <v>0.24</v>
      </c>
      <c r="L32" t="s">
        <v>45</v>
      </c>
      <c r="M32">
        <v>2</v>
      </c>
      <c r="N32">
        <v>8.19</v>
      </c>
      <c r="O32" t="s">
        <v>46</v>
      </c>
      <c r="P32" t="s">
        <v>34</v>
      </c>
      <c r="Q32">
        <v>2</v>
      </c>
      <c r="R32">
        <v>8.19</v>
      </c>
    </row>
    <row r="33" spans="1:18">
      <c r="A33" s="12" t="s">
        <v>32</v>
      </c>
      <c r="B33" t="s">
        <v>42</v>
      </c>
      <c r="C33" t="s">
        <v>3</v>
      </c>
      <c r="D33">
        <v>109471305</v>
      </c>
      <c r="E33" t="s">
        <v>915</v>
      </c>
      <c r="F33" t="s">
        <v>894</v>
      </c>
      <c r="G33">
        <v>0</v>
      </c>
      <c r="H33">
        <v>0</v>
      </c>
      <c r="I33">
        <v>0</v>
      </c>
      <c r="J33">
        <v>0</v>
      </c>
      <c r="K33">
        <v>0.79</v>
      </c>
      <c r="L33" t="s">
        <v>45</v>
      </c>
      <c r="M33">
        <v>4</v>
      </c>
      <c r="N33">
        <v>5.07</v>
      </c>
      <c r="O33" t="s">
        <v>46</v>
      </c>
      <c r="P33" t="s">
        <v>34</v>
      </c>
      <c r="Q33">
        <v>4</v>
      </c>
      <c r="R33">
        <v>5.07</v>
      </c>
    </row>
    <row r="34" spans="1:18">
      <c r="A34" s="12" t="s">
        <v>32</v>
      </c>
      <c r="B34" t="s">
        <v>42</v>
      </c>
      <c r="C34" t="s">
        <v>3</v>
      </c>
      <c r="D34">
        <v>109481448</v>
      </c>
      <c r="E34" t="s">
        <v>916</v>
      </c>
      <c r="F34" t="s">
        <v>891</v>
      </c>
      <c r="G34">
        <v>0</v>
      </c>
      <c r="H34">
        <v>0</v>
      </c>
      <c r="I34">
        <v>0</v>
      </c>
      <c r="J34">
        <v>0</v>
      </c>
      <c r="K34">
        <v>0.19</v>
      </c>
      <c r="L34" t="s">
        <v>45</v>
      </c>
      <c r="M34">
        <v>4</v>
      </c>
      <c r="N34">
        <v>21.27</v>
      </c>
      <c r="O34" t="s">
        <v>46</v>
      </c>
      <c r="P34" t="s">
        <v>34</v>
      </c>
      <c r="Q34">
        <v>4</v>
      </c>
      <c r="R34">
        <v>21.27</v>
      </c>
    </row>
    <row r="35" spans="1:18">
      <c r="A35" s="12" t="s">
        <v>32</v>
      </c>
      <c r="B35" t="s">
        <v>42</v>
      </c>
      <c r="C35" t="s">
        <v>3</v>
      </c>
      <c r="D35">
        <v>109481577</v>
      </c>
      <c r="E35" t="s">
        <v>917</v>
      </c>
      <c r="F35" t="s">
        <v>891</v>
      </c>
      <c r="G35">
        <v>0</v>
      </c>
      <c r="H35">
        <v>0</v>
      </c>
      <c r="I35">
        <v>0</v>
      </c>
      <c r="J35">
        <v>0</v>
      </c>
      <c r="K35">
        <v>0</v>
      </c>
      <c r="L35" t="s">
        <v>45</v>
      </c>
      <c r="M35">
        <v>1</v>
      </c>
      <c r="N35">
        <v>0</v>
      </c>
      <c r="O35" t="s">
        <v>46</v>
      </c>
      <c r="P35" t="s">
        <v>34</v>
      </c>
      <c r="Q35">
        <v>1</v>
      </c>
      <c r="R35">
        <v>0</v>
      </c>
    </row>
    <row r="36" spans="1:18">
      <c r="A36" s="12" t="s">
        <v>32</v>
      </c>
      <c r="B36" t="s">
        <v>42</v>
      </c>
      <c r="C36" t="s">
        <v>3</v>
      </c>
      <c r="D36">
        <v>109481585</v>
      </c>
      <c r="E36" t="s">
        <v>918</v>
      </c>
      <c r="F36" t="s">
        <v>891</v>
      </c>
      <c r="G36">
        <v>0</v>
      </c>
      <c r="H36">
        <v>0</v>
      </c>
      <c r="I36">
        <v>0</v>
      </c>
      <c r="J36">
        <v>0</v>
      </c>
      <c r="K36">
        <v>0.26</v>
      </c>
      <c r="L36" t="s">
        <v>45</v>
      </c>
      <c r="M36">
        <v>5</v>
      </c>
      <c r="N36">
        <v>19.13</v>
      </c>
      <c r="O36" t="s">
        <v>46</v>
      </c>
      <c r="P36" t="s">
        <v>34</v>
      </c>
      <c r="Q36">
        <v>5</v>
      </c>
      <c r="R36">
        <v>19.13</v>
      </c>
    </row>
    <row r="37" spans="1:18">
      <c r="A37" s="12" t="s">
        <v>32</v>
      </c>
      <c r="B37" t="s">
        <v>42</v>
      </c>
      <c r="C37" t="s">
        <v>3</v>
      </c>
      <c r="D37">
        <v>109481593</v>
      </c>
      <c r="E37" t="s">
        <v>899</v>
      </c>
      <c r="F37" t="s">
        <v>891</v>
      </c>
      <c r="G37">
        <v>0</v>
      </c>
      <c r="H37">
        <v>0</v>
      </c>
      <c r="I37">
        <v>0</v>
      </c>
      <c r="J37">
        <v>0</v>
      </c>
      <c r="K37">
        <v>0.16</v>
      </c>
      <c r="L37" t="s">
        <v>45</v>
      </c>
      <c r="M37">
        <v>3</v>
      </c>
      <c r="N37">
        <v>18.46</v>
      </c>
      <c r="O37" t="s">
        <v>46</v>
      </c>
      <c r="P37" t="s">
        <v>34</v>
      </c>
      <c r="Q37">
        <v>3</v>
      </c>
      <c r="R37">
        <v>18.46</v>
      </c>
    </row>
    <row r="38" spans="1:18">
      <c r="A38" s="12" t="s">
        <v>32</v>
      </c>
      <c r="B38" t="s">
        <v>42</v>
      </c>
      <c r="C38" t="s">
        <v>3</v>
      </c>
      <c r="D38">
        <v>109484333</v>
      </c>
      <c r="E38" t="s">
        <v>900</v>
      </c>
      <c r="F38" t="s">
        <v>891</v>
      </c>
      <c r="G38">
        <v>0</v>
      </c>
      <c r="H38">
        <v>0</v>
      </c>
      <c r="I38">
        <v>0</v>
      </c>
      <c r="J38">
        <v>0</v>
      </c>
      <c r="K38">
        <v>0.39</v>
      </c>
      <c r="L38" t="s">
        <v>45</v>
      </c>
      <c r="M38">
        <v>4</v>
      </c>
      <c r="N38">
        <v>10.26</v>
      </c>
      <c r="O38" t="s">
        <v>46</v>
      </c>
      <c r="P38" t="s">
        <v>34</v>
      </c>
      <c r="Q38">
        <v>4</v>
      </c>
      <c r="R38">
        <v>10.26</v>
      </c>
    </row>
    <row r="39" spans="1:18">
      <c r="A39" s="12" t="s">
        <v>32</v>
      </c>
      <c r="B39" t="s">
        <v>49</v>
      </c>
      <c r="C39" t="s">
        <v>3</v>
      </c>
      <c r="D39">
        <v>108065426</v>
      </c>
      <c r="E39" t="s">
        <v>919</v>
      </c>
      <c r="F39" t="s">
        <v>897</v>
      </c>
      <c r="G39">
        <v>0</v>
      </c>
      <c r="H39">
        <v>0</v>
      </c>
      <c r="I39">
        <v>0</v>
      </c>
      <c r="J39">
        <v>0</v>
      </c>
      <c r="K39">
        <v>1</v>
      </c>
    </row>
    <row r="40" spans="1:18">
      <c r="A40" s="12" t="s">
        <v>32</v>
      </c>
      <c r="B40" t="s">
        <v>49</v>
      </c>
      <c r="C40" t="s">
        <v>3</v>
      </c>
      <c r="D40">
        <v>109017982</v>
      </c>
      <c r="E40" t="s">
        <v>920</v>
      </c>
      <c r="F40" t="s">
        <v>891</v>
      </c>
      <c r="G40">
        <v>0</v>
      </c>
      <c r="H40">
        <v>0</v>
      </c>
      <c r="I40">
        <v>0</v>
      </c>
      <c r="J40">
        <v>0</v>
      </c>
      <c r="K40">
        <v>1</v>
      </c>
    </row>
    <row r="41" spans="1:18">
      <c r="A41" s="12" t="s">
        <v>32</v>
      </c>
      <c r="B41" t="s">
        <v>49</v>
      </c>
      <c r="C41" t="s">
        <v>3</v>
      </c>
      <c r="D41">
        <v>109501599</v>
      </c>
      <c r="E41" t="s">
        <v>921</v>
      </c>
      <c r="F41" t="s">
        <v>897</v>
      </c>
      <c r="G41">
        <v>0</v>
      </c>
      <c r="H41">
        <v>0</v>
      </c>
      <c r="I41">
        <v>0</v>
      </c>
      <c r="J41">
        <v>0</v>
      </c>
      <c r="K41">
        <v>1</v>
      </c>
    </row>
    <row r="42" spans="1:18">
      <c r="A42" s="12" t="s">
        <v>32</v>
      </c>
      <c r="B42" t="s">
        <v>47</v>
      </c>
      <c r="C42" t="s">
        <v>3</v>
      </c>
      <c r="D42">
        <v>100133148</v>
      </c>
      <c r="E42" t="s">
        <v>922</v>
      </c>
      <c r="F42" t="s">
        <v>894</v>
      </c>
      <c r="G42">
        <v>0</v>
      </c>
      <c r="H42">
        <v>0</v>
      </c>
      <c r="I42">
        <v>0</v>
      </c>
      <c r="J42">
        <v>0</v>
      </c>
      <c r="K42">
        <v>0.62</v>
      </c>
      <c r="L42" t="s">
        <v>48</v>
      </c>
      <c r="M42">
        <v>1</v>
      </c>
      <c r="N42">
        <v>1.62</v>
      </c>
      <c r="O42" t="s">
        <v>46</v>
      </c>
      <c r="P42" t="s">
        <v>34</v>
      </c>
      <c r="Q42">
        <v>1</v>
      </c>
      <c r="R42">
        <v>1.62</v>
      </c>
    </row>
    <row r="43" spans="1:18">
      <c r="A43" s="12" t="s">
        <v>32</v>
      </c>
      <c r="B43" t="s">
        <v>47</v>
      </c>
      <c r="C43" t="s">
        <v>3</v>
      </c>
      <c r="D43">
        <v>100272324</v>
      </c>
      <c r="E43" t="s">
        <v>931</v>
      </c>
      <c r="F43" t="s">
        <v>891</v>
      </c>
      <c r="G43">
        <v>0</v>
      </c>
      <c r="H43">
        <v>0</v>
      </c>
      <c r="I43">
        <v>0</v>
      </c>
      <c r="J43">
        <v>0</v>
      </c>
      <c r="K43">
        <v>0</v>
      </c>
      <c r="L43" t="s">
        <v>48</v>
      </c>
      <c r="M43">
        <v>6</v>
      </c>
      <c r="N43">
        <v>5400</v>
      </c>
      <c r="O43" t="s">
        <v>46</v>
      </c>
      <c r="P43" t="s">
        <v>34</v>
      </c>
      <c r="Q43">
        <v>6</v>
      </c>
      <c r="R43">
        <v>5400</v>
      </c>
    </row>
    <row r="44" spans="1:18">
      <c r="A44" s="12" t="s">
        <v>32</v>
      </c>
      <c r="B44" t="s">
        <v>47</v>
      </c>
      <c r="C44" t="s">
        <v>3</v>
      </c>
      <c r="D44">
        <v>103484088</v>
      </c>
      <c r="E44" t="s">
        <v>906</v>
      </c>
      <c r="F44" t="s">
        <v>897</v>
      </c>
      <c r="G44">
        <v>0</v>
      </c>
      <c r="H44">
        <v>0</v>
      </c>
      <c r="I44">
        <v>0</v>
      </c>
      <c r="J44">
        <v>0</v>
      </c>
      <c r="K44">
        <v>0</v>
      </c>
      <c r="L44" t="s">
        <v>48</v>
      </c>
      <c r="M44">
        <v>1</v>
      </c>
      <c r="N44">
        <v>0</v>
      </c>
      <c r="O44" t="s">
        <v>46</v>
      </c>
      <c r="P44" t="s">
        <v>34</v>
      </c>
      <c r="Q44">
        <v>1</v>
      </c>
      <c r="R44">
        <v>0</v>
      </c>
    </row>
    <row r="45" spans="1:18">
      <c r="A45" s="12" t="s">
        <v>32</v>
      </c>
      <c r="B45" t="s">
        <v>47</v>
      </c>
      <c r="C45" t="s">
        <v>3</v>
      </c>
      <c r="D45">
        <v>103806845</v>
      </c>
      <c r="E45" t="s">
        <v>907</v>
      </c>
      <c r="F45" t="s">
        <v>894</v>
      </c>
      <c r="G45">
        <v>0</v>
      </c>
      <c r="H45">
        <v>0</v>
      </c>
      <c r="I45">
        <v>0</v>
      </c>
      <c r="J45">
        <v>0</v>
      </c>
      <c r="K45">
        <v>0.26</v>
      </c>
      <c r="L45" t="s">
        <v>48</v>
      </c>
      <c r="M45">
        <v>1</v>
      </c>
      <c r="N45">
        <v>3.86</v>
      </c>
      <c r="O45" t="s">
        <v>46</v>
      </c>
      <c r="P45" t="s">
        <v>34</v>
      </c>
      <c r="Q45">
        <v>1</v>
      </c>
      <c r="R45">
        <v>3.86</v>
      </c>
    </row>
    <row r="46" spans="1:18">
      <c r="A46" s="12" t="s">
        <v>32</v>
      </c>
      <c r="B46" t="s">
        <v>47</v>
      </c>
      <c r="C46" t="s">
        <v>3</v>
      </c>
      <c r="D46">
        <v>104506954</v>
      </c>
      <c r="E46" t="s">
        <v>923</v>
      </c>
      <c r="F46" t="s">
        <v>894</v>
      </c>
      <c r="G46">
        <v>0</v>
      </c>
      <c r="H46">
        <v>0</v>
      </c>
      <c r="I46">
        <v>0</v>
      </c>
      <c r="J46">
        <v>0</v>
      </c>
      <c r="K46">
        <v>1</v>
      </c>
      <c r="L46" t="s">
        <v>48</v>
      </c>
      <c r="M46">
        <v>1</v>
      </c>
      <c r="N46">
        <v>1</v>
      </c>
      <c r="O46" t="s">
        <v>46</v>
      </c>
      <c r="P46" t="s">
        <v>34</v>
      </c>
      <c r="Q46">
        <v>1</v>
      </c>
      <c r="R46">
        <v>1</v>
      </c>
    </row>
    <row r="47" spans="1:18">
      <c r="A47" s="12" t="s">
        <v>32</v>
      </c>
      <c r="B47" t="s">
        <v>47</v>
      </c>
      <c r="C47" t="s">
        <v>3</v>
      </c>
      <c r="D47">
        <v>107948334</v>
      </c>
      <c r="E47" t="s">
        <v>892</v>
      </c>
      <c r="F47" t="s">
        <v>891</v>
      </c>
      <c r="G47">
        <v>0</v>
      </c>
      <c r="H47">
        <v>0</v>
      </c>
      <c r="I47">
        <v>0</v>
      </c>
      <c r="J47">
        <v>0</v>
      </c>
      <c r="K47">
        <v>0.36</v>
      </c>
      <c r="L47" t="s">
        <v>48</v>
      </c>
      <c r="M47">
        <v>2</v>
      </c>
      <c r="N47">
        <v>5.58</v>
      </c>
      <c r="O47" t="s">
        <v>46</v>
      </c>
      <c r="P47" t="s">
        <v>34</v>
      </c>
      <c r="Q47">
        <v>2</v>
      </c>
      <c r="R47">
        <v>5.58</v>
      </c>
    </row>
    <row r="48" spans="1:18">
      <c r="A48" s="12" t="s">
        <v>32</v>
      </c>
      <c r="B48" t="s">
        <v>47</v>
      </c>
      <c r="C48" t="s">
        <v>3</v>
      </c>
      <c r="D48">
        <v>108312001</v>
      </c>
      <c r="E48" t="s">
        <v>893</v>
      </c>
      <c r="F48" t="s">
        <v>894</v>
      </c>
      <c r="G48">
        <v>0</v>
      </c>
      <c r="H48">
        <v>0</v>
      </c>
      <c r="I48">
        <v>0</v>
      </c>
      <c r="J48">
        <v>0</v>
      </c>
      <c r="K48">
        <v>0.28999999999999998</v>
      </c>
      <c r="L48" t="s">
        <v>48</v>
      </c>
      <c r="M48">
        <v>1</v>
      </c>
      <c r="N48">
        <v>3.44</v>
      </c>
      <c r="O48" t="s">
        <v>46</v>
      </c>
      <c r="P48" t="s">
        <v>34</v>
      </c>
      <c r="Q48">
        <v>1</v>
      </c>
      <c r="R48">
        <v>3.44</v>
      </c>
    </row>
    <row r="49" spans="1:18">
      <c r="A49" s="12" t="s">
        <v>32</v>
      </c>
      <c r="B49" t="s">
        <v>47</v>
      </c>
      <c r="C49" t="s">
        <v>3</v>
      </c>
      <c r="D49">
        <v>108650943</v>
      </c>
      <c r="E49" t="s">
        <v>924</v>
      </c>
      <c r="F49" t="s">
        <v>925</v>
      </c>
      <c r="G49">
        <v>0</v>
      </c>
      <c r="H49">
        <v>0</v>
      </c>
      <c r="I49">
        <v>0</v>
      </c>
      <c r="J49">
        <v>0</v>
      </c>
      <c r="K49">
        <v>1</v>
      </c>
      <c r="L49" t="s">
        <v>48</v>
      </c>
      <c r="M49">
        <v>1</v>
      </c>
      <c r="N49">
        <v>1</v>
      </c>
      <c r="O49" t="s">
        <v>46</v>
      </c>
      <c r="P49" t="s">
        <v>34</v>
      </c>
      <c r="Q49">
        <v>1</v>
      </c>
      <c r="R49">
        <v>1</v>
      </c>
    </row>
    <row r="50" spans="1:18">
      <c r="A50" s="12" t="s">
        <v>32</v>
      </c>
      <c r="B50" t="s">
        <v>47</v>
      </c>
      <c r="C50" t="s">
        <v>3</v>
      </c>
      <c r="D50">
        <v>108836849</v>
      </c>
      <c r="E50" t="s">
        <v>909</v>
      </c>
      <c r="F50" t="s">
        <v>894</v>
      </c>
      <c r="G50">
        <v>0</v>
      </c>
      <c r="H50">
        <v>0</v>
      </c>
      <c r="I50">
        <v>0</v>
      </c>
      <c r="J50">
        <v>0</v>
      </c>
      <c r="K50">
        <v>0.36</v>
      </c>
      <c r="L50" t="s">
        <v>48</v>
      </c>
      <c r="M50">
        <v>4</v>
      </c>
      <c r="N50">
        <v>11.03</v>
      </c>
      <c r="O50" t="s">
        <v>46</v>
      </c>
      <c r="P50" t="s">
        <v>34</v>
      </c>
      <c r="Q50">
        <v>4</v>
      </c>
      <c r="R50">
        <v>11.03</v>
      </c>
    </row>
    <row r="51" spans="1:18">
      <c r="A51" s="12" t="s">
        <v>32</v>
      </c>
      <c r="B51" t="s">
        <v>47</v>
      </c>
      <c r="C51" t="s">
        <v>3</v>
      </c>
      <c r="D51">
        <v>108849838</v>
      </c>
      <c r="E51" t="s">
        <v>911</v>
      </c>
      <c r="F51" t="s">
        <v>891</v>
      </c>
      <c r="G51">
        <v>0</v>
      </c>
      <c r="H51">
        <v>0</v>
      </c>
      <c r="I51">
        <v>0</v>
      </c>
      <c r="J51">
        <v>0</v>
      </c>
      <c r="K51">
        <v>0.78</v>
      </c>
      <c r="L51" t="s">
        <v>48</v>
      </c>
      <c r="M51">
        <v>2</v>
      </c>
      <c r="N51">
        <v>2.57</v>
      </c>
      <c r="O51" t="s">
        <v>46</v>
      </c>
      <c r="P51" t="s">
        <v>34</v>
      </c>
      <c r="Q51">
        <v>2</v>
      </c>
      <c r="R51">
        <v>2.57</v>
      </c>
    </row>
    <row r="52" spans="1:18">
      <c r="A52" s="12" t="s">
        <v>32</v>
      </c>
      <c r="B52" t="s">
        <v>47</v>
      </c>
      <c r="C52" t="s">
        <v>3</v>
      </c>
      <c r="D52">
        <v>108851516</v>
      </c>
      <c r="E52" t="s">
        <v>912</v>
      </c>
      <c r="F52" t="s">
        <v>891</v>
      </c>
      <c r="G52">
        <v>0</v>
      </c>
      <c r="H52">
        <v>0</v>
      </c>
      <c r="I52">
        <v>0</v>
      </c>
      <c r="J52">
        <v>0</v>
      </c>
      <c r="K52">
        <v>0.91</v>
      </c>
      <c r="L52" t="s">
        <v>48</v>
      </c>
      <c r="M52">
        <v>11</v>
      </c>
      <c r="N52">
        <v>12.07</v>
      </c>
      <c r="O52" t="s">
        <v>46</v>
      </c>
      <c r="P52" t="s">
        <v>34</v>
      </c>
      <c r="Q52">
        <v>11</v>
      </c>
      <c r="R52">
        <v>12.07</v>
      </c>
    </row>
    <row r="53" spans="1:18">
      <c r="A53" s="12" t="s">
        <v>32</v>
      </c>
      <c r="B53" t="s">
        <v>47</v>
      </c>
      <c r="C53" t="s">
        <v>3</v>
      </c>
      <c r="D53">
        <v>108853583</v>
      </c>
      <c r="E53" t="s">
        <v>926</v>
      </c>
      <c r="F53" t="s">
        <v>891</v>
      </c>
      <c r="G53">
        <v>0</v>
      </c>
      <c r="H53">
        <v>0</v>
      </c>
      <c r="I53">
        <v>0</v>
      </c>
      <c r="J53">
        <v>0</v>
      </c>
      <c r="K53">
        <v>1</v>
      </c>
      <c r="L53" t="s">
        <v>48</v>
      </c>
      <c r="M53">
        <v>1</v>
      </c>
      <c r="N53">
        <v>1</v>
      </c>
      <c r="O53" t="s">
        <v>46</v>
      </c>
      <c r="P53" t="s">
        <v>34</v>
      </c>
      <c r="Q53">
        <v>1</v>
      </c>
      <c r="R53">
        <v>1</v>
      </c>
    </row>
    <row r="54" spans="1:18">
      <c r="A54" s="12" t="s">
        <v>32</v>
      </c>
      <c r="B54" t="s">
        <v>47</v>
      </c>
      <c r="C54" t="s">
        <v>3</v>
      </c>
      <c r="D54">
        <v>109011683</v>
      </c>
      <c r="E54" t="s">
        <v>913</v>
      </c>
      <c r="F54" t="s">
        <v>891</v>
      </c>
      <c r="G54">
        <v>0</v>
      </c>
      <c r="H54">
        <v>0</v>
      </c>
      <c r="I54">
        <v>0</v>
      </c>
      <c r="J54">
        <v>0</v>
      </c>
      <c r="K54">
        <v>0.68</v>
      </c>
      <c r="L54" t="s">
        <v>48</v>
      </c>
      <c r="M54">
        <v>2</v>
      </c>
      <c r="N54">
        <v>2.95</v>
      </c>
      <c r="O54" t="s">
        <v>46</v>
      </c>
      <c r="P54" t="s">
        <v>34</v>
      </c>
      <c r="Q54">
        <v>2</v>
      </c>
      <c r="R54">
        <v>2.95</v>
      </c>
    </row>
    <row r="55" spans="1:18">
      <c r="A55" s="12" t="s">
        <v>32</v>
      </c>
      <c r="B55" t="s">
        <v>47</v>
      </c>
      <c r="C55" t="s">
        <v>3</v>
      </c>
      <c r="D55">
        <v>109139175</v>
      </c>
      <c r="E55" t="s">
        <v>914</v>
      </c>
      <c r="F55" t="s">
        <v>894</v>
      </c>
      <c r="G55">
        <v>0</v>
      </c>
      <c r="H55">
        <v>0</v>
      </c>
      <c r="I55">
        <v>0</v>
      </c>
      <c r="J55">
        <v>0</v>
      </c>
      <c r="K55">
        <v>0.93</v>
      </c>
      <c r="L55" t="s">
        <v>48</v>
      </c>
      <c r="M55">
        <v>3</v>
      </c>
      <c r="N55">
        <v>3.24</v>
      </c>
      <c r="O55" t="s">
        <v>46</v>
      </c>
      <c r="P55" t="s">
        <v>34</v>
      </c>
      <c r="Q55">
        <v>3</v>
      </c>
      <c r="R55">
        <v>3.24</v>
      </c>
    </row>
    <row r="56" spans="1:18">
      <c r="A56" s="12" t="s">
        <v>32</v>
      </c>
      <c r="B56" t="s">
        <v>47</v>
      </c>
      <c r="C56" t="s">
        <v>3</v>
      </c>
      <c r="D56">
        <v>109418888</v>
      </c>
      <c r="E56" t="s">
        <v>927</v>
      </c>
      <c r="F56" t="s">
        <v>891</v>
      </c>
      <c r="G56">
        <v>0</v>
      </c>
      <c r="H56">
        <v>0</v>
      </c>
      <c r="I56">
        <v>0</v>
      </c>
      <c r="J56">
        <v>0</v>
      </c>
      <c r="K56">
        <v>0.81</v>
      </c>
      <c r="L56" t="s">
        <v>48</v>
      </c>
      <c r="M56">
        <v>4</v>
      </c>
      <c r="N56">
        <v>4.9400000000000004</v>
      </c>
      <c r="O56" t="s">
        <v>46</v>
      </c>
      <c r="P56" t="s">
        <v>34</v>
      </c>
      <c r="Q56">
        <v>4</v>
      </c>
      <c r="R56">
        <v>4.9400000000000004</v>
      </c>
    </row>
    <row r="57" spans="1:18">
      <c r="A57" s="12" t="s">
        <v>32</v>
      </c>
      <c r="B57" t="s">
        <v>47</v>
      </c>
      <c r="C57" t="s">
        <v>3</v>
      </c>
      <c r="D57">
        <v>109438478</v>
      </c>
      <c r="E57" t="s">
        <v>898</v>
      </c>
      <c r="F57" t="s">
        <v>894</v>
      </c>
      <c r="G57">
        <v>0</v>
      </c>
      <c r="H57">
        <v>0</v>
      </c>
      <c r="I57">
        <v>0</v>
      </c>
      <c r="J57">
        <v>0</v>
      </c>
      <c r="K57">
        <v>1</v>
      </c>
      <c r="L57" t="s">
        <v>48</v>
      </c>
      <c r="M57">
        <v>2</v>
      </c>
      <c r="N57">
        <v>2</v>
      </c>
      <c r="O57" t="s">
        <v>46</v>
      </c>
      <c r="P57" t="s">
        <v>34</v>
      </c>
      <c r="Q57">
        <v>2</v>
      </c>
      <c r="R57">
        <v>2</v>
      </c>
    </row>
    <row r="58" spans="1:18">
      <c r="A58" s="12" t="s">
        <v>32</v>
      </c>
      <c r="B58" t="s">
        <v>47</v>
      </c>
      <c r="C58" t="s">
        <v>3</v>
      </c>
      <c r="D58">
        <v>109471284</v>
      </c>
      <c r="E58" t="s">
        <v>928</v>
      </c>
      <c r="F58" t="s">
        <v>894</v>
      </c>
      <c r="G58">
        <v>0</v>
      </c>
      <c r="H58">
        <v>0</v>
      </c>
      <c r="I58">
        <v>0</v>
      </c>
      <c r="J58">
        <v>0</v>
      </c>
      <c r="K58">
        <v>1</v>
      </c>
      <c r="L58" t="s">
        <v>48</v>
      </c>
      <c r="M58">
        <v>0</v>
      </c>
      <c r="N58">
        <v>0</v>
      </c>
      <c r="O58" t="s">
        <v>46</v>
      </c>
      <c r="P58" t="s">
        <v>34</v>
      </c>
      <c r="Q58">
        <v>0</v>
      </c>
      <c r="R58">
        <v>0</v>
      </c>
    </row>
    <row r="59" spans="1:18">
      <c r="A59" s="12" t="s">
        <v>32</v>
      </c>
      <c r="B59" t="s">
        <v>47</v>
      </c>
      <c r="C59" t="s">
        <v>3</v>
      </c>
      <c r="D59">
        <v>109471305</v>
      </c>
      <c r="E59" t="s">
        <v>915</v>
      </c>
      <c r="F59" t="s">
        <v>894</v>
      </c>
      <c r="G59">
        <v>0</v>
      </c>
      <c r="H59">
        <v>0</v>
      </c>
      <c r="I59">
        <v>0</v>
      </c>
      <c r="J59">
        <v>0</v>
      </c>
      <c r="K59">
        <v>0.03</v>
      </c>
      <c r="L59" t="s">
        <v>48</v>
      </c>
      <c r="M59">
        <v>1</v>
      </c>
      <c r="N59">
        <v>29.27</v>
      </c>
      <c r="O59" t="s">
        <v>46</v>
      </c>
      <c r="P59" t="s">
        <v>34</v>
      </c>
      <c r="Q59">
        <v>1</v>
      </c>
      <c r="R59">
        <v>29.27</v>
      </c>
    </row>
    <row r="60" spans="1:18">
      <c r="A60" s="12" t="s">
        <v>32</v>
      </c>
      <c r="B60" t="s">
        <v>47</v>
      </c>
      <c r="C60" t="s">
        <v>3</v>
      </c>
      <c r="D60">
        <v>109481447</v>
      </c>
      <c r="E60" t="s">
        <v>929</v>
      </c>
      <c r="F60" t="s">
        <v>891</v>
      </c>
      <c r="G60">
        <v>0</v>
      </c>
      <c r="H60">
        <v>0</v>
      </c>
      <c r="I60">
        <v>0</v>
      </c>
      <c r="J60">
        <v>0</v>
      </c>
      <c r="K60">
        <v>1</v>
      </c>
      <c r="L60" t="s">
        <v>48</v>
      </c>
      <c r="M60">
        <v>0</v>
      </c>
      <c r="N60">
        <v>0</v>
      </c>
      <c r="O60" t="s">
        <v>46</v>
      </c>
      <c r="P60" t="s">
        <v>34</v>
      </c>
      <c r="Q60">
        <v>0</v>
      </c>
      <c r="R60">
        <v>0</v>
      </c>
    </row>
    <row r="61" spans="1:18">
      <c r="A61" s="12" t="s">
        <v>32</v>
      </c>
      <c r="B61" t="s">
        <v>47</v>
      </c>
      <c r="C61" t="s">
        <v>3</v>
      </c>
      <c r="D61">
        <v>109481448</v>
      </c>
      <c r="E61" t="s">
        <v>916</v>
      </c>
      <c r="F61" t="s">
        <v>891</v>
      </c>
      <c r="G61">
        <v>0</v>
      </c>
      <c r="H61">
        <v>0</v>
      </c>
      <c r="I61">
        <v>0</v>
      </c>
      <c r="J61">
        <v>0</v>
      </c>
      <c r="K61">
        <v>0</v>
      </c>
      <c r="L61" t="s">
        <v>48</v>
      </c>
      <c r="M61">
        <v>1</v>
      </c>
      <c r="N61">
        <v>0</v>
      </c>
      <c r="O61" t="s">
        <v>46</v>
      </c>
      <c r="P61" t="s">
        <v>34</v>
      </c>
      <c r="Q61">
        <v>1</v>
      </c>
      <c r="R61">
        <v>0</v>
      </c>
    </row>
    <row r="62" spans="1:18">
      <c r="A62" s="12" t="s">
        <v>32</v>
      </c>
      <c r="B62" t="s">
        <v>47</v>
      </c>
      <c r="C62" t="s">
        <v>3</v>
      </c>
      <c r="D62">
        <v>109481585</v>
      </c>
      <c r="E62" t="s">
        <v>918</v>
      </c>
      <c r="F62" t="s">
        <v>891</v>
      </c>
      <c r="G62">
        <v>0</v>
      </c>
      <c r="H62">
        <v>0</v>
      </c>
      <c r="I62">
        <v>0</v>
      </c>
      <c r="J62">
        <v>0</v>
      </c>
      <c r="K62">
        <v>0.11</v>
      </c>
      <c r="L62" t="s">
        <v>48</v>
      </c>
      <c r="M62">
        <v>0</v>
      </c>
      <c r="N62">
        <v>0</v>
      </c>
      <c r="O62" t="s">
        <v>46</v>
      </c>
      <c r="P62" t="s">
        <v>34</v>
      </c>
      <c r="Q62">
        <v>0</v>
      </c>
      <c r="R62">
        <v>0</v>
      </c>
    </row>
    <row r="63" spans="1:18">
      <c r="A63" s="12" t="s">
        <v>32</v>
      </c>
      <c r="B63" t="s">
        <v>47</v>
      </c>
      <c r="C63" t="s">
        <v>3</v>
      </c>
      <c r="D63">
        <v>109481593</v>
      </c>
      <c r="E63" t="s">
        <v>899</v>
      </c>
      <c r="F63" t="s">
        <v>891</v>
      </c>
      <c r="G63">
        <v>0</v>
      </c>
      <c r="H63">
        <v>0</v>
      </c>
      <c r="I63">
        <v>0</v>
      </c>
      <c r="J63">
        <v>0</v>
      </c>
      <c r="K63">
        <v>0.18</v>
      </c>
      <c r="L63" t="s">
        <v>48</v>
      </c>
      <c r="M63">
        <v>3</v>
      </c>
      <c r="N63">
        <v>16.54</v>
      </c>
      <c r="O63" t="s">
        <v>46</v>
      </c>
      <c r="P63" t="s">
        <v>34</v>
      </c>
      <c r="Q63">
        <v>3</v>
      </c>
      <c r="R63">
        <v>16.54</v>
      </c>
    </row>
    <row r="64" spans="1:18">
      <c r="A64" s="12" t="s">
        <v>32</v>
      </c>
      <c r="B64" t="s">
        <v>47</v>
      </c>
      <c r="C64" t="s">
        <v>3</v>
      </c>
      <c r="D64">
        <v>109484333</v>
      </c>
      <c r="E64" t="s">
        <v>900</v>
      </c>
      <c r="F64" t="s">
        <v>891</v>
      </c>
      <c r="G64">
        <v>0</v>
      </c>
      <c r="H64">
        <v>0</v>
      </c>
      <c r="I64">
        <v>0</v>
      </c>
      <c r="J64">
        <v>0</v>
      </c>
      <c r="K64">
        <v>0.2</v>
      </c>
      <c r="L64" t="s">
        <v>48</v>
      </c>
      <c r="M64">
        <v>2</v>
      </c>
      <c r="N64">
        <v>10.23</v>
      </c>
      <c r="O64" t="s">
        <v>46</v>
      </c>
      <c r="P64" t="s">
        <v>34</v>
      </c>
      <c r="Q64">
        <v>2</v>
      </c>
      <c r="R64">
        <v>10.23</v>
      </c>
    </row>
    <row r="65" spans="1:11">
      <c r="A65" s="12" t="s">
        <v>32</v>
      </c>
      <c r="B65" t="s">
        <v>346</v>
      </c>
      <c r="C65" t="s">
        <v>3</v>
      </c>
      <c r="D65">
        <v>108920720</v>
      </c>
      <c r="E65" t="s">
        <v>930</v>
      </c>
      <c r="F65" t="s">
        <v>891</v>
      </c>
      <c r="G65">
        <v>0</v>
      </c>
      <c r="H65">
        <v>0</v>
      </c>
      <c r="I65">
        <v>0</v>
      </c>
      <c r="J65">
        <v>0</v>
      </c>
      <c r="K65">
        <v>0.75</v>
      </c>
    </row>
    <row r="66" spans="1:11">
      <c r="A66" s="12" t="s">
        <v>32</v>
      </c>
      <c r="B66" t="s">
        <v>359</v>
      </c>
      <c r="C66" t="s">
        <v>3</v>
      </c>
      <c r="D66">
        <v>100272324</v>
      </c>
      <c r="E66" t="s">
        <v>931</v>
      </c>
      <c r="F66" t="s">
        <v>891</v>
      </c>
      <c r="G66">
        <v>0</v>
      </c>
      <c r="H66">
        <v>0</v>
      </c>
      <c r="I66">
        <v>0</v>
      </c>
      <c r="J66">
        <v>0</v>
      </c>
      <c r="K66">
        <v>1</v>
      </c>
    </row>
    <row r="67" spans="1:11">
      <c r="A67" s="12" t="s">
        <v>32</v>
      </c>
      <c r="B67" t="s">
        <v>373</v>
      </c>
      <c r="C67" t="s">
        <v>3</v>
      </c>
      <c r="D67">
        <v>100218458</v>
      </c>
      <c r="E67" t="s">
        <v>932</v>
      </c>
      <c r="F67" t="s">
        <v>891</v>
      </c>
      <c r="G67">
        <v>0</v>
      </c>
      <c r="H67">
        <v>0</v>
      </c>
      <c r="I67">
        <v>0</v>
      </c>
      <c r="J67">
        <v>0</v>
      </c>
      <c r="K67">
        <v>1</v>
      </c>
    </row>
    <row r="68" spans="1:11">
      <c r="A68" s="12" t="s">
        <v>32</v>
      </c>
      <c r="B68" t="s">
        <v>373</v>
      </c>
      <c r="C68" t="s">
        <v>3</v>
      </c>
      <c r="D68">
        <v>102425772</v>
      </c>
      <c r="E68" t="s">
        <v>933</v>
      </c>
      <c r="F68" t="s">
        <v>891</v>
      </c>
      <c r="G68">
        <v>0</v>
      </c>
      <c r="H68">
        <v>0</v>
      </c>
      <c r="I68">
        <v>0</v>
      </c>
      <c r="J68">
        <v>0</v>
      </c>
      <c r="K68">
        <v>1</v>
      </c>
    </row>
    <row r="69" spans="1:11">
      <c r="A69" s="12" t="s">
        <v>4</v>
      </c>
    </row>
    <row r="70" spans="1:11">
      <c r="A70" s="12"/>
    </row>
    <row r="71" spans="1:11">
      <c r="A71" s="12"/>
    </row>
    <row r="72" spans="1:11">
      <c r="A72" s="12"/>
    </row>
    <row r="73" spans="1:11">
      <c r="A73" s="12"/>
    </row>
    <row r="74" spans="1:11">
      <c r="A74" s="12"/>
    </row>
    <row r="75" spans="1:11">
      <c r="A75" s="12"/>
    </row>
    <row r="76" spans="1:11">
      <c r="A76" s="12"/>
    </row>
    <row r="77" spans="1:11">
      <c r="A77" s="12"/>
    </row>
    <row r="78" spans="1:11">
      <c r="A78" s="12"/>
    </row>
    <row r="79" spans="1:11">
      <c r="A79" s="12"/>
    </row>
    <row r="80" spans="1:11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workbookViewId="0">
      <selection sqref="A1:A1048576"/>
    </sheetView>
  </sheetViews>
  <sheetFormatPr defaultRowHeight="16.5"/>
  <cols>
    <col min="1" max="1" width="18.425781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387</v>
      </c>
      <c r="B1" s="11" t="s">
        <v>388</v>
      </c>
      <c r="C1" s="11" t="s">
        <v>389</v>
      </c>
      <c r="D1" s="11" t="s">
        <v>390</v>
      </c>
      <c r="E1" s="11" t="s">
        <v>391</v>
      </c>
      <c r="F1" s="11" t="s">
        <v>392</v>
      </c>
      <c r="G1" s="11" t="s">
        <v>17</v>
      </c>
      <c r="H1" s="11" t="s">
        <v>393</v>
      </c>
      <c r="I1" s="11" t="s">
        <v>394</v>
      </c>
      <c r="J1" s="11" t="s">
        <v>395</v>
      </c>
      <c r="K1" s="11" t="s">
        <v>396</v>
      </c>
      <c r="L1" s="11" t="s">
        <v>397</v>
      </c>
      <c r="M1" s="11" t="s">
        <v>398</v>
      </c>
      <c r="N1" s="11" t="s">
        <v>399</v>
      </c>
      <c r="O1" s="11" t="s">
        <v>400</v>
      </c>
      <c r="P1" s="11" t="s">
        <v>401</v>
      </c>
      <c r="Q1" s="11" t="s">
        <v>402</v>
      </c>
      <c r="R1" s="11" t="s">
        <v>403</v>
      </c>
      <c r="S1" s="11" t="s">
        <v>404</v>
      </c>
    </row>
    <row r="2" spans="1:19">
      <c r="A2" s="12" t="s">
        <v>405</v>
      </c>
      <c r="B2" s="11">
        <v>1</v>
      </c>
      <c r="C2" s="11" t="s">
        <v>406</v>
      </c>
      <c r="D2" s="11" t="s">
        <v>407</v>
      </c>
      <c r="E2" s="11" t="s">
        <v>408</v>
      </c>
      <c r="F2" s="11" t="s">
        <v>409</v>
      </c>
      <c r="G2" s="11" t="s">
        <v>410</v>
      </c>
      <c r="H2" s="11">
        <v>1</v>
      </c>
      <c r="I2" s="11">
        <v>0</v>
      </c>
      <c r="J2" s="11">
        <v>0</v>
      </c>
      <c r="K2" s="11">
        <v>5139.18</v>
      </c>
      <c r="L2" s="65">
        <v>1.94583571698208E-4</v>
      </c>
      <c r="M2" s="65">
        <v>1.94583571698208E-4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405</v>
      </c>
      <c r="B3" s="11">
        <v>2</v>
      </c>
      <c r="C3" s="11" t="s">
        <v>411</v>
      </c>
      <c r="D3" s="11" t="s">
        <v>412</v>
      </c>
      <c r="E3" s="11" t="s">
        <v>408</v>
      </c>
      <c r="F3" s="11" t="s">
        <v>409</v>
      </c>
      <c r="G3" s="11" t="s">
        <v>379</v>
      </c>
      <c r="H3" s="11">
        <v>0</v>
      </c>
      <c r="I3" s="11">
        <v>0</v>
      </c>
      <c r="J3" s="11">
        <v>0</v>
      </c>
      <c r="K3" s="11">
        <v>606.52000799999996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405</v>
      </c>
      <c r="B4" s="11">
        <v>3</v>
      </c>
      <c r="C4" s="11" t="s">
        <v>413</v>
      </c>
      <c r="D4" s="11" t="s">
        <v>414</v>
      </c>
      <c r="E4" s="11" t="s">
        <v>408</v>
      </c>
      <c r="F4" s="11" t="s">
        <v>409</v>
      </c>
      <c r="G4" s="11" t="s">
        <v>379</v>
      </c>
      <c r="H4" s="11">
        <v>0</v>
      </c>
      <c r="I4" s="11">
        <v>0</v>
      </c>
      <c r="J4" s="11">
        <v>0</v>
      </c>
      <c r="K4" s="11">
        <v>955.550015999999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405</v>
      </c>
      <c r="B5" s="11">
        <v>4</v>
      </c>
      <c r="C5" s="11" t="s">
        <v>415</v>
      </c>
      <c r="D5" s="11" t="s">
        <v>416</v>
      </c>
      <c r="E5" s="11" t="s">
        <v>408</v>
      </c>
      <c r="F5" s="11" t="s">
        <v>409</v>
      </c>
      <c r="G5" s="11" t="s">
        <v>379</v>
      </c>
      <c r="H5" s="11">
        <v>0</v>
      </c>
      <c r="I5" s="11">
        <v>0</v>
      </c>
      <c r="J5" s="11">
        <v>0</v>
      </c>
      <c r="K5" s="11">
        <v>250.85998799999999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405</v>
      </c>
      <c r="B6" s="11">
        <v>5</v>
      </c>
      <c r="C6" s="11" t="s">
        <v>417</v>
      </c>
      <c r="D6" s="11" t="s">
        <v>418</v>
      </c>
      <c r="E6" s="11" t="s">
        <v>408</v>
      </c>
      <c r="F6" s="11" t="s">
        <v>409</v>
      </c>
      <c r="G6" s="11" t="s">
        <v>379</v>
      </c>
      <c r="H6" s="11">
        <v>0</v>
      </c>
      <c r="I6" s="11">
        <v>0</v>
      </c>
      <c r="J6" s="11">
        <v>0</v>
      </c>
      <c r="K6" s="11">
        <v>27.029987999999999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405</v>
      </c>
      <c r="B7" s="11">
        <v>6</v>
      </c>
      <c r="C7" s="11" t="s">
        <v>419</v>
      </c>
      <c r="D7" s="11" t="s">
        <v>420</v>
      </c>
      <c r="E7" s="11" t="s">
        <v>408</v>
      </c>
      <c r="F7" s="11" t="s">
        <v>409</v>
      </c>
      <c r="G7" s="11" t="s">
        <v>379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405</v>
      </c>
      <c r="B8" s="11">
        <v>7</v>
      </c>
      <c r="C8" s="11" t="s">
        <v>421</v>
      </c>
      <c r="D8" s="11" t="s">
        <v>422</v>
      </c>
      <c r="E8" s="11" t="s">
        <v>408</v>
      </c>
      <c r="F8" s="11" t="s">
        <v>409</v>
      </c>
      <c r="G8" s="11" t="s">
        <v>379</v>
      </c>
      <c r="H8" s="11">
        <v>0</v>
      </c>
      <c r="I8" s="11">
        <v>0</v>
      </c>
      <c r="J8" s="11">
        <v>0</v>
      </c>
      <c r="K8" s="11">
        <v>10006.999991999999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405</v>
      </c>
      <c r="B9" s="11">
        <v>8</v>
      </c>
      <c r="C9" s="11" t="s">
        <v>423</v>
      </c>
      <c r="D9" s="11" t="s">
        <v>424</v>
      </c>
      <c r="E9" s="11" t="s">
        <v>408</v>
      </c>
      <c r="F9" s="11" t="s">
        <v>409</v>
      </c>
      <c r="G9" s="11" t="s">
        <v>379</v>
      </c>
      <c r="H9" s="11">
        <v>0</v>
      </c>
      <c r="I9" s="11">
        <v>0</v>
      </c>
      <c r="J9" s="11">
        <v>0</v>
      </c>
      <c r="K9" s="11">
        <v>10006.999991999999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405</v>
      </c>
      <c r="B10" s="11">
        <v>9</v>
      </c>
      <c r="C10" s="11" t="s">
        <v>425</v>
      </c>
      <c r="D10" s="11" t="s">
        <v>426</v>
      </c>
      <c r="E10" s="11" t="s">
        <v>408</v>
      </c>
      <c r="F10" s="11" t="s">
        <v>409</v>
      </c>
      <c r="G10" s="11" t="s">
        <v>379</v>
      </c>
      <c r="H10" s="11">
        <v>0</v>
      </c>
      <c r="I10" s="11">
        <v>0</v>
      </c>
      <c r="J10" s="11">
        <v>0</v>
      </c>
      <c r="K10" s="11">
        <v>10006.999991999999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405</v>
      </c>
      <c r="B11" s="11">
        <v>10</v>
      </c>
      <c r="C11" s="11" t="s">
        <v>427</v>
      </c>
      <c r="D11" s="11" t="s">
        <v>428</v>
      </c>
      <c r="E11" s="11" t="s">
        <v>408</v>
      </c>
      <c r="F11" s="11" t="s">
        <v>409</v>
      </c>
      <c r="G11" s="11" t="s">
        <v>379</v>
      </c>
      <c r="H11" s="11">
        <v>0</v>
      </c>
      <c r="I11" s="11">
        <v>0</v>
      </c>
      <c r="J11" s="11">
        <v>0</v>
      </c>
      <c r="K11" s="11">
        <v>10006.999991999999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405</v>
      </c>
      <c r="B12" s="11">
        <v>11</v>
      </c>
      <c r="C12" s="11" t="s">
        <v>429</v>
      </c>
      <c r="D12" s="11" t="s">
        <v>430</v>
      </c>
      <c r="E12" s="11" t="s">
        <v>408</v>
      </c>
      <c r="F12" s="11" t="s">
        <v>409</v>
      </c>
      <c r="G12" s="11" t="s">
        <v>379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405</v>
      </c>
      <c r="B13" s="11">
        <v>12</v>
      </c>
      <c r="C13" s="11" t="s">
        <v>431</v>
      </c>
      <c r="D13" s="11" t="s">
        <v>432</v>
      </c>
      <c r="E13" s="11" t="s">
        <v>408</v>
      </c>
      <c r="F13" s="11" t="s">
        <v>409</v>
      </c>
      <c r="G13" s="11" t="s">
        <v>433</v>
      </c>
      <c r="H13" s="11">
        <v>0</v>
      </c>
      <c r="I13" s="11">
        <v>0</v>
      </c>
      <c r="J13" s="11">
        <v>0</v>
      </c>
      <c r="K13" s="11">
        <v>45.380015999999998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405</v>
      </c>
      <c r="B14" s="11">
        <v>13</v>
      </c>
      <c r="C14" s="11" t="s">
        <v>434</v>
      </c>
      <c r="D14" s="11" t="s">
        <v>435</v>
      </c>
      <c r="E14" s="11" t="s">
        <v>408</v>
      </c>
      <c r="F14" s="11" t="s">
        <v>409</v>
      </c>
      <c r="G14" s="11" t="s">
        <v>433</v>
      </c>
      <c r="H14" s="11">
        <v>1</v>
      </c>
      <c r="I14" s="11">
        <v>0</v>
      </c>
      <c r="J14" s="11">
        <v>0</v>
      </c>
      <c r="K14" s="11">
        <v>71.240003999999999</v>
      </c>
      <c r="L14" s="11">
        <v>1.4037057044522299E-2</v>
      </c>
      <c r="M14" s="11">
        <v>1.4037057044522299E-2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405</v>
      </c>
      <c r="B15" s="11">
        <v>14</v>
      </c>
      <c r="C15" s="11" t="s">
        <v>436</v>
      </c>
      <c r="D15" s="11" t="s">
        <v>437</v>
      </c>
      <c r="E15" s="11" t="s">
        <v>408</v>
      </c>
      <c r="F15" s="11" t="s">
        <v>409</v>
      </c>
      <c r="G15" s="11" t="s">
        <v>46</v>
      </c>
      <c r="H15" s="11">
        <v>0</v>
      </c>
      <c r="I15" s="11">
        <v>0</v>
      </c>
      <c r="J15" s="11">
        <v>0</v>
      </c>
      <c r="K15" s="11">
        <v>11.959992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405</v>
      </c>
      <c r="B16" s="11">
        <v>15</v>
      </c>
      <c r="C16" s="11" t="s">
        <v>438</v>
      </c>
      <c r="D16" s="11" t="s">
        <v>439</v>
      </c>
      <c r="E16" s="11" t="s">
        <v>408</v>
      </c>
      <c r="F16" s="11" t="s">
        <v>409</v>
      </c>
      <c r="G16" s="11" t="s">
        <v>410</v>
      </c>
      <c r="H16" s="11">
        <v>1</v>
      </c>
      <c r="I16" s="11">
        <v>0</v>
      </c>
      <c r="J16" s="11">
        <v>0</v>
      </c>
      <c r="K16" s="11">
        <v>836.269992</v>
      </c>
      <c r="L16" s="11">
        <v>1.1957860613991699E-3</v>
      </c>
      <c r="M16" s="11">
        <v>1.1957860613991699E-3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405</v>
      </c>
      <c r="B17" s="11">
        <v>16</v>
      </c>
      <c r="C17" s="11" t="s">
        <v>440</v>
      </c>
      <c r="D17" s="11" t="s">
        <v>441</v>
      </c>
      <c r="E17" s="11" t="s">
        <v>408</v>
      </c>
      <c r="F17" s="11" t="s">
        <v>409</v>
      </c>
      <c r="G17" s="11" t="s">
        <v>379</v>
      </c>
      <c r="H17" s="11">
        <v>1</v>
      </c>
      <c r="I17" s="11">
        <v>0</v>
      </c>
      <c r="J17" s="11">
        <v>0</v>
      </c>
      <c r="K17" s="11">
        <v>64.819624224866999</v>
      </c>
      <c r="L17" s="11">
        <v>1.5427426677619699E-2</v>
      </c>
      <c r="M17" s="11">
        <v>1.5427426677619699E-2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405</v>
      </c>
      <c r="B18" s="11">
        <v>17</v>
      </c>
      <c r="C18" s="11" t="s">
        <v>442</v>
      </c>
      <c r="D18" s="11" t="s">
        <v>443</v>
      </c>
      <c r="E18" s="11" t="s">
        <v>408</v>
      </c>
      <c r="F18" s="11" t="s">
        <v>444</v>
      </c>
      <c r="G18" s="11" t="s">
        <v>433</v>
      </c>
      <c r="H18" s="11">
        <v>1860</v>
      </c>
      <c r="I18" s="11">
        <v>27.8961111111111</v>
      </c>
      <c r="J18" s="11">
        <v>66.675960408659094</v>
      </c>
      <c r="K18" s="11">
        <v>60.429996000000003</v>
      </c>
      <c r="L18" s="11">
        <v>30.7794162356059</v>
      </c>
      <c r="M18" s="11">
        <v>2.88330512449479</v>
      </c>
      <c r="N18" s="11">
        <v>1.10335867651983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405</v>
      </c>
      <c r="B19" s="11">
        <v>18</v>
      </c>
      <c r="C19" s="11" t="s">
        <v>445</v>
      </c>
      <c r="D19" s="11" t="s">
        <v>446</v>
      </c>
      <c r="E19" s="11" t="s">
        <v>408</v>
      </c>
      <c r="F19" s="11" t="s">
        <v>444</v>
      </c>
      <c r="G19" s="11" t="s">
        <v>379</v>
      </c>
      <c r="H19" s="11">
        <v>9522</v>
      </c>
      <c r="I19" s="11">
        <v>28.864166666666598</v>
      </c>
      <c r="J19" s="11">
        <v>329.89000202096003</v>
      </c>
      <c r="K19" s="11">
        <v>346.550004</v>
      </c>
      <c r="L19" s="11">
        <v>27.476554292580499</v>
      </c>
      <c r="M19" s="11">
        <v>-1.3876123740861299</v>
      </c>
      <c r="N19" s="11">
        <v>0.95192612382991104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405</v>
      </c>
      <c r="B20" s="11">
        <v>19</v>
      </c>
      <c r="C20" s="11" t="s">
        <v>447</v>
      </c>
      <c r="D20" s="11" t="s">
        <v>448</v>
      </c>
      <c r="E20" s="11" t="s">
        <v>408</v>
      </c>
      <c r="F20" s="11" t="s">
        <v>444</v>
      </c>
      <c r="G20" s="11" t="s">
        <v>379</v>
      </c>
      <c r="H20" s="11">
        <v>8708</v>
      </c>
      <c r="I20" s="11">
        <v>55.242222222222203</v>
      </c>
      <c r="J20" s="11">
        <v>157.63305040428</v>
      </c>
      <c r="K20" s="11">
        <v>184.20998399999999</v>
      </c>
      <c r="L20" s="11">
        <v>47.272139169177699</v>
      </c>
      <c r="M20" s="11">
        <v>-7.9700830530445002</v>
      </c>
      <c r="N20" s="11">
        <v>0.85572479287702496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405</v>
      </c>
      <c r="B21" s="11">
        <v>20</v>
      </c>
      <c r="C21" s="11" t="s">
        <v>449</v>
      </c>
      <c r="D21" s="11" t="s">
        <v>450</v>
      </c>
      <c r="E21" s="11" t="s">
        <v>408</v>
      </c>
      <c r="F21" s="11" t="s">
        <v>444</v>
      </c>
      <c r="G21" s="11" t="s">
        <v>379</v>
      </c>
      <c r="H21" s="11">
        <v>21</v>
      </c>
      <c r="I21" s="11">
        <v>0.19027777777777699</v>
      </c>
      <c r="J21" s="11">
        <v>110.36496350364899</v>
      </c>
      <c r="K21" s="11">
        <v>125.079984</v>
      </c>
      <c r="L21" s="11">
        <v>0.167892570245292</v>
      </c>
      <c r="M21" s="11">
        <v>-2.2385207532485699E-2</v>
      </c>
      <c r="N21" s="11">
        <v>0.882355113697885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405</v>
      </c>
      <c r="B22" s="11">
        <v>21</v>
      </c>
      <c r="C22" s="11" t="s">
        <v>451</v>
      </c>
      <c r="D22" s="11" t="s">
        <v>452</v>
      </c>
      <c r="E22" s="11" t="s">
        <v>408</v>
      </c>
      <c r="F22" s="11" t="s">
        <v>444</v>
      </c>
      <c r="G22" s="11" t="s">
        <v>379</v>
      </c>
      <c r="H22" s="11">
        <v>0</v>
      </c>
      <c r="I22" s="11">
        <v>0</v>
      </c>
      <c r="J22" s="11">
        <v>0</v>
      </c>
      <c r="K22" s="11">
        <v>129.53001599999999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405</v>
      </c>
      <c r="B23" s="11">
        <v>22</v>
      </c>
      <c r="C23" s="11" t="s">
        <v>453</v>
      </c>
      <c r="D23" s="11" t="s">
        <v>454</v>
      </c>
      <c r="E23" s="11" t="s">
        <v>408</v>
      </c>
      <c r="F23" s="11" t="s">
        <v>444</v>
      </c>
      <c r="G23" s="11" t="s">
        <v>379</v>
      </c>
      <c r="H23" s="11">
        <v>18251</v>
      </c>
      <c r="I23" s="11">
        <v>84.296666666666596</v>
      </c>
      <c r="J23" s="11">
        <v>216.509154177705</v>
      </c>
      <c r="K23" s="11">
        <v>243.617614825685</v>
      </c>
      <c r="L23" s="11">
        <v>74.916586032003494</v>
      </c>
      <c r="M23" s="11">
        <v>-9.3800806346631198</v>
      </c>
      <c r="N23" s="11">
        <v>0.88872536713990502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405</v>
      </c>
      <c r="B24" s="11">
        <v>23</v>
      </c>
      <c r="C24" s="11" t="s">
        <v>455</v>
      </c>
      <c r="D24" s="11" t="s">
        <v>456</v>
      </c>
      <c r="E24" s="11" t="s">
        <v>408</v>
      </c>
      <c r="F24" s="11" t="s">
        <v>444</v>
      </c>
      <c r="G24" s="11" t="s">
        <v>433</v>
      </c>
      <c r="H24" s="11">
        <v>0</v>
      </c>
      <c r="I24" s="11">
        <v>0</v>
      </c>
      <c r="J24" s="11">
        <v>0</v>
      </c>
      <c r="K24" s="11">
        <v>10006.999991999999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405</v>
      </c>
      <c r="B25" s="11">
        <v>24</v>
      </c>
      <c r="C25" s="11" t="s">
        <v>457</v>
      </c>
      <c r="D25" s="11" t="s">
        <v>458</v>
      </c>
      <c r="E25" s="11" t="s">
        <v>408</v>
      </c>
      <c r="F25" s="11" t="s">
        <v>444</v>
      </c>
      <c r="G25" s="11" t="s">
        <v>46</v>
      </c>
      <c r="H25" s="11">
        <v>0</v>
      </c>
      <c r="I25" s="11">
        <v>0</v>
      </c>
      <c r="J25" s="11">
        <v>0</v>
      </c>
      <c r="K25" s="11">
        <v>7.0499879999999999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405</v>
      </c>
      <c r="B26" s="11">
        <v>25</v>
      </c>
      <c r="C26" s="11" t="s">
        <v>459</v>
      </c>
      <c r="D26" s="11" t="s">
        <v>460</v>
      </c>
      <c r="E26" s="11" t="s">
        <v>408</v>
      </c>
      <c r="F26" s="11" t="s">
        <v>444</v>
      </c>
      <c r="G26" s="11" t="s">
        <v>410</v>
      </c>
      <c r="H26" s="11">
        <v>18251</v>
      </c>
      <c r="I26" s="11">
        <v>37.111666666666601</v>
      </c>
      <c r="J26" s="11">
        <v>491.78605110701898</v>
      </c>
      <c r="K26" s="11">
        <v>880.81999199999996</v>
      </c>
      <c r="L26" s="11">
        <v>20.720465209422699</v>
      </c>
      <c r="M26" s="11">
        <v>-16.391201457243898</v>
      </c>
      <c r="N26" s="11">
        <v>0.558327530680093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405</v>
      </c>
      <c r="B27" s="11">
        <v>26</v>
      </c>
      <c r="C27" s="11" t="s">
        <v>461</v>
      </c>
      <c r="D27" s="11" t="s">
        <v>462</v>
      </c>
      <c r="E27" s="11" t="s">
        <v>408</v>
      </c>
      <c r="F27" s="11" t="s">
        <v>444</v>
      </c>
      <c r="G27" s="11" t="s">
        <v>379</v>
      </c>
      <c r="H27" s="11">
        <v>18251</v>
      </c>
      <c r="I27" s="11">
        <v>149.30444444444399</v>
      </c>
      <c r="J27" s="11">
        <v>122.24016550820799</v>
      </c>
      <c r="K27" s="11">
        <v>144.372013901716</v>
      </c>
      <c r="L27" s="11">
        <v>126.416467477032</v>
      </c>
      <c r="M27" s="11">
        <v>-22.8879769674122</v>
      </c>
      <c r="N27" s="11">
        <v>0.84670264135419704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405</v>
      </c>
      <c r="B28" s="11">
        <v>27</v>
      </c>
      <c r="C28" s="11" t="s">
        <v>463</v>
      </c>
      <c r="D28" s="11" t="s">
        <v>464</v>
      </c>
      <c r="E28" s="11" t="s">
        <v>408</v>
      </c>
      <c r="F28" s="11" t="s">
        <v>465</v>
      </c>
      <c r="G28" s="11" t="s">
        <v>379</v>
      </c>
      <c r="H28" s="11">
        <v>3</v>
      </c>
      <c r="I28" s="11">
        <v>2.7777777777777701E-3</v>
      </c>
      <c r="J28" s="11">
        <v>1080</v>
      </c>
      <c r="K28" s="11">
        <v>69.900012000000004</v>
      </c>
      <c r="L28" s="11">
        <v>4.2918447567648399E-2</v>
      </c>
      <c r="M28" s="11">
        <v>4.01406697898707E-2</v>
      </c>
      <c r="N28" s="11">
        <v>15.4506411243534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405</v>
      </c>
      <c r="B29" s="11">
        <v>28</v>
      </c>
      <c r="C29" s="11" t="s">
        <v>466</v>
      </c>
      <c r="D29" s="11" t="s">
        <v>467</v>
      </c>
      <c r="E29" s="11" t="s">
        <v>408</v>
      </c>
      <c r="F29" s="11" t="s">
        <v>465</v>
      </c>
      <c r="G29" s="11" t="s">
        <v>379</v>
      </c>
      <c r="H29" s="11">
        <v>0</v>
      </c>
      <c r="I29" s="11">
        <v>0</v>
      </c>
      <c r="J29" s="11">
        <v>0</v>
      </c>
      <c r="K29" s="11">
        <v>10006.999991999999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405</v>
      </c>
      <c r="B30" s="11">
        <v>29</v>
      </c>
      <c r="C30" s="11" t="s">
        <v>468</v>
      </c>
      <c r="D30" s="11" t="s">
        <v>469</v>
      </c>
      <c r="E30" s="11" t="s">
        <v>408</v>
      </c>
      <c r="F30" s="11" t="s">
        <v>465</v>
      </c>
      <c r="G30" s="11" t="s">
        <v>379</v>
      </c>
      <c r="H30" s="11">
        <v>0</v>
      </c>
      <c r="I30" s="11">
        <v>0</v>
      </c>
      <c r="J30" s="11">
        <v>0</v>
      </c>
      <c r="K30" s="11">
        <v>166.389984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405</v>
      </c>
      <c r="B31" s="11">
        <v>30</v>
      </c>
      <c r="C31" s="11" t="s">
        <v>470</v>
      </c>
      <c r="D31" s="11" t="s">
        <v>471</v>
      </c>
      <c r="E31" s="11" t="s">
        <v>408</v>
      </c>
      <c r="F31" s="11" t="s">
        <v>465</v>
      </c>
      <c r="G31" s="11" t="s">
        <v>379</v>
      </c>
      <c r="H31" s="11">
        <v>0</v>
      </c>
      <c r="I31" s="11">
        <v>0</v>
      </c>
      <c r="J31" s="11">
        <v>0</v>
      </c>
      <c r="K31" s="11">
        <v>88.949988000000005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405</v>
      </c>
      <c r="B32" s="11">
        <v>31</v>
      </c>
      <c r="C32" s="11" t="s">
        <v>472</v>
      </c>
      <c r="D32" s="11" t="s">
        <v>473</v>
      </c>
      <c r="E32" s="11" t="s">
        <v>408</v>
      </c>
      <c r="F32" s="11" t="s">
        <v>465</v>
      </c>
      <c r="G32" s="11" t="s">
        <v>379</v>
      </c>
      <c r="H32" s="11">
        <v>0</v>
      </c>
      <c r="I32" s="11">
        <v>0</v>
      </c>
      <c r="J32" s="11">
        <v>0</v>
      </c>
      <c r="K32" s="11">
        <v>71.899991999999997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405</v>
      </c>
      <c r="B33" s="11">
        <v>32</v>
      </c>
      <c r="C33" s="11" t="s">
        <v>474</v>
      </c>
      <c r="D33" s="11" t="s">
        <v>475</v>
      </c>
      <c r="E33" s="11" t="s">
        <v>408</v>
      </c>
      <c r="F33" s="11" t="s">
        <v>465</v>
      </c>
      <c r="G33" s="11" t="s">
        <v>379</v>
      </c>
      <c r="H33" s="11">
        <v>0</v>
      </c>
      <c r="I33" s="11">
        <v>0</v>
      </c>
      <c r="J33" s="11">
        <v>0</v>
      </c>
      <c r="K33" s="11">
        <v>253.85000399999899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405</v>
      </c>
      <c r="B34" s="11">
        <v>33</v>
      </c>
      <c r="C34" s="11" t="s">
        <v>476</v>
      </c>
      <c r="D34" s="11" t="s">
        <v>477</v>
      </c>
      <c r="E34" s="11" t="s">
        <v>408</v>
      </c>
      <c r="F34" s="11" t="s">
        <v>465</v>
      </c>
      <c r="G34" s="11" t="s">
        <v>379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405</v>
      </c>
      <c r="B35" s="11">
        <v>34</v>
      </c>
      <c r="C35" s="11" t="s">
        <v>478</v>
      </c>
      <c r="D35" s="11" t="s">
        <v>479</v>
      </c>
      <c r="E35" s="11" t="s">
        <v>408</v>
      </c>
      <c r="F35" s="11" t="s">
        <v>465</v>
      </c>
      <c r="G35" s="11" t="s">
        <v>410</v>
      </c>
      <c r="H35" s="11">
        <v>3</v>
      </c>
      <c r="I35" s="11">
        <v>0</v>
      </c>
      <c r="J35" s="11">
        <v>0</v>
      </c>
      <c r="K35" s="11">
        <v>46958.519988</v>
      </c>
      <c r="L35" s="65">
        <v>6.3886170193750401E-5</v>
      </c>
      <c r="M35" s="65">
        <v>6.3886170193750401E-5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405</v>
      </c>
      <c r="B36" s="11">
        <v>35</v>
      </c>
      <c r="C36" s="11" t="s">
        <v>480</v>
      </c>
      <c r="D36" s="11" t="s">
        <v>481</v>
      </c>
      <c r="E36" s="11" t="s">
        <v>408</v>
      </c>
      <c r="F36" s="11" t="s">
        <v>465</v>
      </c>
      <c r="G36" s="11" t="s">
        <v>410</v>
      </c>
      <c r="H36" s="11">
        <v>3</v>
      </c>
      <c r="I36" s="11">
        <v>2.7777777777777701E-3</v>
      </c>
      <c r="J36" s="11">
        <v>1080</v>
      </c>
      <c r="K36" s="11">
        <v>69.796117127971499</v>
      </c>
      <c r="L36" s="11">
        <v>4.2982333737842202E-2</v>
      </c>
      <c r="M36" s="11">
        <v>4.0204555960064399E-2</v>
      </c>
      <c r="N36" s="11">
        <v>15.4736401456232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405</v>
      </c>
      <c r="B37" s="11">
        <v>36</v>
      </c>
      <c r="C37" s="11" t="s">
        <v>482</v>
      </c>
      <c r="D37" s="11" t="s">
        <v>483</v>
      </c>
      <c r="E37" s="11" t="s">
        <v>408</v>
      </c>
      <c r="F37" s="11" t="s">
        <v>484</v>
      </c>
      <c r="G37" s="11" t="s">
        <v>379</v>
      </c>
      <c r="H37" s="11">
        <v>1759</v>
      </c>
      <c r="I37" s="11">
        <v>5.7052777777777699</v>
      </c>
      <c r="J37" s="11">
        <v>308.311018063196</v>
      </c>
      <c r="K37" s="11">
        <v>297.63</v>
      </c>
      <c r="L37" s="11">
        <v>5.9100225111715803</v>
      </c>
      <c r="M37" s="11">
        <v>0.20474473339381</v>
      </c>
      <c r="N37" s="11">
        <v>1.03588690005441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405</v>
      </c>
      <c r="B38" s="11">
        <v>37</v>
      </c>
      <c r="C38" s="11" t="s">
        <v>485</v>
      </c>
      <c r="D38" s="11" t="s">
        <v>486</v>
      </c>
      <c r="E38" s="11" t="s">
        <v>408</v>
      </c>
      <c r="F38" s="11" t="s">
        <v>484</v>
      </c>
      <c r="G38" s="11" t="s">
        <v>379</v>
      </c>
      <c r="H38" s="11">
        <v>1494</v>
      </c>
      <c r="I38" s="11">
        <v>9.6958333333333293</v>
      </c>
      <c r="J38" s="11">
        <v>154.08680704770001</v>
      </c>
      <c r="K38" s="11">
        <v>168.810012</v>
      </c>
      <c r="L38" s="11">
        <v>8.8501859711970106</v>
      </c>
      <c r="M38" s="11">
        <v>-0.84564736213631697</v>
      </c>
      <c r="N38" s="11">
        <v>0.91278239496660196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405</v>
      </c>
      <c r="B39" s="11">
        <v>38</v>
      </c>
      <c r="C39" s="11" t="s">
        <v>487</v>
      </c>
      <c r="D39" s="11" t="s">
        <v>488</v>
      </c>
      <c r="E39" s="11" t="s">
        <v>408</v>
      </c>
      <c r="F39" s="11" t="s">
        <v>484</v>
      </c>
      <c r="G39" s="11" t="s">
        <v>379</v>
      </c>
      <c r="H39" s="11">
        <v>11</v>
      </c>
      <c r="I39" s="11">
        <v>0.108055555555555</v>
      </c>
      <c r="J39" s="11">
        <v>101.79948586118201</v>
      </c>
      <c r="K39" s="11">
        <v>120.279996</v>
      </c>
      <c r="L39" s="11">
        <v>9.1453278731402604E-2</v>
      </c>
      <c r="M39" s="11">
        <v>-1.6602276824152801E-2</v>
      </c>
      <c r="N39" s="11">
        <v>0.84635425047056401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405</v>
      </c>
      <c r="B40" s="11">
        <v>39</v>
      </c>
      <c r="C40" s="11" t="s">
        <v>489</v>
      </c>
      <c r="D40" s="11" t="s">
        <v>490</v>
      </c>
      <c r="E40" s="11" t="s">
        <v>408</v>
      </c>
      <c r="F40" s="11" t="s">
        <v>484</v>
      </c>
      <c r="G40" s="11" t="s">
        <v>379</v>
      </c>
      <c r="H40" s="11">
        <v>0</v>
      </c>
      <c r="I40" s="11">
        <v>0</v>
      </c>
      <c r="J40" s="11">
        <v>0</v>
      </c>
      <c r="K40" s="11">
        <v>171.87998400000001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405</v>
      </c>
      <c r="B41" s="11">
        <v>40</v>
      </c>
      <c r="C41" s="11" t="s">
        <v>491</v>
      </c>
      <c r="D41" s="11" t="s">
        <v>492</v>
      </c>
      <c r="E41" s="11" t="s">
        <v>408</v>
      </c>
      <c r="F41" s="11" t="s">
        <v>484</v>
      </c>
      <c r="G41" s="11" t="s">
        <v>379</v>
      </c>
      <c r="H41" s="11">
        <v>3264</v>
      </c>
      <c r="I41" s="11">
        <v>15.5091666666666</v>
      </c>
      <c r="J41" s="11">
        <v>210.45618182795101</v>
      </c>
      <c r="K41" s="11">
        <v>219.773386473773</v>
      </c>
      <c r="L41" s="11">
        <v>14.851661761100001</v>
      </c>
      <c r="M41" s="11">
        <v>-0.65750490556665797</v>
      </c>
      <c r="N41" s="11">
        <v>0.95760540074794498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405</v>
      </c>
      <c r="B42" s="11">
        <v>41</v>
      </c>
      <c r="C42" s="11" t="s">
        <v>493</v>
      </c>
      <c r="D42" s="11" t="s">
        <v>494</v>
      </c>
      <c r="E42" s="11" t="s">
        <v>408</v>
      </c>
      <c r="F42" s="11" t="s">
        <v>484</v>
      </c>
      <c r="G42" s="11" t="s">
        <v>433</v>
      </c>
      <c r="H42" s="11">
        <v>0</v>
      </c>
      <c r="I42" s="11">
        <v>0</v>
      </c>
      <c r="J42" s="11">
        <v>0</v>
      </c>
      <c r="K42" s="11">
        <v>10006.999991999999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405</v>
      </c>
      <c r="B43" s="11">
        <v>42</v>
      </c>
      <c r="C43" s="11" t="s">
        <v>495</v>
      </c>
      <c r="D43" s="11" t="s">
        <v>496</v>
      </c>
      <c r="E43" s="11" t="s">
        <v>408</v>
      </c>
      <c r="F43" s="11" t="s">
        <v>484</v>
      </c>
      <c r="G43" s="11" t="s">
        <v>46</v>
      </c>
      <c r="H43" s="11">
        <v>0</v>
      </c>
      <c r="I43" s="11">
        <v>0</v>
      </c>
      <c r="J43" s="11">
        <v>0</v>
      </c>
      <c r="K43" s="11">
        <v>6.760008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405</v>
      </c>
      <c r="B44" s="11">
        <v>43</v>
      </c>
      <c r="C44" s="11" t="s">
        <v>497</v>
      </c>
      <c r="D44" s="11" t="s">
        <v>498</v>
      </c>
      <c r="E44" s="11" t="s">
        <v>408</v>
      </c>
      <c r="F44" s="11" t="s">
        <v>484</v>
      </c>
      <c r="G44" s="11" t="s">
        <v>379</v>
      </c>
      <c r="H44" s="11">
        <v>3264</v>
      </c>
      <c r="I44" s="11">
        <v>5.4458333333333302</v>
      </c>
      <c r="J44" s="11">
        <v>599.357306809487</v>
      </c>
      <c r="K44" s="11">
        <v>347.919984</v>
      </c>
      <c r="L44" s="11">
        <v>9.3814674353399603</v>
      </c>
      <c r="M44" s="11">
        <v>3.9356341020066199</v>
      </c>
      <c r="N44" s="11">
        <v>1.7226872107739699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405</v>
      </c>
      <c r="B45" s="11">
        <v>44</v>
      </c>
      <c r="C45" s="11" t="s">
        <v>499</v>
      </c>
      <c r="D45" s="11" t="s">
        <v>500</v>
      </c>
      <c r="E45" s="11" t="s">
        <v>408</v>
      </c>
      <c r="F45" s="11" t="s">
        <v>484</v>
      </c>
      <c r="G45" s="11" t="s">
        <v>379</v>
      </c>
      <c r="H45" s="11">
        <v>3264</v>
      </c>
      <c r="I45" s="11">
        <v>20.954999999999998</v>
      </c>
      <c r="J45" s="11">
        <v>155.76234788833199</v>
      </c>
      <c r="K45" s="11">
        <v>134.69164355709799</v>
      </c>
      <c r="L45" s="11">
        <v>24.233129196439901</v>
      </c>
      <c r="M45" s="11">
        <v>3.2781291964399699</v>
      </c>
      <c r="N45" s="11">
        <v>1.15643661161727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405</v>
      </c>
      <c r="B46" s="11">
        <v>45</v>
      </c>
      <c r="C46" s="11" t="s">
        <v>501</v>
      </c>
      <c r="D46" s="11" t="s">
        <v>502</v>
      </c>
      <c r="E46" s="11" t="s">
        <v>408</v>
      </c>
      <c r="F46" s="11" t="s">
        <v>503</v>
      </c>
      <c r="G46" s="11" t="s">
        <v>433</v>
      </c>
      <c r="H46" s="11">
        <v>0</v>
      </c>
      <c r="I46" s="11">
        <v>0</v>
      </c>
      <c r="J46" s="11">
        <v>0</v>
      </c>
      <c r="K46" s="11">
        <v>10006.999991999999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405</v>
      </c>
      <c r="B47" s="11">
        <v>46</v>
      </c>
      <c r="C47" s="11" t="s">
        <v>504</v>
      </c>
      <c r="D47" s="11" t="s">
        <v>505</v>
      </c>
      <c r="E47" s="11" t="s">
        <v>408</v>
      </c>
      <c r="F47" s="11" t="s">
        <v>503</v>
      </c>
      <c r="G47" s="11" t="s">
        <v>506</v>
      </c>
      <c r="H47" s="11">
        <v>0</v>
      </c>
      <c r="I47" s="11">
        <v>0</v>
      </c>
      <c r="J47" s="11">
        <v>0</v>
      </c>
      <c r="K47" s="11">
        <v>87.990011999999993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405</v>
      </c>
      <c r="B48" s="11">
        <v>47</v>
      </c>
      <c r="C48" s="11" t="s">
        <v>507</v>
      </c>
      <c r="D48" s="11" t="s">
        <v>508</v>
      </c>
      <c r="E48" s="11" t="s">
        <v>408</v>
      </c>
      <c r="F48" s="11" t="s">
        <v>503</v>
      </c>
      <c r="G48" s="11" t="s">
        <v>46</v>
      </c>
      <c r="H48" s="11">
        <v>0</v>
      </c>
      <c r="I48" s="11">
        <v>0</v>
      </c>
      <c r="J48" s="11">
        <v>0</v>
      </c>
      <c r="K48" s="11">
        <v>11.239992000000001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405</v>
      </c>
      <c r="B49" s="11">
        <v>48</v>
      </c>
      <c r="C49" s="11" t="s">
        <v>509</v>
      </c>
      <c r="D49" s="11" t="s">
        <v>510</v>
      </c>
      <c r="E49" s="11" t="s">
        <v>408</v>
      </c>
      <c r="F49" s="11" t="s">
        <v>503</v>
      </c>
      <c r="G49" s="11" t="s">
        <v>511</v>
      </c>
      <c r="H49" s="11">
        <v>0</v>
      </c>
      <c r="I49" s="11">
        <v>0</v>
      </c>
      <c r="J49" s="11">
        <v>0</v>
      </c>
      <c r="K49" s="11">
        <v>9.0299879999999995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405</v>
      </c>
      <c r="B50" s="11">
        <v>49</v>
      </c>
      <c r="C50" s="11" t="s">
        <v>512</v>
      </c>
      <c r="D50" s="11" t="s">
        <v>513</v>
      </c>
      <c r="E50" s="11" t="s">
        <v>408</v>
      </c>
      <c r="F50" s="11" t="s">
        <v>503</v>
      </c>
      <c r="G50" s="11" t="s">
        <v>410</v>
      </c>
      <c r="H50" s="11">
        <v>34818</v>
      </c>
      <c r="I50" s="11">
        <v>2.6736111111111098</v>
      </c>
      <c r="J50" s="11">
        <v>13022.836363636299</v>
      </c>
      <c r="K50" s="11">
        <v>83936.059991999995</v>
      </c>
      <c r="L50" s="11">
        <v>0.41481575384070302</v>
      </c>
      <c r="M50" s="11">
        <v>-2.2587953572704</v>
      </c>
      <c r="N50" s="11">
        <v>0.15515186637158701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405</v>
      </c>
      <c r="B51" s="11">
        <v>50</v>
      </c>
      <c r="C51" s="11" t="s">
        <v>514</v>
      </c>
      <c r="D51" s="11" t="s">
        <v>515</v>
      </c>
      <c r="E51" s="11" t="s">
        <v>408</v>
      </c>
      <c r="F51" s="11" t="s">
        <v>503</v>
      </c>
      <c r="G51" s="11" t="s">
        <v>410</v>
      </c>
      <c r="H51" s="11">
        <v>34818</v>
      </c>
      <c r="I51" s="11">
        <v>2.6736111111111098</v>
      </c>
      <c r="J51" s="11">
        <v>13022.836363636299</v>
      </c>
      <c r="K51" s="11">
        <v>83936.059991999995</v>
      </c>
      <c r="L51" s="11">
        <v>0.41481575384070302</v>
      </c>
      <c r="M51" s="11">
        <v>-2.2587953572704</v>
      </c>
      <c r="N51" s="11">
        <v>0.15515186637158701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405</v>
      </c>
      <c r="B52" s="11">
        <v>51</v>
      </c>
      <c r="C52" s="11" t="s">
        <v>516</v>
      </c>
      <c r="D52" s="11" t="s">
        <v>517</v>
      </c>
      <c r="E52" s="11" t="s">
        <v>408</v>
      </c>
      <c r="F52" s="11" t="s">
        <v>517</v>
      </c>
      <c r="G52" s="11" t="s">
        <v>410</v>
      </c>
      <c r="H52" s="11">
        <v>18252</v>
      </c>
      <c r="I52" s="11">
        <v>2.8050000000000002</v>
      </c>
      <c r="J52" s="11">
        <v>6506.9518716577504</v>
      </c>
      <c r="K52" s="11">
        <v>5895.4700160000002</v>
      </c>
      <c r="L52" s="11">
        <v>3.0959363630830099</v>
      </c>
      <c r="M52" s="11">
        <v>0.29093636308301402</v>
      </c>
      <c r="N52" s="11">
        <v>1.10372062855009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405</v>
      </c>
      <c r="B53" s="11">
        <v>52</v>
      </c>
      <c r="C53" s="11" t="s">
        <v>518</v>
      </c>
      <c r="D53" s="11" t="s">
        <v>519</v>
      </c>
      <c r="E53" s="11" t="s">
        <v>408</v>
      </c>
      <c r="F53" s="11" t="s">
        <v>520</v>
      </c>
      <c r="G53" s="11" t="s">
        <v>410</v>
      </c>
      <c r="H53" s="11">
        <v>18252</v>
      </c>
      <c r="I53" s="11">
        <v>35.172777777777704</v>
      </c>
      <c r="J53" s="11">
        <v>518.92404163573406</v>
      </c>
      <c r="K53" s="11">
        <v>1163.2700159999999</v>
      </c>
      <c r="L53" s="11">
        <v>15.6902522621196</v>
      </c>
      <c r="M53" s="11">
        <v>-19.482525515658001</v>
      </c>
      <c r="N53" s="11">
        <v>0.44609079104445398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405</v>
      </c>
      <c r="B54" s="11">
        <v>53</v>
      </c>
      <c r="C54" s="11" t="s">
        <v>521</v>
      </c>
      <c r="D54" s="11" t="s">
        <v>522</v>
      </c>
      <c r="E54" s="11" t="s">
        <v>408</v>
      </c>
      <c r="F54" s="11" t="s">
        <v>523</v>
      </c>
      <c r="G54" s="11" t="s">
        <v>379</v>
      </c>
      <c r="H54" s="11">
        <v>18252</v>
      </c>
      <c r="I54" s="11">
        <v>210.91361111111101</v>
      </c>
      <c r="J54" s="11">
        <v>86.537800494936704</v>
      </c>
      <c r="K54" s="11">
        <v>107.422201522292</v>
      </c>
      <c r="L54" s="11">
        <v>169.909010812931</v>
      </c>
      <c r="M54" s="11">
        <v>-41.004600298180101</v>
      </c>
      <c r="N54" s="11">
        <v>0.80558580320082496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405</v>
      </c>
      <c r="B55" s="11">
        <v>54</v>
      </c>
      <c r="C55" s="11" t="s">
        <v>524</v>
      </c>
      <c r="D55" s="11" t="s">
        <v>525</v>
      </c>
      <c r="E55" s="11" t="s">
        <v>526</v>
      </c>
      <c r="F55" s="11" t="s">
        <v>527</v>
      </c>
      <c r="G55" s="11" t="s">
        <v>433</v>
      </c>
      <c r="H55" s="11">
        <v>0</v>
      </c>
      <c r="I55" s="11">
        <v>0</v>
      </c>
      <c r="J55" s="11">
        <v>0</v>
      </c>
      <c r="K55" s="11">
        <v>10006.999991999999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405</v>
      </c>
      <c r="B56" s="11">
        <v>55</v>
      </c>
      <c r="C56" s="11" t="s">
        <v>528</v>
      </c>
      <c r="D56" s="11" t="s">
        <v>529</v>
      </c>
      <c r="E56" s="11" t="s">
        <v>526</v>
      </c>
      <c r="F56" s="11" t="s">
        <v>527</v>
      </c>
      <c r="G56" s="11" t="s">
        <v>46</v>
      </c>
      <c r="H56" s="11">
        <v>0</v>
      </c>
      <c r="I56" s="11">
        <v>0</v>
      </c>
      <c r="J56" s="11">
        <v>0</v>
      </c>
      <c r="K56" s="11">
        <v>10006.999991999999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405</v>
      </c>
      <c r="B57" s="11">
        <v>56</v>
      </c>
      <c r="C57" s="11" t="s">
        <v>530</v>
      </c>
      <c r="D57" s="11" t="s">
        <v>531</v>
      </c>
      <c r="E57" s="11" t="s">
        <v>526</v>
      </c>
      <c r="F57" s="11" t="s">
        <v>532</v>
      </c>
      <c r="G57" s="11" t="s">
        <v>433</v>
      </c>
      <c r="H57" s="11">
        <v>0</v>
      </c>
      <c r="I57" s="11">
        <v>0</v>
      </c>
      <c r="J57" s="11">
        <v>0</v>
      </c>
      <c r="K57" s="11">
        <v>10006.999991999999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405</v>
      </c>
      <c r="B58" s="11">
        <v>57</v>
      </c>
      <c r="C58" s="11" t="s">
        <v>533</v>
      </c>
      <c r="D58" s="11" t="s">
        <v>534</v>
      </c>
      <c r="E58" s="11" t="s">
        <v>526</v>
      </c>
      <c r="F58" s="11" t="s">
        <v>532</v>
      </c>
      <c r="G58" s="11" t="s">
        <v>433</v>
      </c>
      <c r="H58" s="11">
        <v>0</v>
      </c>
      <c r="I58" s="11">
        <v>0</v>
      </c>
      <c r="J58" s="11">
        <v>0</v>
      </c>
      <c r="K58" s="11">
        <v>10006.999991999999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405</v>
      </c>
      <c r="B59" s="11">
        <v>58</v>
      </c>
      <c r="C59" s="11" t="s">
        <v>535</v>
      </c>
      <c r="D59" s="11" t="s">
        <v>536</v>
      </c>
      <c r="E59" s="11" t="s">
        <v>526</v>
      </c>
      <c r="F59" s="11" t="s">
        <v>537</v>
      </c>
      <c r="G59" s="11" t="s">
        <v>433</v>
      </c>
      <c r="H59" s="11">
        <v>0</v>
      </c>
      <c r="I59" s="11">
        <v>0</v>
      </c>
      <c r="J59" s="11">
        <v>0</v>
      </c>
      <c r="K59" s="11">
        <v>142.449984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405</v>
      </c>
      <c r="B60" s="11">
        <v>59</v>
      </c>
      <c r="C60" s="11" t="s">
        <v>538</v>
      </c>
      <c r="D60" s="11" t="s">
        <v>539</v>
      </c>
      <c r="E60" s="11" t="s">
        <v>526</v>
      </c>
      <c r="F60" s="11" t="s">
        <v>537</v>
      </c>
      <c r="G60" s="11" t="s">
        <v>379</v>
      </c>
      <c r="H60" s="11">
        <v>0</v>
      </c>
      <c r="I60" s="11">
        <v>0</v>
      </c>
      <c r="J60" s="11">
        <v>0</v>
      </c>
      <c r="K60" s="11">
        <v>469.199987999999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405</v>
      </c>
      <c r="B61" s="11">
        <v>60</v>
      </c>
      <c r="C61" s="11" t="s">
        <v>540</v>
      </c>
      <c r="D61" s="11" t="s">
        <v>541</v>
      </c>
      <c r="E61" s="11" t="s">
        <v>526</v>
      </c>
      <c r="F61" s="11" t="s">
        <v>537</v>
      </c>
      <c r="G61" s="11" t="s">
        <v>379</v>
      </c>
      <c r="H61" s="11">
        <v>0</v>
      </c>
      <c r="I61" s="11">
        <v>0</v>
      </c>
      <c r="J61" s="11">
        <v>0</v>
      </c>
      <c r="K61" s="11">
        <v>224.65000799999899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405</v>
      </c>
      <c r="B62" s="11">
        <v>61</v>
      </c>
      <c r="C62" s="11" t="s">
        <v>542</v>
      </c>
      <c r="D62" s="11" t="s">
        <v>543</v>
      </c>
      <c r="E62" s="11" t="s">
        <v>526</v>
      </c>
      <c r="F62" s="11" t="s">
        <v>537</v>
      </c>
      <c r="G62" s="11" t="s">
        <v>379</v>
      </c>
      <c r="H62" s="11">
        <v>0</v>
      </c>
      <c r="I62" s="11">
        <v>0</v>
      </c>
      <c r="J62" s="11">
        <v>0</v>
      </c>
      <c r="K62" s="11">
        <v>61.099992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405</v>
      </c>
      <c r="B63" s="11">
        <v>62</v>
      </c>
      <c r="C63" s="11" t="s">
        <v>544</v>
      </c>
      <c r="D63" s="11" t="s">
        <v>545</v>
      </c>
      <c r="E63" s="11" t="s">
        <v>526</v>
      </c>
      <c r="F63" s="11" t="s">
        <v>537</v>
      </c>
      <c r="G63" s="11" t="s">
        <v>379</v>
      </c>
      <c r="H63" s="11">
        <v>0</v>
      </c>
      <c r="I63" s="11">
        <v>0</v>
      </c>
      <c r="J63" s="11">
        <v>0</v>
      </c>
      <c r="K63" s="11">
        <v>427.11001199999998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405</v>
      </c>
      <c r="B64" s="11">
        <v>63</v>
      </c>
      <c r="C64" s="11" t="s">
        <v>546</v>
      </c>
      <c r="D64" s="11" t="s">
        <v>547</v>
      </c>
      <c r="E64" s="11" t="s">
        <v>526</v>
      </c>
      <c r="F64" s="11" t="s">
        <v>537</v>
      </c>
      <c r="G64" s="11" t="s">
        <v>410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405</v>
      </c>
      <c r="B65" s="11">
        <v>64</v>
      </c>
      <c r="C65" s="11" t="s">
        <v>548</v>
      </c>
      <c r="D65" s="11" t="s">
        <v>549</v>
      </c>
      <c r="E65" s="11" t="s">
        <v>526</v>
      </c>
      <c r="F65" s="11" t="s">
        <v>550</v>
      </c>
      <c r="G65" s="11" t="s">
        <v>379</v>
      </c>
      <c r="H65" s="11">
        <v>517</v>
      </c>
      <c r="I65" s="11">
        <v>1.4736111111111101</v>
      </c>
      <c r="J65" s="11">
        <v>350.83883129123399</v>
      </c>
      <c r="K65" s="11">
        <v>320.49</v>
      </c>
      <c r="L65" s="11">
        <v>1.6131548566257901</v>
      </c>
      <c r="M65" s="11">
        <v>0.13954374551467999</v>
      </c>
      <c r="N65" s="11">
        <v>1.0946950959194801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405</v>
      </c>
      <c r="B66" s="11">
        <v>65</v>
      </c>
      <c r="C66" s="11" t="s">
        <v>551</v>
      </c>
      <c r="D66" s="11" t="s">
        <v>552</v>
      </c>
      <c r="E66" s="11" t="s">
        <v>526</v>
      </c>
      <c r="F66" s="11" t="s">
        <v>550</v>
      </c>
      <c r="G66" s="11" t="s">
        <v>379</v>
      </c>
      <c r="H66" s="11">
        <v>490</v>
      </c>
      <c r="I66" s="11">
        <v>1.2888888888888801</v>
      </c>
      <c r="J66" s="11">
        <v>380.17241379310298</v>
      </c>
      <c r="K66" s="11">
        <v>282.769992</v>
      </c>
      <c r="L66" s="11">
        <v>1.73285714136173</v>
      </c>
      <c r="M66" s="11">
        <v>0.44396825247284299</v>
      </c>
      <c r="N66" s="11">
        <v>1.34445812691858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405</v>
      </c>
      <c r="B67" s="11">
        <v>66</v>
      </c>
      <c r="C67" s="11" t="s">
        <v>553</v>
      </c>
      <c r="D67" s="11" t="s">
        <v>554</v>
      </c>
      <c r="E67" s="11" t="s">
        <v>526</v>
      </c>
      <c r="F67" s="11" t="s">
        <v>550</v>
      </c>
      <c r="G67" s="11" t="s">
        <v>379</v>
      </c>
      <c r="H67" s="11">
        <v>1</v>
      </c>
      <c r="I67" s="11">
        <v>4.7222222222222197E-3</v>
      </c>
      <c r="J67" s="11">
        <v>211.76470588235199</v>
      </c>
      <c r="K67" s="11">
        <v>373.83998399999899</v>
      </c>
      <c r="L67" s="11">
        <v>2.6749412657796302E-3</v>
      </c>
      <c r="M67" s="65">
        <v>-2.0472809564425799E-3</v>
      </c>
      <c r="N67" s="11">
        <v>0.56645815040039404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405</v>
      </c>
      <c r="B68" s="11">
        <v>67</v>
      </c>
      <c r="C68" s="11" t="s">
        <v>555</v>
      </c>
      <c r="D68" s="11" t="s">
        <v>556</v>
      </c>
      <c r="E68" s="11" t="s">
        <v>526</v>
      </c>
      <c r="F68" s="11" t="s">
        <v>550</v>
      </c>
      <c r="G68" s="11" t="s">
        <v>379</v>
      </c>
      <c r="H68" s="11">
        <v>0</v>
      </c>
      <c r="I68" s="11">
        <v>0</v>
      </c>
      <c r="J68" s="11">
        <v>0</v>
      </c>
      <c r="K68" s="11">
        <v>514.90000799999996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405</v>
      </c>
      <c r="B69" s="11">
        <v>68</v>
      </c>
      <c r="C69" s="11" t="s">
        <v>557</v>
      </c>
      <c r="D69" s="11" t="s">
        <v>558</v>
      </c>
      <c r="E69" s="11" t="s">
        <v>526</v>
      </c>
      <c r="F69" s="11" t="s">
        <v>550</v>
      </c>
      <c r="G69" s="11" t="s">
        <v>379</v>
      </c>
      <c r="H69" s="11">
        <v>1008</v>
      </c>
      <c r="I69" s="11">
        <v>2.76722222222222</v>
      </c>
      <c r="J69" s="11">
        <v>364.26420397510498</v>
      </c>
      <c r="K69" s="11">
        <v>301.01350717029499</v>
      </c>
      <c r="L69" s="11">
        <v>3.3486869392532999</v>
      </c>
      <c r="M69" s="11">
        <v>0.58146471703108105</v>
      </c>
      <c r="N69" s="11">
        <v>1.2101257760802899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405</v>
      </c>
      <c r="B70" s="11">
        <v>69</v>
      </c>
      <c r="C70" s="11" t="s">
        <v>559</v>
      </c>
      <c r="D70" s="11" t="s">
        <v>560</v>
      </c>
      <c r="E70" s="11" t="s">
        <v>526</v>
      </c>
      <c r="F70" s="11" t="s">
        <v>560</v>
      </c>
      <c r="G70" s="11" t="s">
        <v>379</v>
      </c>
      <c r="H70" s="11">
        <v>964</v>
      </c>
      <c r="I70" s="11">
        <v>0.21722222222222201</v>
      </c>
      <c r="J70" s="11">
        <v>4437.8516624040903</v>
      </c>
      <c r="K70" s="11">
        <v>623.58998399999996</v>
      </c>
      <c r="L70" s="11">
        <v>1.5458875619143999</v>
      </c>
      <c r="M70" s="11">
        <v>1.3286653396921699</v>
      </c>
      <c r="N70" s="11">
        <v>7.1166179320867498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405</v>
      </c>
      <c r="B71" s="11">
        <v>70</v>
      </c>
      <c r="C71" s="11" t="s">
        <v>561</v>
      </c>
      <c r="D71" s="11" t="s">
        <v>562</v>
      </c>
      <c r="E71" s="11" t="s">
        <v>526</v>
      </c>
      <c r="F71" s="11" t="s">
        <v>562</v>
      </c>
      <c r="G71" s="11" t="s">
        <v>410</v>
      </c>
      <c r="H71" s="11">
        <v>964</v>
      </c>
      <c r="I71" s="11">
        <v>10.7805555555555</v>
      </c>
      <c r="J71" s="11">
        <v>89.420252512239102</v>
      </c>
      <c r="K71" s="11">
        <v>382.579992</v>
      </c>
      <c r="L71" s="11">
        <v>2.5197344873173599</v>
      </c>
      <c r="M71" s="11">
        <v>-8.2608210682381902</v>
      </c>
      <c r="N71" s="11">
        <v>0.23372955821547201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405</v>
      </c>
      <c r="B72" s="11">
        <v>71</v>
      </c>
      <c r="C72" s="11" t="s">
        <v>563</v>
      </c>
      <c r="D72" s="11" t="s">
        <v>564</v>
      </c>
      <c r="E72" s="11" t="s">
        <v>526</v>
      </c>
      <c r="F72" s="11" t="s">
        <v>564</v>
      </c>
      <c r="G72" s="11" t="s">
        <v>410</v>
      </c>
      <c r="H72" s="11">
        <v>964</v>
      </c>
      <c r="I72" s="11">
        <v>0</v>
      </c>
      <c r="J72" s="11">
        <v>0</v>
      </c>
      <c r="K72" s="11">
        <v>19833.3200159999</v>
      </c>
      <c r="L72" s="11">
        <v>4.8605074653276299E-2</v>
      </c>
      <c r="M72" s="11">
        <v>4.8605074653276299E-2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405</v>
      </c>
      <c r="B73" s="11">
        <v>72</v>
      </c>
      <c r="C73" s="11" t="s">
        <v>565</v>
      </c>
      <c r="D73" s="11" t="s">
        <v>566</v>
      </c>
      <c r="E73" s="11" t="s">
        <v>526</v>
      </c>
      <c r="F73" s="11" t="s">
        <v>567</v>
      </c>
      <c r="G73" s="11" t="s">
        <v>410</v>
      </c>
      <c r="H73" s="11">
        <v>964</v>
      </c>
      <c r="I73" s="11">
        <v>0</v>
      </c>
      <c r="J73" s="11">
        <v>0</v>
      </c>
      <c r="K73" s="11">
        <v>15919.3000079999</v>
      </c>
      <c r="L73" s="11">
        <v>6.0555426401635498E-2</v>
      </c>
      <c r="M73" s="11">
        <v>6.0555426401635498E-2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405</v>
      </c>
      <c r="B74" s="11">
        <v>73</v>
      </c>
      <c r="C74" s="11" t="s">
        <v>568</v>
      </c>
      <c r="D74" s="11" t="s">
        <v>569</v>
      </c>
      <c r="E74" s="11" t="s">
        <v>526</v>
      </c>
      <c r="F74" s="11" t="s">
        <v>523</v>
      </c>
      <c r="G74" s="11" t="s">
        <v>410</v>
      </c>
      <c r="H74" s="11">
        <v>964</v>
      </c>
      <c r="I74" s="11">
        <v>13.765000000000001</v>
      </c>
      <c r="J74" s="11">
        <v>70.032691609153602</v>
      </c>
      <c r="K74" s="11">
        <v>128.13237314782299</v>
      </c>
      <c r="L74" s="11">
        <v>7.5234694895399699</v>
      </c>
      <c r="M74" s="11">
        <v>-6.2415305104600201</v>
      </c>
      <c r="N74" s="11">
        <v>0.546565164514346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405</v>
      </c>
      <c r="B75" s="11">
        <v>74</v>
      </c>
      <c r="C75" s="11" t="s">
        <v>570</v>
      </c>
      <c r="D75" s="11" t="s">
        <v>571</v>
      </c>
      <c r="E75" s="11" t="s">
        <v>572</v>
      </c>
      <c r="F75" s="11" t="s">
        <v>573</v>
      </c>
      <c r="G75" s="11" t="s">
        <v>379</v>
      </c>
      <c r="H75" s="11">
        <v>5765</v>
      </c>
      <c r="I75" s="11">
        <v>28.181666666666601</v>
      </c>
      <c r="J75" s="11">
        <v>204.56561594417099</v>
      </c>
      <c r="K75" s="11">
        <v>388.92999600000002</v>
      </c>
      <c r="L75" s="11">
        <v>14.8227188936077</v>
      </c>
      <c r="M75" s="11">
        <v>-13.3589477730588</v>
      </c>
      <c r="N75" s="11">
        <v>0.52597027240905203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405</v>
      </c>
      <c r="B76" s="11">
        <v>75</v>
      </c>
      <c r="C76" s="11" t="s">
        <v>574</v>
      </c>
      <c r="D76" s="11" t="s">
        <v>575</v>
      </c>
      <c r="E76" s="11" t="s">
        <v>572</v>
      </c>
      <c r="F76" s="11" t="s">
        <v>573</v>
      </c>
      <c r="G76" s="11" t="s">
        <v>379</v>
      </c>
      <c r="H76" s="11">
        <v>4721</v>
      </c>
      <c r="I76" s="11">
        <v>24.900277777777699</v>
      </c>
      <c r="J76" s="11">
        <v>189.59627848863801</v>
      </c>
      <c r="K76" s="11">
        <v>329.52999599999998</v>
      </c>
      <c r="L76" s="11">
        <v>14.3264651391553</v>
      </c>
      <c r="M76" s="11">
        <v>-10.5738126386224</v>
      </c>
      <c r="N76" s="11">
        <v>0.57535362725716099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405</v>
      </c>
      <c r="B77" s="11">
        <v>76</v>
      </c>
      <c r="C77" s="11" t="s">
        <v>576</v>
      </c>
      <c r="D77" s="11" t="s">
        <v>577</v>
      </c>
      <c r="E77" s="11" t="s">
        <v>572</v>
      </c>
      <c r="F77" s="11" t="s">
        <v>573</v>
      </c>
      <c r="G77" s="11" t="s">
        <v>379</v>
      </c>
      <c r="H77" s="11">
        <v>43</v>
      </c>
      <c r="I77" s="11">
        <v>0.22805555555555501</v>
      </c>
      <c r="J77" s="11">
        <v>188.55054811205801</v>
      </c>
      <c r="K77" s="11">
        <v>256.34001599999999</v>
      </c>
      <c r="L77" s="11">
        <v>0.16774595192347899</v>
      </c>
      <c r="M77" s="11">
        <v>-6.0309603632075902E-2</v>
      </c>
      <c r="N77" s="11">
        <v>0.73554863206397803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405</v>
      </c>
      <c r="B78" s="11">
        <v>77</v>
      </c>
      <c r="C78" s="11" t="s">
        <v>578</v>
      </c>
      <c r="D78" s="11" t="s">
        <v>579</v>
      </c>
      <c r="E78" s="11" t="s">
        <v>572</v>
      </c>
      <c r="F78" s="11" t="s">
        <v>573</v>
      </c>
      <c r="G78" s="11" t="s">
        <v>379</v>
      </c>
      <c r="H78" s="11">
        <v>0</v>
      </c>
      <c r="I78" s="11">
        <v>0</v>
      </c>
      <c r="J78" s="11">
        <v>0</v>
      </c>
      <c r="K78" s="11">
        <v>446.60998799999999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405</v>
      </c>
      <c r="B79" s="11">
        <v>78</v>
      </c>
      <c r="C79" s="11" t="s">
        <v>580</v>
      </c>
      <c r="D79" s="11" t="s">
        <v>581</v>
      </c>
      <c r="E79" s="11" t="s">
        <v>572</v>
      </c>
      <c r="F79" s="11" t="s">
        <v>573</v>
      </c>
      <c r="G79" s="11" t="s">
        <v>379</v>
      </c>
      <c r="H79" s="11">
        <v>10529</v>
      </c>
      <c r="I79" s="11">
        <v>53.31</v>
      </c>
      <c r="J79" s="11">
        <v>197.50515850684599</v>
      </c>
      <c r="K79" s="11">
        <v>359.144016972435</v>
      </c>
      <c r="L79" s="11">
        <v>29.316929984686599</v>
      </c>
      <c r="M79" s="11">
        <v>-23.9930700153133</v>
      </c>
      <c r="N79" s="11">
        <v>0.54993303291477402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405</v>
      </c>
      <c r="B80" s="11">
        <v>79</v>
      </c>
      <c r="C80" s="11" t="s">
        <v>582</v>
      </c>
      <c r="D80" s="11" t="s">
        <v>583</v>
      </c>
      <c r="E80" s="11" t="s">
        <v>572</v>
      </c>
      <c r="F80" s="11" t="s">
        <v>573</v>
      </c>
      <c r="G80" s="11" t="s">
        <v>410</v>
      </c>
      <c r="H80" s="11">
        <v>11537</v>
      </c>
      <c r="I80" s="11">
        <v>3.5161111111111101</v>
      </c>
      <c r="J80" s="11">
        <v>3281.1818612735001</v>
      </c>
      <c r="K80" s="11">
        <v>2173.1799959999998</v>
      </c>
      <c r="L80" s="11">
        <v>5.3088101405475996</v>
      </c>
      <c r="M80" s="11">
        <v>1.79269902943649</v>
      </c>
      <c r="N80" s="11">
        <v>1.5098527813217999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405</v>
      </c>
      <c r="B81" s="11">
        <v>80</v>
      </c>
      <c r="C81" s="11" t="s">
        <v>584</v>
      </c>
      <c r="D81" s="11" t="s">
        <v>585</v>
      </c>
      <c r="E81" s="11" t="s">
        <v>572</v>
      </c>
      <c r="F81" s="11" t="s">
        <v>573</v>
      </c>
      <c r="G81" s="11" t="s">
        <v>410</v>
      </c>
      <c r="H81" s="11">
        <v>10529</v>
      </c>
      <c r="I81" s="11">
        <v>56.826111111111103</v>
      </c>
      <c r="J81" s="11">
        <v>185.284542512733</v>
      </c>
      <c r="K81" s="11">
        <v>304.08014274694898</v>
      </c>
      <c r="L81" s="11">
        <v>34.625740125234202</v>
      </c>
      <c r="M81" s="11">
        <v>-22.200370985876901</v>
      </c>
      <c r="N81" s="11">
        <v>0.609327991097808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405</v>
      </c>
      <c r="B82" s="11">
        <v>81</v>
      </c>
      <c r="C82" s="11" t="s">
        <v>586</v>
      </c>
      <c r="D82" s="11" t="s">
        <v>587</v>
      </c>
      <c r="E82" s="11" t="s">
        <v>572</v>
      </c>
      <c r="F82" s="11" t="s">
        <v>588</v>
      </c>
      <c r="G82" s="11" t="s">
        <v>379</v>
      </c>
      <c r="H82" s="11">
        <v>0</v>
      </c>
      <c r="I82" s="11">
        <v>0</v>
      </c>
      <c r="J82" s="11">
        <v>0</v>
      </c>
      <c r="K82" s="11">
        <v>434.980008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405</v>
      </c>
      <c r="B83" s="11">
        <v>82</v>
      </c>
      <c r="C83" s="11" t="s">
        <v>589</v>
      </c>
      <c r="D83" s="11" t="s">
        <v>590</v>
      </c>
      <c r="E83" s="11" t="s">
        <v>572</v>
      </c>
      <c r="F83" s="11" t="s">
        <v>588</v>
      </c>
      <c r="G83" s="11" t="s">
        <v>379</v>
      </c>
      <c r="H83" s="11">
        <v>0</v>
      </c>
      <c r="I83" s="11">
        <v>0</v>
      </c>
      <c r="J83" s="11">
        <v>0</v>
      </c>
      <c r="K83" s="11">
        <v>455.879987999999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405</v>
      </c>
      <c r="B84" s="11">
        <v>83</v>
      </c>
      <c r="C84" s="11" t="s">
        <v>591</v>
      </c>
      <c r="D84" s="11" t="s">
        <v>592</v>
      </c>
      <c r="E84" s="11" t="s">
        <v>572</v>
      </c>
      <c r="F84" s="11" t="s">
        <v>588</v>
      </c>
      <c r="G84" s="11" t="s">
        <v>379</v>
      </c>
      <c r="H84" s="11">
        <v>0</v>
      </c>
      <c r="I84" s="11">
        <v>0</v>
      </c>
      <c r="J84" s="11">
        <v>0</v>
      </c>
      <c r="K84" s="11">
        <v>723.21001200000001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405</v>
      </c>
      <c r="B85" s="11">
        <v>84</v>
      </c>
      <c r="C85" s="11" t="s">
        <v>593</v>
      </c>
      <c r="D85" s="11" t="s">
        <v>594</v>
      </c>
      <c r="E85" s="11" t="s">
        <v>572</v>
      </c>
      <c r="F85" s="11" t="s">
        <v>588</v>
      </c>
      <c r="G85" s="11" t="s">
        <v>379</v>
      </c>
      <c r="H85" s="11">
        <v>0</v>
      </c>
      <c r="I85" s="11">
        <v>0</v>
      </c>
      <c r="J85" s="11">
        <v>0</v>
      </c>
      <c r="K85" s="11">
        <v>0.100008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405</v>
      </c>
      <c r="B86" s="11">
        <v>85</v>
      </c>
      <c r="C86" s="11" t="s">
        <v>595</v>
      </c>
      <c r="D86" s="11" t="s">
        <v>596</v>
      </c>
      <c r="E86" s="11" t="s">
        <v>572</v>
      </c>
      <c r="F86" s="11" t="s">
        <v>588</v>
      </c>
      <c r="G86" s="11" t="s">
        <v>379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405</v>
      </c>
      <c r="B87" s="11">
        <v>86</v>
      </c>
      <c r="C87" s="11" t="s">
        <v>597</v>
      </c>
      <c r="D87" s="11" t="s">
        <v>598</v>
      </c>
      <c r="E87" s="11" t="s">
        <v>572</v>
      </c>
      <c r="F87" s="11" t="s">
        <v>588</v>
      </c>
      <c r="G87" s="11" t="s">
        <v>379</v>
      </c>
      <c r="H87" s="11">
        <v>3447</v>
      </c>
      <c r="I87" s="11">
        <v>18.7908333333333</v>
      </c>
      <c r="J87" s="11">
        <v>183.44050733957101</v>
      </c>
      <c r="K87" s="11">
        <v>254.08000799999999</v>
      </c>
      <c r="L87" s="11">
        <v>13.566592771832701</v>
      </c>
      <c r="M87" s="11">
        <v>-5.2242405615006096</v>
      </c>
      <c r="N87" s="11">
        <v>0.72197930401344901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405</v>
      </c>
      <c r="B88" s="11">
        <v>87</v>
      </c>
      <c r="C88" s="11" t="s">
        <v>599</v>
      </c>
      <c r="D88" s="11" t="s">
        <v>600</v>
      </c>
      <c r="E88" s="11" t="s">
        <v>572</v>
      </c>
      <c r="F88" s="11" t="s">
        <v>588</v>
      </c>
      <c r="G88" s="11" t="s">
        <v>379</v>
      </c>
      <c r="H88" s="11">
        <v>2985</v>
      </c>
      <c r="I88" s="11">
        <v>16.625</v>
      </c>
      <c r="J88" s="11">
        <v>179.54887218045101</v>
      </c>
      <c r="K88" s="11">
        <v>238.76999999999899</v>
      </c>
      <c r="L88" s="11">
        <v>12.501570549063899</v>
      </c>
      <c r="M88" s="11">
        <v>-4.1234294509360403</v>
      </c>
      <c r="N88" s="11">
        <v>0.75197416836474895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405</v>
      </c>
      <c r="B89" s="11">
        <v>88</v>
      </c>
      <c r="C89" s="11" t="s">
        <v>601</v>
      </c>
      <c r="D89" s="11" t="s">
        <v>602</v>
      </c>
      <c r="E89" s="11" t="s">
        <v>572</v>
      </c>
      <c r="F89" s="11" t="s">
        <v>588</v>
      </c>
      <c r="G89" s="11" t="s">
        <v>379</v>
      </c>
      <c r="H89" s="11">
        <v>35</v>
      </c>
      <c r="I89" s="11">
        <v>0.20361111111111099</v>
      </c>
      <c r="J89" s="11">
        <v>171.896316507503</v>
      </c>
      <c r="K89" s="11">
        <v>232.30000799999999</v>
      </c>
      <c r="L89" s="11">
        <v>0.150667235448394</v>
      </c>
      <c r="M89" s="11">
        <v>-5.29438756627163E-2</v>
      </c>
      <c r="N89" s="11">
        <v>0.73997550834136505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405</v>
      </c>
      <c r="B90" s="11">
        <v>89</v>
      </c>
      <c r="C90" s="11" t="s">
        <v>603</v>
      </c>
      <c r="D90" s="11" t="s">
        <v>604</v>
      </c>
      <c r="E90" s="11" t="s">
        <v>572</v>
      </c>
      <c r="F90" s="11" t="s">
        <v>588</v>
      </c>
      <c r="G90" s="11" t="s">
        <v>379</v>
      </c>
      <c r="H90" s="11">
        <v>0</v>
      </c>
      <c r="I90" s="11">
        <v>0</v>
      </c>
      <c r="J90" s="11">
        <v>0</v>
      </c>
      <c r="K90" s="11">
        <v>210.15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405</v>
      </c>
      <c r="B91" s="11">
        <v>90</v>
      </c>
      <c r="C91" s="11" t="s">
        <v>605</v>
      </c>
      <c r="D91" s="11" t="s">
        <v>606</v>
      </c>
      <c r="E91" s="11" t="s">
        <v>572</v>
      </c>
      <c r="F91" s="11" t="s">
        <v>588</v>
      </c>
      <c r="G91" s="11" t="s">
        <v>379</v>
      </c>
      <c r="H91" s="11">
        <v>6467</v>
      </c>
      <c r="I91" s="11">
        <v>35.619444444444397</v>
      </c>
      <c r="J91" s="11">
        <v>181.55813772128201</v>
      </c>
      <c r="K91" s="11">
        <v>246.65478447264101</v>
      </c>
      <c r="L91" s="11">
        <v>26.218830556345001</v>
      </c>
      <c r="M91" s="11">
        <v>-9.4006138880993806</v>
      </c>
      <c r="N91" s="11">
        <v>0.736081962121517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405</v>
      </c>
      <c r="B92" s="11">
        <v>91</v>
      </c>
      <c r="C92" s="11" t="s">
        <v>607</v>
      </c>
      <c r="D92" s="11" t="s">
        <v>608</v>
      </c>
      <c r="E92" s="11" t="s">
        <v>572</v>
      </c>
      <c r="F92" s="11" t="s">
        <v>588</v>
      </c>
      <c r="G92" s="11" t="s">
        <v>410</v>
      </c>
      <c r="H92" s="11">
        <v>6467</v>
      </c>
      <c r="I92" s="11">
        <v>1</v>
      </c>
      <c r="J92" s="11">
        <v>6467</v>
      </c>
      <c r="K92" s="11">
        <v>51908.510016</v>
      </c>
      <c r="L92" s="11">
        <v>0.124584581564884</v>
      </c>
      <c r="M92" s="11">
        <v>-0.87541541843511494</v>
      </c>
      <c r="N92" s="11">
        <v>0.124584581564884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405</v>
      </c>
      <c r="B93" s="11">
        <v>92</v>
      </c>
      <c r="C93" s="11" t="s">
        <v>609</v>
      </c>
      <c r="D93" s="11" t="s">
        <v>610</v>
      </c>
      <c r="E93" s="11" t="s">
        <v>572</v>
      </c>
      <c r="F93" s="11" t="s">
        <v>588</v>
      </c>
      <c r="G93" s="11" t="s">
        <v>379</v>
      </c>
      <c r="H93" s="11">
        <v>6467</v>
      </c>
      <c r="I93" s="11">
        <v>36.619444444444397</v>
      </c>
      <c r="J93" s="11">
        <v>176.60016688158899</v>
      </c>
      <c r="K93" s="11">
        <v>245.48829246871401</v>
      </c>
      <c r="L93" s="11">
        <v>26.343415137909901</v>
      </c>
      <c r="M93" s="11">
        <v>-10.276029306534401</v>
      </c>
      <c r="N93" s="11">
        <v>0.71938325492282296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405</v>
      </c>
      <c r="B94" s="11">
        <v>93</v>
      </c>
      <c r="C94" s="11" t="s">
        <v>611</v>
      </c>
      <c r="D94" s="11" t="s">
        <v>612</v>
      </c>
      <c r="E94" s="11" t="s">
        <v>572</v>
      </c>
      <c r="F94" s="11" t="s">
        <v>613</v>
      </c>
      <c r="G94" s="11" t="s">
        <v>379</v>
      </c>
      <c r="H94" s="11">
        <v>4679</v>
      </c>
      <c r="I94" s="11">
        <v>29.890277777777701</v>
      </c>
      <c r="J94" s="11">
        <v>156.539194275358</v>
      </c>
      <c r="K94" s="11">
        <v>170.200008</v>
      </c>
      <c r="L94" s="11">
        <v>27.491185546830199</v>
      </c>
      <c r="M94" s="11">
        <v>-2.3990922309474798</v>
      </c>
      <c r="N94" s="11">
        <v>0.91973670339286295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405</v>
      </c>
      <c r="B95" s="11">
        <v>94</v>
      </c>
      <c r="C95" s="11" t="s">
        <v>614</v>
      </c>
      <c r="D95" s="11" t="s">
        <v>615</v>
      </c>
      <c r="E95" s="11" t="s">
        <v>572</v>
      </c>
      <c r="F95" s="11" t="s">
        <v>613</v>
      </c>
      <c r="G95" s="11" t="s">
        <v>379</v>
      </c>
      <c r="H95" s="11">
        <v>3944</v>
      </c>
      <c r="I95" s="11">
        <v>24.087222222222199</v>
      </c>
      <c r="J95" s="11">
        <v>163.73826602394001</v>
      </c>
      <c r="K95" s="11">
        <v>174.080016</v>
      </c>
      <c r="L95" s="11">
        <v>22.656247917624199</v>
      </c>
      <c r="M95" s="11">
        <v>-1.43097430459794</v>
      </c>
      <c r="N95" s="11">
        <v>0.94059197480738199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405</v>
      </c>
      <c r="B96" s="11">
        <v>95</v>
      </c>
      <c r="C96" s="11" t="s">
        <v>616</v>
      </c>
      <c r="D96" s="11" t="s">
        <v>617</v>
      </c>
      <c r="E96" s="11" t="s">
        <v>572</v>
      </c>
      <c r="F96" s="11" t="s">
        <v>613</v>
      </c>
      <c r="G96" s="11" t="s">
        <v>379</v>
      </c>
      <c r="H96" s="11">
        <v>35</v>
      </c>
      <c r="I96" s="11">
        <v>0.188888888888888</v>
      </c>
      <c r="J96" s="11">
        <v>185.29411764705799</v>
      </c>
      <c r="K96" s="11">
        <v>154.19001599999899</v>
      </c>
      <c r="L96" s="11">
        <v>0.22699264782487599</v>
      </c>
      <c r="M96" s="11">
        <v>3.8103758935987102E-2</v>
      </c>
      <c r="N96" s="11">
        <v>1.20172578260228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405</v>
      </c>
      <c r="B97" s="11">
        <v>96</v>
      </c>
      <c r="C97" s="11" t="s">
        <v>618</v>
      </c>
      <c r="D97" s="11" t="s">
        <v>619</v>
      </c>
      <c r="E97" s="11" t="s">
        <v>572</v>
      </c>
      <c r="F97" s="11" t="s">
        <v>613</v>
      </c>
      <c r="G97" s="11" t="s">
        <v>379</v>
      </c>
      <c r="H97" s="11">
        <v>0</v>
      </c>
      <c r="I97" s="11">
        <v>0</v>
      </c>
      <c r="J97" s="11">
        <v>0</v>
      </c>
      <c r="K97" s="11">
        <v>179.04999599999999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405</v>
      </c>
      <c r="B98" s="11">
        <v>97</v>
      </c>
      <c r="C98" s="11" t="s">
        <v>620</v>
      </c>
      <c r="D98" s="11" t="s">
        <v>621</v>
      </c>
      <c r="E98" s="11" t="s">
        <v>572</v>
      </c>
      <c r="F98" s="11" t="s">
        <v>613</v>
      </c>
      <c r="G98" s="11" t="s">
        <v>379</v>
      </c>
      <c r="H98" s="11">
        <v>8658</v>
      </c>
      <c r="I98" s="11">
        <v>54.166388888888797</v>
      </c>
      <c r="J98" s="11">
        <v>159.84081969651101</v>
      </c>
      <c r="K98" s="11">
        <v>171.87292577194199</v>
      </c>
      <c r="L98" s="11">
        <v>50.374426112279401</v>
      </c>
      <c r="M98" s="11">
        <v>-3.7919627766094499</v>
      </c>
      <c r="N98" s="11">
        <v>0.929994174350668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405</v>
      </c>
      <c r="B99" s="11">
        <v>98</v>
      </c>
      <c r="C99" s="11" t="s">
        <v>622</v>
      </c>
      <c r="D99" s="11" t="s">
        <v>623</v>
      </c>
      <c r="E99" s="11" t="s">
        <v>572</v>
      </c>
      <c r="F99" s="11" t="s">
        <v>613</v>
      </c>
      <c r="G99" s="11" t="s">
        <v>41</v>
      </c>
      <c r="H99" s="11">
        <v>5305</v>
      </c>
      <c r="I99" s="11">
        <v>0</v>
      </c>
      <c r="J99" s="11">
        <v>0</v>
      </c>
      <c r="K99" s="65">
        <v>31176520.869995899</v>
      </c>
      <c r="L99" s="65">
        <v>1.70160102922372E-4</v>
      </c>
      <c r="M99" s="65">
        <v>1.70160102922372E-4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405</v>
      </c>
      <c r="B100" s="11">
        <v>99</v>
      </c>
      <c r="C100" s="11" t="s">
        <v>624</v>
      </c>
      <c r="D100" s="11" t="s">
        <v>625</v>
      </c>
      <c r="E100" s="11" t="s">
        <v>572</v>
      </c>
      <c r="F100" s="11" t="s">
        <v>613</v>
      </c>
      <c r="G100" s="11" t="s">
        <v>379</v>
      </c>
      <c r="H100" s="11">
        <v>0</v>
      </c>
      <c r="I100" s="11">
        <v>0</v>
      </c>
      <c r="J100" s="11">
        <v>0</v>
      </c>
      <c r="K100" s="11">
        <v>1318.7900159999999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405</v>
      </c>
      <c r="B101" s="11">
        <v>100</v>
      </c>
      <c r="C101" s="11" t="s">
        <v>626</v>
      </c>
      <c r="D101" s="11" t="s">
        <v>627</v>
      </c>
      <c r="E101" s="11" t="s">
        <v>572</v>
      </c>
      <c r="F101" s="11" t="s">
        <v>613</v>
      </c>
      <c r="G101" s="11" t="s">
        <v>379</v>
      </c>
      <c r="H101" s="11">
        <v>3129</v>
      </c>
      <c r="I101" s="11">
        <v>9.9813888888888798</v>
      </c>
      <c r="J101" s="11">
        <v>313.48342749005002</v>
      </c>
      <c r="K101" s="11">
        <v>465.58000800000002</v>
      </c>
      <c r="L101" s="11">
        <v>6.7206493969560599</v>
      </c>
      <c r="M101" s="11">
        <v>-3.2607394919328199</v>
      </c>
      <c r="N101" s="11">
        <v>0.67331805941729905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405</v>
      </c>
      <c r="B102" s="11">
        <v>101</v>
      </c>
      <c r="C102" s="11" t="s">
        <v>628</v>
      </c>
      <c r="D102" s="11" t="s">
        <v>629</v>
      </c>
      <c r="E102" s="11" t="s">
        <v>572</v>
      </c>
      <c r="F102" s="11" t="s">
        <v>613</v>
      </c>
      <c r="G102" s="11" t="s">
        <v>379</v>
      </c>
      <c r="H102" s="11">
        <v>412</v>
      </c>
      <c r="I102" s="11">
        <v>5.8133333333333299</v>
      </c>
      <c r="J102" s="11">
        <v>70.871559633027502</v>
      </c>
      <c r="K102" s="11">
        <v>103.02001199999999</v>
      </c>
      <c r="L102" s="11">
        <v>3.9992229859184998</v>
      </c>
      <c r="M102" s="11">
        <v>-1.8141103474148299</v>
      </c>
      <c r="N102" s="11">
        <v>0.68793973381625595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405</v>
      </c>
      <c r="B103" s="11">
        <v>102</v>
      </c>
      <c r="C103" s="11" t="s">
        <v>630</v>
      </c>
      <c r="D103" s="11" t="s">
        <v>631</v>
      </c>
      <c r="E103" s="11" t="s">
        <v>572</v>
      </c>
      <c r="F103" s="11" t="s">
        <v>613</v>
      </c>
      <c r="G103" s="11" t="s">
        <v>379</v>
      </c>
      <c r="H103" s="11">
        <v>1865</v>
      </c>
      <c r="I103" s="11">
        <v>26.267222222222198</v>
      </c>
      <c r="J103" s="11">
        <v>71.001036357098997</v>
      </c>
      <c r="K103" s="11">
        <v>95.109983999999997</v>
      </c>
      <c r="L103" s="11">
        <v>19.608877234171299</v>
      </c>
      <c r="M103" s="11">
        <v>-6.6583449880508798</v>
      </c>
      <c r="N103" s="11">
        <v>0.74651506993313099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405</v>
      </c>
      <c r="B104" s="11">
        <v>103</v>
      </c>
      <c r="C104" s="11" t="s">
        <v>632</v>
      </c>
      <c r="D104" s="11" t="s">
        <v>633</v>
      </c>
      <c r="E104" s="11" t="s">
        <v>572</v>
      </c>
      <c r="F104" s="11" t="s">
        <v>613</v>
      </c>
      <c r="G104" s="11" t="s">
        <v>379</v>
      </c>
      <c r="H104" s="11">
        <v>28</v>
      </c>
      <c r="I104" s="11">
        <v>0.71027777777777701</v>
      </c>
      <c r="J104" s="11">
        <v>39.421196714900198</v>
      </c>
      <c r="K104" s="11">
        <v>44.660015999999999</v>
      </c>
      <c r="L104" s="11">
        <v>0.62695902303304096</v>
      </c>
      <c r="M104" s="11">
        <v>-8.3318754744736198E-2</v>
      </c>
      <c r="N104" s="11">
        <v>0.88269553497025699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405</v>
      </c>
      <c r="B105" s="11">
        <v>104</v>
      </c>
      <c r="C105" s="11" t="s">
        <v>634</v>
      </c>
      <c r="D105" s="11" t="s">
        <v>635</v>
      </c>
      <c r="E105" s="11" t="s">
        <v>572</v>
      </c>
      <c r="F105" s="11" t="s">
        <v>613</v>
      </c>
      <c r="G105" s="11" t="s">
        <v>379</v>
      </c>
      <c r="H105" s="11">
        <v>0</v>
      </c>
      <c r="I105" s="11">
        <v>0</v>
      </c>
      <c r="J105" s="11">
        <v>0</v>
      </c>
      <c r="K105" s="11">
        <v>402.63001200000002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405</v>
      </c>
      <c r="B106" s="11">
        <v>105</v>
      </c>
      <c r="C106" s="11" t="s">
        <v>636</v>
      </c>
      <c r="D106" s="11" t="s">
        <v>637</v>
      </c>
      <c r="E106" s="11" t="s">
        <v>572</v>
      </c>
      <c r="F106" s="11" t="s">
        <v>613</v>
      </c>
      <c r="G106" s="11" t="s">
        <v>379</v>
      </c>
      <c r="H106" s="11">
        <v>2305</v>
      </c>
      <c r="I106" s="11">
        <v>32.790833333333303</v>
      </c>
      <c r="J106" s="11">
        <v>70.294035426567305</v>
      </c>
      <c r="K106" s="11">
        <v>95.110145053764697</v>
      </c>
      <c r="L106" s="11">
        <v>24.235059243122802</v>
      </c>
      <c r="M106" s="11">
        <v>-8.5557740902104502</v>
      </c>
      <c r="N106" s="11">
        <v>0.73908030932799895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405</v>
      </c>
      <c r="B107" s="11">
        <v>106</v>
      </c>
      <c r="C107" s="11" t="s">
        <v>638</v>
      </c>
      <c r="D107" s="11" t="s">
        <v>639</v>
      </c>
      <c r="E107" s="11" t="s">
        <v>572</v>
      </c>
      <c r="F107" s="11" t="s">
        <v>613</v>
      </c>
      <c r="G107" s="11" t="s">
        <v>379</v>
      </c>
      <c r="H107" s="11">
        <v>244</v>
      </c>
      <c r="I107" s="11">
        <v>2.1283333333333299</v>
      </c>
      <c r="J107" s="11">
        <v>114.643696162881</v>
      </c>
      <c r="K107" s="11">
        <v>104.280012</v>
      </c>
      <c r="L107" s="11">
        <v>2.3398539693301901</v>
      </c>
      <c r="M107" s="11">
        <v>0.211520635996858</v>
      </c>
      <c r="N107" s="11">
        <v>1.0993832275631199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405</v>
      </c>
      <c r="B108" s="11">
        <v>107</v>
      </c>
      <c r="C108" s="11" t="s">
        <v>640</v>
      </c>
      <c r="D108" s="11" t="s">
        <v>641</v>
      </c>
      <c r="E108" s="11" t="s">
        <v>572</v>
      </c>
      <c r="F108" s="11" t="s">
        <v>613</v>
      </c>
      <c r="G108" s="11" t="s">
        <v>379</v>
      </c>
      <c r="H108" s="11">
        <v>149</v>
      </c>
      <c r="I108" s="11">
        <v>1.97166666666666</v>
      </c>
      <c r="J108" s="11">
        <v>75.570583262890906</v>
      </c>
      <c r="K108" s="11">
        <v>72.640007999999995</v>
      </c>
      <c r="L108" s="11">
        <v>2.0512112278401702</v>
      </c>
      <c r="M108" s="11">
        <v>7.9544561173506403E-2</v>
      </c>
      <c r="N108" s="11">
        <v>1.04034381800854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405</v>
      </c>
      <c r="B109" s="11">
        <v>108</v>
      </c>
      <c r="C109" s="11" t="s">
        <v>642</v>
      </c>
      <c r="D109" s="11" t="s">
        <v>643</v>
      </c>
      <c r="E109" s="11" t="s">
        <v>572</v>
      </c>
      <c r="F109" s="11" t="s">
        <v>613</v>
      </c>
      <c r="G109" s="11" t="s">
        <v>379</v>
      </c>
      <c r="H109" s="11">
        <v>2</v>
      </c>
      <c r="I109" s="11">
        <v>1.63888888888888E-2</v>
      </c>
      <c r="J109" s="11">
        <v>122.03389830508399</v>
      </c>
      <c r="K109" s="11">
        <v>64.090007999999997</v>
      </c>
      <c r="L109" s="11">
        <v>3.12061125035278E-2</v>
      </c>
      <c r="M109" s="11">
        <v>1.48172236146389E-2</v>
      </c>
      <c r="N109" s="11">
        <v>1.9041017798762701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405</v>
      </c>
      <c r="B110" s="11">
        <v>109</v>
      </c>
      <c r="C110" s="11" t="s">
        <v>644</v>
      </c>
      <c r="D110" s="11" t="s">
        <v>645</v>
      </c>
      <c r="E110" s="11" t="s">
        <v>572</v>
      </c>
      <c r="F110" s="11" t="s">
        <v>613</v>
      </c>
      <c r="G110" s="11" t="s">
        <v>379</v>
      </c>
      <c r="H110" s="11">
        <v>0</v>
      </c>
      <c r="I110" s="11">
        <v>0</v>
      </c>
      <c r="J110" s="11">
        <v>0</v>
      </c>
      <c r="K110" s="11">
        <v>10006.999991999999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405</v>
      </c>
      <c r="B111" s="11">
        <v>110</v>
      </c>
      <c r="C111" s="11" t="s">
        <v>646</v>
      </c>
      <c r="D111" s="11" t="s">
        <v>647</v>
      </c>
      <c r="E111" s="11" t="s">
        <v>572</v>
      </c>
      <c r="F111" s="11" t="s">
        <v>613</v>
      </c>
      <c r="G111" s="11" t="s">
        <v>379</v>
      </c>
      <c r="H111" s="11">
        <v>395</v>
      </c>
      <c r="I111" s="11">
        <v>4.1163888888888804</v>
      </c>
      <c r="J111" s="11">
        <v>95.957891895539504</v>
      </c>
      <c r="K111" s="11">
        <v>89.320616565501496</v>
      </c>
      <c r="L111" s="11">
        <v>4.4222713096738904</v>
      </c>
      <c r="M111" s="11">
        <v>0.305882420785003</v>
      </c>
      <c r="N111" s="11">
        <v>1.0743084361175499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405</v>
      </c>
      <c r="B112" s="11">
        <v>111</v>
      </c>
      <c r="C112" s="11" t="s">
        <v>648</v>
      </c>
      <c r="D112" s="11" t="s">
        <v>649</v>
      </c>
      <c r="E112" s="11" t="s">
        <v>572</v>
      </c>
      <c r="F112" s="11" t="s">
        <v>613</v>
      </c>
      <c r="G112" s="11" t="s">
        <v>410</v>
      </c>
      <c r="H112" s="11">
        <v>15510</v>
      </c>
      <c r="I112" s="11">
        <v>24.114444444444398</v>
      </c>
      <c r="J112" s="11">
        <v>643.18297009629998</v>
      </c>
      <c r="K112" s="11">
        <v>1006.2</v>
      </c>
      <c r="L112" s="11">
        <v>15.414430530709501</v>
      </c>
      <c r="M112" s="11">
        <v>-8.7000139137348391</v>
      </c>
      <c r="N112" s="11">
        <v>0.63921980729109495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405</v>
      </c>
      <c r="B113" s="11">
        <v>112</v>
      </c>
      <c r="C113" s="11" t="s">
        <v>650</v>
      </c>
      <c r="D113" s="11" t="s">
        <v>651</v>
      </c>
      <c r="E113" s="11" t="s">
        <v>572</v>
      </c>
      <c r="F113" s="11" t="s">
        <v>652</v>
      </c>
      <c r="G113" s="11" t="s">
        <v>379</v>
      </c>
      <c r="H113" s="11">
        <v>19</v>
      </c>
      <c r="I113" s="11">
        <v>1.0188888888888801</v>
      </c>
      <c r="J113" s="11">
        <v>18.647764449291099</v>
      </c>
      <c r="K113" s="11">
        <v>22.370003999999899</v>
      </c>
      <c r="L113" s="11">
        <v>0.84935165858709705</v>
      </c>
      <c r="M113" s="11">
        <v>-0.16953723030179099</v>
      </c>
      <c r="N113" s="11">
        <v>0.83360577178668205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405</v>
      </c>
      <c r="B114" s="11">
        <v>113</v>
      </c>
      <c r="C114" s="11" t="s">
        <v>653</v>
      </c>
      <c r="D114" s="11" t="s">
        <v>654</v>
      </c>
      <c r="E114" s="11" t="s">
        <v>572</v>
      </c>
      <c r="F114" s="11" t="s">
        <v>652</v>
      </c>
      <c r="G114" s="11" t="s">
        <v>379</v>
      </c>
      <c r="H114" s="11">
        <v>0</v>
      </c>
      <c r="I114" s="11">
        <v>0</v>
      </c>
      <c r="J114" s="11">
        <v>0</v>
      </c>
      <c r="K114" s="11">
        <v>10006.999991999999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405</v>
      </c>
      <c r="B115" s="11">
        <v>114</v>
      </c>
      <c r="C115" s="11" t="s">
        <v>655</v>
      </c>
      <c r="D115" s="11" t="s">
        <v>656</v>
      </c>
      <c r="E115" s="11" t="s">
        <v>572</v>
      </c>
      <c r="F115" s="11" t="s">
        <v>652</v>
      </c>
      <c r="G115" s="11" t="s">
        <v>379</v>
      </c>
      <c r="H115" s="11">
        <v>0</v>
      </c>
      <c r="I115" s="11">
        <v>0</v>
      </c>
      <c r="J115" s="11">
        <v>0</v>
      </c>
      <c r="K115" s="11">
        <v>10006.999991999999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405</v>
      </c>
      <c r="B116" s="11">
        <v>115</v>
      </c>
      <c r="C116" s="11" t="s">
        <v>657</v>
      </c>
      <c r="D116" s="11" t="s">
        <v>658</v>
      </c>
      <c r="E116" s="11" t="s">
        <v>572</v>
      </c>
      <c r="F116" s="11" t="s">
        <v>652</v>
      </c>
      <c r="G116" s="11" t="s">
        <v>379</v>
      </c>
      <c r="H116" s="11">
        <v>0</v>
      </c>
      <c r="I116" s="11">
        <v>0</v>
      </c>
      <c r="J116" s="11">
        <v>0</v>
      </c>
      <c r="K116" s="11">
        <v>157.600008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405</v>
      </c>
      <c r="B117" s="11">
        <v>116</v>
      </c>
      <c r="C117" s="11" t="s">
        <v>659</v>
      </c>
      <c r="D117" s="11" t="s">
        <v>660</v>
      </c>
      <c r="E117" s="11" t="s">
        <v>572</v>
      </c>
      <c r="F117" s="11" t="s">
        <v>652</v>
      </c>
      <c r="G117" s="11" t="s">
        <v>379</v>
      </c>
      <c r="H117" s="11">
        <v>15510</v>
      </c>
      <c r="I117" s="11">
        <v>126.18833333333301</v>
      </c>
      <c r="J117" s="11">
        <v>122.911521139038</v>
      </c>
      <c r="K117" s="11">
        <v>152.03444076535399</v>
      </c>
      <c r="L117" s="11">
        <v>102.016358411431</v>
      </c>
      <c r="M117" s="11">
        <v>-24.171974921901398</v>
      </c>
      <c r="N117" s="11">
        <v>0.80844524780234694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405</v>
      </c>
      <c r="B118" s="11">
        <v>117</v>
      </c>
      <c r="C118" s="11" t="s">
        <v>661</v>
      </c>
      <c r="D118" s="11" t="s">
        <v>662</v>
      </c>
      <c r="E118" s="11" t="s">
        <v>572</v>
      </c>
      <c r="F118" s="11" t="s">
        <v>662</v>
      </c>
      <c r="G118" s="11" t="s">
        <v>379</v>
      </c>
      <c r="H118" s="11">
        <v>15510</v>
      </c>
      <c r="I118" s="11">
        <v>7</v>
      </c>
      <c r="J118" s="11">
        <v>2215.7142857142799</v>
      </c>
      <c r="K118" s="11">
        <v>1915.9099920000001</v>
      </c>
      <c r="L118" s="11">
        <v>8.0953698580637692</v>
      </c>
      <c r="M118" s="11">
        <v>1.0953698580637701</v>
      </c>
      <c r="N118" s="11">
        <v>1.15648140829482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405</v>
      </c>
      <c r="B119" s="11">
        <v>118</v>
      </c>
      <c r="C119" s="11" t="s">
        <v>663</v>
      </c>
      <c r="D119" s="11" t="s">
        <v>664</v>
      </c>
      <c r="E119" s="11" t="s">
        <v>572</v>
      </c>
      <c r="F119" s="11" t="s">
        <v>665</v>
      </c>
      <c r="G119" s="11" t="s">
        <v>379</v>
      </c>
      <c r="H119" s="11">
        <v>15510</v>
      </c>
      <c r="I119" s="11">
        <v>12.549444444444401</v>
      </c>
      <c r="J119" s="11">
        <v>1235.91128425339</v>
      </c>
      <c r="K119" s="11">
        <v>1092.6299879999999</v>
      </c>
      <c r="L119" s="11">
        <v>14.1951073742632</v>
      </c>
      <c r="M119" s="11">
        <v>1.6456629298188299</v>
      </c>
      <c r="N119" s="11">
        <v>1.1311343252766299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405</v>
      </c>
      <c r="B120" s="11">
        <v>119</v>
      </c>
      <c r="C120" s="11" t="s">
        <v>666</v>
      </c>
      <c r="D120" s="11" t="s">
        <v>32</v>
      </c>
      <c r="E120" s="11" t="s">
        <v>572</v>
      </c>
      <c r="F120" s="11" t="s">
        <v>667</v>
      </c>
      <c r="G120" s="11" t="s">
        <v>379</v>
      </c>
      <c r="H120" s="11">
        <v>15510</v>
      </c>
      <c r="I120" s="11">
        <v>37.484722222222203</v>
      </c>
      <c r="J120" s="11">
        <v>413.76857238133999</v>
      </c>
      <c r="K120" s="11">
        <v>454.16001599999998</v>
      </c>
      <c r="L120" s="11">
        <v>34.150958810957903</v>
      </c>
      <c r="M120" s="11">
        <v>-3.33376341126427</v>
      </c>
      <c r="N120" s="11">
        <v>0.91106340894029803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405</v>
      </c>
      <c r="B121" s="11">
        <v>120</v>
      </c>
      <c r="C121" s="11" t="s">
        <v>668</v>
      </c>
      <c r="D121" s="11" t="s">
        <v>669</v>
      </c>
      <c r="E121" s="11" t="s">
        <v>572</v>
      </c>
      <c r="F121" s="11" t="s">
        <v>523</v>
      </c>
      <c r="G121" s="11" t="s">
        <v>379</v>
      </c>
      <c r="H121" s="11">
        <v>15510</v>
      </c>
      <c r="I121" s="11">
        <v>276.66805555555499</v>
      </c>
      <c r="J121" s="11">
        <v>56.059959538355699</v>
      </c>
      <c r="K121" s="11">
        <v>70.684116148644193</v>
      </c>
      <c r="L121" s="11">
        <v>219.42694971786099</v>
      </c>
      <c r="M121" s="11">
        <v>-57.241105837694498</v>
      </c>
      <c r="N121" s="11">
        <v>0.79310547535835596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405</v>
      </c>
      <c r="B122" s="11">
        <v>121</v>
      </c>
      <c r="C122" s="11" t="s">
        <v>670</v>
      </c>
      <c r="D122" s="11" t="s">
        <v>671</v>
      </c>
      <c r="E122" s="11" t="s">
        <v>672</v>
      </c>
      <c r="F122" s="11" t="s">
        <v>673</v>
      </c>
      <c r="G122" s="11" t="s">
        <v>379</v>
      </c>
      <c r="H122" s="11">
        <v>0</v>
      </c>
      <c r="I122" s="11">
        <v>0</v>
      </c>
      <c r="J122" s="11">
        <v>0</v>
      </c>
      <c r="K122" s="11">
        <v>42.000011999999998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405</v>
      </c>
      <c r="B123" s="11">
        <v>122</v>
      </c>
      <c r="C123" s="11" t="s">
        <v>674</v>
      </c>
      <c r="D123" s="11" t="s">
        <v>675</v>
      </c>
      <c r="E123" s="11" t="s">
        <v>672</v>
      </c>
      <c r="F123" s="11" t="s">
        <v>673</v>
      </c>
      <c r="G123" s="11" t="s">
        <v>379</v>
      </c>
      <c r="H123" s="11">
        <v>0</v>
      </c>
      <c r="I123" s="11">
        <v>0</v>
      </c>
      <c r="J123" s="11">
        <v>0</v>
      </c>
      <c r="K123" s="11">
        <v>34.989984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405</v>
      </c>
      <c r="B124" s="11">
        <v>123</v>
      </c>
      <c r="C124" s="11" t="s">
        <v>676</v>
      </c>
      <c r="D124" s="11" t="s">
        <v>677</v>
      </c>
      <c r="E124" s="11" t="s">
        <v>672</v>
      </c>
      <c r="F124" s="11" t="s">
        <v>673</v>
      </c>
      <c r="G124" s="11" t="s">
        <v>379</v>
      </c>
      <c r="H124" s="11">
        <v>0</v>
      </c>
      <c r="I124" s="11">
        <v>0</v>
      </c>
      <c r="J124" s="11">
        <v>0</v>
      </c>
      <c r="K124" s="11">
        <v>25.760016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405</v>
      </c>
      <c r="B125" s="11">
        <v>124</v>
      </c>
      <c r="C125" s="11" t="s">
        <v>678</v>
      </c>
      <c r="D125" s="11" t="s">
        <v>679</v>
      </c>
      <c r="E125" s="11" t="s">
        <v>672</v>
      </c>
      <c r="F125" s="11" t="s">
        <v>673</v>
      </c>
      <c r="G125" s="11" t="s">
        <v>379</v>
      </c>
      <c r="H125" s="11">
        <v>0</v>
      </c>
      <c r="I125" s="11">
        <v>0</v>
      </c>
      <c r="J125" s="11">
        <v>0</v>
      </c>
      <c r="K125" s="11">
        <v>16.689996000000001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405</v>
      </c>
      <c r="B126" s="11">
        <v>125</v>
      </c>
      <c r="C126" s="11" t="s">
        <v>680</v>
      </c>
      <c r="D126" s="11" t="s">
        <v>681</v>
      </c>
      <c r="E126" s="11" t="s">
        <v>672</v>
      </c>
      <c r="F126" s="11" t="s">
        <v>673</v>
      </c>
      <c r="G126" s="11" t="s">
        <v>410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405</v>
      </c>
      <c r="B127" s="11">
        <v>126</v>
      </c>
      <c r="C127" s="11" t="s">
        <v>682</v>
      </c>
      <c r="D127" s="11" t="s">
        <v>683</v>
      </c>
      <c r="E127" s="11" t="s">
        <v>672</v>
      </c>
      <c r="F127" s="11" t="s">
        <v>673</v>
      </c>
      <c r="G127" s="11" t="s">
        <v>379</v>
      </c>
      <c r="H127" s="11">
        <v>0</v>
      </c>
      <c r="I127" s="11">
        <v>0</v>
      </c>
      <c r="J127" s="11">
        <v>0</v>
      </c>
      <c r="K127" s="11">
        <v>190.09000800000001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405</v>
      </c>
      <c r="B128" s="11">
        <v>127</v>
      </c>
      <c r="C128" s="11" t="s">
        <v>684</v>
      </c>
      <c r="D128" s="11" t="s">
        <v>685</v>
      </c>
      <c r="E128" s="11" t="s">
        <v>672</v>
      </c>
      <c r="F128" s="11" t="s">
        <v>673</v>
      </c>
      <c r="G128" s="11" t="s">
        <v>379</v>
      </c>
      <c r="H128" s="11">
        <v>0</v>
      </c>
      <c r="I128" s="11">
        <v>0</v>
      </c>
      <c r="J128" s="11">
        <v>0</v>
      </c>
      <c r="K128" s="11">
        <v>121.169988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405</v>
      </c>
      <c r="B129" s="11">
        <v>128</v>
      </c>
      <c r="C129" s="11" t="s">
        <v>686</v>
      </c>
      <c r="D129" s="11" t="s">
        <v>687</v>
      </c>
      <c r="E129" s="11" t="s">
        <v>672</v>
      </c>
      <c r="F129" s="11" t="s">
        <v>673</v>
      </c>
      <c r="G129" s="11" t="s">
        <v>379</v>
      </c>
      <c r="H129" s="11">
        <v>0</v>
      </c>
      <c r="I129" s="11">
        <v>0</v>
      </c>
      <c r="J129" s="11">
        <v>0</v>
      </c>
      <c r="K129" s="11">
        <v>70.170012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405</v>
      </c>
      <c r="B130" s="11">
        <v>129</v>
      </c>
      <c r="C130" s="11" t="s">
        <v>688</v>
      </c>
      <c r="D130" s="11" t="s">
        <v>689</v>
      </c>
      <c r="E130" s="11" t="s">
        <v>672</v>
      </c>
      <c r="F130" s="11" t="s">
        <v>673</v>
      </c>
      <c r="G130" s="11" t="s">
        <v>379</v>
      </c>
      <c r="H130" s="11">
        <v>0</v>
      </c>
      <c r="I130" s="11">
        <v>0</v>
      </c>
      <c r="J130" s="11">
        <v>0</v>
      </c>
      <c r="K130" s="11">
        <v>133.419996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405</v>
      </c>
      <c r="B131" s="11">
        <v>130</v>
      </c>
      <c r="C131" s="11" t="s">
        <v>690</v>
      </c>
      <c r="D131" s="11" t="s">
        <v>691</v>
      </c>
      <c r="E131" s="11" t="s">
        <v>672</v>
      </c>
      <c r="F131" s="11" t="s">
        <v>673</v>
      </c>
      <c r="G131" s="11" t="s">
        <v>410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405</v>
      </c>
      <c r="B132" s="11">
        <v>131</v>
      </c>
      <c r="C132" s="11" t="s">
        <v>692</v>
      </c>
      <c r="D132" s="11" t="s">
        <v>693</v>
      </c>
      <c r="E132" s="11" t="s">
        <v>672</v>
      </c>
      <c r="F132" s="11" t="s">
        <v>673</v>
      </c>
      <c r="G132" s="11" t="s">
        <v>410</v>
      </c>
      <c r="H132" s="11">
        <v>0</v>
      </c>
      <c r="I132" s="11">
        <v>0</v>
      </c>
      <c r="J132" s="11">
        <v>0</v>
      </c>
      <c r="K132" s="11">
        <v>80.64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405</v>
      </c>
      <c r="B133" s="11">
        <v>132</v>
      </c>
      <c r="C133" s="11" t="s">
        <v>694</v>
      </c>
      <c r="D133" s="11" t="s">
        <v>695</v>
      </c>
      <c r="E133" s="11" t="s">
        <v>672</v>
      </c>
      <c r="F133" s="11" t="s">
        <v>673</v>
      </c>
      <c r="G133" s="11" t="s">
        <v>410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405</v>
      </c>
      <c r="B134" s="11">
        <v>133</v>
      </c>
      <c r="C134" s="11" t="s">
        <v>696</v>
      </c>
      <c r="D134" s="11" t="s">
        <v>697</v>
      </c>
      <c r="E134" s="11" t="s">
        <v>672</v>
      </c>
      <c r="F134" s="11" t="s">
        <v>698</v>
      </c>
      <c r="G134" s="11" t="s">
        <v>379</v>
      </c>
      <c r="H134" s="11">
        <v>35</v>
      </c>
      <c r="I134" s="11">
        <v>6.3333333333333297E-2</v>
      </c>
      <c r="J134" s="11">
        <v>552.63157894736798</v>
      </c>
      <c r="K134" s="11">
        <v>386.169984</v>
      </c>
      <c r="L134" s="11">
        <v>9.0633662506509005E-2</v>
      </c>
      <c r="M134" s="11">
        <v>2.7300329173175701E-2</v>
      </c>
      <c r="N134" s="11">
        <v>1.4310578290501399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405</v>
      </c>
      <c r="B135" s="11">
        <v>134</v>
      </c>
      <c r="C135" s="11" t="s">
        <v>699</v>
      </c>
      <c r="D135" s="11" t="s">
        <v>700</v>
      </c>
      <c r="E135" s="11" t="s">
        <v>672</v>
      </c>
      <c r="F135" s="11" t="s">
        <v>698</v>
      </c>
      <c r="G135" s="11" t="s">
        <v>379</v>
      </c>
      <c r="H135" s="11">
        <v>9</v>
      </c>
      <c r="I135" s="11">
        <v>8.9722222222222203E-2</v>
      </c>
      <c r="J135" s="11">
        <v>100.309597523219</v>
      </c>
      <c r="K135" s="11">
        <v>281.220012</v>
      </c>
      <c r="L135" s="11">
        <v>3.2003412331836401E-2</v>
      </c>
      <c r="M135" s="11">
        <v>-5.7718809890385699E-2</v>
      </c>
      <c r="N135" s="11">
        <v>0.35669437893068501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405</v>
      </c>
      <c r="B136" s="11">
        <v>135</v>
      </c>
      <c r="C136" s="11" t="s">
        <v>701</v>
      </c>
      <c r="D136" s="11" t="s">
        <v>702</v>
      </c>
      <c r="E136" s="11" t="s">
        <v>672</v>
      </c>
      <c r="F136" s="11" t="s">
        <v>698</v>
      </c>
      <c r="G136" s="11" t="s">
        <v>379</v>
      </c>
      <c r="H136" s="11">
        <v>0</v>
      </c>
      <c r="I136" s="11">
        <v>0</v>
      </c>
      <c r="J136" s="11">
        <v>0</v>
      </c>
      <c r="K136" s="11">
        <v>467.35999199999998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405</v>
      </c>
      <c r="B137" s="11">
        <v>136</v>
      </c>
      <c r="C137" s="11" t="s">
        <v>703</v>
      </c>
      <c r="D137" s="11" t="s">
        <v>704</v>
      </c>
      <c r="E137" s="11" t="s">
        <v>672</v>
      </c>
      <c r="F137" s="11" t="s">
        <v>698</v>
      </c>
      <c r="G137" s="11" t="s">
        <v>379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405</v>
      </c>
      <c r="B138" s="11">
        <v>137</v>
      </c>
      <c r="C138" s="11" t="s">
        <v>705</v>
      </c>
      <c r="D138" s="11" t="s">
        <v>706</v>
      </c>
      <c r="E138" s="11" t="s">
        <v>672</v>
      </c>
      <c r="F138" s="11" t="s">
        <v>698</v>
      </c>
      <c r="G138" s="11" t="s">
        <v>379</v>
      </c>
      <c r="H138" s="11">
        <v>44</v>
      </c>
      <c r="I138" s="11">
        <v>0.153055555555555</v>
      </c>
      <c r="J138" s="11">
        <v>287.47731397459103</v>
      </c>
      <c r="K138" s="11">
        <v>358.78220397868</v>
      </c>
      <c r="L138" s="11">
        <v>0.122637074838345</v>
      </c>
      <c r="M138" s="11">
        <v>-3.0418480717210001E-2</v>
      </c>
      <c r="N138" s="11">
        <v>0.801258565187012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405</v>
      </c>
      <c r="B139" s="11">
        <v>138</v>
      </c>
      <c r="C139" s="11" t="s">
        <v>707</v>
      </c>
      <c r="D139" s="11" t="s">
        <v>708</v>
      </c>
      <c r="E139" s="11" t="s">
        <v>672</v>
      </c>
      <c r="F139" s="11" t="s">
        <v>698</v>
      </c>
      <c r="G139" s="11" t="s">
        <v>379</v>
      </c>
      <c r="H139" s="11">
        <v>89</v>
      </c>
      <c r="I139" s="11">
        <v>1.8811111111111101</v>
      </c>
      <c r="J139" s="11">
        <v>47.312463083284101</v>
      </c>
      <c r="K139" s="11">
        <v>331.65</v>
      </c>
      <c r="L139" s="11">
        <v>0.268355193728328</v>
      </c>
      <c r="M139" s="11">
        <v>-1.6127559173827799</v>
      </c>
      <c r="N139" s="11">
        <v>0.14265781119639401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405</v>
      </c>
      <c r="B140" s="11">
        <v>139</v>
      </c>
      <c r="C140" s="11" t="s">
        <v>709</v>
      </c>
      <c r="D140" s="11" t="s">
        <v>710</v>
      </c>
      <c r="E140" s="11" t="s">
        <v>672</v>
      </c>
      <c r="F140" s="11" t="s">
        <v>698</v>
      </c>
      <c r="G140" s="11" t="s">
        <v>379</v>
      </c>
      <c r="H140" s="11">
        <v>3</v>
      </c>
      <c r="I140" s="11">
        <v>0.118888888888888</v>
      </c>
      <c r="J140" s="11">
        <v>25.233644859813001</v>
      </c>
      <c r="K140" s="11">
        <v>178.459992</v>
      </c>
      <c r="L140" s="11">
        <v>1.6810490499181398E-2</v>
      </c>
      <c r="M140" s="11">
        <v>-0.102078398389707</v>
      </c>
      <c r="N140" s="11">
        <v>0.141396649058535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405</v>
      </c>
      <c r="B141" s="11">
        <v>140</v>
      </c>
      <c r="C141" s="11" t="s">
        <v>711</v>
      </c>
      <c r="D141" s="11" t="s">
        <v>712</v>
      </c>
      <c r="E141" s="11" t="s">
        <v>672</v>
      </c>
      <c r="F141" s="11" t="s">
        <v>698</v>
      </c>
      <c r="G141" s="11" t="s">
        <v>379</v>
      </c>
      <c r="H141" s="11">
        <v>0</v>
      </c>
      <c r="I141" s="11">
        <v>0</v>
      </c>
      <c r="J141" s="11">
        <v>0</v>
      </c>
      <c r="K141" s="11">
        <v>352.77998400000001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405</v>
      </c>
      <c r="B142" s="11">
        <v>141</v>
      </c>
      <c r="C142" s="11" t="s">
        <v>713</v>
      </c>
      <c r="D142" s="11" t="s">
        <v>714</v>
      </c>
      <c r="E142" s="11" t="s">
        <v>672</v>
      </c>
      <c r="F142" s="11" t="s">
        <v>698</v>
      </c>
      <c r="G142" s="11" t="s">
        <v>379</v>
      </c>
      <c r="H142" s="11">
        <v>0</v>
      </c>
      <c r="I142" s="11">
        <v>0</v>
      </c>
      <c r="J142" s="11">
        <v>0</v>
      </c>
      <c r="K142" s="11">
        <v>137.109996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405</v>
      </c>
      <c r="B143" s="11">
        <v>142</v>
      </c>
      <c r="C143" s="11" t="s">
        <v>715</v>
      </c>
      <c r="D143" s="11" t="s">
        <v>716</v>
      </c>
      <c r="E143" s="11" t="s">
        <v>672</v>
      </c>
      <c r="F143" s="11" t="s">
        <v>698</v>
      </c>
      <c r="G143" s="11" t="s">
        <v>379</v>
      </c>
      <c r="H143" s="11">
        <v>92</v>
      </c>
      <c r="I143" s="11">
        <v>2</v>
      </c>
      <c r="J143" s="11">
        <v>46</v>
      </c>
      <c r="K143" s="11">
        <v>322.61946331032198</v>
      </c>
      <c r="L143" s="11">
        <v>0.28516568422750899</v>
      </c>
      <c r="M143" s="11">
        <v>-1.7148343157724899</v>
      </c>
      <c r="N143" s="11">
        <v>0.14258284211375399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405</v>
      </c>
      <c r="B144" s="11">
        <v>143</v>
      </c>
      <c r="C144" s="11" t="s">
        <v>717</v>
      </c>
      <c r="D144" s="11" t="s">
        <v>718</v>
      </c>
      <c r="E144" s="11" t="s">
        <v>672</v>
      </c>
      <c r="F144" s="11" t="s">
        <v>698</v>
      </c>
      <c r="G144" s="11" t="s">
        <v>410</v>
      </c>
      <c r="H144" s="11">
        <v>92</v>
      </c>
      <c r="I144" s="11">
        <v>2</v>
      </c>
      <c r="J144" s="11">
        <v>46</v>
      </c>
      <c r="K144" s="11">
        <v>284.749991999999</v>
      </c>
      <c r="L144" s="11">
        <v>0.32309043927909897</v>
      </c>
      <c r="M144" s="11">
        <v>-1.6769095607208999</v>
      </c>
      <c r="N144" s="11">
        <v>0.16154521963954899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405</v>
      </c>
      <c r="B145" s="11">
        <v>144</v>
      </c>
      <c r="C145" s="11" t="s">
        <v>719</v>
      </c>
      <c r="D145" s="11" t="s">
        <v>720</v>
      </c>
      <c r="E145" s="11" t="s">
        <v>672</v>
      </c>
      <c r="F145" s="11" t="s">
        <v>698</v>
      </c>
      <c r="G145" s="11" t="s">
        <v>379</v>
      </c>
      <c r="H145" s="11">
        <v>92</v>
      </c>
      <c r="I145" s="11">
        <v>4.1530555555555502</v>
      </c>
      <c r="J145" s="11">
        <v>22.152364390341699</v>
      </c>
      <c r="K145" s="11">
        <v>125.873383701375</v>
      </c>
      <c r="L145" s="11">
        <v>0.73089319834495403</v>
      </c>
      <c r="M145" s="11">
        <v>-3.4221623572105999</v>
      </c>
      <c r="N145" s="11">
        <v>0.17598926587130101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405</v>
      </c>
      <c r="B146" s="11">
        <v>145</v>
      </c>
      <c r="C146" s="11" t="s">
        <v>721</v>
      </c>
      <c r="D146" s="11" t="s">
        <v>722</v>
      </c>
      <c r="E146" s="11" t="s">
        <v>672</v>
      </c>
      <c r="F146" s="11" t="s">
        <v>723</v>
      </c>
      <c r="G146" s="11" t="s">
        <v>379</v>
      </c>
      <c r="H146" s="11">
        <v>0</v>
      </c>
      <c r="I146" s="11">
        <v>0</v>
      </c>
      <c r="J146" s="11">
        <v>0</v>
      </c>
      <c r="K146" s="11">
        <v>28.770011999999902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405</v>
      </c>
      <c r="B147" s="11">
        <v>146</v>
      </c>
      <c r="C147" s="11" t="s">
        <v>724</v>
      </c>
      <c r="D147" s="11" t="s">
        <v>725</v>
      </c>
      <c r="E147" s="11" t="s">
        <v>672</v>
      </c>
      <c r="F147" s="11" t="s">
        <v>723</v>
      </c>
      <c r="G147" s="11" t="s">
        <v>379</v>
      </c>
      <c r="H147" s="11">
        <v>0</v>
      </c>
      <c r="I147" s="11">
        <v>0</v>
      </c>
      <c r="J147" s="11">
        <v>0</v>
      </c>
      <c r="K147" s="11">
        <v>23.990003999999999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405</v>
      </c>
      <c r="B148" s="11">
        <v>147</v>
      </c>
      <c r="C148" s="11" t="s">
        <v>726</v>
      </c>
      <c r="D148" s="11" t="s">
        <v>727</v>
      </c>
      <c r="E148" s="11" t="s">
        <v>672</v>
      </c>
      <c r="F148" s="11" t="s">
        <v>723</v>
      </c>
      <c r="G148" s="11" t="s">
        <v>410</v>
      </c>
      <c r="H148" s="11">
        <v>0</v>
      </c>
      <c r="I148" s="11">
        <v>0</v>
      </c>
      <c r="J148" s="11">
        <v>0</v>
      </c>
      <c r="K148" s="11">
        <v>8.01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405</v>
      </c>
      <c r="B149" s="11">
        <v>148</v>
      </c>
      <c r="C149" s="11" t="s">
        <v>728</v>
      </c>
      <c r="D149" s="11" t="s">
        <v>729</v>
      </c>
      <c r="E149" s="11" t="s">
        <v>672</v>
      </c>
      <c r="F149" s="11" t="s">
        <v>723</v>
      </c>
      <c r="G149" s="11" t="s">
        <v>410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405</v>
      </c>
      <c r="B150" s="11">
        <v>149</v>
      </c>
      <c r="C150" s="11" t="s">
        <v>730</v>
      </c>
      <c r="D150" s="11" t="s">
        <v>731</v>
      </c>
      <c r="E150" s="11" t="s">
        <v>672</v>
      </c>
      <c r="F150" s="11" t="s">
        <v>732</v>
      </c>
      <c r="G150" s="11" t="s">
        <v>379</v>
      </c>
      <c r="H150" s="11">
        <v>0</v>
      </c>
      <c r="I150" s="11">
        <v>0</v>
      </c>
      <c r="J150" s="11">
        <v>0</v>
      </c>
      <c r="K150" s="11">
        <v>34.040016000000001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405</v>
      </c>
      <c r="B151" s="11">
        <v>150</v>
      </c>
      <c r="C151" s="11" t="s">
        <v>733</v>
      </c>
      <c r="D151" s="11" t="s">
        <v>734</v>
      </c>
      <c r="E151" s="11" t="s">
        <v>672</v>
      </c>
      <c r="F151" s="11" t="s">
        <v>732</v>
      </c>
      <c r="G151" s="11" t="s">
        <v>410</v>
      </c>
      <c r="H151" s="11">
        <v>0</v>
      </c>
      <c r="I151" s="11">
        <v>0</v>
      </c>
      <c r="J151" s="11">
        <v>0</v>
      </c>
      <c r="K151" s="11">
        <v>150.42999599999999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405</v>
      </c>
      <c r="B152" s="11">
        <v>151</v>
      </c>
      <c r="C152" s="11" t="s">
        <v>735</v>
      </c>
      <c r="D152" s="11" t="s">
        <v>736</v>
      </c>
      <c r="E152" s="11" t="s">
        <v>672</v>
      </c>
      <c r="F152" s="11" t="s">
        <v>732</v>
      </c>
      <c r="G152" s="11" t="s">
        <v>410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405</v>
      </c>
      <c r="B153" s="11">
        <v>152</v>
      </c>
      <c r="C153" s="11" t="s">
        <v>737</v>
      </c>
      <c r="D153" s="11" t="s">
        <v>738</v>
      </c>
      <c r="E153" s="11" t="s">
        <v>672</v>
      </c>
      <c r="F153" s="11" t="s">
        <v>739</v>
      </c>
      <c r="G153" s="11" t="s">
        <v>379</v>
      </c>
      <c r="H153" s="11">
        <v>0</v>
      </c>
      <c r="I153" s="11">
        <v>0</v>
      </c>
      <c r="J153" s="11">
        <v>0</v>
      </c>
      <c r="K153" s="11">
        <v>38.930003999999997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405</v>
      </c>
      <c r="B154" s="11">
        <v>153</v>
      </c>
      <c r="C154" s="11" t="s">
        <v>740</v>
      </c>
      <c r="D154" s="11" t="s">
        <v>741</v>
      </c>
      <c r="E154" s="11" t="s">
        <v>672</v>
      </c>
      <c r="F154" s="11" t="s">
        <v>739</v>
      </c>
      <c r="G154" s="11" t="s">
        <v>410</v>
      </c>
      <c r="H154" s="11">
        <v>0</v>
      </c>
      <c r="I154" s="11">
        <v>0</v>
      </c>
      <c r="J154" s="11">
        <v>0</v>
      </c>
      <c r="K154" s="11">
        <v>213.94000800000001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405</v>
      </c>
      <c r="B155" s="11">
        <v>154</v>
      </c>
      <c r="C155" s="11" t="s">
        <v>742</v>
      </c>
      <c r="D155" s="11" t="s">
        <v>743</v>
      </c>
      <c r="E155" s="11" t="s">
        <v>672</v>
      </c>
      <c r="F155" s="11" t="s">
        <v>739</v>
      </c>
      <c r="G155" s="11" t="s">
        <v>410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405</v>
      </c>
      <c r="B156" s="11">
        <v>155</v>
      </c>
      <c r="C156" s="11" t="s">
        <v>744</v>
      </c>
      <c r="D156" s="11" t="s">
        <v>745</v>
      </c>
      <c r="E156" s="11" t="s">
        <v>672</v>
      </c>
      <c r="F156" s="11" t="s">
        <v>745</v>
      </c>
      <c r="G156" s="11" t="s">
        <v>379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405</v>
      </c>
      <c r="B157" s="11">
        <v>156</v>
      </c>
      <c r="C157" s="11" t="s">
        <v>746</v>
      </c>
      <c r="D157" s="11" t="s">
        <v>747</v>
      </c>
      <c r="E157" s="11" t="s">
        <v>672</v>
      </c>
      <c r="F157" s="11" t="s">
        <v>523</v>
      </c>
      <c r="G157" s="11" t="s">
        <v>410</v>
      </c>
      <c r="H157" s="11">
        <v>92</v>
      </c>
      <c r="I157" s="11">
        <v>4.1530555555555502</v>
      </c>
      <c r="J157" s="11">
        <v>22.152364390341699</v>
      </c>
      <c r="K157" s="11">
        <v>125.873383701375</v>
      </c>
      <c r="L157" s="11">
        <v>0.73089319834495403</v>
      </c>
      <c r="M157" s="11">
        <v>-3.4221623572105999</v>
      </c>
      <c r="N157" s="11">
        <v>0.17598926587130101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405</v>
      </c>
      <c r="B158" s="11">
        <v>157</v>
      </c>
      <c r="C158" s="11" t="s">
        <v>748</v>
      </c>
      <c r="D158" s="11" t="s">
        <v>749</v>
      </c>
      <c r="E158" s="11" t="s">
        <v>750</v>
      </c>
      <c r="F158" s="11" t="s">
        <v>751</v>
      </c>
      <c r="G158" s="11" t="s">
        <v>379</v>
      </c>
      <c r="H158" s="11">
        <v>0</v>
      </c>
      <c r="I158" s="11">
        <v>0</v>
      </c>
      <c r="J158" s="11">
        <v>0</v>
      </c>
      <c r="K158" s="11">
        <v>10006.999991999999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405</v>
      </c>
      <c r="B159" s="11">
        <v>158</v>
      </c>
      <c r="C159" s="11" t="s">
        <v>752</v>
      </c>
      <c r="D159" s="11" t="s">
        <v>753</v>
      </c>
      <c r="E159" s="11" t="s">
        <v>750</v>
      </c>
      <c r="F159" s="11" t="s">
        <v>751</v>
      </c>
      <c r="G159" s="11" t="s">
        <v>379</v>
      </c>
      <c r="H159" s="11">
        <v>0</v>
      </c>
      <c r="I159" s="11">
        <v>0</v>
      </c>
      <c r="J159" s="11">
        <v>0</v>
      </c>
      <c r="K159" s="11">
        <v>10006.999991999999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405</v>
      </c>
      <c r="B160" s="11">
        <v>159</v>
      </c>
      <c r="C160" s="11" t="s">
        <v>754</v>
      </c>
      <c r="D160" s="11" t="s">
        <v>755</v>
      </c>
      <c r="E160" s="11" t="s">
        <v>750</v>
      </c>
      <c r="F160" s="11" t="s">
        <v>751</v>
      </c>
      <c r="G160" s="11" t="s">
        <v>379</v>
      </c>
      <c r="H160" s="11">
        <v>0</v>
      </c>
      <c r="I160" s="11">
        <v>0</v>
      </c>
      <c r="J160" s="11">
        <v>0</v>
      </c>
      <c r="K160" s="11">
        <v>10006.999991999999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405</v>
      </c>
      <c r="B161" s="11">
        <v>160</v>
      </c>
      <c r="C161" s="11" t="s">
        <v>756</v>
      </c>
      <c r="D161" s="11" t="s">
        <v>757</v>
      </c>
      <c r="E161" s="11" t="s">
        <v>758</v>
      </c>
      <c r="F161" s="11" t="s">
        <v>758</v>
      </c>
      <c r="G161" s="11" t="s">
        <v>410</v>
      </c>
      <c r="H161" s="11">
        <v>16474</v>
      </c>
      <c r="I161" s="11">
        <v>39.01</v>
      </c>
      <c r="J161" s="11">
        <v>422.301973852858</v>
      </c>
      <c r="K161" s="11">
        <v>26.465532475460599</v>
      </c>
      <c r="L161" s="11">
        <v>622.47</v>
      </c>
      <c r="M161" s="11">
        <v>583.46</v>
      </c>
      <c r="N161" s="11">
        <v>15.956677774929499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405</v>
      </c>
      <c r="B162" s="11">
        <v>161</v>
      </c>
      <c r="C162" s="11" t="s">
        <v>759</v>
      </c>
      <c r="D162" s="11" t="s">
        <v>760</v>
      </c>
      <c r="E162" s="11" t="s">
        <v>758</v>
      </c>
      <c r="F162" s="11" t="s">
        <v>758</v>
      </c>
      <c r="G162" s="11" t="s">
        <v>410</v>
      </c>
      <c r="H162" s="11">
        <v>16474</v>
      </c>
      <c r="I162" s="11">
        <v>0</v>
      </c>
      <c r="J162" s="11">
        <v>0</v>
      </c>
      <c r="K162" s="11">
        <v>4525.8241758241702</v>
      </c>
      <c r="L162" s="11">
        <v>3.64</v>
      </c>
      <c r="M162" s="11">
        <v>3.64</v>
      </c>
      <c r="N162" s="11">
        <v>0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405</v>
      </c>
      <c r="B163" s="11">
        <v>162</v>
      </c>
      <c r="C163" s="11" t="s">
        <v>761</v>
      </c>
      <c r="D163" s="11" t="s">
        <v>762</v>
      </c>
      <c r="E163" s="11" t="s">
        <v>758</v>
      </c>
      <c r="F163" s="11" t="s">
        <v>758</v>
      </c>
      <c r="G163" s="11" t="s">
        <v>410</v>
      </c>
      <c r="H163" s="11">
        <v>16474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405</v>
      </c>
      <c r="B164" s="11">
        <v>163</v>
      </c>
      <c r="C164" s="11" t="s">
        <v>763</v>
      </c>
      <c r="D164" s="11" t="s">
        <v>764</v>
      </c>
      <c r="E164" s="11" t="s">
        <v>758</v>
      </c>
      <c r="F164" s="11" t="s">
        <v>758</v>
      </c>
      <c r="G164" s="11" t="s">
        <v>410</v>
      </c>
      <c r="H164" s="11">
        <v>16474</v>
      </c>
      <c r="I164" s="11">
        <v>15.361944444444401</v>
      </c>
      <c r="J164" s="11">
        <v>1072.3902862412499</v>
      </c>
      <c r="K164" s="11">
        <v>124.238310708898</v>
      </c>
      <c r="L164" s="11">
        <v>132.6</v>
      </c>
      <c r="M164" s="11">
        <v>117.23805555555499</v>
      </c>
      <c r="N164" s="11">
        <v>8.6317197982026297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405</v>
      </c>
      <c r="B165" s="11">
        <v>164</v>
      </c>
      <c r="C165" s="11" t="s">
        <v>765</v>
      </c>
      <c r="D165" s="11" t="s">
        <v>766</v>
      </c>
      <c r="E165" s="11" t="s">
        <v>758</v>
      </c>
      <c r="F165" s="11" t="s">
        <v>758</v>
      </c>
      <c r="G165" s="11" t="s">
        <v>410</v>
      </c>
      <c r="H165" s="11">
        <v>34818</v>
      </c>
      <c r="I165" s="11">
        <v>53.892499999999998</v>
      </c>
      <c r="J165" s="11">
        <v>646.06392355151399</v>
      </c>
      <c r="K165" s="11">
        <v>555.39</v>
      </c>
      <c r="L165" s="11">
        <v>62.691081942418798</v>
      </c>
      <c r="M165" s="11">
        <v>8.7985819424188296</v>
      </c>
      <c r="N165" s="11">
        <v>1.1632617143836099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405</v>
      </c>
      <c r="B166" s="11">
        <v>165</v>
      </c>
      <c r="C166" s="11" t="s">
        <v>767</v>
      </c>
      <c r="D166" s="11" t="s">
        <v>768</v>
      </c>
      <c r="E166" s="11" t="s">
        <v>758</v>
      </c>
      <c r="F166" s="11" t="s">
        <v>758</v>
      </c>
      <c r="G166" s="11" t="s">
        <v>410</v>
      </c>
      <c r="H166" s="11">
        <v>16474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405</v>
      </c>
      <c r="B167" s="11">
        <v>166</v>
      </c>
      <c r="C167" s="11" t="s">
        <v>769</v>
      </c>
      <c r="D167" s="11" t="s">
        <v>770</v>
      </c>
      <c r="E167" s="11" t="s">
        <v>771</v>
      </c>
      <c r="F167" s="11" t="s">
        <v>772</v>
      </c>
      <c r="G167" s="11" t="s">
        <v>41</v>
      </c>
      <c r="H167" s="11">
        <v>0</v>
      </c>
      <c r="I167" s="11">
        <v>0</v>
      </c>
      <c r="J167" s="11">
        <v>0</v>
      </c>
      <c r="K167" s="11">
        <v>10006.999991999999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405</v>
      </c>
      <c r="B168" s="11">
        <v>167</v>
      </c>
      <c r="C168" s="11" t="s">
        <v>773</v>
      </c>
      <c r="D168" s="11" t="s">
        <v>774</v>
      </c>
      <c r="E168" s="11" t="s">
        <v>771</v>
      </c>
      <c r="F168" s="11" t="s">
        <v>772</v>
      </c>
      <c r="G168" s="11" t="s">
        <v>41</v>
      </c>
      <c r="H168" s="11">
        <v>0</v>
      </c>
      <c r="I168" s="11">
        <v>0</v>
      </c>
      <c r="J168" s="11">
        <v>0</v>
      </c>
      <c r="K168" s="11">
        <v>10006.999991999999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405</v>
      </c>
      <c r="B169" s="11">
        <v>168</v>
      </c>
      <c r="C169" s="11" t="s">
        <v>775</v>
      </c>
      <c r="D169" s="11" t="s">
        <v>776</v>
      </c>
      <c r="E169" s="11" t="s">
        <v>771</v>
      </c>
      <c r="F169" s="11" t="s">
        <v>772</v>
      </c>
      <c r="G169" s="11" t="s">
        <v>41</v>
      </c>
      <c r="H169" s="11">
        <v>0</v>
      </c>
      <c r="I169" s="11">
        <v>0</v>
      </c>
      <c r="J169" s="11">
        <v>0</v>
      </c>
      <c r="K169" s="11">
        <v>10006.999991999999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777</v>
      </c>
      <c r="B170" s="11">
        <v>1</v>
      </c>
      <c r="C170" s="11" t="s">
        <v>778</v>
      </c>
      <c r="D170" s="11" t="s">
        <v>779</v>
      </c>
      <c r="E170" s="11" t="s">
        <v>780</v>
      </c>
      <c r="F170" s="11" t="s">
        <v>780</v>
      </c>
      <c r="G170" s="11" t="s">
        <v>379</v>
      </c>
      <c r="H170" s="11">
        <v>1</v>
      </c>
      <c r="I170" s="11">
        <v>61.609166666666603</v>
      </c>
      <c r="J170" s="11">
        <v>1.6231350854174799E-2</v>
      </c>
      <c r="K170" s="11">
        <v>2.2992447056426699E-2</v>
      </c>
      <c r="L170" s="11">
        <v>43.492543335898802</v>
      </c>
      <c r="M170" s="11">
        <v>-18.116623330767801</v>
      </c>
      <c r="N170" s="11">
        <v>0.70594273042537703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777</v>
      </c>
      <c r="B171" s="11">
        <v>2</v>
      </c>
      <c r="C171" s="11" t="s">
        <v>781</v>
      </c>
      <c r="D171" s="11" t="s">
        <v>782</v>
      </c>
      <c r="E171" s="11" t="s">
        <v>780</v>
      </c>
      <c r="F171" s="11" t="s">
        <v>780</v>
      </c>
      <c r="G171" s="11" t="s">
        <v>379</v>
      </c>
      <c r="H171" s="11">
        <v>18251</v>
      </c>
      <c r="I171" s="11">
        <v>149.30444444444399</v>
      </c>
      <c r="J171" s="11">
        <v>122.24016550820799</v>
      </c>
      <c r="K171" s="11">
        <v>144.372013901716</v>
      </c>
      <c r="L171" s="11">
        <v>126.416467477032</v>
      </c>
      <c r="M171" s="11">
        <v>-22.8879769674122</v>
      </c>
      <c r="N171" s="11">
        <v>0.84670264135419704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777</v>
      </c>
      <c r="B172" s="11">
        <v>3</v>
      </c>
      <c r="C172" s="11" t="s">
        <v>783</v>
      </c>
      <c r="D172" s="11" t="s">
        <v>784</v>
      </c>
      <c r="E172" s="11" t="s">
        <v>780</v>
      </c>
      <c r="F172" s="11" t="s">
        <v>780</v>
      </c>
      <c r="G172" s="11" t="s">
        <v>379</v>
      </c>
      <c r="H172" s="11">
        <v>18252</v>
      </c>
      <c r="I172" s="11">
        <v>210.91361111111101</v>
      </c>
      <c r="J172" s="11">
        <v>86.537800494936704</v>
      </c>
      <c r="K172" s="11">
        <v>107.422201522292</v>
      </c>
      <c r="L172" s="11">
        <v>169.909010812931</v>
      </c>
      <c r="M172" s="11">
        <v>-41.004600298180101</v>
      </c>
      <c r="N172" s="11">
        <v>0.80558580320082496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777</v>
      </c>
      <c r="B173" s="11">
        <v>4</v>
      </c>
      <c r="C173" s="11" t="s">
        <v>785</v>
      </c>
      <c r="D173" s="11" t="s">
        <v>572</v>
      </c>
      <c r="E173" s="11" t="s">
        <v>780</v>
      </c>
      <c r="F173" s="11" t="s">
        <v>780</v>
      </c>
      <c r="G173" s="11" t="s">
        <v>379</v>
      </c>
      <c r="H173" s="11">
        <v>15510</v>
      </c>
      <c r="I173" s="11">
        <v>276.66805555555499</v>
      </c>
      <c r="J173" s="11">
        <v>56.059959538355699</v>
      </c>
      <c r="K173" s="11">
        <v>70.684116148644193</v>
      </c>
      <c r="L173" s="11">
        <v>219.42694971786099</v>
      </c>
      <c r="M173" s="11">
        <v>-57.241105837694498</v>
      </c>
      <c r="N173" s="11">
        <v>0.79310547535835596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777</v>
      </c>
      <c r="B174" s="11">
        <v>5</v>
      </c>
      <c r="C174" s="11" t="s">
        <v>786</v>
      </c>
      <c r="D174" s="11" t="s">
        <v>787</v>
      </c>
      <c r="E174" s="11" t="s">
        <v>780</v>
      </c>
      <c r="F174" s="11" t="s">
        <v>780</v>
      </c>
      <c r="G174" s="11" t="s">
        <v>379</v>
      </c>
      <c r="H174" s="11">
        <v>964</v>
      </c>
      <c r="I174" s="11">
        <v>13.765000000000001</v>
      </c>
      <c r="J174" s="11">
        <v>70.032691609153602</v>
      </c>
      <c r="K174" s="11">
        <v>128.13237314782299</v>
      </c>
      <c r="L174" s="11">
        <v>7.5234694895399699</v>
      </c>
      <c r="M174" s="11">
        <v>-6.2415305104600201</v>
      </c>
      <c r="N174" s="11">
        <v>0.546565164514346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777</v>
      </c>
      <c r="B175" s="11">
        <v>6</v>
      </c>
      <c r="C175" s="11" t="s">
        <v>788</v>
      </c>
      <c r="D175" s="11" t="s">
        <v>672</v>
      </c>
      <c r="E175" s="11" t="s">
        <v>780</v>
      </c>
      <c r="F175" s="11" t="s">
        <v>780</v>
      </c>
      <c r="G175" s="11" t="s">
        <v>379</v>
      </c>
      <c r="H175" s="11">
        <v>92</v>
      </c>
      <c r="I175" s="11">
        <v>4.1530555555555502</v>
      </c>
      <c r="J175" s="11">
        <v>22.152364390341699</v>
      </c>
      <c r="K175" s="11">
        <v>125.873383701375</v>
      </c>
      <c r="L175" s="11">
        <v>0.73089319834495403</v>
      </c>
      <c r="M175" s="11">
        <v>-3.4221623572105999</v>
      </c>
      <c r="N175" s="11">
        <v>0.17598926587130101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777</v>
      </c>
      <c r="B176" s="11">
        <v>7</v>
      </c>
      <c r="C176" s="11" t="s">
        <v>789</v>
      </c>
      <c r="D176" s="11" t="s">
        <v>751</v>
      </c>
      <c r="E176" s="11" t="s">
        <v>780</v>
      </c>
      <c r="F176" s="11" t="s">
        <v>780</v>
      </c>
      <c r="G176" s="11" t="s">
        <v>379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777</v>
      </c>
      <c r="B177" s="11">
        <v>8</v>
      </c>
      <c r="C177" s="11" t="s">
        <v>790</v>
      </c>
      <c r="D177" s="11" t="s">
        <v>758</v>
      </c>
      <c r="E177" s="11" t="s">
        <v>780</v>
      </c>
      <c r="F177" s="11" t="s">
        <v>780</v>
      </c>
      <c r="G177" s="11" t="s">
        <v>379</v>
      </c>
      <c r="H177" s="11">
        <v>16474</v>
      </c>
      <c r="I177" s="11">
        <v>108.264444444444</v>
      </c>
      <c r="J177" s="11">
        <v>152.164453293376</v>
      </c>
      <c r="K177" s="11">
        <v>20.055975530301001</v>
      </c>
      <c r="L177" s="11">
        <v>821.40108194241805</v>
      </c>
      <c r="M177" s="11">
        <v>713.13663749797399</v>
      </c>
      <c r="N177" s="11">
        <v>7.5869883797715101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777</v>
      </c>
      <c r="B178" s="11">
        <v>9</v>
      </c>
      <c r="C178" s="11" t="s">
        <v>791</v>
      </c>
      <c r="D178" s="11" t="s">
        <v>771</v>
      </c>
      <c r="E178" s="11" t="s">
        <v>780</v>
      </c>
      <c r="F178" s="11" t="s">
        <v>780</v>
      </c>
      <c r="G178" s="11" t="s">
        <v>41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777</v>
      </c>
      <c r="B179" s="11">
        <v>10</v>
      </c>
      <c r="C179" s="11" t="s">
        <v>792</v>
      </c>
      <c r="D179" s="11" t="s">
        <v>793</v>
      </c>
      <c r="E179" s="11" t="s">
        <v>780</v>
      </c>
      <c r="F179" s="11" t="s">
        <v>780</v>
      </c>
      <c r="G179" s="11" t="s">
        <v>379</v>
      </c>
      <c r="H179" s="11">
        <v>34818</v>
      </c>
      <c r="I179" s="11">
        <v>613.76416666666603</v>
      </c>
      <c r="J179" s="11">
        <v>56.728629481736299</v>
      </c>
      <c r="K179" s="11">
        <v>28.562957747350598</v>
      </c>
      <c r="L179" s="11">
        <v>1218.9914051610899</v>
      </c>
      <c r="M179" s="11">
        <v>605.227238494429</v>
      </c>
      <c r="N179" s="11">
        <v>1.9860908657822001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794</v>
      </c>
      <c r="B180" s="11">
        <v>1</v>
      </c>
      <c r="C180" s="11" t="s">
        <v>795</v>
      </c>
      <c r="D180" s="11" t="s">
        <v>408</v>
      </c>
      <c r="E180" s="11" t="s">
        <v>796</v>
      </c>
      <c r="F180" s="11" t="s">
        <v>796</v>
      </c>
      <c r="G180" s="11" t="s">
        <v>379</v>
      </c>
      <c r="H180" s="11">
        <v>18252</v>
      </c>
      <c r="I180" s="11">
        <v>210.91361111111101</v>
      </c>
      <c r="J180" s="11">
        <v>86.537800494936704</v>
      </c>
      <c r="K180" s="11">
        <v>107.422201522292</v>
      </c>
      <c r="L180" s="11">
        <v>169.909010812931</v>
      </c>
      <c r="M180" s="11">
        <v>-41.004600298180101</v>
      </c>
      <c r="N180" s="11">
        <v>0.80558580320082496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794</v>
      </c>
      <c r="B181" s="11">
        <v>2</v>
      </c>
      <c r="C181" s="11" t="s">
        <v>797</v>
      </c>
      <c r="D181" s="11" t="s">
        <v>798</v>
      </c>
      <c r="E181" s="11" t="s">
        <v>796</v>
      </c>
      <c r="F181" s="11" t="s">
        <v>796</v>
      </c>
      <c r="G181" s="11" t="s">
        <v>379</v>
      </c>
      <c r="H181" s="11">
        <v>964</v>
      </c>
      <c r="I181" s="11">
        <v>13.765000000000001</v>
      </c>
      <c r="J181" s="11">
        <v>70.032691609153602</v>
      </c>
      <c r="K181" s="11">
        <v>128.13237314782299</v>
      </c>
      <c r="L181" s="11">
        <v>7.5234694895399699</v>
      </c>
      <c r="M181" s="11">
        <v>-6.2415305104600201</v>
      </c>
      <c r="N181" s="11">
        <v>0.546565164514346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794</v>
      </c>
      <c r="B182" s="11">
        <v>3</v>
      </c>
      <c r="C182" s="11" t="s">
        <v>799</v>
      </c>
      <c r="D182" s="11" t="s">
        <v>672</v>
      </c>
      <c r="E182" s="11" t="s">
        <v>796</v>
      </c>
      <c r="F182" s="11" t="s">
        <v>796</v>
      </c>
      <c r="G182" s="11" t="s">
        <v>379</v>
      </c>
      <c r="H182" s="11">
        <v>92</v>
      </c>
      <c r="I182" s="11">
        <v>4.1530555555555502</v>
      </c>
      <c r="J182" s="11">
        <v>22.152364390341699</v>
      </c>
      <c r="K182" s="11">
        <v>125.873383701375</v>
      </c>
      <c r="L182" s="11">
        <v>0.73089319834495403</v>
      </c>
      <c r="M182" s="11">
        <v>-3.4221623572105999</v>
      </c>
      <c r="N182" s="11">
        <v>0.17598926587130101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794</v>
      </c>
      <c r="B183" s="11">
        <v>4</v>
      </c>
      <c r="C183" s="11" t="s">
        <v>800</v>
      </c>
      <c r="D183" s="11" t="s">
        <v>758</v>
      </c>
      <c r="E183" s="11" t="s">
        <v>796</v>
      </c>
      <c r="F183" s="11" t="s">
        <v>796</v>
      </c>
      <c r="G183" s="11" t="s">
        <v>379</v>
      </c>
      <c r="H183" s="11">
        <v>964</v>
      </c>
      <c r="I183" s="11">
        <v>92.902500000000003</v>
      </c>
      <c r="J183" s="11">
        <v>10.376469955060401</v>
      </c>
      <c r="K183" s="11">
        <v>1.3995332255888999</v>
      </c>
      <c r="L183" s="11">
        <v>688.80108194241802</v>
      </c>
      <c r="M183" s="11">
        <v>595.89858194241799</v>
      </c>
      <c r="N183" s="11">
        <v>7.4142362362952401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794</v>
      </c>
      <c r="B184" s="11">
        <v>5</v>
      </c>
      <c r="C184" s="11" t="s">
        <v>801</v>
      </c>
      <c r="D184" s="11" t="s">
        <v>771</v>
      </c>
      <c r="E184" s="11" t="s">
        <v>796</v>
      </c>
      <c r="F184" s="11" t="s">
        <v>796</v>
      </c>
      <c r="G184" s="11" t="s">
        <v>41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794</v>
      </c>
      <c r="B185" s="11">
        <v>6</v>
      </c>
      <c r="C185" s="11" t="s">
        <v>802</v>
      </c>
      <c r="D185" s="11" t="s">
        <v>793</v>
      </c>
      <c r="E185" s="11" t="s">
        <v>796</v>
      </c>
      <c r="F185" s="11" t="s">
        <v>796</v>
      </c>
      <c r="G185" s="11" t="s">
        <v>379</v>
      </c>
      <c r="H185" s="11">
        <v>19308</v>
      </c>
      <c r="I185" s="11">
        <v>321.734166666666</v>
      </c>
      <c r="J185" s="11">
        <v>60.012277216439003</v>
      </c>
      <c r="K185" s="11">
        <v>22.270809234190299</v>
      </c>
      <c r="L185" s="11">
        <v>866.96445544323399</v>
      </c>
      <c r="M185" s="11">
        <v>545.23028877656805</v>
      </c>
      <c r="N185" s="11">
        <v>2.6946608264376599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52</v>
      </c>
      <c r="C1" t="s">
        <v>53</v>
      </c>
    </row>
    <row r="2" spans="1:3">
      <c r="A2" t="s">
        <v>59</v>
      </c>
      <c r="B2">
        <v>5670</v>
      </c>
      <c r="C2">
        <v>183768</v>
      </c>
    </row>
    <row r="3" spans="1:3">
      <c r="A3" t="s">
        <v>60</v>
      </c>
      <c r="B3">
        <v>55</v>
      </c>
      <c r="C3">
        <v>2266</v>
      </c>
    </row>
    <row r="4" spans="1:3">
      <c r="A4" t="s">
        <v>61</v>
      </c>
      <c r="B4">
        <v>5664</v>
      </c>
      <c r="C4">
        <v>183492</v>
      </c>
    </row>
    <row r="5" spans="1:3">
      <c r="A5" t="s">
        <v>62</v>
      </c>
      <c r="B5">
        <v>4747</v>
      </c>
      <c r="C5">
        <v>132472</v>
      </c>
    </row>
    <row r="6" spans="1:3">
      <c r="A6" t="s">
        <v>63</v>
      </c>
      <c r="B6">
        <v>805</v>
      </c>
      <c r="C6">
        <v>46909</v>
      </c>
    </row>
    <row r="7" spans="1:3">
      <c r="A7" t="s">
        <v>64</v>
      </c>
      <c r="B7">
        <v>0</v>
      </c>
      <c r="C7">
        <v>0</v>
      </c>
    </row>
    <row r="8" spans="1:3">
      <c r="A8" t="s">
        <v>65</v>
      </c>
      <c r="B8">
        <v>0</v>
      </c>
      <c r="C8">
        <v>0</v>
      </c>
    </row>
    <row r="9" spans="1:3">
      <c r="A9" t="s">
        <v>66</v>
      </c>
      <c r="B9">
        <v>92</v>
      </c>
      <c r="C9">
        <v>2782</v>
      </c>
    </row>
    <row r="10" spans="1:3">
      <c r="A10" t="s">
        <v>67</v>
      </c>
      <c r="B10">
        <v>18</v>
      </c>
      <c r="C10">
        <v>1175</v>
      </c>
    </row>
    <row r="11" spans="1:3">
      <c r="A11" t="s">
        <v>68</v>
      </c>
      <c r="B11">
        <v>2</v>
      </c>
      <c r="C11">
        <v>116</v>
      </c>
    </row>
    <row r="13" spans="1:3">
      <c r="B13" t="s">
        <v>52</v>
      </c>
      <c r="C13" t="s">
        <v>53</v>
      </c>
    </row>
    <row r="14" spans="1:3">
      <c r="A14" t="s">
        <v>54</v>
      </c>
      <c r="B14">
        <v>5670</v>
      </c>
      <c r="C14">
        <v>183768</v>
      </c>
    </row>
    <row r="15" spans="1:3">
      <c r="A15" t="s">
        <v>55</v>
      </c>
      <c r="B15">
        <v>55</v>
      </c>
      <c r="C15">
        <v>2266</v>
      </c>
    </row>
    <row r="16" spans="1:3">
      <c r="A16" t="s">
        <v>56</v>
      </c>
      <c r="B16" s="13">
        <v>9.7000000000000003E-3</v>
      </c>
      <c r="C16" s="13">
        <v>1.23E-2</v>
      </c>
    </row>
    <row r="17" spans="1:3">
      <c r="A17" t="s">
        <v>57</v>
      </c>
      <c r="B17">
        <v>2</v>
      </c>
      <c r="C17">
        <v>108</v>
      </c>
    </row>
    <row r="18" spans="1:3">
      <c r="A18" t="s">
        <v>58</v>
      </c>
      <c r="B18" s="13">
        <v>4.0000000000000002E-4</v>
      </c>
      <c r="C18" s="13">
        <v>5.9999999999999995E-4</v>
      </c>
    </row>
    <row r="20" spans="1:3">
      <c r="B20" t="s">
        <v>52</v>
      </c>
      <c r="C20" t="s">
        <v>53</v>
      </c>
    </row>
    <row r="21" spans="1:3">
      <c r="A21" t="s">
        <v>69</v>
      </c>
      <c r="B21">
        <v>62</v>
      </c>
      <c r="C21">
        <v>3447</v>
      </c>
    </row>
    <row r="22" spans="1:3">
      <c r="A22" t="s">
        <v>70</v>
      </c>
      <c r="B22">
        <v>0</v>
      </c>
      <c r="C22">
        <v>1936</v>
      </c>
    </row>
    <row r="23" spans="1:3">
      <c r="A23" t="s">
        <v>71</v>
      </c>
      <c r="B23">
        <v>0</v>
      </c>
      <c r="C23">
        <v>0</v>
      </c>
    </row>
    <row r="24" spans="1:3">
      <c r="A24" t="s">
        <v>72</v>
      </c>
      <c r="B24">
        <v>0</v>
      </c>
      <c r="C24">
        <v>0</v>
      </c>
    </row>
    <row r="25" spans="1:3">
      <c r="A25" t="s">
        <v>73</v>
      </c>
      <c r="B25">
        <v>0</v>
      </c>
      <c r="C25">
        <v>89</v>
      </c>
    </row>
    <row r="26" spans="1:3">
      <c r="A26" t="s">
        <v>74</v>
      </c>
      <c r="B26">
        <v>0</v>
      </c>
      <c r="C26">
        <v>34</v>
      </c>
    </row>
    <row r="27" spans="1:3">
      <c r="A27" t="s">
        <v>75</v>
      </c>
      <c r="B27">
        <v>0</v>
      </c>
      <c r="C27">
        <v>1</v>
      </c>
    </row>
    <row r="28" spans="1:3">
      <c r="A28" t="s">
        <v>76</v>
      </c>
      <c r="B28">
        <v>0</v>
      </c>
      <c r="C28">
        <v>0</v>
      </c>
    </row>
    <row r="29" spans="1:3">
      <c r="A29" t="s">
        <v>77</v>
      </c>
      <c r="B29">
        <v>366</v>
      </c>
      <c r="C29">
        <v>14044</v>
      </c>
    </row>
    <row r="30" spans="1:3">
      <c r="A30" t="s">
        <v>78</v>
      </c>
      <c r="B30">
        <v>12</v>
      </c>
      <c r="C30">
        <v>3862</v>
      </c>
    </row>
    <row r="31" spans="1:3">
      <c r="A31" t="s">
        <v>79</v>
      </c>
      <c r="B31">
        <v>0</v>
      </c>
      <c r="C31">
        <v>0</v>
      </c>
    </row>
    <row r="32" spans="1:3">
      <c r="A32" t="s">
        <v>80</v>
      </c>
      <c r="B32">
        <v>0</v>
      </c>
      <c r="C32">
        <v>0</v>
      </c>
    </row>
    <row r="33" spans="1:3">
      <c r="A33" t="s">
        <v>81</v>
      </c>
      <c r="B33">
        <v>8</v>
      </c>
      <c r="C33">
        <v>267</v>
      </c>
    </row>
    <row r="34" spans="1:3">
      <c r="A34" t="s">
        <v>82</v>
      </c>
      <c r="B34">
        <v>0</v>
      </c>
      <c r="C34">
        <v>85</v>
      </c>
    </row>
    <row r="35" spans="1:3">
      <c r="A35" t="s">
        <v>83</v>
      </c>
      <c r="B35">
        <v>0</v>
      </c>
      <c r="C35">
        <v>10</v>
      </c>
    </row>
    <row r="36" spans="1:3">
      <c r="A36" t="s">
        <v>84</v>
      </c>
      <c r="B36">
        <v>0</v>
      </c>
      <c r="C36">
        <v>0</v>
      </c>
    </row>
    <row r="37" spans="1:3">
      <c r="A37" t="s">
        <v>85</v>
      </c>
      <c r="B37">
        <v>30</v>
      </c>
      <c r="C37">
        <v>2368</v>
      </c>
    </row>
    <row r="38" spans="1:3">
      <c r="A38" t="s">
        <v>86</v>
      </c>
      <c r="B38">
        <v>0</v>
      </c>
      <c r="C38">
        <v>811</v>
      </c>
    </row>
    <row r="39" spans="1:3">
      <c r="A39" t="s">
        <v>87</v>
      </c>
      <c r="B39">
        <v>0</v>
      </c>
      <c r="C39">
        <v>0</v>
      </c>
    </row>
    <row r="40" spans="1:3">
      <c r="A40" t="s">
        <v>88</v>
      </c>
      <c r="B40">
        <v>0</v>
      </c>
      <c r="C40">
        <v>0</v>
      </c>
    </row>
    <row r="41" spans="1:3">
      <c r="A41" t="s">
        <v>89</v>
      </c>
      <c r="B41">
        <v>0</v>
      </c>
      <c r="C41">
        <v>44</v>
      </c>
    </row>
    <row r="42" spans="1:3">
      <c r="A42" t="s">
        <v>90</v>
      </c>
      <c r="B42">
        <v>0</v>
      </c>
      <c r="C42">
        <v>16</v>
      </c>
    </row>
    <row r="43" spans="1:3">
      <c r="A43" t="s">
        <v>91</v>
      </c>
      <c r="B43">
        <v>0</v>
      </c>
      <c r="C43">
        <v>2</v>
      </c>
    </row>
    <row r="44" spans="1:3">
      <c r="A44" t="s">
        <v>92</v>
      </c>
      <c r="B44">
        <v>0</v>
      </c>
      <c r="C44">
        <v>0</v>
      </c>
    </row>
    <row r="45" spans="1:3">
      <c r="A45" t="s">
        <v>93</v>
      </c>
      <c r="B45">
        <v>504</v>
      </c>
      <c r="C45">
        <v>12709</v>
      </c>
    </row>
    <row r="46" spans="1:3">
      <c r="A46" t="s">
        <v>94</v>
      </c>
      <c r="B46">
        <v>37</v>
      </c>
      <c r="C46">
        <v>2984</v>
      </c>
    </row>
    <row r="47" spans="1:3">
      <c r="A47" t="s">
        <v>95</v>
      </c>
      <c r="B47">
        <v>0</v>
      </c>
      <c r="C47">
        <v>0</v>
      </c>
    </row>
    <row r="48" spans="1:3">
      <c r="A48" t="s">
        <v>96</v>
      </c>
      <c r="B48">
        <v>0</v>
      </c>
      <c r="C48">
        <v>0</v>
      </c>
    </row>
    <row r="49" spans="1:3">
      <c r="A49" t="s">
        <v>97</v>
      </c>
      <c r="B49">
        <v>12</v>
      </c>
      <c r="C49">
        <v>235</v>
      </c>
    </row>
    <row r="50" spans="1:3">
      <c r="A50" t="s">
        <v>98</v>
      </c>
      <c r="B50">
        <v>0</v>
      </c>
      <c r="C50">
        <v>68</v>
      </c>
    </row>
    <row r="51" spans="1:3">
      <c r="A51" t="s">
        <v>99</v>
      </c>
      <c r="B51">
        <v>0</v>
      </c>
      <c r="C51">
        <v>11</v>
      </c>
    </row>
    <row r="52" spans="1:3">
      <c r="A52" t="s">
        <v>100</v>
      </c>
      <c r="B52">
        <v>0</v>
      </c>
      <c r="C52">
        <v>0</v>
      </c>
    </row>
    <row r="53" spans="1:3">
      <c r="A53" t="s">
        <v>101</v>
      </c>
      <c r="B53">
        <v>325</v>
      </c>
      <c r="C53">
        <v>6965</v>
      </c>
    </row>
    <row r="54" spans="1:3">
      <c r="A54" t="s">
        <v>102</v>
      </c>
      <c r="B54">
        <v>65</v>
      </c>
      <c r="C54">
        <v>3389</v>
      </c>
    </row>
    <row r="55" spans="1:3">
      <c r="A55" t="s">
        <v>103</v>
      </c>
      <c r="B55">
        <v>0</v>
      </c>
      <c r="C55">
        <v>0</v>
      </c>
    </row>
    <row r="56" spans="1:3">
      <c r="A56" t="s">
        <v>104</v>
      </c>
      <c r="B56">
        <v>0</v>
      </c>
      <c r="C56">
        <v>0</v>
      </c>
    </row>
    <row r="57" spans="1:3">
      <c r="A57" t="s">
        <v>105</v>
      </c>
      <c r="B57">
        <v>8</v>
      </c>
      <c r="C57">
        <v>172</v>
      </c>
    </row>
    <row r="58" spans="1:3">
      <c r="A58" t="s">
        <v>106</v>
      </c>
      <c r="B58">
        <v>0</v>
      </c>
      <c r="C58">
        <v>97</v>
      </c>
    </row>
    <row r="59" spans="1:3">
      <c r="A59" t="s">
        <v>107</v>
      </c>
      <c r="B59">
        <v>0</v>
      </c>
      <c r="C59">
        <v>4</v>
      </c>
    </row>
    <row r="60" spans="1:3">
      <c r="A60" t="s">
        <v>108</v>
      </c>
      <c r="B60">
        <v>0</v>
      </c>
      <c r="C60">
        <v>0</v>
      </c>
    </row>
    <row r="61" spans="1:3">
      <c r="A61" t="s">
        <v>109</v>
      </c>
      <c r="B61">
        <v>461</v>
      </c>
      <c r="C61">
        <v>6014</v>
      </c>
    </row>
    <row r="62" spans="1:3">
      <c r="A62" t="s">
        <v>110</v>
      </c>
      <c r="B62">
        <v>34</v>
      </c>
      <c r="C62">
        <v>3389</v>
      </c>
    </row>
    <row r="63" spans="1:3">
      <c r="A63" t="s">
        <v>111</v>
      </c>
      <c r="B63">
        <v>0</v>
      </c>
      <c r="C63">
        <v>0</v>
      </c>
    </row>
    <row r="64" spans="1:3">
      <c r="A64" t="s">
        <v>112</v>
      </c>
      <c r="B64">
        <v>0</v>
      </c>
      <c r="C64">
        <v>0</v>
      </c>
    </row>
    <row r="65" spans="1:3">
      <c r="A65" t="s">
        <v>113</v>
      </c>
      <c r="B65">
        <v>7</v>
      </c>
      <c r="C65">
        <v>125</v>
      </c>
    </row>
    <row r="66" spans="1:3">
      <c r="A66" t="s">
        <v>114</v>
      </c>
      <c r="B66">
        <v>4</v>
      </c>
      <c r="C66">
        <v>53</v>
      </c>
    </row>
    <row r="67" spans="1:3">
      <c r="A67" t="s">
        <v>115</v>
      </c>
      <c r="B67">
        <v>0</v>
      </c>
      <c r="C67">
        <v>6</v>
      </c>
    </row>
    <row r="68" spans="1:3">
      <c r="A68" t="s">
        <v>116</v>
      </c>
      <c r="B68">
        <v>0</v>
      </c>
      <c r="C68">
        <v>0</v>
      </c>
    </row>
    <row r="69" spans="1:3">
      <c r="A69" t="s">
        <v>117</v>
      </c>
      <c r="B69">
        <v>0</v>
      </c>
      <c r="C69">
        <v>1355</v>
      </c>
    </row>
    <row r="70" spans="1:3">
      <c r="A70" t="s">
        <v>118</v>
      </c>
      <c r="B70">
        <v>0</v>
      </c>
      <c r="C70">
        <v>381</v>
      </c>
    </row>
    <row r="71" spans="1:3">
      <c r="A71" t="s">
        <v>119</v>
      </c>
      <c r="B71">
        <v>0</v>
      </c>
      <c r="C71">
        <v>0</v>
      </c>
    </row>
    <row r="72" spans="1:3">
      <c r="A72" t="s">
        <v>120</v>
      </c>
      <c r="B72">
        <v>0</v>
      </c>
      <c r="C72">
        <v>0</v>
      </c>
    </row>
    <row r="73" spans="1:3">
      <c r="A73" t="s">
        <v>121</v>
      </c>
      <c r="B73">
        <v>0</v>
      </c>
      <c r="C73">
        <v>33</v>
      </c>
    </row>
    <row r="74" spans="1:3">
      <c r="A74" t="s">
        <v>122</v>
      </c>
      <c r="B74">
        <v>0</v>
      </c>
      <c r="C74">
        <v>5</v>
      </c>
    </row>
    <row r="75" spans="1:3">
      <c r="A75" t="s">
        <v>123</v>
      </c>
      <c r="B75">
        <v>0</v>
      </c>
      <c r="C75">
        <v>2</v>
      </c>
    </row>
    <row r="76" spans="1:3">
      <c r="A76" t="s">
        <v>124</v>
      </c>
      <c r="B76">
        <v>0</v>
      </c>
      <c r="C76">
        <v>0</v>
      </c>
    </row>
    <row r="77" spans="1:3">
      <c r="A77" t="s">
        <v>125</v>
      </c>
      <c r="B77">
        <v>472</v>
      </c>
      <c r="C77">
        <v>13178</v>
      </c>
    </row>
    <row r="78" spans="1:3">
      <c r="A78" t="s">
        <v>126</v>
      </c>
      <c r="B78">
        <v>10</v>
      </c>
      <c r="C78">
        <v>3723</v>
      </c>
    </row>
    <row r="79" spans="1:3">
      <c r="A79" t="s">
        <v>127</v>
      </c>
      <c r="B79">
        <v>0</v>
      </c>
      <c r="C79">
        <v>0</v>
      </c>
    </row>
    <row r="80" spans="1:3">
      <c r="A80" t="s">
        <v>128</v>
      </c>
      <c r="B80">
        <v>0</v>
      </c>
      <c r="C80">
        <v>0</v>
      </c>
    </row>
    <row r="81" spans="1:3">
      <c r="A81" t="s">
        <v>129</v>
      </c>
      <c r="B81">
        <v>9</v>
      </c>
      <c r="C81">
        <v>278</v>
      </c>
    </row>
    <row r="82" spans="1:3">
      <c r="A82" t="s">
        <v>130</v>
      </c>
      <c r="B82">
        <v>1</v>
      </c>
      <c r="C82">
        <v>95</v>
      </c>
    </row>
    <row r="83" spans="1:3">
      <c r="A83" t="s">
        <v>131</v>
      </c>
      <c r="B83">
        <v>1</v>
      </c>
      <c r="C83">
        <v>10</v>
      </c>
    </row>
    <row r="84" spans="1:3">
      <c r="A84" t="s">
        <v>132</v>
      </c>
      <c r="B84">
        <v>0</v>
      </c>
      <c r="C84">
        <v>0</v>
      </c>
    </row>
    <row r="85" spans="1:3">
      <c r="A85" t="s">
        <v>133</v>
      </c>
      <c r="B85">
        <v>0</v>
      </c>
      <c r="C85">
        <v>1229</v>
      </c>
    </row>
    <row r="86" spans="1:3">
      <c r="A86" t="s">
        <v>134</v>
      </c>
      <c r="B86">
        <v>0</v>
      </c>
      <c r="C86">
        <v>836</v>
      </c>
    </row>
    <row r="87" spans="1:3">
      <c r="A87" t="s">
        <v>135</v>
      </c>
      <c r="B87">
        <v>0</v>
      </c>
      <c r="C87">
        <v>0</v>
      </c>
    </row>
    <row r="88" spans="1:3">
      <c r="A88" t="s">
        <v>136</v>
      </c>
      <c r="B88">
        <v>0</v>
      </c>
      <c r="C88">
        <v>0</v>
      </c>
    </row>
    <row r="89" spans="1:3">
      <c r="A89" t="s">
        <v>137</v>
      </c>
      <c r="B89">
        <v>0</v>
      </c>
      <c r="C89">
        <v>28</v>
      </c>
    </row>
    <row r="90" spans="1:3">
      <c r="A90" t="s">
        <v>138</v>
      </c>
      <c r="B90">
        <v>0</v>
      </c>
      <c r="C90">
        <v>24</v>
      </c>
    </row>
    <row r="91" spans="1:3">
      <c r="A91" t="s">
        <v>139</v>
      </c>
      <c r="B91">
        <v>0</v>
      </c>
      <c r="C91">
        <v>3</v>
      </c>
    </row>
    <row r="92" spans="1:3">
      <c r="A92" t="s">
        <v>140</v>
      </c>
      <c r="B92">
        <v>0</v>
      </c>
      <c r="C92">
        <v>0</v>
      </c>
    </row>
    <row r="93" spans="1:3">
      <c r="A93" t="s">
        <v>141</v>
      </c>
      <c r="B93">
        <v>0</v>
      </c>
      <c r="C93">
        <v>4288</v>
      </c>
    </row>
    <row r="94" spans="1:3">
      <c r="A94" t="s">
        <v>142</v>
      </c>
      <c r="B94">
        <v>0</v>
      </c>
      <c r="C94">
        <v>1086</v>
      </c>
    </row>
    <row r="95" spans="1:3">
      <c r="A95" t="s">
        <v>143</v>
      </c>
      <c r="B95">
        <v>0</v>
      </c>
      <c r="C95">
        <v>0</v>
      </c>
    </row>
    <row r="96" spans="1:3">
      <c r="A96" t="s">
        <v>144</v>
      </c>
      <c r="B96">
        <v>0</v>
      </c>
      <c r="C96">
        <v>0</v>
      </c>
    </row>
    <row r="97" spans="1:3">
      <c r="A97" t="s">
        <v>145</v>
      </c>
      <c r="B97">
        <v>0</v>
      </c>
      <c r="C97">
        <v>58</v>
      </c>
    </row>
    <row r="98" spans="1:3">
      <c r="A98" t="s">
        <v>146</v>
      </c>
      <c r="B98">
        <v>0</v>
      </c>
      <c r="C98">
        <v>30</v>
      </c>
    </row>
    <row r="99" spans="1:3">
      <c r="A99" t="s">
        <v>147</v>
      </c>
      <c r="B99">
        <v>0</v>
      </c>
      <c r="C99">
        <v>1</v>
      </c>
    </row>
    <row r="100" spans="1:3">
      <c r="A100" t="s">
        <v>148</v>
      </c>
      <c r="B100">
        <v>0</v>
      </c>
      <c r="C100">
        <v>0</v>
      </c>
    </row>
    <row r="101" spans="1:3">
      <c r="A101" t="s">
        <v>149</v>
      </c>
      <c r="B101">
        <v>0</v>
      </c>
      <c r="C101">
        <v>0</v>
      </c>
    </row>
    <row r="102" spans="1:3">
      <c r="A102" t="s">
        <v>150</v>
      </c>
      <c r="B102">
        <v>0</v>
      </c>
      <c r="C102">
        <v>0</v>
      </c>
    </row>
    <row r="103" spans="1:3">
      <c r="A103" t="s">
        <v>151</v>
      </c>
      <c r="B103">
        <v>0</v>
      </c>
      <c r="C103">
        <v>0</v>
      </c>
    </row>
    <row r="104" spans="1:3">
      <c r="A104" t="s">
        <v>152</v>
      </c>
      <c r="B104">
        <v>0</v>
      </c>
      <c r="C104">
        <v>0</v>
      </c>
    </row>
    <row r="105" spans="1:3">
      <c r="A105" t="s">
        <v>153</v>
      </c>
      <c r="B105">
        <v>0</v>
      </c>
      <c r="C105">
        <v>0</v>
      </c>
    </row>
    <row r="106" spans="1:3">
      <c r="A106" t="s">
        <v>154</v>
      </c>
      <c r="B106">
        <v>0</v>
      </c>
      <c r="C106">
        <v>0</v>
      </c>
    </row>
    <row r="107" spans="1:3">
      <c r="A107" t="s">
        <v>155</v>
      </c>
      <c r="B107">
        <v>0</v>
      </c>
      <c r="C107">
        <v>0</v>
      </c>
    </row>
    <row r="108" spans="1:3">
      <c r="A108" t="s">
        <v>156</v>
      </c>
      <c r="B108">
        <v>0</v>
      </c>
      <c r="C108">
        <v>0</v>
      </c>
    </row>
    <row r="109" spans="1:3">
      <c r="A109" t="s">
        <v>157</v>
      </c>
      <c r="B109">
        <v>106</v>
      </c>
      <c r="C109">
        <v>1787</v>
      </c>
    </row>
    <row r="110" spans="1:3">
      <c r="A110" t="s">
        <v>158</v>
      </c>
      <c r="B110">
        <v>205</v>
      </c>
      <c r="C110">
        <v>295</v>
      </c>
    </row>
    <row r="111" spans="1:3">
      <c r="A111" t="s">
        <v>159</v>
      </c>
      <c r="B111">
        <v>0</v>
      </c>
      <c r="C111">
        <v>0</v>
      </c>
    </row>
    <row r="112" spans="1:3">
      <c r="A112" t="s">
        <v>160</v>
      </c>
      <c r="B112">
        <v>0</v>
      </c>
      <c r="C112">
        <v>0</v>
      </c>
    </row>
    <row r="113" spans="1:3">
      <c r="A113" t="s">
        <v>161</v>
      </c>
      <c r="B113">
        <v>7</v>
      </c>
      <c r="C113">
        <v>38</v>
      </c>
    </row>
    <row r="114" spans="1:3">
      <c r="A114" t="s">
        <v>162</v>
      </c>
      <c r="B114">
        <v>7</v>
      </c>
      <c r="C114">
        <v>10</v>
      </c>
    </row>
    <row r="115" spans="1:3">
      <c r="A115" t="s">
        <v>163</v>
      </c>
      <c r="B115">
        <v>0</v>
      </c>
      <c r="C115">
        <v>0</v>
      </c>
    </row>
    <row r="116" spans="1:3">
      <c r="A116" t="s">
        <v>164</v>
      </c>
      <c r="B116">
        <v>0</v>
      </c>
      <c r="C116">
        <v>0</v>
      </c>
    </row>
    <row r="117" spans="1:3">
      <c r="A117" t="s">
        <v>165</v>
      </c>
      <c r="B117">
        <v>30</v>
      </c>
      <c r="C117">
        <v>3085</v>
      </c>
    </row>
    <row r="118" spans="1:3">
      <c r="A118" t="s">
        <v>166</v>
      </c>
      <c r="B118">
        <v>4</v>
      </c>
      <c r="C118">
        <v>168</v>
      </c>
    </row>
    <row r="119" spans="1:3">
      <c r="A119" t="s">
        <v>167</v>
      </c>
      <c r="B119">
        <v>0</v>
      </c>
      <c r="C119">
        <v>0</v>
      </c>
    </row>
    <row r="120" spans="1:3">
      <c r="A120" t="s">
        <v>168</v>
      </c>
      <c r="B120">
        <v>0</v>
      </c>
      <c r="C120">
        <v>0</v>
      </c>
    </row>
    <row r="121" spans="1:3">
      <c r="A121" t="s">
        <v>169</v>
      </c>
      <c r="B121">
        <v>1</v>
      </c>
      <c r="C121">
        <v>42</v>
      </c>
    </row>
    <row r="122" spans="1:3">
      <c r="A122" t="s">
        <v>170</v>
      </c>
      <c r="B122">
        <v>0</v>
      </c>
      <c r="C122">
        <v>3</v>
      </c>
    </row>
    <row r="123" spans="1:3">
      <c r="A123" t="s">
        <v>171</v>
      </c>
      <c r="B123">
        <v>0</v>
      </c>
      <c r="C123">
        <v>1</v>
      </c>
    </row>
    <row r="124" spans="1:3">
      <c r="A124" t="s">
        <v>172</v>
      </c>
      <c r="B124">
        <v>0</v>
      </c>
      <c r="C124">
        <v>0</v>
      </c>
    </row>
    <row r="125" spans="1:3">
      <c r="A125" t="s">
        <v>173</v>
      </c>
      <c r="B125">
        <v>15</v>
      </c>
      <c r="C125">
        <v>2427</v>
      </c>
    </row>
    <row r="126" spans="1:3">
      <c r="A126" t="s">
        <v>174</v>
      </c>
      <c r="B126">
        <v>0</v>
      </c>
      <c r="C126">
        <v>678</v>
      </c>
    </row>
    <row r="127" spans="1:3">
      <c r="A127" t="s">
        <v>175</v>
      </c>
      <c r="B127">
        <v>0</v>
      </c>
      <c r="C127">
        <v>0</v>
      </c>
    </row>
    <row r="128" spans="1:3">
      <c r="A128" t="s">
        <v>176</v>
      </c>
      <c r="B128">
        <v>0</v>
      </c>
      <c r="C128">
        <v>0</v>
      </c>
    </row>
    <row r="129" spans="1:3">
      <c r="A129" t="s">
        <v>177</v>
      </c>
      <c r="B129">
        <v>0</v>
      </c>
      <c r="C129">
        <v>40</v>
      </c>
    </row>
    <row r="130" spans="1:3">
      <c r="A130" t="s">
        <v>178</v>
      </c>
      <c r="B130">
        <v>0</v>
      </c>
      <c r="C130">
        <v>26</v>
      </c>
    </row>
    <row r="131" spans="1:3">
      <c r="A131" t="s">
        <v>179</v>
      </c>
      <c r="B131">
        <v>0</v>
      </c>
      <c r="C131">
        <v>2</v>
      </c>
    </row>
    <row r="132" spans="1:3">
      <c r="A132" t="s">
        <v>180</v>
      </c>
      <c r="B132">
        <v>0</v>
      </c>
      <c r="C132">
        <v>0</v>
      </c>
    </row>
    <row r="133" spans="1:3">
      <c r="A133" t="s">
        <v>181</v>
      </c>
      <c r="B133">
        <v>75</v>
      </c>
      <c r="C133">
        <v>2527</v>
      </c>
    </row>
    <row r="134" spans="1:3">
      <c r="A134" t="s">
        <v>182</v>
      </c>
      <c r="B134">
        <v>8</v>
      </c>
      <c r="C134">
        <v>4092</v>
      </c>
    </row>
    <row r="135" spans="1:3">
      <c r="A135" t="s">
        <v>183</v>
      </c>
      <c r="B135">
        <v>0</v>
      </c>
      <c r="C135">
        <v>0</v>
      </c>
    </row>
    <row r="136" spans="1:3">
      <c r="A136" t="s">
        <v>184</v>
      </c>
      <c r="B136">
        <v>0</v>
      </c>
      <c r="C136">
        <v>0</v>
      </c>
    </row>
    <row r="137" spans="1:3">
      <c r="A137" t="s">
        <v>185</v>
      </c>
      <c r="B137">
        <v>0</v>
      </c>
      <c r="C137">
        <v>139</v>
      </c>
    </row>
    <row r="138" spans="1:3">
      <c r="A138" t="s">
        <v>186</v>
      </c>
      <c r="B138">
        <v>1</v>
      </c>
      <c r="C138">
        <v>180</v>
      </c>
    </row>
    <row r="139" spans="1:3">
      <c r="A139" t="s">
        <v>187</v>
      </c>
      <c r="B139">
        <v>0</v>
      </c>
      <c r="C139">
        <v>13</v>
      </c>
    </row>
    <row r="140" spans="1:3">
      <c r="A140" t="s">
        <v>188</v>
      </c>
      <c r="B140">
        <v>0</v>
      </c>
      <c r="C140">
        <v>0</v>
      </c>
    </row>
    <row r="141" spans="1:3">
      <c r="A141" t="s">
        <v>189</v>
      </c>
      <c r="B141">
        <v>193</v>
      </c>
      <c r="C141">
        <v>2681</v>
      </c>
    </row>
    <row r="142" spans="1:3">
      <c r="A142" t="s">
        <v>190</v>
      </c>
      <c r="B142">
        <v>2</v>
      </c>
      <c r="C142">
        <v>172</v>
      </c>
    </row>
    <row r="143" spans="1:3">
      <c r="A143" t="s">
        <v>191</v>
      </c>
      <c r="B143">
        <v>0</v>
      </c>
      <c r="C143">
        <v>0</v>
      </c>
    </row>
    <row r="144" spans="1:3">
      <c r="A144" t="s">
        <v>192</v>
      </c>
      <c r="B144">
        <v>0</v>
      </c>
      <c r="C144">
        <v>0</v>
      </c>
    </row>
    <row r="145" spans="1:3">
      <c r="A145" t="s">
        <v>193</v>
      </c>
      <c r="B145">
        <v>3</v>
      </c>
      <c r="C145">
        <v>47</v>
      </c>
    </row>
    <row r="146" spans="1:3">
      <c r="A146" t="s">
        <v>194</v>
      </c>
      <c r="B146">
        <v>0</v>
      </c>
      <c r="C146">
        <v>3</v>
      </c>
    </row>
    <row r="147" spans="1:3">
      <c r="A147" t="s">
        <v>195</v>
      </c>
      <c r="B147">
        <v>0</v>
      </c>
      <c r="C147">
        <v>3</v>
      </c>
    </row>
    <row r="148" spans="1:3">
      <c r="A148" t="s">
        <v>196</v>
      </c>
      <c r="B148">
        <v>0</v>
      </c>
      <c r="C148">
        <v>0</v>
      </c>
    </row>
    <row r="149" spans="1:3">
      <c r="A149" t="s">
        <v>197</v>
      </c>
      <c r="B149">
        <v>52</v>
      </c>
      <c r="C149">
        <v>2553</v>
      </c>
    </row>
    <row r="150" spans="1:3">
      <c r="A150" t="s">
        <v>198</v>
      </c>
      <c r="B150">
        <v>0</v>
      </c>
      <c r="C150">
        <v>579</v>
      </c>
    </row>
    <row r="151" spans="1:3">
      <c r="A151" t="s">
        <v>199</v>
      </c>
      <c r="B151">
        <v>0</v>
      </c>
      <c r="C151">
        <v>0</v>
      </c>
    </row>
    <row r="152" spans="1:3">
      <c r="A152" t="s">
        <v>200</v>
      </c>
      <c r="B152">
        <v>0</v>
      </c>
      <c r="C152">
        <v>0</v>
      </c>
    </row>
    <row r="153" spans="1:3">
      <c r="A153" t="s">
        <v>201</v>
      </c>
      <c r="B153">
        <v>1</v>
      </c>
      <c r="C153">
        <v>43</v>
      </c>
    </row>
    <row r="154" spans="1:3">
      <c r="A154" t="s">
        <v>202</v>
      </c>
      <c r="B154">
        <v>0</v>
      </c>
      <c r="C154">
        <v>18</v>
      </c>
    </row>
    <row r="155" spans="1:3">
      <c r="A155" t="s">
        <v>203</v>
      </c>
      <c r="B155">
        <v>0</v>
      </c>
      <c r="C155">
        <v>0</v>
      </c>
    </row>
    <row r="156" spans="1:3">
      <c r="A156" t="s">
        <v>204</v>
      </c>
      <c r="B156">
        <v>0</v>
      </c>
      <c r="C156">
        <v>0</v>
      </c>
    </row>
    <row r="157" spans="1:3">
      <c r="A157" t="s">
        <v>205</v>
      </c>
      <c r="B157">
        <v>81</v>
      </c>
      <c r="C157">
        <v>3229</v>
      </c>
    </row>
    <row r="158" spans="1:3">
      <c r="A158" t="s">
        <v>206</v>
      </c>
      <c r="B158">
        <v>3</v>
      </c>
      <c r="C158">
        <v>841</v>
      </c>
    </row>
    <row r="159" spans="1:3">
      <c r="A159" t="s">
        <v>207</v>
      </c>
      <c r="B159">
        <v>0</v>
      </c>
      <c r="C159">
        <v>0</v>
      </c>
    </row>
    <row r="160" spans="1:3">
      <c r="A160" t="s">
        <v>208</v>
      </c>
      <c r="B160">
        <v>0</v>
      </c>
      <c r="C160">
        <v>0</v>
      </c>
    </row>
    <row r="161" spans="1:3">
      <c r="A161" t="s">
        <v>209</v>
      </c>
      <c r="B161">
        <v>4</v>
      </c>
      <c r="C161">
        <v>72</v>
      </c>
    </row>
    <row r="162" spans="1:3">
      <c r="A162" t="s">
        <v>210</v>
      </c>
      <c r="B162">
        <v>1</v>
      </c>
      <c r="C162">
        <v>22</v>
      </c>
    </row>
    <row r="163" spans="1:3">
      <c r="A163" t="s">
        <v>211</v>
      </c>
      <c r="B163">
        <v>0</v>
      </c>
      <c r="C163">
        <v>2</v>
      </c>
    </row>
    <row r="164" spans="1:3">
      <c r="A164" t="s">
        <v>212</v>
      </c>
      <c r="B164">
        <v>0</v>
      </c>
      <c r="C164">
        <v>0</v>
      </c>
    </row>
    <row r="165" spans="1:3">
      <c r="A165" t="s">
        <v>213</v>
      </c>
      <c r="B165">
        <v>139</v>
      </c>
      <c r="C165">
        <v>661</v>
      </c>
    </row>
    <row r="166" spans="1:3">
      <c r="A166" t="s">
        <v>214</v>
      </c>
      <c r="B166">
        <v>18</v>
      </c>
      <c r="C166">
        <v>21</v>
      </c>
    </row>
    <row r="167" spans="1:3">
      <c r="A167" t="s">
        <v>215</v>
      </c>
      <c r="B167">
        <v>0</v>
      </c>
      <c r="C167">
        <v>0</v>
      </c>
    </row>
    <row r="168" spans="1:3">
      <c r="A168" t="s">
        <v>216</v>
      </c>
      <c r="B168">
        <v>0</v>
      </c>
      <c r="C168">
        <v>0</v>
      </c>
    </row>
    <row r="169" spans="1:3">
      <c r="A169" t="s">
        <v>217</v>
      </c>
      <c r="B169">
        <v>2</v>
      </c>
      <c r="C169">
        <v>6</v>
      </c>
    </row>
    <row r="170" spans="1:3">
      <c r="A170" t="s">
        <v>218</v>
      </c>
      <c r="B170">
        <v>0</v>
      </c>
      <c r="C170">
        <v>1</v>
      </c>
    </row>
    <row r="171" spans="1:3">
      <c r="A171" t="s">
        <v>219</v>
      </c>
      <c r="B171">
        <v>0</v>
      </c>
      <c r="C171">
        <v>0</v>
      </c>
    </row>
    <row r="172" spans="1:3">
      <c r="A172" t="s">
        <v>220</v>
      </c>
      <c r="B172">
        <v>0</v>
      </c>
      <c r="C172">
        <v>0</v>
      </c>
    </row>
    <row r="173" spans="1:3">
      <c r="A173" t="s">
        <v>221</v>
      </c>
      <c r="B173">
        <v>68</v>
      </c>
      <c r="C173">
        <v>5011</v>
      </c>
    </row>
    <row r="174" spans="1:3">
      <c r="A174" t="s">
        <v>222</v>
      </c>
      <c r="B174">
        <v>0</v>
      </c>
      <c r="C174">
        <v>880</v>
      </c>
    </row>
    <row r="175" spans="1:3">
      <c r="A175" t="s">
        <v>223</v>
      </c>
      <c r="B175">
        <v>0</v>
      </c>
      <c r="C175">
        <v>0</v>
      </c>
    </row>
    <row r="176" spans="1:3">
      <c r="A176" t="s">
        <v>224</v>
      </c>
      <c r="B176">
        <v>0</v>
      </c>
      <c r="C176">
        <v>0</v>
      </c>
    </row>
    <row r="177" spans="1:3">
      <c r="A177" t="s">
        <v>225</v>
      </c>
      <c r="B177">
        <v>1</v>
      </c>
      <c r="C177">
        <v>88</v>
      </c>
    </row>
    <row r="178" spans="1:3">
      <c r="A178" t="s">
        <v>226</v>
      </c>
      <c r="B178">
        <v>0</v>
      </c>
      <c r="C178">
        <v>28</v>
      </c>
    </row>
    <row r="179" spans="1:3">
      <c r="A179" t="s">
        <v>227</v>
      </c>
      <c r="B179">
        <v>0</v>
      </c>
      <c r="C179">
        <v>8</v>
      </c>
    </row>
    <row r="180" spans="1:3">
      <c r="A180" t="s">
        <v>228</v>
      </c>
      <c r="B180">
        <v>0</v>
      </c>
      <c r="C180">
        <v>0</v>
      </c>
    </row>
    <row r="181" spans="1:3">
      <c r="A181" t="s">
        <v>229</v>
      </c>
      <c r="B181">
        <v>482</v>
      </c>
      <c r="C181">
        <v>12852</v>
      </c>
    </row>
    <row r="182" spans="1:3">
      <c r="A182" t="s">
        <v>230</v>
      </c>
      <c r="B182">
        <v>0</v>
      </c>
      <c r="C182">
        <v>3832</v>
      </c>
    </row>
    <row r="183" spans="1:3">
      <c r="A183" t="s">
        <v>231</v>
      </c>
      <c r="B183">
        <v>0</v>
      </c>
      <c r="C183">
        <v>0</v>
      </c>
    </row>
    <row r="184" spans="1:3">
      <c r="A184" t="s">
        <v>232</v>
      </c>
      <c r="B184">
        <v>0</v>
      </c>
      <c r="C184">
        <v>0</v>
      </c>
    </row>
    <row r="185" spans="1:3">
      <c r="A185" t="s">
        <v>233</v>
      </c>
      <c r="B185">
        <v>2</v>
      </c>
      <c r="C185">
        <v>234</v>
      </c>
    </row>
    <row r="186" spans="1:3">
      <c r="A186" t="s">
        <v>234</v>
      </c>
      <c r="B186">
        <v>0</v>
      </c>
      <c r="C186">
        <v>83</v>
      </c>
    </row>
    <row r="187" spans="1:3">
      <c r="A187" t="s">
        <v>235</v>
      </c>
      <c r="B187">
        <v>0</v>
      </c>
      <c r="C187">
        <v>13</v>
      </c>
    </row>
    <row r="188" spans="1:3">
      <c r="A188" t="s">
        <v>236</v>
      </c>
      <c r="B188">
        <v>0</v>
      </c>
      <c r="C188">
        <v>0</v>
      </c>
    </row>
    <row r="189" spans="1:3">
      <c r="A189" t="s">
        <v>237</v>
      </c>
      <c r="B189">
        <v>0</v>
      </c>
      <c r="C189">
        <v>2262</v>
      </c>
    </row>
    <row r="190" spans="1:3">
      <c r="A190" t="s">
        <v>238</v>
      </c>
      <c r="B190">
        <v>0</v>
      </c>
      <c r="C190">
        <v>133</v>
      </c>
    </row>
    <row r="191" spans="1:3">
      <c r="A191" t="s">
        <v>239</v>
      </c>
      <c r="B191">
        <v>0</v>
      </c>
      <c r="C191">
        <v>0</v>
      </c>
    </row>
    <row r="192" spans="1:3">
      <c r="A192" t="s">
        <v>240</v>
      </c>
      <c r="B192">
        <v>0</v>
      </c>
      <c r="C192">
        <v>0</v>
      </c>
    </row>
    <row r="193" spans="1:3">
      <c r="A193" t="s">
        <v>241</v>
      </c>
      <c r="B193">
        <v>0</v>
      </c>
      <c r="C193">
        <v>46</v>
      </c>
    </row>
    <row r="194" spans="1:3">
      <c r="A194" t="s">
        <v>242</v>
      </c>
      <c r="B194">
        <v>0</v>
      </c>
      <c r="C194">
        <v>5</v>
      </c>
    </row>
    <row r="195" spans="1:3">
      <c r="A195" t="s">
        <v>243</v>
      </c>
      <c r="B195">
        <v>0</v>
      </c>
      <c r="C195">
        <v>3</v>
      </c>
    </row>
    <row r="196" spans="1:3">
      <c r="A196" t="s">
        <v>244</v>
      </c>
      <c r="B196">
        <v>0</v>
      </c>
      <c r="C196">
        <v>0</v>
      </c>
    </row>
    <row r="197" spans="1:3">
      <c r="A197" t="s">
        <v>245</v>
      </c>
      <c r="B197">
        <v>170</v>
      </c>
      <c r="C197">
        <v>1588</v>
      </c>
    </row>
    <row r="198" spans="1:3">
      <c r="A198" t="s">
        <v>246</v>
      </c>
      <c r="B198">
        <v>1</v>
      </c>
      <c r="C198">
        <v>563</v>
      </c>
    </row>
    <row r="199" spans="1:3">
      <c r="A199" t="s">
        <v>247</v>
      </c>
      <c r="B199">
        <v>0</v>
      </c>
      <c r="C199">
        <v>0</v>
      </c>
    </row>
    <row r="200" spans="1:3">
      <c r="A200" t="s">
        <v>248</v>
      </c>
      <c r="B200">
        <v>0</v>
      </c>
      <c r="C200">
        <v>0</v>
      </c>
    </row>
    <row r="201" spans="1:3">
      <c r="A201" t="s">
        <v>249</v>
      </c>
      <c r="B201">
        <v>5</v>
      </c>
      <c r="C201">
        <v>39</v>
      </c>
    </row>
    <row r="202" spans="1:3">
      <c r="A202" t="s">
        <v>250</v>
      </c>
      <c r="B202">
        <v>0</v>
      </c>
      <c r="C202">
        <v>15</v>
      </c>
    </row>
    <row r="203" spans="1:3">
      <c r="A203" t="s">
        <v>251</v>
      </c>
      <c r="B203">
        <v>0</v>
      </c>
      <c r="C203">
        <v>0</v>
      </c>
    </row>
    <row r="204" spans="1:3">
      <c r="A204" t="s">
        <v>252</v>
      </c>
      <c r="B204">
        <v>0</v>
      </c>
      <c r="C204">
        <v>0</v>
      </c>
    </row>
    <row r="205" spans="1:3">
      <c r="A205" t="s">
        <v>253</v>
      </c>
      <c r="B205">
        <v>288</v>
      </c>
      <c r="C205">
        <v>2692</v>
      </c>
    </row>
    <row r="206" spans="1:3">
      <c r="A206" t="s">
        <v>254</v>
      </c>
      <c r="B206">
        <v>1</v>
      </c>
      <c r="C206">
        <v>70</v>
      </c>
    </row>
    <row r="207" spans="1:3">
      <c r="A207" t="s">
        <v>255</v>
      </c>
      <c r="B207">
        <v>0</v>
      </c>
      <c r="C207">
        <v>0</v>
      </c>
    </row>
    <row r="208" spans="1:3">
      <c r="A208" t="s">
        <v>256</v>
      </c>
      <c r="B208">
        <v>0</v>
      </c>
      <c r="C208">
        <v>0</v>
      </c>
    </row>
    <row r="209" spans="1:3">
      <c r="A209" t="s">
        <v>257</v>
      </c>
      <c r="B209">
        <v>2</v>
      </c>
      <c r="C209">
        <v>42</v>
      </c>
    </row>
    <row r="210" spans="1:3">
      <c r="A210" t="s">
        <v>258</v>
      </c>
      <c r="B210">
        <v>0</v>
      </c>
      <c r="C210">
        <v>3</v>
      </c>
    </row>
    <row r="211" spans="1:3">
      <c r="A211" t="s">
        <v>259</v>
      </c>
      <c r="B211">
        <v>0</v>
      </c>
      <c r="C211">
        <v>2</v>
      </c>
    </row>
    <row r="212" spans="1:3">
      <c r="A212" t="s">
        <v>260</v>
      </c>
      <c r="B212">
        <v>0</v>
      </c>
      <c r="C212">
        <v>0</v>
      </c>
    </row>
    <row r="213" spans="1:3">
      <c r="A213" t="s">
        <v>261</v>
      </c>
      <c r="B213">
        <v>74</v>
      </c>
      <c r="C213">
        <v>4038</v>
      </c>
    </row>
    <row r="214" spans="1:3">
      <c r="A214" t="s">
        <v>262</v>
      </c>
      <c r="B214">
        <v>27</v>
      </c>
      <c r="C214">
        <v>2153</v>
      </c>
    </row>
    <row r="215" spans="1:3">
      <c r="A215" t="s">
        <v>263</v>
      </c>
      <c r="B215">
        <v>0</v>
      </c>
      <c r="C215">
        <v>0</v>
      </c>
    </row>
    <row r="216" spans="1:3">
      <c r="A216" t="s">
        <v>264</v>
      </c>
      <c r="B216">
        <v>0</v>
      </c>
      <c r="C216">
        <v>0</v>
      </c>
    </row>
    <row r="217" spans="1:3">
      <c r="A217" t="s">
        <v>265</v>
      </c>
      <c r="B217">
        <v>2</v>
      </c>
      <c r="C217">
        <v>83</v>
      </c>
    </row>
    <row r="218" spans="1:3">
      <c r="A218" t="s">
        <v>266</v>
      </c>
      <c r="B218">
        <v>1</v>
      </c>
      <c r="C218">
        <v>36</v>
      </c>
    </row>
    <row r="219" spans="1:3">
      <c r="A219" t="s">
        <v>267</v>
      </c>
      <c r="B219">
        <v>0</v>
      </c>
      <c r="C219">
        <v>4</v>
      </c>
    </row>
    <row r="220" spans="1:3">
      <c r="A220" t="s">
        <v>268</v>
      </c>
      <c r="B220">
        <v>0</v>
      </c>
      <c r="C220">
        <v>0</v>
      </c>
    </row>
    <row r="221" spans="1:3">
      <c r="A221" t="s">
        <v>269</v>
      </c>
      <c r="B221">
        <v>221</v>
      </c>
      <c r="C221">
        <v>5208</v>
      </c>
    </row>
    <row r="222" spans="1:3">
      <c r="A222" t="s">
        <v>270</v>
      </c>
      <c r="B222">
        <v>182</v>
      </c>
      <c r="C222">
        <v>3631</v>
      </c>
    </row>
    <row r="223" spans="1:3">
      <c r="A223" t="s">
        <v>271</v>
      </c>
      <c r="B223">
        <v>0</v>
      </c>
      <c r="C223">
        <v>0</v>
      </c>
    </row>
    <row r="224" spans="1:3">
      <c r="A224" t="s">
        <v>272</v>
      </c>
      <c r="B224">
        <v>0</v>
      </c>
      <c r="C224">
        <v>0</v>
      </c>
    </row>
    <row r="225" spans="1:3">
      <c r="A225" t="s">
        <v>273</v>
      </c>
      <c r="B225">
        <v>6</v>
      </c>
      <c r="C225">
        <v>138</v>
      </c>
    </row>
    <row r="226" spans="1:3">
      <c r="A226" t="s">
        <v>274</v>
      </c>
      <c r="B226">
        <v>3</v>
      </c>
      <c r="C226">
        <v>90</v>
      </c>
    </row>
    <row r="227" spans="1:3">
      <c r="A227" t="s">
        <v>275</v>
      </c>
      <c r="B227">
        <v>1</v>
      </c>
      <c r="C227">
        <v>5</v>
      </c>
    </row>
    <row r="228" spans="1:3">
      <c r="A228" t="s">
        <v>276</v>
      </c>
      <c r="B228">
        <v>0</v>
      </c>
      <c r="C228">
        <v>0</v>
      </c>
    </row>
    <row r="229" spans="1:3">
      <c r="A229" t="s">
        <v>277</v>
      </c>
      <c r="B229">
        <v>118</v>
      </c>
      <c r="C229">
        <v>2867</v>
      </c>
    </row>
    <row r="230" spans="1:3">
      <c r="A230" t="s">
        <v>278</v>
      </c>
      <c r="B230">
        <v>24</v>
      </c>
      <c r="C230">
        <v>920</v>
      </c>
    </row>
    <row r="231" spans="1:3">
      <c r="A231" t="s">
        <v>279</v>
      </c>
      <c r="B231">
        <v>0</v>
      </c>
      <c r="C231">
        <v>0</v>
      </c>
    </row>
    <row r="232" spans="1:3">
      <c r="A232" t="s">
        <v>280</v>
      </c>
      <c r="B232">
        <v>0</v>
      </c>
      <c r="C232">
        <v>0</v>
      </c>
    </row>
    <row r="233" spans="1:3">
      <c r="A233" t="s">
        <v>281</v>
      </c>
      <c r="B233">
        <v>3</v>
      </c>
      <c r="C233">
        <v>71</v>
      </c>
    </row>
    <row r="234" spans="1:3">
      <c r="A234" t="s">
        <v>282</v>
      </c>
      <c r="B234">
        <v>0</v>
      </c>
      <c r="C234">
        <v>17</v>
      </c>
    </row>
    <row r="235" spans="1:3">
      <c r="A235" t="s">
        <v>283</v>
      </c>
      <c r="B235">
        <v>0</v>
      </c>
      <c r="C235">
        <v>4</v>
      </c>
    </row>
    <row r="236" spans="1:3">
      <c r="A236" t="s">
        <v>284</v>
      </c>
      <c r="B236">
        <v>0</v>
      </c>
      <c r="C236">
        <v>0</v>
      </c>
    </row>
    <row r="237" spans="1:3">
      <c r="A237" t="s">
        <v>285</v>
      </c>
      <c r="B237">
        <v>102</v>
      </c>
      <c r="C237">
        <v>5108</v>
      </c>
    </row>
    <row r="238" spans="1:3">
      <c r="A238" t="s">
        <v>286</v>
      </c>
      <c r="B238">
        <v>94</v>
      </c>
      <c r="C238">
        <v>2688</v>
      </c>
    </row>
    <row r="239" spans="1:3">
      <c r="A239" t="s">
        <v>287</v>
      </c>
      <c r="B239">
        <v>0</v>
      </c>
      <c r="C239">
        <v>0</v>
      </c>
    </row>
    <row r="240" spans="1:3">
      <c r="A240" t="s">
        <v>288</v>
      </c>
      <c r="B240">
        <v>0</v>
      </c>
      <c r="C240">
        <v>0</v>
      </c>
    </row>
    <row r="241" spans="1:3">
      <c r="A241" t="s">
        <v>289</v>
      </c>
      <c r="B241">
        <v>4</v>
      </c>
      <c r="C241">
        <v>116</v>
      </c>
    </row>
    <row r="242" spans="1:3">
      <c r="A242" t="s">
        <v>290</v>
      </c>
      <c r="B242">
        <v>0</v>
      </c>
      <c r="C242">
        <v>58</v>
      </c>
    </row>
    <row r="243" spans="1:3">
      <c r="A243" t="s">
        <v>291</v>
      </c>
      <c r="B243">
        <v>0</v>
      </c>
      <c r="C243">
        <v>2</v>
      </c>
    </row>
    <row r="244" spans="1:3">
      <c r="A244" t="s">
        <v>292</v>
      </c>
      <c r="B244">
        <v>0</v>
      </c>
      <c r="C244">
        <v>0</v>
      </c>
    </row>
    <row r="245" spans="1:3">
      <c r="A245" t="s">
        <v>293</v>
      </c>
      <c r="B245">
        <v>114</v>
      </c>
      <c r="C245">
        <v>3222</v>
      </c>
    </row>
    <row r="246" spans="1:3">
      <c r="A246" t="s">
        <v>294</v>
      </c>
      <c r="B246">
        <v>62</v>
      </c>
      <c r="C246">
        <v>1283</v>
      </c>
    </row>
    <row r="247" spans="1:3">
      <c r="A247" t="s">
        <v>295</v>
      </c>
      <c r="B247">
        <v>0</v>
      </c>
      <c r="C247">
        <v>0</v>
      </c>
    </row>
    <row r="248" spans="1:3">
      <c r="A248" t="s">
        <v>296</v>
      </c>
      <c r="B248">
        <v>0</v>
      </c>
      <c r="C248">
        <v>0</v>
      </c>
    </row>
    <row r="249" spans="1:3">
      <c r="A249" t="s">
        <v>297</v>
      </c>
      <c r="B249">
        <v>2</v>
      </c>
      <c r="C249">
        <v>71</v>
      </c>
    </row>
    <row r="250" spans="1:3">
      <c r="A250" t="s">
        <v>298</v>
      </c>
      <c r="B250">
        <v>0</v>
      </c>
      <c r="C250">
        <v>29</v>
      </c>
    </row>
    <row r="251" spans="1:3">
      <c r="A251" t="s">
        <v>299</v>
      </c>
      <c r="B251">
        <v>0</v>
      </c>
      <c r="C251">
        <v>1</v>
      </c>
    </row>
    <row r="252" spans="1:3">
      <c r="A252" t="s">
        <v>300</v>
      </c>
      <c r="B252">
        <v>0</v>
      </c>
      <c r="C252">
        <v>0</v>
      </c>
    </row>
    <row r="253" spans="1:3">
      <c r="A253" t="s">
        <v>301</v>
      </c>
      <c r="B253">
        <v>199</v>
      </c>
      <c r="C253">
        <v>3077</v>
      </c>
    </row>
    <row r="254" spans="1:3">
      <c r="A254" t="s">
        <v>302</v>
      </c>
      <c r="B254">
        <v>16</v>
      </c>
      <c r="C254">
        <v>1510</v>
      </c>
    </row>
    <row r="255" spans="1:3">
      <c r="A255" t="s">
        <v>303</v>
      </c>
      <c r="B255">
        <v>0</v>
      </c>
      <c r="C255">
        <v>0</v>
      </c>
    </row>
    <row r="256" spans="1:3">
      <c r="A256" t="s">
        <v>304</v>
      </c>
      <c r="B256">
        <v>0</v>
      </c>
      <c r="C256">
        <v>0</v>
      </c>
    </row>
    <row r="257" spans="1:3">
      <c r="A257" t="s">
        <v>305</v>
      </c>
      <c r="B257">
        <v>3</v>
      </c>
      <c r="C257">
        <v>97</v>
      </c>
    </row>
    <row r="258" spans="1:3">
      <c r="A258" t="s">
        <v>306</v>
      </c>
      <c r="B258">
        <v>0</v>
      </c>
      <c r="C258">
        <v>40</v>
      </c>
    </row>
    <row r="259" spans="1:3">
      <c r="A259" t="s">
        <v>307</v>
      </c>
      <c r="B259">
        <v>0</v>
      </c>
      <c r="C259">
        <v>3</v>
      </c>
    </row>
    <row r="260" spans="1:3">
      <c r="A260" t="s">
        <v>308</v>
      </c>
      <c r="B260">
        <v>0</v>
      </c>
      <c r="C26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309</v>
      </c>
      <c r="B1" t="s">
        <v>323</v>
      </c>
    </row>
    <row r="2" spans="1:2">
      <c r="A2" t="s">
        <v>310</v>
      </c>
      <c r="B2" t="s">
        <v>809</v>
      </c>
    </row>
    <row r="3" spans="1:2">
      <c r="A3" t="s">
        <v>311</v>
      </c>
      <c r="B3" t="s">
        <v>810</v>
      </c>
    </row>
    <row r="4" spans="1:2">
      <c r="A4" t="s">
        <v>313</v>
      </c>
    </row>
    <row r="5" spans="1:2">
      <c r="A5" t="s">
        <v>314</v>
      </c>
    </row>
    <row r="6" spans="1:2">
      <c r="A6" t="s">
        <v>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309</v>
      </c>
      <c r="B1" t="s">
        <v>352</v>
      </c>
      <c r="C1" t="s">
        <v>353</v>
      </c>
      <c r="D1" t="s">
        <v>354</v>
      </c>
      <c r="E1" t="s">
        <v>355</v>
      </c>
      <c r="F1" t="s">
        <v>356</v>
      </c>
      <c r="G1" t="s">
        <v>357</v>
      </c>
    </row>
    <row r="2" spans="1:8">
      <c r="A2" t="s">
        <v>310</v>
      </c>
      <c r="B2" t="s">
        <v>811</v>
      </c>
      <c r="C2" t="s">
        <v>812</v>
      </c>
      <c r="D2" t="s">
        <v>813</v>
      </c>
      <c r="E2" t="s">
        <v>814</v>
      </c>
      <c r="F2" t="s">
        <v>806</v>
      </c>
      <c r="G2" s="15" t="s">
        <v>815</v>
      </c>
      <c r="H2" s="14"/>
    </row>
    <row r="3" spans="1:8">
      <c r="A3" t="s">
        <v>311</v>
      </c>
      <c r="B3" t="s">
        <v>312</v>
      </c>
      <c r="C3" t="s">
        <v>312</v>
      </c>
      <c r="D3" t="s">
        <v>312</v>
      </c>
      <c r="E3" t="s">
        <v>312</v>
      </c>
      <c r="F3" t="s">
        <v>810</v>
      </c>
      <c r="G3" t="s">
        <v>312</v>
      </c>
    </row>
    <row r="4" spans="1:8">
      <c r="A4" t="s">
        <v>313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314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315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816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817</v>
      </c>
    </row>
    <row r="9" spans="1:8">
      <c r="A9" t="s">
        <v>818</v>
      </c>
    </row>
    <row r="10" spans="1:8">
      <c r="A10" t="s">
        <v>819</v>
      </c>
    </row>
    <row r="11" spans="1:8">
      <c r="A11" t="s">
        <v>820</v>
      </c>
    </row>
    <row r="12" spans="1:8">
      <c r="A12" t="s">
        <v>821</v>
      </c>
    </row>
    <row r="13" spans="1:8">
      <c r="A13" t="s">
        <v>822</v>
      </c>
    </row>
    <row r="14" spans="1:8">
      <c r="A14" t="s">
        <v>823</v>
      </c>
    </row>
    <row r="15" spans="1:8">
      <c r="A15" t="s">
        <v>824</v>
      </c>
    </row>
    <row r="16" spans="1:8">
      <c r="A16" t="s">
        <v>825</v>
      </c>
    </row>
    <row r="17" spans="1:1">
      <c r="A17" t="s">
        <v>826</v>
      </c>
    </row>
    <row r="18" spans="1:1">
      <c r="A18" t="s">
        <v>827</v>
      </c>
    </row>
    <row r="19" spans="1:1">
      <c r="A19" t="s">
        <v>828</v>
      </c>
    </row>
    <row r="20" spans="1:1">
      <c r="A20" t="s">
        <v>829</v>
      </c>
    </row>
    <row r="21" spans="1:1">
      <c r="A21" t="s">
        <v>830</v>
      </c>
    </row>
    <row r="22" spans="1:1">
      <c r="A22" t="s">
        <v>831</v>
      </c>
    </row>
    <row r="23" spans="1:1">
      <c r="A23" t="s">
        <v>832</v>
      </c>
    </row>
    <row r="24" spans="1:1">
      <c r="A24" t="s">
        <v>833</v>
      </c>
    </row>
    <row r="25" spans="1:1">
      <c r="A25" t="s">
        <v>834</v>
      </c>
    </row>
    <row r="26" spans="1:1">
      <c r="A26" t="s">
        <v>835</v>
      </c>
    </row>
    <row r="27" spans="1:1">
      <c r="A27" t="s">
        <v>836</v>
      </c>
    </row>
    <row r="28" spans="1:1">
      <c r="A28" t="s">
        <v>837</v>
      </c>
    </row>
    <row r="29" spans="1:1">
      <c r="A29" t="s">
        <v>838</v>
      </c>
    </row>
    <row r="30" spans="1:1">
      <c r="A30" t="s">
        <v>839</v>
      </c>
    </row>
    <row r="31" spans="1:1">
      <c r="A31" t="s">
        <v>840</v>
      </c>
    </row>
    <row r="32" spans="1:1">
      <c r="A32" t="s">
        <v>841</v>
      </c>
    </row>
    <row r="33" spans="1:1">
      <c r="A33" t="s">
        <v>842</v>
      </c>
    </row>
    <row r="34" spans="1:1">
      <c r="A34" t="s">
        <v>843</v>
      </c>
    </row>
    <row r="35" spans="1:1">
      <c r="A35" t="s">
        <v>844</v>
      </c>
    </row>
    <row r="36" spans="1:1">
      <c r="A36" t="s">
        <v>845</v>
      </c>
    </row>
    <row r="37" spans="1:1">
      <c r="A37" t="s">
        <v>846</v>
      </c>
    </row>
    <row r="38" spans="1:1">
      <c r="A38" t="s">
        <v>847</v>
      </c>
    </row>
    <row r="39" spans="1:1">
      <c r="A39" t="s">
        <v>848</v>
      </c>
    </row>
    <row r="40" spans="1:1">
      <c r="A40" t="s">
        <v>849</v>
      </c>
    </row>
    <row r="41" spans="1:1">
      <c r="A41" t="s">
        <v>850</v>
      </c>
    </row>
    <row r="42" spans="1:1">
      <c r="A42" t="s">
        <v>851</v>
      </c>
    </row>
    <row r="43" spans="1:1">
      <c r="A43" t="s">
        <v>852</v>
      </c>
    </row>
    <row r="44" spans="1:1">
      <c r="A44" t="s">
        <v>853</v>
      </c>
    </row>
    <row r="45" spans="1:1">
      <c r="A45" t="s">
        <v>854</v>
      </c>
    </row>
    <row r="46" spans="1:1">
      <c r="A46" t="s">
        <v>855</v>
      </c>
    </row>
    <row r="47" spans="1:1">
      <c r="A47" t="s">
        <v>856</v>
      </c>
    </row>
    <row r="48" spans="1:1">
      <c r="A48" t="s">
        <v>857</v>
      </c>
    </row>
    <row r="49" spans="1:1">
      <c r="A49" t="s">
        <v>858</v>
      </c>
    </row>
    <row r="50" spans="1:1">
      <c r="A50" t="s">
        <v>859</v>
      </c>
    </row>
    <row r="51" spans="1:1">
      <c r="A51" t="s">
        <v>860</v>
      </c>
    </row>
    <row r="52" spans="1:1">
      <c r="A52" t="s">
        <v>861</v>
      </c>
    </row>
    <row r="53" spans="1:1">
      <c r="A53" t="s">
        <v>862</v>
      </c>
    </row>
    <row r="54" spans="1:1">
      <c r="A54" t="s">
        <v>863</v>
      </c>
    </row>
    <row r="55" spans="1:1">
      <c r="A55" t="s">
        <v>864</v>
      </c>
    </row>
    <row r="56" spans="1:1">
      <c r="A56" t="s">
        <v>865</v>
      </c>
    </row>
    <row r="57" spans="1:1">
      <c r="A57" t="s">
        <v>866</v>
      </c>
    </row>
    <row r="58" spans="1:1">
      <c r="A58" t="s">
        <v>867</v>
      </c>
    </row>
    <row r="59" spans="1:1">
      <c r="A59" t="s">
        <v>868</v>
      </c>
    </row>
    <row r="60" spans="1:1">
      <c r="A60" t="s">
        <v>869</v>
      </c>
    </row>
    <row r="61" spans="1:1">
      <c r="A61" t="s">
        <v>870</v>
      </c>
    </row>
    <row r="62" spans="1:1">
      <c r="A62" t="s">
        <v>871</v>
      </c>
    </row>
    <row r="63" spans="1:1">
      <c r="A63" t="s">
        <v>872</v>
      </c>
    </row>
    <row r="64" spans="1:1">
      <c r="A64" t="s">
        <v>873</v>
      </c>
    </row>
    <row r="65" spans="1:1">
      <c r="A65" t="s">
        <v>874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309</v>
      </c>
      <c r="B1" t="s">
        <v>326</v>
      </c>
      <c r="C1" t="s">
        <v>327</v>
      </c>
      <c r="D1" t="s">
        <v>328</v>
      </c>
      <c r="E1" t="s">
        <v>329</v>
      </c>
      <c r="F1" t="s">
        <v>330</v>
      </c>
      <c r="G1" t="s">
        <v>331</v>
      </c>
      <c r="H1" t="s">
        <v>332</v>
      </c>
      <c r="I1" t="s">
        <v>333</v>
      </c>
    </row>
    <row r="2" spans="1:9">
      <c r="A2" t="s">
        <v>310</v>
      </c>
      <c r="B2" t="s">
        <v>875</v>
      </c>
      <c r="C2" t="s">
        <v>876</v>
      </c>
      <c r="D2" t="s">
        <v>877</v>
      </c>
      <c r="E2" t="s">
        <v>878</v>
      </c>
      <c r="F2" t="s">
        <v>879</v>
      </c>
      <c r="G2" t="s">
        <v>880</v>
      </c>
      <c r="H2" t="s">
        <v>881</v>
      </c>
      <c r="I2" t="s">
        <v>882</v>
      </c>
    </row>
    <row r="3" spans="1:9">
      <c r="A3" t="s">
        <v>311</v>
      </c>
      <c r="B3" t="s">
        <v>810</v>
      </c>
      <c r="C3" t="s">
        <v>810</v>
      </c>
      <c r="D3" t="s">
        <v>810</v>
      </c>
      <c r="E3" t="s">
        <v>810</v>
      </c>
      <c r="F3" t="s">
        <v>810</v>
      </c>
      <c r="G3" t="s">
        <v>810</v>
      </c>
      <c r="H3" t="s">
        <v>810</v>
      </c>
      <c r="I3" t="s">
        <v>810</v>
      </c>
    </row>
    <row r="4" spans="1:9">
      <c r="A4" t="s">
        <v>313</v>
      </c>
    </row>
    <row r="5" spans="1:9">
      <c r="A5" t="s">
        <v>314</v>
      </c>
    </row>
    <row r="6" spans="1:9">
      <c r="A6" t="s">
        <v>315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309</v>
      </c>
      <c r="B1" t="s">
        <v>343</v>
      </c>
      <c r="C1" t="s">
        <v>344</v>
      </c>
    </row>
    <row r="2" spans="1:3">
      <c r="A2" t="s">
        <v>310</v>
      </c>
      <c r="B2" t="s">
        <v>883</v>
      </c>
      <c r="C2" t="s">
        <v>884</v>
      </c>
    </row>
    <row r="3" spans="1:3">
      <c r="A3" t="s">
        <v>311</v>
      </c>
      <c r="B3" t="s">
        <v>810</v>
      </c>
      <c r="C3" t="s">
        <v>810</v>
      </c>
    </row>
    <row r="4" spans="1:3">
      <c r="A4" t="s">
        <v>313</v>
      </c>
    </row>
    <row r="5" spans="1:3">
      <c r="A5" t="s">
        <v>314</v>
      </c>
    </row>
    <row r="6" spans="1:3">
      <c r="A6" t="s">
        <v>315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309</v>
      </c>
      <c r="B1" t="s">
        <v>352</v>
      </c>
      <c r="C1" t="s">
        <v>353</v>
      </c>
      <c r="D1" t="s">
        <v>354</v>
      </c>
      <c r="E1" t="s">
        <v>355</v>
      </c>
      <c r="F1" t="s">
        <v>356</v>
      </c>
      <c r="G1" t="s">
        <v>357</v>
      </c>
    </row>
    <row r="2" spans="1:7">
      <c r="A2" t="s">
        <v>310</v>
      </c>
      <c r="B2" t="s">
        <v>885</v>
      </c>
      <c r="C2" t="s">
        <v>886</v>
      </c>
      <c r="D2" t="s">
        <v>887</v>
      </c>
      <c r="E2" t="s">
        <v>888</v>
      </c>
      <c r="F2" t="s">
        <v>806</v>
      </c>
      <c r="G2" t="s">
        <v>889</v>
      </c>
    </row>
    <row r="3" spans="1:7">
      <c r="A3" t="s">
        <v>311</v>
      </c>
      <c r="B3" t="s">
        <v>810</v>
      </c>
      <c r="C3" t="s">
        <v>807</v>
      </c>
      <c r="D3" t="s">
        <v>810</v>
      </c>
      <c r="E3" t="s">
        <v>810</v>
      </c>
      <c r="F3" t="s">
        <v>807</v>
      </c>
      <c r="G3" t="s">
        <v>810</v>
      </c>
    </row>
    <row r="4" spans="1:7">
      <c r="A4" t="s">
        <v>313</v>
      </c>
    </row>
    <row r="5" spans="1:7">
      <c r="A5" t="s">
        <v>314</v>
      </c>
    </row>
    <row r="6" spans="1:7">
      <c r="A6" t="s">
        <v>315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38</vt:i4>
      </vt:variant>
    </vt:vector>
  </HeadingPairs>
  <TitlesOfParts>
    <vt:vector size="54" baseType="lpstr"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PPR!PPA_2</vt:lpstr>
      <vt:lpstr>PPR_V2!PPA_2</vt:lpstr>
      <vt:lpstr>PPR!PPA_3</vt:lpstr>
      <vt:lpstr>PPR_V2!PPA_3</vt:lpstr>
      <vt:lpstr>PPR!PPA_4</vt:lpstr>
      <vt:lpstr>PPR_V2!PPA_4</vt:lpstr>
      <vt:lpstr>PPR!PPA_5</vt:lpstr>
      <vt:lpstr>PPR_V2!PPA_5</vt:lpstr>
      <vt:lpstr>PPR!PPA_6</vt:lpstr>
      <vt:lpstr>PPR_V2!PPA_6</vt:lpstr>
      <vt:lpstr>PPR!PPA_7</vt:lpstr>
      <vt:lpstr>PPR_V2!PPA_7</vt:lpstr>
      <vt:lpstr>PPR!PPA_8</vt:lpstr>
      <vt:lpstr>PPR_V2!PPA_8</vt:lpstr>
      <vt:lpstr>PPR!PPA_9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2021-04-09T22:02:56Z</dcterms:modified>
</cp:coreProperties>
</file>