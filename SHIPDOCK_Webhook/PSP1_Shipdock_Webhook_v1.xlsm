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linkm\Desktop\"/>
    </mc:Choice>
  </mc:AlternateContent>
  <bookViews>
    <workbookView xWindow="0" yWindow="0" windowWidth="11970" windowHeight="6030"/>
  </bookViews>
  <sheets>
    <sheet name="HOME" sheetId="20" r:id="rId1"/>
    <sheet name="Base" sheetId="1" state="hidden" r:id="rId2"/>
    <sheet name="PPR" sheetId="18" state="hidden" r:id="rId3"/>
    <sheet name="PPR_V2" sheetId="19" state="hidden" r:id="rId4"/>
    <sheet name="Ship Sorter" sheetId="5" state="hidden" r:id="rId5"/>
    <sheet name="Data" sheetId="6" state="hidden" r:id="rId6"/>
    <sheet name="Data_V2" sheetId="7" state="hidden" r:id="rId7"/>
    <sheet name="Data_V3" sheetId="8" state="hidden" r:id="rId8"/>
    <sheet name="Data_V4" sheetId="9" state="hidden" r:id="rId9"/>
    <sheet name="Data_V5" sheetId="10" state="hidden" r:id="rId10"/>
    <sheet name="Data_V6" sheetId="11" state="hidden" r:id="rId11"/>
    <sheet name="Data_V7" sheetId="12" state="hidden" r:id="rId12"/>
    <sheet name="Data_V8" sheetId="13" state="hidden" r:id="rId13"/>
    <sheet name="Data_V9" sheetId="14" state="hidden" r:id="rId14"/>
    <sheet name="Data_V10" sheetId="15" state="hidden" r:id="rId15"/>
    <sheet name="Data_V11" sheetId="16" state="hidden" r:id="rId16"/>
    <sheet name="Data_V12" sheetId="17" state="hidden" r:id="rId17"/>
  </sheets>
  <definedNames>
    <definedName name="_xlnm._FilterDatabase" localSheetId="2" hidden="1">PPR!$A$1:$R$154</definedName>
    <definedName name="PPA" localSheetId="2">PPR!$A$1:$A$204</definedName>
    <definedName name="PPA" localSheetId="3">PPR_V2!$A$1:$A$186</definedName>
    <definedName name="PPA_1" localSheetId="2">PPR!$A$1:$A$204</definedName>
    <definedName name="PPA_1" localSheetId="3">PPR_V2!$A$1:$A$186</definedName>
    <definedName name="PPA_10" localSheetId="2">PPR!$A$1:$A$69</definedName>
    <definedName name="PPA_10" localSheetId="3">PPR_V2!$A$1:$A$186</definedName>
    <definedName name="PPA_11" localSheetId="2">PPR!$A$1:$A$95</definedName>
    <definedName name="PPA_11" localSheetId="3">PPR_V2!$A$1:$A$186</definedName>
    <definedName name="PPA_12" localSheetId="2">PPR!$A$1:$A$53</definedName>
    <definedName name="PPA_12" localSheetId="3">PPR_V2!$A$1:$A$186</definedName>
    <definedName name="PPA_13" localSheetId="2">PPR!$A$1:$A$87</definedName>
    <definedName name="PPA_13" localSheetId="3">PPR_V2!$A$1:$A$186</definedName>
    <definedName name="PPA_14" localSheetId="2">PPR!$A$1:$A$80</definedName>
    <definedName name="PPA_14" localSheetId="3">PPR_V2!$A$1:$A$186</definedName>
    <definedName name="PPA_15" localSheetId="2">PPR!$A$1:$A$76</definedName>
    <definedName name="PPA_15" localSheetId="3">PPR_V2!$A$1:$A$186</definedName>
    <definedName name="PPA_16" localSheetId="2">PPR!$A$1:$A$76</definedName>
    <definedName name="PPA_16" localSheetId="3">PPR_V2!$A$1:$A$186</definedName>
    <definedName name="PPA_17" localSheetId="2">PPR!$A$1:$A$73</definedName>
    <definedName name="PPA_17" localSheetId="3">PPR_V2!$A$1:$A$186</definedName>
    <definedName name="PPA_18" localSheetId="2">PPR!$A$1:$A$73</definedName>
    <definedName name="PPA_18" localSheetId="3">PPR_V2!$A$1:$A$186</definedName>
    <definedName name="PPA_19" localSheetId="2">PPR!$A$1:$A$73</definedName>
    <definedName name="PPA_19" localSheetId="3">PPR_V2!$A$1:$A$186</definedName>
    <definedName name="PPA_2" localSheetId="2">PPR!$A$1:$A$146</definedName>
    <definedName name="PPA_2" localSheetId="3">PPR_V2!$A$1:$A$186</definedName>
    <definedName name="PPA_20" localSheetId="2">PPR!$A$1:$A$27</definedName>
    <definedName name="PPA_20" localSheetId="3">PPR_V2!$A$1:$A$186</definedName>
    <definedName name="PPA_21" localSheetId="2">PPR!$A$1:$A$52</definedName>
    <definedName name="PPA_21" localSheetId="3">PPR_V2!$A$1:$A$186</definedName>
    <definedName name="PPA_22" localSheetId="2">PPR!$A$1:$A$52</definedName>
    <definedName name="PPA_22" localSheetId="3">PPR_V2!$A$1:$A$186</definedName>
    <definedName name="PPA_23" localSheetId="2">PPR!$A$1:$A$74</definedName>
    <definedName name="PPA_23" localSheetId="3">PPR_V2!$A$1:$A$186</definedName>
    <definedName name="PPA_24" localSheetId="2">PPR!$A$1:$A$115</definedName>
    <definedName name="PPA_24" localSheetId="3">PPR_V2!$A$1:$A$186</definedName>
    <definedName name="PPA_25" localSheetId="2">PPR!$A$1:$A$115</definedName>
    <definedName name="PPA_25" localSheetId="3">PPR_V2!$A$1:$A$186</definedName>
    <definedName name="PPA_26" localSheetId="2">PPR!$A$1:$A$71</definedName>
    <definedName name="PPA_26" localSheetId="3">PPR_V2!$A$1:$A$186</definedName>
    <definedName name="PPA_27" localSheetId="2">PPR!$A$1:$A$87</definedName>
    <definedName name="PPA_27" localSheetId="3">PPR_V2!$A$1:$A$186</definedName>
    <definedName name="PPA_28" localSheetId="3">PPR_V2!$A$1:$A$186</definedName>
    <definedName name="PPA_29" localSheetId="3">PPR_V2!$A$1:$A$186</definedName>
    <definedName name="PPA_3" localSheetId="2">PPR!$A$1:$A$154</definedName>
    <definedName name="PPA_3" localSheetId="3">PPR_V2!$A$1:$A$186</definedName>
    <definedName name="PPA_30" localSheetId="3">PPR_V2!$A$1:$A$186</definedName>
    <definedName name="PPA_34" localSheetId="2">PPR!$A$1:$A$92</definedName>
    <definedName name="PPA_35" localSheetId="2">PPR!$A$1:$A$80</definedName>
    <definedName name="PPA_36" localSheetId="2">PPR!$A$1:$A$80</definedName>
    <definedName name="PPA_37" localSheetId="2">PPR!$A$1:$A$80</definedName>
    <definedName name="PPA_38" localSheetId="2">PPR!$A$1:$A$76</definedName>
    <definedName name="PPA_4" localSheetId="2">PPR!$A$1:$A$129</definedName>
    <definedName name="PPA_4" localSheetId="3">PPR_V2!$A$1:$A$186</definedName>
    <definedName name="PPA_5" localSheetId="2">PPR!$A$1:$A$134</definedName>
    <definedName name="PPA_5" localSheetId="3">PPR_V2!$A$1:$A$186</definedName>
    <definedName name="PPA_6" localSheetId="2">PPR!$A$1:$A$130</definedName>
    <definedName name="PPA_6" localSheetId="3">PPR_V2!$A$1:$A$186</definedName>
    <definedName name="PPA_7" localSheetId="2">PPR!$A$1:$A$130</definedName>
    <definedName name="PPA_7" localSheetId="3">PPR_V2!$A$1:$A$186</definedName>
    <definedName name="PPA_8" localSheetId="2">PPR!$A$1:$A$63</definedName>
    <definedName name="PPA_8" localSheetId="3">PPR_V2!$A$1:$A$186</definedName>
    <definedName name="PPA_9" localSheetId="2">PPR!$A$1:$A$69</definedName>
    <definedName name="PPA_9" localSheetId="3">PPR_V2!$A$1:$A$186</definedName>
    <definedName name="RS_Query" localSheetId="4">'Ship Sorter'!$A$1:$C$260</definedName>
    <definedName name="RS_Query_1" localSheetId="4">'Ship Sorter'!$A$1:$C$260</definedName>
    <definedName name="RS_Query_10" localSheetId="4">'Ship Sorter'!$A$1:$C$260</definedName>
    <definedName name="RS_Query_11" localSheetId="4">'Ship Sorter'!$A$1:$C$260</definedName>
    <definedName name="RS_Query_12" localSheetId="4">'Ship Sorter'!$A$1:$C$260</definedName>
    <definedName name="RS_Query_13" localSheetId="4">'Ship Sorter'!$A$1:$C$260</definedName>
    <definedName name="RS_Query_14" localSheetId="4">'Ship Sorter'!$A$1:$C$260</definedName>
    <definedName name="RS_Query_15" localSheetId="4">'Ship Sorter'!$A$1:$C$260</definedName>
    <definedName name="RS_Query_16" localSheetId="4">'Ship Sorter'!$A$1:$C$260</definedName>
    <definedName name="RS_Query_17" localSheetId="4">'Ship Sorter'!$A$1:$C$260</definedName>
    <definedName name="RS_Query_18" localSheetId="4">'Ship Sorter'!$A$1:$C$260</definedName>
    <definedName name="RS_Query_3" localSheetId="4">'Ship Sorter'!$A$1:$C$260</definedName>
    <definedName name="RS_Query_4" localSheetId="4">'Ship Sorter'!$A$1:$C$260</definedName>
    <definedName name="RS_Query_5" localSheetId="4">'Ship Sorter'!$A$1:$C$260</definedName>
    <definedName name="RS_Query_6" localSheetId="4">'Ship Sorter'!$A$1:$C$260</definedName>
    <definedName name="RS_Query_7" localSheetId="4">'Ship Sorter'!$A$1:$C$260</definedName>
    <definedName name="RS_Query_8" localSheetId="4">'Ship Sorter'!$A$1:$C$260</definedName>
    <definedName name="RS_Query_9" localSheetId="4">'Ship Sorter'!$A$1:$C$260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I2" i="20" l="1"/>
  <c r="H4" i="20" l="1"/>
  <c r="M14" i="1" l="1"/>
  <c r="F10" i="1" l="1"/>
  <c r="C10" i="1"/>
  <c r="B1" i="1" l="1"/>
  <c r="B2" i="1"/>
  <c r="F20" i="1"/>
  <c r="F19" i="1"/>
  <c r="F21" i="1"/>
  <c r="M18" i="1" l="1"/>
  <c r="M17" i="1"/>
  <c r="M16" i="1"/>
  <c r="M19" i="1" l="1"/>
  <c r="C124" i="1"/>
  <c r="K103" i="1" l="1"/>
  <c r="K102" i="1"/>
  <c r="K104" i="1" l="1"/>
  <c r="K98" i="1"/>
  <c r="K99" i="1"/>
  <c r="K100" i="1" l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91" i="1"/>
  <c r="K106" i="1" l="1"/>
  <c r="K109" i="1" s="1"/>
  <c r="C117" i="1"/>
  <c r="K108" i="1" l="1"/>
  <c r="H16" i="1"/>
  <c r="H15" i="1"/>
  <c r="E15" i="1"/>
  <c r="E16" i="1"/>
  <c r="E14" i="1" l="1"/>
  <c r="H14" i="1"/>
  <c r="C17" i="1"/>
  <c r="C16" i="1"/>
  <c r="C14" i="1"/>
  <c r="C13" i="1"/>
  <c r="C12" i="1"/>
  <c r="C15" i="1" l="1"/>
  <c r="C87" i="1"/>
  <c r="C86" i="1"/>
  <c r="C85" i="1"/>
  <c r="D85" i="1" s="1"/>
  <c r="E85" i="1" s="1"/>
  <c r="F85" i="1" s="1"/>
  <c r="C84" i="1"/>
  <c r="D84" i="1" s="1"/>
  <c r="E84" i="1" s="1"/>
  <c r="F84" i="1" s="1"/>
  <c r="G85" i="1" l="1"/>
  <c r="D86" i="1"/>
  <c r="E86" i="1" s="1"/>
  <c r="F86" i="1" s="1"/>
  <c r="G86" i="1" s="1"/>
  <c r="D87" i="1"/>
  <c r="E87" i="1" s="1"/>
  <c r="F87" i="1" s="1"/>
  <c r="G87" i="1" s="1"/>
  <c r="C56" i="1"/>
  <c r="D56" i="1" s="1"/>
  <c r="C55" i="1"/>
  <c r="D55" i="1" s="1"/>
  <c r="C54" i="1"/>
  <c r="D54" i="1" s="1"/>
  <c r="C53" i="1"/>
  <c r="E55" i="1" l="1"/>
  <c r="F55" i="1" s="1"/>
  <c r="E54" i="1"/>
  <c r="F54" i="1" s="1"/>
  <c r="D53" i="1"/>
  <c r="E53" i="1" s="1"/>
  <c r="F53" i="1" s="1"/>
  <c r="E56" i="1"/>
  <c r="F56" i="1" s="1"/>
  <c r="I56" i="1" s="1"/>
  <c r="G56" i="1" l="1"/>
  <c r="G54" i="1"/>
  <c r="G55" i="1"/>
  <c r="C80" i="1"/>
  <c r="D80" i="1" s="1"/>
  <c r="C79" i="1"/>
  <c r="D79" i="1" s="1"/>
  <c r="C78" i="1"/>
  <c r="C77" i="1"/>
  <c r="D77" i="1" s="1"/>
  <c r="C76" i="1"/>
  <c r="C75" i="1"/>
  <c r="D75" i="1" s="1"/>
  <c r="C74" i="1"/>
  <c r="D74" i="1" s="1"/>
  <c r="C73" i="1"/>
  <c r="D73" i="1" s="1"/>
  <c r="B69" i="1"/>
  <c r="B68" i="1"/>
  <c r="B67" i="1"/>
  <c r="B66" i="1"/>
  <c r="B65" i="1"/>
  <c r="B64" i="1"/>
  <c r="B63" i="1"/>
  <c r="B62" i="1"/>
  <c r="E80" i="1" l="1"/>
  <c r="F80" i="1" s="1"/>
  <c r="E79" i="1"/>
  <c r="F79" i="1" s="1"/>
  <c r="D78" i="1"/>
  <c r="E78" i="1" s="1"/>
  <c r="F78" i="1" s="1"/>
  <c r="E77" i="1"/>
  <c r="F77" i="1" s="1"/>
  <c r="D76" i="1"/>
  <c r="E76" i="1" s="1"/>
  <c r="F76" i="1" s="1"/>
  <c r="E75" i="1"/>
  <c r="F75" i="1" s="1"/>
  <c r="E74" i="1"/>
  <c r="F74" i="1" s="1"/>
  <c r="E73" i="1"/>
  <c r="F73" i="1" s="1"/>
  <c r="E47" i="1" l="1"/>
  <c r="C45" i="1"/>
  <c r="C44" i="1" l="1"/>
  <c r="C43" i="1"/>
  <c r="C18" i="1" l="1"/>
  <c r="B20" i="1" l="1"/>
  <c r="B19" i="1" l="1"/>
  <c r="C29" i="1" l="1"/>
  <c r="E32" i="1" s="1"/>
  <c r="C21" i="1"/>
  <c r="E33" i="1" l="1"/>
  <c r="E34" i="1"/>
  <c r="C27" i="1"/>
  <c r="C23" i="1"/>
  <c r="C25" i="1" s="1"/>
  <c r="E36" i="1" l="1"/>
  <c r="C34" i="1"/>
  <c r="C32" i="1"/>
  <c r="C33" i="1"/>
  <c r="C36" i="1" l="1"/>
  <c r="B121" i="1" s="1"/>
  <c r="B122" i="1" l="1"/>
  <c r="B126" i="1"/>
  <c r="B3" i="1"/>
  <c r="B5" i="1" s="1"/>
  <c r="F12" i="1" l="1"/>
  <c r="F8" i="1" s="1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6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<sst xmlns="http://schemas.openxmlformats.org/spreadsheetml/2006/main" count="2371" uniqueCount="947">
  <si>
    <t>Size</t>
  </si>
  <si>
    <t>Name</t>
  </si>
  <si>
    <t>Manager</t>
  </si>
  <si>
    <t>AMZN</t>
  </si>
  <si>
    <t xml:space="preserve"> </t>
  </si>
  <si>
    <t>Process Name</t>
  </si>
  <si>
    <t>Function Name</t>
  </si>
  <si>
    <t>Employee Type</t>
  </si>
  <si>
    <t>Employee Id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</si>
  <si>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</si>
  <si>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</si>
  <si>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</si>
  <si>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</si>
  <si>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</si>
  <si>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</si>
  <si>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</si>
  <si>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</si>
  <si>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</si>
  <si>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Units</t>
  </si>
  <si>
    <t>UPH</t>
  </si>
  <si>
    <t>%2F</t>
  </si>
  <si>
    <t>Hour</t>
  </si>
  <si>
    <t>Calculation</t>
  </si>
  <si>
    <t>eHour</t>
  </si>
  <si>
    <t>Prior Hour</t>
  </si>
  <si>
    <t>sHour</t>
  </si>
  <si>
    <t>Calculation Date</t>
  </si>
  <si>
    <t>Prior Day</t>
  </si>
  <si>
    <t>(</t>
  </si>
  <si>
    <t>)</t>
  </si>
  <si>
    <t>Webhook</t>
  </si>
  <si>
    <t>Ship Dock</t>
  </si>
  <si>
    <t>Anonymous</t>
  </si>
  <si>
    <t>Total</t>
  </si>
  <si>
    <t>Dock Palletize</t>
  </si>
  <si>
    <t>Flat Induct</t>
  </si>
  <si>
    <t>Total Hours</t>
  </si>
  <si>
    <t>Total Jobs</t>
  </si>
  <si>
    <t>Rate</t>
  </si>
  <si>
    <t>PackagePalletized</t>
  </si>
  <si>
    <t>Package</t>
  </si>
  <si>
    <t>Flat Waterspider</t>
  </si>
  <si>
    <t>Total  Jobs</t>
  </si>
  <si>
    <t>Directed_Palletize</t>
  </si>
  <si>
    <t>PalletMoved</t>
  </si>
  <si>
    <t>Pallet</t>
  </si>
  <si>
    <t>Pallet Loader</t>
  </si>
  <si>
    <t>PalletLoaded</t>
  </si>
  <si>
    <t>Fluid Loading</t>
  </si>
  <si>
    <t>Ship Sorter</t>
  </si>
  <si>
    <t>http://awcsmetrics-iad.aka.amazon.com/reports/SMF1/SMF1-ShippingSorterController</t>
  </si>
  <si>
    <t>Last hour</t>
  </si>
  <si>
    <t>Last 24 hours</t>
  </si>
  <si>
    <t>01 - Scans</t>
  </si>
  <si>
    <t>01 - No-Reads</t>
  </si>
  <si>
    <t>01 - No-Reads %</t>
  </si>
  <si>
    <t>01 - No-Codes</t>
  </si>
  <si>
    <t>01 - No-Codes %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</si>
  <si>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</si>
  <si>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</si>
  <si>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</si>
  <si>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</si>
  <si>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</si>
  <si>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</si>
  <si>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</si>
  <si>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</si>
  <si>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</si>
  <si>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</si>
  <si>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S0101: Success</t>
  </si>
  <si>
    <t>S0101: Lane Full</t>
  </si>
  <si>
    <t>S0101: Lane Non-Operational</t>
  </si>
  <si>
    <t>S0101: Throughput Limit</t>
  </si>
  <si>
    <t>S0101: Failed to Divert</t>
  </si>
  <si>
    <t>S0101: Tracking Error</t>
  </si>
  <si>
    <t>S0101: Gap Error</t>
  </si>
  <si>
    <t>S0101: No Destination Received</t>
  </si>
  <si>
    <t>S0102: Success</t>
  </si>
  <si>
    <t>S0102: Lane Full</t>
  </si>
  <si>
    <t>S0102: Lane Non-Operational</t>
  </si>
  <si>
    <t>S0102: Throughput Limit</t>
  </si>
  <si>
    <t>S0102: Failed to Divert</t>
  </si>
  <si>
    <t>S0102: Tracking Error</t>
  </si>
  <si>
    <t>S0102: Gap Error</t>
  </si>
  <si>
    <t>S0102: No Destination Received</t>
  </si>
  <si>
    <t>S0103: Success</t>
  </si>
  <si>
    <t>S0103: Lane Full</t>
  </si>
  <si>
    <t>S0103: Lane Non-Operational</t>
  </si>
  <si>
    <t>S0103: Throughput Limit</t>
  </si>
  <si>
    <t>S0103: Failed to Divert</t>
  </si>
  <si>
    <t>S0103: Tracking Error</t>
  </si>
  <si>
    <t>S0103: Gap Error</t>
  </si>
  <si>
    <t>S0103: No Destination Received</t>
  </si>
  <si>
    <t>S0104: Success</t>
  </si>
  <si>
    <t>S0104: Lane Full</t>
  </si>
  <si>
    <t>S0104: Lane Non-Operational</t>
  </si>
  <si>
    <t>S0104: Throughput Limit</t>
  </si>
  <si>
    <t>S0104: Failed to Divert</t>
  </si>
  <si>
    <t>S0104: Tracking Error</t>
  </si>
  <si>
    <t>S0104: Gap Error</t>
  </si>
  <si>
    <t>S0104: No Destination Received</t>
  </si>
  <si>
    <t>S0105: Success</t>
  </si>
  <si>
    <t>S0105: Lane Full</t>
  </si>
  <si>
    <t>S0105: Lane Non-Operational</t>
  </si>
  <si>
    <t>S0105: Throughput Limit</t>
  </si>
  <si>
    <t>S0105: Failed to Divert</t>
  </si>
  <si>
    <t>S0105: Tracking Error</t>
  </si>
  <si>
    <t>S0105: Gap Error</t>
  </si>
  <si>
    <t>S0105: No Destination Received</t>
  </si>
  <si>
    <t>S0106: Success</t>
  </si>
  <si>
    <t>S0106: Lane Full</t>
  </si>
  <si>
    <t>S0106: Lane Non-Operational</t>
  </si>
  <si>
    <t>S0106: Throughput Limit</t>
  </si>
  <si>
    <t>S0106: Failed to Divert</t>
  </si>
  <si>
    <t>S0106: Tracking Error</t>
  </si>
  <si>
    <t>S0106: Gap Error</t>
  </si>
  <si>
    <t>S0106: No Destination Received</t>
  </si>
  <si>
    <t>S0107: Success</t>
  </si>
  <si>
    <t>S0107: Lane Full</t>
  </si>
  <si>
    <t>S0107: Lane Non-Operational</t>
  </si>
  <si>
    <t>S0107: Throughput Limit</t>
  </si>
  <si>
    <t>S0107: Failed to Divert</t>
  </si>
  <si>
    <t>S0107: Tracking Error</t>
  </si>
  <si>
    <t>S0107: Gap Error</t>
  </si>
  <si>
    <t>S0107: No Destination Received</t>
  </si>
  <si>
    <t>S0108: Success</t>
  </si>
  <si>
    <t>S0108: Lane Full</t>
  </si>
  <si>
    <t>S0108: Lane Non-Operational</t>
  </si>
  <si>
    <t>S0108: Throughput Limit</t>
  </si>
  <si>
    <t>S0108: Failed to Divert</t>
  </si>
  <si>
    <t>S0108: Tracking Error</t>
  </si>
  <si>
    <t>S0108: Gap Error</t>
  </si>
  <si>
    <t>S0108: No Destination Received</t>
  </si>
  <si>
    <t>S0109: Success</t>
  </si>
  <si>
    <t>S0109: Lane Full</t>
  </si>
  <si>
    <t>S0109: Lane Non-Operational</t>
  </si>
  <si>
    <t>S0109: Throughput Limit</t>
  </si>
  <si>
    <t>S0109: Failed to Divert</t>
  </si>
  <si>
    <t>S0109: Tracking Error</t>
  </si>
  <si>
    <t>S0109: Gap Error</t>
  </si>
  <si>
    <t>S0109: No Destination Received</t>
  </si>
  <si>
    <t>S0110: Success</t>
  </si>
  <si>
    <t>S0110: Lane Full</t>
  </si>
  <si>
    <t>S0110: Lane Non-Operational</t>
  </si>
  <si>
    <t>S0110: Throughput Limit</t>
  </si>
  <si>
    <t>S0110: Failed to Divert</t>
  </si>
  <si>
    <t>S0110: Tracking Error</t>
  </si>
  <si>
    <t>S0110: Gap Error</t>
  </si>
  <si>
    <t>S0110: No Destination Received</t>
  </si>
  <si>
    <t>S0111: Success</t>
  </si>
  <si>
    <t>S0111: Lane Full</t>
  </si>
  <si>
    <t>S0111: Lane Non-Operational</t>
  </si>
  <si>
    <t>S0111: Throughput Limit</t>
  </si>
  <si>
    <t>S0111: Failed to Divert</t>
  </si>
  <si>
    <t>S0111: Tracking Error</t>
  </si>
  <si>
    <t>S0111: Gap Error</t>
  </si>
  <si>
    <t>S0111: No Destination Received</t>
  </si>
  <si>
    <t>S0112: Success</t>
  </si>
  <si>
    <t>S0112: Lane Full</t>
  </si>
  <si>
    <t>S0112: Lane Non-Operational</t>
  </si>
  <si>
    <t>S0112: Throughput Limit</t>
  </si>
  <si>
    <t>S0112: Failed to Divert</t>
  </si>
  <si>
    <t>S0112: Tracking Error</t>
  </si>
  <si>
    <t>S0112: Gap Error</t>
  </si>
  <si>
    <t>S0112: No Destination Received</t>
  </si>
  <si>
    <t>S0113: Success</t>
  </si>
  <si>
    <t>S0113: Lane Full</t>
  </si>
  <si>
    <t>S0113: Lane Non-Operational</t>
  </si>
  <si>
    <t>S0113: Throughput Limit</t>
  </si>
  <si>
    <t>S0113: Failed to Divert</t>
  </si>
  <si>
    <t>S0113: Tracking Error</t>
  </si>
  <si>
    <t>S0113: Gap Error</t>
  </si>
  <si>
    <t>S0113: No Destination Received</t>
  </si>
  <si>
    <t>S0114: Success</t>
  </si>
  <si>
    <t>S0114: Lane Full</t>
  </si>
  <si>
    <t>S0114: Lane Non-Operational</t>
  </si>
  <si>
    <t>S0114: Throughput Limit</t>
  </si>
  <si>
    <t>S0114: Failed to Divert</t>
  </si>
  <si>
    <t>S0114: Tracking Error</t>
  </si>
  <si>
    <t>S0114: Gap Error</t>
  </si>
  <si>
    <t>S0114: No Destination Received</t>
  </si>
  <si>
    <t>S0115: Success</t>
  </si>
  <si>
    <t>S0115: Lane Full</t>
  </si>
  <si>
    <t>S0115: Lane Non-Operational</t>
  </si>
  <si>
    <t>S0115: Throughput Limit</t>
  </si>
  <si>
    <t>S0115: Failed to Divert</t>
  </si>
  <si>
    <t>S0115: Tracking Error</t>
  </si>
  <si>
    <t>S0115: Gap Error</t>
  </si>
  <si>
    <t>S0115: No Destination Received</t>
  </si>
  <si>
    <t>S0116: Success</t>
  </si>
  <si>
    <t>S0116: Lane Full</t>
  </si>
  <si>
    <t>S0116: Lane Non-Operational</t>
  </si>
  <si>
    <t>S0116: Throughput Limit</t>
  </si>
  <si>
    <t>S0116: Failed to Divert</t>
  </si>
  <si>
    <t>S0116: Tracking Error</t>
  </si>
  <si>
    <t>S0116: Gap Error</t>
  </si>
  <si>
    <t>S0116: No Destination Received</t>
  </si>
  <si>
    <t>S0117: Success</t>
  </si>
  <si>
    <t>S0117: Lane Full</t>
  </si>
  <si>
    <t>S0117: Lane Non-Operational</t>
  </si>
  <si>
    <t>S0117: Throughput Limit</t>
  </si>
  <si>
    <t>S0117: Failed to Divert</t>
  </si>
  <si>
    <t>S0117: Tracking Error</t>
  </si>
  <si>
    <t>S0117: Gap Error</t>
  </si>
  <si>
    <t>S0117: No Destination Received</t>
  </si>
  <si>
    <t>S0118: Success</t>
  </si>
  <si>
    <t>S0118: Lane Full</t>
  </si>
  <si>
    <t>S0118: Lane Non-Operational</t>
  </si>
  <si>
    <t>S0118: Throughput Limit</t>
  </si>
  <si>
    <t>S0118: Failed to Divert</t>
  </si>
  <si>
    <t>S0118: Tracking Error</t>
  </si>
  <si>
    <t>S0118: Gap Error</t>
  </si>
  <si>
    <t>S0118: No Destination Received</t>
  </si>
  <si>
    <t>S0119: Success</t>
  </si>
  <si>
    <t>S0119: Lane Full</t>
  </si>
  <si>
    <t>S0119: Lane Non-Operational</t>
  </si>
  <si>
    <t>S0119: Throughput Limit</t>
  </si>
  <si>
    <t>S0119: Failed to Divert</t>
  </si>
  <si>
    <t>S0119: Tracking Error</t>
  </si>
  <si>
    <t>S0119: Gap Error</t>
  </si>
  <si>
    <t>S0119: No Destination Received</t>
  </si>
  <si>
    <t>S0120: Success</t>
  </si>
  <si>
    <t>S0120: Lane Full</t>
  </si>
  <si>
    <t>S0120: Lane Non-Operational</t>
  </si>
  <si>
    <t>S0120: Throughput Limit</t>
  </si>
  <si>
    <t>S0120: Failed to Divert</t>
  </si>
  <si>
    <t>S0120: Tracking Error</t>
  </si>
  <si>
    <t>S0120: Gap Error</t>
  </si>
  <si>
    <t>S0120: No Destination Received</t>
  </si>
  <si>
    <t>S0121: Success</t>
  </si>
  <si>
    <t>S0121: Lane Full</t>
  </si>
  <si>
    <t>S0121: Lane Non-Operational</t>
  </si>
  <si>
    <t>S0121: Throughput Limit</t>
  </si>
  <si>
    <t>S0121: Failed to Divert</t>
  </si>
  <si>
    <t>S0121: Tracking Error</t>
  </si>
  <si>
    <t>S0121: Gap Error</t>
  </si>
  <si>
    <t>S0121: No Destination Received</t>
  </si>
  <si>
    <t>S0122: Success</t>
  </si>
  <si>
    <t>S0122: Lane Full</t>
  </si>
  <si>
    <t>S0122: Lane Non-Operational</t>
  </si>
  <si>
    <t>S0122: Throughput Limit</t>
  </si>
  <si>
    <t>S0122: Failed to Divert</t>
  </si>
  <si>
    <t>S0122: Tracking Error</t>
  </si>
  <si>
    <t>S0122: Gap Error</t>
  </si>
  <si>
    <t>S0122: No Destination Received</t>
  </si>
  <si>
    <t>S0123: Success</t>
  </si>
  <si>
    <t>S0123: Lane Full</t>
  </si>
  <si>
    <t>S0123: Lane Non-Operational</t>
  </si>
  <si>
    <t>S0123: Throughput Limit</t>
  </si>
  <si>
    <t>S0123: Failed to Divert</t>
  </si>
  <si>
    <t>S0123: Tracking Error</t>
  </si>
  <si>
    <t>S0123: Gap Error</t>
  </si>
  <si>
    <t>S0123: No Destination Received</t>
  </si>
  <si>
    <t>S0124: Success</t>
  </si>
  <si>
    <t>S0124: Lane Full</t>
  </si>
  <si>
    <t>S0124: Lane Non-Operational</t>
  </si>
  <si>
    <t>S0124: Throughput Limit</t>
  </si>
  <si>
    <t>S0124: Failed to Divert</t>
  </si>
  <si>
    <t>S0124: Tracking Error</t>
  </si>
  <si>
    <t>S0124: Gap Error</t>
  </si>
  <si>
    <t>S0124: No Destination Received</t>
  </si>
  <si>
    <t>S0127: Success</t>
  </si>
  <si>
    <t>S0127: Lane Full</t>
  </si>
  <si>
    <t>S0127: Lane Non-Operational</t>
  </si>
  <si>
    <t>S0127: Throughput Limit</t>
  </si>
  <si>
    <t>S0127: Failed to Divert</t>
  </si>
  <si>
    <t>S0127: Tracking Error</t>
  </si>
  <si>
    <t>S0127: Gap Error</t>
  </si>
  <si>
    <t>S0127: No Destination Received</t>
  </si>
  <si>
    <t>S0128: Success</t>
  </si>
  <si>
    <t>S0128: Lane Full</t>
  </si>
  <si>
    <t>S0128: Lane Non-Operational</t>
  </si>
  <si>
    <t>S0128: Throughput Limit</t>
  </si>
  <si>
    <t>S0128: Failed to Divert</t>
  </si>
  <si>
    <t>S0128: Tracking Error</t>
  </si>
  <si>
    <t>S0128: Gap Error</t>
  </si>
  <si>
    <t>S0128: No Destination Received</t>
  </si>
  <si>
    <t>S0129: Success</t>
  </si>
  <si>
    <t>S0129: Lane Full</t>
  </si>
  <si>
    <t>S0129: Lane Non-Operational</t>
  </si>
  <si>
    <t>S0129: Throughput Limit</t>
  </si>
  <si>
    <t>S0129: Failed to Divert</t>
  </si>
  <si>
    <t>S0129: Tracking Error</t>
  </si>
  <si>
    <t>S0129: Gap Error</t>
  </si>
  <si>
    <t>S0129: No Destination Received</t>
  </si>
  <si>
    <t>S0130: Success</t>
  </si>
  <si>
    <t>S0130: Lane Full</t>
  </si>
  <si>
    <t>S0130: Lane Non-Operational</t>
  </si>
  <si>
    <t>S0130: Throughput Limit</t>
  </si>
  <si>
    <t>S0130: Failed to Divert</t>
  </si>
  <si>
    <t>S0130: Tracking Error</t>
  </si>
  <si>
    <t>S0130: Gap Error</t>
  </si>
  <si>
    <t>S0130: No Destination Received</t>
  </si>
  <si>
    <t>S0131: Success</t>
  </si>
  <si>
    <t>S0131: Lane Full</t>
  </si>
  <si>
    <t>S0131: Lane Non-Operational</t>
  </si>
  <si>
    <t>S0131: Throughput Limit</t>
  </si>
  <si>
    <t>S0131: Failed to Divert</t>
  </si>
  <si>
    <t>S0131: Tracking Error</t>
  </si>
  <si>
    <t>S0131: Gap Error</t>
  </si>
  <si>
    <t>S0131: No Destination Received</t>
  </si>
  <si>
    <t>S0132: Success</t>
  </si>
  <si>
    <t>S0132: Lane Full</t>
  </si>
  <si>
    <t>S0132: Lane Non-Operational</t>
  </si>
  <si>
    <t>S0132: Throughput Limit</t>
  </si>
  <si>
    <t>S0132: Failed to Divert</t>
  </si>
  <si>
    <t>S0132: Tracking Error</t>
  </si>
  <si>
    <t>S0132: Gap Error</t>
  </si>
  <si>
    <t>S0132: No Destination Received</t>
  </si>
  <si>
    <t>Id</t>
  </si>
  <si>
    <t>Label</t>
  </si>
  <si>
    <t>Result</t>
  </si>
  <si>
    <t>MetricData</t>
  </si>
  <si>
    <t>Min</t>
  </si>
  <si>
    <t>Avg</t>
  </si>
  <si>
    <t>Max</t>
  </si>
  <si>
    <t>&lt;&lt;</t>
  </si>
  <si>
    <t>NOT IN USE</t>
  </si>
  <si>
    <t>Link to [iGraph]</t>
  </si>
  <si>
    <t>igraph</t>
  </si>
  <si>
    <t xml:space="preserve">https://tiny.amazon.com/7fibjkum/iGraph </t>
  </si>
  <si>
    <t xml:space="preserve">SMF1 Flat Sorter Utilization </t>
  </si>
  <si>
    <t>label</t>
  </si>
  <si>
    <t>Label=MyLabel [SMF1: {avg}]</t>
  </si>
  <si>
    <t>Induct No Reads</t>
  </si>
  <si>
    <t>https://monitorportal.amazon.com/mws?Action=GetGraph&amp;Version=2007-07-07&amp;SchemaName1=Service&amp;DataSet1=Prod&amp;Marketplace1=SMF1-FlatsRouterController&amp;HostGroup1=ALL&amp;Host1=ALL&amp;ServiceName1=WarehouseControlService&amp;MethodName1=MercuryAdapter.processMessageTime&amp;Client1=ALL&amp;MetricClass1=NONE&amp;Instance1=NONE&amp;Metric1=induct-F01ab-IS11-goodRead&amp;Period1=FiveMinute&amp;Stat1=n&amp;LiveData1=true&amp;Label1=induct-F01ab-IS11-goodRead&amp;SchemaName2=Service&amp;Metric2=induct-F01ab-IS11-noRead&amp;Label2=induct-F01ab-IS11-noRead&amp;SchemaName3=Service&amp;Metric3=induct-F01ab-IS12-goodRead&amp;YAxisPreference3=right&amp;Label3=induct-F01ab-IS12-goodRead&amp;SchemaName4=Service&amp;Metric4=induct-F01ab-IS12-noRead&amp;Label4=induct-F01ab-IS12-noRead&amp;SchemaName5=Service&amp;Metric5=induct-F01ab-IS13-goodRead&amp;YAxisPreference5=left&amp;Label5=induct-F01ab-IS13-goodRead&amp;SchemaName6=Service&amp;Metric6=induct-F01ab-IS13-noRead&amp;Label6=induct-F01ab-IS13-noRead&amp;SchemaName7=Service&amp;Metric7=induct-F01ab-IS14-goodRead&amp;Label7=induct-F01ab-IS14-goodRead&amp;SchemaName8=Service&amp;Metric8=induct-F01ab-IS14-noRead&amp;Label8=induct-F01ab-IS14-noRead&amp;SchemaName9=Service&amp;Metric9=induct-F01aa-IS21-goodRead&amp;Label9=induct-F01aa-IS21-goodRead&amp;SchemaName10=Service&amp;Metric10=induct-F01aa-IS21-noRead&amp;Label10=induct-F01aa-IS21-noRead&amp;SchemaName11=Service&amp;Metric11=induct-F01aa-IS22-goodRead&amp;Label11=induct-F01aa-IS22-goodRead&amp;SchemaName12=Service&amp;Metric12=induct-F01aa-IS22-noRead&amp;Label12=induct-F01aa-IS22-noRead&amp;SchemaName13=Service&amp;Metric13=induct-F01aa-IS23-goodRead&amp;Label13=induct-F01aa-IS23-goodRead&amp;SchemaName14=Service&amp;Metric14=induct-F01aa-IS23-noRead&amp;Label14=induct-F01aa-IS23-noRead&amp;SchemaName15=Service&amp;Metric15=induct-F01aa-IS24-goodRead&amp;Label15=induct-F01aa-IS24-goodRead&amp;SchemaName16=Service&amp;Metric16=induct-F01aa-IS24-noRead&amp;Label16=induct-F01aa-IS24-noRead&amp;HeightInPixels=400&amp;WidthInPixels=800&amp;GraphTitle=Induct%20No-Reads&amp;LegendPlacement=right&amp;DecoratePoints=true&amp;HorizontalLineLeft1=Rev%2004%2F18%2F20%20%23line%3Dfalse%20%23textAnchor%3Dbottom_left%20%20@%200%2CMyText%20%23line%3Dfalse%20-%20@%200%2CRev04%2F18%2F20%20%23line%3Dfalse%20@%200%2C%28%23color%3Dgreen@%200%2C@%202%29%2C%28DANGER%20ZONE%20%23color%3Dred%20%23textAnchor%3Dbottom_left%20@%202%2CCoaching%20Required%20%23color%3Dred%20%23size%3D18%20@%205%29%2CMax%20NO-READS%202%25%20%23color%3Dblack%20%23size%3D18%20%20@%202%2C&amp;UpperValueLeft=5&amp;HorizontalLineRight1=MAX%20No%20Reads%202%25%20@%202%2C&amp;StartTime1=-PT1H&amp;EndTime1=-PT0H&amp;FunctionExpression1=%28M2%2FSUM%28M1%2CM2%29%29*100&amp;FunctionLabel1=%231%20%28%7Bavg%7D%20%25%29&amp;FunctionExpression2=%28M4%2FSUM%28M3%2CM4%29%29*100&amp;FunctionLabel2=%232%20%28%7Bavg%7D%20%25%29&amp;FunctionExpression3=%28M6%2FSUM%28M5%2CM6%29%29*100&amp;FunctionLabel3=%233%20%28%7Bavg%7D%20%25%29&amp;FunctionExpression4=%28M8%2FSUM%28M7%2CM8%29%29*100&amp;FunctionLabel4=%234%20%28%7Bavg%7D%20%25%29&amp;FunctionExpression5=%28M10%2FSUM%28M9%2CM10%29%29*100&amp;FunctionLabel5=%235%20%28%7Bavg%7D%20%25%29&amp;FunctionExpression6=%28M12%2FSUM%28M11%2CM12%29%29*100&amp;FunctionLabel6=%236%20%28%7Bavg%7D%20%25%29&amp;FunctionExpression7=%28M14%2FSUM%28M13%2CM14%29%29*100&amp;FunctionLabel7=%237%20%28%7Bavg%7D%20%25%29&amp;FunctionExpression8=%28M16%2FSUM%28M15%2CM16%29%29*100&amp;FunctionLabel8=%238%20%28%7Bavg%7D%20%25%29&amp;AggregationFunction1=average&amp;AggregationPeriod1=PT10M&amp;OutputFormat=CSV_TRANSPOSE</t>
  </si>
  <si>
    <t>Label=#1 ({avg} %)</t>
  </si>
  <si>
    <t>Label=#2 ({avg} %)</t>
  </si>
  <si>
    <t>Label=#3 ({avg} %)</t>
  </si>
  <si>
    <t>Label=#4 ({avg} %)</t>
  </si>
  <si>
    <t>Label=#5 ({avg} %)</t>
  </si>
  <si>
    <t>Label=#6 ({avg} %)</t>
  </si>
  <si>
    <t>Label=#7 ({avg} %)</t>
  </si>
  <si>
    <t>Label=#8 ({avg} %)</t>
  </si>
  <si>
    <t>SMF1 Flats Induct No Reads</t>
  </si>
  <si>
    <t>#1</t>
  </si>
  <si>
    <t>#2</t>
  </si>
  <si>
    <t>#3</t>
  </si>
  <si>
    <t>#4</t>
  </si>
  <si>
    <t>#5</t>
  </si>
  <si>
    <t>#6</t>
  </si>
  <si>
    <t>#7</t>
  </si>
  <si>
    <t>#8</t>
  </si>
  <si>
    <t>Label=Induct Rate {sum}</t>
  </si>
  <si>
    <t>Label=No Reads Inducted {avg} %</t>
  </si>
  <si>
    <t>SMF1 Flats Induct Rates</t>
  </si>
  <si>
    <t>Ship Ambassador</t>
  </si>
  <si>
    <t>Ship Sort</t>
  </si>
  <si>
    <t>Successful Scans</t>
  </si>
  <si>
    <t>JackPot</t>
  </si>
  <si>
    <t>Recirculation Total</t>
  </si>
  <si>
    <t>First Pass Yield</t>
  </si>
  <si>
    <t>Label=Average Scans: {avg}</t>
  </si>
  <si>
    <t>Label=First Pass Yield (FPY): {sum}</t>
  </si>
  <si>
    <t>Label=Recirculation Total: {sum}</t>
  </si>
  <si>
    <t>Label=Successful Scans: {sum}</t>
  </si>
  <si>
    <t>Label=Total Jackpots: {sum}</t>
  </si>
  <si>
    <t>Label=Total Scans: {sum}</t>
  </si>
  <si>
    <t xml:space="preserve">SMF1 Ship Sorter Utilization </t>
  </si>
  <si>
    <t>Shipping Clerk</t>
  </si>
  <si>
    <t>Hours Total</t>
  </si>
  <si>
    <t>Pallet Waterspider</t>
  </si>
  <si>
    <t>BOD Shipping</t>
  </si>
  <si>
    <t>CPT Chaser/Loader</t>
  </si>
  <si>
    <t>Jackpot Operator</t>
  </si>
  <si>
    <t>NonSort Fluid</t>
  </si>
  <si>
    <t>Palletize</t>
  </si>
  <si>
    <t>Palletize Mixed</t>
  </si>
  <si>
    <t>Process Guide Ship</t>
  </si>
  <si>
    <t>Ship 5S</t>
  </si>
  <si>
    <t>Ship Kaizen</t>
  </si>
  <si>
    <t>Ship Training</t>
  </si>
  <si>
    <t>Sort Pallet/Gaylord</t>
  </si>
  <si>
    <t>TDR Operator</t>
  </si>
  <si>
    <t>Shipping</t>
  </si>
  <si>
    <t>UIS_Flats_Induct</t>
  </si>
  <si>
    <t>Water Spider</t>
  </si>
  <si>
    <t>Outbound Dock Crew</t>
  </si>
  <si>
    <t>ItemShipped</t>
  </si>
  <si>
    <t>EACH</t>
  </si>
  <si>
    <t>WEBHOOK URL</t>
  </si>
  <si>
    <t>DUMMY CHAT ROOM</t>
  </si>
  <si>
    <t>Real Jobs</t>
  </si>
  <si>
    <t>DP%</t>
  </si>
  <si>
    <t>P%</t>
  </si>
  <si>
    <t>HTML</t>
  </si>
  <si>
    <t>CVS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</si>
  <si>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</si>
  <si>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</si>
  <si>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</si>
  <si>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</si>
  <si>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</si>
  <si>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</si>
  <si>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</si>
  <si>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</si>
  <si>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</si>
  <si>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</si>
  <si>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</si>
  <si>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</si>
  <si>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</si>
  <si>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</si>
  <si>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</si>
  <si>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</si>
  <si>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</si>
  <si>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</si>
  <si>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</si>
  <si>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</si>
  <si>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 Dock</t>
  </si>
  <si>
    <t>Inbound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</si>
  <si>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</si>
  <si>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</si>
  <si>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</si>
  <si>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</si>
  <si>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</si>
  <si>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</si>
  <si>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</si>
  <si>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</si>
  <si>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</si>
  <si>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</si>
  <si>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</si>
  <si>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</si>
  <si>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</si>
  <si>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</si>
  <si>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</si>
  <si>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</si>
  <si>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</si>
  <si>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</si>
  <si>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</si>
  <si>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</si>
  <si>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</si>
  <si>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</si>
  <si>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</si>
  <si>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</si>
  <si>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</si>
  <si>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</si>
  <si>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</si>
  <si>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</si>
  <si>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</si>
  <si>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</si>
  <si>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</si>
  <si>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</si>
  <si>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</si>
  <si>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</si>
  <si>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</si>
  <si>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</si>
  <si>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</si>
  <si>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</si>
  <si>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</si>
  <si>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</si>
  <si>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</si>
  <si>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</si>
  <si>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</si>
  <si>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</si>
  <si>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</si>
  <si>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</si>
  <si>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</si>
  <si>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</si>
  <si>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</si>
  <si>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</si>
  <si>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</si>
  <si>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</si>
  <si>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</si>
  <si>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</si>
  <si>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</si>
  <si>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</si>
  <si>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</si>
  <si>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</si>
  <si>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</si>
  <si>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</si>
  <si>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</si>
  <si>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</si>
  <si>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</si>
  <si>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</si>
  <si>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</si>
  <si>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</si>
  <si>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</si>
  <si>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</si>
  <si>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</si>
  <si>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</si>
  <si>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</si>
  <si>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</si>
  <si>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</si>
  <si>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</si>
  <si>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</si>
  <si>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</si>
  <si>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</si>
  <si>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</si>
  <si>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</si>
  <si>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</si>
  <si>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</si>
  <si>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</si>
  <si>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</si>
  <si>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</si>
  <si>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</si>
  <si>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</si>
  <si>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</si>
  <si>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</si>
  <si>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</si>
  <si>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</si>
  <si>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</si>
  <si>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</si>
  <si>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</si>
  <si>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</si>
  <si>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</si>
  <si>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</si>
  <si>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</si>
  <si>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</si>
  <si>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</si>
  <si>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</si>
  <si>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</si>
  <si>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</si>
  <si>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</si>
  <si>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</si>
  <si>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</si>
  <si>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</si>
  <si>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</si>
  <si>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</si>
  <si>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</si>
  <si>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</si>
  <si>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</si>
  <si>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</si>
  <si>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</si>
  <si>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IB 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</si>
  <si>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</si>
  <si>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</si>
  <si>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</si>
  <si>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</si>
  <si>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</si>
  <si>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</si>
  <si>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</si>
  <si>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</si>
  <si>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</si>
  <si>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</si>
  <si>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</si>
  <si>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</si>
  <si>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</si>
  <si>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</si>
  <si>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</si>
  <si>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</si>
  <si>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</si>
  <si>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</si>
  <si>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</si>
  <si>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</si>
  <si>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</si>
  <si>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</si>
  <si>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</si>
  <si>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</si>
  <si>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</si>
  <si>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</si>
  <si>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</si>
  <si>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</si>
  <si>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</si>
  <si>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</si>
  <si>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</si>
  <si>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</si>
  <si>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</si>
  <si>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</si>
  <si>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</si>
  <si>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</si>
  <si>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</si>
  <si>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</si>
  <si>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</si>
  <si>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</si>
  <si>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</si>
  <si>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</si>
  <si>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</si>
  <si>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</si>
  <si>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</si>
  <si>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</si>
  <si>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</si>
  <si>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</si>
  <si>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</si>
  <si>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</si>
  <si>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</si>
  <si>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</si>
  <si>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</si>
  <si>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</si>
  <si>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</si>
  <si>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</si>
  <si>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</si>
  <si>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</si>
  <si>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</si>
  <si>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</si>
  <si>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</si>
  <si>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</si>
  <si>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</si>
  <si>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</si>
  <si>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</si>
  <si>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</si>
  <si>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</si>
  <si>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</si>
  <si>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</si>
  <si>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</si>
  <si>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</si>
  <si>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</si>
  <si>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</si>
  <si>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</si>
  <si>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</si>
  <si>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</si>
  <si>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</si>
  <si>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</si>
  <si>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</si>
  <si>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</si>
  <si>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</si>
  <si>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</si>
  <si>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</si>
  <si>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</si>
  <si>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</si>
  <si>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</si>
  <si>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</si>
  <si>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</si>
  <si>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</si>
  <si>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</si>
  <si>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</si>
  <si>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</si>
  <si>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</si>
  <si>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</si>
  <si>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</si>
  <si>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</si>
  <si>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</si>
  <si>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</si>
  <si>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</si>
  <si>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</si>
  <si>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</si>
  <si>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</si>
  <si>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</si>
  <si>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</si>
  <si>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</si>
  <si>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</si>
  <si>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</si>
  <si>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</si>
  <si>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</si>
  <si>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</si>
  <si>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</si>
  <si>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</si>
  <si>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</si>
  <si>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</si>
  <si>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</si>
  <si>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</si>
  <si>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</si>
  <si>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</si>
  <si>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</si>
  <si>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</si>
  <si>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</si>
  <si>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</si>
  <si>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</si>
  <si>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</si>
  <si>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</si>
  <si>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</si>
  <si>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</si>
  <si>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</si>
  <si>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</si>
  <si>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</si>
  <si>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</si>
  <si>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</si>
  <si>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</si>
  <si>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</si>
  <si>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</si>
  <si>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</si>
  <si>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</si>
  <si>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</si>
  <si>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</si>
  <si>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</si>
  <si>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</si>
  <si>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</si>
  <si>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</si>
  <si>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</si>
  <si>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</si>
  <si>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</si>
  <si>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</si>
  <si>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</si>
  <si>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</si>
  <si>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</si>
  <si>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</si>
  <si>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</si>
  <si>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</si>
  <si>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</si>
  <si>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</si>
  <si>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</si>
  <si>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</si>
  <si>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</si>
  <si>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</si>
  <si>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</si>
  <si>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</si>
  <si>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</si>
  <si>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</si>
  <si>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</si>
  <si>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</si>
  <si>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</si>
  <si>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</si>
  <si>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</si>
  <si>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</si>
  <si>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</si>
  <si>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</si>
  <si>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</si>
  <si>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</si>
  <si>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</si>
  <si>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</si>
  <si>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</si>
  <si>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</si>
  <si>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</si>
  <si>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</si>
  <si>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</si>
  <si>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</si>
  <si>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</si>
  <si>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</si>
  <si>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</si>
  <si>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</si>
  <si>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</si>
  <si>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</si>
  <si>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</si>
  <si>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</si>
  <si>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</si>
  <si>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</si>
  <si>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</si>
  <si>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</si>
  <si>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</si>
  <si>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</si>
  <si>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</si>
  <si>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</si>
  <si>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</si>
  <si>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</si>
  <si>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</si>
  <si>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</si>
  <si>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</si>
  <si>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</si>
  <si>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</si>
  <si>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</si>
  <si>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</si>
  <si>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</si>
  <si>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</si>
  <si>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</si>
  <si>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</si>
  <si>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</si>
  <si>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</si>
  <si>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</si>
  <si>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</si>
  <si>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</si>
  <si>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</si>
  <si>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</si>
  <si>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</si>
  <si>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</si>
  <si>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</si>
  <si>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</si>
  <si>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</si>
  <si>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</si>
  <si>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</si>
  <si>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</si>
  <si>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</si>
  <si>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</si>
  <si>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</si>
  <si>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</si>
  <si>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</si>
  <si>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</si>
  <si>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</si>
  <si>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</si>
  <si>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</si>
  <si>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</si>
  <si>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</si>
  <si>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</si>
  <si>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</si>
  <si>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</si>
  <si>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</si>
  <si>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</si>
  <si>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</si>
  <si>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</si>
  <si>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</si>
  <si>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</si>
  <si>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</si>
  <si>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</si>
  <si>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</si>
  <si>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</si>
  <si>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</si>
  <si>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</si>
  <si>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</si>
  <si>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</si>
  <si>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</si>
  <si>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</si>
  <si>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</si>
  <si>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</si>
  <si>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</si>
  <si>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</si>
  <si>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</si>
  <si>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</si>
  <si>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</si>
  <si>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</si>
  <si>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</si>
  <si>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</si>
  <si>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</si>
  <si>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</si>
  <si>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</si>
  <si>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</si>
  <si>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</si>
  <si>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</si>
  <si>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</si>
  <si>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</si>
  <si>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</si>
  <si>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</si>
  <si>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</si>
  <si>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</si>
  <si>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</si>
  <si>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</si>
  <si>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</si>
  <si>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Link</t>
  </si>
  <si>
    <t>CHIME ROOM</t>
  </si>
  <si>
    <t>CHIME ROOM _ V2</t>
  </si>
  <si>
    <t>Total Jackpots: {sum}</t>
  </si>
  <si>
    <t>NoMetric</t>
  </si>
  <si>
    <t>Percentage of Flats</t>
  </si>
  <si>
    <t>MyLabel [SMF1: {avg}]</t>
  </si>
  <si>
    <t>NoData</t>
  </si>
  <si>
    <t>Average Scans: 2.00</t>
  </si>
  <si>
    <t>First Pass Yield (FPY): 1.00</t>
  </si>
  <si>
    <t>Recirculation Total: 1.00</t>
  </si>
  <si>
    <t>Successful Scans: 2.00</t>
  </si>
  <si>
    <t>Total Scans: 2.00</t>
  </si>
  <si>
    <t>2021/03/10 05:20 PST</t>
  </si>
  <si>
    <t>2021/03/10 05:21 PST</t>
  </si>
  <si>
    <t>2021/03/10 05:22 PST</t>
  </si>
  <si>
    <t>2021/03/10 05:23 PST</t>
  </si>
  <si>
    <t>2021/03/10 05:24 PST</t>
  </si>
  <si>
    <t>2021/03/10 05:25 PST</t>
  </si>
  <si>
    <t>2021/03/10 05:26 PST</t>
  </si>
  <si>
    <t>2021/03/10 05:27 PST</t>
  </si>
  <si>
    <t>2021/03/10 05:28 PST</t>
  </si>
  <si>
    <t>2021/03/10 05:29 PST</t>
  </si>
  <si>
    <t>2021/03/10 05:30 PST</t>
  </si>
  <si>
    <t>2021/03/10 05:31 PST</t>
  </si>
  <si>
    <t>2021/03/10 05:32 PST</t>
  </si>
  <si>
    <t>2021/03/10 05:33 PST</t>
  </si>
  <si>
    <t>2021/03/10 05:34 PST</t>
  </si>
  <si>
    <t>2021/03/10 05:35 PST</t>
  </si>
  <si>
    <t>2021/03/10 05:36 PST</t>
  </si>
  <si>
    <t>2021/03/10 05:37 PST</t>
  </si>
  <si>
    <t>2021/03/10 05:38 PST</t>
  </si>
  <si>
    <t>2021/03/10 05:39 PST</t>
  </si>
  <si>
    <t>2021/03/10 05:40 PST</t>
  </si>
  <si>
    <t>2021/03/10 05:41 PST</t>
  </si>
  <si>
    <t>2021/03/10 05:42 PST</t>
  </si>
  <si>
    <t>2021/03/10 05:43 PST</t>
  </si>
  <si>
    <t>2021/03/10 05:44 PST</t>
  </si>
  <si>
    <t>2021/03/10 05:45 PST</t>
  </si>
  <si>
    <t>2021/03/10 05:46 PST</t>
  </si>
  <si>
    <t>2021/03/10 05:47 PST</t>
  </si>
  <si>
    <t>2021/03/10 05:48 PST</t>
  </si>
  <si>
    <t>2021/03/10 05:49 PST</t>
  </si>
  <si>
    <t>2021/03/10 05:50 PST</t>
  </si>
  <si>
    <t>2021/03/10 05:51 PST</t>
  </si>
  <si>
    <t>2021/03/10 05:52 PST</t>
  </si>
  <si>
    <t>2021/03/10 05:53 PST</t>
  </si>
  <si>
    <t>2021/03/10 05:54 PST</t>
  </si>
  <si>
    <t>2021/03/10 05:55 PST</t>
  </si>
  <si>
    <t>2021/03/10 05:56 PST</t>
  </si>
  <si>
    <t>2021/03/10 05:57 PST</t>
  </si>
  <si>
    <t>2021/03/10 05:58 PST</t>
  </si>
  <si>
    <t>2021/03/10 05:59 PST</t>
  </si>
  <si>
    <t>2021/03/10 06:00 PST</t>
  </si>
  <si>
    <t>2021/03/10 06:01 PST</t>
  </si>
  <si>
    <t>2021/03/10 06:02 PST</t>
  </si>
  <si>
    <t>2021/03/10 06:03 PST</t>
  </si>
  <si>
    <t>2021/03/10 06:04 PST</t>
  </si>
  <si>
    <t>2021/03/10 06:05 PST</t>
  </si>
  <si>
    <t>2021/03/10 06:06 PST</t>
  </si>
  <si>
    <t>2021/03/10 06:07 PST</t>
  </si>
  <si>
    <t>2021/03/10 06:08 PST</t>
  </si>
  <si>
    <t>2021/03/10 06:09 PST</t>
  </si>
  <si>
    <t>2021/03/10 06:10 PST</t>
  </si>
  <si>
    <t>2021/03/10 06:11 PST</t>
  </si>
  <si>
    <t>2021/03/10 06:12 PST</t>
  </si>
  <si>
    <t>2021/03/10 06:13 PST</t>
  </si>
  <si>
    <t>2021/03/10 06:14 PST</t>
  </si>
  <si>
    <t>2021/03/10 06:15 PST</t>
  </si>
  <si>
    <t>2021/03/10 06:16 PST</t>
  </si>
  <si>
    <t>2021/03/10 06:17 PST</t>
  </si>
  <si>
    <t>2021/03/10 06:18 PST</t>
  </si>
  <si>
    <t>#1 ({avg} %)</t>
  </si>
  <si>
    <t>#2 ({avg} %)</t>
  </si>
  <si>
    <t>#3 ({avg} %)</t>
  </si>
  <si>
    <t>#4 ({avg} %)</t>
  </si>
  <si>
    <t>#5 ({avg} %)</t>
  </si>
  <si>
    <t>#6 ({avg} %)</t>
  </si>
  <si>
    <t>#7 ({avg} %)</t>
  </si>
  <si>
    <t>#8 ({avg} %)</t>
  </si>
  <si>
    <t>Induct Rate {sum}</t>
  </si>
  <si>
    <t>No Reads Inducted {avg} %</t>
  </si>
  <si>
    <t>Average Scans: {avg}</t>
  </si>
  <si>
    <t>First Pass Yield (FPY): {sum}</t>
  </si>
  <si>
    <t>Recirculation Total: {sum}</t>
  </si>
  <si>
    <t>Successful Scans: {sum}</t>
  </si>
  <si>
    <t>Total Scans: {sum}</t>
  </si>
  <si>
    <t>Lombrana,Mitzi</t>
  </si>
  <si>
    <t>Ware,Jzmarc</t>
  </si>
  <si>
    <t>Arcineda,Janet</t>
  </si>
  <si>
    <t>Schwertfeger,Corey Hsuing</t>
  </si>
  <si>
    <t>PSP1</t>
  </si>
  <si>
    <t>https://hooks.chime.aws/incomingwebhooks/b376bf3f-0b70-4b13-bf73-8c6d9dbbda6b?token=dWZsV1FWTUx8MXxXbF9la210cmcxX3ZraENHdDliaF9EdW5CUkp0bmphaEJLUzNsRmZVU0FJ</t>
  </si>
  <si>
    <t>Volume</t>
  </si>
  <si>
    <t>Hours</t>
  </si>
  <si>
    <t>Link to [Ship Dock PPR]</t>
  </si>
  <si>
    <t>Link to [Direct Functions PPR]</t>
  </si>
  <si>
    <t>Parameters</t>
  </si>
  <si>
    <t>FC</t>
  </si>
  <si>
    <t>SHIPDOCK WEBHOOK</t>
  </si>
  <si>
    <t>Garcia,Marcelo</t>
  </si>
  <si>
    <t>Wilson,Jazmine Benita</t>
  </si>
  <si>
    <t>Marenco,Cheri</t>
  </si>
  <si>
    <t>McCall,Stew</t>
  </si>
  <si>
    <t>Wong,Peter</t>
  </si>
  <si>
    <t>Davenport,Joshua</t>
  </si>
  <si>
    <t>Boyer,Charis Gregg</t>
  </si>
  <si>
    <t>GARCIA,LEEANNE</t>
  </si>
  <si>
    <t>Hijar Soria,Nancy</t>
  </si>
  <si>
    <t>Fuller,Cheri</t>
  </si>
  <si>
    <t>Vargas,Ceaser</t>
  </si>
  <si>
    <t>martinez,david</t>
  </si>
  <si>
    <t>Taylor,Shawn</t>
  </si>
  <si>
    <t>Ramirez,David</t>
  </si>
  <si>
    <t>Cova,Jennifer</t>
  </si>
  <si>
    <t>Gonzalez,Emmanuel</t>
  </si>
  <si>
    <t>Cortes,Ivan</t>
  </si>
  <si>
    <t>Hibard,John</t>
  </si>
  <si>
    <t>Medrano,JONATHAN Andrew</t>
  </si>
  <si>
    <t>Goldsborough,Roberta</t>
  </si>
  <si>
    <t>Calderon,Ricky Jesus</t>
  </si>
  <si>
    <t>Muniz,Aleta</t>
  </si>
  <si>
    <t>GALLEGOS,LEONARD</t>
  </si>
  <si>
    <t>Gabaldon,Regina</t>
  </si>
  <si>
    <t>Bolbach,Sidonie shea</t>
  </si>
  <si>
    <t>MCKINNY-FEUERSTEIN,JASON MICHAEL</t>
  </si>
  <si>
    <t>Jackson,Dawn</t>
  </si>
  <si>
    <t>Heinzel,Kathy</t>
  </si>
  <si>
    <t>PackageInducted</t>
  </si>
  <si>
    <t>Rodriguez,Viv</t>
  </si>
  <si>
    <t>Medina,Jessica</t>
  </si>
  <si>
    <t>Saldivar,Erik</t>
  </si>
  <si>
    <t>unzueta,elizabeth</t>
  </si>
  <si>
    <t>De Los Santos,Liz</t>
  </si>
  <si>
    <t>Coleman,Steven</t>
  </si>
  <si>
    <t>Gutierrez,Giovanni Joel</t>
  </si>
  <si>
    <t>Sanchez,Oscar</t>
  </si>
  <si>
    <t>linares,vanessa</t>
  </si>
  <si>
    <t>Salas,Anyssa Danielle</t>
  </si>
  <si>
    <t>Tapia,Blanca Estela</t>
  </si>
  <si>
    <t>Willcoxson,Rodney</t>
  </si>
  <si>
    <t>lizaola,carlos</t>
  </si>
  <si>
    <t>Chavez,Alfred</t>
  </si>
  <si>
    <t>Salcedo,Gustavo</t>
  </si>
  <si>
    <t>https://hooks.chime.aws/incomingwebhooks/9b188411-1c89-4936-9d96-19abf9a909f5?token=WkdrR3JuaVh8MXxSdGpvc3lDN1c4N1I2R24yUzVBaVRTNGp6ZC1URnprMmlpNUNsbGVXRHB3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</si>
</sst>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-F400]h:mm:ss\ AM/PM"/>
  </numFmts>
  <fonts count="7"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Arial Narrow"/>
      <family val="2"/>
    </font>
    <font>
      <u/>
      <sz val="11"/>
      <color theme="10"/>
      <name val="Arial Narrow"/>
      <family val="2"/>
    </font>
    <font>
      <sz val="10"/>
      <color theme="1"/>
      <name val="Arial Unicode MS"/>
    </font>
    <font>
      <b/>
      <sz val="24"/>
      <color theme="1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4" fillId="0" borderId="0" xfId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ont="1" applyFill="1"/>
    <xf numFmtId="10" fontId="0" fillId="0" borderId="0" xfId="0" applyNumberForma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5" xfId="0" applyBorder="1"/>
    <xf numFmtId="0" fontId="5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2" fillId="4" borderId="4" xfId="2" applyFill="1" applyBorder="1"/>
    <xf numFmtId="0" fontId="0" fillId="0" borderId="0" xfId="0" applyBorder="1"/>
    <xf numFmtId="0" fontId="0" fillId="0" borderId="4" xfId="0" applyBorder="1"/>
    <xf numFmtId="0" fontId="0" fillId="4" borderId="4" xfId="0" applyFill="1" applyBorder="1"/>
    <xf numFmtId="0" fontId="0" fillId="4" borderId="0" xfId="0" applyFill="1" applyBorder="1"/>
    <xf numFmtId="2" fontId="0" fillId="0" borderId="0" xfId="0" applyNumberFormat="1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2" borderId="3" xfId="0" applyFill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" xfId="0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0" fillId="5" borderId="0" xfId="0" applyFill="1"/>
    <xf numFmtId="2" fontId="0" fillId="0" borderId="0" xfId="0" applyNumberFormat="1"/>
    <xf numFmtId="11" fontId="0" fillId="0" borderId="0" xfId="0" applyNumberFormat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2" fontId="0" fillId="6" borderId="5" xfId="0" applyNumberFormat="1" applyFill="1" applyBorder="1"/>
    <xf numFmtId="0" fontId="0" fillId="6" borderId="7" xfId="0" applyFill="1" applyBorder="1" applyAlignment="1">
      <alignment horizontal="center" vertical="center"/>
    </xf>
    <xf numFmtId="2" fontId="0" fillId="6" borderId="8" xfId="0" applyNumberFormat="1" applyFill="1" applyBorder="1"/>
    <xf numFmtId="0" fontId="0" fillId="6" borderId="1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/>
    <xf numFmtId="2" fontId="0" fillId="6" borderId="8" xfId="0" quotePrefix="1" applyNumberFormat="1" applyFill="1" applyBorder="1"/>
    <xf numFmtId="0" fontId="0" fillId="6" borderId="1" xfId="0" applyFill="1" applyBorder="1"/>
    <xf numFmtId="0" fontId="0" fillId="6" borderId="4" xfId="0" applyFill="1" applyBorder="1"/>
    <xf numFmtId="1" fontId="0" fillId="6" borderId="3" xfId="0" quotePrefix="1" applyNumberFormat="1" applyFill="1" applyBorder="1"/>
    <xf numFmtId="0" fontId="0" fillId="6" borderId="0" xfId="0" applyFill="1"/>
    <xf numFmtId="0" fontId="0" fillId="7" borderId="0" xfId="0" applyFill="1"/>
    <xf numFmtId="0" fontId="6" fillId="0" borderId="0" xfId="0" applyFont="1" applyAlignment="1">
      <alignment horizontal="center" vertical="center"/>
    </xf>
    <xf numFmtId="0" fontId="0" fillId="6" borderId="0" xfId="0" applyFill="1" applyAlignment="1">
      <alignment wrapText="1"/>
    </xf>
    <xf numFmtId="0" fontId="0" fillId="0" borderId="0" xfId="0" applyNumberFormat="1"/>
    <xf numFmtId="165" fontId="0" fillId="0" borderId="0" xfId="0" applyNumberFormat="1"/>
    <xf numFmtId="0" fontId="0" fillId="7" borderId="0" xfId="0" applyFill="1" applyAlignment="1">
      <alignment horizontal="center"/>
    </xf>
  </cellXfs>
  <cellStyles count="6">
    <cellStyle name="Hyperlink" xfId="1" builtinId="8"/>
    <cellStyle name="Normal" xfId="0" builtinId="0"/>
    <cellStyle name="Normal 2" xfId="2"/>
    <cellStyle name="Normal 2 2" xfId="4"/>
    <cellStyle name="Percent 2" xfId="3"/>
    <cellStyle name="Percent 2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6</xdr:row>
      <xdr:rowOff>190500</xdr:rowOff>
    </xdr:from>
    <xdr:to>
      <xdr:col>2</xdr:col>
      <xdr:colOff>3048000</xdr:colOff>
      <xdr:row>10</xdr:row>
      <xdr:rowOff>9525</xdr:rowOff>
    </xdr:to>
    <xdr:sp macro="[0]!StartTimer" textlink="">
      <xdr:nvSpPr>
        <xdr:cNvPr id="2" name="Cube 1"/>
        <xdr:cNvSpPr/>
      </xdr:nvSpPr>
      <xdr:spPr>
        <a:xfrm>
          <a:off x="1447800" y="2371725"/>
          <a:ext cx="2819400" cy="657225"/>
        </a:xfrm>
        <a:prstGeom prst="cube">
          <a:avLst>
            <a:gd name="adj" fmla="val 76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  <a:r>
            <a:rPr lang="en-US" sz="2800" b="1" baseline="0"/>
            <a:t> MACRO</a:t>
          </a:r>
          <a:endParaRPr lang="en-US" sz="28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PA_38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34" preserveFormatting="0" connectionId="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PA_30" preserveFormatting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RS Query_1" fillFormulas="1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RS Query_10" fillFormulas="1" adjustColumnWidt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RS Query_14" fillFormulas="1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RS Query_12" fillFormulas="1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RS Query_8" fillFormulas="1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RS Query_13" fillFormulas="1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RS Query_16" fillFormulas="1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RS Query_9" fillFormulas="1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RS Query_15" fillFormulas="1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RS Query_6" fillFormulas="1" adjustColumnWidth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RS Query_17" fillFormulas="1" adjustColumnWidth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RS Query" fillFormulas="1" adjustColumnWidth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RS Query_5" fillFormulas="1" adjustColumnWidth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RS Query_7" fillFormulas="1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RS Query_4" fillFormulas="1" adjustColumnWidth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RS Query_18" fillFormulas="1" adjustColumnWidth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RS Query_3" fillFormulas="1" adjustColumnWidth="0" connectionId="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RS Query_11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1.xml"/><Relationship Id="rId13" Type="http://schemas.openxmlformats.org/officeDocument/2006/relationships/queryTable" Target="../queryTables/queryTable46.xml"/><Relationship Id="rId18" Type="http://schemas.openxmlformats.org/officeDocument/2006/relationships/queryTable" Target="../queryTables/queryTable51.xml"/><Relationship Id="rId26" Type="http://schemas.openxmlformats.org/officeDocument/2006/relationships/queryTable" Target="../queryTables/queryTable59.xml"/><Relationship Id="rId3" Type="http://schemas.openxmlformats.org/officeDocument/2006/relationships/queryTable" Target="../queryTables/queryTable36.xml"/><Relationship Id="rId21" Type="http://schemas.openxmlformats.org/officeDocument/2006/relationships/queryTable" Target="../queryTables/queryTable54.xml"/><Relationship Id="rId7" Type="http://schemas.openxmlformats.org/officeDocument/2006/relationships/queryTable" Target="../queryTables/queryTable40.xml"/><Relationship Id="rId12" Type="http://schemas.openxmlformats.org/officeDocument/2006/relationships/queryTable" Target="../queryTables/queryTable45.xml"/><Relationship Id="rId17" Type="http://schemas.openxmlformats.org/officeDocument/2006/relationships/queryTable" Target="../queryTables/queryTable50.xml"/><Relationship Id="rId25" Type="http://schemas.openxmlformats.org/officeDocument/2006/relationships/queryTable" Target="../queryTables/queryTable58.xml"/><Relationship Id="rId2" Type="http://schemas.openxmlformats.org/officeDocument/2006/relationships/queryTable" Target="../queryTables/queryTable35.xml"/><Relationship Id="rId16" Type="http://schemas.openxmlformats.org/officeDocument/2006/relationships/queryTable" Target="../queryTables/queryTable49.xml"/><Relationship Id="rId20" Type="http://schemas.openxmlformats.org/officeDocument/2006/relationships/queryTable" Target="../queryTables/queryTable53.xml"/><Relationship Id="rId29" Type="http://schemas.openxmlformats.org/officeDocument/2006/relationships/queryTable" Target="../queryTables/queryTable62.xml"/><Relationship Id="rId1" Type="http://schemas.openxmlformats.org/officeDocument/2006/relationships/queryTable" Target="../queryTables/queryTable34.xml"/><Relationship Id="rId6" Type="http://schemas.openxmlformats.org/officeDocument/2006/relationships/queryTable" Target="../queryTables/queryTable39.xml"/><Relationship Id="rId11" Type="http://schemas.openxmlformats.org/officeDocument/2006/relationships/queryTable" Target="../queryTables/queryTable44.xml"/><Relationship Id="rId24" Type="http://schemas.openxmlformats.org/officeDocument/2006/relationships/queryTable" Target="../queryTables/queryTable57.xml"/><Relationship Id="rId5" Type="http://schemas.openxmlformats.org/officeDocument/2006/relationships/queryTable" Target="../queryTables/queryTable38.xml"/><Relationship Id="rId15" Type="http://schemas.openxmlformats.org/officeDocument/2006/relationships/queryTable" Target="../queryTables/queryTable48.xml"/><Relationship Id="rId23" Type="http://schemas.openxmlformats.org/officeDocument/2006/relationships/queryTable" Target="../queryTables/queryTable56.xml"/><Relationship Id="rId28" Type="http://schemas.openxmlformats.org/officeDocument/2006/relationships/queryTable" Target="../queryTables/queryTable61.xml"/><Relationship Id="rId10" Type="http://schemas.openxmlformats.org/officeDocument/2006/relationships/queryTable" Target="../queryTables/queryTable43.xml"/><Relationship Id="rId19" Type="http://schemas.openxmlformats.org/officeDocument/2006/relationships/queryTable" Target="../queryTables/queryTable52.xml"/><Relationship Id="rId31" Type="http://schemas.openxmlformats.org/officeDocument/2006/relationships/queryTable" Target="../queryTables/queryTable64.xml"/><Relationship Id="rId4" Type="http://schemas.openxmlformats.org/officeDocument/2006/relationships/queryTable" Target="../queryTables/queryTable37.xml"/><Relationship Id="rId9" Type="http://schemas.openxmlformats.org/officeDocument/2006/relationships/queryTable" Target="../queryTables/queryTable42.xml"/><Relationship Id="rId14" Type="http://schemas.openxmlformats.org/officeDocument/2006/relationships/queryTable" Target="../queryTables/queryTable47.xml"/><Relationship Id="rId22" Type="http://schemas.openxmlformats.org/officeDocument/2006/relationships/queryTable" Target="../queryTables/queryTable55.xml"/><Relationship Id="rId27" Type="http://schemas.openxmlformats.org/officeDocument/2006/relationships/queryTable" Target="../queryTables/queryTable60.xml"/><Relationship Id="rId30" Type="http://schemas.openxmlformats.org/officeDocument/2006/relationships/queryTable" Target="../queryTables/queryTable6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2.xml"/><Relationship Id="rId13" Type="http://schemas.openxmlformats.org/officeDocument/2006/relationships/queryTable" Target="../queryTables/queryTable77.xml"/><Relationship Id="rId18" Type="http://schemas.openxmlformats.org/officeDocument/2006/relationships/queryTable" Target="../queryTables/queryTable82.xml"/><Relationship Id="rId3" Type="http://schemas.openxmlformats.org/officeDocument/2006/relationships/queryTable" Target="../queryTables/queryTable67.xml"/><Relationship Id="rId7" Type="http://schemas.openxmlformats.org/officeDocument/2006/relationships/queryTable" Target="../queryTables/queryTable71.xml"/><Relationship Id="rId12" Type="http://schemas.openxmlformats.org/officeDocument/2006/relationships/queryTable" Target="../queryTables/queryTable76.xml"/><Relationship Id="rId17" Type="http://schemas.openxmlformats.org/officeDocument/2006/relationships/queryTable" Target="../queryTables/queryTable81.xml"/><Relationship Id="rId2" Type="http://schemas.openxmlformats.org/officeDocument/2006/relationships/queryTable" Target="../queryTables/queryTable66.xml"/><Relationship Id="rId16" Type="http://schemas.openxmlformats.org/officeDocument/2006/relationships/queryTable" Target="../queryTables/queryTable80.xml"/><Relationship Id="rId1" Type="http://schemas.openxmlformats.org/officeDocument/2006/relationships/queryTable" Target="../queryTables/queryTable65.xml"/><Relationship Id="rId6" Type="http://schemas.openxmlformats.org/officeDocument/2006/relationships/queryTable" Target="../queryTables/queryTable70.xml"/><Relationship Id="rId11" Type="http://schemas.openxmlformats.org/officeDocument/2006/relationships/queryTable" Target="../queryTables/queryTable75.xml"/><Relationship Id="rId5" Type="http://schemas.openxmlformats.org/officeDocument/2006/relationships/queryTable" Target="../queryTables/queryTable69.xml"/><Relationship Id="rId15" Type="http://schemas.openxmlformats.org/officeDocument/2006/relationships/queryTable" Target="../queryTables/queryTable79.xml"/><Relationship Id="rId10" Type="http://schemas.openxmlformats.org/officeDocument/2006/relationships/queryTable" Target="../queryTables/queryTable74.xml"/><Relationship Id="rId4" Type="http://schemas.openxmlformats.org/officeDocument/2006/relationships/queryTable" Target="../queryTables/queryTable68.xml"/><Relationship Id="rId9" Type="http://schemas.openxmlformats.org/officeDocument/2006/relationships/queryTable" Target="../queryTables/queryTable73.xml"/><Relationship Id="rId14" Type="http://schemas.openxmlformats.org/officeDocument/2006/relationships/queryTable" Target="../queryTables/queryTable7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I6"/>
  <sheetViews>
    <sheetView tabSelected="1" zoomScale="85" zoomScaleNormal="85" workbookViewId="0"/>
  </sheetViews>
  <sheetFormatPr defaultRowHeight="16.5"/>
  <cols>
    <col min="1" max="1" width="2.7109375" customWidth="1"/>
    <col min="3" max="3" width="54.28515625" customWidth="1"/>
    <col min="8" max="8" width="12.28515625" hidden="1" customWidth="1"/>
    <col min="9" max="9" width="21.5703125" hidden="1" customWidth="1"/>
  </cols>
  <sheetData>
    <row r="2" spans="2:9">
      <c r="H2" s="84">
        <v>44298.583333333299</v>
      </c>
      <c r="I2" s="85">
        <f ca="1">INT(24*NOW()+1)/24</f>
        <v>44301.708333333336</v>
      </c>
    </row>
    <row r="3" spans="2:9" ht="39.75" customHeight="1">
      <c r="C3" s="82" t="s">
        <v>901</v>
      </c>
      <c r="H3" s="84">
        <v>44298.597222222219</v>
      </c>
    </row>
    <row r="4" spans="2:9">
      <c r="B4" s="86" t="s">
        <v>899</v>
      </c>
      <c r="C4" s="86"/>
      <c r="H4" s="84">
        <f>H3-H2</f>
        <v>1.3888888919609599E-2</v>
      </c>
      <c r="I4">
        <v>1.3888888919609601E-2</v>
      </c>
    </row>
    <row r="5" spans="2:9">
      <c r="B5" s="81" t="s">
        <v>900</v>
      </c>
      <c r="C5" s="6" t="s">
        <v>893</v>
      </c>
    </row>
    <row r="6" spans="2:9" ht="16.5" customHeight="1">
      <c r="B6" s="81" t="s">
        <v>30</v>
      </c>
      <c r="C6" s="83" t="s">
        <v>946</v>
      </c>
    </row>
  </sheetData>
  <mergeCells count="1">
    <mergeCell ref="B4:C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9"/>
  <sheetViews>
    <sheetView topLeftCell="A7" workbookViewId="0">
      <selection activeCell="I19" sqref="I19"/>
    </sheetView>
  </sheetViews>
  <sheetFormatPr defaultRowHeight="16.5"/>
  <cols>
    <col min="1" max="1" width="10.42578125" style="11" bestFit="1" customWidth="1"/>
    <col min="2" max="2" width="25.42578125" customWidth="1"/>
    <col min="3" max="3" width="28.5703125" customWidth="1"/>
    <col min="4" max="4" width="15.42578125" customWidth="1"/>
    <col min="5" max="5" width="10.7109375" customWidth="1"/>
    <col min="6" max="6" width="10.140625" customWidth="1"/>
    <col min="7" max="7" width="20.85546875" customWidth="1"/>
    <col min="9" max="9" width="15.42578125" customWidth="1"/>
    <col min="10" max="10" width="11" customWidth="1"/>
    <col min="11" max="13" width="17.28515625" customWidth="1"/>
  </cols>
  <sheetData>
    <row r="1" spans="1:13">
      <c r="B1" t="str">
        <f>"https://fclm-portal.amazon.com/reports/functionRollup?reportFormat=HTML&amp;warehouseId="&amp;C10&amp;"&amp;processId=1003014&amp;maxIntradayDays=1&amp;spanType=Intraday&amp;startDateIntraday="</f>
        <v>https://fclm-portal.amazon.com/reports/functionRollup?reportFormat=HTML&amp;warehouseId=PSP1&amp;processId=1003014&amp;maxIntradayDays=1&amp;spanType=Intraday&amp;startDateIntraday=</v>
      </c>
    </row>
    <row r="2" spans="1:13">
      <c r="B2" t="str">
        <f>"https://fclm-portal.amazon.com/reports/functionRollup?reportFormat=CSV&amp;warehouseId="&amp;C10&amp;"&amp;processId=1003014&amp;maxIntradayDays=1&amp;spanType=Intraday&amp;startDateIntraday="</f>
        <v>https://fclm-portal.amazon.com/reports/functionRollup?reportFormat=CSV&amp;warehouseId=PSP1&amp;processId=1003014&amp;maxIntradayDays=1&amp;spanType=Intraday&amp;startDateIntraday=</v>
      </c>
    </row>
    <row r="3" spans="1:13">
      <c r="B3" t="str">
        <f ca="1">""&amp;C36&amp;"&amp;startHourIntraday="&amp;C25&amp;"&amp;startMinuteIntraday=0&amp;endDateIntraday="&amp;E36&amp;"&amp;endHourIntraday="&amp;C23&amp;"&amp;endMinuteIntraday=0"</f>
        <v>2021%2F04%2F15&amp;startHourIntraday=15&amp;startMinuteIntraday=0&amp;endDateIntraday=2021%2F04%2F15&amp;endHourIntraday=16&amp;endMinuteIntraday=0</v>
      </c>
    </row>
    <row r="5" spans="1:13">
      <c r="B5" s="7" t="str">
        <f ca="1">CONCATENATE(B2,B3)</f>
        <v>https://fclm-portal.amazon.com/reports/functionRollup?reportFormat=CSV&amp;warehouseId=PSP1&amp;processId=1003014&amp;maxIntradayDays=1&amp;spanType=Intraday&amp;startDateIntraday=2021%2F04%2F15&amp;startHourIntraday=15&amp;startMinuteIntraday=0&amp;endDateIntraday=2021%2F04%2F15&amp;endHourIntraday=16&amp;endMinuteIntraday=0</v>
      </c>
    </row>
    <row r="7" spans="1:13">
      <c r="F7" t="s">
        <v>898</v>
      </c>
      <c r="H7" s="10" t="s">
        <v>28</v>
      </c>
      <c r="I7" t="s">
        <v>29</v>
      </c>
    </row>
    <row r="8" spans="1:13">
      <c r="B8" s="9"/>
      <c r="F8" t="str">
        <f ca="1">CONCATENATE(F7,H7,F12,I7)</f>
        <v>Link to [Direct Functions PPR](https://fclm-portal.amazon.com/reports/functionRollup?reportFormat=HTML&amp;warehouseId=PSP1&amp;processId=1003014&amp;maxIntradayDays=1&amp;spanType=Intraday&amp;startDateIntraday=2021%2F04%2F15&amp;startHourIntraday=15&amp;startMinuteIntraday=0&amp;endDateIntraday=2021%2F04%2F15&amp;endHourIntraday=16&amp;endMinuteIntraday=0)</v>
      </c>
    </row>
    <row r="9" spans="1:13" ht="17.25" thickBot="1"/>
    <row r="10" spans="1:13">
      <c r="A10" s="16"/>
      <c r="B10" s="25"/>
      <c r="C10" s="35" t="str">
        <f>HOME!C5</f>
        <v>PSP1</v>
      </c>
      <c r="E10" s="6" t="s">
        <v>30</v>
      </c>
      <c r="F10" s="80" t="str">
        <f>HOME!C6</f>
        <v>https://hooks.chime.aws/incomingwebhooks/9b188411-1c89-4936-9d96-19abf9a909f5?token=WkdrR3JuaVh8MXxSdGpvc3lDN1c4N1I2R24yUzVBaVRTNGp6ZC1URnprMmlpNUNsbGVXRHB3</v>
      </c>
    </row>
    <row r="11" spans="1:13">
      <c r="A11" s="36"/>
      <c r="B11" s="27"/>
      <c r="C11" s="20"/>
    </row>
    <row r="12" spans="1:13">
      <c r="A12" s="36" t="s">
        <v>36</v>
      </c>
      <c r="B12" s="18" t="s">
        <v>34</v>
      </c>
      <c r="C12" s="20">
        <f>SUMIF(PPR!$B:$B,Base!$B$12,PPR!$K:$K)</f>
        <v>14.989999999999998</v>
      </c>
      <c r="F12" s="8" t="str">
        <f ca="1">CONCATENATE(B1,B3)</f>
        <v>https://fclm-portal.amazon.com/reports/functionRollup?reportFormat=HTML&amp;warehouseId=PSP1&amp;processId=1003014&amp;maxIntradayDays=1&amp;spanType=Intraday&amp;startDateIntraday=2021%2F04%2F15&amp;startHourIntraday=15&amp;startMinuteIntraday=0&amp;endDateIntraday=2021%2F04%2F15&amp;endHourIntraday=16&amp;endMinuteIntraday=0</v>
      </c>
    </row>
    <row r="13" spans="1:13" ht="17.25" thickBot="1">
      <c r="A13" s="36"/>
      <c r="B13" s="18" t="s">
        <v>32</v>
      </c>
      <c r="C13" s="20">
        <f>SUMIFS(PPR!$Q:$Q,PPR!$B:$B,Base!$B$12,PPR!$E:$E,Base!$B$13)</f>
        <v>4345</v>
      </c>
    </row>
    <row r="14" spans="1:13">
      <c r="A14" s="36" t="s">
        <v>37</v>
      </c>
      <c r="B14" s="18" t="s">
        <v>15</v>
      </c>
      <c r="C14" s="20">
        <f>SUMIFS(PPR!$M:$M,PPR!$B:$B,Base!$B$12)</f>
        <v>4374</v>
      </c>
      <c r="D14" s="70" t="s">
        <v>41</v>
      </c>
      <c r="E14" s="71">
        <f>IFERROR(E15/E16,0)</f>
        <v>12.068965517241381</v>
      </c>
      <c r="F14" s="45"/>
      <c r="G14" s="72" t="s">
        <v>46</v>
      </c>
      <c r="H14" s="73">
        <f>IFERROR(H15/H16,0)</f>
        <v>11.403508771929827</v>
      </c>
      <c r="K14" s="44"/>
      <c r="L14" s="52"/>
      <c r="M14" s="35" t="str">
        <f>HOME!C5</f>
        <v>PSP1</v>
      </c>
    </row>
    <row r="15" spans="1:13">
      <c r="A15" s="36"/>
      <c r="B15" s="66" t="s">
        <v>38</v>
      </c>
      <c r="C15" s="67">
        <f>C14/C12</f>
        <v>291.79452968645768</v>
      </c>
      <c r="D15" s="36" t="s">
        <v>15</v>
      </c>
      <c r="E15" s="27">
        <f>SUMIF(PPR!$B:$B,Base!$D$14,PPR!$M:$M)</f>
        <v>42</v>
      </c>
      <c r="F15" s="59"/>
      <c r="G15" s="48" t="s">
        <v>15</v>
      </c>
      <c r="H15" s="20">
        <f>SUMIF(PPR!$B:$B,Base!$G$14,PPR!$M:$M)</f>
        <v>78</v>
      </c>
      <c r="K15" s="36"/>
      <c r="L15" s="27"/>
      <c r="M15" s="20"/>
    </row>
    <row r="16" spans="1:13">
      <c r="A16" s="36" t="s">
        <v>36</v>
      </c>
      <c r="B16" s="18" t="s">
        <v>35</v>
      </c>
      <c r="C16" s="20">
        <f>SUMIF(PPR!$B:$B,Base!$B$16,PPR!$K:$K)</f>
        <v>3</v>
      </c>
      <c r="D16" s="36" t="s">
        <v>359</v>
      </c>
      <c r="E16" s="27">
        <f>SUMIF(PPR!$B:$B,Base!$D$14,PPR!$K:$K)</f>
        <v>3.4799999999999995</v>
      </c>
      <c r="F16" s="59"/>
      <c r="G16" s="48" t="s">
        <v>359</v>
      </c>
      <c r="H16" s="20">
        <f>SUMIF(PPR!$B:$B,Base!$G$14,PPR!$K:$K)</f>
        <v>6.839999999999999</v>
      </c>
      <c r="K16" s="36" t="s">
        <v>36</v>
      </c>
      <c r="L16" s="48" t="s">
        <v>43</v>
      </c>
      <c r="M16" s="20">
        <f>SUMIF(PPR!$B:$B,Base!$L$16,PPR!$K:$K)</f>
        <v>0</v>
      </c>
    </row>
    <row r="17" spans="1:13">
      <c r="A17" s="36" t="s">
        <v>42</v>
      </c>
      <c r="B17" s="18" t="s">
        <v>15</v>
      </c>
      <c r="C17" s="20">
        <f>SUMIFS(PPR!$M:$M,PPR!$B:$B,Base!$B$16)</f>
        <v>2775</v>
      </c>
      <c r="D17" s="36" t="s">
        <v>45</v>
      </c>
      <c r="E17" s="48"/>
      <c r="F17" s="48"/>
      <c r="G17" s="48" t="s">
        <v>45</v>
      </c>
      <c r="H17" s="56"/>
      <c r="K17" s="36"/>
      <c r="L17" s="48" t="s">
        <v>32</v>
      </c>
      <c r="M17" s="20">
        <f>SUMIFS(PPR!$Q:$Q,PPR!$B:$B,Base!$L$16,PPR!$E:$E,Base!$L$17)</f>
        <v>7926</v>
      </c>
    </row>
    <row r="18" spans="1:13" ht="17.25" thickBot="1">
      <c r="A18" s="37"/>
      <c r="B18" s="68" t="s">
        <v>38</v>
      </c>
      <c r="C18" s="69">
        <f>IFERROR(C17/C16,"0")</f>
        <v>925</v>
      </c>
      <c r="D18" s="37" t="s">
        <v>33</v>
      </c>
      <c r="E18" s="50"/>
      <c r="F18" s="50"/>
      <c r="G18" s="50" t="s">
        <v>33</v>
      </c>
      <c r="H18" s="60"/>
      <c r="K18" s="36" t="s">
        <v>37</v>
      </c>
      <c r="L18" s="48" t="s">
        <v>15</v>
      </c>
      <c r="M18" s="20">
        <f>SUMIFS(PPR!$M:$M,PPR!$B:$B,Base!$L$16)</f>
        <v>7926</v>
      </c>
    </row>
    <row r="19" spans="1:13" ht="17.25" thickBot="1">
      <c r="B19" s="1">
        <f ca="1">TODAY()</f>
        <v>44301</v>
      </c>
      <c r="D19" s="2"/>
      <c r="E19" s="77" t="s">
        <v>895</v>
      </c>
      <c r="F19" s="79">
        <f>IFERROR(VLOOKUP($D$21,PPR_V2!D:J,5,FALSE),0)</f>
        <v>10675</v>
      </c>
      <c r="H19" s="77" t="s">
        <v>895</v>
      </c>
      <c r="I19" s="76">
        <f>IFERROR(VLOOKUP($G$21,PPR_V2!D:J,5,FALSE),0)</f>
        <v>272</v>
      </c>
      <c r="K19" s="37"/>
      <c r="L19" s="68" t="s">
        <v>38</v>
      </c>
      <c r="M19" s="69">
        <f>IFERROR((($M$18-$M$17)/$M$16),0)</f>
        <v>0</v>
      </c>
    </row>
    <row r="20" spans="1:13" ht="17.25" thickBot="1">
      <c r="B20" s="3">
        <f ca="1">NOW()</f>
        <v>44301.684566087963</v>
      </c>
      <c r="E20" s="78" t="s">
        <v>896</v>
      </c>
      <c r="F20" s="67">
        <f>IFERROR(VLOOKUP($D$21,PPR_V2!D:J,6,FALSE),0)</f>
        <v>34.435277777777699</v>
      </c>
      <c r="H20" s="78" t="s">
        <v>896</v>
      </c>
    </row>
    <row r="21" spans="1:13" ht="17.25" thickBot="1">
      <c r="B21" s="2" t="s">
        <v>21</v>
      </c>
      <c r="C21" s="2">
        <f ca="1">HOUR(B20)</f>
        <v>16</v>
      </c>
      <c r="D21" s="74" t="s">
        <v>31</v>
      </c>
      <c r="E21" s="75" t="s">
        <v>38</v>
      </c>
      <c r="F21" s="76">
        <f>IFERROR(VLOOKUP($D$21,PPR_V2!D:J,7,FALSE),0)</f>
        <v>310.00185533246702</v>
      </c>
      <c r="G21" s="76" t="s">
        <v>557</v>
      </c>
      <c r="H21" s="75" t="s">
        <v>38</v>
      </c>
    </row>
    <row r="22" spans="1:13">
      <c r="B22" s="2"/>
      <c r="D22" s="2"/>
    </row>
    <row r="23" spans="1:13">
      <c r="B23" s="2" t="s">
        <v>22</v>
      </c>
      <c r="C23" s="4">
        <f ca="1">IF(C21=0,0,C21)</f>
        <v>16</v>
      </c>
      <c r="D23" s="2" t="s">
        <v>23</v>
      </c>
    </row>
    <row r="24" spans="1:13">
      <c r="B24" s="2"/>
      <c r="D24" s="2"/>
      <c r="G24" t="s">
        <v>20</v>
      </c>
    </row>
    <row r="25" spans="1:13">
      <c r="B25" s="2" t="s">
        <v>24</v>
      </c>
      <c r="C25" s="4">
        <f ca="1">IF(C23=0,23,C23-1)</f>
        <v>15</v>
      </c>
      <c r="D25" s="2" t="s">
        <v>25</v>
      </c>
    </row>
    <row r="26" spans="1:13">
      <c r="B26" s="2"/>
      <c r="D26" s="2"/>
    </row>
    <row r="27" spans="1:13">
      <c r="B27" s="2" t="s">
        <v>26</v>
      </c>
      <c r="C27" s="5">
        <f ca="1">IF(C21=0,B19-1,B19)</f>
        <v>44301</v>
      </c>
      <c r="D27" s="2"/>
    </row>
    <row r="28" spans="1:13">
      <c r="B28" s="2"/>
      <c r="D28" s="2"/>
    </row>
    <row r="29" spans="1:13">
      <c r="B29" s="2" t="s">
        <v>27</v>
      </c>
      <c r="C29" s="5">
        <f ca="1">B19</f>
        <v>44301</v>
      </c>
      <c r="D29" s="2"/>
    </row>
    <row r="32" spans="1:13">
      <c r="C32" s="2" t="str">
        <f ca="1">TEXT(MONTH(C27),"00")</f>
        <v>04</v>
      </c>
      <c r="E32" s="2" t="str">
        <f ca="1">TEXT(MONTH(C29),"00")</f>
        <v>04</v>
      </c>
    </row>
    <row r="33" spans="2:9">
      <c r="C33" s="2">
        <f ca="1">DAY(C27)</f>
        <v>15</v>
      </c>
      <c r="E33" s="2">
        <f ca="1">DAY(C29)</f>
        <v>15</v>
      </c>
    </row>
    <row r="34" spans="2:9">
      <c r="C34" s="2">
        <f ca="1">YEAR(C27)</f>
        <v>2021</v>
      </c>
      <c r="E34" s="2">
        <f ca="1">YEAR(C29)</f>
        <v>2021</v>
      </c>
    </row>
    <row r="36" spans="2:9">
      <c r="C36" s="6" t="str">
        <f ca="1">CONCATENATE(C34,G24,C32,G24,C33)</f>
        <v>2021%2F04%2F15</v>
      </c>
      <c r="E36" s="6" t="str">
        <f ca="1">CONCATENATE(E34,G24,E32,G24,E33)</f>
        <v>2021%2F04%2F15</v>
      </c>
    </row>
    <row r="39" spans="2:9" ht="17.25" thickBot="1"/>
    <row r="40" spans="2:9">
      <c r="B40" s="24" t="s">
        <v>49</v>
      </c>
      <c r="C40" s="25"/>
      <c r="D40" s="25"/>
      <c r="E40" s="25"/>
      <c r="F40" s="25"/>
      <c r="G40" s="25"/>
      <c r="H40" s="25"/>
      <c r="I40" s="17"/>
    </row>
    <row r="41" spans="2:9">
      <c r="B41" s="26" t="s">
        <v>50</v>
      </c>
      <c r="C41" s="27"/>
      <c r="D41" s="27"/>
      <c r="E41" s="27"/>
      <c r="F41" s="27"/>
      <c r="G41" s="27"/>
      <c r="H41" s="27"/>
      <c r="I41" s="20"/>
    </row>
    <row r="42" spans="2:9">
      <c r="B42" s="28"/>
      <c r="C42" s="27"/>
      <c r="D42" s="27"/>
      <c r="E42" s="27"/>
      <c r="F42" s="27"/>
      <c r="G42" s="27"/>
      <c r="H42" s="27"/>
      <c r="I42" s="20"/>
    </row>
    <row r="43" spans="2:9">
      <c r="B43" s="29" t="s">
        <v>58</v>
      </c>
      <c r="C43" s="30">
        <f>IFERROR(VLOOKUP($B$43,'Ship Sorter'!A:C,2,FALSE),0)</f>
        <v>5670</v>
      </c>
      <c r="D43" s="27" t="s">
        <v>315</v>
      </c>
      <c r="E43" s="27" t="s">
        <v>316</v>
      </c>
      <c r="F43" s="27"/>
      <c r="G43" s="27"/>
      <c r="H43" s="27"/>
      <c r="I43" s="20"/>
    </row>
    <row r="44" spans="2:9">
      <c r="B44" s="29" t="s">
        <v>62</v>
      </c>
      <c r="C44" s="30">
        <f>IFERROR(VLOOKUP($B$44,'Ship Sorter'!A:C,2,FALSE),0)</f>
        <v>805</v>
      </c>
      <c r="D44" s="27" t="s">
        <v>315</v>
      </c>
      <c r="E44" s="27" t="s">
        <v>316</v>
      </c>
      <c r="F44" s="27"/>
      <c r="G44" s="27"/>
      <c r="H44" s="27"/>
      <c r="I44" s="20"/>
    </row>
    <row r="45" spans="2:9">
      <c r="B45" s="28" t="s">
        <v>313</v>
      </c>
      <c r="C45" s="31">
        <f>VLOOKUP($B$45,Data!A:B,2,FALSE)</f>
        <v>0</v>
      </c>
      <c r="D45" s="27"/>
      <c r="E45" s="27"/>
      <c r="F45" s="27"/>
      <c r="G45" s="27"/>
      <c r="H45" s="27"/>
      <c r="I45" s="20"/>
    </row>
    <row r="46" spans="2:9">
      <c r="B46" s="28"/>
      <c r="C46" s="27"/>
      <c r="D46" s="27"/>
      <c r="E46" s="27" t="s">
        <v>317</v>
      </c>
      <c r="F46" s="27"/>
      <c r="G46" s="32" t="s">
        <v>28</v>
      </c>
      <c r="H46" s="27" t="s">
        <v>29</v>
      </c>
      <c r="I46" s="20"/>
    </row>
    <row r="47" spans="2:9">
      <c r="B47" s="28" t="s">
        <v>318</v>
      </c>
      <c r="C47" s="27"/>
      <c r="D47" s="27"/>
      <c r="E47" s="27" t="str">
        <f>CONCATENATE(E46,G46,B48,H46)</f>
        <v>Link to [iGraph](https://tiny.amazon.com/7fibjkum/iGraph )</v>
      </c>
      <c r="F47" s="27"/>
      <c r="G47" s="27"/>
      <c r="H47" s="27"/>
      <c r="I47" s="20"/>
    </row>
    <row r="48" spans="2:9" ht="17.25" thickBot="1">
      <c r="B48" s="33" t="s">
        <v>319</v>
      </c>
      <c r="C48" s="34"/>
      <c r="D48" s="34"/>
      <c r="E48" s="34"/>
      <c r="F48" s="34"/>
      <c r="G48" s="34"/>
      <c r="H48" s="34"/>
      <c r="I48" s="22"/>
    </row>
    <row r="49" spans="2:9">
      <c r="B49" s="27"/>
      <c r="C49" s="27"/>
      <c r="D49" s="27"/>
      <c r="E49" s="27"/>
      <c r="F49" s="27"/>
      <c r="G49" s="27"/>
      <c r="H49" s="27"/>
      <c r="I49" s="27"/>
    </row>
    <row r="50" spans="2:9">
      <c r="E50" t="s">
        <v>321</v>
      </c>
    </row>
    <row r="51" spans="2:9" ht="17.25" thickBot="1"/>
    <row r="52" spans="2:9">
      <c r="B52" s="44" t="s">
        <v>320</v>
      </c>
      <c r="C52" s="45"/>
      <c r="D52" s="45"/>
      <c r="E52" s="45"/>
      <c r="F52" s="52"/>
      <c r="G52" s="46"/>
    </row>
    <row r="53" spans="2:9">
      <c r="B53" s="47" t="s">
        <v>347</v>
      </c>
      <c r="C53" s="48" t="str">
        <f>VLOOKUP($E$50,Data_V2!A:G,5,FALSE)</f>
        <v>Successful Scans: 2.00</v>
      </c>
      <c r="D53" s="49">
        <f>MIN(FIND({0,1,2,3,4,5,6,7,8,9},$C53&amp;"0123456789"))</f>
        <v>19</v>
      </c>
      <c r="E53" s="53" t="str">
        <f>RIGHT($C53,LEN($C53)-$D53+1)</f>
        <v>2.00</v>
      </c>
      <c r="F53" s="58">
        <f>IFERROR(TRUNC($E53),"-")</f>
        <v>2</v>
      </c>
      <c r="G53" s="56"/>
    </row>
    <row r="54" spans="2:9">
      <c r="B54" s="47" t="s">
        <v>348</v>
      </c>
      <c r="C54" s="48" t="str">
        <f>VLOOKUP($E$50,Data_V2!A:G,6,FALSE)</f>
        <v>Total Jackpots: {sum}</v>
      </c>
      <c r="D54" s="49">
        <f>MIN(FIND({0,1,2,3,4,5,6,7,8,9},$C54&amp;"0123456789"))</f>
        <v>22</v>
      </c>
      <c r="E54" s="53" t="str">
        <f t="shared" ref="E54:E56" si="0">RIGHT($C54,LEN($C54)-$D54+1)</f>
        <v/>
      </c>
      <c r="F54" s="58" t="str">
        <f t="shared" ref="F54:F56" si="1">IFERROR(TRUNC($E54),"-")</f>
        <v>-</v>
      </c>
      <c r="G54" s="57">
        <f>IFERROR((F54/F53)*100,0)</f>
        <v>0</v>
      </c>
    </row>
    <row r="55" spans="2:9">
      <c r="B55" s="47" t="s">
        <v>349</v>
      </c>
      <c r="C55" s="48" t="str">
        <f>VLOOKUP($E$50,Data_V2!A:G,4,FALSE)</f>
        <v>Recirculation Total: 1.00</v>
      </c>
      <c r="D55" s="49">
        <f>MIN(FIND({0,1,2,3,4,5,6,7,8,9},$C55&amp;"0123456789"))</f>
        <v>22</v>
      </c>
      <c r="E55" s="53" t="str">
        <f t="shared" si="0"/>
        <v>1.00</v>
      </c>
      <c r="F55" s="58">
        <f t="shared" si="1"/>
        <v>1</v>
      </c>
      <c r="G55" s="57">
        <f>IFERROR((F55/F53)*100,0)</f>
        <v>50</v>
      </c>
      <c r="I55" t="s">
        <v>807</v>
      </c>
    </row>
    <row r="56" spans="2:9" ht="17.25" thickBot="1">
      <c r="B56" s="55" t="s">
        <v>350</v>
      </c>
      <c r="C56" s="50" t="str">
        <f>VLOOKUP($E$50,Data_V2!A:G,3,FALSE)</f>
        <v>First Pass Yield (FPY): 1.00</v>
      </c>
      <c r="D56" s="51">
        <f>MIN(FIND({0,1,2,3,4,5,6,7,8,9},$C56&amp;"0123456789"))</f>
        <v>25</v>
      </c>
      <c r="E56" s="54" t="str">
        <f t="shared" si="0"/>
        <v>1.00</v>
      </c>
      <c r="F56" s="58">
        <f t="shared" si="1"/>
        <v>1</v>
      </c>
      <c r="G56" s="57">
        <f>IFERROR((F56/F53)*100,0)</f>
        <v>50</v>
      </c>
      <c r="I56" s="64">
        <f>IFERROR((($F$56/($F$56+$F$87)))*100,0)</f>
        <v>0</v>
      </c>
    </row>
    <row r="58" spans="2:9">
      <c r="B58" t="s">
        <v>323</v>
      </c>
    </row>
    <row r="59" spans="2:9">
      <c r="B59" t="s">
        <v>324</v>
      </c>
    </row>
    <row r="60" spans="2:9" ht="17.25" thickBot="1"/>
    <row r="61" spans="2:9">
      <c r="B61" s="23" t="s">
        <v>333</v>
      </c>
    </row>
    <row r="62" spans="2:9">
      <c r="B62" s="38" t="str">
        <f>VLOOKUP($E$50,Data_V3!A:I,2,FALSE)</f>
        <v>#1 ({avg} %)</v>
      </c>
    </row>
    <row r="63" spans="2:9">
      <c r="B63" s="38" t="str">
        <f>VLOOKUP($E$50,Data_V3!A:I,3,FALSE)</f>
        <v>#2 ({avg} %)</v>
      </c>
    </row>
    <row r="64" spans="2:9">
      <c r="B64" s="38" t="str">
        <f>VLOOKUP($E$50,Data_V3!A:I,4,FALSE)</f>
        <v>#3 ({avg} %)</v>
      </c>
    </row>
    <row r="65" spans="2:6">
      <c r="B65" s="38" t="str">
        <f>VLOOKUP($E$50,Data_V3!A:I,5,FALSE)</f>
        <v>#4 ({avg} %)</v>
      </c>
    </row>
    <row r="66" spans="2:6">
      <c r="B66" s="38" t="str">
        <f>VLOOKUP($E$50,Data_V3!A:I,6,FALSE)</f>
        <v>#5 ({avg} %)</v>
      </c>
    </row>
    <row r="67" spans="2:6">
      <c r="B67" s="38" t="str">
        <f>VLOOKUP($E$50,Data_V3!A:I,7,FALSE)</f>
        <v>#6 ({avg} %)</v>
      </c>
    </row>
    <row r="68" spans="2:6">
      <c r="B68" s="38" t="str">
        <f>VLOOKUP($E$50,Data_V3!A:I,8,FALSE)</f>
        <v>#7 ({avg} %)</v>
      </c>
    </row>
    <row r="69" spans="2:6" ht="17.25" thickBot="1">
      <c r="B69" s="39" t="str">
        <f>VLOOKUP($E$50,Data_V3!A:I,9,FALSE)</f>
        <v>#8 ({avg} %)</v>
      </c>
    </row>
    <row r="71" spans="2:6" ht="17.25" thickBot="1"/>
    <row r="72" spans="2:6">
      <c r="B72" s="24" t="s">
        <v>344</v>
      </c>
      <c r="C72" s="25"/>
      <c r="D72" s="25"/>
      <c r="E72" s="25"/>
      <c r="F72" s="17"/>
    </row>
    <row r="73" spans="2:6">
      <c r="B73" s="28" t="s">
        <v>334</v>
      </c>
      <c r="C73" s="27" t="str">
        <f>VLOOKUP($E$50,Data_V4!A:C,2,FALSE)</f>
        <v>Induct Rate {sum}</v>
      </c>
      <c r="D73" s="19">
        <f>MIN(FIND({0,1,2,3,4,5,6,7,8,9},C73&amp;"0123456789"))</f>
        <v>18</v>
      </c>
      <c r="E73" s="40" t="str">
        <f>RIGHT(C73,LEN(C73)-D73+1)</f>
        <v/>
      </c>
      <c r="F73" s="42" t="str">
        <f>IFERROR(TRUNC(E73),"-")</f>
        <v>-</v>
      </c>
    </row>
    <row r="74" spans="2:6">
      <c r="B74" s="28" t="s">
        <v>335</v>
      </c>
      <c r="C74" s="27" t="str">
        <f>VLOOKUP($E$50,Data_V5!A:C,2,FALSE)</f>
        <v>Induct Rate {sum}</v>
      </c>
      <c r="D74" s="19">
        <f>MIN(FIND({0,1,2,3,4,5,6,7,8,9},C74&amp;"0123456789"))</f>
        <v>18</v>
      </c>
      <c r="E74" s="40" t="str">
        <f t="shared" ref="E74:E80" si="2">RIGHT(C74,LEN(C74)-D74+1)</f>
        <v/>
      </c>
      <c r="F74" s="42" t="str">
        <f t="shared" ref="F74:F80" si="3">IFERROR(TRUNC(E74),"-")</f>
        <v>-</v>
      </c>
    </row>
    <row r="75" spans="2:6">
      <c r="B75" s="28" t="s">
        <v>336</v>
      </c>
      <c r="C75" s="27" t="str">
        <f>VLOOKUP($E$50,Data_V6!A:C,2,FALSE)</f>
        <v>Induct Rate {sum}</v>
      </c>
      <c r="D75" s="19">
        <f>MIN(FIND({0,1,2,3,4,5,6,7,8,9},C75&amp;"0123456789"))</f>
        <v>18</v>
      </c>
      <c r="E75" s="40" t="str">
        <f t="shared" si="2"/>
        <v/>
      </c>
      <c r="F75" s="42" t="str">
        <f t="shared" si="3"/>
        <v>-</v>
      </c>
    </row>
    <row r="76" spans="2:6">
      <c r="B76" s="28" t="s">
        <v>337</v>
      </c>
      <c r="C76" s="27" t="str">
        <f>VLOOKUP($E$50,Data_V7!A:C,2,FALSE)</f>
        <v>Induct Rate {sum}</v>
      </c>
      <c r="D76" s="19">
        <f>MIN(FIND({0,1,2,3,4,5,6,7,8,9},C76&amp;"0123456789"))</f>
        <v>18</v>
      </c>
      <c r="E76" s="40" t="str">
        <f t="shared" si="2"/>
        <v/>
      </c>
      <c r="F76" s="42" t="str">
        <f t="shared" si="3"/>
        <v>-</v>
      </c>
    </row>
    <row r="77" spans="2:6">
      <c r="B77" s="28" t="s">
        <v>338</v>
      </c>
      <c r="C77" s="27" t="str">
        <f>VLOOKUP($E$50,Data_V8!A:C,2,FALSE)</f>
        <v>Induct Rate {sum}</v>
      </c>
      <c r="D77" s="19">
        <f>MIN(FIND({0,1,2,3,4,5,6,7,8,9},C77&amp;"0123456789"))</f>
        <v>18</v>
      </c>
      <c r="E77" s="40" t="str">
        <f t="shared" si="2"/>
        <v/>
      </c>
      <c r="F77" s="42" t="str">
        <f t="shared" si="3"/>
        <v>-</v>
      </c>
    </row>
    <row r="78" spans="2:6">
      <c r="B78" s="28" t="s">
        <v>339</v>
      </c>
      <c r="C78" s="27" t="str">
        <f>VLOOKUP($E$50,Data_V9!A:C,2,FALSE)</f>
        <v>Induct Rate {sum}</v>
      </c>
      <c r="D78" s="19">
        <f>MIN(FIND({0,1,2,3,4,5,6,7,8,9},C78&amp;"0123456789"))</f>
        <v>18</v>
      </c>
      <c r="E78" s="40" t="str">
        <f t="shared" si="2"/>
        <v/>
      </c>
      <c r="F78" s="42" t="str">
        <f t="shared" si="3"/>
        <v>-</v>
      </c>
    </row>
    <row r="79" spans="2:6">
      <c r="B79" s="28" t="s">
        <v>340</v>
      </c>
      <c r="C79" s="27" t="str">
        <f>VLOOKUP($E$50,Data_V10!A:C,2,FALSE)</f>
        <v>Induct Rate {sum}</v>
      </c>
      <c r="D79" s="19">
        <f>MIN(FIND({0,1,2,3,4,5,6,7,8,9},C79&amp;"0123456789"))</f>
        <v>18</v>
      </c>
      <c r="E79" s="40" t="str">
        <f t="shared" si="2"/>
        <v/>
      </c>
      <c r="F79" s="42" t="str">
        <f t="shared" si="3"/>
        <v>-</v>
      </c>
    </row>
    <row r="80" spans="2:6" ht="17.25" thickBot="1">
      <c r="B80" s="33" t="s">
        <v>341</v>
      </c>
      <c r="C80" s="34" t="str">
        <f>VLOOKUP($E$50,Data_V11!A:C,2,FALSE)</f>
        <v>Induct Rate {sum}</v>
      </c>
      <c r="D80" s="21">
        <f>MIN(FIND({0,1,2,3,4,5,6,7,8,9},C80&amp;"0123456789"))</f>
        <v>18</v>
      </c>
      <c r="E80" s="41" t="str">
        <f t="shared" si="2"/>
        <v/>
      </c>
      <c r="F80" s="43" t="str">
        <f t="shared" si="3"/>
        <v>-</v>
      </c>
    </row>
    <row r="82" spans="2:7" ht="17.25" thickBot="1"/>
    <row r="83" spans="2:7">
      <c r="B83" s="44" t="s">
        <v>357</v>
      </c>
      <c r="C83" s="45"/>
      <c r="D83" s="45"/>
      <c r="E83" s="45"/>
      <c r="F83" s="52"/>
      <c r="G83" s="46"/>
    </row>
    <row r="84" spans="2:7">
      <c r="B84" s="47" t="s">
        <v>347</v>
      </c>
      <c r="C84" s="48" t="str">
        <f>VLOOKUP($E$50,Data_V12!A:G,5,FALSE)</f>
        <v>Successful Scans: {sum}</v>
      </c>
      <c r="D84" s="49">
        <f>MIN(FIND({0,1,2,3,4,5,6,7,8,9},$C84&amp;"0123456789"))</f>
        <v>24</v>
      </c>
      <c r="E84" s="53" t="str">
        <f>RIGHT($C84,LEN($C84)-$D84+1)</f>
        <v/>
      </c>
      <c r="F84" s="58" t="str">
        <f>IFERROR(TRUNC($E84),"-")</f>
        <v>-</v>
      </c>
      <c r="G84" s="56"/>
    </row>
    <row r="85" spans="2:7">
      <c r="B85" s="47" t="s">
        <v>348</v>
      </c>
      <c r="C85" s="48" t="str">
        <f>VLOOKUP($E$50,Data_V12!A:G,6,FALSE)</f>
        <v>Total Jackpots: {sum}</v>
      </c>
      <c r="D85" s="49">
        <f>MIN(FIND({0,1,2,3,4,5,6,7,8,9},$C85&amp;"0123456789"))</f>
        <v>22</v>
      </c>
      <c r="E85" s="53" t="str">
        <f t="shared" ref="E85:E87" si="4">RIGHT($C85,LEN($C85)-$D85+1)</f>
        <v/>
      </c>
      <c r="F85" s="58" t="str">
        <f t="shared" ref="F85:F87" si="5">IFERROR(TRUNC($E85),"-")</f>
        <v>-</v>
      </c>
      <c r="G85" s="57">
        <f>IFERROR((F85/F84)*100,0)</f>
        <v>0</v>
      </c>
    </row>
    <row r="86" spans="2:7">
      <c r="B86" s="47" t="s">
        <v>349</v>
      </c>
      <c r="C86" s="48" t="str">
        <f>VLOOKUP($E$50,Data_V12!A:G,4,FALSE)</f>
        <v>Recirculation Total: {sum}</v>
      </c>
      <c r="D86" s="49">
        <f>MIN(FIND({0,1,2,3,4,5,6,7,8,9},$C86&amp;"0123456789"))</f>
        <v>27</v>
      </c>
      <c r="E86" s="53" t="str">
        <f t="shared" si="4"/>
        <v/>
      </c>
      <c r="F86" s="58" t="str">
        <f t="shared" si="5"/>
        <v>-</v>
      </c>
      <c r="G86" s="57">
        <f>IFERROR((F86/F84)*100,0)</f>
        <v>0</v>
      </c>
    </row>
    <row r="87" spans="2:7" ht="17.25" thickBot="1">
      <c r="B87" s="55" t="s">
        <v>350</v>
      </c>
      <c r="C87" s="50" t="str">
        <f>VLOOKUP($E$50,Data_V12!A:G,3,FALSE)</f>
        <v>First Pass Yield (FPY): {sum}</v>
      </c>
      <c r="D87" s="51">
        <f>MIN(FIND({0,1,2,3,4,5,6,7,8,9},$C87&amp;"0123456789"))</f>
        <v>30</v>
      </c>
      <c r="E87" s="54" t="str">
        <f t="shared" si="4"/>
        <v/>
      </c>
      <c r="F87" s="58" t="str">
        <f t="shared" si="5"/>
        <v>-</v>
      </c>
      <c r="G87" s="57">
        <f>IFERROR((F87/F84)*100,0)</f>
        <v>0</v>
      </c>
    </row>
    <row r="89" spans="2:7">
      <c r="C89" s="61" t="s">
        <v>379</v>
      </c>
    </row>
    <row r="90" spans="2:7">
      <c r="B90" t="s">
        <v>6</v>
      </c>
      <c r="C90" s="62" t="s">
        <v>894</v>
      </c>
    </row>
    <row r="91" spans="2:7">
      <c r="B91" t="s">
        <v>361</v>
      </c>
      <c r="C91">
        <f>SUMIF(PPR!B:B,Base!B91,PPR!K:K)</f>
        <v>0</v>
      </c>
      <c r="G91" s="63" t="s">
        <v>380</v>
      </c>
    </row>
    <row r="92" spans="2:7">
      <c r="B92" t="s">
        <v>362</v>
      </c>
      <c r="C92">
        <f>SUMIF(PPR!B:B,Base!B92,PPR!K:K)</f>
        <v>0</v>
      </c>
      <c r="G92" s="63" t="s">
        <v>894</v>
      </c>
    </row>
    <row r="93" spans="2:7">
      <c r="B93" t="s">
        <v>43</v>
      </c>
      <c r="C93">
        <f>SUMIF(PPR!B:B,Base!B93,PPR!K:K)</f>
        <v>0</v>
      </c>
    </row>
    <row r="94" spans="2:7">
      <c r="B94" t="s">
        <v>34</v>
      </c>
      <c r="C94">
        <f>SUMIF(PPR!B:B,Base!B94,PPR!K:K)</f>
        <v>14.989999999999998</v>
      </c>
      <c r="D94" t="s">
        <v>40</v>
      </c>
    </row>
    <row r="95" spans="2:7">
      <c r="B95" t="s">
        <v>35</v>
      </c>
      <c r="C95">
        <f>SUMIF(PPR!B:B,Base!B95,PPR!K:K)</f>
        <v>3</v>
      </c>
    </row>
    <row r="96" spans="2:7">
      <c r="B96" t="s">
        <v>41</v>
      </c>
      <c r="C96">
        <f>SUMIF(PPR!B:B,Base!B96,PPR!K:K)</f>
        <v>3.4799999999999995</v>
      </c>
    </row>
    <row r="97" spans="2:11">
      <c r="B97" t="s">
        <v>48</v>
      </c>
      <c r="C97">
        <f>SUMIF(PPR!B:B,Base!B97,PPR!K:K)</f>
        <v>0.11</v>
      </c>
    </row>
    <row r="98" spans="2:11">
      <c r="B98" t="s">
        <v>363</v>
      </c>
      <c r="C98">
        <f>SUMIF(PPR!B:B,Base!B98,PPR!K:K)</f>
        <v>0</v>
      </c>
      <c r="I98" t="s">
        <v>43</v>
      </c>
      <c r="J98" t="s">
        <v>32</v>
      </c>
      <c r="K98" s="27">
        <f>SUMIFS(PPR!M:M,PPR!B:B,Base!I$98,PPR!$E:$E,Base!J$98)</f>
        <v>7926</v>
      </c>
    </row>
    <row r="99" spans="2:11">
      <c r="B99" t="s">
        <v>364</v>
      </c>
      <c r="C99">
        <f>SUMIF(PPR!B:B,Base!B99,PPR!K:K)</f>
        <v>0</v>
      </c>
      <c r="I99" t="s">
        <v>43</v>
      </c>
      <c r="J99" t="s">
        <v>33</v>
      </c>
      <c r="K99">
        <f>SUMIF(PPR!B:B,Base!I99,PPR!M:M)</f>
        <v>7926</v>
      </c>
    </row>
    <row r="100" spans="2:11">
      <c r="B100" t="s">
        <v>46</v>
      </c>
      <c r="C100">
        <f>SUMIF(PPR!B:B,Base!B100,PPR!K:K)</f>
        <v>6.839999999999999</v>
      </c>
      <c r="I100" t="s">
        <v>381</v>
      </c>
      <c r="K100">
        <f>K99-K98</f>
        <v>0</v>
      </c>
    </row>
    <row r="101" spans="2:11">
      <c r="B101" t="s">
        <v>360</v>
      </c>
      <c r="C101">
        <f>SUMIF(PPR!B:B,Base!B101,PPR!K:K)</f>
        <v>0</v>
      </c>
    </row>
    <row r="102" spans="2:11">
      <c r="B102" t="s">
        <v>365</v>
      </c>
      <c r="C102">
        <f>SUMIF(PPR!B:B,Base!B102,PPR!K:K)</f>
        <v>0</v>
      </c>
      <c r="I102" t="s">
        <v>34</v>
      </c>
      <c r="J102" t="s">
        <v>32</v>
      </c>
      <c r="K102" s="27">
        <f>SUMIFS(PPR!M:M,PPR!B:B,Base!I$102,PPR!$E:$E,Base!J$102)</f>
        <v>4345</v>
      </c>
    </row>
    <row r="103" spans="2:11">
      <c r="B103" t="s">
        <v>366</v>
      </c>
      <c r="C103">
        <f>SUMIF(PPR!B:B,Base!B103,PPR!K:K)</f>
        <v>0</v>
      </c>
      <c r="I103" t="s">
        <v>34</v>
      </c>
      <c r="K103">
        <f>SUMIF(PPR!B:B,Base!I103,PPR!M:M)</f>
        <v>4374</v>
      </c>
    </row>
    <row r="104" spans="2:11">
      <c r="B104" t="s">
        <v>367</v>
      </c>
      <c r="C104">
        <f>SUMIF(PPR!B:B,Base!B104,PPR!K:K)</f>
        <v>0</v>
      </c>
      <c r="I104" t="s">
        <v>381</v>
      </c>
      <c r="K104">
        <f>K103-K102</f>
        <v>29</v>
      </c>
    </row>
    <row r="105" spans="2:11">
      <c r="B105" t="s">
        <v>368</v>
      </c>
      <c r="C105">
        <f>SUMIF(PPR!B:B,Base!B105,PPR!K:K)</f>
        <v>0</v>
      </c>
    </row>
    <row r="106" spans="2:11">
      <c r="B106" t="s">
        <v>345</v>
      </c>
      <c r="C106">
        <f>SUMIF(PPR!B:B,Base!B106,PPR!K:K)</f>
        <v>0</v>
      </c>
      <c r="D106" t="s">
        <v>377</v>
      </c>
      <c r="E106" t="s">
        <v>378</v>
      </c>
      <c r="F106" t="s">
        <v>33</v>
      </c>
      <c r="I106" t="s">
        <v>33</v>
      </c>
      <c r="K106">
        <f>K104+K100</f>
        <v>29</v>
      </c>
    </row>
    <row r="107" spans="2:11">
      <c r="B107" t="s">
        <v>369</v>
      </c>
      <c r="C107">
        <f>SUMIF(PPR!B:B,Base!B107,PPR!K:K)</f>
        <v>0</v>
      </c>
    </row>
    <row r="108" spans="2:11">
      <c r="B108" t="s">
        <v>346</v>
      </c>
      <c r="C108">
        <f>SUMIF(PPR!B:B,Base!B108,PPR!K:K)</f>
        <v>0</v>
      </c>
      <c r="I108" t="s">
        <v>382</v>
      </c>
      <c r="K108" s="64">
        <f>IFERROR((K100/K106)*100,0)</f>
        <v>0</v>
      </c>
    </row>
    <row r="109" spans="2:11">
      <c r="B109" t="s">
        <v>370</v>
      </c>
      <c r="C109">
        <f>SUMIF(PPR!B:B,Base!B109,PPR!K:K)</f>
        <v>0</v>
      </c>
      <c r="I109" t="s">
        <v>383</v>
      </c>
      <c r="K109" s="64">
        <f>IFERROR((K104/K106)*100,0)</f>
        <v>100</v>
      </c>
    </row>
    <row r="110" spans="2:11">
      <c r="B110" t="s">
        <v>358</v>
      </c>
      <c r="C110">
        <f>SUMIF(PPR!B:B,Base!B110,PPR!K:K)</f>
        <v>1.5</v>
      </c>
    </row>
    <row r="111" spans="2:11">
      <c r="B111" t="s">
        <v>371</v>
      </c>
      <c r="C111">
        <f>SUMIF(PPR!B:B,Base!B111,PPR!K:K)</f>
        <v>0</v>
      </c>
    </row>
    <row r="112" spans="2:11">
      <c r="B112" t="s">
        <v>372</v>
      </c>
      <c r="C112">
        <f>SUMIF(PPR!B:B,Base!B112,PPR!K:K)</f>
        <v>1.37</v>
      </c>
    </row>
    <row r="113" spans="1:3">
      <c r="B113" t="s">
        <v>373</v>
      </c>
      <c r="C113">
        <f>SUMIF(PPR!B:B,Base!B113,PPR!K:K)</f>
        <v>0</v>
      </c>
    </row>
    <row r="114" spans="1:3">
      <c r="B114" t="s">
        <v>374</v>
      </c>
      <c r="C114">
        <f>SUMIF(PPR!B:B,Base!B114,PPR!K:K)</f>
        <v>0</v>
      </c>
    </row>
    <row r="115" spans="1:3">
      <c r="B115" t="s">
        <v>375</v>
      </c>
      <c r="C115">
        <f>SUMIF(PPR!B:B,Base!B115,PPR!K:K)</f>
        <v>0</v>
      </c>
    </row>
    <row r="116" spans="1:3">
      <c r="B116" t="s">
        <v>376</v>
      </c>
      <c r="C116">
        <f>SUMIF(PPR!B:B,Base!B116,PPR!K:K)</f>
        <v>0</v>
      </c>
    </row>
    <row r="117" spans="1:3">
      <c r="B117" t="s">
        <v>36</v>
      </c>
      <c r="C117">
        <f>SUM(C91:C116)</f>
        <v>31.29</v>
      </c>
    </row>
    <row r="121" spans="1:3">
      <c r="A121" s="11" t="s">
        <v>384</v>
      </c>
      <c r="B121" s="80" t="str">
        <f ca="1">"https://fclm-portal.amazon.com/reports/processPathRollup?reportFormat=HTML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HTML&amp;warehouseId=PSP1&amp;maxIntradayDays=1&amp;spanType=Intraday&amp;startDateIntraday=2021%2F04%2F15&amp;startHourIntraday=15&amp;startMinuteIntraday=0&amp;endDateIntraday=2021%2F04%2F15&amp;endHourIntraday=16&amp;endMinuteIntraday=0&amp;_adjustPlanHours=on&amp;_hideEmptyLineItems=on&amp;employmentType=AllEmployees</v>
      </c>
    </row>
    <row r="122" spans="1:3">
      <c r="A122" s="11" t="s">
        <v>385</v>
      </c>
      <c r="B122" s="80" t="str">
        <f ca="1">"https://fclm-portal.amazon.com/reports/processPathRollup?reportFormat=CSV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CSV&amp;warehouseId=PSP1&amp;maxIntradayDays=1&amp;spanType=Intraday&amp;startDateIntraday=2021%2F04%2F15&amp;startHourIntraday=15&amp;startMinuteIntraday=0&amp;endDateIntraday=2021%2F04%2F15&amp;endHourIntraday=16&amp;endMinuteIntraday=0&amp;_adjustPlanHours=on&amp;_hideEmptyLineItems=on&amp;employmentType=AllEmployees</v>
      </c>
    </row>
    <row r="124" spans="1:3">
      <c r="B124" t="s">
        <v>668</v>
      </c>
      <c r="C124">
        <f>IFERROR(VLOOKUP(B124,PPR_V2!D:H,5,FALSE),"-")</f>
        <v>10675</v>
      </c>
    </row>
    <row r="125" spans="1:3">
      <c r="B125" t="s">
        <v>897</v>
      </c>
    </row>
    <row r="126" spans="1:3">
      <c r="A126" s="11" t="s">
        <v>802</v>
      </c>
      <c r="B126" t="str">
        <f ca="1">CONCATENATE(B125,H7,B121,I7)</f>
        <v>Link to [Ship Dock PPR](https://fclm-portal.amazon.com/reports/processPathRollup?reportFormat=HTML&amp;warehouseId=PSP1&amp;maxIntradayDays=1&amp;spanType=Intraday&amp;startDateIntraday=2021%2F04%2F15&amp;startHourIntraday=15&amp;startMinuteIntraday=0&amp;endDateIntraday=2021%2F04%2F15&amp;endHourIntraday=16&amp;endMinuteIntraday=0&amp;_adjustPlanHours=on&amp;_hideEmptyLineItems=on&amp;employmentType=AllEmployees)</v>
      </c>
    </row>
    <row r="128" spans="1:3">
      <c r="B128" t="s">
        <v>803</v>
      </c>
      <c r="C128" t="s">
        <v>894</v>
      </c>
    </row>
    <row r="129" spans="2:3">
      <c r="B129" t="s">
        <v>804</v>
      </c>
      <c r="C129" t="s">
        <v>894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4"/>
  <sheetViews>
    <sheetView workbookViewId="0">
      <selection sqref="A1:A1048576"/>
    </sheetView>
  </sheetViews>
  <sheetFormatPr defaultRowHeight="16.5"/>
  <cols>
    <col min="1" max="1" width="12.7109375" bestFit="1" customWidth="1"/>
    <col min="2" max="2" width="15.42578125" bestFit="1" customWidth="1"/>
  </cols>
  <sheetData>
    <row r="1" spans="1:18">
      <c r="A1" s="12" t="s">
        <v>5</v>
      </c>
      <c r="B1" t="s">
        <v>6</v>
      </c>
      <c r="C1" t="s">
        <v>7</v>
      </c>
      <c r="D1" t="s">
        <v>8</v>
      </c>
      <c r="E1" t="s">
        <v>1</v>
      </c>
      <c r="F1" t="s">
        <v>2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0</v>
      </c>
      <c r="Q1" t="s">
        <v>18</v>
      </c>
      <c r="R1" t="s">
        <v>19</v>
      </c>
    </row>
    <row r="2" spans="1:18">
      <c r="A2" s="12" t="s">
        <v>31</v>
      </c>
      <c r="B2" t="s">
        <v>43</v>
      </c>
      <c r="C2" t="s">
        <v>3</v>
      </c>
      <c r="D2">
        <v>0</v>
      </c>
      <c r="E2" t="s">
        <v>32</v>
      </c>
      <c r="F2" t="s">
        <v>32</v>
      </c>
      <c r="G2">
        <v>0</v>
      </c>
      <c r="H2">
        <v>0</v>
      </c>
      <c r="I2">
        <v>0</v>
      </c>
      <c r="J2">
        <v>0</v>
      </c>
      <c r="K2">
        <v>0</v>
      </c>
      <c r="L2" t="s">
        <v>39</v>
      </c>
      <c r="M2">
        <v>7926</v>
      </c>
      <c r="N2">
        <v>0</v>
      </c>
      <c r="O2" t="s">
        <v>40</v>
      </c>
      <c r="P2" t="s">
        <v>33</v>
      </c>
      <c r="Q2">
        <v>7926</v>
      </c>
      <c r="R2">
        <v>0</v>
      </c>
    </row>
    <row r="3" spans="1:18">
      <c r="A3" s="12" t="s">
        <v>31</v>
      </c>
      <c r="B3" t="s">
        <v>34</v>
      </c>
      <c r="C3" t="s">
        <v>3</v>
      </c>
      <c r="D3">
        <v>0</v>
      </c>
      <c r="E3" t="s">
        <v>32</v>
      </c>
      <c r="F3" t="s">
        <v>32</v>
      </c>
      <c r="G3">
        <v>0</v>
      </c>
      <c r="H3">
        <v>0</v>
      </c>
      <c r="I3">
        <v>0</v>
      </c>
      <c r="J3">
        <v>0</v>
      </c>
      <c r="K3">
        <v>0</v>
      </c>
      <c r="L3" t="s">
        <v>39</v>
      </c>
      <c r="M3">
        <v>4345</v>
      </c>
      <c r="N3">
        <v>0</v>
      </c>
      <c r="O3" t="s">
        <v>40</v>
      </c>
      <c r="P3" t="s">
        <v>33</v>
      </c>
      <c r="Q3">
        <v>4345</v>
      </c>
      <c r="R3">
        <v>0</v>
      </c>
    </row>
    <row r="4" spans="1:18">
      <c r="A4" s="12" t="s">
        <v>31</v>
      </c>
      <c r="B4" t="s">
        <v>34</v>
      </c>
      <c r="C4" t="s">
        <v>3</v>
      </c>
      <c r="D4">
        <v>100051695</v>
      </c>
      <c r="E4" t="s">
        <v>921</v>
      </c>
      <c r="F4" t="s">
        <v>889</v>
      </c>
      <c r="G4">
        <v>0</v>
      </c>
      <c r="H4">
        <v>0</v>
      </c>
      <c r="I4">
        <v>0</v>
      </c>
      <c r="J4">
        <v>0</v>
      </c>
      <c r="K4">
        <v>0.72</v>
      </c>
      <c r="L4" t="s">
        <v>39</v>
      </c>
      <c r="M4">
        <v>0</v>
      </c>
      <c r="N4">
        <v>0</v>
      </c>
      <c r="O4" t="s">
        <v>40</v>
      </c>
      <c r="P4" t="s">
        <v>33</v>
      </c>
      <c r="Q4">
        <v>0</v>
      </c>
      <c r="R4">
        <v>0</v>
      </c>
    </row>
    <row r="5" spans="1:18">
      <c r="A5" s="12" t="s">
        <v>31</v>
      </c>
      <c r="B5" t="s">
        <v>34</v>
      </c>
      <c r="C5" t="s">
        <v>3</v>
      </c>
      <c r="D5">
        <v>100072946</v>
      </c>
      <c r="E5" t="s">
        <v>935</v>
      </c>
      <c r="F5" t="s">
        <v>890</v>
      </c>
      <c r="G5">
        <v>0</v>
      </c>
      <c r="H5">
        <v>0</v>
      </c>
      <c r="I5">
        <v>0</v>
      </c>
      <c r="J5">
        <v>0</v>
      </c>
      <c r="K5">
        <v>0.5</v>
      </c>
      <c r="L5" t="s">
        <v>39</v>
      </c>
      <c r="M5">
        <v>0</v>
      </c>
      <c r="N5">
        <v>0</v>
      </c>
      <c r="O5" t="s">
        <v>40</v>
      </c>
      <c r="P5" t="s">
        <v>33</v>
      </c>
      <c r="Q5">
        <v>0</v>
      </c>
      <c r="R5">
        <v>0</v>
      </c>
    </row>
    <row r="6" spans="1:18">
      <c r="A6" s="12" t="s">
        <v>31</v>
      </c>
      <c r="B6" t="s">
        <v>34</v>
      </c>
      <c r="C6" t="s">
        <v>3</v>
      </c>
      <c r="D6">
        <v>100133148</v>
      </c>
      <c r="E6" t="s">
        <v>912</v>
      </c>
      <c r="F6" t="s">
        <v>890</v>
      </c>
      <c r="G6">
        <v>0</v>
      </c>
      <c r="H6">
        <v>0</v>
      </c>
      <c r="I6">
        <v>0</v>
      </c>
      <c r="J6">
        <v>0</v>
      </c>
      <c r="K6">
        <v>0.83</v>
      </c>
      <c r="L6" t="s">
        <v>39</v>
      </c>
      <c r="M6">
        <v>0</v>
      </c>
      <c r="N6">
        <v>0</v>
      </c>
      <c r="O6" t="s">
        <v>40</v>
      </c>
      <c r="P6" t="s">
        <v>33</v>
      </c>
      <c r="Q6">
        <v>0</v>
      </c>
      <c r="R6">
        <v>0</v>
      </c>
    </row>
    <row r="7" spans="1:18">
      <c r="A7" s="12" t="s">
        <v>31</v>
      </c>
      <c r="B7" t="s">
        <v>34</v>
      </c>
      <c r="C7" t="s">
        <v>3</v>
      </c>
      <c r="D7">
        <v>102877255</v>
      </c>
      <c r="E7" t="s">
        <v>926</v>
      </c>
      <c r="F7" t="s">
        <v>889</v>
      </c>
      <c r="G7">
        <v>0</v>
      </c>
      <c r="H7">
        <v>0</v>
      </c>
      <c r="I7">
        <v>0</v>
      </c>
      <c r="J7">
        <v>0</v>
      </c>
      <c r="K7">
        <v>0.56999999999999995</v>
      </c>
      <c r="L7" t="s">
        <v>39</v>
      </c>
      <c r="M7">
        <v>0</v>
      </c>
      <c r="N7">
        <v>0</v>
      </c>
      <c r="O7" t="s">
        <v>40</v>
      </c>
      <c r="P7" t="s">
        <v>33</v>
      </c>
      <c r="Q7">
        <v>0</v>
      </c>
      <c r="R7">
        <v>0</v>
      </c>
    </row>
    <row r="8" spans="1:18">
      <c r="A8" s="12" t="s">
        <v>31</v>
      </c>
      <c r="B8" t="s">
        <v>34</v>
      </c>
      <c r="C8" t="s">
        <v>3</v>
      </c>
      <c r="D8">
        <v>103347167</v>
      </c>
      <c r="E8" t="s">
        <v>936</v>
      </c>
      <c r="F8" t="s">
        <v>889</v>
      </c>
      <c r="G8">
        <v>0</v>
      </c>
      <c r="H8">
        <v>0</v>
      </c>
      <c r="I8">
        <v>0</v>
      </c>
      <c r="J8">
        <v>0</v>
      </c>
      <c r="K8">
        <v>1</v>
      </c>
      <c r="L8" t="s">
        <v>39</v>
      </c>
      <c r="M8">
        <v>0</v>
      </c>
      <c r="N8">
        <v>0</v>
      </c>
      <c r="O8" t="s">
        <v>40</v>
      </c>
      <c r="P8" t="s">
        <v>33</v>
      </c>
      <c r="Q8">
        <v>0</v>
      </c>
      <c r="R8">
        <v>0</v>
      </c>
    </row>
    <row r="9" spans="1:18">
      <c r="A9" s="12" t="s">
        <v>31</v>
      </c>
      <c r="B9" t="s">
        <v>34</v>
      </c>
      <c r="C9" t="s">
        <v>3</v>
      </c>
      <c r="D9">
        <v>103475241</v>
      </c>
      <c r="E9" t="s">
        <v>905</v>
      </c>
      <c r="F9" t="s">
        <v>889</v>
      </c>
      <c r="G9">
        <v>0</v>
      </c>
      <c r="H9">
        <v>0</v>
      </c>
      <c r="I9">
        <v>0</v>
      </c>
      <c r="J9">
        <v>0</v>
      </c>
      <c r="K9">
        <v>0.39</v>
      </c>
      <c r="L9" t="s">
        <v>39</v>
      </c>
      <c r="M9">
        <v>0</v>
      </c>
      <c r="N9">
        <v>0</v>
      </c>
      <c r="O9" t="s">
        <v>40</v>
      </c>
      <c r="P9" t="s">
        <v>33</v>
      </c>
      <c r="Q9">
        <v>0</v>
      </c>
      <c r="R9">
        <v>0</v>
      </c>
    </row>
    <row r="10" spans="1:18">
      <c r="A10" s="12" t="s">
        <v>31</v>
      </c>
      <c r="B10" t="s">
        <v>34</v>
      </c>
      <c r="C10" t="s">
        <v>3</v>
      </c>
      <c r="D10">
        <v>103646413</v>
      </c>
      <c r="E10" t="s">
        <v>942</v>
      </c>
      <c r="F10" t="s">
        <v>889</v>
      </c>
      <c r="G10">
        <v>0</v>
      </c>
      <c r="H10">
        <v>0</v>
      </c>
      <c r="I10">
        <v>0</v>
      </c>
      <c r="J10">
        <v>0</v>
      </c>
      <c r="K10">
        <v>0.83</v>
      </c>
      <c r="L10" t="s">
        <v>39</v>
      </c>
      <c r="M10">
        <v>0</v>
      </c>
      <c r="N10">
        <v>0</v>
      </c>
      <c r="O10" t="s">
        <v>40</v>
      </c>
      <c r="P10" t="s">
        <v>33</v>
      </c>
      <c r="Q10">
        <v>0</v>
      </c>
      <c r="R10">
        <v>0</v>
      </c>
    </row>
    <row r="11" spans="1:18">
      <c r="A11" s="12" t="s">
        <v>31</v>
      </c>
      <c r="B11" t="s">
        <v>34</v>
      </c>
      <c r="C11" t="s">
        <v>3</v>
      </c>
      <c r="D11">
        <v>106398693</v>
      </c>
      <c r="E11" t="s">
        <v>928</v>
      </c>
      <c r="F11" t="s">
        <v>902</v>
      </c>
      <c r="G11">
        <v>0</v>
      </c>
      <c r="H11">
        <v>0</v>
      </c>
      <c r="I11">
        <v>0</v>
      </c>
      <c r="J11">
        <v>0</v>
      </c>
      <c r="K11">
        <v>0.3</v>
      </c>
      <c r="L11" t="s">
        <v>39</v>
      </c>
      <c r="M11">
        <v>0</v>
      </c>
      <c r="N11">
        <v>0</v>
      </c>
      <c r="O11" t="s">
        <v>40</v>
      </c>
      <c r="P11" t="s">
        <v>33</v>
      </c>
      <c r="Q11">
        <v>0</v>
      </c>
      <c r="R11">
        <v>0</v>
      </c>
    </row>
    <row r="12" spans="1:18">
      <c r="A12" s="12" t="s">
        <v>31</v>
      </c>
      <c r="B12" t="s">
        <v>34</v>
      </c>
      <c r="C12" t="s">
        <v>3</v>
      </c>
      <c r="D12">
        <v>107355100</v>
      </c>
      <c r="E12" t="s">
        <v>938</v>
      </c>
      <c r="F12" t="s">
        <v>889</v>
      </c>
      <c r="G12">
        <v>0</v>
      </c>
      <c r="H12">
        <v>0</v>
      </c>
      <c r="I12">
        <v>0</v>
      </c>
      <c r="J12">
        <v>0</v>
      </c>
      <c r="K12">
        <v>0.67</v>
      </c>
      <c r="L12" t="s">
        <v>39</v>
      </c>
      <c r="M12">
        <v>0</v>
      </c>
      <c r="N12">
        <v>0</v>
      </c>
      <c r="O12" t="s">
        <v>40</v>
      </c>
      <c r="P12" t="s">
        <v>33</v>
      </c>
      <c r="Q12">
        <v>0</v>
      </c>
      <c r="R12">
        <v>0</v>
      </c>
    </row>
    <row r="13" spans="1:18">
      <c r="A13" s="12" t="s">
        <v>31</v>
      </c>
      <c r="B13" t="s">
        <v>34</v>
      </c>
      <c r="C13" t="s">
        <v>3</v>
      </c>
      <c r="D13">
        <v>108626529</v>
      </c>
      <c r="E13" t="s">
        <v>920</v>
      </c>
      <c r="F13" t="s">
        <v>890</v>
      </c>
      <c r="G13">
        <v>0</v>
      </c>
      <c r="H13">
        <v>0</v>
      </c>
      <c r="I13">
        <v>0</v>
      </c>
      <c r="J13">
        <v>0</v>
      </c>
      <c r="K13">
        <v>0.94</v>
      </c>
      <c r="L13" t="s">
        <v>39</v>
      </c>
      <c r="M13">
        <v>0</v>
      </c>
      <c r="N13">
        <v>0</v>
      </c>
      <c r="O13" t="s">
        <v>40</v>
      </c>
      <c r="P13" t="s">
        <v>33</v>
      </c>
      <c r="Q13">
        <v>0</v>
      </c>
      <c r="R13">
        <v>0</v>
      </c>
    </row>
    <row r="14" spans="1:18">
      <c r="A14" s="12" t="s">
        <v>31</v>
      </c>
      <c r="B14" t="s">
        <v>34</v>
      </c>
      <c r="C14" t="s">
        <v>3</v>
      </c>
      <c r="D14">
        <v>108836849</v>
      </c>
      <c r="E14" t="s">
        <v>932</v>
      </c>
      <c r="F14" t="s">
        <v>890</v>
      </c>
      <c r="G14">
        <v>0</v>
      </c>
      <c r="H14">
        <v>0</v>
      </c>
      <c r="I14">
        <v>0</v>
      </c>
      <c r="J14">
        <v>0</v>
      </c>
      <c r="K14">
        <v>1</v>
      </c>
      <c r="L14" t="s">
        <v>39</v>
      </c>
      <c r="M14">
        <v>0</v>
      </c>
      <c r="N14">
        <v>0</v>
      </c>
      <c r="O14" t="s">
        <v>40</v>
      </c>
      <c r="P14" t="s">
        <v>33</v>
      </c>
      <c r="Q14">
        <v>0</v>
      </c>
      <c r="R14">
        <v>0</v>
      </c>
    </row>
    <row r="15" spans="1:18">
      <c r="A15" s="12" t="s">
        <v>31</v>
      </c>
      <c r="B15" t="s">
        <v>34</v>
      </c>
      <c r="C15" t="s">
        <v>3</v>
      </c>
      <c r="D15">
        <v>108837145</v>
      </c>
      <c r="E15" t="s">
        <v>939</v>
      </c>
      <c r="F15" t="s">
        <v>890</v>
      </c>
      <c r="G15">
        <v>0</v>
      </c>
      <c r="H15">
        <v>0</v>
      </c>
      <c r="I15">
        <v>0</v>
      </c>
      <c r="J15">
        <v>0</v>
      </c>
      <c r="K15">
        <v>1</v>
      </c>
      <c r="L15" t="s">
        <v>39</v>
      </c>
      <c r="M15">
        <v>0</v>
      </c>
      <c r="N15">
        <v>0</v>
      </c>
      <c r="O15" t="s">
        <v>40</v>
      </c>
      <c r="P15" t="s">
        <v>33</v>
      </c>
      <c r="Q15">
        <v>0</v>
      </c>
      <c r="R15">
        <v>0</v>
      </c>
    </row>
    <row r="16" spans="1:18">
      <c r="A16" s="12" t="s">
        <v>31</v>
      </c>
      <c r="B16" t="s">
        <v>34</v>
      </c>
      <c r="C16" t="s">
        <v>3</v>
      </c>
      <c r="D16">
        <v>108919972</v>
      </c>
      <c r="E16" t="s">
        <v>922</v>
      </c>
      <c r="F16" t="s">
        <v>889</v>
      </c>
      <c r="G16">
        <v>0</v>
      </c>
      <c r="H16">
        <v>0</v>
      </c>
      <c r="I16">
        <v>0</v>
      </c>
      <c r="J16">
        <v>0</v>
      </c>
      <c r="K16">
        <v>0.3</v>
      </c>
      <c r="L16" t="s">
        <v>39</v>
      </c>
      <c r="M16">
        <v>0</v>
      </c>
      <c r="N16">
        <v>0</v>
      </c>
      <c r="O16" t="s">
        <v>40</v>
      </c>
      <c r="P16" t="s">
        <v>33</v>
      </c>
      <c r="Q16">
        <v>0</v>
      </c>
      <c r="R16">
        <v>0</v>
      </c>
    </row>
    <row r="17" spans="1:18">
      <c r="A17" s="12" t="s">
        <v>31</v>
      </c>
      <c r="B17" t="s">
        <v>34</v>
      </c>
      <c r="C17" t="s">
        <v>3</v>
      </c>
      <c r="D17">
        <v>108988707</v>
      </c>
      <c r="E17" t="s">
        <v>891</v>
      </c>
      <c r="F17" t="s">
        <v>902</v>
      </c>
      <c r="G17">
        <v>0</v>
      </c>
      <c r="H17">
        <v>0</v>
      </c>
      <c r="I17">
        <v>0</v>
      </c>
      <c r="J17">
        <v>0</v>
      </c>
      <c r="K17">
        <v>1</v>
      </c>
      <c r="L17" t="s">
        <v>39</v>
      </c>
      <c r="M17">
        <v>0</v>
      </c>
      <c r="N17">
        <v>0</v>
      </c>
      <c r="O17" t="s">
        <v>40</v>
      </c>
      <c r="P17" t="s">
        <v>33</v>
      </c>
      <c r="Q17">
        <v>0</v>
      </c>
      <c r="R17">
        <v>0</v>
      </c>
    </row>
    <row r="18" spans="1:18">
      <c r="A18" s="12" t="s">
        <v>31</v>
      </c>
      <c r="B18" t="s">
        <v>34</v>
      </c>
      <c r="C18" t="s">
        <v>3</v>
      </c>
      <c r="D18">
        <v>109011683</v>
      </c>
      <c r="E18" t="s">
        <v>927</v>
      </c>
      <c r="F18" t="s">
        <v>902</v>
      </c>
      <c r="G18">
        <v>0</v>
      </c>
      <c r="H18">
        <v>0</v>
      </c>
      <c r="I18">
        <v>0</v>
      </c>
      <c r="J18">
        <v>0</v>
      </c>
      <c r="K18">
        <v>0.41</v>
      </c>
      <c r="L18" t="s">
        <v>39</v>
      </c>
      <c r="M18">
        <v>0</v>
      </c>
      <c r="N18">
        <v>0</v>
      </c>
      <c r="O18" t="s">
        <v>40</v>
      </c>
      <c r="P18" t="s">
        <v>33</v>
      </c>
      <c r="Q18">
        <v>0</v>
      </c>
      <c r="R18">
        <v>0</v>
      </c>
    </row>
    <row r="19" spans="1:18">
      <c r="A19" s="12" t="s">
        <v>31</v>
      </c>
      <c r="B19" t="s">
        <v>34</v>
      </c>
      <c r="C19" t="s">
        <v>3</v>
      </c>
      <c r="D19">
        <v>109139175</v>
      </c>
      <c r="E19" t="s">
        <v>917</v>
      </c>
      <c r="F19" t="s">
        <v>890</v>
      </c>
      <c r="G19">
        <v>0</v>
      </c>
      <c r="H19">
        <v>0</v>
      </c>
      <c r="I19">
        <v>0</v>
      </c>
      <c r="J19">
        <v>0</v>
      </c>
      <c r="K19">
        <v>0.04</v>
      </c>
      <c r="L19" t="s">
        <v>39</v>
      </c>
      <c r="M19">
        <v>0</v>
      </c>
      <c r="N19">
        <v>0</v>
      </c>
      <c r="O19" t="s">
        <v>40</v>
      </c>
      <c r="P19" t="s">
        <v>33</v>
      </c>
      <c r="Q19">
        <v>0</v>
      </c>
      <c r="R19">
        <v>0</v>
      </c>
    </row>
    <row r="20" spans="1:18">
      <c r="A20" s="12" t="s">
        <v>31</v>
      </c>
      <c r="B20" t="s">
        <v>34</v>
      </c>
      <c r="C20" t="s">
        <v>3</v>
      </c>
      <c r="D20">
        <v>109418899</v>
      </c>
      <c r="E20" t="s">
        <v>910</v>
      </c>
      <c r="F20" t="s">
        <v>892</v>
      </c>
      <c r="G20">
        <v>0</v>
      </c>
      <c r="H20">
        <v>0</v>
      </c>
      <c r="I20">
        <v>0</v>
      </c>
      <c r="J20">
        <v>0</v>
      </c>
      <c r="K20">
        <v>1</v>
      </c>
      <c r="L20" t="s">
        <v>39</v>
      </c>
      <c r="M20">
        <v>0</v>
      </c>
      <c r="N20">
        <v>0</v>
      </c>
      <c r="O20" t="s">
        <v>40</v>
      </c>
      <c r="P20" t="s">
        <v>33</v>
      </c>
      <c r="Q20">
        <v>0</v>
      </c>
      <c r="R20">
        <v>0</v>
      </c>
    </row>
    <row r="21" spans="1:18">
      <c r="A21" s="12" t="s">
        <v>31</v>
      </c>
      <c r="B21" t="s">
        <v>34</v>
      </c>
      <c r="C21" t="s">
        <v>3</v>
      </c>
      <c r="D21">
        <v>109484333</v>
      </c>
      <c r="E21" t="s">
        <v>929</v>
      </c>
      <c r="F21" t="s">
        <v>889</v>
      </c>
      <c r="G21">
        <v>0</v>
      </c>
      <c r="H21">
        <v>0</v>
      </c>
      <c r="I21">
        <v>0</v>
      </c>
      <c r="J21">
        <v>0</v>
      </c>
      <c r="K21">
        <v>0.44</v>
      </c>
      <c r="L21" t="s">
        <v>39</v>
      </c>
      <c r="M21">
        <v>28</v>
      </c>
      <c r="N21">
        <v>63.8</v>
      </c>
      <c r="O21" t="s">
        <v>40</v>
      </c>
      <c r="P21" t="s">
        <v>33</v>
      </c>
      <c r="Q21">
        <v>28</v>
      </c>
      <c r="R21">
        <v>63.8</v>
      </c>
    </row>
    <row r="22" spans="1:18">
      <c r="A22" s="12" t="s">
        <v>31</v>
      </c>
      <c r="B22" t="s">
        <v>34</v>
      </c>
      <c r="C22" t="s">
        <v>3</v>
      </c>
      <c r="D22">
        <v>109501599</v>
      </c>
      <c r="E22" t="s">
        <v>918</v>
      </c>
      <c r="F22" t="s">
        <v>892</v>
      </c>
      <c r="G22">
        <v>0</v>
      </c>
      <c r="H22">
        <v>0</v>
      </c>
      <c r="I22">
        <v>0</v>
      </c>
      <c r="J22">
        <v>0</v>
      </c>
      <c r="K22">
        <v>1</v>
      </c>
      <c r="L22" t="s">
        <v>39</v>
      </c>
      <c r="M22">
        <v>0</v>
      </c>
      <c r="N22">
        <v>0</v>
      </c>
      <c r="O22" t="s">
        <v>40</v>
      </c>
      <c r="P22" t="s">
        <v>33</v>
      </c>
      <c r="Q22">
        <v>0</v>
      </c>
      <c r="R22">
        <v>0</v>
      </c>
    </row>
    <row r="23" spans="1:18">
      <c r="A23" s="12" t="s">
        <v>31</v>
      </c>
      <c r="B23" t="s">
        <v>34</v>
      </c>
      <c r="C23" t="s">
        <v>3</v>
      </c>
      <c r="D23">
        <v>109502407</v>
      </c>
      <c r="E23" t="s">
        <v>919</v>
      </c>
      <c r="F23" t="s">
        <v>892</v>
      </c>
      <c r="G23">
        <v>0</v>
      </c>
      <c r="H23">
        <v>0</v>
      </c>
      <c r="I23">
        <v>0</v>
      </c>
      <c r="J23">
        <v>0</v>
      </c>
      <c r="K23">
        <v>0.44</v>
      </c>
      <c r="L23" t="s">
        <v>39</v>
      </c>
      <c r="M23">
        <v>1</v>
      </c>
      <c r="N23">
        <v>2.2799999999999998</v>
      </c>
      <c r="O23" t="s">
        <v>40</v>
      </c>
      <c r="P23" t="s">
        <v>33</v>
      </c>
      <c r="Q23">
        <v>1</v>
      </c>
      <c r="R23">
        <v>2.2799999999999998</v>
      </c>
    </row>
    <row r="24" spans="1:18">
      <c r="A24" s="12" t="s">
        <v>31</v>
      </c>
      <c r="B24" t="s">
        <v>34</v>
      </c>
      <c r="C24" t="s">
        <v>3</v>
      </c>
      <c r="D24">
        <v>109520615</v>
      </c>
      <c r="E24" t="s">
        <v>903</v>
      </c>
      <c r="F24" t="s">
        <v>902</v>
      </c>
      <c r="G24">
        <v>0</v>
      </c>
      <c r="H24">
        <v>0</v>
      </c>
      <c r="I24">
        <v>0</v>
      </c>
      <c r="J24">
        <v>0</v>
      </c>
      <c r="K24">
        <v>0.74</v>
      </c>
      <c r="L24" t="s">
        <v>39</v>
      </c>
      <c r="M24">
        <v>0</v>
      </c>
      <c r="N24">
        <v>0</v>
      </c>
      <c r="O24" t="s">
        <v>40</v>
      </c>
      <c r="P24" t="s">
        <v>33</v>
      </c>
      <c r="Q24">
        <v>0</v>
      </c>
      <c r="R24">
        <v>0</v>
      </c>
    </row>
    <row r="25" spans="1:18">
      <c r="A25" s="12" t="s">
        <v>31</v>
      </c>
      <c r="B25" t="s">
        <v>34</v>
      </c>
      <c r="C25" t="s">
        <v>3</v>
      </c>
      <c r="D25">
        <v>109520754</v>
      </c>
      <c r="E25" t="s">
        <v>904</v>
      </c>
      <c r="F25" t="s">
        <v>902</v>
      </c>
      <c r="G25">
        <v>0</v>
      </c>
      <c r="H25">
        <v>0</v>
      </c>
      <c r="I25">
        <v>0</v>
      </c>
      <c r="J25">
        <v>0</v>
      </c>
      <c r="K25">
        <v>0.87</v>
      </c>
      <c r="L25" t="s">
        <v>39</v>
      </c>
      <c r="M25">
        <v>0</v>
      </c>
      <c r="N25">
        <v>0</v>
      </c>
      <c r="O25" t="s">
        <v>40</v>
      </c>
      <c r="P25" t="s">
        <v>33</v>
      </c>
      <c r="Q25">
        <v>0</v>
      </c>
      <c r="R25">
        <v>0</v>
      </c>
    </row>
    <row r="26" spans="1:18">
      <c r="A26" s="12" t="s">
        <v>31</v>
      </c>
      <c r="B26" t="s">
        <v>35</v>
      </c>
      <c r="C26" t="s">
        <v>3</v>
      </c>
      <c r="D26">
        <v>100218458</v>
      </c>
      <c r="E26" t="s">
        <v>925</v>
      </c>
      <c r="F26" t="s">
        <v>889</v>
      </c>
      <c r="G26">
        <v>0</v>
      </c>
      <c r="H26">
        <v>0</v>
      </c>
      <c r="I26">
        <v>0</v>
      </c>
      <c r="J26">
        <v>0</v>
      </c>
      <c r="K26">
        <v>1</v>
      </c>
      <c r="L26" t="s">
        <v>930</v>
      </c>
      <c r="M26">
        <v>1917</v>
      </c>
      <c r="N26">
        <v>1917</v>
      </c>
      <c r="O26" t="s">
        <v>40</v>
      </c>
      <c r="P26" t="s">
        <v>33</v>
      </c>
      <c r="Q26">
        <v>1917</v>
      </c>
      <c r="R26">
        <v>1917</v>
      </c>
    </row>
    <row r="27" spans="1:18">
      <c r="A27" s="12" t="s">
        <v>31</v>
      </c>
      <c r="B27" t="s">
        <v>35</v>
      </c>
      <c r="C27" t="s">
        <v>3</v>
      </c>
      <c r="D27">
        <v>108836319</v>
      </c>
      <c r="E27" t="s">
        <v>911</v>
      </c>
      <c r="F27" t="s">
        <v>890</v>
      </c>
      <c r="G27">
        <v>0</v>
      </c>
      <c r="H27">
        <v>0</v>
      </c>
      <c r="I27">
        <v>0</v>
      </c>
      <c r="J27">
        <v>0</v>
      </c>
      <c r="K27">
        <v>1</v>
      </c>
      <c r="L27" t="s">
        <v>930</v>
      </c>
      <c r="M27">
        <v>0</v>
      </c>
      <c r="N27">
        <v>0</v>
      </c>
      <c r="O27" t="s">
        <v>40</v>
      </c>
      <c r="P27" t="s">
        <v>33</v>
      </c>
      <c r="Q27">
        <v>0</v>
      </c>
      <c r="R27">
        <v>0</v>
      </c>
    </row>
    <row r="28" spans="1:18">
      <c r="A28" s="12" t="s">
        <v>31</v>
      </c>
      <c r="B28" t="s">
        <v>35</v>
      </c>
      <c r="C28" t="s">
        <v>3</v>
      </c>
      <c r="D28">
        <v>108852443</v>
      </c>
      <c r="E28" t="s">
        <v>931</v>
      </c>
      <c r="F28" t="s">
        <v>889</v>
      </c>
      <c r="G28">
        <v>0</v>
      </c>
      <c r="H28">
        <v>0</v>
      </c>
      <c r="I28">
        <v>0</v>
      </c>
      <c r="J28">
        <v>0</v>
      </c>
      <c r="K28">
        <v>1</v>
      </c>
      <c r="L28" t="s">
        <v>930</v>
      </c>
      <c r="M28">
        <v>858</v>
      </c>
      <c r="N28">
        <v>858.48</v>
      </c>
      <c r="O28" t="s">
        <v>40</v>
      </c>
      <c r="P28" t="s">
        <v>33</v>
      </c>
      <c r="Q28">
        <v>858</v>
      </c>
      <c r="R28">
        <v>858.48</v>
      </c>
    </row>
    <row r="29" spans="1:18">
      <c r="A29" s="12" t="s">
        <v>31</v>
      </c>
      <c r="B29" t="s">
        <v>41</v>
      </c>
      <c r="C29" t="s">
        <v>3</v>
      </c>
      <c r="D29">
        <v>100272324</v>
      </c>
      <c r="E29" t="s">
        <v>945</v>
      </c>
      <c r="F29" t="s">
        <v>902</v>
      </c>
      <c r="G29">
        <v>0</v>
      </c>
      <c r="H29">
        <v>0</v>
      </c>
      <c r="I29">
        <v>0</v>
      </c>
      <c r="J29">
        <v>0</v>
      </c>
      <c r="K29">
        <v>0</v>
      </c>
      <c r="L29" t="s">
        <v>44</v>
      </c>
      <c r="M29">
        <v>1</v>
      </c>
      <c r="N29">
        <v>0</v>
      </c>
      <c r="O29" t="s">
        <v>45</v>
      </c>
      <c r="P29" t="s">
        <v>33</v>
      </c>
      <c r="Q29">
        <v>1</v>
      </c>
      <c r="R29">
        <v>0</v>
      </c>
    </row>
    <row r="30" spans="1:18">
      <c r="A30" s="12" t="s">
        <v>31</v>
      </c>
      <c r="B30" t="s">
        <v>41</v>
      </c>
      <c r="C30" t="s">
        <v>3</v>
      </c>
      <c r="D30">
        <v>101140559</v>
      </c>
      <c r="E30" t="s">
        <v>909</v>
      </c>
      <c r="F30" t="s">
        <v>892</v>
      </c>
      <c r="G30">
        <v>0</v>
      </c>
      <c r="H30">
        <v>0</v>
      </c>
      <c r="I30">
        <v>0</v>
      </c>
      <c r="J30">
        <v>0</v>
      </c>
      <c r="K30">
        <v>0.28999999999999998</v>
      </c>
      <c r="L30" t="s">
        <v>44</v>
      </c>
      <c r="M30">
        <v>2</v>
      </c>
      <c r="N30">
        <v>6.82</v>
      </c>
      <c r="O30" t="s">
        <v>45</v>
      </c>
      <c r="P30" t="s">
        <v>33</v>
      </c>
      <c r="Q30">
        <v>2</v>
      </c>
      <c r="R30">
        <v>6.82</v>
      </c>
    </row>
    <row r="31" spans="1:18">
      <c r="A31" s="12" t="s">
        <v>31</v>
      </c>
      <c r="B31" t="s">
        <v>41</v>
      </c>
      <c r="C31" t="s">
        <v>3</v>
      </c>
      <c r="D31">
        <v>103475241</v>
      </c>
      <c r="E31" t="s">
        <v>905</v>
      </c>
      <c r="F31" t="s">
        <v>889</v>
      </c>
      <c r="G31">
        <v>0</v>
      </c>
      <c r="H31">
        <v>0</v>
      </c>
      <c r="I31">
        <v>0</v>
      </c>
      <c r="J31">
        <v>0</v>
      </c>
      <c r="K31">
        <v>0.1</v>
      </c>
      <c r="L31" t="s">
        <v>44</v>
      </c>
      <c r="M31">
        <v>3</v>
      </c>
      <c r="N31">
        <v>30.86</v>
      </c>
      <c r="O31" t="s">
        <v>45</v>
      </c>
      <c r="P31" t="s">
        <v>33</v>
      </c>
      <c r="Q31">
        <v>3</v>
      </c>
      <c r="R31">
        <v>30.86</v>
      </c>
    </row>
    <row r="32" spans="1:18">
      <c r="A32" s="12" t="s">
        <v>31</v>
      </c>
      <c r="B32" t="s">
        <v>41</v>
      </c>
      <c r="C32" t="s">
        <v>3</v>
      </c>
      <c r="D32">
        <v>103806845</v>
      </c>
      <c r="E32" t="s">
        <v>937</v>
      </c>
      <c r="F32" t="s">
        <v>890</v>
      </c>
      <c r="G32">
        <v>0</v>
      </c>
      <c r="H32">
        <v>0</v>
      </c>
      <c r="I32">
        <v>0</v>
      </c>
      <c r="J32">
        <v>0</v>
      </c>
      <c r="K32">
        <v>0</v>
      </c>
      <c r="L32" t="s">
        <v>44</v>
      </c>
      <c r="M32">
        <v>4</v>
      </c>
      <c r="N32">
        <v>0</v>
      </c>
      <c r="O32" t="s">
        <v>45</v>
      </c>
      <c r="P32" t="s">
        <v>33</v>
      </c>
      <c r="Q32">
        <v>4</v>
      </c>
      <c r="R32">
        <v>0</v>
      </c>
    </row>
    <row r="33" spans="1:18">
      <c r="A33" s="12" t="s">
        <v>31</v>
      </c>
      <c r="B33" t="s">
        <v>41</v>
      </c>
      <c r="C33" t="s">
        <v>3</v>
      </c>
      <c r="D33">
        <v>106398693</v>
      </c>
      <c r="E33" t="s">
        <v>928</v>
      </c>
      <c r="F33" t="s">
        <v>902</v>
      </c>
      <c r="G33">
        <v>0</v>
      </c>
      <c r="H33">
        <v>0</v>
      </c>
      <c r="I33">
        <v>0</v>
      </c>
      <c r="J33">
        <v>0</v>
      </c>
      <c r="K33">
        <v>0.17</v>
      </c>
      <c r="L33" t="s">
        <v>44</v>
      </c>
      <c r="M33">
        <v>3</v>
      </c>
      <c r="N33">
        <v>17.940000000000001</v>
      </c>
      <c r="O33" t="s">
        <v>45</v>
      </c>
      <c r="P33" t="s">
        <v>33</v>
      </c>
      <c r="Q33">
        <v>3</v>
      </c>
      <c r="R33">
        <v>17.940000000000001</v>
      </c>
    </row>
    <row r="34" spans="1:18">
      <c r="A34" s="12" t="s">
        <v>31</v>
      </c>
      <c r="B34" t="s">
        <v>41</v>
      </c>
      <c r="C34" t="s">
        <v>3</v>
      </c>
      <c r="D34">
        <v>108312001</v>
      </c>
      <c r="E34" t="s">
        <v>913</v>
      </c>
      <c r="F34" t="s">
        <v>890</v>
      </c>
      <c r="G34">
        <v>0</v>
      </c>
      <c r="H34">
        <v>0</v>
      </c>
      <c r="I34">
        <v>0</v>
      </c>
      <c r="J34">
        <v>0</v>
      </c>
      <c r="K34">
        <v>0.78</v>
      </c>
      <c r="L34" t="s">
        <v>44</v>
      </c>
      <c r="M34">
        <v>5</v>
      </c>
      <c r="N34">
        <v>6.39</v>
      </c>
      <c r="O34" t="s">
        <v>45</v>
      </c>
      <c r="P34" t="s">
        <v>33</v>
      </c>
      <c r="Q34">
        <v>5</v>
      </c>
      <c r="R34">
        <v>6.39</v>
      </c>
    </row>
    <row r="35" spans="1:18">
      <c r="A35" s="12" t="s">
        <v>31</v>
      </c>
      <c r="B35" t="s">
        <v>41</v>
      </c>
      <c r="C35" t="s">
        <v>3</v>
      </c>
      <c r="D35">
        <v>108626529</v>
      </c>
      <c r="E35" t="s">
        <v>920</v>
      </c>
      <c r="F35" t="s">
        <v>890</v>
      </c>
      <c r="G35">
        <v>0</v>
      </c>
      <c r="H35">
        <v>0</v>
      </c>
      <c r="I35">
        <v>0</v>
      </c>
      <c r="J35">
        <v>0</v>
      </c>
      <c r="K35">
        <v>0.06</v>
      </c>
      <c r="L35" t="s">
        <v>44</v>
      </c>
      <c r="M35">
        <v>1</v>
      </c>
      <c r="N35">
        <v>16.98</v>
      </c>
      <c r="O35" t="s">
        <v>45</v>
      </c>
      <c r="P35" t="s">
        <v>33</v>
      </c>
      <c r="Q35">
        <v>1</v>
      </c>
      <c r="R35">
        <v>16.98</v>
      </c>
    </row>
    <row r="36" spans="1:18">
      <c r="A36" s="12" t="s">
        <v>31</v>
      </c>
      <c r="B36" t="s">
        <v>41</v>
      </c>
      <c r="C36" t="s">
        <v>3</v>
      </c>
      <c r="D36">
        <v>108650943</v>
      </c>
      <c r="E36" t="s">
        <v>943</v>
      </c>
      <c r="F36" t="s">
        <v>944</v>
      </c>
      <c r="G36">
        <v>0</v>
      </c>
      <c r="H36">
        <v>0</v>
      </c>
      <c r="I36">
        <v>0</v>
      </c>
      <c r="J36">
        <v>0</v>
      </c>
      <c r="K36">
        <v>0</v>
      </c>
      <c r="L36" t="s">
        <v>44</v>
      </c>
      <c r="M36">
        <v>1</v>
      </c>
      <c r="N36">
        <v>0</v>
      </c>
      <c r="O36" t="s">
        <v>45</v>
      </c>
      <c r="P36" t="s">
        <v>33</v>
      </c>
      <c r="Q36">
        <v>1</v>
      </c>
      <c r="R36">
        <v>0</v>
      </c>
    </row>
    <row r="37" spans="1:18">
      <c r="A37" s="12" t="s">
        <v>31</v>
      </c>
      <c r="B37" t="s">
        <v>41</v>
      </c>
      <c r="C37" t="s">
        <v>3</v>
      </c>
      <c r="D37">
        <v>108851516</v>
      </c>
      <c r="E37" t="s">
        <v>933</v>
      </c>
      <c r="F37" t="s">
        <v>902</v>
      </c>
      <c r="G37">
        <v>0</v>
      </c>
      <c r="H37">
        <v>0</v>
      </c>
      <c r="I37">
        <v>0</v>
      </c>
      <c r="J37">
        <v>0</v>
      </c>
      <c r="K37">
        <v>0.69</v>
      </c>
      <c r="L37" t="s">
        <v>44</v>
      </c>
      <c r="M37">
        <v>3</v>
      </c>
      <c r="N37">
        <v>4.32</v>
      </c>
      <c r="O37" t="s">
        <v>45</v>
      </c>
      <c r="P37" t="s">
        <v>33</v>
      </c>
      <c r="Q37">
        <v>3</v>
      </c>
      <c r="R37">
        <v>4.32</v>
      </c>
    </row>
    <row r="38" spans="1:18">
      <c r="A38" s="12" t="s">
        <v>31</v>
      </c>
      <c r="B38" t="s">
        <v>41</v>
      </c>
      <c r="C38" t="s">
        <v>3</v>
      </c>
      <c r="D38">
        <v>108988707</v>
      </c>
      <c r="E38" t="s">
        <v>891</v>
      </c>
      <c r="F38" t="s">
        <v>902</v>
      </c>
      <c r="G38">
        <v>0</v>
      </c>
      <c r="H38">
        <v>0</v>
      </c>
      <c r="I38">
        <v>0</v>
      </c>
      <c r="J38">
        <v>0</v>
      </c>
      <c r="K38">
        <v>0</v>
      </c>
      <c r="L38" t="s">
        <v>44</v>
      </c>
      <c r="M38">
        <v>1</v>
      </c>
      <c r="N38">
        <v>0</v>
      </c>
      <c r="O38" t="s">
        <v>45</v>
      </c>
      <c r="P38" t="s">
        <v>33</v>
      </c>
      <c r="Q38">
        <v>1</v>
      </c>
      <c r="R38">
        <v>0</v>
      </c>
    </row>
    <row r="39" spans="1:18">
      <c r="A39" s="12" t="s">
        <v>31</v>
      </c>
      <c r="B39" t="s">
        <v>41</v>
      </c>
      <c r="C39" t="s">
        <v>3</v>
      </c>
      <c r="D39">
        <v>109139175</v>
      </c>
      <c r="E39" t="s">
        <v>917</v>
      </c>
      <c r="F39" t="s">
        <v>890</v>
      </c>
      <c r="G39">
        <v>0</v>
      </c>
      <c r="H39">
        <v>0</v>
      </c>
      <c r="I39">
        <v>0</v>
      </c>
      <c r="J39">
        <v>0</v>
      </c>
      <c r="K39">
        <v>0.35</v>
      </c>
      <c r="L39" t="s">
        <v>44</v>
      </c>
      <c r="M39">
        <v>3</v>
      </c>
      <c r="N39">
        <v>8.66</v>
      </c>
      <c r="O39" t="s">
        <v>45</v>
      </c>
      <c r="P39" t="s">
        <v>33</v>
      </c>
      <c r="Q39">
        <v>3</v>
      </c>
      <c r="R39">
        <v>8.66</v>
      </c>
    </row>
    <row r="40" spans="1:18">
      <c r="A40" s="12" t="s">
        <v>31</v>
      </c>
      <c r="B40" t="s">
        <v>41</v>
      </c>
      <c r="C40" t="s">
        <v>3</v>
      </c>
      <c r="D40">
        <v>109418899</v>
      </c>
      <c r="E40" t="s">
        <v>910</v>
      </c>
      <c r="F40" t="s">
        <v>892</v>
      </c>
      <c r="G40">
        <v>0</v>
      </c>
      <c r="H40">
        <v>0</v>
      </c>
      <c r="I40">
        <v>0</v>
      </c>
      <c r="J40">
        <v>0</v>
      </c>
      <c r="K40">
        <v>0</v>
      </c>
      <c r="L40" t="s">
        <v>44</v>
      </c>
      <c r="M40">
        <v>1</v>
      </c>
      <c r="N40">
        <v>0</v>
      </c>
      <c r="O40" t="s">
        <v>45</v>
      </c>
      <c r="P40" t="s">
        <v>33</v>
      </c>
      <c r="Q40">
        <v>1</v>
      </c>
      <c r="R40">
        <v>0</v>
      </c>
    </row>
    <row r="41" spans="1:18">
      <c r="A41" s="12" t="s">
        <v>31</v>
      </c>
      <c r="B41" t="s">
        <v>41</v>
      </c>
      <c r="C41" t="s">
        <v>3</v>
      </c>
      <c r="D41">
        <v>109484333</v>
      </c>
      <c r="E41" t="s">
        <v>929</v>
      </c>
      <c r="F41" t="s">
        <v>889</v>
      </c>
      <c r="G41">
        <v>0</v>
      </c>
      <c r="H41">
        <v>0</v>
      </c>
      <c r="I41">
        <v>0</v>
      </c>
      <c r="J41">
        <v>0</v>
      </c>
      <c r="K41">
        <v>0.56000000000000005</v>
      </c>
      <c r="L41" t="s">
        <v>44</v>
      </c>
      <c r="M41">
        <v>7</v>
      </c>
      <c r="N41">
        <v>12.53</v>
      </c>
      <c r="O41" t="s">
        <v>45</v>
      </c>
      <c r="P41" t="s">
        <v>33</v>
      </c>
      <c r="Q41">
        <v>7</v>
      </c>
      <c r="R41">
        <v>12.53</v>
      </c>
    </row>
    <row r="42" spans="1:18">
      <c r="A42" s="12" t="s">
        <v>31</v>
      </c>
      <c r="B42" t="s">
        <v>41</v>
      </c>
      <c r="C42" t="s">
        <v>3</v>
      </c>
      <c r="D42">
        <v>109489180</v>
      </c>
      <c r="E42" t="s">
        <v>914</v>
      </c>
      <c r="F42" t="s">
        <v>915</v>
      </c>
      <c r="G42">
        <v>0</v>
      </c>
      <c r="H42">
        <v>0</v>
      </c>
      <c r="I42">
        <v>0</v>
      </c>
      <c r="J42">
        <v>0</v>
      </c>
      <c r="K42">
        <v>0.13</v>
      </c>
      <c r="L42" t="s">
        <v>44</v>
      </c>
      <c r="M42">
        <v>0</v>
      </c>
      <c r="N42">
        <v>0</v>
      </c>
      <c r="O42" t="s">
        <v>45</v>
      </c>
      <c r="P42" t="s">
        <v>33</v>
      </c>
      <c r="Q42">
        <v>0</v>
      </c>
      <c r="R42">
        <v>0</v>
      </c>
    </row>
    <row r="43" spans="1:18">
      <c r="A43" s="12" t="s">
        <v>31</v>
      </c>
      <c r="B43" t="s">
        <v>41</v>
      </c>
      <c r="C43" t="s">
        <v>3</v>
      </c>
      <c r="D43">
        <v>109502407</v>
      </c>
      <c r="E43" t="s">
        <v>919</v>
      </c>
      <c r="F43" t="s">
        <v>892</v>
      </c>
      <c r="G43">
        <v>0</v>
      </c>
      <c r="H43">
        <v>0</v>
      </c>
      <c r="I43">
        <v>0</v>
      </c>
      <c r="J43">
        <v>0</v>
      </c>
      <c r="K43">
        <v>0.09</v>
      </c>
      <c r="L43" t="s">
        <v>44</v>
      </c>
      <c r="M43">
        <v>1</v>
      </c>
      <c r="N43">
        <v>11.01</v>
      </c>
      <c r="O43" t="s">
        <v>45</v>
      </c>
      <c r="P43" t="s">
        <v>33</v>
      </c>
      <c r="Q43">
        <v>1</v>
      </c>
      <c r="R43">
        <v>11.01</v>
      </c>
    </row>
    <row r="44" spans="1:18">
      <c r="A44" s="12" t="s">
        <v>31</v>
      </c>
      <c r="B44" t="s">
        <v>41</v>
      </c>
      <c r="C44" t="s">
        <v>3</v>
      </c>
      <c r="D44">
        <v>109520615</v>
      </c>
      <c r="E44" t="s">
        <v>903</v>
      </c>
      <c r="F44" t="s">
        <v>902</v>
      </c>
      <c r="G44">
        <v>0</v>
      </c>
      <c r="H44">
        <v>0</v>
      </c>
      <c r="I44">
        <v>0</v>
      </c>
      <c r="J44">
        <v>0</v>
      </c>
      <c r="K44">
        <v>0.26</v>
      </c>
      <c r="L44" t="s">
        <v>44</v>
      </c>
      <c r="M44">
        <v>6</v>
      </c>
      <c r="N44">
        <v>23.03</v>
      </c>
      <c r="O44" t="s">
        <v>45</v>
      </c>
      <c r="P44" t="s">
        <v>33</v>
      </c>
      <c r="Q44">
        <v>6</v>
      </c>
      <c r="R44">
        <v>23.03</v>
      </c>
    </row>
    <row r="45" spans="1:18">
      <c r="A45" s="12" t="s">
        <v>31</v>
      </c>
      <c r="B45" t="s">
        <v>48</v>
      </c>
      <c r="C45" t="s">
        <v>3</v>
      </c>
      <c r="D45">
        <v>109460401</v>
      </c>
      <c r="E45" t="s">
        <v>907</v>
      </c>
      <c r="F45" t="s">
        <v>902</v>
      </c>
      <c r="G45">
        <v>0</v>
      </c>
      <c r="H45">
        <v>0</v>
      </c>
      <c r="I45">
        <v>0</v>
      </c>
      <c r="J45">
        <v>0</v>
      </c>
      <c r="K45">
        <v>0.11</v>
      </c>
    </row>
    <row r="46" spans="1:18">
      <c r="A46" s="12" t="s">
        <v>31</v>
      </c>
      <c r="B46" t="s">
        <v>46</v>
      </c>
      <c r="C46" t="s">
        <v>3</v>
      </c>
      <c r="D46">
        <v>100051695</v>
      </c>
      <c r="E46" t="s">
        <v>921</v>
      </c>
      <c r="F46" t="s">
        <v>889</v>
      </c>
      <c r="G46">
        <v>0</v>
      </c>
      <c r="H46">
        <v>0</v>
      </c>
      <c r="I46">
        <v>0</v>
      </c>
      <c r="J46">
        <v>0</v>
      </c>
      <c r="K46">
        <v>0.28000000000000003</v>
      </c>
      <c r="L46" t="s">
        <v>47</v>
      </c>
      <c r="M46">
        <v>3</v>
      </c>
      <c r="N46">
        <v>10.89</v>
      </c>
      <c r="O46" t="s">
        <v>45</v>
      </c>
      <c r="P46" t="s">
        <v>33</v>
      </c>
      <c r="Q46">
        <v>3</v>
      </c>
      <c r="R46">
        <v>10.89</v>
      </c>
    </row>
    <row r="47" spans="1:18">
      <c r="A47" s="12" t="s">
        <v>31</v>
      </c>
      <c r="B47" t="s">
        <v>46</v>
      </c>
      <c r="C47" t="s">
        <v>3</v>
      </c>
      <c r="D47">
        <v>101140559</v>
      </c>
      <c r="E47" t="s">
        <v>909</v>
      </c>
      <c r="F47" t="s">
        <v>892</v>
      </c>
      <c r="G47">
        <v>0</v>
      </c>
      <c r="H47">
        <v>0</v>
      </c>
      <c r="I47">
        <v>0</v>
      </c>
      <c r="J47">
        <v>0</v>
      </c>
      <c r="K47">
        <v>0.71</v>
      </c>
      <c r="L47" t="s">
        <v>47</v>
      </c>
      <c r="M47">
        <v>3</v>
      </c>
      <c r="N47">
        <v>4.25</v>
      </c>
      <c r="O47" t="s">
        <v>45</v>
      </c>
      <c r="P47" t="s">
        <v>33</v>
      </c>
      <c r="Q47">
        <v>3</v>
      </c>
      <c r="R47">
        <v>4.25</v>
      </c>
    </row>
    <row r="48" spans="1:18">
      <c r="A48" s="12" t="s">
        <v>31</v>
      </c>
      <c r="B48" t="s">
        <v>46</v>
      </c>
      <c r="C48" t="s">
        <v>3</v>
      </c>
      <c r="D48">
        <v>102020851</v>
      </c>
      <c r="E48" t="s">
        <v>934</v>
      </c>
      <c r="F48" t="s">
        <v>892</v>
      </c>
      <c r="G48">
        <v>0</v>
      </c>
      <c r="H48">
        <v>0</v>
      </c>
      <c r="I48">
        <v>0</v>
      </c>
      <c r="J48">
        <v>0</v>
      </c>
      <c r="K48">
        <v>0</v>
      </c>
      <c r="L48" t="s">
        <v>47</v>
      </c>
      <c r="M48">
        <v>1</v>
      </c>
      <c r="N48">
        <v>0</v>
      </c>
      <c r="O48" t="s">
        <v>45</v>
      </c>
      <c r="P48" t="s">
        <v>33</v>
      </c>
      <c r="Q48">
        <v>1</v>
      </c>
      <c r="R48">
        <v>0</v>
      </c>
    </row>
    <row r="49" spans="1:18">
      <c r="A49" s="12" t="s">
        <v>31</v>
      </c>
      <c r="B49" t="s">
        <v>46</v>
      </c>
      <c r="C49" t="s">
        <v>3</v>
      </c>
      <c r="D49">
        <v>102877255</v>
      </c>
      <c r="E49" t="s">
        <v>926</v>
      </c>
      <c r="F49" t="s">
        <v>889</v>
      </c>
      <c r="G49">
        <v>0</v>
      </c>
      <c r="H49">
        <v>0</v>
      </c>
      <c r="I49">
        <v>0</v>
      </c>
      <c r="J49">
        <v>0</v>
      </c>
      <c r="K49">
        <v>0</v>
      </c>
      <c r="L49" t="s">
        <v>47</v>
      </c>
      <c r="M49">
        <v>1</v>
      </c>
      <c r="N49">
        <v>0</v>
      </c>
      <c r="O49" t="s">
        <v>45</v>
      </c>
      <c r="P49" t="s">
        <v>33</v>
      </c>
      <c r="Q49">
        <v>1</v>
      </c>
      <c r="R49">
        <v>0</v>
      </c>
    </row>
    <row r="50" spans="1:18">
      <c r="A50" s="12" t="s">
        <v>31</v>
      </c>
      <c r="B50" t="s">
        <v>46</v>
      </c>
      <c r="C50" t="s">
        <v>3</v>
      </c>
      <c r="D50">
        <v>103347167</v>
      </c>
      <c r="E50" t="s">
        <v>936</v>
      </c>
      <c r="F50" t="s">
        <v>889</v>
      </c>
      <c r="G50">
        <v>0</v>
      </c>
      <c r="H50">
        <v>0</v>
      </c>
      <c r="I50">
        <v>0</v>
      </c>
      <c r="J50">
        <v>0</v>
      </c>
      <c r="K50">
        <v>0</v>
      </c>
      <c r="L50" t="s">
        <v>47</v>
      </c>
      <c r="M50">
        <v>2</v>
      </c>
      <c r="N50">
        <v>0</v>
      </c>
      <c r="O50" t="s">
        <v>45</v>
      </c>
      <c r="P50" t="s">
        <v>33</v>
      </c>
      <c r="Q50">
        <v>2</v>
      </c>
      <c r="R50">
        <v>0</v>
      </c>
    </row>
    <row r="51" spans="1:18">
      <c r="A51" s="12" t="s">
        <v>31</v>
      </c>
      <c r="B51" t="s">
        <v>46</v>
      </c>
      <c r="C51" t="s">
        <v>3</v>
      </c>
      <c r="D51">
        <v>103475241</v>
      </c>
      <c r="E51" t="s">
        <v>905</v>
      </c>
      <c r="F51" t="s">
        <v>889</v>
      </c>
      <c r="G51">
        <v>0</v>
      </c>
      <c r="H51">
        <v>0</v>
      </c>
      <c r="I51">
        <v>0</v>
      </c>
      <c r="J51">
        <v>0</v>
      </c>
      <c r="K51">
        <v>0.01</v>
      </c>
      <c r="L51" t="s">
        <v>47</v>
      </c>
      <c r="M51">
        <v>0</v>
      </c>
      <c r="N51">
        <v>0</v>
      </c>
      <c r="O51" t="s">
        <v>45</v>
      </c>
      <c r="P51" t="s">
        <v>33</v>
      </c>
      <c r="Q51">
        <v>0</v>
      </c>
      <c r="R51">
        <v>0</v>
      </c>
    </row>
    <row r="52" spans="1:18">
      <c r="A52" s="12" t="s">
        <v>31</v>
      </c>
      <c r="B52" t="s">
        <v>46</v>
      </c>
      <c r="C52" t="s">
        <v>3</v>
      </c>
      <c r="D52">
        <v>103646413</v>
      </c>
      <c r="E52" t="s">
        <v>942</v>
      </c>
      <c r="F52" t="s">
        <v>889</v>
      </c>
      <c r="G52">
        <v>0</v>
      </c>
      <c r="H52">
        <v>0</v>
      </c>
      <c r="I52">
        <v>0</v>
      </c>
      <c r="J52">
        <v>0</v>
      </c>
      <c r="K52">
        <v>0.17</v>
      </c>
      <c r="L52" t="s">
        <v>47</v>
      </c>
      <c r="M52">
        <v>4</v>
      </c>
      <c r="N52">
        <v>23.84</v>
      </c>
      <c r="O52" t="s">
        <v>45</v>
      </c>
      <c r="P52" t="s">
        <v>33</v>
      </c>
      <c r="Q52">
        <v>4</v>
      </c>
      <c r="R52">
        <v>23.84</v>
      </c>
    </row>
    <row r="53" spans="1:18">
      <c r="A53" s="12" t="s">
        <v>31</v>
      </c>
      <c r="B53" t="s">
        <v>46</v>
      </c>
      <c r="C53" t="s">
        <v>3</v>
      </c>
      <c r="D53">
        <v>103806845</v>
      </c>
      <c r="E53" t="s">
        <v>937</v>
      </c>
      <c r="F53" t="s">
        <v>890</v>
      </c>
      <c r="G53">
        <v>0</v>
      </c>
      <c r="H53">
        <v>0</v>
      </c>
      <c r="I53">
        <v>0</v>
      </c>
      <c r="J53">
        <v>0</v>
      </c>
      <c r="K53">
        <v>0</v>
      </c>
      <c r="L53" t="s">
        <v>47</v>
      </c>
      <c r="M53">
        <v>2</v>
      </c>
      <c r="N53">
        <v>0</v>
      </c>
      <c r="O53" t="s">
        <v>45</v>
      </c>
      <c r="P53" t="s">
        <v>33</v>
      </c>
      <c r="Q53">
        <v>2</v>
      </c>
      <c r="R53">
        <v>0</v>
      </c>
    </row>
    <row r="54" spans="1:18">
      <c r="A54" s="12" t="s">
        <v>31</v>
      </c>
      <c r="B54" t="s">
        <v>46</v>
      </c>
      <c r="C54" t="s">
        <v>3</v>
      </c>
      <c r="D54">
        <v>107355100</v>
      </c>
      <c r="E54" t="s">
        <v>938</v>
      </c>
      <c r="F54" t="s">
        <v>889</v>
      </c>
      <c r="G54">
        <v>0</v>
      </c>
      <c r="H54">
        <v>0</v>
      </c>
      <c r="I54">
        <v>0</v>
      </c>
      <c r="J54">
        <v>0</v>
      </c>
      <c r="K54">
        <v>0</v>
      </c>
      <c r="L54" t="s">
        <v>47</v>
      </c>
      <c r="M54">
        <v>1</v>
      </c>
      <c r="N54">
        <v>0</v>
      </c>
      <c r="O54" t="s">
        <v>45</v>
      </c>
      <c r="P54" t="s">
        <v>33</v>
      </c>
      <c r="Q54">
        <v>1</v>
      </c>
      <c r="R54">
        <v>0</v>
      </c>
    </row>
    <row r="55" spans="1:18">
      <c r="A55" s="12" t="s">
        <v>31</v>
      </c>
      <c r="B55" t="s">
        <v>46</v>
      </c>
      <c r="C55" t="s">
        <v>3</v>
      </c>
      <c r="D55">
        <v>108312001</v>
      </c>
      <c r="E55" t="s">
        <v>913</v>
      </c>
      <c r="F55" t="s">
        <v>890</v>
      </c>
      <c r="G55">
        <v>0</v>
      </c>
      <c r="H55">
        <v>0</v>
      </c>
      <c r="I55">
        <v>0</v>
      </c>
      <c r="J55">
        <v>0</v>
      </c>
      <c r="K55">
        <v>0</v>
      </c>
      <c r="L55" t="s">
        <v>47</v>
      </c>
      <c r="M55">
        <v>1</v>
      </c>
      <c r="N55">
        <v>0</v>
      </c>
      <c r="O55" t="s">
        <v>45</v>
      </c>
      <c r="P55" t="s">
        <v>33</v>
      </c>
      <c r="Q55">
        <v>1</v>
      </c>
      <c r="R55">
        <v>0</v>
      </c>
    </row>
    <row r="56" spans="1:18">
      <c r="A56" s="12" t="s">
        <v>31</v>
      </c>
      <c r="B56" t="s">
        <v>46</v>
      </c>
      <c r="C56" t="s">
        <v>3</v>
      </c>
      <c r="D56">
        <v>108626529</v>
      </c>
      <c r="E56" t="s">
        <v>920</v>
      </c>
      <c r="F56" t="s">
        <v>890</v>
      </c>
      <c r="G56">
        <v>0</v>
      </c>
      <c r="H56">
        <v>0</v>
      </c>
      <c r="I56">
        <v>0</v>
      </c>
      <c r="J56">
        <v>0</v>
      </c>
      <c r="K56">
        <v>0.01</v>
      </c>
      <c r="L56" t="s">
        <v>47</v>
      </c>
      <c r="M56">
        <v>4</v>
      </c>
      <c r="N56">
        <v>757.89</v>
      </c>
      <c r="O56" t="s">
        <v>45</v>
      </c>
      <c r="P56" t="s">
        <v>33</v>
      </c>
      <c r="Q56">
        <v>4</v>
      </c>
      <c r="R56">
        <v>757.89</v>
      </c>
    </row>
    <row r="57" spans="1:18">
      <c r="A57" s="12" t="s">
        <v>31</v>
      </c>
      <c r="B57" t="s">
        <v>46</v>
      </c>
      <c r="C57" t="s">
        <v>3</v>
      </c>
      <c r="D57">
        <v>108650943</v>
      </c>
      <c r="E57" t="s">
        <v>943</v>
      </c>
      <c r="F57" t="s">
        <v>944</v>
      </c>
      <c r="G57">
        <v>0</v>
      </c>
      <c r="H57">
        <v>0</v>
      </c>
      <c r="I57">
        <v>0</v>
      </c>
      <c r="J57">
        <v>0</v>
      </c>
      <c r="K57">
        <v>1</v>
      </c>
      <c r="L57" t="s">
        <v>47</v>
      </c>
      <c r="M57">
        <v>3</v>
      </c>
      <c r="N57">
        <v>3</v>
      </c>
      <c r="O57" t="s">
        <v>45</v>
      </c>
      <c r="P57" t="s">
        <v>33</v>
      </c>
      <c r="Q57">
        <v>3</v>
      </c>
      <c r="R57">
        <v>3</v>
      </c>
    </row>
    <row r="58" spans="1:18">
      <c r="A58" s="12" t="s">
        <v>31</v>
      </c>
      <c r="B58" t="s">
        <v>46</v>
      </c>
      <c r="C58" t="s">
        <v>3</v>
      </c>
      <c r="D58">
        <v>108834393</v>
      </c>
      <c r="E58" t="s">
        <v>916</v>
      </c>
      <c r="F58" t="s">
        <v>890</v>
      </c>
      <c r="G58">
        <v>0</v>
      </c>
      <c r="H58">
        <v>0</v>
      </c>
      <c r="I58">
        <v>0</v>
      </c>
      <c r="J58">
        <v>0</v>
      </c>
      <c r="K58">
        <v>1</v>
      </c>
      <c r="L58" t="s">
        <v>47</v>
      </c>
      <c r="M58">
        <v>13</v>
      </c>
      <c r="N58">
        <v>13.01</v>
      </c>
      <c r="O58" t="s">
        <v>45</v>
      </c>
      <c r="P58" t="s">
        <v>33</v>
      </c>
      <c r="Q58">
        <v>13</v>
      </c>
      <c r="R58">
        <v>13.01</v>
      </c>
    </row>
    <row r="59" spans="1:18">
      <c r="A59" s="12" t="s">
        <v>31</v>
      </c>
      <c r="B59" t="s">
        <v>46</v>
      </c>
      <c r="C59" t="s">
        <v>3</v>
      </c>
      <c r="D59">
        <v>108836849</v>
      </c>
      <c r="E59" t="s">
        <v>932</v>
      </c>
      <c r="F59" t="s">
        <v>890</v>
      </c>
      <c r="G59">
        <v>0</v>
      </c>
      <c r="H59">
        <v>0</v>
      </c>
      <c r="I59">
        <v>0</v>
      </c>
      <c r="J59">
        <v>0</v>
      </c>
      <c r="K59">
        <v>0</v>
      </c>
      <c r="L59" t="s">
        <v>47</v>
      </c>
      <c r="M59">
        <v>2</v>
      </c>
      <c r="N59">
        <v>0</v>
      </c>
      <c r="O59" t="s">
        <v>45</v>
      </c>
      <c r="P59" t="s">
        <v>33</v>
      </c>
      <c r="Q59">
        <v>2</v>
      </c>
      <c r="R59">
        <v>0</v>
      </c>
    </row>
    <row r="60" spans="1:18">
      <c r="A60" s="12" t="s">
        <v>31</v>
      </c>
      <c r="B60" t="s">
        <v>46</v>
      </c>
      <c r="C60" t="s">
        <v>3</v>
      </c>
      <c r="D60">
        <v>108837145</v>
      </c>
      <c r="E60" t="s">
        <v>939</v>
      </c>
      <c r="F60" t="s">
        <v>890</v>
      </c>
      <c r="G60">
        <v>0</v>
      </c>
      <c r="H60">
        <v>0</v>
      </c>
      <c r="I60">
        <v>0</v>
      </c>
      <c r="J60">
        <v>0</v>
      </c>
      <c r="K60">
        <v>0</v>
      </c>
      <c r="L60" t="s">
        <v>47</v>
      </c>
      <c r="M60">
        <v>2</v>
      </c>
      <c r="N60">
        <v>0</v>
      </c>
      <c r="O60" t="s">
        <v>45</v>
      </c>
      <c r="P60" t="s">
        <v>33</v>
      </c>
      <c r="Q60">
        <v>2</v>
      </c>
      <c r="R60">
        <v>0</v>
      </c>
    </row>
    <row r="61" spans="1:18">
      <c r="A61" s="12" t="s">
        <v>31</v>
      </c>
      <c r="B61" t="s">
        <v>46</v>
      </c>
      <c r="C61" t="s">
        <v>3</v>
      </c>
      <c r="D61">
        <v>108851516</v>
      </c>
      <c r="E61" t="s">
        <v>933</v>
      </c>
      <c r="F61" t="s">
        <v>902</v>
      </c>
      <c r="G61">
        <v>0</v>
      </c>
      <c r="H61">
        <v>0</v>
      </c>
      <c r="I61">
        <v>0</v>
      </c>
      <c r="J61">
        <v>0</v>
      </c>
      <c r="K61">
        <v>0.3</v>
      </c>
      <c r="L61" t="s">
        <v>47</v>
      </c>
      <c r="M61">
        <v>2</v>
      </c>
      <c r="N61">
        <v>6.58</v>
      </c>
      <c r="O61" t="s">
        <v>45</v>
      </c>
      <c r="P61" t="s">
        <v>33</v>
      </c>
      <c r="Q61">
        <v>2</v>
      </c>
      <c r="R61">
        <v>6.58</v>
      </c>
    </row>
    <row r="62" spans="1:18">
      <c r="A62" s="12" t="s">
        <v>31</v>
      </c>
      <c r="B62" t="s">
        <v>46</v>
      </c>
      <c r="C62" t="s">
        <v>3</v>
      </c>
      <c r="D62">
        <v>108919972</v>
      </c>
      <c r="E62" t="s">
        <v>922</v>
      </c>
      <c r="F62" t="s">
        <v>889</v>
      </c>
      <c r="G62">
        <v>0</v>
      </c>
      <c r="H62">
        <v>0</v>
      </c>
      <c r="I62">
        <v>0</v>
      </c>
      <c r="J62">
        <v>0</v>
      </c>
      <c r="K62">
        <v>0.36</v>
      </c>
      <c r="L62" t="s">
        <v>47</v>
      </c>
      <c r="M62">
        <v>5</v>
      </c>
      <c r="N62">
        <v>13.71</v>
      </c>
      <c r="O62" t="s">
        <v>45</v>
      </c>
      <c r="P62" t="s">
        <v>33</v>
      </c>
      <c r="Q62">
        <v>5</v>
      </c>
      <c r="R62">
        <v>13.71</v>
      </c>
    </row>
    <row r="63" spans="1:18">
      <c r="A63" s="12" t="s">
        <v>31</v>
      </c>
      <c r="B63" t="s">
        <v>46</v>
      </c>
      <c r="C63" t="s">
        <v>3</v>
      </c>
      <c r="D63">
        <v>109139175</v>
      </c>
      <c r="E63" t="s">
        <v>917</v>
      </c>
      <c r="F63" t="s">
        <v>890</v>
      </c>
      <c r="G63">
        <v>0</v>
      </c>
      <c r="H63">
        <v>0</v>
      </c>
      <c r="I63">
        <v>0</v>
      </c>
      <c r="J63">
        <v>0</v>
      </c>
      <c r="K63">
        <v>0.12</v>
      </c>
      <c r="L63" t="s">
        <v>47</v>
      </c>
      <c r="M63">
        <v>2</v>
      </c>
      <c r="N63">
        <v>17.27</v>
      </c>
      <c r="O63" t="s">
        <v>45</v>
      </c>
      <c r="P63" t="s">
        <v>33</v>
      </c>
      <c r="Q63">
        <v>2</v>
      </c>
      <c r="R63">
        <v>17.27</v>
      </c>
    </row>
    <row r="64" spans="1:18">
      <c r="A64" s="12" t="s">
        <v>31</v>
      </c>
      <c r="B64" t="s">
        <v>46</v>
      </c>
      <c r="C64" t="s">
        <v>3</v>
      </c>
      <c r="D64">
        <v>109418888</v>
      </c>
      <c r="E64" t="s">
        <v>923</v>
      </c>
      <c r="F64" t="s">
        <v>902</v>
      </c>
      <c r="G64">
        <v>0</v>
      </c>
      <c r="H64">
        <v>0</v>
      </c>
      <c r="I64">
        <v>0</v>
      </c>
      <c r="J64">
        <v>0</v>
      </c>
      <c r="K64">
        <v>0.41</v>
      </c>
      <c r="L64" t="s">
        <v>47</v>
      </c>
      <c r="M64">
        <v>2</v>
      </c>
      <c r="N64">
        <v>4.84</v>
      </c>
      <c r="O64" t="s">
        <v>45</v>
      </c>
      <c r="P64" t="s">
        <v>33</v>
      </c>
      <c r="Q64">
        <v>2</v>
      </c>
      <c r="R64">
        <v>4.84</v>
      </c>
    </row>
    <row r="65" spans="1:18">
      <c r="A65" s="12" t="s">
        <v>31</v>
      </c>
      <c r="B65" t="s">
        <v>46</v>
      </c>
      <c r="C65" t="s">
        <v>3</v>
      </c>
      <c r="D65">
        <v>109460369</v>
      </c>
      <c r="E65" t="s">
        <v>906</v>
      </c>
      <c r="F65" t="s">
        <v>889</v>
      </c>
      <c r="G65">
        <v>0</v>
      </c>
      <c r="H65">
        <v>0</v>
      </c>
      <c r="I65">
        <v>0</v>
      </c>
      <c r="J65">
        <v>0</v>
      </c>
      <c r="K65">
        <v>1</v>
      </c>
      <c r="L65" t="s">
        <v>47</v>
      </c>
      <c r="M65">
        <v>9</v>
      </c>
      <c r="N65">
        <v>9.01</v>
      </c>
      <c r="O65" t="s">
        <v>45</v>
      </c>
      <c r="P65" t="s">
        <v>33</v>
      </c>
      <c r="Q65">
        <v>9</v>
      </c>
      <c r="R65">
        <v>9.01</v>
      </c>
    </row>
    <row r="66" spans="1:18">
      <c r="A66" s="12" t="s">
        <v>31</v>
      </c>
      <c r="B66" t="s">
        <v>46</v>
      </c>
      <c r="C66" t="s">
        <v>3</v>
      </c>
      <c r="D66">
        <v>109481585</v>
      </c>
      <c r="E66" t="s">
        <v>924</v>
      </c>
      <c r="F66" t="s">
        <v>889</v>
      </c>
      <c r="G66">
        <v>0</v>
      </c>
      <c r="H66">
        <v>0</v>
      </c>
      <c r="I66">
        <v>0</v>
      </c>
      <c r="J66">
        <v>0</v>
      </c>
      <c r="K66">
        <v>0</v>
      </c>
      <c r="L66" t="s">
        <v>47</v>
      </c>
      <c r="M66">
        <v>2</v>
      </c>
      <c r="N66">
        <v>0</v>
      </c>
      <c r="O66" t="s">
        <v>45</v>
      </c>
      <c r="P66" t="s">
        <v>33</v>
      </c>
      <c r="Q66">
        <v>2</v>
      </c>
      <c r="R66">
        <v>0</v>
      </c>
    </row>
    <row r="67" spans="1:18">
      <c r="A67" s="12" t="s">
        <v>31</v>
      </c>
      <c r="B67" t="s">
        <v>46</v>
      </c>
      <c r="C67" t="s">
        <v>3</v>
      </c>
      <c r="D67">
        <v>109489180</v>
      </c>
      <c r="E67" t="s">
        <v>914</v>
      </c>
      <c r="F67" t="s">
        <v>915</v>
      </c>
      <c r="G67">
        <v>0</v>
      </c>
      <c r="H67">
        <v>0</v>
      </c>
      <c r="I67">
        <v>0</v>
      </c>
      <c r="J67">
        <v>0</v>
      </c>
      <c r="K67">
        <v>0.87</v>
      </c>
      <c r="L67" t="s">
        <v>47</v>
      </c>
      <c r="M67">
        <v>4</v>
      </c>
      <c r="N67">
        <v>4.5999999999999996</v>
      </c>
      <c r="O67" t="s">
        <v>45</v>
      </c>
      <c r="P67" t="s">
        <v>33</v>
      </c>
      <c r="Q67">
        <v>4</v>
      </c>
      <c r="R67">
        <v>4.5999999999999996</v>
      </c>
    </row>
    <row r="68" spans="1:18">
      <c r="A68" s="12" t="s">
        <v>31</v>
      </c>
      <c r="B68" t="s">
        <v>46</v>
      </c>
      <c r="C68" t="s">
        <v>3</v>
      </c>
      <c r="D68">
        <v>109501599</v>
      </c>
      <c r="E68" t="s">
        <v>918</v>
      </c>
      <c r="F68" t="s">
        <v>892</v>
      </c>
      <c r="G68">
        <v>0</v>
      </c>
      <c r="H68">
        <v>0</v>
      </c>
      <c r="I68">
        <v>0</v>
      </c>
      <c r="J68">
        <v>0</v>
      </c>
      <c r="K68">
        <v>0</v>
      </c>
      <c r="L68" t="s">
        <v>47</v>
      </c>
      <c r="M68">
        <v>1</v>
      </c>
      <c r="N68">
        <v>0</v>
      </c>
      <c r="O68" t="s">
        <v>45</v>
      </c>
      <c r="P68" t="s">
        <v>33</v>
      </c>
      <c r="Q68">
        <v>1</v>
      </c>
      <c r="R68">
        <v>0</v>
      </c>
    </row>
    <row r="69" spans="1:18">
      <c r="A69" s="12" t="s">
        <v>31</v>
      </c>
      <c r="B69" t="s">
        <v>46</v>
      </c>
      <c r="C69" t="s">
        <v>3</v>
      </c>
      <c r="D69">
        <v>109502407</v>
      </c>
      <c r="E69" t="s">
        <v>919</v>
      </c>
      <c r="F69" t="s">
        <v>892</v>
      </c>
      <c r="G69">
        <v>0</v>
      </c>
      <c r="H69">
        <v>0</v>
      </c>
      <c r="I69">
        <v>0</v>
      </c>
      <c r="J69">
        <v>0</v>
      </c>
      <c r="K69">
        <v>0.47</v>
      </c>
      <c r="L69" t="s">
        <v>47</v>
      </c>
      <c r="M69">
        <v>6</v>
      </c>
      <c r="N69">
        <v>12.76</v>
      </c>
      <c r="O69" t="s">
        <v>45</v>
      </c>
      <c r="P69" t="s">
        <v>33</v>
      </c>
      <c r="Q69">
        <v>6</v>
      </c>
      <c r="R69">
        <v>12.76</v>
      </c>
    </row>
    <row r="70" spans="1:18">
      <c r="A70" s="12" t="s">
        <v>31</v>
      </c>
      <c r="B70" t="s">
        <v>46</v>
      </c>
      <c r="C70" t="s">
        <v>3</v>
      </c>
      <c r="D70">
        <v>109520615</v>
      </c>
      <c r="E70" t="s">
        <v>903</v>
      </c>
      <c r="F70" t="s">
        <v>902</v>
      </c>
      <c r="G70">
        <v>0</v>
      </c>
      <c r="H70">
        <v>0</v>
      </c>
      <c r="I70">
        <v>0</v>
      </c>
      <c r="J70">
        <v>0</v>
      </c>
      <c r="K70">
        <v>0</v>
      </c>
      <c r="L70" t="s">
        <v>47</v>
      </c>
      <c r="M70">
        <v>1</v>
      </c>
      <c r="N70">
        <v>0</v>
      </c>
      <c r="O70" t="s">
        <v>45</v>
      </c>
      <c r="P70" t="s">
        <v>33</v>
      </c>
      <c r="Q70">
        <v>1</v>
      </c>
      <c r="R70">
        <v>0</v>
      </c>
    </row>
    <row r="71" spans="1:18">
      <c r="A71" s="12" t="s">
        <v>31</v>
      </c>
      <c r="B71" t="s">
        <v>46</v>
      </c>
      <c r="C71" t="s">
        <v>3</v>
      </c>
      <c r="D71">
        <v>109520754</v>
      </c>
      <c r="E71" t="s">
        <v>904</v>
      </c>
      <c r="F71" t="s">
        <v>902</v>
      </c>
      <c r="G71">
        <v>0</v>
      </c>
      <c r="H71">
        <v>0</v>
      </c>
      <c r="I71">
        <v>0</v>
      </c>
      <c r="J71">
        <v>0</v>
      </c>
      <c r="K71">
        <v>0.13</v>
      </c>
      <c r="L71" t="s">
        <v>47</v>
      </c>
      <c r="M71">
        <v>2</v>
      </c>
      <c r="N71">
        <v>15.22</v>
      </c>
      <c r="O71" t="s">
        <v>45</v>
      </c>
      <c r="P71" t="s">
        <v>33</v>
      </c>
      <c r="Q71">
        <v>2</v>
      </c>
      <c r="R71">
        <v>15.22</v>
      </c>
    </row>
    <row r="72" spans="1:18">
      <c r="A72" s="12" t="s">
        <v>31</v>
      </c>
      <c r="B72" t="s">
        <v>358</v>
      </c>
      <c r="C72" t="s">
        <v>3</v>
      </c>
      <c r="D72">
        <v>102020851</v>
      </c>
      <c r="E72" t="s">
        <v>934</v>
      </c>
      <c r="F72" t="s">
        <v>892</v>
      </c>
      <c r="G72">
        <v>0</v>
      </c>
      <c r="H72">
        <v>0</v>
      </c>
      <c r="I72">
        <v>0</v>
      </c>
      <c r="J72">
        <v>0</v>
      </c>
      <c r="K72">
        <v>1</v>
      </c>
    </row>
    <row r="73" spans="1:18">
      <c r="A73" s="12" t="s">
        <v>31</v>
      </c>
      <c r="B73" t="s">
        <v>358</v>
      </c>
      <c r="C73" t="s">
        <v>3</v>
      </c>
      <c r="D73">
        <v>102155000</v>
      </c>
      <c r="E73" t="s">
        <v>908</v>
      </c>
      <c r="F73" t="s">
        <v>902</v>
      </c>
      <c r="G73">
        <v>0</v>
      </c>
      <c r="H73">
        <v>0</v>
      </c>
      <c r="I73">
        <v>0</v>
      </c>
      <c r="J73">
        <v>0</v>
      </c>
      <c r="K73">
        <v>0.5</v>
      </c>
    </row>
    <row r="74" spans="1:18">
      <c r="A74" s="12" t="s">
        <v>31</v>
      </c>
      <c r="B74" t="s">
        <v>372</v>
      </c>
      <c r="C74" t="s">
        <v>3</v>
      </c>
      <c r="D74">
        <v>102425772</v>
      </c>
      <c r="E74" t="s">
        <v>940</v>
      </c>
      <c r="F74" t="s">
        <v>902</v>
      </c>
      <c r="G74">
        <v>0</v>
      </c>
      <c r="H74">
        <v>0</v>
      </c>
      <c r="I74">
        <v>0</v>
      </c>
      <c r="J74">
        <v>0</v>
      </c>
      <c r="K74">
        <v>1</v>
      </c>
    </row>
    <row r="75" spans="1:18">
      <c r="A75" s="12" t="s">
        <v>31</v>
      </c>
      <c r="B75" t="s">
        <v>372</v>
      </c>
      <c r="C75" t="s">
        <v>3</v>
      </c>
      <c r="D75">
        <v>108439009</v>
      </c>
      <c r="E75" t="s">
        <v>941</v>
      </c>
      <c r="F75" t="s">
        <v>902</v>
      </c>
      <c r="G75">
        <v>0</v>
      </c>
      <c r="H75">
        <v>0</v>
      </c>
      <c r="I75">
        <v>0</v>
      </c>
      <c r="J75">
        <v>0</v>
      </c>
      <c r="K75">
        <v>0.37</v>
      </c>
    </row>
    <row r="76" spans="1:18">
      <c r="A76" s="12" t="s">
        <v>4</v>
      </c>
    </row>
    <row r="77" spans="1:18">
      <c r="A77" s="12"/>
    </row>
    <row r="78" spans="1:18">
      <c r="A78" s="12"/>
    </row>
    <row r="79" spans="1:18">
      <c r="A79" s="12"/>
    </row>
    <row r="80" spans="1:18">
      <c r="A80" s="12"/>
    </row>
    <row r="81" spans="1:1">
      <c r="A81" s="12"/>
    </row>
    <row r="82" spans="1:1">
      <c r="A82" s="12"/>
    </row>
    <row r="83" spans="1:1">
      <c r="A83" s="12"/>
    </row>
    <row r="84" spans="1:1">
      <c r="A84" s="12"/>
    </row>
    <row r="85" spans="1:1">
      <c r="A85" s="12"/>
    </row>
    <row r="86" spans="1:1">
      <c r="A86" s="12"/>
    </row>
    <row r="87" spans="1:1">
      <c r="A87" s="12"/>
    </row>
    <row r="88" spans="1:1">
      <c r="A88" s="12"/>
    </row>
    <row r="89" spans="1:1">
      <c r="A89" s="12"/>
    </row>
    <row r="90" spans="1:1">
      <c r="A90" s="12"/>
    </row>
    <row r="91" spans="1:1">
      <c r="A91" s="12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1">
      <c r="A113" s="12"/>
    </row>
    <row r="114" spans="1:1">
      <c r="A114" s="12"/>
    </row>
    <row r="115" spans="1:1">
      <c r="A115" s="12"/>
    </row>
    <row r="116" spans="1:1">
      <c r="A116" s="12"/>
    </row>
    <row r="117" spans="1:1">
      <c r="A117" s="12"/>
    </row>
    <row r="118" spans="1:1">
      <c r="A118" s="12"/>
    </row>
    <row r="119" spans="1:1">
      <c r="A119" s="12"/>
    </row>
    <row r="120" spans="1:1">
      <c r="A120" s="12"/>
    </row>
    <row r="121" spans="1:1">
      <c r="A121" s="12"/>
    </row>
    <row r="122" spans="1:1">
      <c r="A122" s="12"/>
    </row>
    <row r="123" spans="1:1">
      <c r="A123" s="12"/>
    </row>
    <row r="124" spans="1:1">
      <c r="A124" s="12"/>
    </row>
    <row r="125" spans="1:1">
      <c r="A125" s="12"/>
    </row>
    <row r="126" spans="1:1">
      <c r="A126" s="12"/>
    </row>
    <row r="127" spans="1:1">
      <c r="A127" s="12"/>
    </row>
    <row r="128" spans="1:1">
      <c r="A128" s="12"/>
    </row>
    <row r="129" spans="1:1">
      <c r="A129" s="12"/>
    </row>
    <row r="130" spans="1:1">
      <c r="A130" s="12"/>
    </row>
    <row r="131" spans="1:1">
      <c r="A131" s="12"/>
    </row>
    <row r="132" spans="1:1">
      <c r="A132" s="12"/>
    </row>
    <row r="133" spans="1:1">
      <c r="A133" s="12"/>
    </row>
    <row r="134" spans="1:1">
      <c r="A134" s="12"/>
    </row>
    <row r="135" spans="1:1">
      <c r="A135" s="12"/>
    </row>
    <row r="136" spans="1:1">
      <c r="A136" s="12"/>
    </row>
    <row r="137" spans="1:1">
      <c r="A137" s="12"/>
    </row>
    <row r="138" spans="1:1">
      <c r="A138" s="12"/>
    </row>
    <row r="139" spans="1:1">
      <c r="A139" s="12"/>
    </row>
    <row r="140" spans="1:1">
      <c r="A140" s="12"/>
    </row>
    <row r="141" spans="1:1">
      <c r="A141" s="12"/>
    </row>
    <row r="142" spans="1:1">
      <c r="A142" s="12"/>
    </row>
    <row r="143" spans="1:1">
      <c r="A143" s="12"/>
    </row>
    <row r="144" spans="1:1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186"/>
  <sheetViews>
    <sheetView topLeftCell="A56" workbookViewId="0">
      <selection activeCell="D69" sqref="D69"/>
    </sheetView>
  </sheetViews>
  <sheetFormatPr defaultRowHeight="16.5"/>
  <cols>
    <col min="1" max="1" width="18.28515625" style="11" bestFit="1" customWidth="1"/>
    <col min="2" max="2" width="11.42578125" style="11" bestFit="1" customWidth="1"/>
    <col min="3" max="3" width="54.42578125" style="11" bestFit="1" customWidth="1"/>
    <col min="4" max="4" width="30.42578125" style="11" bestFit="1" customWidth="1"/>
    <col min="5" max="5" width="27.85546875" style="11" bestFit="1" customWidth="1"/>
    <col min="6" max="6" width="17.5703125" style="11" bestFit="1" customWidth="1"/>
    <col min="7" max="7" width="8.42578125" style="11" bestFit="1" customWidth="1"/>
    <col min="8" max="8" width="12.42578125" style="11" bestFit="1" customWidth="1"/>
    <col min="9" max="10" width="11.85546875" style="11" bestFit="1" customWidth="1"/>
    <col min="11" max="11" width="14.140625" style="11" bestFit="1" customWidth="1"/>
    <col min="12" max="12" width="16.5703125" style="11" bestFit="1" customWidth="1"/>
    <col min="13" max="13" width="16.7109375" style="11" bestFit="1" customWidth="1"/>
    <col min="14" max="14" width="11.85546875" style="11" bestFit="1" customWidth="1"/>
    <col min="15" max="15" width="18.7109375" style="11" bestFit="1" customWidth="1"/>
    <col min="16" max="16" width="8.7109375" style="11" bestFit="1" customWidth="1"/>
    <col min="17" max="17" width="23.140625" style="11" bestFit="1" customWidth="1"/>
    <col min="18" max="18" width="20.42578125" style="11" bestFit="1" customWidth="1"/>
    <col min="19" max="19" width="6.42578125" style="11" bestFit="1" customWidth="1"/>
  </cols>
  <sheetData>
    <row r="1" spans="1:19">
      <c r="A1" s="12" t="s">
        <v>386</v>
      </c>
      <c r="B1" s="11" t="s">
        <v>387</v>
      </c>
      <c r="C1" s="11" t="s">
        <v>388</v>
      </c>
      <c r="D1" s="11" t="s">
        <v>389</v>
      </c>
      <c r="E1" s="11" t="s">
        <v>390</v>
      </c>
      <c r="F1" s="11" t="s">
        <v>391</v>
      </c>
      <c r="G1" s="11" t="s">
        <v>17</v>
      </c>
      <c r="H1" s="11" t="s">
        <v>392</v>
      </c>
      <c r="I1" s="11" t="s">
        <v>393</v>
      </c>
      <c r="J1" s="11" t="s">
        <v>394</v>
      </c>
      <c r="K1" s="11" t="s">
        <v>395</v>
      </c>
      <c r="L1" s="11" t="s">
        <v>396</v>
      </c>
      <c r="M1" s="11" t="s">
        <v>397</v>
      </c>
      <c r="N1" s="11" t="s">
        <v>398</v>
      </c>
      <c r="O1" s="11" t="s">
        <v>399</v>
      </c>
      <c r="P1" s="11" t="s">
        <v>400</v>
      </c>
      <c r="Q1" s="11" t="s">
        <v>401</v>
      </c>
      <c r="R1" s="11" t="s">
        <v>402</v>
      </c>
      <c r="S1" s="11" t="s">
        <v>403</v>
      </c>
    </row>
    <row r="2" spans="1:19">
      <c r="A2" s="12" t="s">
        <v>404</v>
      </c>
      <c r="B2" s="11">
        <v>1</v>
      </c>
      <c r="C2" s="11" t="s">
        <v>405</v>
      </c>
      <c r="D2" s="11" t="s">
        <v>406</v>
      </c>
      <c r="E2" s="11" t="s">
        <v>407</v>
      </c>
      <c r="F2" s="11" t="s">
        <v>408</v>
      </c>
      <c r="G2" s="11" t="s">
        <v>409</v>
      </c>
      <c r="H2" s="11">
        <v>0</v>
      </c>
      <c r="I2" s="11">
        <v>0</v>
      </c>
      <c r="J2" s="11">
        <v>0</v>
      </c>
      <c r="K2" s="11">
        <v>5139.18</v>
      </c>
      <c r="L2" s="65">
        <v>0</v>
      </c>
      <c r="M2" s="65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</row>
    <row r="3" spans="1:19">
      <c r="A3" s="12" t="s">
        <v>404</v>
      </c>
      <c r="B3" s="11">
        <v>2</v>
      </c>
      <c r="C3" s="11" t="s">
        <v>410</v>
      </c>
      <c r="D3" s="11" t="s">
        <v>411</v>
      </c>
      <c r="E3" s="11" t="s">
        <v>407</v>
      </c>
      <c r="F3" s="11" t="s">
        <v>408</v>
      </c>
      <c r="G3" s="11" t="s">
        <v>378</v>
      </c>
      <c r="H3" s="11">
        <v>0</v>
      </c>
      <c r="I3" s="11">
        <v>0</v>
      </c>
      <c r="J3" s="11">
        <v>0</v>
      </c>
      <c r="K3" s="11">
        <v>606.52000799999996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19">
      <c r="A4" s="12" t="s">
        <v>404</v>
      </c>
      <c r="B4" s="11">
        <v>3</v>
      </c>
      <c r="C4" s="11" t="s">
        <v>412</v>
      </c>
      <c r="D4" s="11" t="s">
        <v>413</v>
      </c>
      <c r="E4" s="11" t="s">
        <v>407</v>
      </c>
      <c r="F4" s="11" t="s">
        <v>408</v>
      </c>
      <c r="G4" s="11" t="s">
        <v>378</v>
      </c>
      <c r="H4" s="11">
        <v>0</v>
      </c>
      <c r="I4" s="11">
        <v>0</v>
      </c>
      <c r="J4" s="11">
        <v>0</v>
      </c>
      <c r="K4" s="11">
        <v>955.550015999999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</row>
    <row r="5" spans="1:19">
      <c r="A5" s="12" t="s">
        <v>404</v>
      </c>
      <c r="B5" s="11">
        <v>4</v>
      </c>
      <c r="C5" s="11" t="s">
        <v>414</v>
      </c>
      <c r="D5" s="11" t="s">
        <v>415</v>
      </c>
      <c r="E5" s="11" t="s">
        <v>407</v>
      </c>
      <c r="F5" s="11" t="s">
        <v>408</v>
      </c>
      <c r="G5" s="11" t="s">
        <v>378</v>
      </c>
      <c r="H5" s="11">
        <v>0</v>
      </c>
      <c r="I5" s="11">
        <v>0</v>
      </c>
      <c r="J5" s="11">
        <v>0</v>
      </c>
      <c r="K5" s="11">
        <v>250.85998799999999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</row>
    <row r="6" spans="1:19">
      <c r="A6" s="12" t="s">
        <v>404</v>
      </c>
      <c r="B6" s="11">
        <v>5</v>
      </c>
      <c r="C6" s="11" t="s">
        <v>416</v>
      </c>
      <c r="D6" s="11" t="s">
        <v>417</v>
      </c>
      <c r="E6" s="11" t="s">
        <v>407</v>
      </c>
      <c r="F6" s="11" t="s">
        <v>408</v>
      </c>
      <c r="G6" s="11" t="s">
        <v>378</v>
      </c>
      <c r="H6" s="11">
        <v>0</v>
      </c>
      <c r="I6" s="11">
        <v>0</v>
      </c>
      <c r="J6" s="11">
        <v>0</v>
      </c>
      <c r="K6" s="11">
        <v>27.029987999999999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</row>
    <row r="7" spans="1:19">
      <c r="A7" s="12" t="s">
        <v>404</v>
      </c>
      <c r="B7" s="11">
        <v>6</v>
      </c>
      <c r="C7" s="11" t="s">
        <v>418</v>
      </c>
      <c r="D7" s="11" t="s">
        <v>419</v>
      </c>
      <c r="E7" s="11" t="s">
        <v>407</v>
      </c>
      <c r="F7" s="11" t="s">
        <v>408</v>
      </c>
      <c r="G7" s="11" t="s">
        <v>378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P7" s="11">
        <v>0</v>
      </c>
      <c r="Q7" s="11">
        <v>0</v>
      </c>
      <c r="R7" s="11">
        <v>0</v>
      </c>
      <c r="S7" s="11">
        <v>0</v>
      </c>
    </row>
    <row r="8" spans="1:19">
      <c r="A8" s="12" t="s">
        <v>404</v>
      </c>
      <c r="B8" s="11">
        <v>7</v>
      </c>
      <c r="C8" s="11" t="s">
        <v>420</v>
      </c>
      <c r="D8" s="11" t="s">
        <v>421</v>
      </c>
      <c r="E8" s="11" t="s">
        <v>407</v>
      </c>
      <c r="F8" s="11" t="s">
        <v>408</v>
      </c>
      <c r="G8" s="11" t="s">
        <v>378</v>
      </c>
      <c r="H8" s="11">
        <v>0</v>
      </c>
      <c r="I8" s="11">
        <v>0</v>
      </c>
      <c r="J8" s="11">
        <v>0</v>
      </c>
      <c r="K8" s="11">
        <v>10006.999991999999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</row>
    <row r="9" spans="1:19">
      <c r="A9" s="12" t="s">
        <v>404</v>
      </c>
      <c r="B9" s="11">
        <v>8</v>
      </c>
      <c r="C9" s="11" t="s">
        <v>422</v>
      </c>
      <c r="D9" s="11" t="s">
        <v>423</v>
      </c>
      <c r="E9" s="11" t="s">
        <v>407</v>
      </c>
      <c r="F9" s="11" t="s">
        <v>408</v>
      </c>
      <c r="G9" s="11" t="s">
        <v>378</v>
      </c>
      <c r="H9" s="11">
        <v>0</v>
      </c>
      <c r="I9" s="11">
        <v>0</v>
      </c>
      <c r="J9" s="11">
        <v>0</v>
      </c>
      <c r="K9" s="11">
        <v>10006.999991999999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</row>
    <row r="10" spans="1:19">
      <c r="A10" s="12" t="s">
        <v>404</v>
      </c>
      <c r="B10" s="11">
        <v>9</v>
      </c>
      <c r="C10" s="11" t="s">
        <v>424</v>
      </c>
      <c r="D10" s="11" t="s">
        <v>425</v>
      </c>
      <c r="E10" s="11" t="s">
        <v>407</v>
      </c>
      <c r="F10" s="11" t="s">
        <v>408</v>
      </c>
      <c r="G10" s="11" t="s">
        <v>378</v>
      </c>
      <c r="H10" s="11">
        <v>0</v>
      </c>
      <c r="I10" s="11">
        <v>0</v>
      </c>
      <c r="J10" s="11">
        <v>0</v>
      </c>
      <c r="K10" s="11">
        <v>10006.999991999999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</row>
    <row r="11" spans="1:19">
      <c r="A11" s="12" t="s">
        <v>404</v>
      </c>
      <c r="B11" s="11">
        <v>10</v>
      </c>
      <c r="C11" s="11" t="s">
        <v>426</v>
      </c>
      <c r="D11" s="11" t="s">
        <v>427</v>
      </c>
      <c r="E11" s="11" t="s">
        <v>407</v>
      </c>
      <c r="F11" s="11" t="s">
        <v>408</v>
      </c>
      <c r="G11" s="11" t="s">
        <v>378</v>
      </c>
      <c r="H11" s="11">
        <v>0</v>
      </c>
      <c r="I11" s="11">
        <v>0</v>
      </c>
      <c r="J11" s="11">
        <v>0</v>
      </c>
      <c r="K11" s="11">
        <v>10006.999991999999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</row>
    <row r="12" spans="1:19">
      <c r="A12" s="12" t="s">
        <v>404</v>
      </c>
      <c r="B12" s="11">
        <v>11</v>
      </c>
      <c r="C12" s="11" t="s">
        <v>428</v>
      </c>
      <c r="D12" s="11" t="s">
        <v>429</v>
      </c>
      <c r="E12" s="11" t="s">
        <v>407</v>
      </c>
      <c r="F12" s="11" t="s">
        <v>408</v>
      </c>
      <c r="G12" s="11" t="s">
        <v>378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P12" s="11">
        <v>0</v>
      </c>
      <c r="Q12" s="11">
        <v>0</v>
      </c>
      <c r="R12" s="11">
        <v>0</v>
      </c>
      <c r="S12" s="11">
        <v>0</v>
      </c>
    </row>
    <row r="13" spans="1:19">
      <c r="A13" s="12" t="s">
        <v>404</v>
      </c>
      <c r="B13" s="11">
        <v>12</v>
      </c>
      <c r="C13" s="11" t="s">
        <v>430</v>
      </c>
      <c r="D13" s="11" t="s">
        <v>431</v>
      </c>
      <c r="E13" s="11" t="s">
        <v>407</v>
      </c>
      <c r="F13" s="11" t="s">
        <v>408</v>
      </c>
      <c r="G13" s="11" t="s">
        <v>432</v>
      </c>
      <c r="H13" s="11">
        <v>0</v>
      </c>
      <c r="I13" s="11">
        <v>0</v>
      </c>
      <c r="J13" s="11">
        <v>0</v>
      </c>
      <c r="K13" s="11">
        <v>45.380015999999998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</row>
    <row r="14" spans="1:19">
      <c r="A14" s="12" t="s">
        <v>404</v>
      </c>
      <c r="B14" s="11">
        <v>13</v>
      </c>
      <c r="C14" s="11" t="s">
        <v>433</v>
      </c>
      <c r="D14" s="11" t="s">
        <v>434</v>
      </c>
      <c r="E14" s="11" t="s">
        <v>407</v>
      </c>
      <c r="F14" s="11" t="s">
        <v>408</v>
      </c>
      <c r="G14" s="11" t="s">
        <v>432</v>
      </c>
      <c r="H14" s="11">
        <v>0</v>
      </c>
      <c r="I14" s="11">
        <v>0</v>
      </c>
      <c r="J14" s="11">
        <v>0</v>
      </c>
      <c r="K14" s="11">
        <v>71.240003999999999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</row>
    <row r="15" spans="1:19">
      <c r="A15" s="12" t="s">
        <v>404</v>
      </c>
      <c r="B15" s="11">
        <v>14</v>
      </c>
      <c r="C15" s="11" t="s">
        <v>435</v>
      </c>
      <c r="D15" s="11" t="s">
        <v>436</v>
      </c>
      <c r="E15" s="11" t="s">
        <v>407</v>
      </c>
      <c r="F15" s="11" t="s">
        <v>408</v>
      </c>
      <c r="G15" s="11" t="s">
        <v>45</v>
      </c>
      <c r="H15" s="11">
        <v>0</v>
      </c>
      <c r="I15" s="11">
        <v>0</v>
      </c>
      <c r="J15" s="11">
        <v>0</v>
      </c>
      <c r="K15" s="11">
        <v>11.959992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</row>
    <row r="16" spans="1:19">
      <c r="A16" s="12" t="s">
        <v>404</v>
      </c>
      <c r="B16" s="11">
        <v>15</v>
      </c>
      <c r="C16" s="11" t="s">
        <v>437</v>
      </c>
      <c r="D16" s="11" t="s">
        <v>438</v>
      </c>
      <c r="E16" s="11" t="s">
        <v>407</v>
      </c>
      <c r="F16" s="11" t="s">
        <v>408</v>
      </c>
      <c r="G16" s="11" t="s">
        <v>409</v>
      </c>
      <c r="H16" s="11">
        <v>0</v>
      </c>
      <c r="I16" s="11">
        <v>0</v>
      </c>
      <c r="J16" s="11">
        <v>0</v>
      </c>
      <c r="K16" s="11">
        <v>836.269992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</row>
    <row r="17" spans="1:19">
      <c r="A17" s="12" t="s">
        <v>404</v>
      </c>
      <c r="B17" s="11">
        <v>16</v>
      </c>
      <c r="C17" s="11" t="s">
        <v>439</v>
      </c>
      <c r="D17" s="11" t="s">
        <v>440</v>
      </c>
      <c r="E17" s="11" t="s">
        <v>407</v>
      </c>
      <c r="F17" s="11" t="s">
        <v>408</v>
      </c>
      <c r="G17" s="11" t="s">
        <v>378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P17" s="11">
        <v>0</v>
      </c>
      <c r="Q17" s="11">
        <v>0</v>
      </c>
      <c r="R17" s="11">
        <v>0</v>
      </c>
      <c r="S17" s="11">
        <v>0</v>
      </c>
    </row>
    <row r="18" spans="1:19">
      <c r="A18" s="12" t="s">
        <v>404</v>
      </c>
      <c r="B18" s="11">
        <v>17</v>
      </c>
      <c r="C18" s="11" t="s">
        <v>441</v>
      </c>
      <c r="D18" s="11" t="s">
        <v>442</v>
      </c>
      <c r="E18" s="11" t="s">
        <v>407</v>
      </c>
      <c r="F18" s="11" t="s">
        <v>443</v>
      </c>
      <c r="G18" s="11" t="s">
        <v>432</v>
      </c>
      <c r="H18" s="11">
        <v>1544</v>
      </c>
      <c r="I18" s="11">
        <v>32.310833333333299</v>
      </c>
      <c r="J18" s="11">
        <v>47.785830345859203</v>
      </c>
      <c r="K18" s="11">
        <v>60.429996000000003</v>
      </c>
      <c r="L18" s="11">
        <v>25.550225090201799</v>
      </c>
      <c r="M18" s="11">
        <v>-6.7606082431314398</v>
      </c>
      <c r="N18" s="11">
        <v>0.79076342063400396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</row>
    <row r="19" spans="1:19">
      <c r="A19" s="12" t="s">
        <v>404</v>
      </c>
      <c r="B19" s="11">
        <v>18</v>
      </c>
      <c r="C19" s="11" t="s">
        <v>444</v>
      </c>
      <c r="D19" s="11" t="s">
        <v>445</v>
      </c>
      <c r="E19" s="11" t="s">
        <v>407</v>
      </c>
      <c r="F19" s="11" t="s">
        <v>443</v>
      </c>
      <c r="G19" s="11" t="s">
        <v>378</v>
      </c>
      <c r="H19" s="11">
        <v>14758</v>
      </c>
      <c r="I19" s="11">
        <v>44.936111111111103</v>
      </c>
      <c r="J19" s="11">
        <v>328.42183346726802</v>
      </c>
      <c r="K19" s="11">
        <v>346.550004</v>
      </c>
      <c r="L19" s="11">
        <v>42.585485008391402</v>
      </c>
      <c r="M19" s="11">
        <v>-2.3506261027196498</v>
      </c>
      <c r="N19" s="11">
        <v>0.94768959652722495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</row>
    <row r="20" spans="1:19">
      <c r="A20" s="12" t="s">
        <v>404</v>
      </c>
      <c r="B20" s="11">
        <v>19</v>
      </c>
      <c r="C20" s="11" t="s">
        <v>446</v>
      </c>
      <c r="D20" s="11" t="s">
        <v>447</v>
      </c>
      <c r="E20" s="11" t="s">
        <v>407</v>
      </c>
      <c r="F20" s="11" t="s">
        <v>443</v>
      </c>
      <c r="G20" s="11" t="s">
        <v>378</v>
      </c>
      <c r="H20" s="11">
        <v>12275</v>
      </c>
      <c r="I20" s="11">
        <v>73.466111111111104</v>
      </c>
      <c r="J20" s="11">
        <v>167.08384062190399</v>
      </c>
      <c r="K20" s="11">
        <v>184.20998399999999</v>
      </c>
      <c r="L20" s="11">
        <v>66.635910461834598</v>
      </c>
      <c r="M20" s="11">
        <v>-6.8302006492764198</v>
      </c>
      <c r="N20" s="11">
        <v>0.90702923367011501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</row>
    <row r="21" spans="1:19">
      <c r="A21" s="12" t="s">
        <v>404</v>
      </c>
      <c r="B21" s="11">
        <v>20</v>
      </c>
      <c r="C21" s="11" t="s">
        <v>448</v>
      </c>
      <c r="D21" s="11" t="s">
        <v>449</v>
      </c>
      <c r="E21" s="11" t="s">
        <v>407</v>
      </c>
      <c r="F21" s="11" t="s">
        <v>443</v>
      </c>
      <c r="G21" s="11" t="s">
        <v>378</v>
      </c>
      <c r="H21" s="11">
        <v>29</v>
      </c>
      <c r="I21" s="11">
        <v>0.29166666666666602</v>
      </c>
      <c r="J21" s="11">
        <v>99.428571428571402</v>
      </c>
      <c r="K21" s="11">
        <v>125.079984</v>
      </c>
      <c r="L21" s="11">
        <v>0.23185164462444999</v>
      </c>
      <c r="M21" s="11">
        <v>-5.9815022042215803E-2</v>
      </c>
      <c r="N21" s="11">
        <v>0.79491992442668802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</row>
    <row r="22" spans="1:19">
      <c r="A22" s="12" t="s">
        <v>404</v>
      </c>
      <c r="B22" s="11">
        <v>21</v>
      </c>
      <c r="C22" s="11" t="s">
        <v>450</v>
      </c>
      <c r="D22" s="11" t="s">
        <v>451</v>
      </c>
      <c r="E22" s="11" t="s">
        <v>407</v>
      </c>
      <c r="F22" s="11" t="s">
        <v>443</v>
      </c>
      <c r="G22" s="11" t="s">
        <v>378</v>
      </c>
      <c r="H22" s="11">
        <v>0</v>
      </c>
      <c r="I22" s="11">
        <v>0</v>
      </c>
      <c r="J22" s="11">
        <v>0</v>
      </c>
      <c r="K22" s="11">
        <v>129.53001599999999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</row>
    <row r="23" spans="1:19">
      <c r="A23" s="12" t="s">
        <v>404</v>
      </c>
      <c r="B23" s="11">
        <v>22</v>
      </c>
      <c r="C23" s="11" t="s">
        <v>452</v>
      </c>
      <c r="D23" s="11" t="s">
        <v>453</v>
      </c>
      <c r="E23" s="11" t="s">
        <v>407</v>
      </c>
      <c r="F23" s="11" t="s">
        <v>443</v>
      </c>
      <c r="G23" s="11" t="s">
        <v>378</v>
      </c>
      <c r="H23" s="11">
        <v>27062</v>
      </c>
      <c r="I23" s="11">
        <v>118.693888888888</v>
      </c>
      <c r="J23" s="11">
        <v>227.998258826392</v>
      </c>
      <c r="K23" s="11">
        <v>247.24711886896799</v>
      </c>
      <c r="L23" s="11">
        <v>109.45324711485</v>
      </c>
      <c r="M23" s="11">
        <v>-9.2406417740382896</v>
      </c>
      <c r="N23" s="11">
        <v>0.92214728272414603</v>
      </c>
      <c r="P23" s="11">
        <v>0</v>
      </c>
      <c r="Q23" s="11">
        <v>0</v>
      </c>
      <c r="R23" s="11">
        <v>0</v>
      </c>
      <c r="S23" s="11">
        <v>0</v>
      </c>
    </row>
    <row r="24" spans="1:19">
      <c r="A24" s="12" t="s">
        <v>404</v>
      </c>
      <c r="B24" s="11">
        <v>23</v>
      </c>
      <c r="C24" s="11" t="s">
        <v>454</v>
      </c>
      <c r="D24" s="11" t="s">
        <v>455</v>
      </c>
      <c r="E24" s="11" t="s">
        <v>407</v>
      </c>
      <c r="F24" s="11" t="s">
        <v>443</v>
      </c>
      <c r="G24" s="11" t="s">
        <v>432</v>
      </c>
      <c r="H24" s="11">
        <v>0</v>
      </c>
      <c r="I24" s="11">
        <v>0</v>
      </c>
      <c r="J24" s="11">
        <v>0</v>
      </c>
      <c r="K24" s="11">
        <v>10006.999991999999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</row>
    <row r="25" spans="1:19">
      <c r="A25" s="12" t="s">
        <v>404</v>
      </c>
      <c r="B25" s="11">
        <v>24</v>
      </c>
      <c r="C25" s="11" t="s">
        <v>456</v>
      </c>
      <c r="D25" s="11" t="s">
        <v>457</v>
      </c>
      <c r="E25" s="11" t="s">
        <v>407</v>
      </c>
      <c r="F25" s="11" t="s">
        <v>443</v>
      </c>
      <c r="G25" s="11" t="s">
        <v>45</v>
      </c>
      <c r="H25" s="11">
        <v>0</v>
      </c>
      <c r="I25" s="11">
        <v>0</v>
      </c>
      <c r="J25" s="11">
        <v>0</v>
      </c>
      <c r="K25" s="11">
        <v>7.0499879999999999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</row>
    <row r="26" spans="1:19">
      <c r="A26" s="12" t="s">
        <v>404</v>
      </c>
      <c r="B26" s="11">
        <v>25</v>
      </c>
      <c r="C26" s="11" t="s">
        <v>458</v>
      </c>
      <c r="D26" s="11" t="s">
        <v>459</v>
      </c>
      <c r="E26" s="11" t="s">
        <v>407</v>
      </c>
      <c r="F26" s="11" t="s">
        <v>443</v>
      </c>
      <c r="G26" s="11" t="s">
        <v>409</v>
      </c>
      <c r="H26" s="11">
        <v>27062</v>
      </c>
      <c r="I26" s="11">
        <v>33.65</v>
      </c>
      <c r="J26" s="11">
        <v>804.21991084695401</v>
      </c>
      <c r="K26" s="11">
        <v>880.81999199999996</v>
      </c>
      <c r="L26" s="11">
        <v>30.723644156341901</v>
      </c>
      <c r="M26" s="11">
        <v>-2.9263558436579999</v>
      </c>
      <c r="N26" s="11">
        <v>0.91303548755845398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</row>
    <row r="27" spans="1:19">
      <c r="A27" s="12" t="s">
        <v>404</v>
      </c>
      <c r="B27" s="11">
        <v>26</v>
      </c>
      <c r="C27" s="11" t="s">
        <v>460</v>
      </c>
      <c r="D27" s="11" t="s">
        <v>461</v>
      </c>
      <c r="E27" s="11" t="s">
        <v>407</v>
      </c>
      <c r="F27" s="11" t="s">
        <v>443</v>
      </c>
      <c r="G27" s="11" t="s">
        <v>378</v>
      </c>
      <c r="H27" s="11">
        <v>27062</v>
      </c>
      <c r="I27" s="11">
        <v>184.65472222222201</v>
      </c>
      <c r="J27" s="11">
        <v>146.55460566793499</v>
      </c>
      <c r="K27" s="11">
        <v>163.29252927437</v>
      </c>
      <c r="L27" s="11">
        <v>165.727116361394</v>
      </c>
      <c r="M27" s="11">
        <v>-18.9276058608277</v>
      </c>
      <c r="N27" s="11">
        <v>0.89749730939428995</v>
      </c>
      <c r="P27" s="11">
        <v>0</v>
      </c>
      <c r="Q27" s="11">
        <v>0</v>
      </c>
      <c r="R27" s="11">
        <v>0</v>
      </c>
      <c r="S27" s="11">
        <v>0</v>
      </c>
    </row>
    <row r="28" spans="1:19">
      <c r="A28" s="12" t="s">
        <v>404</v>
      </c>
      <c r="B28" s="11">
        <v>27</v>
      </c>
      <c r="C28" s="11" t="s">
        <v>462</v>
      </c>
      <c r="D28" s="11" t="s">
        <v>463</v>
      </c>
      <c r="E28" s="11" t="s">
        <v>407</v>
      </c>
      <c r="F28" s="11" t="s">
        <v>464</v>
      </c>
      <c r="G28" s="11" t="s">
        <v>378</v>
      </c>
      <c r="H28" s="11">
        <v>44</v>
      </c>
      <c r="I28" s="11">
        <v>0.47166666666666601</v>
      </c>
      <c r="J28" s="11">
        <v>93.286219081271994</v>
      </c>
      <c r="K28" s="11">
        <v>69.900012000000004</v>
      </c>
      <c r="L28" s="11">
        <v>0.62947056432551096</v>
      </c>
      <c r="M28" s="11">
        <v>0.15780389765884401</v>
      </c>
      <c r="N28" s="11">
        <v>1.3345665674745799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</row>
    <row r="29" spans="1:19">
      <c r="A29" s="12" t="s">
        <v>404</v>
      </c>
      <c r="B29" s="11">
        <v>28</v>
      </c>
      <c r="C29" s="11" t="s">
        <v>465</v>
      </c>
      <c r="D29" s="11" t="s">
        <v>466</v>
      </c>
      <c r="E29" s="11" t="s">
        <v>407</v>
      </c>
      <c r="F29" s="11" t="s">
        <v>464</v>
      </c>
      <c r="G29" s="11" t="s">
        <v>378</v>
      </c>
      <c r="H29" s="11">
        <v>0</v>
      </c>
      <c r="I29" s="11">
        <v>0</v>
      </c>
      <c r="J29" s="11">
        <v>0</v>
      </c>
      <c r="K29" s="11">
        <v>10006.999991999999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</row>
    <row r="30" spans="1:19">
      <c r="A30" s="12" t="s">
        <v>404</v>
      </c>
      <c r="B30" s="11">
        <v>29</v>
      </c>
      <c r="C30" s="11" t="s">
        <v>467</v>
      </c>
      <c r="D30" s="11" t="s">
        <v>468</v>
      </c>
      <c r="E30" s="11" t="s">
        <v>407</v>
      </c>
      <c r="F30" s="11" t="s">
        <v>464</v>
      </c>
      <c r="G30" s="11" t="s">
        <v>378</v>
      </c>
      <c r="H30" s="11">
        <v>0</v>
      </c>
      <c r="I30" s="11">
        <v>0</v>
      </c>
      <c r="J30" s="11">
        <v>0</v>
      </c>
      <c r="K30" s="11">
        <v>166.389984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</row>
    <row r="31" spans="1:19">
      <c r="A31" s="12" t="s">
        <v>404</v>
      </c>
      <c r="B31" s="11">
        <v>30</v>
      </c>
      <c r="C31" s="11" t="s">
        <v>469</v>
      </c>
      <c r="D31" s="11" t="s">
        <v>470</v>
      </c>
      <c r="E31" s="11" t="s">
        <v>407</v>
      </c>
      <c r="F31" s="11" t="s">
        <v>464</v>
      </c>
      <c r="G31" s="11" t="s">
        <v>378</v>
      </c>
      <c r="H31" s="11">
        <v>0</v>
      </c>
      <c r="I31" s="11">
        <v>0</v>
      </c>
      <c r="J31" s="11">
        <v>0</v>
      </c>
      <c r="K31" s="11">
        <v>88.949988000000005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</row>
    <row r="32" spans="1:19">
      <c r="A32" s="12" t="s">
        <v>404</v>
      </c>
      <c r="B32" s="11">
        <v>31</v>
      </c>
      <c r="C32" s="11" t="s">
        <v>471</v>
      </c>
      <c r="D32" s="11" t="s">
        <v>472</v>
      </c>
      <c r="E32" s="11" t="s">
        <v>407</v>
      </c>
      <c r="F32" s="11" t="s">
        <v>464</v>
      </c>
      <c r="G32" s="11" t="s">
        <v>378</v>
      </c>
      <c r="H32" s="11">
        <v>0</v>
      </c>
      <c r="I32" s="11">
        <v>0</v>
      </c>
      <c r="J32" s="11">
        <v>0</v>
      </c>
      <c r="K32" s="11">
        <v>71.899991999999997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>
      <c r="A33" s="12" t="s">
        <v>404</v>
      </c>
      <c r="B33" s="11">
        <v>32</v>
      </c>
      <c r="C33" s="11" t="s">
        <v>473</v>
      </c>
      <c r="D33" s="11" t="s">
        <v>474</v>
      </c>
      <c r="E33" s="11" t="s">
        <v>407</v>
      </c>
      <c r="F33" s="11" t="s">
        <v>464</v>
      </c>
      <c r="G33" s="11" t="s">
        <v>378</v>
      </c>
      <c r="H33" s="11">
        <v>0</v>
      </c>
      <c r="I33" s="11">
        <v>0</v>
      </c>
      <c r="J33" s="11">
        <v>0</v>
      </c>
      <c r="K33" s="11">
        <v>253.85000399999899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>
      <c r="A34" s="12" t="s">
        <v>404</v>
      </c>
      <c r="B34" s="11">
        <v>33</v>
      </c>
      <c r="C34" s="11" t="s">
        <v>475</v>
      </c>
      <c r="D34" s="11" t="s">
        <v>476</v>
      </c>
      <c r="E34" s="11" t="s">
        <v>407</v>
      </c>
      <c r="F34" s="11" t="s">
        <v>464</v>
      </c>
      <c r="G34" s="11" t="s">
        <v>378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>
      <c r="A35" s="12" t="s">
        <v>404</v>
      </c>
      <c r="B35" s="11">
        <v>34</v>
      </c>
      <c r="C35" s="11" t="s">
        <v>477</v>
      </c>
      <c r="D35" s="11" t="s">
        <v>478</v>
      </c>
      <c r="E35" s="11" t="s">
        <v>407</v>
      </c>
      <c r="F35" s="11" t="s">
        <v>464</v>
      </c>
      <c r="G35" s="11" t="s">
        <v>409</v>
      </c>
      <c r="H35" s="11">
        <v>44</v>
      </c>
      <c r="I35" s="11">
        <v>0</v>
      </c>
      <c r="J35" s="11">
        <v>0</v>
      </c>
      <c r="K35" s="11">
        <v>46958.519988</v>
      </c>
      <c r="L35" s="65">
        <v>9.3699716284167305E-4</v>
      </c>
      <c r="M35" s="65">
        <v>9.3699716284167305E-4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</row>
    <row r="36" spans="1:19">
      <c r="A36" s="12" t="s">
        <v>404</v>
      </c>
      <c r="B36" s="11">
        <v>35</v>
      </c>
      <c r="C36" s="11" t="s">
        <v>479</v>
      </c>
      <c r="D36" s="11" t="s">
        <v>480</v>
      </c>
      <c r="E36" s="11" t="s">
        <v>407</v>
      </c>
      <c r="F36" s="11" t="s">
        <v>464</v>
      </c>
      <c r="G36" s="11" t="s">
        <v>409</v>
      </c>
      <c r="H36" s="11">
        <v>44</v>
      </c>
      <c r="I36" s="11">
        <v>0.47166666666666601</v>
      </c>
      <c r="J36" s="11">
        <v>93.286219081271994</v>
      </c>
      <c r="K36" s="11">
        <v>69.796117127971499</v>
      </c>
      <c r="L36" s="11">
        <v>0.63040756148835198</v>
      </c>
      <c r="M36" s="11">
        <v>0.15874089482168599</v>
      </c>
      <c r="N36" s="11">
        <v>1.33655313389756</v>
      </c>
      <c r="P36" s="11">
        <v>0</v>
      </c>
      <c r="Q36" s="11">
        <v>0</v>
      </c>
      <c r="R36" s="11">
        <v>0</v>
      </c>
      <c r="S36" s="11">
        <v>0</v>
      </c>
    </row>
    <row r="37" spans="1:19">
      <c r="A37" s="12" t="s">
        <v>404</v>
      </c>
      <c r="B37" s="11">
        <v>36</v>
      </c>
      <c r="C37" s="11" t="s">
        <v>481</v>
      </c>
      <c r="D37" s="11" t="s">
        <v>482</v>
      </c>
      <c r="E37" s="11" t="s">
        <v>407</v>
      </c>
      <c r="F37" s="11" t="s">
        <v>483</v>
      </c>
      <c r="G37" s="11" t="s">
        <v>378</v>
      </c>
      <c r="H37" s="11">
        <v>803</v>
      </c>
      <c r="I37" s="11">
        <v>2.7386111111111102</v>
      </c>
      <c r="J37" s="11">
        <v>293.21432193934402</v>
      </c>
      <c r="K37" s="11">
        <v>297.63</v>
      </c>
      <c r="L37" s="11">
        <v>2.6979807143097099</v>
      </c>
      <c r="M37" s="11">
        <v>-4.0630396801397503E-2</v>
      </c>
      <c r="N37" s="11">
        <v>0.98516386768586695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</row>
    <row r="38" spans="1:19">
      <c r="A38" s="12" t="s">
        <v>404</v>
      </c>
      <c r="B38" s="11">
        <v>37</v>
      </c>
      <c r="C38" s="11" t="s">
        <v>484</v>
      </c>
      <c r="D38" s="11" t="s">
        <v>485</v>
      </c>
      <c r="E38" s="11" t="s">
        <v>407</v>
      </c>
      <c r="F38" s="11" t="s">
        <v>483</v>
      </c>
      <c r="G38" s="11" t="s">
        <v>378</v>
      </c>
      <c r="H38" s="11">
        <v>864</v>
      </c>
      <c r="I38" s="11">
        <v>5.9719444444444401</v>
      </c>
      <c r="J38" s="11">
        <v>144.67649658123599</v>
      </c>
      <c r="K38" s="11">
        <v>168.810012</v>
      </c>
      <c r="L38" s="11">
        <v>5.1181798387645303</v>
      </c>
      <c r="M38" s="11">
        <v>-0.85376460567990498</v>
      </c>
      <c r="N38" s="11">
        <v>0.85703741660320598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</row>
    <row r="39" spans="1:19">
      <c r="A39" s="12" t="s">
        <v>404</v>
      </c>
      <c r="B39" s="11">
        <v>38</v>
      </c>
      <c r="C39" s="11" t="s">
        <v>486</v>
      </c>
      <c r="D39" s="11" t="s">
        <v>487</v>
      </c>
      <c r="E39" s="11" t="s">
        <v>407</v>
      </c>
      <c r="F39" s="11" t="s">
        <v>483</v>
      </c>
      <c r="G39" s="11" t="s">
        <v>378</v>
      </c>
      <c r="H39" s="11">
        <v>4</v>
      </c>
      <c r="I39" s="11">
        <v>2.4722222222222201E-2</v>
      </c>
      <c r="J39" s="11">
        <v>161.79775280898801</v>
      </c>
      <c r="K39" s="11">
        <v>120.279996</v>
      </c>
      <c r="L39" s="11">
        <v>3.3255737720509999E-2</v>
      </c>
      <c r="M39" s="11">
        <v>8.53351549828784E-3</v>
      </c>
      <c r="N39" s="11">
        <v>1.34517590779591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>
      <c r="A40" s="12" t="s">
        <v>404</v>
      </c>
      <c r="B40" s="11">
        <v>39</v>
      </c>
      <c r="C40" s="11" t="s">
        <v>488</v>
      </c>
      <c r="D40" s="11" t="s">
        <v>489</v>
      </c>
      <c r="E40" s="11" t="s">
        <v>407</v>
      </c>
      <c r="F40" s="11" t="s">
        <v>483</v>
      </c>
      <c r="G40" s="11" t="s">
        <v>378</v>
      </c>
      <c r="H40" s="11">
        <v>0</v>
      </c>
      <c r="I40" s="11">
        <v>0</v>
      </c>
      <c r="J40" s="11">
        <v>0</v>
      </c>
      <c r="K40" s="11">
        <v>171.87998400000001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</row>
    <row r="41" spans="1:19">
      <c r="A41" s="12" t="s">
        <v>404</v>
      </c>
      <c r="B41" s="11">
        <v>40</v>
      </c>
      <c r="C41" s="11" t="s">
        <v>490</v>
      </c>
      <c r="D41" s="11" t="s">
        <v>491</v>
      </c>
      <c r="E41" s="11" t="s">
        <v>407</v>
      </c>
      <c r="F41" s="11" t="s">
        <v>483</v>
      </c>
      <c r="G41" s="11" t="s">
        <v>378</v>
      </c>
      <c r="H41" s="11">
        <v>1671</v>
      </c>
      <c r="I41" s="11">
        <v>8.7352777777777693</v>
      </c>
      <c r="J41" s="11">
        <v>191.29328711800801</v>
      </c>
      <c r="K41" s="11">
        <v>212.88207149359999</v>
      </c>
      <c r="L41" s="11">
        <v>7.8494162907947604</v>
      </c>
      <c r="M41" s="11">
        <v>-0.88586148698301503</v>
      </c>
      <c r="N41" s="11">
        <v>0.89858805758454297</v>
      </c>
      <c r="P41" s="11">
        <v>0</v>
      </c>
      <c r="Q41" s="11">
        <v>0</v>
      </c>
      <c r="R41" s="11">
        <v>0</v>
      </c>
      <c r="S41" s="11">
        <v>0</v>
      </c>
    </row>
    <row r="42" spans="1:19">
      <c r="A42" s="12" t="s">
        <v>404</v>
      </c>
      <c r="B42" s="11">
        <v>41</v>
      </c>
      <c r="C42" s="11" t="s">
        <v>492</v>
      </c>
      <c r="D42" s="11" t="s">
        <v>493</v>
      </c>
      <c r="E42" s="11" t="s">
        <v>407</v>
      </c>
      <c r="F42" s="11" t="s">
        <v>483</v>
      </c>
      <c r="G42" s="11" t="s">
        <v>432</v>
      </c>
      <c r="H42" s="11">
        <v>0</v>
      </c>
      <c r="I42" s="11">
        <v>0</v>
      </c>
      <c r="J42" s="11">
        <v>0</v>
      </c>
      <c r="K42" s="11">
        <v>10006.999991999999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</row>
    <row r="43" spans="1:19">
      <c r="A43" s="12" t="s">
        <v>404</v>
      </c>
      <c r="B43" s="11">
        <v>42</v>
      </c>
      <c r="C43" s="11" t="s">
        <v>494</v>
      </c>
      <c r="D43" s="11" t="s">
        <v>495</v>
      </c>
      <c r="E43" s="11" t="s">
        <v>407</v>
      </c>
      <c r="F43" s="11" t="s">
        <v>483</v>
      </c>
      <c r="G43" s="11" t="s">
        <v>45</v>
      </c>
      <c r="H43" s="11">
        <v>0</v>
      </c>
      <c r="I43" s="11">
        <v>0</v>
      </c>
      <c r="J43" s="11">
        <v>0</v>
      </c>
      <c r="K43" s="11">
        <v>6.760008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</row>
    <row r="44" spans="1:19">
      <c r="A44" s="12" t="s">
        <v>404</v>
      </c>
      <c r="B44" s="11">
        <v>43</v>
      </c>
      <c r="C44" s="11" t="s">
        <v>496</v>
      </c>
      <c r="D44" s="11" t="s">
        <v>497</v>
      </c>
      <c r="E44" s="11" t="s">
        <v>407</v>
      </c>
      <c r="F44" s="11" t="s">
        <v>483</v>
      </c>
      <c r="G44" s="11" t="s">
        <v>378</v>
      </c>
      <c r="H44" s="11">
        <v>1671</v>
      </c>
      <c r="I44" s="11">
        <v>4</v>
      </c>
      <c r="J44" s="11">
        <v>417.75</v>
      </c>
      <c r="K44" s="11">
        <v>347.919984</v>
      </c>
      <c r="L44" s="11">
        <v>4.8028284572466502</v>
      </c>
      <c r="M44" s="11">
        <v>0.80282845724665297</v>
      </c>
      <c r="N44" s="11">
        <v>1.2007071143116601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</row>
    <row r="45" spans="1:19">
      <c r="A45" s="12" t="s">
        <v>404</v>
      </c>
      <c r="B45" s="11">
        <v>44</v>
      </c>
      <c r="C45" s="11" t="s">
        <v>498</v>
      </c>
      <c r="D45" s="11" t="s">
        <v>499</v>
      </c>
      <c r="E45" s="11" t="s">
        <v>407</v>
      </c>
      <c r="F45" s="11" t="s">
        <v>483</v>
      </c>
      <c r="G45" s="11" t="s">
        <v>378</v>
      </c>
      <c r="H45" s="11">
        <v>1671</v>
      </c>
      <c r="I45" s="11">
        <v>12.7352777777777</v>
      </c>
      <c r="J45" s="11">
        <v>131.21033001068699</v>
      </c>
      <c r="K45" s="11">
        <v>132.07142552776401</v>
      </c>
      <c r="L45" s="11">
        <v>12.652244748041401</v>
      </c>
      <c r="M45" s="11">
        <v>-8.3033029736361605E-2</v>
      </c>
      <c r="N45" s="11">
        <v>0.99348007705954799</v>
      </c>
      <c r="P45" s="11">
        <v>0</v>
      </c>
      <c r="Q45" s="11">
        <v>0</v>
      </c>
      <c r="R45" s="11">
        <v>0</v>
      </c>
      <c r="S45" s="11">
        <v>0</v>
      </c>
    </row>
    <row r="46" spans="1:19">
      <c r="A46" s="12" t="s">
        <v>404</v>
      </c>
      <c r="B46" s="11">
        <v>45</v>
      </c>
      <c r="C46" s="11" t="s">
        <v>500</v>
      </c>
      <c r="D46" s="11" t="s">
        <v>501</v>
      </c>
      <c r="E46" s="11" t="s">
        <v>407</v>
      </c>
      <c r="F46" s="11" t="s">
        <v>502</v>
      </c>
      <c r="G46" s="11" t="s">
        <v>432</v>
      </c>
      <c r="H46" s="11">
        <v>0</v>
      </c>
      <c r="I46" s="11">
        <v>0</v>
      </c>
      <c r="J46" s="11">
        <v>0</v>
      </c>
      <c r="K46" s="11">
        <v>10006.999991999999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</row>
    <row r="47" spans="1:19">
      <c r="A47" s="12" t="s">
        <v>404</v>
      </c>
      <c r="B47" s="11">
        <v>46</v>
      </c>
      <c r="C47" s="11" t="s">
        <v>503</v>
      </c>
      <c r="D47" s="11" t="s">
        <v>504</v>
      </c>
      <c r="E47" s="11" t="s">
        <v>407</v>
      </c>
      <c r="F47" s="11" t="s">
        <v>502</v>
      </c>
      <c r="G47" s="11" t="s">
        <v>505</v>
      </c>
      <c r="H47" s="11">
        <v>0</v>
      </c>
      <c r="I47" s="11">
        <v>0</v>
      </c>
      <c r="J47" s="11">
        <v>0</v>
      </c>
      <c r="K47" s="11">
        <v>87.990011999999993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</row>
    <row r="48" spans="1:19">
      <c r="A48" s="12" t="s">
        <v>404</v>
      </c>
      <c r="B48" s="11">
        <v>47</v>
      </c>
      <c r="C48" s="11" t="s">
        <v>506</v>
      </c>
      <c r="D48" s="11" t="s">
        <v>507</v>
      </c>
      <c r="E48" s="11" t="s">
        <v>407</v>
      </c>
      <c r="F48" s="11" t="s">
        <v>502</v>
      </c>
      <c r="G48" s="11" t="s">
        <v>45</v>
      </c>
      <c r="H48" s="11">
        <v>0</v>
      </c>
      <c r="I48" s="11">
        <v>0</v>
      </c>
      <c r="J48" s="11">
        <v>0</v>
      </c>
      <c r="K48" s="11">
        <v>11.239992000000001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</row>
    <row r="49" spans="1:19">
      <c r="A49" s="12" t="s">
        <v>404</v>
      </c>
      <c r="B49" s="11">
        <v>48</v>
      </c>
      <c r="C49" s="11" t="s">
        <v>508</v>
      </c>
      <c r="D49" s="11" t="s">
        <v>509</v>
      </c>
      <c r="E49" s="11" t="s">
        <v>407</v>
      </c>
      <c r="F49" s="11" t="s">
        <v>502</v>
      </c>
      <c r="G49" s="11" t="s">
        <v>510</v>
      </c>
      <c r="H49" s="11">
        <v>0</v>
      </c>
      <c r="I49" s="11">
        <v>0</v>
      </c>
      <c r="J49" s="11">
        <v>0</v>
      </c>
      <c r="K49" s="11">
        <v>9.0299879999999995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</row>
    <row r="50" spans="1:19">
      <c r="A50" s="12" t="s">
        <v>404</v>
      </c>
      <c r="B50" s="11">
        <v>49</v>
      </c>
      <c r="C50" s="11" t="s">
        <v>511</v>
      </c>
      <c r="D50" s="11" t="s">
        <v>512</v>
      </c>
      <c r="E50" s="11" t="s">
        <v>407</v>
      </c>
      <c r="F50" s="11" t="s">
        <v>502</v>
      </c>
      <c r="G50" s="11" t="s">
        <v>409</v>
      </c>
      <c r="H50" s="11">
        <v>38047</v>
      </c>
      <c r="I50" s="11">
        <v>1.0855555555555501</v>
      </c>
      <c r="J50" s="11">
        <v>35048.413510747101</v>
      </c>
      <c r="K50" s="11">
        <v>83936.059991999995</v>
      </c>
      <c r="L50" s="11">
        <v>0.45328551284902202</v>
      </c>
      <c r="M50" s="11">
        <v>-0.63227004270653298</v>
      </c>
      <c r="N50" s="11">
        <v>0.41756086137576198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</row>
    <row r="51" spans="1:19">
      <c r="A51" s="12" t="s">
        <v>404</v>
      </c>
      <c r="B51" s="11">
        <v>50</v>
      </c>
      <c r="C51" s="11" t="s">
        <v>513</v>
      </c>
      <c r="D51" s="11" t="s">
        <v>514</v>
      </c>
      <c r="E51" s="11" t="s">
        <v>407</v>
      </c>
      <c r="F51" s="11" t="s">
        <v>502</v>
      </c>
      <c r="G51" s="11" t="s">
        <v>409</v>
      </c>
      <c r="H51" s="11">
        <v>38047</v>
      </c>
      <c r="I51" s="11">
        <v>1.0855555555555501</v>
      </c>
      <c r="J51" s="11">
        <v>35048.413510747101</v>
      </c>
      <c r="K51" s="11">
        <v>83936.059991999995</v>
      </c>
      <c r="L51" s="11">
        <v>0.45328551284902202</v>
      </c>
      <c r="M51" s="11">
        <v>-0.63227004270653298</v>
      </c>
      <c r="N51" s="11">
        <v>0.41756086137576198</v>
      </c>
      <c r="P51" s="11">
        <v>0</v>
      </c>
      <c r="Q51" s="11">
        <v>0</v>
      </c>
      <c r="R51" s="11">
        <v>0</v>
      </c>
      <c r="S51" s="11">
        <v>0</v>
      </c>
    </row>
    <row r="52" spans="1:19">
      <c r="A52" s="12" t="s">
        <v>404</v>
      </c>
      <c r="B52" s="11">
        <v>51</v>
      </c>
      <c r="C52" s="11" t="s">
        <v>515</v>
      </c>
      <c r="D52" s="11" t="s">
        <v>516</v>
      </c>
      <c r="E52" s="11" t="s">
        <v>407</v>
      </c>
      <c r="F52" s="11" t="s">
        <v>516</v>
      </c>
      <c r="G52" s="11" t="s">
        <v>409</v>
      </c>
      <c r="H52" s="11">
        <v>27062</v>
      </c>
      <c r="I52" s="11">
        <v>0</v>
      </c>
      <c r="J52" s="11">
        <v>0</v>
      </c>
      <c r="K52" s="11">
        <v>5895.4700160000002</v>
      </c>
      <c r="L52" s="11">
        <v>4.5903040684720802</v>
      </c>
      <c r="M52" s="11">
        <v>4.5903040684720802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</row>
    <row r="53" spans="1:19">
      <c r="A53" s="12" t="s">
        <v>404</v>
      </c>
      <c r="B53" s="11">
        <v>52</v>
      </c>
      <c r="C53" s="11" t="s">
        <v>517</v>
      </c>
      <c r="D53" s="11" t="s">
        <v>518</v>
      </c>
      <c r="E53" s="11" t="s">
        <v>407</v>
      </c>
      <c r="F53" s="11" t="s">
        <v>519</v>
      </c>
      <c r="G53" s="11" t="s">
        <v>409</v>
      </c>
      <c r="H53" s="11">
        <v>27062</v>
      </c>
      <c r="I53" s="11">
        <v>26.517222222222198</v>
      </c>
      <c r="J53" s="11">
        <v>1020.54430034987</v>
      </c>
      <c r="K53" s="11">
        <v>1163.2700159999999</v>
      </c>
      <c r="L53" s="11">
        <v>23.263730370232398</v>
      </c>
      <c r="M53" s="11">
        <v>-3.25349185198976</v>
      </c>
      <c r="N53" s="11">
        <v>0.87730646050613703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</row>
    <row r="54" spans="1:19">
      <c r="A54" s="12" t="s">
        <v>404</v>
      </c>
      <c r="B54" s="11">
        <v>53</v>
      </c>
      <c r="C54" s="11" t="s">
        <v>520</v>
      </c>
      <c r="D54" s="11" t="s">
        <v>521</v>
      </c>
      <c r="E54" s="11" t="s">
        <v>407</v>
      </c>
      <c r="F54" s="11" t="s">
        <v>522</v>
      </c>
      <c r="G54" s="11" t="s">
        <v>378</v>
      </c>
      <c r="H54" s="11">
        <v>27062</v>
      </c>
      <c r="I54" s="11">
        <v>225.46444444444401</v>
      </c>
      <c r="J54" s="11">
        <v>120.027794478557</v>
      </c>
      <c r="K54" s="11">
        <v>130.534343212197</v>
      </c>
      <c r="L54" s="11">
        <v>207.317088622477</v>
      </c>
      <c r="M54" s="11">
        <v>-18.147355821966599</v>
      </c>
      <c r="N54" s="11">
        <v>0.91951122995609003</v>
      </c>
      <c r="P54" s="11">
        <v>0</v>
      </c>
      <c r="Q54" s="11">
        <v>0</v>
      </c>
      <c r="R54" s="11">
        <v>0</v>
      </c>
      <c r="S54" s="11">
        <v>0</v>
      </c>
    </row>
    <row r="55" spans="1:19">
      <c r="A55" s="12" t="s">
        <v>404</v>
      </c>
      <c r="B55" s="11">
        <v>54</v>
      </c>
      <c r="C55" s="11" t="s">
        <v>523</v>
      </c>
      <c r="D55" s="11" t="s">
        <v>524</v>
      </c>
      <c r="E55" s="11" t="s">
        <v>525</v>
      </c>
      <c r="F55" s="11" t="s">
        <v>526</v>
      </c>
      <c r="G55" s="11" t="s">
        <v>432</v>
      </c>
      <c r="H55" s="11">
        <v>0</v>
      </c>
      <c r="I55" s="11">
        <v>0</v>
      </c>
      <c r="J55" s="11">
        <v>0</v>
      </c>
      <c r="K55" s="11">
        <v>10006.999991999999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</row>
    <row r="56" spans="1:19">
      <c r="A56" s="12" t="s">
        <v>404</v>
      </c>
      <c r="B56" s="11">
        <v>55</v>
      </c>
      <c r="C56" s="11" t="s">
        <v>527</v>
      </c>
      <c r="D56" s="11" t="s">
        <v>528</v>
      </c>
      <c r="E56" s="11" t="s">
        <v>525</v>
      </c>
      <c r="F56" s="11" t="s">
        <v>526</v>
      </c>
      <c r="G56" s="11" t="s">
        <v>45</v>
      </c>
      <c r="H56" s="11">
        <v>0</v>
      </c>
      <c r="I56" s="11">
        <v>0</v>
      </c>
      <c r="J56" s="11">
        <v>0</v>
      </c>
      <c r="K56" s="11">
        <v>10006.999991999999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</row>
    <row r="57" spans="1:19">
      <c r="A57" s="12" t="s">
        <v>404</v>
      </c>
      <c r="B57" s="11">
        <v>56</v>
      </c>
      <c r="C57" s="11" t="s">
        <v>529</v>
      </c>
      <c r="D57" s="11" t="s">
        <v>530</v>
      </c>
      <c r="E57" s="11" t="s">
        <v>525</v>
      </c>
      <c r="F57" s="11" t="s">
        <v>531</v>
      </c>
      <c r="G57" s="11" t="s">
        <v>432</v>
      </c>
      <c r="H57" s="11">
        <v>0</v>
      </c>
      <c r="I57" s="11">
        <v>0</v>
      </c>
      <c r="J57" s="11">
        <v>0</v>
      </c>
      <c r="K57" s="11">
        <v>10006.999991999999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</row>
    <row r="58" spans="1:19">
      <c r="A58" s="12" t="s">
        <v>404</v>
      </c>
      <c r="B58" s="11">
        <v>57</v>
      </c>
      <c r="C58" s="11" t="s">
        <v>532</v>
      </c>
      <c r="D58" s="11" t="s">
        <v>533</v>
      </c>
      <c r="E58" s="11" t="s">
        <v>525</v>
      </c>
      <c r="F58" s="11" t="s">
        <v>531</v>
      </c>
      <c r="G58" s="11" t="s">
        <v>432</v>
      </c>
      <c r="H58" s="11">
        <v>0</v>
      </c>
      <c r="I58" s="11">
        <v>0</v>
      </c>
      <c r="J58" s="11">
        <v>0</v>
      </c>
      <c r="K58" s="11">
        <v>10006.999991999999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</row>
    <row r="59" spans="1:19">
      <c r="A59" s="12" t="s">
        <v>404</v>
      </c>
      <c r="B59" s="11">
        <v>58</v>
      </c>
      <c r="C59" s="11" t="s">
        <v>534</v>
      </c>
      <c r="D59" s="11" t="s">
        <v>535</v>
      </c>
      <c r="E59" s="11" t="s">
        <v>525</v>
      </c>
      <c r="F59" s="11" t="s">
        <v>536</v>
      </c>
      <c r="G59" s="11" t="s">
        <v>432</v>
      </c>
      <c r="H59" s="11">
        <v>0</v>
      </c>
      <c r="I59" s="11">
        <v>0</v>
      </c>
      <c r="J59" s="11">
        <v>0</v>
      </c>
      <c r="K59" s="11">
        <v>142.449984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</row>
    <row r="60" spans="1:19">
      <c r="A60" s="12" t="s">
        <v>404</v>
      </c>
      <c r="B60" s="11">
        <v>59</v>
      </c>
      <c r="C60" s="11" t="s">
        <v>537</v>
      </c>
      <c r="D60" s="11" t="s">
        <v>538</v>
      </c>
      <c r="E60" s="11" t="s">
        <v>525</v>
      </c>
      <c r="F60" s="11" t="s">
        <v>536</v>
      </c>
      <c r="G60" s="11" t="s">
        <v>378</v>
      </c>
      <c r="H60" s="11">
        <v>0</v>
      </c>
      <c r="I60" s="11">
        <v>0</v>
      </c>
      <c r="J60" s="11">
        <v>0</v>
      </c>
      <c r="K60" s="11">
        <v>469.199987999999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</row>
    <row r="61" spans="1:19">
      <c r="A61" s="12" t="s">
        <v>404</v>
      </c>
      <c r="B61" s="11">
        <v>60</v>
      </c>
      <c r="C61" s="11" t="s">
        <v>539</v>
      </c>
      <c r="D61" s="11" t="s">
        <v>540</v>
      </c>
      <c r="E61" s="11" t="s">
        <v>525</v>
      </c>
      <c r="F61" s="11" t="s">
        <v>536</v>
      </c>
      <c r="G61" s="11" t="s">
        <v>378</v>
      </c>
      <c r="H61" s="11">
        <v>0</v>
      </c>
      <c r="I61" s="11">
        <v>0</v>
      </c>
      <c r="J61" s="11">
        <v>0</v>
      </c>
      <c r="K61" s="11">
        <v>224.65000799999899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</row>
    <row r="62" spans="1:19">
      <c r="A62" s="12" t="s">
        <v>404</v>
      </c>
      <c r="B62" s="11">
        <v>61</v>
      </c>
      <c r="C62" s="11" t="s">
        <v>541</v>
      </c>
      <c r="D62" s="11" t="s">
        <v>542</v>
      </c>
      <c r="E62" s="11" t="s">
        <v>525</v>
      </c>
      <c r="F62" s="11" t="s">
        <v>536</v>
      </c>
      <c r="G62" s="11" t="s">
        <v>378</v>
      </c>
      <c r="H62" s="11">
        <v>0</v>
      </c>
      <c r="I62" s="11">
        <v>0</v>
      </c>
      <c r="J62" s="11">
        <v>0</v>
      </c>
      <c r="K62" s="11">
        <v>61.099992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</row>
    <row r="63" spans="1:19">
      <c r="A63" s="12" t="s">
        <v>404</v>
      </c>
      <c r="B63" s="11">
        <v>62</v>
      </c>
      <c r="C63" s="11" t="s">
        <v>543</v>
      </c>
      <c r="D63" s="11" t="s">
        <v>544</v>
      </c>
      <c r="E63" s="11" t="s">
        <v>525</v>
      </c>
      <c r="F63" s="11" t="s">
        <v>536</v>
      </c>
      <c r="G63" s="11" t="s">
        <v>378</v>
      </c>
      <c r="H63" s="11">
        <v>0</v>
      </c>
      <c r="I63" s="11">
        <v>0</v>
      </c>
      <c r="J63" s="11">
        <v>0</v>
      </c>
      <c r="K63" s="11">
        <v>427.11001199999998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</row>
    <row r="64" spans="1:19">
      <c r="A64" s="12" t="s">
        <v>404</v>
      </c>
      <c r="B64" s="11">
        <v>63</v>
      </c>
      <c r="C64" s="11" t="s">
        <v>545</v>
      </c>
      <c r="D64" s="11" t="s">
        <v>546</v>
      </c>
      <c r="E64" s="11" t="s">
        <v>525</v>
      </c>
      <c r="F64" s="11" t="s">
        <v>536</v>
      </c>
      <c r="G64" s="11" t="s">
        <v>409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P64" s="11">
        <v>0</v>
      </c>
      <c r="Q64" s="11">
        <v>0</v>
      </c>
      <c r="R64" s="11">
        <v>0</v>
      </c>
      <c r="S64" s="11">
        <v>0</v>
      </c>
    </row>
    <row r="65" spans="1:19">
      <c r="A65" s="12" t="s">
        <v>404</v>
      </c>
      <c r="B65" s="11">
        <v>64</v>
      </c>
      <c r="C65" s="11" t="s">
        <v>547</v>
      </c>
      <c r="D65" s="11" t="s">
        <v>548</v>
      </c>
      <c r="E65" s="11" t="s">
        <v>525</v>
      </c>
      <c r="F65" s="11" t="s">
        <v>549</v>
      </c>
      <c r="G65" s="11" t="s">
        <v>378</v>
      </c>
      <c r="H65" s="11">
        <v>136</v>
      </c>
      <c r="I65" s="11">
        <v>1.24305555555555</v>
      </c>
      <c r="J65" s="11">
        <v>109.40782122905</v>
      </c>
      <c r="K65" s="11">
        <v>320.49</v>
      </c>
      <c r="L65" s="11">
        <v>0.42435021373521697</v>
      </c>
      <c r="M65" s="11">
        <v>-0.81870534182033705</v>
      </c>
      <c r="N65" s="11">
        <v>0.34137670825626398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</row>
    <row r="66" spans="1:19">
      <c r="A66" s="12" t="s">
        <v>404</v>
      </c>
      <c r="B66" s="11">
        <v>65</v>
      </c>
      <c r="C66" s="11" t="s">
        <v>550</v>
      </c>
      <c r="D66" s="11" t="s">
        <v>551</v>
      </c>
      <c r="E66" s="11" t="s">
        <v>525</v>
      </c>
      <c r="F66" s="11" t="s">
        <v>549</v>
      </c>
      <c r="G66" s="11" t="s">
        <v>378</v>
      </c>
      <c r="H66" s="11">
        <v>136</v>
      </c>
      <c r="I66" s="11">
        <v>1.2702777777777701</v>
      </c>
      <c r="J66" s="11">
        <v>107.063197026022</v>
      </c>
      <c r="K66" s="11">
        <v>282.769992</v>
      </c>
      <c r="L66" s="11">
        <v>0.48095626780652101</v>
      </c>
      <c r="M66" s="11">
        <v>-0.78932150997125605</v>
      </c>
      <c r="N66" s="11">
        <v>0.37862290927257303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</row>
    <row r="67" spans="1:19">
      <c r="A67" s="12" t="s">
        <v>404</v>
      </c>
      <c r="B67" s="11">
        <v>66</v>
      </c>
      <c r="C67" s="11" t="s">
        <v>552</v>
      </c>
      <c r="D67" s="11" t="s">
        <v>553</v>
      </c>
      <c r="E67" s="11" t="s">
        <v>525</v>
      </c>
      <c r="F67" s="11" t="s">
        <v>549</v>
      </c>
      <c r="G67" s="11" t="s">
        <v>378</v>
      </c>
      <c r="H67" s="11">
        <v>0</v>
      </c>
      <c r="I67" s="11">
        <v>0</v>
      </c>
      <c r="J67" s="11">
        <v>0</v>
      </c>
      <c r="K67" s="11">
        <v>373.83998399999899</v>
      </c>
      <c r="L67" s="11">
        <v>0</v>
      </c>
      <c r="M67" s="65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</row>
    <row r="68" spans="1:19">
      <c r="A68" s="12" t="s">
        <v>404</v>
      </c>
      <c r="B68" s="11">
        <v>67</v>
      </c>
      <c r="C68" s="11" t="s">
        <v>554</v>
      </c>
      <c r="D68" s="11" t="s">
        <v>555</v>
      </c>
      <c r="E68" s="11" t="s">
        <v>525</v>
      </c>
      <c r="F68" s="11" t="s">
        <v>549</v>
      </c>
      <c r="G68" s="11" t="s">
        <v>378</v>
      </c>
      <c r="H68" s="11">
        <v>0</v>
      </c>
      <c r="I68" s="11">
        <v>0</v>
      </c>
      <c r="J68" s="11">
        <v>0</v>
      </c>
      <c r="K68" s="11">
        <v>514.90000799999996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</row>
    <row r="69" spans="1:19">
      <c r="A69" s="12" t="s">
        <v>404</v>
      </c>
      <c r="B69" s="11">
        <v>68</v>
      </c>
      <c r="C69" s="11" t="s">
        <v>556</v>
      </c>
      <c r="D69" s="11" t="s">
        <v>557</v>
      </c>
      <c r="E69" s="11" t="s">
        <v>525</v>
      </c>
      <c r="F69" s="11" t="s">
        <v>549</v>
      </c>
      <c r="G69" s="11" t="s">
        <v>378</v>
      </c>
      <c r="H69" s="11">
        <v>272</v>
      </c>
      <c r="I69" s="11">
        <v>2.5133333333333301</v>
      </c>
      <c r="J69" s="11">
        <v>108.222811671087</v>
      </c>
      <c r="K69" s="11">
        <v>300.45073745278302</v>
      </c>
      <c r="L69" s="11">
        <v>0.90530648154173898</v>
      </c>
      <c r="M69" s="11">
        <v>-1.6080268517915901</v>
      </c>
      <c r="N69" s="11">
        <v>0.36020151785480298</v>
      </c>
      <c r="P69" s="11">
        <v>0</v>
      </c>
      <c r="Q69" s="11">
        <v>0</v>
      </c>
      <c r="R69" s="11">
        <v>0</v>
      </c>
      <c r="S69" s="11">
        <v>0</v>
      </c>
    </row>
    <row r="70" spans="1:19">
      <c r="A70" s="12" t="s">
        <v>404</v>
      </c>
      <c r="B70" s="11">
        <v>69</v>
      </c>
      <c r="C70" s="11" t="s">
        <v>558</v>
      </c>
      <c r="D70" s="11" t="s">
        <v>559</v>
      </c>
      <c r="E70" s="11" t="s">
        <v>525</v>
      </c>
      <c r="F70" s="11" t="s">
        <v>559</v>
      </c>
      <c r="G70" s="11" t="s">
        <v>378</v>
      </c>
      <c r="H70" s="11">
        <v>13</v>
      </c>
      <c r="I70" s="11">
        <v>0</v>
      </c>
      <c r="J70" s="11">
        <v>0</v>
      </c>
      <c r="K70" s="11">
        <v>623.58998399999996</v>
      </c>
      <c r="L70" s="11">
        <v>2.08470314366049E-2</v>
      </c>
      <c r="M70" s="11">
        <v>2.08470314366049E-2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</row>
    <row r="71" spans="1:19">
      <c r="A71" s="12" t="s">
        <v>404</v>
      </c>
      <c r="B71" s="11">
        <v>70</v>
      </c>
      <c r="C71" s="11" t="s">
        <v>560</v>
      </c>
      <c r="D71" s="11" t="s">
        <v>561</v>
      </c>
      <c r="E71" s="11" t="s">
        <v>525</v>
      </c>
      <c r="F71" s="11" t="s">
        <v>561</v>
      </c>
      <c r="G71" s="11" t="s">
        <v>409</v>
      </c>
      <c r="H71" s="11">
        <v>13</v>
      </c>
      <c r="I71" s="11">
        <v>5.2258333333333304</v>
      </c>
      <c r="J71" s="11">
        <v>2.4876415244777501</v>
      </c>
      <c r="K71" s="11">
        <v>382.579992</v>
      </c>
      <c r="L71" s="11">
        <v>3.3979821924404199E-2</v>
      </c>
      <c r="M71" s="11">
        <v>-5.1918535114089197</v>
      </c>
      <c r="N71" s="11">
        <v>6.5022781548852004E-3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</row>
    <row r="72" spans="1:19">
      <c r="A72" s="12" t="s">
        <v>404</v>
      </c>
      <c r="B72" s="11">
        <v>71</v>
      </c>
      <c r="C72" s="11" t="s">
        <v>562</v>
      </c>
      <c r="D72" s="11" t="s">
        <v>563</v>
      </c>
      <c r="E72" s="11" t="s">
        <v>525</v>
      </c>
      <c r="F72" s="11" t="s">
        <v>563</v>
      </c>
      <c r="G72" s="11" t="s">
        <v>409</v>
      </c>
      <c r="H72" s="11">
        <v>13</v>
      </c>
      <c r="I72" s="11">
        <v>0</v>
      </c>
      <c r="J72" s="11">
        <v>0</v>
      </c>
      <c r="K72" s="11">
        <v>19833.3200159999</v>
      </c>
      <c r="L72" s="65">
        <v>6.5546262499231495E-4</v>
      </c>
      <c r="M72" s="65">
        <v>6.5546262499231495E-4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</row>
    <row r="73" spans="1:19">
      <c r="A73" s="12" t="s">
        <v>404</v>
      </c>
      <c r="B73" s="11">
        <v>72</v>
      </c>
      <c r="C73" s="11" t="s">
        <v>564</v>
      </c>
      <c r="D73" s="11" t="s">
        <v>565</v>
      </c>
      <c r="E73" s="11" t="s">
        <v>525</v>
      </c>
      <c r="F73" s="11" t="s">
        <v>566</v>
      </c>
      <c r="G73" s="11" t="s">
        <v>409</v>
      </c>
      <c r="H73" s="11">
        <v>13</v>
      </c>
      <c r="I73" s="11">
        <v>0</v>
      </c>
      <c r="J73" s="11">
        <v>0</v>
      </c>
      <c r="K73" s="11">
        <v>15919.3000079999</v>
      </c>
      <c r="L73" s="65">
        <v>8.1661882076894399E-4</v>
      </c>
      <c r="M73" s="65">
        <v>8.1661882076894399E-4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</row>
    <row r="74" spans="1:19">
      <c r="A74" s="12" t="s">
        <v>404</v>
      </c>
      <c r="B74" s="11">
        <v>73</v>
      </c>
      <c r="C74" s="11" t="s">
        <v>567</v>
      </c>
      <c r="D74" s="11" t="s">
        <v>568</v>
      </c>
      <c r="E74" s="11" t="s">
        <v>525</v>
      </c>
      <c r="F74" s="11" t="s">
        <v>522</v>
      </c>
      <c r="G74" s="11" t="s">
        <v>409</v>
      </c>
      <c r="H74" s="11">
        <v>13</v>
      </c>
      <c r="I74" s="11">
        <v>7.7391666666666596</v>
      </c>
      <c r="J74" s="11">
        <v>1.6797674168192001</v>
      </c>
      <c r="K74" s="11">
        <v>13.519058627357399</v>
      </c>
      <c r="L74" s="11">
        <v>0.96160541634851004</v>
      </c>
      <c r="M74" s="11">
        <v>-6.7775612503181497</v>
      </c>
      <c r="N74" s="11">
        <v>0.124251803555315</v>
      </c>
      <c r="P74" s="11">
        <v>0</v>
      </c>
      <c r="Q74" s="11">
        <v>0</v>
      </c>
      <c r="R74" s="11">
        <v>0</v>
      </c>
      <c r="S74" s="11">
        <v>0</v>
      </c>
    </row>
    <row r="75" spans="1:19">
      <c r="A75" s="12" t="s">
        <v>404</v>
      </c>
      <c r="B75" s="11">
        <v>74</v>
      </c>
      <c r="C75" s="11" t="s">
        <v>569</v>
      </c>
      <c r="D75" s="11" t="s">
        <v>570</v>
      </c>
      <c r="E75" s="11" t="s">
        <v>571</v>
      </c>
      <c r="F75" s="11" t="s">
        <v>572</v>
      </c>
      <c r="G75" s="11" t="s">
        <v>378</v>
      </c>
      <c r="H75" s="11">
        <v>7222</v>
      </c>
      <c r="I75" s="11">
        <v>45.219444444444399</v>
      </c>
      <c r="J75" s="11">
        <v>159.71005590023901</v>
      </c>
      <c r="K75" s="11">
        <v>388.92999600000002</v>
      </c>
      <c r="L75" s="11">
        <v>18.568894336450199</v>
      </c>
      <c r="M75" s="11">
        <v>-26.650550107994199</v>
      </c>
      <c r="N75" s="11">
        <v>0.41063959463861799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</row>
    <row r="76" spans="1:19">
      <c r="A76" s="12" t="s">
        <v>404</v>
      </c>
      <c r="B76" s="11">
        <v>75</v>
      </c>
      <c r="C76" s="11" t="s">
        <v>573</v>
      </c>
      <c r="D76" s="11" t="s">
        <v>574</v>
      </c>
      <c r="E76" s="11" t="s">
        <v>571</v>
      </c>
      <c r="F76" s="11" t="s">
        <v>572</v>
      </c>
      <c r="G76" s="11" t="s">
        <v>378</v>
      </c>
      <c r="H76" s="11">
        <v>5615</v>
      </c>
      <c r="I76" s="11">
        <v>37.847777777777701</v>
      </c>
      <c r="J76" s="11">
        <v>148.35745530340799</v>
      </c>
      <c r="K76" s="11">
        <v>329.52999599999998</v>
      </c>
      <c r="L76" s="11">
        <v>17.039419986519199</v>
      </c>
      <c r="M76" s="11">
        <v>-20.808357791258501</v>
      </c>
      <c r="N76" s="11">
        <v>0.45020925895744002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</row>
    <row r="77" spans="1:19">
      <c r="A77" s="12" t="s">
        <v>404</v>
      </c>
      <c r="B77" s="11">
        <v>76</v>
      </c>
      <c r="C77" s="11" t="s">
        <v>575</v>
      </c>
      <c r="D77" s="11" t="s">
        <v>576</v>
      </c>
      <c r="E77" s="11" t="s">
        <v>571</v>
      </c>
      <c r="F77" s="11" t="s">
        <v>572</v>
      </c>
      <c r="G77" s="11" t="s">
        <v>378</v>
      </c>
      <c r="H77" s="11">
        <v>37</v>
      </c>
      <c r="I77" s="11">
        <v>0.28333333333333299</v>
      </c>
      <c r="J77" s="11">
        <v>130.588235294117</v>
      </c>
      <c r="K77" s="11">
        <v>256.34001599999999</v>
      </c>
      <c r="L77" s="11">
        <v>0.14433954002718</v>
      </c>
      <c r="M77" s="11">
        <v>-0.138993793306153</v>
      </c>
      <c r="N77" s="11">
        <v>0.50943367068416501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</row>
    <row r="78" spans="1:19">
      <c r="A78" s="12" t="s">
        <v>404</v>
      </c>
      <c r="B78" s="11">
        <v>77</v>
      </c>
      <c r="C78" s="11" t="s">
        <v>577</v>
      </c>
      <c r="D78" s="11" t="s">
        <v>578</v>
      </c>
      <c r="E78" s="11" t="s">
        <v>571</v>
      </c>
      <c r="F78" s="11" t="s">
        <v>572</v>
      </c>
      <c r="G78" s="11" t="s">
        <v>378</v>
      </c>
      <c r="H78" s="11">
        <v>0</v>
      </c>
      <c r="I78" s="11">
        <v>0</v>
      </c>
      <c r="J78" s="11">
        <v>0</v>
      </c>
      <c r="K78" s="11">
        <v>446.60998799999999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</row>
    <row r="79" spans="1:19">
      <c r="A79" s="12" t="s">
        <v>404</v>
      </c>
      <c r="B79" s="11">
        <v>78</v>
      </c>
      <c r="C79" s="11" t="s">
        <v>579</v>
      </c>
      <c r="D79" s="11" t="s">
        <v>580</v>
      </c>
      <c r="E79" s="11" t="s">
        <v>571</v>
      </c>
      <c r="F79" s="11" t="s">
        <v>572</v>
      </c>
      <c r="G79" s="11" t="s">
        <v>378</v>
      </c>
      <c r="H79" s="11">
        <v>12874</v>
      </c>
      <c r="I79" s="11">
        <v>83.350555555555502</v>
      </c>
      <c r="J79" s="11">
        <v>154.45607907698999</v>
      </c>
      <c r="K79" s="11">
        <v>360.08515757551498</v>
      </c>
      <c r="L79" s="11">
        <v>35.752653862996603</v>
      </c>
      <c r="M79" s="11">
        <v>-47.597901692558899</v>
      </c>
      <c r="N79" s="11">
        <v>0.42894319809501902</v>
      </c>
      <c r="P79" s="11">
        <v>0</v>
      </c>
      <c r="Q79" s="11">
        <v>0</v>
      </c>
      <c r="R79" s="11">
        <v>0</v>
      </c>
      <c r="S79" s="11">
        <v>0</v>
      </c>
    </row>
    <row r="80" spans="1:19">
      <c r="A80" s="12" t="s">
        <v>404</v>
      </c>
      <c r="B80" s="11">
        <v>79</v>
      </c>
      <c r="C80" s="11" t="s">
        <v>581</v>
      </c>
      <c r="D80" s="11" t="s">
        <v>582</v>
      </c>
      <c r="E80" s="11" t="s">
        <v>571</v>
      </c>
      <c r="F80" s="11" t="s">
        <v>572</v>
      </c>
      <c r="G80" s="11" t="s">
        <v>409</v>
      </c>
      <c r="H80" s="11">
        <v>13146</v>
      </c>
      <c r="I80" s="11">
        <v>7.0166666666666604</v>
      </c>
      <c r="J80" s="11">
        <v>1873.5391923990501</v>
      </c>
      <c r="K80" s="11">
        <v>2173.1799959999998</v>
      </c>
      <c r="L80" s="11">
        <v>6.0491998013035202</v>
      </c>
      <c r="M80" s="11">
        <v>-0.96746686536313897</v>
      </c>
      <c r="N80" s="11">
        <v>0.86211873652781801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</row>
    <row r="81" spans="1:19">
      <c r="A81" s="12" t="s">
        <v>404</v>
      </c>
      <c r="B81" s="11">
        <v>80</v>
      </c>
      <c r="C81" s="11" t="s">
        <v>583</v>
      </c>
      <c r="D81" s="11" t="s">
        <v>584</v>
      </c>
      <c r="E81" s="11" t="s">
        <v>571</v>
      </c>
      <c r="F81" s="11" t="s">
        <v>572</v>
      </c>
      <c r="G81" s="11" t="s">
        <v>409</v>
      </c>
      <c r="H81" s="11">
        <v>12874</v>
      </c>
      <c r="I81" s="11">
        <v>90.367222222222196</v>
      </c>
      <c r="J81" s="11">
        <v>142.46315957728001</v>
      </c>
      <c r="K81" s="11">
        <v>307.97677307297801</v>
      </c>
      <c r="L81" s="11">
        <v>41.801853664300097</v>
      </c>
      <c r="M81" s="11">
        <v>-48.565368557922</v>
      </c>
      <c r="N81" s="11">
        <v>0.46257760984956497</v>
      </c>
      <c r="P81" s="11">
        <v>0</v>
      </c>
      <c r="Q81" s="11">
        <v>0</v>
      </c>
      <c r="R81" s="11">
        <v>0</v>
      </c>
      <c r="S81" s="11">
        <v>0</v>
      </c>
    </row>
    <row r="82" spans="1:19">
      <c r="A82" s="12" t="s">
        <v>404</v>
      </c>
      <c r="B82" s="11">
        <v>81</v>
      </c>
      <c r="C82" s="11" t="s">
        <v>585</v>
      </c>
      <c r="D82" s="11" t="s">
        <v>586</v>
      </c>
      <c r="E82" s="11" t="s">
        <v>571</v>
      </c>
      <c r="F82" s="11" t="s">
        <v>587</v>
      </c>
      <c r="G82" s="11" t="s">
        <v>378</v>
      </c>
      <c r="H82" s="11">
        <v>0</v>
      </c>
      <c r="I82" s="11">
        <v>0.25</v>
      </c>
      <c r="J82" s="11">
        <v>0</v>
      </c>
      <c r="K82" s="11">
        <v>434.980008</v>
      </c>
      <c r="L82" s="11">
        <v>0</v>
      </c>
      <c r="M82" s="11">
        <v>-0.25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</row>
    <row r="83" spans="1:19">
      <c r="A83" s="12" t="s">
        <v>404</v>
      </c>
      <c r="B83" s="11">
        <v>82</v>
      </c>
      <c r="C83" s="11" t="s">
        <v>588</v>
      </c>
      <c r="D83" s="11" t="s">
        <v>589</v>
      </c>
      <c r="E83" s="11" t="s">
        <v>571</v>
      </c>
      <c r="F83" s="11" t="s">
        <v>587</v>
      </c>
      <c r="G83" s="11" t="s">
        <v>378</v>
      </c>
      <c r="H83" s="11">
        <v>0</v>
      </c>
      <c r="I83" s="11">
        <v>0.25</v>
      </c>
      <c r="J83" s="11">
        <v>0</v>
      </c>
      <c r="K83" s="11">
        <v>455.879987999999</v>
      </c>
      <c r="L83" s="11">
        <v>0</v>
      </c>
      <c r="M83" s="11">
        <v>-0.25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</row>
    <row r="84" spans="1:19">
      <c r="A84" s="12" t="s">
        <v>404</v>
      </c>
      <c r="B84" s="11">
        <v>83</v>
      </c>
      <c r="C84" s="11" t="s">
        <v>590</v>
      </c>
      <c r="D84" s="11" t="s">
        <v>591</v>
      </c>
      <c r="E84" s="11" t="s">
        <v>571</v>
      </c>
      <c r="F84" s="11" t="s">
        <v>587</v>
      </c>
      <c r="G84" s="11" t="s">
        <v>378</v>
      </c>
      <c r="H84" s="11">
        <v>0</v>
      </c>
      <c r="I84" s="11">
        <v>0.25</v>
      </c>
      <c r="J84" s="11">
        <v>0</v>
      </c>
      <c r="K84" s="11">
        <v>723.21001200000001</v>
      </c>
      <c r="L84" s="11">
        <v>0</v>
      </c>
      <c r="M84" s="11">
        <v>-0.25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</row>
    <row r="85" spans="1:19">
      <c r="A85" s="12" t="s">
        <v>404</v>
      </c>
      <c r="B85" s="11">
        <v>84</v>
      </c>
      <c r="C85" s="11" t="s">
        <v>592</v>
      </c>
      <c r="D85" s="11" t="s">
        <v>593</v>
      </c>
      <c r="E85" s="11" t="s">
        <v>571</v>
      </c>
      <c r="F85" s="11" t="s">
        <v>587</v>
      </c>
      <c r="G85" s="11" t="s">
        <v>378</v>
      </c>
      <c r="H85" s="11">
        <v>0</v>
      </c>
      <c r="I85" s="11">
        <v>0.25</v>
      </c>
      <c r="J85" s="11">
        <v>0</v>
      </c>
      <c r="K85" s="11">
        <v>0.100008</v>
      </c>
      <c r="L85" s="11">
        <v>0</v>
      </c>
      <c r="M85" s="11">
        <v>-0.25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</row>
    <row r="86" spans="1:19">
      <c r="A86" s="12" t="s">
        <v>404</v>
      </c>
      <c r="B86" s="11">
        <v>85</v>
      </c>
      <c r="C86" s="11" t="s">
        <v>594</v>
      </c>
      <c r="D86" s="11" t="s">
        <v>595</v>
      </c>
      <c r="E86" s="11" t="s">
        <v>571</v>
      </c>
      <c r="F86" s="11" t="s">
        <v>587</v>
      </c>
      <c r="G86" s="11" t="s">
        <v>378</v>
      </c>
      <c r="H86" s="11">
        <v>0</v>
      </c>
      <c r="I86" s="11">
        <v>1</v>
      </c>
      <c r="J86" s="11">
        <v>0</v>
      </c>
      <c r="K86" s="11">
        <v>0</v>
      </c>
      <c r="L86" s="11">
        <v>0</v>
      </c>
      <c r="M86" s="11">
        <v>-1</v>
      </c>
      <c r="N86" s="11">
        <v>0</v>
      </c>
      <c r="P86" s="11">
        <v>0</v>
      </c>
      <c r="Q86" s="11">
        <v>0</v>
      </c>
      <c r="R86" s="11">
        <v>0</v>
      </c>
      <c r="S86" s="11">
        <v>0</v>
      </c>
    </row>
    <row r="87" spans="1:19">
      <c r="A87" s="12" t="s">
        <v>404</v>
      </c>
      <c r="B87" s="11">
        <v>86</v>
      </c>
      <c r="C87" s="11" t="s">
        <v>596</v>
      </c>
      <c r="D87" s="11" t="s">
        <v>597</v>
      </c>
      <c r="E87" s="11" t="s">
        <v>571</v>
      </c>
      <c r="F87" s="11" t="s">
        <v>587</v>
      </c>
      <c r="G87" s="11" t="s">
        <v>378</v>
      </c>
      <c r="H87" s="11">
        <v>4875</v>
      </c>
      <c r="I87" s="11">
        <v>23.799166666666601</v>
      </c>
      <c r="J87" s="11">
        <v>204.83910501067899</v>
      </c>
      <c r="K87" s="11">
        <v>254.08000799999999</v>
      </c>
      <c r="L87" s="11">
        <v>19.186869672957499</v>
      </c>
      <c r="M87" s="11">
        <v>-4.61229699370916</v>
      </c>
      <c r="N87" s="11">
        <v>0.80619922292618795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</row>
    <row r="88" spans="1:19">
      <c r="A88" s="12" t="s">
        <v>404</v>
      </c>
      <c r="B88" s="11">
        <v>87</v>
      </c>
      <c r="C88" s="11" t="s">
        <v>598</v>
      </c>
      <c r="D88" s="11" t="s">
        <v>599</v>
      </c>
      <c r="E88" s="11" t="s">
        <v>571</v>
      </c>
      <c r="F88" s="11" t="s">
        <v>587</v>
      </c>
      <c r="G88" s="11" t="s">
        <v>378</v>
      </c>
      <c r="H88" s="11">
        <v>4280</v>
      </c>
      <c r="I88" s="11">
        <v>21.208888888888801</v>
      </c>
      <c r="J88" s="11">
        <v>201.802179379715</v>
      </c>
      <c r="K88" s="11">
        <v>238.76999999999899</v>
      </c>
      <c r="L88" s="11">
        <v>17.925199983247399</v>
      </c>
      <c r="M88" s="11">
        <v>-3.28368890564141</v>
      </c>
      <c r="N88" s="11">
        <v>0.845173930475834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</row>
    <row r="89" spans="1:19">
      <c r="A89" s="12" t="s">
        <v>404</v>
      </c>
      <c r="B89" s="11">
        <v>88</v>
      </c>
      <c r="C89" s="11" t="s">
        <v>600</v>
      </c>
      <c r="D89" s="11" t="s">
        <v>601</v>
      </c>
      <c r="E89" s="11" t="s">
        <v>571</v>
      </c>
      <c r="F89" s="11" t="s">
        <v>587</v>
      </c>
      <c r="G89" s="11" t="s">
        <v>378</v>
      </c>
      <c r="H89" s="11">
        <v>24</v>
      </c>
      <c r="I89" s="11">
        <v>0.11111111111111099</v>
      </c>
      <c r="J89" s="11">
        <v>216</v>
      </c>
      <c r="K89" s="11">
        <v>232.30000799999999</v>
      </c>
      <c r="L89" s="11">
        <v>0.103314675736042</v>
      </c>
      <c r="M89" s="11">
        <v>-7.7964353750689603E-3</v>
      </c>
      <c r="N89" s="11">
        <v>0.92983208162437903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</row>
    <row r="90" spans="1:19">
      <c r="A90" s="12" t="s">
        <v>404</v>
      </c>
      <c r="B90" s="11">
        <v>89</v>
      </c>
      <c r="C90" s="11" t="s">
        <v>602</v>
      </c>
      <c r="D90" s="11" t="s">
        <v>603</v>
      </c>
      <c r="E90" s="11" t="s">
        <v>571</v>
      </c>
      <c r="F90" s="11" t="s">
        <v>587</v>
      </c>
      <c r="G90" s="11" t="s">
        <v>378</v>
      </c>
      <c r="H90" s="11">
        <v>0</v>
      </c>
      <c r="I90" s="11">
        <v>0</v>
      </c>
      <c r="J90" s="11">
        <v>0</v>
      </c>
      <c r="K90" s="11">
        <v>210.15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</row>
    <row r="91" spans="1:19">
      <c r="A91" s="12" t="s">
        <v>404</v>
      </c>
      <c r="B91" s="11">
        <v>90</v>
      </c>
      <c r="C91" s="11" t="s">
        <v>604</v>
      </c>
      <c r="D91" s="11" t="s">
        <v>605</v>
      </c>
      <c r="E91" s="11" t="s">
        <v>571</v>
      </c>
      <c r="F91" s="11" t="s">
        <v>587</v>
      </c>
      <c r="G91" s="11" t="s">
        <v>378</v>
      </c>
      <c r="H91" s="11">
        <v>9179</v>
      </c>
      <c r="I91" s="11">
        <v>45.119166666666601</v>
      </c>
      <c r="J91" s="11">
        <v>203.43904105793899</v>
      </c>
      <c r="K91" s="11">
        <v>246.645309857028</v>
      </c>
      <c r="L91" s="11">
        <v>37.215384331941003</v>
      </c>
      <c r="M91" s="11">
        <v>-7.9037823347256397</v>
      </c>
      <c r="N91" s="11">
        <v>0.82482428381008099</v>
      </c>
      <c r="P91" s="11">
        <v>0</v>
      </c>
      <c r="Q91" s="11">
        <v>0</v>
      </c>
      <c r="R91" s="11">
        <v>0</v>
      </c>
      <c r="S91" s="11">
        <v>0</v>
      </c>
    </row>
    <row r="92" spans="1:19">
      <c r="A92" s="12" t="s">
        <v>404</v>
      </c>
      <c r="B92" s="11">
        <v>91</v>
      </c>
      <c r="C92" s="11" t="s">
        <v>606</v>
      </c>
      <c r="D92" s="11" t="s">
        <v>607</v>
      </c>
      <c r="E92" s="11" t="s">
        <v>571</v>
      </c>
      <c r="F92" s="11" t="s">
        <v>587</v>
      </c>
      <c r="G92" s="11" t="s">
        <v>409</v>
      </c>
      <c r="H92" s="11">
        <v>9179</v>
      </c>
      <c r="I92" s="11">
        <v>2</v>
      </c>
      <c r="J92" s="11">
        <v>4589.5</v>
      </c>
      <c r="K92" s="11">
        <v>51908.510016</v>
      </c>
      <c r="L92" s="11">
        <v>0.176830350113511</v>
      </c>
      <c r="M92" s="11">
        <v>-1.82316964988648</v>
      </c>
      <c r="N92" s="11">
        <v>8.8415175056755696E-2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</row>
    <row r="93" spans="1:19">
      <c r="A93" s="12" t="s">
        <v>404</v>
      </c>
      <c r="B93" s="11">
        <v>92</v>
      </c>
      <c r="C93" s="11" t="s">
        <v>608</v>
      </c>
      <c r="D93" s="11" t="s">
        <v>609</v>
      </c>
      <c r="E93" s="11" t="s">
        <v>571</v>
      </c>
      <c r="F93" s="11" t="s">
        <v>587</v>
      </c>
      <c r="G93" s="11" t="s">
        <v>378</v>
      </c>
      <c r="H93" s="11">
        <v>9179</v>
      </c>
      <c r="I93" s="11">
        <v>48.119166666666601</v>
      </c>
      <c r="J93" s="11">
        <v>190.755589422094</v>
      </c>
      <c r="K93" s="11">
        <v>245.47890725513</v>
      </c>
      <c r="L93" s="11">
        <v>37.392214682054501</v>
      </c>
      <c r="M93" s="11">
        <v>-10.7269519846121</v>
      </c>
      <c r="N93" s="11">
        <v>0.77707527524488496</v>
      </c>
      <c r="P93" s="11">
        <v>0</v>
      </c>
      <c r="Q93" s="11">
        <v>0</v>
      </c>
      <c r="R93" s="11">
        <v>0</v>
      </c>
      <c r="S93" s="11">
        <v>0</v>
      </c>
    </row>
    <row r="94" spans="1:19">
      <c r="A94" s="12" t="s">
        <v>404</v>
      </c>
      <c r="B94" s="11">
        <v>93</v>
      </c>
      <c r="C94" s="11" t="s">
        <v>610</v>
      </c>
      <c r="D94" s="11" t="s">
        <v>611</v>
      </c>
      <c r="E94" s="11" t="s">
        <v>571</v>
      </c>
      <c r="F94" s="11" t="s">
        <v>612</v>
      </c>
      <c r="G94" s="11" t="s">
        <v>378</v>
      </c>
      <c r="H94" s="11">
        <v>2942</v>
      </c>
      <c r="I94" s="11">
        <v>26.3038888888888</v>
      </c>
      <c r="J94" s="11">
        <v>111.846579508733</v>
      </c>
      <c r="K94" s="11">
        <v>170.200008</v>
      </c>
      <c r="L94" s="11">
        <v>17.2855456034996</v>
      </c>
      <c r="M94" s="11">
        <v>-9.0183432853892693</v>
      </c>
      <c r="N94" s="11">
        <v>0.65714790982109295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</row>
    <row r="95" spans="1:19">
      <c r="A95" s="12" t="s">
        <v>404</v>
      </c>
      <c r="B95" s="11">
        <v>94</v>
      </c>
      <c r="C95" s="11" t="s">
        <v>613</v>
      </c>
      <c r="D95" s="11" t="s">
        <v>614</v>
      </c>
      <c r="E95" s="11" t="s">
        <v>571</v>
      </c>
      <c r="F95" s="11" t="s">
        <v>612</v>
      </c>
      <c r="G95" s="11" t="s">
        <v>378</v>
      </c>
      <c r="H95" s="11">
        <v>2399</v>
      </c>
      <c r="I95" s="11">
        <v>20.073055555555499</v>
      </c>
      <c r="J95" s="11">
        <v>119.51344394780099</v>
      </c>
      <c r="K95" s="11">
        <v>174.080016</v>
      </c>
      <c r="L95" s="11">
        <v>13.781018953950401</v>
      </c>
      <c r="M95" s="11">
        <v>-6.2920366016050897</v>
      </c>
      <c r="N95" s="11">
        <v>0.686543158106107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</row>
    <row r="96" spans="1:19">
      <c r="A96" s="12" t="s">
        <v>404</v>
      </c>
      <c r="B96" s="11">
        <v>95</v>
      </c>
      <c r="C96" s="11" t="s">
        <v>615</v>
      </c>
      <c r="D96" s="11" t="s">
        <v>616</v>
      </c>
      <c r="E96" s="11" t="s">
        <v>571</v>
      </c>
      <c r="F96" s="11" t="s">
        <v>612</v>
      </c>
      <c r="G96" s="11" t="s">
        <v>378</v>
      </c>
      <c r="H96" s="11">
        <v>15</v>
      </c>
      <c r="I96" s="11">
        <v>0.14499999999999999</v>
      </c>
      <c r="J96" s="11">
        <v>103.448275862068</v>
      </c>
      <c r="K96" s="11">
        <v>154.19001599999899</v>
      </c>
      <c r="L96" s="11">
        <v>9.72825633535183E-2</v>
      </c>
      <c r="M96" s="11">
        <v>-4.7717436646481703E-2</v>
      </c>
      <c r="N96" s="11">
        <v>0.67091423002426398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</row>
    <row r="97" spans="1:19">
      <c r="A97" s="12" t="s">
        <v>404</v>
      </c>
      <c r="B97" s="11">
        <v>96</v>
      </c>
      <c r="C97" s="11" t="s">
        <v>617</v>
      </c>
      <c r="D97" s="11" t="s">
        <v>618</v>
      </c>
      <c r="E97" s="11" t="s">
        <v>571</v>
      </c>
      <c r="F97" s="11" t="s">
        <v>612</v>
      </c>
      <c r="G97" s="11" t="s">
        <v>378</v>
      </c>
      <c r="H97" s="11">
        <v>0</v>
      </c>
      <c r="I97" s="11">
        <v>0</v>
      </c>
      <c r="J97" s="11">
        <v>0</v>
      </c>
      <c r="K97" s="11">
        <v>179.04999599999999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</row>
    <row r="98" spans="1:19">
      <c r="A98" s="12" t="s">
        <v>404</v>
      </c>
      <c r="B98" s="11">
        <v>97</v>
      </c>
      <c r="C98" s="11" t="s">
        <v>619</v>
      </c>
      <c r="D98" s="11" t="s">
        <v>620</v>
      </c>
      <c r="E98" s="11" t="s">
        <v>571</v>
      </c>
      <c r="F98" s="11" t="s">
        <v>612</v>
      </c>
      <c r="G98" s="11" t="s">
        <v>378</v>
      </c>
      <c r="H98" s="11">
        <v>5356</v>
      </c>
      <c r="I98" s="11">
        <v>46.521944444444401</v>
      </c>
      <c r="J98" s="11">
        <v>115.12846386711099</v>
      </c>
      <c r="K98" s="11">
        <v>171.86581551494501</v>
      </c>
      <c r="L98" s="11">
        <v>31.163847120803599</v>
      </c>
      <c r="M98" s="11">
        <v>-15.3580973236408</v>
      </c>
      <c r="N98" s="11">
        <v>0.66987413129343298</v>
      </c>
      <c r="P98" s="11">
        <v>0</v>
      </c>
      <c r="Q98" s="11">
        <v>0</v>
      </c>
      <c r="R98" s="11">
        <v>0</v>
      </c>
      <c r="S98" s="11">
        <v>0</v>
      </c>
    </row>
    <row r="99" spans="1:19">
      <c r="A99" s="12" t="s">
        <v>404</v>
      </c>
      <c r="B99" s="11">
        <v>98</v>
      </c>
      <c r="C99" s="11" t="s">
        <v>621</v>
      </c>
      <c r="D99" s="11" t="s">
        <v>622</v>
      </c>
      <c r="E99" s="11" t="s">
        <v>571</v>
      </c>
      <c r="F99" s="11" t="s">
        <v>612</v>
      </c>
      <c r="G99" s="11" t="s">
        <v>40</v>
      </c>
      <c r="H99" s="11">
        <v>3197</v>
      </c>
      <c r="I99" s="11">
        <v>0</v>
      </c>
      <c r="J99" s="11">
        <v>0</v>
      </c>
      <c r="K99" s="65">
        <v>31176520.869995899</v>
      </c>
      <c r="L99" s="65">
        <v>1.02545117632954E-4</v>
      </c>
      <c r="M99" s="65">
        <v>1.02545117632954E-4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</row>
    <row r="100" spans="1:19">
      <c r="A100" s="12" t="s">
        <v>404</v>
      </c>
      <c r="B100" s="11">
        <v>99</v>
      </c>
      <c r="C100" s="11" t="s">
        <v>623</v>
      </c>
      <c r="D100" s="11" t="s">
        <v>624</v>
      </c>
      <c r="E100" s="11" t="s">
        <v>571</v>
      </c>
      <c r="F100" s="11" t="s">
        <v>612</v>
      </c>
      <c r="G100" s="11" t="s">
        <v>378</v>
      </c>
      <c r="H100" s="11">
        <v>0</v>
      </c>
      <c r="I100" s="11">
        <v>0</v>
      </c>
      <c r="J100" s="11">
        <v>0</v>
      </c>
      <c r="K100" s="11">
        <v>1318.7900159999999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</row>
    <row r="101" spans="1:19">
      <c r="A101" s="12" t="s">
        <v>404</v>
      </c>
      <c r="B101" s="11">
        <v>100</v>
      </c>
      <c r="C101" s="11" t="s">
        <v>625</v>
      </c>
      <c r="D101" s="11" t="s">
        <v>626</v>
      </c>
      <c r="E101" s="11" t="s">
        <v>571</v>
      </c>
      <c r="F101" s="11" t="s">
        <v>612</v>
      </c>
      <c r="G101" s="11" t="s">
        <v>378</v>
      </c>
      <c r="H101" s="11">
        <v>3093</v>
      </c>
      <c r="I101" s="11">
        <v>6.7819444444444397</v>
      </c>
      <c r="J101" s="11">
        <v>456.06389514642598</v>
      </c>
      <c r="K101" s="11">
        <v>465.58000800000002</v>
      </c>
      <c r="L101" s="11">
        <v>6.6433264892250197</v>
      </c>
      <c r="M101" s="11">
        <v>-0.138617955219417</v>
      </c>
      <c r="N101" s="11">
        <v>0.97956073566291602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</row>
    <row r="102" spans="1:19">
      <c r="A102" s="12" t="s">
        <v>404</v>
      </c>
      <c r="B102" s="11">
        <v>101</v>
      </c>
      <c r="C102" s="11" t="s">
        <v>627</v>
      </c>
      <c r="D102" s="11" t="s">
        <v>628</v>
      </c>
      <c r="E102" s="11" t="s">
        <v>571</v>
      </c>
      <c r="F102" s="11" t="s">
        <v>612</v>
      </c>
      <c r="G102" s="11" t="s">
        <v>378</v>
      </c>
      <c r="H102" s="11">
        <v>223</v>
      </c>
      <c r="I102" s="11">
        <v>3.0805555555555499</v>
      </c>
      <c r="J102" s="11">
        <v>72.389540126239794</v>
      </c>
      <c r="K102" s="11">
        <v>103.02001199999999</v>
      </c>
      <c r="L102" s="11">
        <v>2.1646279753879201</v>
      </c>
      <c r="M102" s="11">
        <v>-0.91592758016762799</v>
      </c>
      <c r="N102" s="11">
        <v>0.70267454566244703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</row>
    <row r="103" spans="1:19">
      <c r="A103" s="12" t="s">
        <v>404</v>
      </c>
      <c r="B103" s="11">
        <v>102</v>
      </c>
      <c r="C103" s="11" t="s">
        <v>629</v>
      </c>
      <c r="D103" s="11" t="s">
        <v>630</v>
      </c>
      <c r="E103" s="11" t="s">
        <v>571</v>
      </c>
      <c r="F103" s="11" t="s">
        <v>612</v>
      </c>
      <c r="G103" s="11" t="s">
        <v>378</v>
      </c>
      <c r="H103" s="11">
        <v>1147</v>
      </c>
      <c r="I103" s="11">
        <v>15.066666666666601</v>
      </c>
      <c r="J103" s="11">
        <v>76.128318584070797</v>
      </c>
      <c r="K103" s="11">
        <v>95.109983999999997</v>
      </c>
      <c r="L103" s="11">
        <v>12.0597223525975</v>
      </c>
      <c r="M103" s="11">
        <v>-3.0069443140690599</v>
      </c>
      <c r="N103" s="11">
        <v>0.800424049951168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</row>
    <row r="104" spans="1:19">
      <c r="A104" s="12" t="s">
        <v>404</v>
      </c>
      <c r="B104" s="11">
        <v>103</v>
      </c>
      <c r="C104" s="11" t="s">
        <v>631</v>
      </c>
      <c r="D104" s="11" t="s">
        <v>632</v>
      </c>
      <c r="E104" s="11" t="s">
        <v>571</v>
      </c>
      <c r="F104" s="11" t="s">
        <v>612</v>
      </c>
      <c r="G104" s="11" t="s">
        <v>378</v>
      </c>
      <c r="H104" s="11">
        <v>11</v>
      </c>
      <c r="I104" s="11">
        <v>0.23361111111111099</v>
      </c>
      <c r="J104" s="11">
        <v>47.086801426872697</v>
      </c>
      <c r="K104" s="11">
        <v>44.660015999999999</v>
      </c>
      <c r="L104" s="11">
        <v>0.24630533047726599</v>
      </c>
      <c r="M104" s="11">
        <v>1.2694219366155101E-2</v>
      </c>
      <c r="N104" s="11">
        <v>1.05433910786939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</row>
    <row r="105" spans="1:19">
      <c r="A105" s="12" t="s">
        <v>404</v>
      </c>
      <c r="B105" s="11">
        <v>104</v>
      </c>
      <c r="C105" s="11" t="s">
        <v>633</v>
      </c>
      <c r="D105" s="11" t="s">
        <v>634</v>
      </c>
      <c r="E105" s="11" t="s">
        <v>571</v>
      </c>
      <c r="F105" s="11" t="s">
        <v>612</v>
      </c>
      <c r="G105" s="11" t="s">
        <v>378</v>
      </c>
      <c r="H105" s="11">
        <v>0</v>
      </c>
      <c r="I105" s="11">
        <v>0</v>
      </c>
      <c r="J105" s="11">
        <v>0</v>
      </c>
      <c r="K105" s="11">
        <v>402.63001200000002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</row>
    <row r="106" spans="1:19">
      <c r="A106" s="12" t="s">
        <v>404</v>
      </c>
      <c r="B106" s="11">
        <v>105</v>
      </c>
      <c r="C106" s="11" t="s">
        <v>635</v>
      </c>
      <c r="D106" s="11" t="s">
        <v>636</v>
      </c>
      <c r="E106" s="11" t="s">
        <v>571</v>
      </c>
      <c r="F106" s="11" t="s">
        <v>612</v>
      </c>
      <c r="G106" s="11" t="s">
        <v>378</v>
      </c>
      <c r="H106" s="11">
        <v>1381</v>
      </c>
      <c r="I106" s="11">
        <v>18.3808333333333</v>
      </c>
      <c r="J106" s="11">
        <v>75.132610962506206</v>
      </c>
      <c r="K106" s="11">
        <v>95.434514689205301</v>
      </c>
      <c r="L106" s="11">
        <v>14.4706556584627</v>
      </c>
      <c r="M106" s="11">
        <v>-3.9101776748705399</v>
      </c>
      <c r="N106" s="11">
        <v>0.78726874870360197</v>
      </c>
      <c r="P106" s="11">
        <v>0</v>
      </c>
      <c r="Q106" s="11">
        <v>0</v>
      </c>
      <c r="R106" s="11">
        <v>0</v>
      </c>
      <c r="S106" s="11">
        <v>0</v>
      </c>
    </row>
    <row r="107" spans="1:19">
      <c r="A107" s="12" t="s">
        <v>404</v>
      </c>
      <c r="B107" s="11">
        <v>106</v>
      </c>
      <c r="C107" s="11" t="s">
        <v>637</v>
      </c>
      <c r="D107" s="11" t="s">
        <v>638</v>
      </c>
      <c r="E107" s="11" t="s">
        <v>571</v>
      </c>
      <c r="F107" s="11" t="s">
        <v>612</v>
      </c>
      <c r="G107" s="11" t="s">
        <v>378</v>
      </c>
      <c r="H107" s="11">
        <v>352</v>
      </c>
      <c r="I107" s="11">
        <v>2.05833333333333</v>
      </c>
      <c r="J107" s="11">
        <v>171.012145748987</v>
      </c>
      <c r="K107" s="11">
        <v>104.280012</v>
      </c>
      <c r="L107" s="11">
        <v>3.3755270377222399</v>
      </c>
      <c r="M107" s="11">
        <v>1.3171937043889099</v>
      </c>
      <c r="N107" s="11">
        <v>1.63993216407558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</row>
    <row r="108" spans="1:19">
      <c r="A108" s="12" t="s">
        <v>404</v>
      </c>
      <c r="B108" s="11">
        <v>107</v>
      </c>
      <c r="C108" s="11" t="s">
        <v>639</v>
      </c>
      <c r="D108" s="11" t="s">
        <v>640</v>
      </c>
      <c r="E108" s="11" t="s">
        <v>571</v>
      </c>
      <c r="F108" s="11" t="s">
        <v>612</v>
      </c>
      <c r="G108" s="11" t="s">
        <v>378</v>
      </c>
      <c r="H108" s="11">
        <v>179</v>
      </c>
      <c r="I108" s="11">
        <v>1.8186111111111101</v>
      </c>
      <c r="J108" s="11">
        <v>98.426760348251094</v>
      </c>
      <c r="K108" s="11">
        <v>72.640007999999995</v>
      </c>
      <c r="L108" s="11">
        <v>2.4642067770697298</v>
      </c>
      <c r="M108" s="11">
        <v>0.64559566595862705</v>
      </c>
      <c r="N108" s="11">
        <v>1.3549937982970901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</row>
    <row r="109" spans="1:19">
      <c r="A109" s="12" t="s">
        <v>404</v>
      </c>
      <c r="B109" s="11">
        <v>108</v>
      </c>
      <c r="C109" s="11" t="s">
        <v>641</v>
      </c>
      <c r="D109" s="11" t="s">
        <v>642</v>
      </c>
      <c r="E109" s="11" t="s">
        <v>571</v>
      </c>
      <c r="F109" s="11" t="s">
        <v>612</v>
      </c>
      <c r="G109" s="11" t="s">
        <v>378</v>
      </c>
      <c r="H109" s="11">
        <v>0</v>
      </c>
      <c r="I109" s="11">
        <v>0</v>
      </c>
      <c r="J109" s="11">
        <v>0</v>
      </c>
      <c r="K109" s="11">
        <v>64.090007999999997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1">
        <v>0</v>
      </c>
      <c r="S109" s="11">
        <v>0</v>
      </c>
    </row>
    <row r="110" spans="1:19">
      <c r="A110" s="12" t="s">
        <v>404</v>
      </c>
      <c r="B110" s="11">
        <v>109</v>
      </c>
      <c r="C110" s="11" t="s">
        <v>643</v>
      </c>
      <c r="D110" s="11" t="s">
        <v>644</v>
      </c>
      <c r="E110" s="11" t="s">
        <v>571</v>
      </c>
      <c r="F110" s="11" t="s">
        <v>612</v>
      </c>
      <c r="G110" s="11" t="s">
        <v>378</v>
      </c>
      <c r="H110" s="11">
        <v>0</v>
      </c>
      <c r="I110" s="11">
        <v>0</v>
      </c>
      <c r="J110" s="11">
        <v>0</v>
      </c>
      <c r="K110" s="11">
        <v>10006.999991999999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</row>
    <row r="111" spans="1:19">
      <c r="A111" s="12" t="s">
        <v>404</v>
      </c>
      <c r="B111" s="11">
        <v>110</v>
      </c>
      <c r="C111" s="11" t="s">
        <v>645</v>
      </c>
      <c r="D111" s="11" t="s">
        <v>646</v>
      </c>
      <c r="E111" s="11" t="s">
        <v>571</v>
      </c>
      <c r="F111" s="11" t="s">
        <v>612</v>
      </c>
      <c r="G111" s="11" t="s">
        <v>378</v>
      </c>
      <c r="H111" s="11">
        <v>531</v>
      </c>
      <c r="I111" s="11">
        <v>3.8769444444444399</v>
      </c>
      <c r="J111" s="11">
        <v>136.96353084473699</v>
      </c>
      <c r="K111" s="11">
        <v>90.928802038028294</v>
      </c>
      <c r="L111" s="11">
        <v>5.8397338147919804</v>
      </c>
      <c r="M111" s="11">
        <v>1.9627893703475301</v>
      </c>
      <c r="N111" s="11">
        <v>1.5062722457011599</v>
      </c>
      <c r="P111" s="11">
        <v>0</v>
      </c>
      <c r="Q111" s="11">
        <v>0</v>
      </c>
      <c r="R111" s="11">
        <v>0</v>
      </c>
      <c r="S111" s="11">
        <v>0</v>
      </c>
    </row>
    <row r="112" spans="1:19">
      <c r="A112" s="12" t="s">
        <v>404</v>
      </c>
      <c r="B112" s="11">
        <v>111</v>
      </c>
      <c r="C112" s="11" t="s">
        <v>647</v>
      </c>
      <c r="D112" s="11" t="s">
        <v>648</v>
      </c>
      <c r="E112" s="11" t="s">
        <v>571</v>
      </c>
      <c r="F112" s="11" t="s">
        <v>612</v>
      </c>
      <c r="G112" s="11" t="s">
        <v>409</v>
      </c>
      <c r="H112" s="11">
        <v>10675</v>
      </c>
      <c r="I112" s="11">
        <v>20.696666666666601</v>
      </c>
      <c r="J112" s="11">
        <v>515.78354002254696</v>
      </c>
      <c r="K112" s="11">
        <v>1006.2</v>
      </c>
      <c r="L112" s="11">
        <v>10.609222818525099</v>
      </c>
      <c r="M112" s="11">
        <v>-10.087443848141501</v>
      </c>
      <c r="N112" s="11">
        <v>0.51260538662546995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</row>
    <row r="113" spans="1:19">
      <c r="A113" s="12" t="s">
        <v>404</v>
      </c>
      <c r="B113" s="11">
        <v>112</v>
      </c>
      <c r="C113" s="11" t="s">
        <v>649</v>
      </c>
      <c r="D113" s="11" t="s">
        <v>650</v>
      </c>
      <c r="E113" s="11" t="s">
        <v>571</v>
      </c>
      <c r="F113" s="11" t="s">
        <v>651</v>
      </c>
      <c r="G113" s="11" t="s">
        <v>378</v>
      </c>
      <c r="H113" s="11">
        <v>19</v>
      </c>
      <c r="I113" s="11">
        <v>1.00555555555555</v>
      </c>
      <c r="J113" s="11">
        <v>18.8950276243093</v>
      </c>
      <c r="K113" s="11">
        <v>22.370003999999899</v>
      </c>
      <c r="L113" s="11">
        <v>0.84935165858709705</v>
      </c>
      <c r="M113" s="11">
        <v>-0.15620389696845799</v>
      </c>
      <c r="N113" s="11">
        <v>0.84465910798716803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</row>
    <row r="114" spans="1:19">
      <c r="A114" s="12" t="s">
        <v>404</v>
      </c>
      <c r="B114" s="11">
        <v>113</v>
      </c>
      <c r="C114" s="11" t="s">
        <v>652</v>
      </c>
      <c r="D114" s="11" t="s">
        <v>653</v>
      </c>
      <c r="E114" s="11" t="s">
        <v>571</v>
      </c>
      <c r="F114" s="11" t="s">
        <v>651</v>
      </c>
      <c r="G114" s="11" t="s">
        <v>378</v>
      </c>
      <c r="H114" s="11">
        <v>0</v>
      </c>
      <c r="I114" s="11">
        <v>0</v>
      </c>
      <c r="J114" s="11">
        <v>0</v>
      </c>
      <c r="K114" s="11">
        <v>10006.999991999999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</row>
    <row r="115" spans="1:19">
      <c r="A115" s="12" t="s">
        <v>404</v>
      </c>
      <c r="B115" s="11">
        <v>114</v>
      </c>
      <c r="C115" s="11" t="s">
        <v>654</v>
      </c>
      <c r="D115" s="11" t="s">
        <v>655</v>
      </c>
      <c r="E115" s="11" t="s">
        <v>571</v>
      </c>
      <c r="F115" s="11" t="s">
        <v>651</v>
      </c>
      <c r="G115" s="11" t="s">
        <v>378</v>
      </c>
      <c r="H115" s="11">
        <v>0</v>
      </c>
      <c r="I115" s="11">
        <v>0</v>
      </c>
      <c r="J115" s="11">
        <v>0</v>
      </c>
      <c r="K115" s="11">
        <v>10006.999991999999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</row>
    <row r="116" spans="1:19">
      <c r="A116" s="12" t="s">
        <v>404</v>
      </c>
      <c r="B116" s="11">
        <v>115</v>
      </c>
      <c r="C116" s="11" t="s">
        <v>656</v>
      </c>
      <c r="D116" s="11" t="s">
        <v>657</v>
      </c>
      <c r="E116" s="11" t="s">
        <v>571</v>
      </c>
      <c r="F116" s="11" t="s">
        <v>651</v>
      </c>
      <c r="G116" s="11" t="s">
        <v>378</v>
      </c>
      <c r="H116" s="11">
        <v>0</v>
      </c>
      <c r="I116" s="11">
        <v>0</v>
      </c>
      <c r="J116" s="11">
        <v>0</v>
      </c>
      <c r="K116" s="11">
        <v>157.600008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</row>
    <row r="117" spans="1:19">
      <c r="A117" s="12" t="s">
        <v>404</v>
      </c>
      <c r="B117" s="11">
        <v>116</v>
      </c>
      <c r="C117" s="11" t="s">
        <v>658</v>
      </c>
      <c r="D117" s="11" t="s">
        <v>659</v>
      </c>
      <c r="E117" s="11" t="s">
        <v>571</v>
      </c>
      <c r="F117" s="11" t="s">
        <v>651</v>
      </c>
      <c r="G117" s="11" t="s">
        <v>378</v>
      </c>
      <c r="H117" s="11">
        <v>10675</v>
      </c>
      <c r="I117" s="11">
        <v>97.2638888888888</v>
      </c>
      <c r="J117" s="11">
        <v>109.75296301585</v>
      </c>
      <c r="K117" s="11">
        <v>153.428813971712</v>
      </c>
      <c r="L117" s="11">
        <v>69.576240105513193</v>
      </c>
      <c r="M117" s="11">
        <v>-27.6876487833756</v>
      </c>
      <c r="N117" s="11">
        <v>0.71533475476180997</v>
      </c>
      <c r="P117" s="11">
        <v>0</v>
      </c>
      <c r="Q117" s="11">
        <v>0</v>
      </c>
      <c r="R117" s="11">
        <v>0</v>
      </c>
      <c r="S117" s="11">
        <v>0</v>
      </c>
    </row>
    <row r="118" spans="1:19">
      <c r="A118" s="12" t="s">
        <v>404</v>
      </c>
      <c r="B118" s="11">
        <v>117</v>
      </c>
      <c r="C118" s="11" t="s">
        <v>660</v>
      </c>
      <c r="D118" s="11" t="s">
        <v>661</v>
      </c>
      <c r="E118" s="11" t="s">
        <v>571</v>
      </c>
      <c r="F118" s="11" t="s">
        <v>661</v>
      </c>
      <c r="G118" s="11" t="s">
        <v>378</v>
      </c>
      <c r="H118" s="11">
        <v>10675</v>
      </c>
      <c r="I118" s="11">
        <v>5</v>
      </c>
      <c r="J118" s="11">
        <v>2135</v>
      </c>
      <c r="K118" s="11">
        <v>1915.9099920000001</v>
      </c>
      <c r="L118" s="11">
        <v>5.5717648765203496</v>
      </c>
      <c r="M118" s="11">
        <v>0.57176487652035701</v>
      </c>
      <c r="N118" s="11">
        <v>1.11435297530407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</row>
    <row r="119" spans="1:19">
      <c r="A119" s="12" t="s">
        <v>404</v>
      </c>
      <c r="B119" s="11">
        <v>118</v>
      </c>
      <c r="C119" s="11" t="s">
        <v>662</v>
      </c>
      <c r="D119" s="11" t="s">
        <v>663</v>
      </c>
      <c r="E119" s="11" t="s">
        <v>571</v>
      </c>
      <c r="F119" s="11" t="s">
        <v>664</v>
      </c>
      <c r="G119" s="11" t="s">
        <v>378</v>
      </c>
      <c r="H119" s="11">
        <v>10675</v>
      </c>
      <c r="I119" s="11">
        <v>14.7697222222222</v>
      </c>
      <c r="J119" s="11">
        <v>722.76240807959198</v>
      </c>
      <c r="K119" s="11">
        <v>1092.6299879999999</v>
      </c>
      <c r="L119" s="11">
        <v>9.7700045918930005</v>
      </c>
      <c r="M119" s="11">
        <v>-4.9997176303292097</v>
      </c>
      <c r="N119" s="11">
        <v>0.66148871623281102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</row>
    <row r="120" spans="1:19">
      <c r="A120" s="12" t="s">
        <v>404</v>
      </c>
      <c r="B120" s="11">
        <v>119</v>
      </c>
      <c r="C120" s="11" t="s">
        <v>665</v>
      </c>
      <c r="D120" s="11" t="s">
        <v>31</v>
      </c>
      <c r="E120" s="11" t="s">
        <v>571</v>
      </c>
      <c r="F120" s="11" t="s">
        <v>666</v>
      </c>
      <c r="G120" s="11" t="s">
        <v>378</v>
      </c>
      <c r="H120" s="11">
        <v>10675</v>
      </c>
      <c r="I120" s="11">
        <v>34.435277777777699</v>
      </c>
      <c r="J120" s="11">
        <v>310.00185533246702</v>
      </c>
      <c r="K120" s="11">
        <v>454.16001599999998</v>
      </c>
      <c r="L120" s="11">
        <v>23.5049313544149</v>
      </c>
      <c r="M120" s="11">
        <v>-10.930346423362799</v>
      </c>
      <c r="N120" s="11">
        <v>0.68258288799352895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</row>
    <row r="121" spans="1:19">
      <c r="A121" s="12" t="s">
        <v>404</v>
      </c>
      <c r="B121" s="11">
        <v>120</v>
      </c>
      <c r="C121" s="11" t="s">
        <v>667</v>
      </c>
      <c r="D121" s="11" t="s">
        <v>668</v>
      </c>
      <c r="E121" s="11" t="s">
        <v>571</v>
      </c>
      <c r="F121" s="11" t="s">
        <v>522</v>
      </c>
      <c r="G121" s="11" t="s">
        <v>378</v>
      </c>
      <c r="H121" s="11">
        <v>10675</v>
      </c>
      <c r="I121" s="11">
        <v>289.95527777777698</v>
      </c>
      <c r="J121" s="11">
        <v>36.816022394258098</v>
      </c>
      <c r="K121" s="11">
        <v>56.897826275283897</v>
      </c>
      <c r="L121" s="11">
        <v>187.61700927469599</v>
      </c>
      <c r="M121" s="11">
        <v>-102.338268503081</v>
      </c>
      <c r="N121" s="11">
        <v>0.64705498969563902</v>
      </c>
      <c r="P121" s="11">
        <v>0</v>
      </c>
      <c r="Q121" s="11">
        <v>0</v>
      </c>
      <c r="R121" s="11">
        <v>0</v>
      </c>
      <c r="S121" s="11">
        <v>0</v>
      </c>
    </row>
    <row r="122" spans="1:19">
      <c r="A122" s="12" t="s">
        <v>404</v>
      </c>
      <c r="B122" s="11">
        <v>121</v>
      </c>
      <c r="C122" s="11" t="s">
        <v>669</v>
      </c>
      <c r="D122" s="11" t="s">
        <v>670</v>
      </c>
      <c r="E122" s="11" t="s">
        <v>671</v>
      </c>
      <c r="F122" s="11" t="s">
        <v>672</v>
      </c>
      <c r="G122" s="11" t="s">
        <v>378</v>
      </c>
      <c r="H122" s="11">
        <v>0</v>
      </c>
      <c r="I122" s="11">
        <v>0</v>
      </c>
      <c r="J122" s="11">
        <v>0</v>
      </c>
      <c r="K122" s="11">
        <v>42.000011999999998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v>0</v>
      </c>
      <c r="S122" s="11">
        <v>0</v>
      </c>
    </row>
    <row r="123" spans="1:19">
      <c r="A123" s="12" t="s">
        <v>404</v>
      </c>
      <c r="B123" s="11">
        <v>122</v>
      </c>
      <c r="C123" s="11" t="s">
        <v>673</v>
      </c>
      <c r="D123" s="11" t="s">
        <v>674</v>
      </c>
      <c r="E123" s="11" t="s">
        <v>671</v>
      </c>
      <c r="F123" s="11" t="s">
        <v>672</v>
      </c>
      <c r="G123" s="11" t="s">
        <v>378</v>
      </c>
      <c r="H123" s="11">
        <v>0</v>
      </c>
      <c r="I123" s="11">
        <v>0</v>
      </c>
      <c r="J123" s="11">
        <v>0</v>
      </c>
      <c r="K123" s="11">
        <v>34.989984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</row>
    <row r="124" spans="1:19">
      <c r="A124" s="12" t="s">
        <v>404</v>
      </c>
      <c r="B124" s="11">
        <v>123</v>
      </c>
      <c r="C124" s="11" t="s">
        <v>675</v>
      </c>
      <c r="D124" s="11" t="s">
        <v>676</v>
      </c>
      <c r="E124" s="11" t="s">
        <v>671</v>
      </c>
      <c r="F124" s="11" t="s">
        <v>672</v>
      </c>
      <c r="G124" s="11" t="s">
        <v>378</v>
      </c>
      <c r="H124" s="11">
        <v>0</v>
      </c>
      <c r="I124" s="11">
        <v>0</v>
      </c>
      <c r="J124" s="11">
        <v>0</v>
      </c>
      <c r="K124" s="11">
        <v>25.760016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</row>
    <row r="125" spans="1:19">
      <c r="A125" s="12" t="s">
        <v>404</v>
      </c>
      <c r="B125" s="11">
        <v>124</v>
      </c>
      <c r="C125" s="11" t="s">
        <v>677</v>
      </c>
      <c r="D125" s="11" t="s">
        <v>678</v>
      </c>
      <c r="E125" s="11" t="s">
        <v>671</v>
      </c>
      <c r="F125" s="11" t="s">
        <v>672</v>
      </c>
      <c r="G125" s="11" t="s">
        <v>378</v>
      </c>
      <c r="H125" s="11">
        <v>0</v>
      </c>
      <c r="I125" s="11">
        <v>0</v>
      </c>
      <c r="J125" s="11">
        <v>0</v>
      </c>
      <c r="K125" s="11">
        <v>16.689996000000001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</row>
    <row r="126" spans="1:19">
      <c r="A126" s="12" t="s">
        <v>404</v>
      </c>
      <c r="B126" s="11">
        <v>125</v>
      </c>
      <c r="C126" s="11" t="s">
        <v>679</v>
      </c>
      <c r="D126" s="11" t="s">
        <v>680</v>
      </c>
      <c r="E126" s="11" t="s">
        <v>671</v>
      </c>
      <c r="F126" s="11" t="s">
        <v>672</v>
      </c>
      <c r="G126" s="11" t="s">
        <v>409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P126" s="11">
        <v>0</v>
      </c>
      <c r="Q126" s="11">
        <v>0</v>
      </c>
      <c r="R126" s="11">
        <v>0</v>
      </c>
      <c r="S126" s="11">
        <v>0</v>
      </c>
    </row>
    <row r="127" spans="1:19">
      <c r="A127" s="12" t="s">
        <v>404</v>
      </c>
      <c r="B127" s="11">
        <v>126</v>
      </c>
      <c r="C127" s="11" t="s">
        <v>681</v>
      </c>
      <c r="D127" s="11" t="s">
        <v>682</v>
      </c>
      <c r="E127" s="11" t="s">
        <v>671</v>
      </c>
      <c r="F127" s="11" t="s">
        <v>672</v>
      </c>
      <c r="G127" s="11" t="s">
        <v>378</v>
      </c>
      <c r="H127" s="11">
        <v>0</v>
      </c>
      <c r="I127" s="11">
        <v>0</v>
      </c>
      <c r="J127" s="11">
        <v>0</v>
      </c>
      <c r="K127" s="11">
        <v>190.09000800000001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1">
        <v>0</v>
      </c>
      <c r="S127" s="11">
        <v>0</v>
      </c>
    </row>
    <row r="128" spans="1:19">
      <c r="A128" s="12" t="s">
        <v>404</v>
      </c>
      <c r="B128" s="11">
        <v>127</v>
      </c>
      <c r="C128" s="11" t="s">
        <v>683</v>
      </c>
      <c r="D128" s="11" t="s">
        <v>684</v>
      </c>
      <c r="E128" s="11" t="s">
        <v>671</v>
      </c>
      <c r="F128" s="11" t="s">
        <v>672</v>
      </c>
      <c r="G128" s="11" t="s">
        <v>378</v>
      </c>
      <c r="H128" s="11">
        <v>0</v>
      </c>
      <c r="I128" s="11">
        <v>0</v>
      </c>
      <c r="J128" s="11">
        <v>0</v>
      </c>
      <c r="K128" s="11">
        <v>121.169988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0</v>
      </c>
      <c r="S128" s="11">
        <v>0</v>
      </c>
    </row>
    <row r="129" spans="1:19">
      <c r="A129" s="12" t="s">
        <v>404</v>
      </c>
      <c r="B129" s="11">
        <v>128</v>
      </c>
      <c r="C129" s="11" t="s">
        <v>685</v>
      </c>
      <c r="D129" s="11" t="s">
        <v>686</v>
      </c>
      <c r="E129" s="11" t="s">
        <v>671</v>
      </c>
      <c r="F129" s="11" t="s">
        <v>672</v>
      </c>
      <c r="G129" s="11" t="s">
        <v>378</v>
      </c>
      <c r="H129" s="11">
        <v>0</v>
      </c>
      <c r="I129" s="11">
        <v>0</v>
      </c>
      <c r="J129" s="11">
        <v>0</v>
      </c>
      <c r="K129" s="11">
        <v>70.170012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v>0</v>
      </c>
    </row>
    <row r="130" spans="1:19">
      <c r="A130" s="12" t="s">
        <v>404</v>
      </c>
      <c r="B130" s="11">
        <v>129</v>
      </c>
      <c r="C130" s="11" t="s">
        <v>687</v>
      </c>
      <c r="D130" s="11" t="s">
        <v>688</v>
      </c>
      <c r="E130" s="11" t="s">
        <v>671</v>
      </c>
      <c r="F130" s="11" t="s">
        <v>672</v>
      </c>
      <c r="G130" s="11" t="s">
        <v>378</v>
      </c>
      <c r="H130" s="11">
        <v>0</v>
      </c>
      <c r="I130" s="11">
        <v>0</v>
      </c>
      <c r="J130" s="11">
        <v>0</v>
      </c>
      <c r="K130" s="11">
        <v>133.419996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0</v>
      </c>
      <c r="S130" s="11">
        <v>0</v>
      </c>
    </row>
    <row r="131" spans="1:19">
      <c r="A131" s="12" t="s">
        <v>404</v>
      </c>
      <c r="B131" s="11">
        <v>130</v>
      </c>
      <c r="C131" s="11" t="s">
        <v>689</v>
      </c>
      <c r="D131" s="11" t="s">
        <v>690</v>
      </c>
      <c r="E131" s="11" t="s">
        <v>671</v>
      </c>
      <c r="F131" s="11" t="s">
        <v>672</v>
      </c>
      <c r="G131" s="11" t="s">
        <v>409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P131" s="11">
        <v>0</v>
      </c>
      <c r="Q131" s="11">
        <v>0</v>
      </c>
      <c r="R131" s="11">
        <v>0</v>
      </c>
      <c r="S131" s="11">
        <v>0</v>
      </c>
    </row>
    <row r="132" spans="1:19">
      <c r="A132" s="12" t="s">
        <v>404</v>
      </c>
      <c r="B132" s="11">
        <v>131</v>
      </c>
      <c r="C132" s="11" t="s">
        <v>691</v>
      </c>
      <c r="D132" s="11" t="s">
        <v>692</v>
      </c>
      <c r="E132" s="11" t="s">
        <v>671</v>
      </c>
      <c r="F132" s="11" t="s">
        <v>672</v>
      </c>
      <c r="G132" s="11" t="s">
        <v>409</v>
      </c>
      <c r="H132" s="11">
        <v>0</v>
      </c>
      <c r="I132" s="11">
        <v>0</v>
      </c>
      <c r="J132" s="11">
        <v>0</v>
      </c>
      <c r="K132" s="11">
        <v>80.64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v>0</v>
      </c>
    </row>
    <row r="133" spans="1:19">
      <c r="A133" s="12" t="s">
        <v>404</v>
      </c>
      <c r="B133" s="11">
        <v>132</v>
      </c>
      <c r="C133" s="11" t="s">
        <v>693</v>
      </c>
      <c r="D133" s="11" t="s">
        <v>694</v>
      </c>
      <c r="E133" s="11" t="s">
        <v>671</v>
      </c>
      <c r="F133" s="11" t="s">
        <v>672</v>
      </c>
      <c r="G133" s="11" t="s">
        <v>409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P133" s="11">
        <v>0</v>
      </c>
      <c r="Q133" s="11">
        <v>0</v>
      </c>
      <c r="R133" s="11">
        <v>0</v>
      </c>
      <c r="S133" s="11">
        <v>0</v>
      </c>
    </row>
    <row r="134" spans="1:19">
      <c r="A134" s="12" t="s">
        <v>404</v>
      </c>
      <c r="B134" s="11">
        <v>133</v>
      </c>
      <c r="C134" s="11" t="s">
        <v>695</v>
      </c>
      <c r="D134" s="11" t="s">
        <v>696</v>
      </c>
      <c r="E134" s="11" t="s">
        <v>671</v>
      </c>
      <c r="F134" s="11" t="s">
        <v>697</v>
      </c>
      <c r="G134" s="11" t="s">
        <v>378</v>
      </c>
      <c r="H134" s="11">
        <v>223</v>
      </c>
      <c r="I134" s="11">
        <v>0.34583333333333299</v>
      </c>
      <c r="J134" s="11">
        <v>644.81927710843297</v>
      </c>
      <c r="K134" s="11">
        <v>386.169984</v>
      </c>
      <c r="L134" s="11">
        <v>0.57746590682718602</v>
      </c>
      <c r="M134" s="11">
        <v>0.231632573493852</v>
      </c>
      <c r="N134" s="11">
        <v>1.6697809354039099</v>
      </c>
      <c r="O134" s="11">
        <v>0</v>
      </c>
      <c r="P134" s="11">
        <v>0</v>
      </c>
      <c r="Q134" s="11">
        <v>0</v>
      </c>
      <c r="R134" s="11">
        <v>0</v>
      </c>
      <c r="S134" s="11">
        <v>0</v>
      </c>
    </row>
    <row r="135" spans="1:19">
      <c r="A135" s="12" t="s">
        <v>404</v>
      </c>
      <c r="B135" s="11">
        <v>134</v>
      </c>
      <c r="C135" s="11" t="s">
        <v>698</v>
      </c>
      <c r="D135" s="11" t="s">
        <v>699</v>
      </c>
      <c r="E135" s="11" t="s">
        <v>671</v>
      </c>
      <c r="F135" s="11" t="s">
        <v>697</v>
      </c>
      <c r="G135" s="11" t="s">
        <v>378</v>
      </c>
      <c r="H135" s="11">
        <v>163</v>
      </c>
      <c r="I135" s="11">
        <v>0.54027777777777697</v>
      </c>
      <c r="J135" s="11">
        <v>301.696658097686</v>
      </c>
      <c r="K135" s="11">
        <v>281.220012</v>
      </c>
      <c r="L135" s="11">
        <v>0.57961735667659298</v>
      </c>
      <c r="M135" s="11">
        <v>3.9339578898816001E-2</v>
      </c>
      <c r="N135" s="11">
        <v>1.07281361647081</v>
      </c>
      <c r="O135" s="11">
        <v>0</v>
      </c>
      <c r="P135" s="11">
        <v>0</v>
      </c>
      <c r="Q135" s="11">
        <v>0</v>
      </c>
      <c r="R135" s="11">
        <v>0</v>
      </c>
      <c r="S135" s="11">
        <v>0</v>
      </c>
    </row>
    <row r="136" spans="1:19">
      <c r="A136" s="12" t="s">
        <v>404</v>
      </c>
      <c r="B136" s="11">
        <v>135</v>
      </c>
      <c r="C136" s="11" t="s">
        <v>700</v>
      </c>
      <c r="D136" s="11" t="s">
        <v>701</v>
      </c>
      <c r="E136" s="11" t="s">
        <v>671</v>
      </c>
      <c r="F136" s="11" t="s">
        <v>697</v>
      </c>
      <c r="G136" s="11" t="s">
        <v>378</v>
      </c>
      <c r="H136" s="11">
        <v>0</v>
      </c>
      <c r="I136" s="11">
        <v>0</v>
      </c>
      <c r="J136" s="11">
        <v>0</v>
      </c>
      <c r="K136" s="11">
        <v>467.35999199999998</v>
      </c>
      <c r="L136" s="11">
        <v>0</v>
      </c>
      <c r="M136" s="65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v>0</v>
      </c>
    </row>
    <row r="137" spans="1:19">
      <c r="A137" s="12" t="s">
        <v>404</v>
      </c>
      <c r="B137" s="11">
        <v>136</v>
      </c>
      <c r="C137" s="11" t="s">
        <v>702</v>
      </c>
      <c r="D137" s="11" t="s">
        <v>703</v>
      </c>
      <c r="E137" s="11" t="s">
        <v>671</v>
      </c>
      <c r="F137" s="11" t="s">
        <v>697</v>
      </c>
      <c r="G137" s="11" t="s">
        <v>378</v>
      </c>
      <c r="H137" s="11">
        <v>0</v>
      </c>
      <c r="I137" s="11">
        <v>0</v>
      </c>
      <c r="J137" s="11">
        <v>0</v>
      </c>
      <c r="K137" s="11">
        <v>5.9299920000000004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v>0</v>
      </c>
    </row>
    <row r="138" spans="1:19">
      <c r="A138" s="12" t="s">
        <v>404</v>
      </c>
      <c r="B138" s="11">
        <v>137</v>
      </c>
      <c r="C138" s="11" t="s">
        <v>704</v>
      </c>
      <c r="D138" s="11" t="s">
        <v>705</v>
      </c>
      <c r="E138" s="11" t="s">
        <v>671</v>
      </c>
      <c r="F138" s="11" t="s">
        <v>697</v>
      </c>
      <c r="G138" s="11" t="s">
        <v>378</v>
      </c>
      <c r="H138" s="11">
        <v>386</v>
      </c>
      <c r="I138" s="11">
        <v>0.88611111111111096</v>
      </c>
      <c r="J138" s="11">
        <v>435.611285266457</v>
      </c>
      <c r="K138" s="11">
        <v>333.59742740651802</v>
      </c>
      <c r="L138" s="11">
        <v>1.15708326350378</v>
      </c>
      <c r="M138" s="11">
        <v>0.27097215239266798</v>
      </c>
      <c r="N138" s="11">
        <v>1.30579929423624</v>
      </c>
      <c r="P138" s="11">
        <v>0</v>
      </c>
      <c r="Q138" s="11">
        <v>0</v>
      </c>
      <c r="R138" s="11">
        <v>0</v>
      </c>
      <c r="S138" s="11">
        <v>0</v>
      </c>
    </row>
    <row r="139" spans="1:19">
      <c r="A139" s="12" t="s">
        <v>404</v>
      </c>
      <c r="B139" s="11">
        <v>138</v>
      </c>
      <c r="C139" s="11" t="s">
        <v>706</v>
      </c>
      <c r="D139" s="11" t="s">
        <v>707</v>
      </c>
      <c r="E139" s="11" t="s">
        <v>671</v>
      </c>
      <c r="F139" s="11" t="s">
        <v>697</v>
      </c>
      <c r="G139" s="11" t="s">
        <v>378</v>
      </c>
      <c r="H139" s="11">
        <v>215</v>
      </c>
      <c r="I139" s="11">
        <v>1.08777777777777</v>
      </c>
      <c r="J139" s="11">
        <v>197.65066394279799</v>
      </c>
      <c r="K139" s="11">
        <v>331.65</v>
      </c>
      <c r="L139" s="11">
        <v>0.64827378260213997</v>
      </c>
      <c r="M139" s="11">
        <v>-0.43950399517563699</v>
      </c>
      <c r="N139" s="11">
        <v>0.59596159789778003</v>
      </c>
      <c r="O139" s="11">
        <v>0</v>
      </c>
      <c r="P139" s="11">
        <v>0</v>
      </c>
      <c r="Q139" s="11">
        <v>0</v>
      </c>
      <c r="R139" s="11">
        <v>0</v>
      </c>
      <c r="S139" s="11">
        <v>0</v>
      </c>
    </row>
    <row r="140" spans="1:19">
      <c r="A140" s="12" t="s">
        <v>404</v>
      </c>
      <c r="B140" s="11">
        <v>139</v>
      </c>
      <c r="C140" s="11" t="s">
        <v>708</v>
      </c>
      <c r="D140" s="11" t="s">
        <v>709</v>
      </c>
      <c r="E140" s="11" t="s">
        <v>671</v>
      </c>
      <c r="F140" s="11" t="s">
        <v>697</v>
      </c>
      <c r="G140" s="11" t="s">
        <v>378</v>
      </c>
      <c r="H140" s="11">
        <v>82</v>
      </c>
      <c r="I140" s="11">
        <v>0.75833333333333297</v>
      </c>
      <c r="J140" s="11">
        <v>108.131868131868</v>
      </c>
      <c r="K140" s="11">
        <v>178.459992</v>
      </c>
      <c r="L140" s="11">
        <v>0.45948674031095998</v>
      </c>
      <c r="M140" s="11">
        <v>-0.29884659302237299</v>
      </c>
      <c r="N140" s="11">
        <v>0.605916580629837</v>
      </c>
      <c r="O140" s="11">
        <v>0</v>
      </c>
      <c r="P140" s="11">
        <v>0</v>
      </c>
      <c r="Q140" s="11">
        <v>0</v>
      </c>
      <c r="R140" s="11">
        <v>0</v>
      </c>
      <c r="S140" s="11">
        <v>0</v>
      </c>
    </row>
    <row r="141" spans="1:19">
      <c r="A141" s="12" t="s">
        <v>404</v>
      </c>
      <c r="B141" s="11">
        <v>140</v>
      </c>
      <c r="C141" s="11" t="s">
        <v>710</v>
      </c>
      <c r="D141" s="11" t="s">
        <v>711</v>
      </c>
      <c r="E141" s="11" t="s">
        <v>671</v>
      </c>
      <c r="F141" s="11" t="s">
        <v>697</v>
      </c>
      <c r="G141" s="11" t="s">
        <v>378</v>
      </c>
      <c r="H141" s="11">
        <v>0</v>
      </c>
      <c r="I141" s="11">
        <v>0</v>
      </c>
      <c r="J141" s="11">
        <v>0</v>
      </c>
      <c r="K141" s="11">
        <v>352.77998400000001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v>0</v>
      </c>
    </row>
    <row r="142" spans="1:19">
      <c r="A142" s="12" t="s">
        <v>404</v>
      </c>
      <c r="B142" s="11">
        <v>141</v>
      </c>
      <c r="C142" s="11" t="s">
        <v>712</v>
      </c>
      <c r="D142" s="11" t="s">
        <v>713</v>
      </c>
      <c r="E142" s="11" t="s">
        <v>671</v>
      </c>
      <c r="F142" s="11" t="s">
        <v>697</v>
      </c>
      <c r="G142" s="11" t="s">
        <v>378</v>
      </c>
      <c r="H142" s="11">
        <v>0</v>
      </c>
      <c r="I142" s="11">
        <v>0</v>
      </c>
      <c r="J142" s="11">
        <v>0</v>
      </c>
      <c r="K142" s="11">
        <v>137.109996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v>0</v>
      </c>
    </row>
    <row r="143" spans="1:19">
      <c r="A143" s="12" t="s">
        <v>404</v>
      </c>
      <c r="B143" s="11">
        <v>142</v>
      </c>
      <c r="C143" s="11" t="s">
        <v>714</v>
      </c>
      <c r="D143" s="11" t="s">
        <v>715</v>
      </c>
      <c r="E143" s="11" t="s">
        <v>671</v>
      </c>
      <c r="F143" s="11" t="s">
        <v>697</v>
      </c>
      <c r="G143" s="11" t="s">
        <v>378</v>
      </c>
      <c r="H143" s="11">
        <v>297</v>
      </c>
      <c r="I143" s="11">
        <v>1.8461111111111099</v>
      </c>
      <c r="J143" s="11">
        <v>160.87872404453799</v>
      </c>
      <c r="K143" s="11">
        <v>268.108489025202</v>
      </c>
      <c r="L143" s="11">
        <v>1.1077605229131</v>
      </c>
      <c r="M143" s="11">
        <v>-0.73835058819801003</v>
      </c>
      <c r="N143" s="11">
        <v>0.60005083997700304</v>
      </c>
      <c r="P143" s="11">
        <v>0</v>
      </c>
      <c r="Q143" s="11">
        <v>0</v>
      </c>
      <c r="R143" s="11">
        <v>0</v>
      </c>
      <c r="S143" s="11">
        <v>0</v>
      </c>
    </row>
    <row r="144" spans="1:19">
      <c r="A144" s="12" t="s">
        <v>404</v>
      </c>
      <c r="B144" s="11">
        <v>143</v>
      </c>
      <c r="C144" s="11" t="s">
        <v>716</v>
      </c>
      <c r="D144" s="11" t="s">
        <v>717</v>
      </c>
      <c r="E144" s="11" t="s">
        <v>671</v>
      </c>
      <c r="F144" s="11" t="s">
        <v>697</v>
      </c>
      <c r="G144" s="11" t="s">
        <v>409</v>
      </c>
      <c r="H144" s="11">
        <v>297</v>
      </c>
      <c r="I144" s="11">
        <v>1</v>
      </c>
      <c r="J144" s="11">
        <v>297</v>
      </c>
      <c r="K144" s="11">
        <v>284.749991999999</v>
      </c>
      <c r="L144" s="11">
        <v>1.04302022245535</v>
      </c>
      <c r="M144" s="11">
        <v>4.3020222455353099E-2</v>
      </c>
      <c r="N144" s="11">
        <v>1.04302022245535</v>
      </c>
      <c r="O144" s="11">
        <v>0</v>
      </c>
      <c r="P144" s="11">
        <v>0</v>
      </c>
      <c r="Q144" s="11">
        <v>0</v>
      </c>
      <c r="R144" s="11">
        <v>0</v>
      </c>
      <c r="S144" s="11">
        <v>0</v>
      </c>
    </row>
    <row r="145" spans="1:19">
      <c r="A145" s="12" t="s">
        <v>404</v>
      </c>
      <c r="B145" s="11">
        <v>144</v>
      </c>
      <c r="C145" s="11" t="s">
        <v>718</v>
      </c>
      <c r="D145" s="11" t="s">
        <v>719</v>
      </c>
      <c r="E145" s="11" t="s">
        <v>671</v>
      </c>
      <c r="F145" s="11" t="s">
        <v>697</v>
      </c>
      <c r="G145" s="11" t="s">
        <v>378</v>
      </c>
      <c r="H145" s="11">
        <v>297</v>
      </c>
      <c r="I145" s="11">
        <v>3.7322222222222199</v>
      </c>
      <c r="J145" s="11">
        <v>79.577255135456895</v>
      </c>
      <c r="K145" s="11">
        <v>89.786036911855206</v>
      </c>
      <c r="L145" s="11">
        <v>3.30786400887223</v>
      </c>
      <c r="M145" s="11">
        <v>-0.42435821334998802</v>
      </c>
      <c r="N145" s="11">
        <v>0.88629878177582899</v>
      </c>
      <c r="P145" s="11">
        <v>0</v>
      </c>
      <c r="Q145" s="11">
        <v>0</v>
      </c>
      <c r="R145" s="11">
        <v>0</v>
      </c>
      <c r="S145" s="11">
        <v>0</v>
      </c>
    </row>
    <row r="146" spans="1:19">
      <c r="A146" s="12" t="s">
        <v>404</v>
      </c>
      <c r="B146" s="11">
        <v>145</v>
      </c>
      <c r="C146" s="11" t="s">
        <v>720</v>
      </c>
      <c r="D146" s="11" t="s">
        <v>721</v>
      </c>
      <c r="E146" s="11" t="s">
        <v>671</v>
      </c>
      <c r="F146" s="11" t="s">
        <v>722</v>
      </c>
      <c r="G146" s="11" t="s">
        <v>378</v>
      </c>
      <c r="H146" s="11">
        <v>0</v>
      </c>
      <c r="I146" s="11">
        <v>0</v>
      </c>
      <c r="J146" s="11">
        <v>0</v>
      </c>
      <c r="K146" s="11">
        <v>28.770011999999902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0</v>
      </c>
      <c r="S146" s="11">
        <v>0</v>
      </c>
    </row>
    <row r="147" spans="1:19">
      <c r="A147" s="12" t="s">
        <v>404</v>
      </c>
      <c r="B147" s="11">
        <v>146</v>
      </c>
      <c r="C147" s="11" t="s">
        <v>723</v>
      </c>
      <c r="D147" s="11" t="s">
        <v>724</v>
      </c>
      <c r="E147" s="11" t="s">
        <v>671</v>
      </c>
      <c r="F147" s="11" t="s">
        <v>722</v>
      </c>
      <c r="G147" s="11" t="s">
        <v>378</v>
      </c>
      <c r="H147" s="11">
        <v>0</v>
      </c>
      <c r="I147" s="11">
        <v>0</v>
      </c>
      <c r="J147" s="11">
        <v>0</v>
      </c>
      <c r="K147" s="11">
        <v>23.990003999999999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v>0</v>
      </c>
    </row>
    <row r="148" spans="1:19">
      <c r="A148" s="12" t="s">
        <v>404</v>
      </c>
      <c r="B148" s="11">
        <v>147</v>
      </c>
      <c r="C148" s="11" t="s">
        <v>725</v>
      </c>
      <c r="D148" s="11" t="s">
        <v>726</v>
      </c>
      <c r="E148" s="11" t="s">
        <v>671</v>
      </c>
      <c r="F148" s="11" t="s">
        <v>722</v>
      </c>
      <c r="G148" s="11" t="s">
        <v>409</v>
      </c>
      <c r="H148" s="11">
        <v>0</v>
      </c>
      <c r="I148" s="11">
        <v>0</v>
      </c>
      <c r="J148" s="11">
        <v>0</v>
      </c>
      <c r="K148" s="11">
        <v>8.01</v>
      </c>
      <c r="L148" s="11">
        <v>0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v>0</v>
      </c>
    </row>
    <row r="149" spans="1:19">
      <c r="A149" s="12" t="s">
        <v>404</v>
      </c>
      <c r="B149" s="11">
        <v>148</v>
      </c>
      <c r="C149" s="11" t="s">
        <v>727</v>
      </c>
      <c r="D149" s="11" t="s">
        <v>728</v>
      </c>
      <c r="E149" s="11" t="s">
        <v>671</v>
      </c>
      <c r="F149" s="11" t="s">
        <v>722</v>
      </c>
      <c r="G149" s="11" t="s">
        <v>409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P149" s="11">
        <v>0</v>
      </c>
      <c r="Q149" s="11">
        <v>0</v>
      </c>
      <c r="R149" s="11">
        <v>0</v>
      </c>
      <c r="S149" s="11">
        <v>0</v>
      </c>
    </row>
    <row r="150" spans="1:19">
      <c r="A150" s="12" t="s">
        <v>404</v>
      </c>
      <c r="B150" s="11">
        <v>149</v>
      </c>
      <c r="C150" s="11" t="s">
        <v>729</v>
      </c>
      <c r="D150" s="11" t="s">
        <v>730</v>
      </c>
      <c r="E150" s="11" t="s">
        <v>671</v>
      </c>
      <c r="F150" s="11" t="s">
        <v>731</v>
      </c>
      <c r="G150" s="11" t="s">
        <v>378</v>
      </c>
      <c r="H150" s="11">
        <v>0</v>
      </c>
      <c r="I150" s="11">
        <v>0</v>
      </c>
      <c r="J150" s="11">
        <v>0</v>
      </c>
      <c r="K150" s="11">
        <v>34.040016000000001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</row>
    <row r="151" spans="1:19">
      <c r="A151" s="12" t="s">
        <v>404</v>
      </c>
      <c r="B151" s="11">
        <v>150</v>
      </c>
      <c r="C151" s="11" t="s">
        <v>732</v>
      </c>
      <c r="D151" s="11" t="s">
        <v>733</v>
      </c>
      <c r="E151" s="11" t="s">
        <v>671</v>
      </c>
      <c r="F151" s="11" t="s">
        <v>731</v>
      </c>
      <c r="G151" s="11" t="s">
        <v>409</v>
      </c>
      <c r="H151" s="11">
        <v>0</v>
      </c>
      <c r="I151" s="11">
        <v>0</v>
      </c>
      <c r="J151" s="11">
        <v>0</v>
      </c>
      <c r="K151" s="11">
        <v>150.42999599999999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v>0</v>
      </c>
    </row>
    <row r="152" spans="1:19">
      <c r="A152" s="12" t="s">
        <v>404</v>
      </c>
      <c r="B152" s="11">
        <v>151</v>
      </c>
      <c r="C152" s="11" t="s">
        <v>734</v>
      </c>
      <c r="D152" s="11" t="s">
        <v>735</v>
      </c>
      <c r="E152" s="11" t="s">
        <v>671</v>
      </c>
      <c r="F152" s="11" t="s">
        <v>731</v>
      </c>
      <c r="G152" s="11" t="s">
        <v>409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P152" s="11">
        <v>0</v>
      </c>
      <c r="Q152" s="11">
        <v>0</v>
      </c>
      <c r="R152" s="11">
        <v>0</v>
      </c>
      <c r="S152" s="11">
        <v>0</v>
      </c>
    </row>
    <row r="153" spans="1:19">
      <c r="A153" s="12" t="s">
        <v>404</v>
      </c>
      <c r="B153" s="11">
        <v>152</v>
      </c>
      <c r="C153" s="11" t="s">
        <v>736</v>
      </c>
      <c r="D153" s="11" t="s">
        <v>737</v>
      </c>
      <c r="E153" s="11" t="s">
        <v>671</v>
      </c>
      <c r="F153" s="11" t="s">
        <v>738</v>
      </c>
      <c r="G153" s="11" t="s">
        <v>378</v>
      </c>
      <c r="H153" s="11">
        <v>0</v>
      </c>
      <c r="I153" s="11">
        <v>0</v>
      </c>
      <c r="J153" s="11">
        <v>0</v>
      </c>
      <c r="K153" s="11">
        <v>38.930003999999997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</row>
    <row r="154" spans="1:19">
      <c r="A154" s="12" t="s">
        <v>404</v>
      </c>
      <c r="B154" s="11">
        <v>153</v>
      </c>
      <c r="C154" s="11" t="s">
        <v>739</v>
      </c>
      <c r="D154" s="11" t="s">
        <v>740</v>
      </c>
      <c r="E154" s="11" t="s">
        <v>671</v>
      </c>
      <c r="F154" s="11" t="s">
        <v>738</v>
      </c>
      <c r="G154" s="11" t="s">
        <v>409</v>
      </c>
      <c r="H154" s="11">
        <v>0</v>
      </c>
      <c r="I154" s="11">
        <v>0</v>
      </c>
      <c r="J154" s="11">
        <v>0</v>
      </c>
      <c r="K154" s="11">
        <v>213.94000800000001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</row>
    <row r="155" spans="1:19">
      <c r="A155" s="12" t="s">
        <v>404</v>
      </c>
      <c r="B155" s="11">
        <v>154</v>
      </c>
      <c r="C155" s="11" t="s">
        <v>741</v>
      </c>
      <c r="D155" s="11" t="s">
        <v>742</v>
      </c>
      <c r="E155" s="11" t="s">
        <v>671</v>
      </c>
      <c r="F155" s="11" t="s">
        <v>738</v>
      </c>
      <c r="G155" s="11" t="s">
        <v>409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P155" s="11">
        <v>0</v>
      </c>
      <c r="Q155" s="11">
        <v>0</v>
      </c>
      <c r="R155" s="11">
        <v>0</v>
      </c>
      <c r="S155" s="11">
        <v>0</v>
      </c>
    </row>
    <row r="156" spans="1:19">
      <c r="A156" s="12" t="s">
        <v>404</v>
      </c>
      <c r="B156" s="11">
        <v>155</v>
      </c>
      <c r="C156" s="11" t="s">
        <v>743</v>
      </c>
      <c r="D156" s="11" t="s">
        <v>744</v>
      </c>
      <c r="E156" s="11" t="s">
        <v>671</v>
      </c>
      <c r="F156" s="11" t="s">
        <v>744</v>
      </c>
      <c r="G156" s="11" t="s">
        <v>378</v>
      </c>
      <c r="H156" s="11">
        <v>0</v>
      </c>
      <c r="I156" s="11">
        <v>0</v>
      </c>
      <c r="J156" s="11">
        <v>0</v>
      </c>
      <c r="K156" s="11">
        <v>4.2599879999999999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</row>
    <row r="157" spans="1:19">
      <c r="A157" s="12" t="s">
        <v>404</v>
      </c>
      <c r="B157" s="11">
        <v>156</v>
      </c>
      <c r="C157" s="11" t="s">
        <v>745</v>
      </c>
      <c r="D157" s="11" t="s">
        <v>746</v>
      </c>
      <c r="E157" s="11" t="s">
        <v>671</v>
      </c>
      <c r="F157" s="11" t="s">
        <v>522</v>
      </c>
      <c r="G157" s="11" t="s">
        <v>409</v>
      </c>
      <c r="H157" s="11">
        <v>297</v>
      </c>
      <c r="I157" s="11">
        <v>3.7322222222222199</v>
      </c>
      <c r="J157" s="11">
        <v>79.577255135456895</v>
      </c>
      <c r="K157" s="11">
        <v>89.786036911855206</v>
      </c>
      <c r="L157" s="11">
        <v>3.30786400887223</v>
      </c>
      <c r="M157" s="11">
        <v>-0.42435821334998802</v>
      </c>
      <c r="N157" s="11">
        <v>0.88629878177582899</v>
      </c>
      <c r="P157" s="11">
        <v>0</v>
      </c>
      <c r="Q157" s="11">
        <v>0</v>
      </c>
      <c r="R157" s="11">
        <v>0</v>
      </c>
      <c r="S157" s="11">
        <v>0</v>
      </c>
    </row>
    <row r="158" spans="1:19">
      <c r="A158" s="12" t="s">
        <v>404</v>
      </c>
      <c r="B158" s="11">
        <v>157</v>
      </c>
      <c r="C158" s="11" t="s">
        <v>747</v>
      </c>
      <c r="D158" s="11" t="s">
        <v>748</v>
      </c>
      <c r="E158" s="11" t="s">
        <v>749</v>
      </c>
      <c r="F158" s="11" t="s">
        <v>750</v>
      </c>
      <c r="G158" s="11" t="s">
        <v>378</v>
      </c>
      <c r="H158" s="11">
        <v>0</v>
      </c>
      <c r="I158" s="11">
        <v>0</v>
      </c>
      <c r="J158" s="11">
        <v>0</v>
      </c>
      <c r="K158" s="11">
        <v>10006.999991999999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1">
        <v>0</v>
      </c>
      <c r="R158" s="11">
        <v>0</v>
      </c>
      <c r="S158" s="11">
        <v>0</v>
      </c>
    </row>
    <row r="159" spans="1:19">
      <c r="A159" s="12" t="s">
        <v>404</v>
      </c>
      <c r="B159" s="11">
        <v>158</v>
      </c>
      <c r="C159" s="11" t="s">
        <v>751</v>
      </c>
      <c r="D159" s="11" t="s">
        <v>752</v>
      </c>
      <c r="E159" s="11" t="s">
        <v>749</v>
      </c>
      <c r="F159" s="11" t="s">
        <v>750</v>
      </c>
      <c r="G159" s="11" t="s">
        <v>378</v>
      </c>
      <c r="H159" s="11">
        <v>0</v>
      </c>
      <c r="I159" s="11">
        <v>0</v>
      </c>
      <c r="J159" s="11">
        <v>0</v>
      </c>
      <c r="K159" s="11">
        <v>10006.999991999999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1">
        <v>0</v>
      </c>
      <c r="S159" s="11">
        <v>0</v>
      </c>
    </row>
    <row r="160" spans="1:19">
      <c r="A160" s="12" t="s">
        <v>404</v>
      </c>
      <c r="B160" s="11">
        <v>159</v>
      </c>
      <c r="C160" s="11" t="s">
        <v>753</v>
      </c>
      <c r="D160" s="11" t="s">
        <v>754</v>
      </c>
      <c r="E160" s="11" t="s">
        <v>749</v>
      </c>
      <c r="F160" s="11" t="s">
        <v>750</v>
      </c>
      <c r="G160" s="11" t="s">
        <v>378</v>
      </c>
      <c r="H160" s="11">
        <v>0</v>
      </c>
      <c r="I160" s="11">
        <v>0</v>
      </c>
      <c r="J160" s="11">
        <v>0</v>
      </c>
      <c r="K160" s="11">
        <v>10006.999991999999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1">
        <v>0</v>
      </c>
      <c r="S160" s="11">
        <v>0</v>
      </c>
    </row>
    <row r="161" spans="1:19">
      <c r="A161" s="12" t="s">
        <v>404</v>
      </c>
      <c r="B161" s="11">
        <v>160</v>
      </c>
      <c r="C161" s="11" t="s">
        <v>755</v>
      </c>
      <c r="D161" s="11" t="s">
        <v>756</v>
      </c>
      <c r="E161" s="11" t="s">
        <v>757</v>
      </c>
      <c r="F161" s="11" t="s">
        <v>757</v>
      </c>
      <c r="G161" s="11" t="s">
        <v>409</v>
      </c>
      <c r="H161" s="11">
        <v>10688</v>
      </c>
      <c r="I161" s="11">
        <v>59.3663888888888</v>
      </c>
      <c r="J161" s="11">
        <v>180.03453132384101</v>
      </c>
      <c r="K161" s="11">
        <v>18.043691123341301</v>
      </c>
      <c r="L161" s="11">
        <v>592.34</v>
      </c>
      <c r="M161" s="11">
        <v>532.97361111111104</v>
      </c>
      <c r="N161" s="11">
        <v>9.9776996897795698</v>
      </c>
      <c r="O161" s="11">
        <v>0</v>
      </c>
      <c r="P161" s="11">
        <v>0</v>
      </c>
      <c r="Q161" s="11">
        <v>0</v>
      </c>
      <c r="R161" s="11">
        <v>0</v>
      </c>
      <c r="S161" s="11">
        <v>0</v>
      </c>
    </row>
    <row r="162" spans="1:19">
      <c r="A162" s="12" t="s">
        <v>404</v>
      </c>
      <c r="B162" s="11">
        <v>161</v>
      </c>
      <c r="C162" s="11" t="s">
        <v>758</v>
      </c>
      <c r="D162" s="11" t="s">
        <v>759</v>
      </c>
      <c r="E162" s="11" t="s">
        <v>757</v>
      </c>
      <c r="F162" s="11" t="s">
        <v>757</v>
      </c>
      <c r="G162" s="11" t="s">
        <v>409</v>
      </c>
      <c r="H162" s="11">
        <v>10688</v>
      </c>
      <c r="I162" s="11">
        <v>0</v>
      </c>
      <c r="J162" s="11">
        <v>0</v>
      </c>
      <c r="K162" s="11">
        <v>1047.8431372549001</v>
      </c>
      <c r="L162" s="11">
        <v>10.199999999999999</v>
      </c>
      <c r="M162" s="11">
        <v>10.199999999999999</v>
      </c>
      <c r="N162" s="11">
        <v>0</v>
      </c>
      <c r="O162" s="11">
        <v>0</v>
      </c>
      <c r="P162" s="11">
        <v>0</v>
      </c>
      <c r="Q162" s="11">
        <v>0</v>
      </c>
      <c r="R162" s="11">
        <v>0</v>
      </c>
      <c r="S162" s="11">
        <v>0</v>
      </c>
    </row>
    <row r="163" spans="1:19">
      <c r="A163" s="12" t="s">
        <v>404</v>
      </c>
      <c r="B163" s="11">
        <v>162</v>
      </c>
      <c r="C163" s="11" t="s">
        <v>760</v>
      </c>
      <c r="D163" s="11" t="s">
        <v>761</v>
      </c>
      <c r="E163" s="11" t="s">
        <v>757</v>
      </c>
      <c r="F163" s="11" t="s">
        <v>757</v>
      </c>
      <c r="G163" s="11" t="s">
        <v>409</v>
      </c>
      <c r="H163" s="11">
        <v>10688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1">
        <v>0</v>
      </c>
      <c r="S163" s="11">
        <v>0</v>
      </c>
    </row>
    <row r="164" spans="1:19">
      <c r="A164" s="12" t="s">
        <v>404</v>
      </c>
      <c r="B164" s="11">
        <v>163</v>
      </c>
      <c r="C164" s="11" t="s">
        <v>762</v>
      </c>
      <c r="D164" s="11" t="s">
        <v>763</v>
      </c>
      <c r="E164" s="11" t="s">
        <v>757</v>
      </c>
      <c r="F164" s="11" t="s">
        <v>757</v>
      </c>
      <c r="G164" s="11" t="s">
        <v>409</v>
      </c>
      <c r="H164" s="11">
        <v>10688</v>
      </c>
      <c r="I164" s="11">
        <v>72.392222222222202</v>
      </c>
      <c r="J164" s="11">
        <v>147.64017006124001</v>
      </c>
      <c r="K164" s="11">
        <v>45.608944269010799</v>
      </c>
      <c r="L164" s="11">
        <v>234.34</v>
      </c>
      <c r="M164" s="11">
        <v>161.94777777777699</v>
      </c>
      <c r="N164" s="11">
        <v>3.2370880849692201</v>
      </c>
      <c r="O164" s="11">
        <v>0</v>
      </c>
      <c r="P164" s="11">
        <v>0</v>
      </c>
      <c r="Q164" s="11">
        <v>0</v>
      </c>
      <c r="R164" s="11">
        <v>0</v>
      </c>
      <c r="S164" s="11">
        <v>0</v>
      </c>
    </row>
    <row r="165" spans="1:19">
      <c r="A165" s="12" t="s">
        <v>404</v>
      </c>
      <c r="B165" s="11">
        <v>164</v>
      </c>
      <c r="C165" s="11" t="s">
        <v>764</v>
      </c>
      <c r="D165" s="11" t="s">
        <v>765</v>
      </c>
      <c r="E165" s="11" t="s">
        <v>757</v>
      </c>
      <c r="F165" s="11" t="s">
        <v>757</v>
      </c>
      <c r="G165" s="11" t="s">
        <v>409</v>
      </c>
      <c r="H165" s="11">
        <v>38047</v>
      </c>
      <c r="I165" s="11">
        <v>59.414999999999999</v>
      </c>
      <c r="J165" s="11">
        <v>640.36017840612601</v>
      </c>
      <c r="K165" s="11">
        <v>555.39</v>
      </c>
      <c r="L165" s="11">
        <v>68.505014494319298</v>
      </c>
      <c r="M165" s="11">
        <v>9.0900144943193002</v>
      </c>
      <c r="N165" s="11">
        <v>1.15299191272101</v>
      </c>
      <c r="O165" s="11">
        <v>0</v>
      </c>
      <c r="P165" s="11">
        <v>0</v>
      </c>
      <c r="Q165" s="11">
        <v>0</v>
      </c>
      <c r="R165" s="11">
        <v>0</v>
      </c>
      <c r="S165" s="11">
        <v>0</v>
      </c>
    </row>
    <row r="166" spans="1:19">
      <c r="A166" s="12" t="s">
        <v>404</v>
      </c>
      <c r="B166" s="11">
        <v>165</v>
      </c>
      <c r="C166" s="11" t="s">
        <v>766</v>
      </c>
      <c r="D166" s="11" t="s">
        <v>767</v>
      </c>
      <c r="E166" s="11" t="s">
        <v>757</v>
      </c>
      <c r="F166" s="11" t="s">
        <v>757</v>
      </c>
      <c r="G166" s="11" t="s">
        <v>409</v>
      </c>
      <c r="H166" s="11">
        <v>10688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v>0</v>
      </c>
    </row>
    <row r="167" spans="1:19">
      <c r="A167" s="12" t="s">
        <v>404</v>
      </c>
      <c r="B167" s="11">
        <v>166</v>
      </c>
      <c r="C167" s="11" t="s">
        <v>768</v>
      </c>
      <c r="D167" s="11" t="s">
        <v>769</v>
      </c>
      <c r="E167" s="11" t="s">
        <v>770</v>
      </c>
      <c r="F167" s="11" t="s">
        <v>771</v>
      </c>
      <c r="G167" s="11" t="s">
        <v>40</v>
      </c>
      <c r="H167" s="11">
        <v>0</v>
      </c>
      <c r="I167" s="11">
        <v>0</v>
      </c>
      <c r="J167" s="11">
        <v>0</v>
      </c>
      <c r="K167" s="11">
        <v>10006.999991999999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1">
        <v>0</v>
      </c>
      <c r="S167" s="11">
        <v>0</v>
      </c>
    </row>
    <row r="168" spans="1:19">
      <c r="A168" s="12" t="s">
        <v>404</v>
      </c>
      <c r="B168" s="11">
        <v>167</v>
      </c>
      <c r="C168" s="11" t="s">
        <v>772</v>
      </c>
      <c r="D168" s="11" t="s">
        <v>773</v>
      </c>
      <c r="E168" s="11" t="s">
        <v>770</v>
      </c>
      <c r="F168" s="11" t="s">
        <v>771</v>
      </c>
      <c r="G168" s="11" t="s">
        <v>40</v>
      </c>
      <c r="H168" s="11">
        <v>0</v>
      </c>
      <c r="I168" s="11">
        <v>0</v>
      </c>
      <c r="J168" s="11">
        <v>0</v>
      </c>
      <c r="K168" s="11">
        <v>10006.999991999999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v>0</v>
      </c>
      <c r="S168" s="11">
        <v>0</v>
      </c>
    </row>
    <row r="169" spans="1:19">
      <c r="A169" s="12" t="s">
        <v>404</v>
      </c>
      <c r="B169" s="11">
        <v>168</v>
      </c>
      <c r="C169" s="11" t="s">
        <v>774</v>
      </c>
      <c r="D169" s="11" t="s">
        <v>775</v>
      </c>
      <c r="E169" s="11" t="s">
        <v>770</v>
      </c>
      <c r="F169" s="11" t="s">
        <v>771</v>
      </c>
      <c r="G169" s="11" t="s">
        <v>40</v>
      </c>
      <c r="H169" s="11">
        <v>0</v>
      </c>
      <c r="I169" s="11">
        <v>0</v>
      </c>
      <c r="J169" s="11">
        <v>0</v>
      </c>
      <c r="K169" s="11">
        <v>10006.999991999999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1">
        <v>0</v>
      </c>
      <c r="S169" s="11">
        <v>0</v>
      </c>
    </row>
    <row r="170" spans="1:19">
      <c r="A170" s="12" t="s">
        <v>776</v>
      </c>
      <c r="B170" s="11">
        <v>1</v>
      </c>
      <c r="C170" s="11" t="s">
        <v>777</v>
      </c>
      <c r="D170" s="11" t="s">
        <v>778</v>
      </c>
      <c r="E170" s="11" t="s">
        <v>779</v>
      </c>
      <c r="F170" s="11" t="s">
        <v>779</v>
      </c>
      <c r="G170" s="11" t="s">
        <v>378</v>
      </c>
      <c r="H170" s="11">
        <v>0</v>
      </c>
      <c r="I170" s="11">
        <v>40.809722222222199</v>
      </c>
      <c r="J170" s="11">
        <v>0</v>
      </c>
      <c r="K170" s="11">
        <v>0</v>
      </c>
      <c r="L170" s="11">
        <v>41.589972261083297</v>
      </c>
      <c r="M170" s="11">
        <v>0.78025003886111399</v>
      </c>
      <c r="N170" s="11">
        <v>1.0191192195480301</v>
      </c>
      <c r="P170" s="11">
        <v>0</v>
      </c>
      <c r="Q170" s="11">
        <v>0</v>
      </c>
      <c r="R170" s="11">
        <v>0</v>
      </c>
      <c r="S170" s="11">
        <v>0</v>
      </c>
    </row>
    <row r="171" spans="1:19">
      <c r="A171" s="12" t="s">
        <v>776</v>
      </c>
      <c r="B171" s="11">
        <v>2</v>
      </c>
      <c r="C171" s="11" t="s">
        <v>780</v>
      </c>
      <c r="D171" s="11" t="s">
        <v>781</v>
      </c>
      <c r="E171" s="11" t="s">
        <v>779</v>
      </c>
      <c r="F171" s="11" t="s">
        <v>779</v>
      </c>
      <c r="G171" s="11" t="s">
        <v>378</v>
      </c>
      <c r="H171" s="11">
        <v>27062</v>
      </c>
      <c r="I171" s="11">
        <v>184.65472222222201</v>
      </c>
      <c r="J171" s="11">
        <v>146.55460566793499</v>
      </c>
      <c r="K171" s="11">
        <v>163.29252927437</v>
      </c>
      <c r="L171" s="11">
        <v>165.727116361394</v>
      </c>
      <c r="M171" s="11">
        <v>-18.9276058608277</v>
      </c>
      <c r="N171" s="11">
        <v>0.89749730939428995</v>
      </c>
      <c r="P171" s="11">
        <v>0</v>
      </c>
      <c r="Q171" s="11">
        <v>0</v>
      </c>
      <c r="R171" s="11">
        <v>0</v>
      </c>
      <c r="S171" s="11">
        <v>0</v>
      </c>
    </row>
    <row r="172" spans="1:19">
      <c r="A172" s="12" t="s">
        <v>776</v>
      </c>
      <c r="B172" s="11">
        <v>3</v>
      </c>
      <c r="C172" s="11" t="s">
        <v>782</v>
      </c>
      <c r="D172" s="11" t="s">
        <v>783</v>
      </c>
      <c r="E172" s="11" t="s">
        <v>779</v>
      </c>
      <c r="F172" s="11" t="s">
        <v>779</v>
      </c>
      <c r="G172" s="11" t="s">
        <v>378</v>
      </c>
      <c r="H172" s="11">
        <v>27062</v>
      </c>
      <c r="I172" s="11">
        <v>225.46444444444401</v>
      </c>
      <c r="J172" s="11">
        <v>120.027794478557</v>
      </c>
      <c r="K172" s="11">
        <v>130.534343212197</v>
      </c>
      <c r="L172" s="11">
        <v>207.317088622477</v>
      </c>
      <c r="M172" s="11">
        <v>-18.147355821966599</v>
      </c>
      <c r="N172" s="11">
        <v>0.91951122995609003</v>
      </c>
      <c r="P172" s="11">
        <v>0</v>
      </c>
      <c r="Q172" s="11">
        <v>0</v>
      </c>
      <c r="R172" s="11">
        <v>0</v>
      </c>
      <c r="S172" s="11">
        <v>0</v>
      </c>
    </row>
    <row r="173" spans="1:19">
      <c r="A173" s="12" t="s">
        <v>776</v>
      </c>
      <c r="B173" s="11">
        <v>4</v>
      </c>
      <c r="C173" s="11" t="s">
        <v>784</v>
      </c>
      <c r="D173" s="11" t="s">
        <v>571</v>
      </c>
      <c r="E173" s="11" t="s">
        <v>779</v>
      </c>
      <c r="F173" s="11" t="s">
        <v>779</v>
      </c>
      <c r="G173" s="11" t="s">
        <v>378</v>
      </c>
      <c r="H173" s="11">
        <v>10675</v>
      </c>
      <c r="I173" s="11">
        <v>289.95527777777698</v>
      </c>
      <c r="J173" s="11">
        <v>36.816022394258098</v>
      </c>
      <c r="K173" s="11">
        <v>56.897826275283897</v>
      </c>
      <c r="L173" s="11">
        <v>187.61700927469599</v>
      </c>
      <c r="M173" s="11">
        <v>-102.338268503081</v>
      </c>
      <c r="N173" s="11">
        <v>0.64705498969563902</v>
      </c>
      <c r="P173" s="11">
        <v>0</v>
      </c>
      <c r="Q173" s="11">
        <v>0</v>
      </c>
      <c r="R173" s="11">
        <v>0</v>
      </c>
      <c r="S173" s="11">
        <v>0</v>
      </c>
    </row>
    <row r="174" spans="1:19">
      <c r="A174" s="12" t="s">
        <v>776</v>
      </c>
      <c r="B174" s="11">
        <v>5</v>
      </c>
      <c r="C174" s="11" t="s">
        <v>785</v>
      </c>
      <c r="D174" s="11" t="s">
        <v>786</v>
      </c>
      <c r="E174" s="11" t="s">
        <v>779</v>
      </c>
      <c r="F174" s="11" t="s">
        <v>779</v>
      </c>
      <c r="G174" s="11" t="s">
        <v>378</v>
      </c>
      <c r="H174" s="11">
        <v>13</v>
      </c>
      <c r="I174" s="11">
        <v>7.7391666666666596</v>
      </c>
      <c r="J174" s="11">
        <v>1.6797674168192001</v>
      </c>
      <c r="K174" s="11">
        <v>13.519058627357399</v>
      </c>
      <c r="L174" s="11">
        <v>0.96160541634851004</v>
      </c>
      <c r="M174" s="11">
        <v>-6.7775612503181497</v>
      </c>
      <c r="N174" s="11">
        <v>0.124251803555315</v>
      </c>
      <c r="P174" s="11">
        <v>0</v>
      </c>
      <c r="Q174" s="11">
        <v>0</v>
      </c>
      <c r="R174" s="11">
        <v>0</v>
      </c>
      <c r="S174" s="11">
        <v>0</v>
      </c>
    </row>
    <row r="175" spans="1:19">
      <c r="A175" s="12" t="s">
        <v>776</v>
      </c>
      <c r="B175" s="11">
        <v>6</v>
      </c>
      <c r="C175" s="11" t="s">
        <v>787</v>
      </c>
      <c r="D175" s="11" t="s">
        <v>671</v>
      </c>
      <c r="E175" s="11" t="s">
        <v>779</v>
      </c>
      <c r="F175" s="11" t="s">
        <v>779</v>
      </c>
      <c r="G175" s="11" t="s">
        <v>378</v>
      </c>
      <c r="H175" s="11">
        <v>297</v>
      </c>
      <c r="I175" s="11">
        <v>3.7322222222222199</v>
      </c>
      <c r="J175" s="11">
        <v>79.577255135456895</v>
      </c>
      <c r="K175" s="11">
        <v>89.786036911855206</v>
      </c>
      <c r="L175" s="11">
        <v>3.30786400887223</v>
      </c>
      <c r="M175" s="11">
        <v>-0.42435821334998802</v>
      </c>
      <c r="N175" s="11">
        <v>0.88629878177582899</v>
      </c>
      <c r="P175" s="11">
        <v>0</v>
      </c>
      <c r="Q175" s="11">
        <v>0</v>
      </c>
      <c r="R175" s="11">
        <v>0</v>
      </c>
      <c r="S175" s="11">
        <v>0</v>
      </c>
    </row>
    <row r="176" spans="1:19">
      <c r="A176" s="12" t="s">
        <v>776</v>
      </c>
      <c r="B176" s="11">
        <v>7</v>
      </c>
      <c r="C176" s="11" t="s">
        <v>788</v>
      </c>
      <c r="D176" s="11" t="s">
        <v>750</v>
      </c>
      <c r="E176" s="11" t="s">
        <v>779</v>
      </c>
      <c r="F176" s="11" t="s">
        <v>779</v>
      </c>
      <c r="G176" s="11" t="s">
        <v>378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P176" s="11">
        <v>0</v>
      </c>
      <c r="Q176" s="11">
        <v>0</v>
      </c>
      <c r="R176" s="11">
        <v>0</v>
      </c>
      <c r="S176" s="11">
        <v>0</v>
      </c>
    </row>
    <row r="177" spans="1:19">
      <c r="A177" s="12" t="s">
        <v>776</v>
      </c>
      <c r="B177" s="11">
        <v>8</v>
      </c>
      <c r="C177" s="11" t="s">
        <v>789</v>
      </c>
      <c r="D177" s="11" t="s">
        <v>757</v>
      </c>
      <c r="E177" s="11" t="s">
        <v>779</v>
      </c>
      <c r="F177" s="11" t="s">
        <v>779</v>
      </c>
      <c r="G177" s="11" t="s">
        <v>378</v>
      </c>
      <c r="H177" s="11">
        <v>10688</v>
      </c>
      <c r="I177" s="11">
        <v>191.173611111111</v>
      </c>
      <c r="J177" s="11">
        <v>55.907297758727097</v>
      </c>
      <c r="K177" s="11">
        <v>11.8049225786772</v>
      </c>
      <c r="L177" s="11">
        <v>905.38501449431897</v>
      </c>
      <c r="M177" s="11">
        <v>714.21140338320799</v>
      </c>
      <c r="N177" s="11">
        <v>4.73593091238991</v>
      </c>
      <c r="P177" s="11">
        <v>0</v>
      </c>
      <c r="Q177" s="11">
        <v>0</v>
      </c>
      <c r="R177" s="11">
        <v>0</v>
      </c>
      <c r="S177" s="11">
        <v>0</v>
      </c>
    </row>
    <row r="178" spans="1:19">
      <c r="A178" s="12" t="s">
        <v>776</v>
      </c>
      <c r="B178" s="11">
        <v>9</v>
      </c>
      <c r="C178" s="11" t="s">
        <v>790</v>
      </c>
      <c r="D178" s="11" t="s">
        <v>770</v>
      </c>
      <c r="E178" s="11" t="s">
        <v>779</v>
      </c>
      <c r="F178" s="11" t="s">
        <v>779</v>
      </c>
      <c r="G178" s="11" t="s">
        <v>40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P178" s="11">
        <v>0</v>
      </c>
      <c r="Q178" s="11">
        <v>0</v>
      </c>
      <c r="R178" s="11">
        <v>0</v>
      </c>
      <c r="S178" s="11">
        <v>0</v>
      </c>
    </row>
    <row r="179" spans="1:19">
      <c r="A179" s="12" t="s">
        <v>776</v>
      </c>
      <c r="B179" s="11">
        <v>10</v>
      </c>
      <c r="C179" s="11" t="s">
        <v>791</v>
      </c>
      <c r="D179" s="11" t="s">
        <v>792</v>
      </c>
      <c r="E179" s="11" t="s">
        <v>779</v>
      </c>
      <c r="F179" s="11" t="s">
        <v>779</v>
      </c>
      <c r="G179" s="11" t="s">
        <v>378</v>
      </c>
      <c r="H179" s="11">
        <v>38047</v>
      </c>
      <c r="I179" s="11">
        <v>718.06472222222203</v>
      </c>
      <c r="J179" s="11">
        <v>52.985474460093897</v>
      </c>
      <c r="K179" s="11">
        <v>29.163983596282399</v>
      </c>
      <c r="L179" s="11">
        <v>1304.5885818167101</v>
      </c>
      <c r="M179" s="11">
        <v>586.523859594491</v>
      </c>
      <c r="N179" s="11">
        <v>1.8168119689536499</v>
      </c>
      <c r="P179" s="11">
        <v>0</v>
      </c>
      <c r="Q179" s="11">
        <v>0</v>
      </c>
      <c r="R179" s="11">
        <v>0</v>
      </c>
      <c r="S179" s="11">
        <v>0</v>
      </c>
    </row>
    <row r="180" spans="1:19">
      <c r="A180" s="12" t="s">
        <v>793</v>
      </c>
      <c r="B180" s="11">
        <v>1</v>
      </c>
      <c r="C180" s="11" t="s">
        <v>794</v>
      </c>
      <c r="D180" s="11" t="s">
        <v>407</v>
      </c>
      <c r="E180" s="11" t="s">
        <v>795</v>
      </c>
      <c r="F180" s="11" t="s">
        <v>795</v>
      </c>
      <c r="G180" s="11" t="s">
        <v>378</v>
      </c>
      <c r="H180" s="11">
        <v>27062</v>
      </c>
      <c r="I180" s="11">
        <v>225.46444444444401</v>
      </c>
      <c r="J180" s="11">
        <v>120.027794478557</v>
      </c>
      <c r="K180" s="11">
        <v>130.534343212197</v>
      </c>
      <c r="L180" s="11">
        <v>207.317088622477</v>
      </c>
      <c r="M180" s="11">
        <v>-18.147355821966599</v>
      </c>
      <c r="N180" s="11">
        <v>0.91951122995609003</v>
      </c>
      <c r="P180" s="11">
        <v>0</v>
      </c>
      <c r="Q180" s="11">
        <v>0</v>
      </c>
      <c r="R180" s="11">
        <v>0</v>
      </c>
      <c r="S180" s="11">
        <v>0</v>
      </c>
    </row>
    <row r="181" spans="1:19">
      <c r="A181" s="12" t="s">
        <v>793</v>
      </c>
      <c r="B181" s="11">
        <v>2</v>
      </c>
      <c r="C181" s="11" t="s">
        <v>796</v>
      </c>
      <c r="D181" s="11" t="s">
        <v>797</v>
      </c>
      <c r="E181" s="11" t="s">
        <v>795</v>
      </c>
      <c r="F181" s="11" t="s">
        <v>795</v>
      </c>
      <c r="G181" s="11" t="s">
        <v>378</v>
      </c>
      <c r="H181" s="11">
        <v>13</v>
      </c>
      <c r="I181" s="11">
        <v>7.7391666666666596</v>
      </c>
      <c r="J181" s="11">
        <v>1.6797674168192001</v>
      </c>
      <c r="K181" s="11">
        <v>13.519058627357399</v>
      </c>
      <c r="L181" s="11">
        <v>0.96160541634851004</v>
      </c>
      <c r="M181" s="11">
        <v>-6.7775612503181497</v>
      </c>
      <c r="N181" s="11">
        <v>0.124251803555315</v>
      </c>
      <c r="P181" s="11">
        <v>0</v>
      </c>
      <c r="Q181" s="11">
        <v>0</v>
      </c>
      <c r="R181" s="11">
        <v>0</v>
      </c>
      <c r="S181" s="11">
        <v>0</v>
      </c>
    </row>
    <row r="182" spans="1:19">
      <c r="A182" s="12" t="s">
        <v>793</v>
      </c>
      <c r="B182" s="11">
        <v>3</v>
      </c>
      <c r="C182" s="11" t="s">
        <v>798</v>
      </c>
      <c r="D182" s="11" t="s">
        <v>671</v>
      </c>
      <c r="E182" s="11" t="s">
        <v>795</v>
      </c>
      <c r="F182" s="11" t="s">
        <v>795</v>
      </c>
      <c r="G182" s="11" t="s">
        <v>378</v>
      </c>
      <c r="H182" s="11">
        <v>297</v>
      </c>
      <c r="I182" s="11">
        <v>3.7322222222222199</v>
      </c>
      <c r="J182" s="11">
        <v>79.577255135456895</v>
      </c>
      <c r="K182" s="11">
        <v>89.786036911855206</v>
      </c>
      <c r="L182" s="11">
        <v>3.30786400887223</v>
      </c>
      <c r="M182" s="11">
        <v>-0.42435821334998802</v>
      </c>
      <c r="N182" s="11">
        <v>0.88629878177582899</v>
      </c>
      <c r="P182" s="11">
        <v>0</v>
      </c>
      <c r="Q182" s="11">
        <v>0</v>
      </c>
      <c r="R182" s="11">
        <v>0</v>
      </c>
      <c r="S182" s="11">
        <v>0</v>
      </c>
    </row>
    <row r="183" spans="1:19">
      <c r="A183" s="12" t="s">
        <v>793</v>
      </c>
      <c r="B183" s="11">
        <v>4</v>
      </c>
      <c r="C183" s="11" t="s">
        <v>799</v>
      </c>
      <c r="D183" s="11" t="s">
        <v>757</v>
      </c>
      <c r="E183" s="11" t="s">
        <v>795</v>
      </c>
      <c r="F183" s="11" t="s">
        <v>795</v>
      </c>
      <c r="G183" s="11" t="s">
        <v>378</v>
      </c>
      <c r="H183" s="11">
        <v>13</v>
      </c>
      <c r="I183" s="11">
        <v>118.781388888888</v>
      </c>
      <c r="J183" s="11">
        <v>0.109444754953661</v>
      </c>
      <c r="K183" s="11">
        <v>1.93727689189322E-2</v>
      </c>
      <c r="L183" s="11">
        <v>671.04501449431905</v>
      </c>
      <c r="M183" s="11">
        <v>552.26362560542998</v>
      </c>
      <c r="N183" s="11">
        <v>5.6494120903236</v>
      </c>
      <c r="P183" s="11">
        <v>0</v>
      </c>
      <c r="Q183" s="11">
        <v>0</v>
      </c>
      <c r="R183" s="11">
        <v>0</v>
      </c>
      <c r="S183" s="11">
        <v>0</v>
      </c>
    </row>
    <row r="184" spans="1:19">
      <c r="A184" s="12" t="s">
        <v>793</v>
      </c>
      <c r="B184" s="11">
        <v>5</v>
      </c>
      <c r="C184" s="11" t="s">
        <v>800</v>
      </c>
      <c r="D184" s="11" t="s">
        <v>770</v>
      </c>
      <c r="E184" s="11" t="s">
        <v>795</v>
      </c>
      <c r="F184" s="11" t="s">
        <v>795</v>
      </c>
      <c r="G184" s="11" t="s">
        <v>40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P184" s="11">
        <v>0</v>
      </c>
      <c r="Q184" s="11">
        <v>0</v>
      </c>
      <c r="R184" s="11">
        <v>0</v>
      </c>
      <c r="S184" s="11">
        <v>0</v>
      </c>
    </row>
    <row r="185" spans="1:19">
      <c r="A185" s="12" t="s">
        <v>793</v>
      </c>
      <c r="B185" s="11">
        <v>6</v>
      </c>
      <c r="C185" s="11" t="s">
        <v>801</v>
      </c>
      <c r="D185" s="11" t="s">
        <v>792</v>
      </c>
      <c r="E185" s="11" t="s">
        <v>795</v>
      </c>
      <c r="F185" s="11" t="s">
        <v>795</v>
      </c>
      <c r="G185" s="11" t="s">
        <v>378</v>
      </c>
      <c r="H185" s="11">
        <v>27372</v>
      </c>
      <c r="I185" s="11">
        <v>355.71722222222201</v>
      </c>
      <c r="J185" s="11">
        <v>76.948762359614605</v>
      </c>
      <c r="K185" s="11">
        <v>31.011807022909199</v>
      </c>
      <c r="L185" s="11">
        <v>882.63157254201701</v>
      </c>
      <c r="M185" s="11">
        <v>526.91435031979495</v>
      </c>
      <c r="N185" s="11">
        <v>2.4812730939145302</v>
      </c>
      <c r="P185" s="11">
        <v>0</v>
      </c>
      <c r="Q185" s="11">
        <v>0</v>
      </c>
      <c r="R185" s="11">
        <v>0</v>
      </c>
      <c r="S185" s="11">
        <v>0</v>
      </c>
    </row>
    <row r="186" spans="1:19">
      <c r="A186" s="12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0"/>
  <sheetViews>
    <sheetView topLeftCell="A221" workbookViewId="0">
      <selection activeCell="J34" sqref="J34"/>
    </sheetView>
  </sheetViews>
  <sheetFormatPr defaultRowHeight="16.5"/>
  <cols>
    <col min="1" max="3" width="17.5703125" customWidth="1"/>
  </cols>
  <sheetData>
    <row r="1" spans="1:3">
      <c r="B1" t="s">
        <v>51</v>
      </c>
      <c r="C1" t="s">
        <v>52</v>
      </c>
    </row>
    <row r="2" spans="1:3">
      <c r="A2" t="s">
        <v>58</v>
      </c>
      <c r="B2">
        <v>5670</v>
      </c>
      <c r="C2">
        <v>183768</v>
      </c>
    </row>
    <row r="3" spans="1:3">
      <c r="A3" t="s">
        <v>59</v>
      </c>
      <c r="B3">
        <v>55</v>
      </c>
      <c r="C3">
        <v>2266</v>
      </c>
    </row>
    <row r="4" spans="1:3">
      <c r="A4" t="s">
        <v>60</v>
      </c>
      <c r="B4">
        <v>5664</v>
      </c>
      <c r="C4">
        <v>183492</v>
      </c>
    </row>
    <row r="5" spans="1:3">
      <c r="A5" t="s">
        <v>61</v>
      </c>
      <c r="B5">
        <v>4747</v>
      </c>
      <c r="C5">
        <v>132472</v>
      </c>
    </row>
    <row r="6" spans="1:3">
      <c r="A6" t="s">
        <v>62</v>
      </c>
      <c r="B6">
        <v>805</v>
      </c>
      <c r="C6">
        <v>46909</v>
      </c>
    </row>
    <row r="7" spans="1:3">
      <c r="A7" t="s">
        <v>63</v>
      </c>
      <c r="B7">
        <v>0</v>
      </c>
      <c r="C7">
        <v>0</v>
      </c>
    </row>
    <row r="8" spans="1:3">
      <c r="A8" t="s">
        <v>64</v>
      </c>
      <c r="B8">
        <v>0</v>
      </c>
      <c r="C8">
        <v>0</v>
      </c>
    </row>
    <row r="9" spans="1:3">
      <c r="A9" t="s">
        <v>65</v>
      </c>
      <c r="B9">
        <v>92</v>
      </c>
      <c r="C9">
        <v>2782</v>
      </c>
    </row>
    <row r="10" spans="1:3">
      <c r="A10" t="s">
        <v>66</v>
      </c>
      <c r="B10">
        <v>18</v>
      </c>
      <c r="C10">
        <v>1175</v>
      </c>
    </row>
    <row r="11" spans="1:3">
      <c r="A11" t="s">
        <v>67</v>
      </c>
      <c r="B11">
        <v>2</v>
      </c>
      <c r="C11">
        <v>116</v>
      </c>
    </row>
    <row r="13" spans="1:3">
      <c r="B13" t="s">
        <v>51</v>
      </c>
      <c r="C13" t="s">
        <v>52</v>
      </c>
    </row>
    <row r="14" spans="1:3">
      <c r="A14" t="s">
        <v>53</v>
      </c>
      <c r="B14">
        <v>5670</v>
      </c>
      <c r="C14">
        <v>183768</v>
      </c>
    </row>
    <row r="15" spans="1:3">
      <c r="A15" t="s">
        <v>54</v>
      </c>
      <c r="B15">
        <v>55</v>
      </c>
      <c r="C15">
        <v>2266</v>
      </c>
    </row>
    <row r="16" spans="1:3">
      <c r="A16" t="s">
        <v>55</v>
      </c>
      <c r="B16" s="13">
        <v>9.7000000000000003E-3</v>
      </c>
      <c r="C16" s="13">
        <v>1.23E-2</v>
      </c>
    </row>
    <row r="17" spans="1:3">
      <c r="A17" t="s">
        <v>56</v>
      </c>
      <c r="B17">
        <v>2</v>
      </c>
      <c r="C17">
        <v>108</v>
      </c>
    </row>
    <row r="18" spans="1:3">
      <c r="A18" t="s">
        <v>57</v>
      </c>
      <c r="B18" s="13">
        <v>4.0000000000000002E-4</v>
      </c>
      <c r="C18" s="13">
        <v>5.9999999999999995E-4</v>
      </c>
    </row>
    <row r="20" spans="1:3">
      <c r="B20" t="s">
        <v>51</v>
      </c>
      <c r="C20" t="s">
        <v>52</v>
      </c>
    </row>
    <row r="21" spans="1:3">
      <c r="A21" t="s">
        <v>68</v>
      </c>
      <c r="B21">
        <v>62</v>
      </c>
      <c r="C21">
        <v>3447</v>
      </c>
    </row>
    <row r="22" spans="1:3">
      <c r="A22" t="s">
        <v>69</v>
      </c>
      <c r="B22">
        <v>0</v>
      </c>
      <c r="C22">
        <v>1936</v>
      </c>
    </row>
    <row r="23" spans="1:3">
      <c r="A23" t="s">
        <v>70</v>
      </c>
      <c r="B23">
        <v>0</v>
      </c>
      <c r="C23">
        <v>0</v>
      </c>
    </row>
    <row r="24" spans="1:3">
      <c r="A24" t="s">
        <v>71</v>
      </c>
      <c r="B24">
        <v>0</v>
      </c>
      <c r="C24">
        <v>0</v>
      </c>
    </row>
    <row r="25" spans="1:3">
      <c r="A25" t="s">
        <v>72</v>
      </c>
      <c r="B25">
        <v>0</v>
      </c>
      <c r="C25">
        <v>89</v>
      </c>
    </row>
    <row r="26" spans="1:3">
      <c r="A26" t="s">
        <v>73</v>
      </c>
      <c r="B26">
        <v>0</v>
      </c>
      <c r="C26">
        <v>34</v>
      </c>
    </row>
    <row r="27" spans="1:3">
      <c r="A27" t="s">
        <v>74</v>
      </c>
      <c r="B27">
        <v>0</v>
      </c>
      <c r="C27">
        <v>1</v>
      </c>
    </row>
    <row r="28" spans="1:3">
      <c r="A28" t="s">
        <v>75</v>
      </c>
      <c r="B28">
        <v>0</v>
      </c>
      <c r="C28">
        <v>0</v>
      </c>
    </row>
    <row r="29" spans="1:3">
      <c r="A29" t="s">
        <v>76</v>
      </c>
      <c r="B29">
        <v>366</v>
      </c>
      <c r="C29">
        <v>14044</v>
      </c>
    </row>
    <row r="30" spans="1:3">
      <c r="A30" t="s">
        <v>77</v>
      </c>
      <c r="B30">
        <v>12</v>
      </c>
      <c r="C30">
        <v>3862</v>
      </c>
    </row>
    <row r="31" spans="1:3">
      <c r="A31" t="s">
        <v>78</v>
      </c>
      <c r="B31">
        <v>0</v>
      </c>
      <c r="C31">
        <v>0</v>
      </c>
    </row>
    <row r="32" spans="1:3">
      <c r="A32" t="s">
        <v>79</v>
      </c>
      <c r="B32">
        <v>0</v>
      </c>
      <c r="C32">
        <v>0</v>
      </c>
    </row>
    <row r="33" spans="1:3">
      <c r="A33" t="s">
        <v>80</v>
      </c>
      <c r="B33">
        <v>8</v>
      </c>
      <c r="C33">
        <v>267</v>
      </c>
    </row>
    <row r="34" spans="1:3">
      <c r="A34" t="s">
        <v>81</v>
      </c>
      <c r="B34">
        <v>0</v>
      </c>
      <c r="C34">
        <v>85</v>
      </c>
    </row>
    <row r="35" spans="1:3">
      <c r="A35" t="s">
        <v>82</v>
      </c>
      <c r="B35">
        <v>0</v>
      </c>
      <c r="C35">
        <v>10</v>
      </c>
    </row>
    <row r="36" spans="1:3">
      <c r="A36" t="s">
        <v>83</v>
      </c>
      <c r="B36">
        <v>0</v>
      </c>
      <c r="C36">
        <v>0</v>
      </c>
    </row>
    <row r="37" spans="1:3">
      <c r="A37" t="s">
        <v>84</v>
      </c>
      <c r="B37">
        <v>30</v>
      </c>
      <c r="C37">
        <v>2368</v>
      </c>
    </row>
    <row r="38" spans="1:3">
      <c r="A38" t="s">
        <v>85</v>
      </c>
      <c r="B38">
        <v>0</v>
      </c>
      <c r="C38">
        <v>811</v>
      </c>
    </row>
    <row r="39" spans="1:3">
      <c r="A39" t="s">
        <v>86</v>
      </c>
      <c r="B39">
        <v>0</v>
      </c>
      <c r="C39">
        <v>0</v>
      </c>
    </row>
    <row r="40" spans="1:3">
      <c r="A40" t="s">
        <v>87</v>
      </c>
      <c r="B40">
        <v>0</v>
      </c>
      <c r="C40">
        <v>0</v>
      </c>
    </row>
    <row r="41" spans="1:3">
      <c r="A41" t="s">
        <v>88</v>
      </c>
      <c r="B41">
        <v>0</v>
      </c>
      <c r="C41">
        <v>44</v>
      </c>
    </row>
    <row r="42" spans="1:3">
      <c r="A42" t="s">
        <v>89</v>
      </c>
      <c r="B42">
        <v>0</v>
      </c>
      <c r="C42">
        <v>16</v>
      </c>
    </row>
    <row r="43" spans="1:3">
      <c r="A43" t="s">
        <v>90</v>
      </c>
      <c r="B43">
        <v>0</v>
      </c>
      <c r="C43">
        <v>2</v>
      </c>
    </row>
    <row r="44" spans="1:3">
      <c r="A44" t="s">
        <v>91</v>
      </c>
      <c r="B44">
        <v>0</v>
      </c>
      <c r="C44">
        <v>0</v>
      </c>
    </row>
    <row r="45" spans="1:3">
      <c r="A45" t="s">
        <v>92</v>
      </c>
      <c r="B45">
        <v>504</v>
      </c>
      <c r="C45">
        <v>12709</v>
      </c>
    </row>
    <row r="46" spans="1:3">
      <c r="A46" t="s">
        <v>93</v>
      </c>
      <c r="B46">
        <v>37</v>
      </c>
      <c r="C46">
        <v>2984</v>
      </c>
    </row>
    <row r="47" spans="1:3">
      <c r="A47" t="s">
        <v>94</v>
      </c>
      <c r="B47">
        <v>0</v>
      </c>
      <c r="C47">
        <v>0</v>
      </c>
    </row>
    <row r="48" spans="1:3">
      <c r="A48" t="s">
        <v>95</v>
      </c>
      <c r="B48">
        <v>0</v>
      </c>
      <c r="C48">
        <v>0</v>
      </c>
    </row>
    <row r="49" spans="1:3">
      <c r="A49" t="s">
        <v>96</v>
      </c>
      <c r="B49">
        <v>12</v>
      </c>
      <c r="C49">
        <v>235</v>
      </c>
    </row>
    <row r="50" spans="1:3">
      <c r="A50" t="s">
        <v>97</v>
      </c>
      <c r="B50">
        <v>0</v>
      </c>
      <c r="C50">
        <v>68</v>
      </c>
    </row>
    <row r="51" spans="1:3">
      <c r="A51" t="s">
        <v>98</v>
      </c>
      <c r="B51">
        <v>0</v>
      </c>
      <c r="C51">
        <v>11</v>
      </c>
    </row>
    <row r="52" spans="1:3">
      <c r="A52" t="s">
        <v>99</v>
      </c>
      <c r="B52">
        <v>0</v>
      </c>
      <c r="C52">
        <v>0</v>
      </c>
    </row>
    <row r="53" spans="1:3">
      <c r="A53" t="s">
        <v>100</v>
      </c>
      <c r="B53">
        <v>325</v>
      </c>
      <c r="C53">
        <v>6965</v>
      </c>
    </row>
    <row r="54" spans="1:3">
      <c r="A54" t="s">
        <v>101</v>
      </c>
      <c r="B54">
        <v>65</v>
      </c>
      <c r="C54">
        <v>3389</v>
      </c>
    </row>
    <row r="55" spans="1:3">
      <c r="A55" t="s">
        <v>102</v>
      </c>
      <c r="B55">
        <v>0</v>
      </c>
      <c r="C55">
        <v>0</v>
      </c>
    </row>
    <row r="56" spans="1:3">
      <c r="A56" t="s">
        <v>103</v>
      </c>
      <c r="B56">
        <v>0</v>
      </c>
      <c r="C56">
        <v>0</v>
      </c>
    </row>
    <row r="57" spans="1:3">
      <c r="A57" t="s">
        <v>104</v>
      </c>
      <c r="B57">
        <v>8</v>
      </c>
      <c r="C57">
        <v>172</v>
      </c>
    </row>
    <row r="58" spans="1:3">
      <c r="A58" t="s">
        <v>105</v>
      </c>
      <c r="B58">
        <v>0</v>
      </c>
      <c r="C58">
        <v>97</v>
      </c>
    </row>
    <row r="59" spans="1:3">
      <c r="A59" t="s">
        <v>106</v>
      </c>
      <c r="B59">
        <v>0</v>
      </c>
      <c r="C59">
        <v>4</v>
      </c>
    </row>
    <row r="60" spans="1:3">
      <c r="A60" t="s">
        <v>107</v>
      </c>
      <c r="B60">
        <v>0</v>
      </c>
      <c r="C60">
        <v>0</v>
      </c>
    </row>
    <row r="61" spans="1:3">
      <c r="A61" t="s">
        <v>108</v>
      </c>
      <c r="B61">
        <v>461</v>
      </c>
      <c r="C61">
        <v>6014</v>
      </c>
    </row>
    <row r="62" spans="1:3">
      <c r="A62" t="s">
        <v>109</v>
      </c>
      <c r="B62">
        <v>34</v>
      </c>
      <c r="C62">
        <v>3389</v>
      </c>
    </row>
    <row r="63" spans="1:3">
      <c r="A63" t="s">
        <v>110</v>
      </c>
      <c r="B63">
        <v>0</v>
      </c>
      <c r="C63">
        <v>0</v>
      </c>
    </row>
    <row r="64" spans="1:3">
      <c r="A64" t="s">
        <v>111</v>
      </c>
      <c r="B64">
        <v>0</v>
      </c>
      <c r="C64">
        <v>0</v>
      </c>
    </row>
    <row r="65" spans="1:3">
      <c r="A65" t="s">
        <v>112</v>
      </c>
      <c r="B65">
        <v>7</v>
      </c>
      <c r="C65">
        <v>125</v>
      </c>
    </row>
    <row r="66" spans="1:3">
      <c r="A66" t="s">
        <v>113</v>
      </c>
      <c r="B66">
        <v>4</v>
      </c>
      <c r="C66">
        <v>53</v>
      </c>
    </row>
    <row r="67" spans="1:3">
      <c r="A67" t="s">
        <v>114</v>
      </c>
      <c r="B67">
        <v>0</v>
      </c>
      <c r="C67">
        <v>6</v>
      </c>
    </row>
    <row r="68" spans="1:3">
      <c r="A68" t="s">
        <v>115</v>
      </c>
      <c r="B68">
        <v>0</v>
      </c>
      <c r="C68">
        <v>0</v>
      </c>
    </row>
    <row r="69" spans="1:3">
      <c r="A69" t="s">
        <v>116</v>
      </c>
      <c r="B69">
        <v>0</v>
      </c>
      <c r="C69">
        <v>1355</v>
      </c>
    </row>
    <row r="70" spans="1:3">
      <c r="A70" t="s">
        <v>117</v>
      </c>
      <c r="B70">
        <v>0</v>
      </c>
      <c r="C70">
        <v>381</v>
      </c>
    </row>
    <row r="71" spans="1:3">
      <c r="A71" t="s">
        <v>118</v>
      </c>
      <c r="B71">
        <v>0</v>
      </c>
      <c r="C71">
        <v>0</v>
      </c>
    </row>
    <row r="72" spans="1:3">
      <c r="A72" t="s">
        <v>119</v>
      </c>
      <c r="B72">
        <v>0</v>
      </c>
      <c r="C72">
        <v>0</v>
      </c>
    </row>
    <row r="73" spans="1:3">
      <c r="A73" t="s">
        <v>120</v>
      </c>
      <c r="B73">
        <v>0</v>
      </c>
      <c r="C73">
        <v>33</v>
      </c>
    </row>
    <row r="74" spans="1:3">
      <c r="A74" t="s">
        <v>121</v>
      </c>
      <c r="B74">
        <v>0</v>
      </c>
      <c r="C74">
        <v>5</v>
      </c>
    </row>
    <row r="75" spans="1:3">
      <c r="A75" t="s">
        <v>122</v>
      </c>
      <c r="B75">
        <v>0</v>
      </c>
      <c r="C75">
        <v>2</v>
      </c>
    </row>
    <row r="76" spans="1:3">
      <c r="A76" t="s">
        <v>123</v>
      </c>
      <c r="B76">
        <v>0</v>
      </c>
      <c r="C76">
        <v>0</v>
      </c>
    </row>
    <row r="77" spans="1:3">
      <c r="A77" t="s">
        <v>124</v>
      </c>
      <c r="B77">
        <v>472</v>
      </c>
      <c r="C77">
        <v>13178</v>
      </c>
    </row>
    <row r="78" spans="1:3">
      <c r="A78" t="s">
        <v>125</v>
      </c>
      <c r="B78">
        <v>10</v>
      </c>
      <c r="C78">
        <v>3723</v>
      </c>
    </row>
    <row r="79" spans="1:3">
      <c r="A79" t="s">
        <v>126</v>
      </c>
      <c r="B79">
        <v>0</v>
      </c>
      <c r="C79">
        <v>0</v>
      </c>
    </row>
    <row r="80" spans="1:3">
      <c r="A80" t="s">
        <v>127</v>
      </c>
      <c r="B80">
        <v>0</v>
      </c>
      <c r="C80">
        <v>0</v>
      </c>
    </row>
    <row r="81" spans="1:3">
      <c r="A81" t="s">
        <v>128</v>
      </c>
      <c r="B81">
        <v>9</v>
      </c>
      <c r="C81">
        <v>278</v>
      </c>
    </row>
    <row r="82" spans="1:3">
      <c r="A82" t="s">
        <v>129</v>
      </c>
      <c r="B82">
        <v>1</v>
      </c>
      <c r="C82">
        <v>95</v>
      </c>
    </row>
    <row r="83" spans="1:3">
      <c r="A83" t="s">
        <v>130</v>
      </c>
      <c r="B83">
        <v>1</v>
      </c>
      <c r="C83">
        <v>10</v>
      </c>
    </row>
    <row r="84" spans="1:3">
      <c r="A84" t="s">
        <v>131</v>
      </c>
      <c r="B84">
        <v>0</v>
      </c>
      <c r="C84">
        <v>0</v>
      </c>
    </row>
    <row r="85" spans="1:3">
      <c r="A85" t="s">
        <v>132</v>
      </c>
      <c r="B85">
        <v>0</v>
      </c>
      <c r="C85">
        <v>1229</v>
      </c>
    </row>
    <row r="86" spans="1:3">
      <c r="A86" t="s">
        <v>133</v>
      </c>
      <c r="B86">
        <v>0</v>
      </c>
      <c r="C86">
        <v>836</v>
      </c>
    </row>
    <row r="87" spans="1:3">
      <c r="A87" t="s">
        <v>134</v>
      </c>
      <c r="B87">
        <v>0</v>
      </c>
      <c r="C87">
        <v>0</v>
      </c>
    </row>
    <row r="88" spans="1:3">
      <c r="A88" t="s">
        <v>135</v>
      </c>
      <c r="B88">
        <v>0</v>
      </c>
      <c r="C88">
        <v>0</v>
      </c>
    </row>
    <row r="89" spans="1:3">
      <c r="A89" t="s">
        <v>136</v>
      </c>
      <c r="B89">
        <v>0</v>
      </c>
      <c r="C89">
        <v>28</v>
      </c>
    </row>
    <row r="90" spans="1:3">
      <c r="A90" t="s">
        <v>137</v>
      </c>
      <c r="B90">
        <v>0</v>
      </c>
      <c r="C90">
        <v>24</v>
      </c>
    </row>
    <row r="91" spans="1:3">
      <c r="A91" t="s">
        <v>138</v>
      </c>
      <c r="B91">
        <v>0</v>
      </c>
      <c r="C91">
        <v>3</v>
      </c>
    </row>
    <row r="92" spans="1:3">
      <c r="A92" t="s">
        <v>139</v>
      </c>
      <c r="B92">
        <v>0</v>
      </c>
      <c r="C92">
        <v>0</v>
      </c>
    </row>
    <row r="93" spans="1:3">
      <c r="A93" t="s">
        <v>140</v>
      </c>
      <c r="B93">
        <v>0</v>
      </c>
      <c r="C93">
        <v>4288</v>
      </c>
    </row>
    <row r="94" spans="1:3">
      <c r="A94" t="s">
        <v>141</v>
      </c>
      <c r="B94">
        <v>0</v>
      </c>
      <c r="C94">
        <v>1086</v>
      </c>
    </row>
    <row r="95" spans="1:3">
      <c r="A95" t="s">
        <v>142</v>
      </c>
      <c r="B95">
        <v>0</v>
      </c>
      <c r="C95">
        <v>0</v>
      </c>
    </row>
    <row r="96" spans="1:3">
      <c r="A96" t="s">
        <v>143</v>
      </c>
      <c r="B96">
        <v>0</v>
      </c>
      <c r="C96">
        <v>0</v>
      </c>
    </row>
    <row r="97" spans="1:3">
      <c r="A97" t="s">
        <v>144</v>
      </c>
      <c r="B97">
        <v>0</v>
      </c>
      <c r="C97">
        <v>58</v>
      </c>
    </row>
    <row r="98" spans="1:3">
      <c r="A98" t="s">
        <v>145</v>
      </c>
      <c r="B98">
        <v>0</v>
      </c>
      <c r="C98">
        <v>30</v>
      </c>
    </row>
    <row r="99" spans="1:3">
      <c r="A99" t="s">
        <v>146</v>
      </c>
      <c r="B99">
        <v>0</v>
      </c>
      <c r="C99">
        <v>1</v>
      </c>
    </row>
    <row r="100" spans="1:3">
      <c r="A100" t="s">
        <v>147</v>
      </c>
      <c r="B100">
        <v>0</v>
      </c>
      <c r="C100">
        <v>0</v>
      </c>
    </row>
    <row r="101" spans="1:3">
      <c r="A101" t="s">
        <v>148</v>
      </c>
      <c r="B101">
        <v>0</v>
      </c>
      <c r="C101">
        <v>0</v>
      </c>
    </row>
    <row r="102" spans="1:3">
      <c r="A102" t="s">
        <v>149</v>
      </c>
      <c r="B102">
        <v>0</v>
      </c>
      <c r="C102">
        <v>0</v>
      </c>
    </row>
    <row r="103" spans="1:3">
      <c r="A103" t="s">
        <v>150</v>
      </c>
      <c r="B103">
        <v>0</v>
      </c>
      <c r="C103">
        <v>0</v>
      </c>
    </row>
    <row r="104" spans="1:3">
      <c r="A104" t="s">
        <v>151</v>
      </c>
      <c r="B104">
        <v>0</v>
      </c>
      <c r="C104">
        <v>0</v>
      </c>
    </row>
    <row r="105" spans="1:3">
      <c r="A105" t="s">
        <v>152</v>
      </c>
      <c r="B105">
        <v>0</v>
      </c>
      <c r="C105">
        <v>0</v>
      </c>
    </row>
    <row r="106" spans="1:3">
      <c r="A106" t="s">
        <v>153</v>
      </c>
      <c r="B106">
        <v>0</v>
      </c>
      <c r="C106">
        <v>0</v>
      </c>
    </row>
    <row r="107" spans="1:3">
      <c r="A107" t="s">
        <v>154</v>
      </c>
      <c r="B107">
        <v>0</v>
      </c>
      <c r="C107">
        <v>0</v>
      </c>
    </row>
    <row r="108" spans="1:3">
      <c r="A108" t="s">
        <v>155</v>
      </c>
      <c r="B108">
        <v>0</v>
      </c>
      <c r="C108">
        <v>0</v>
      </c>
    </row>
    <row r="109" spans="1:3">
      <c r="A109" t="s">
        <v>156</v>
      </c>
      <c r="B109">
        <v>106</v>
      </c>
      <c r="C109">
        <v>1787</v>
      </c>
    </row>
    <row r="110" spans="1:3">
      <c r="A110" t="s">
        <v>157</v>
      </c>
      <c r="B110">
        <v>205</v>
      </c>
      <c r="C110">
        <v>295</v>
      </c>
    </row>
    <row r="111" spans="1:3">
      <c r="A111" t="s">
        <v>158</v>
      </c>
      <c r="B111">
        <v>0</v>
      </c>
      <c r="C111">
        <v>0</v>
      </c>
    </row>
    <row r="112" spans="1:3">
      <c r="A112" t="s">
        <v>159</v>
      </c>
      <c r="B112">
        <v>0</v>
      </c>
      <c r="C112">
        <v>0</v>
      </c>
    </row>
    <row r="113" spans="1:3">
      <c r="A113" t="s">
        <v>160</v>
      </c>
      <c r="B113">
        <v>7</v>
      </c>
      <c r="C113">
        <v>38</v>
      </c>
    </row>
    <row r="114" spans="1:3">
      <c r="A114" t="s">
        <v>161</v>
      </c>
      <c r="B114">
        <v>7</v>
      </c>
      <c r="C114">
        <v>10</v>
      </c>
    </row>
    <row r="115" spans="1:3">
      <c r="A115" t="s">
        <v>162</v>
      </c>
      <c r="B115">
        <v>0</v>
      </c>
      <c r="C115">
        <v>0</v>
      </c>
    </row>
    <row r="116" spans="1:3">
      <c r="A116" t="s">
        <v>163</v>
      </c>
      <c r="B116">
        <v>0</v>
      </c>
      <c r="C116">
        <v>0</v>
      </c>
    </row>
    <row r="117" spans="1:3">
      <c r="A117" t="s">
        <v>164</v>
      </c>
      <c r="B117">
        <v>30</v>
      </c>
      <c r="C117">
        <v>3085</v>
      </c>
    </row>
    <row r="118" spans="1:3">
      <c r="A118" t="s">
        <v>165</v>
      </c>
      <c r="B118">
        <v>4</v>
      </c>
      <c r="C118">
        <v>168</v>
      </c>
    </row>
    <row r="119" spans="1:3">
      <c r="A119" t="s">
        <v>166</v>
      </c>
      <c r="B119">
        <v>0</v>
      </c>
      <c r="C119">
        <v>0</v>
      </c>
    </row>
    <row r="120" spans="1:3">
      <c r="A120" t="s">
        <v>167</v>
      </c>
      <c r="B120">
        <v>0</v>
      </c>
      <c r="C120">
        <v>0</v>
      </c>
    </row>
    <row r="121" spans="1:3">
      <c r="A121" t="s">
        <v>168</v>
      </c>
      <c r="B121">
        <v>1</v>
      </c>
      <c r="C121">
        <v>42</v>
      </c>
    </row>
    <row r="122" spans="1:3">
      <c r="A122" t="s">
        <v>169</v>
      </c>
      <c r="B122">
        <v>0</v>
      </c>
      <c r="C122">
        <v>3</v>
      </c>
    </row>
    <row r="123" spans="1:3">
      <c r="A123" t="s">
        <v>170</v>
      </c>
      <c r="B123">
        <v>0</v>
      </c>
      <c r="C123">
        <v>1</v>
      </c>
    </row>
    <row r="124" spans="1:3">
      <c r="A124" t="s">
        <v>171</v>
      </c>
      <c r="B124">
        <v>0</v>
      </c>
      <c r="C124">
        <v>0</v>
      </c>
    </row>
    <row r="125" spans="1:3">
      <c r="A125" t="s">
        <v>172</v>
      </c>
      <c r="B125">
        <v>15</v>
      </c>
      <c r="C125">
        <v>2427</v>
      </c>
    </row>
    <row r="126" spans="1:3">
      <c r="A126" t="s">
        <v>173</v>
      </c>
      <c r="B126">
        <v>0</v>
      </c>
      <c r="C126">
        <v>678</v>
      </c>
    </row>
    <row r="127" spans="1:3">
      <c r="A127" t="s">
        <v>174</v>
      </c>
      <c r="B127">
        <v>0</v>
      </c>
      <c r="C127">
        <v>0</v>
      </c>
    </row>
    <row r="128" spans="1:3">
      <c r="A128" t="s">
        <v>175</v>
      </c>
      <c r="B128">
        <v>0</v>
      </c>
      <c r="C128">
        <v>0</v>
      </c>
    </row>
    <row r="129" spans="1:3">
      <c r="A129" t="s">
        <v>176</v>
      </c>
      <c r="B129">
        <v>0</v>
      </c>
      <c r="C129">
        <v>40</v>
      </c>
    </row>
    <row r="130" spans="1:3">
      <c r="A130" t="s">
        <v>177</v>
      </c>
      <c r="B130">
        <v>0</v>
      </c>
      <c r="C130">
        <v>26</v>
      </c>
    </row>
    <row r="131" spans="1:3">
      <c r="A131" t="s">
        <v>178</v>
      </c>
      <c r="B131">
        <v>0</v>
      </c>
      <c r="C131">
        <v>2</v>
      </c>
    </row>
    <row r="132" spans="1:3">
      <c r="A132" t="s">
        <v>179</v>
      </c>
      <c r="B132">
        <v>0</v>
      </c>
      <c r="C132">
        <v>0</v>
      </c>
    </row>
    <row r="133" spans="1:3">
      <c r="A133" t="s">
        <v>180</v>
      </c>
      <c r="B133">
        <v>75</v>
      </c>
      <c r="C133">
        <v>2527</v>
      </c>
    </row>
    <row r="134" spans="1:3">
      <c r="A134" t="s">
        <v>181</v>
      </c>
      <c r="B134">
        <v>8</v>
      </c>
      <c r="C134">
        <v>4092</v>
      </c>
    </row>
    <row r="135" spans="1:3">
      <c r="A135" t="s">
        <v>182</v>
      </c>
      <c r="B135">
        <v>0</v>
      </c>
      <c r="C135">
        <v>0</v>
      </c>
    </row>
    <row r="136" spans="1:3">
      <c r="A136" t="s">
        <v>183</v>
      </c>
      <c r="B136">
        <v>0</v>
      </c>
      <c r="C136">
        <v>0</v>
      </c>
    </row>
    <row r="137" spans="1:3">
      <c r="A137" t="s">
        <v>184</v>
      </c>
      <c r="B137">
        <v>0</v>
      </c>
      <c r="C137">
        <v>139</v>
      </c>
    </row>
    <row r="138" spans="1:3">
      <c r="A138" t="s">
        <v>185</v>
      </c>
      <c r="B138">
        <v>1</v>
      </c>
      <c r="C138">
        <v>180</v>
      </c>
    </row>
    <row r="139" spans="1:3">
      <c r="A139" t="s">
        <v>186</v>
      </c>
      <c r="B139">
        <v>0</v>
      </c>
      <c r="C139">
        <v>13</v>
      </c>
    </row>
    <row r="140" spans="1:3">
      <c r="A140" t="s">
        <v>187</v>
      </c>
      <c r="B140">
        <v>0</v>
      </c>
      <c r="C140">
        <v>0</v>
      </c>
    </row>
    <row r="141" spans="1:3">
      <c r="A141" t="s">
        <v>188</v>
      </c>
      <c r="B141">
        <v>193</v>
      </c>
      <c r="C141">
        <v>2681</v>
      </c>
    </row>
    <row r="142" spans="1:3">
      <c r="A142" t="s">
        <v>189</v>
      </c>
      <c r="B142">
        <v>2</v>
      </c>
      <c r="C142">
        <v>172</v>
      </c>
    </row>
    <row r="143" spans="1:3">
      <c r="A143" t="s">
        <v>190</v>
      </c>
      <c r="B143">
        <v>0</v>
      </c>
      <c r="C143">
        <v>0</v>
      </c>
    </row>
    <row r="144" spans="1:3">
      <c r="A144" t="s">
        <v>191</v>
      </c>
      <c r="B144">
        <v>0</v>
      </c>
      <c r="C144">
        <v>0</v>
      </c>
    </row>
    <row r="145" spans="1:3">
      <c r="A145" t="s">
        <v>192</v>
      </c>
      <c r="B145">
        <v>3</v>
      </c>
      <c r="C145">
        <v>47</v>
      </c>
    </row>
    <row r="146" spans="1:3">
      <c r="A146" t="s">
        <v>193</v>
      </c>
      <c r="B146">
        <v>0</v>
      </c>
      <c r="C146">
        <v>3</v>
      </c>
    </row>
    <row r="147" spans="1:3">
      <c r="A147" t="s">
        <v>194</v>
      </c>
      <c r="B147">
        <v>0</v>
      </c>
      <c r="C147">
        <v>3</v>
      </c>
    </row>
    <row r="148" spans="1:3">
      <c r="A148" t="s">
        <v>195</v>
      </c>
      <c r="B148">
        <v>0</v>
      </c>
      <c r="C148">
        <v>0</v>
      </c>
    </row>
    <row r="149" spans="1:3">
      <c r="A149" t="s">
        <v>196</v>
      </c>
      <c r="B149">
        <v>52</v>
      </c>
      <c r="C149">
        <v>2553</v>
      </c>
    </row>
    <row r="150" spans="1:3">
      <c r="A150" t="s">
        <v>197</v>
      </c>
      <c r="B150">
        <v>0</v>
      </c>
      <c r="C150">
        <v>579</v>
      </c>
    </row>
    <row r="151" spans="1:3">
      <c r="A151" t="s">
        <v>198</v>
      </c>
      <c r="B151">
        <v>0</v>
      </c>
      <c r="C151">
        <v>0</v>
      </c>
    </row>
    <row r="152" spans="1:3">
      <c r="A152" t="s">
        <v>199</v>
      </c>
      <c r="B152">
        <v>0</v>
      </c>
      <c r="C152">
        <v>0</v>
      </c>
    </row>
    <row r="153" spans="1:3">
      <c r="A153" t="s">
        <v>200</v>
      </c>
      <c r="B153">
        <v>1</v>
      </c>
      <c r="C153">
        <v>43</v>
      </c>
    </row>
    <row r="154" spans="1:3">
      <c r="A154" t="s">
        <v>201</v>
      </c>
      <c r="B154">
        <v>0</v>
      </c>
      <c r="C154">
        <v>18</v>
      </c>
    </row>
    <row r="155" spans="1:3">
      <c r="A155" t="s">
        <v>202</v>
      </c>
      <c r="B155">
        <v>0</v>
      </c>
      <c r="C155">
        <v>0</v>
      </c>
    </row>
    <row r="156" spans="1:3">
      <c r="A156" t="s">
        <v>203</v>
      </c>
      <c r="B156">
        <v>0</v>
      </c>
      <c r="C156">
        <v>0</v>
      </c>
    </row>
    <row r="157" spans="1:3">
      <c r="A157" t="s">
        <v>204</v>
      </c>
      <c r="B157">
        <v>81</v>
      </c>
      <c r="C157">
        <v>3229</v>
      </c>
    </row>
    <row r="158" spans="1:3">
      <c r="A158" t="s">
        <v>205</v>
      </c>
      <c r="B158">
        <v>3</v>
      </c>
      <c r="C158">
        <v>841</v>
      </c>
    </row>
    <row r="159" spans="1:3">
      <c r="A159" t="s">
        <v>206</v>
      </c>
      <c r="B159">
        <v>0</v>
      </c>
      <c r="C159">
        <v>0</v>
      </c>
    </row>
    <row r="160" spans="1:3">
      <c r="A160" t="s">
        <v>207</v>
      </c>
      <c r="B160">
        <v>0</v>
      </c>
      <c r="C160">
        <v>0</v>
      </c>
    </row>
    <row r="161" spans="1:3">
      <c r="A161" t="s">
        <v>208</v>
      </c>
      <c r="B161">
        <v>4</v>
      </c>
      <c r="C161">
        <v>72</v>
      </c>
    </row>
    <row r="162" spans="1:3">
      <c r="A162" t="s">
        <v>209</v>
      </c>
      <c r="B162">
        <v>1</v>
      </c>
      <c r="C162">
        <v>22</v>
      </c>
    </row>
    <row r="163" spans="1:3">
      <c r="A163" t="s">
        <v>210</v>
      </c>
      <c r="B163">
        <v>0</v>
      </c>
      <c r="C163">
        <v>2</v>
      </c>
    </row>
    <row r="164" spans="1:3">
      <c r="A164" t="s">
        <v>211</v>
      </c>
      <c r="B164">
        <v>0</v>
      </c>
      <c r="C164">
        <v>0</v>
      </c>
    </row>
    <row r="165" spans="1:3">
      <c r="A165" t="s">
        <v>212</v>
      </c>
      <c r="B165">
        <v>139</v>
      </c>
      <c r="C165">
        <v>661</v>
      </c>
    </row>
    <row r="166" spans="1:3">
      <c r="A166" t="s">
        <v>213</v>
      </c>
      <c r="B166">
        <v>18</v>
      </c>
      <c r="C166">
        <v>21</v>
      </c>
    </row>
    <row r="167" spans="1:3">
      <c r="A167" t="s">
        <v>214</v>
      </c>
      <c r="B167">
        <v>0</v>
      </c>
      <c r="C167">
        <v>0</v>
      </c>
    </row>
    <row r="168" spans="1:3">
      <c r="A168" t="s">
        <v>215</v>
      </c>
      <c r="B168">
        <v>0</v>
      </c>
      <c r="C168">
        <v>0</v>
      </c>
    </row>
    <row r="169" spans="1:3">
      <c r="A169" t="s">
        <v>216</v>
      </c>
      <c r="B169">
        <v>2</v>
      </c>
      <c r="C169">
        <v>6</v>
      </c>
    </row>
    <row r="170" spans="1:3">
      <c r="A170" t="s">
        <v>217</v>
      </c>
      <c r="B170">
        <v>0</v>
      </c>
      <c r="C170">
        <v>1</v>
      </c>
    </row>
    <row r="171" spans="1:3">
      <c r="A171" t="s">
        <v>218</v>
      </c>
      <c r="B171">
        <v>0</v>
      </c>
      <c r="C171">
        <v>0</v>
      </c>
    </row>
    <row r="172" spans="1:3">
      <c r="A172" t="s">
        <v>219</v>
      </c>
      <c r="B172">
        <v>0</v>
      </c>
      <c r="C172">
        <v>0</v>
      </c>
    </row>
    <row r="173" spans="1:3">
      <c r="A173" t="s">
        <v>220</v>
      </c>
      <c r="B173">
        <v>68</v>
      </c>
      <c r="C173">
        <v>5011</v>
      </c>
    </row>
    <row r="174" spans="1:3">
      <c r="A174" t="s">
        <v>221</v>
      </c>
      <c r="B174">
        <v>0</v>
      </c>
      <c r="C174">
        <v>880</v>
      </c>
    </row>
    <row r="175" spans="1:3">
      <c r="A175" t="s">
        <v>222</v>
      </c>
      <c r="B175">
        <v>0</v>
      </c>
      <c r="C175">
        <v>0</v>
      </c>
    </row>
    <row r="176" spans="1:3">
      <c r="A176" t="s">
        <v>223</v>
      </c>
      <c r="B176">
        <v>0</v>
      </c>
      <c r="C176">
        <v>0</v>
      </c>
    </row>
    <row r="177" spans="1:3">
      <c r="A177" t="s">
        <v>224</v>
      </c>
      <c r="B177">
        <v>1</v>
      </c>
      <c r="C177">
        <v>88</v>
      </c>
    </row>
    <row r="178" spans="1:3">
      <c r="A178" t="s">
        <v>225</v>
      </c>
      <c r="B178">
        <v>0</v>
      </c>
      <c r="C178">
        <v>28</v>
      </c>
    </row>
    <row r="179" spans="1:3">
      <c r="A179" t="s">
        <v>226</v>
      </c>
      <c r="B179">
        <v>0</v>
      </c>
      <c r="C179">
        <v>8</v>
      </c>
    </row>
    <row r="180" spans="1:3">
      <c r="A180" t="s">
        <v>227</v>
      </c>
      <c r="B180">
        <v>0</v>
      </c>
      <c r="C180">
        <v>0</v>
      </c>
    </row>
    <row r="181" spans="1:3">
      <c r="A181" t="s">
        <v>228</v>
      </c>
      <c r="B181">
        <v>482</v>
      </c>
      <c r="C181">
        <v>12852</v>
      </c>
    </row>
    <row r="182" spans="1:3">
      <c r="A182" t="s">
        <v>229</v>
      </c>
      <c r="B182">
        <v>0</v>
      </c>
      <c r="C182">
        <v>3832</v>
      </c>
    </row>
    <row r="183" spans="1:3">
      <c r="A183" t="s">
        <v>230</v>
      </c>
      <c r="B183">
        <v>0</v>
      </c>
      <c r="C183">
        <v>0</v>
      </c>
    </row>
    <row r="184" spans="1:3">
      <c r="A184" t="s">
        <v>231</v>
      </c>
      <c r="B184">
        <v>0</v>
      </c>
      <c r="C184">
        <v>0</v>
      </c>
    </row>
    <row r="185" spans="1:3">
      <c r="A185" t="s">
        <v>232</v>
      </c>
      <c r="B185">
        <v>2</v>
      </c>
      <c r="C185">
        <v>234</v>
      </c>
    </row>
    <row r="186" spans="1:3">
      <c r="A186" t="s">
        <v>233</v>
      </c>
      <c r="B186">
        <v>0</v>
      </c>
      <c r="C186">
        <v>83</v>
      </c>
    </row>
    <row r="187" spans="1:3">
      <c r="A187" t="s">
        <v>234</v>
      </c>
      <c r="B187">
        <v>0</v>
      </c>
      <c r="C187">
        <v>13</v>
      </c>
    </row>
    <row r="188" spans="1:3">
      <c r="A188" t="s">
        <v>235</v>
      </c>
      <c r="B188">
        <v>0</v>
      </c>
      <c r="C188">
        <v>0</v>
      </c>
    </row>
    <row r="189" spans="1:3">
      <c r="A189" t="s">
        <v>236</v>
      </c>
      <c r="B189">
        <v>0</v>
      </c>
      <c r="C189">
        <v>2262</v>
      </c>
    </row>
    <row r="190" spans="1:3">
      <c r="A190" t="s">
        <v>237</v>
      </c>
      <c r="B190">
        <v>0</v>
      </c>
      <c r="C190">
        <v>133</v>
      </c>
    </row>
    <row r="191" spans="1:3">
      <c r="A191" t="s">
        <v>238</v>
      </c>
      <c r="B191">
        <v>0</v>
      </c>
      <c r="C191">
        <v>0</v>
      </c>
    </row>
    <row r="192" spans="1:3">
      <c r="A192" t="s">
        <v>239</v>
      </c>
      <c r="B192">
        <v>0</v>
      </c>
      <c r="C192">
        <v>0</v>
      </c>
    </row>
    <row r="193" spans="1:3">
      <c r="A193" t="s">
        <v>240</v>
      </c>
      <c r="B193">
        <v>0</v>
      </c>
      <c r="C193">
        <v>46</v>
      </c>
    </row>
    <row r="194" spans="1:3">
      <c r="A194" t="s">
        <v>241</v>
      </c>
      <c r="B194">
        <v>0</v>
      </c>
      <c r="C194">
        <v>5</v>
      </c>
    </row>
    <row r="195" spans="1:3">
      <c r="A195" t="s">
        <v>242</v>
      </c>
      <c r="B195">
        <v>0</v>
      </c>
      <c r="C195">
        <v>3</v>
      </c>
    </row>
    <row r="196" spans="1:3">
      <c r="A196" t="s">
        <v>243</v>
      </c>
      <c r="B196">
        <v>0</v>
      </c>
      <c r="C196">
        <v>0</v>
      </c>
    </row>
    <row r="197" spans="1:3">
      <c r="A197" t="s">
        <v>244</v>
      </c>
      <c r="B197">
        <v>170</v>
      </c>
      <c r="C197">
        <v>1588</v>
      </c>
    </row>
    <row r="198" spans="1:3">
      <c r="A198" t="s">
        <v>245</v>
      </c>
      <c r="B198">
        <v>1</v>
      </c>
      <c r="C198">
        <v>563</v>
      </c>
    </row>
    <row r="199" spans="1:3">
      <c r="A199" t="s">
        <v>246</v>
      </c>
      <c r="B199">
        <v>0</v>
      </c>
      <c r="C199">
        <v>0</v>
      </c>
    </row>
    <row r="200" spans="1:3">
      <c r="A200" t="s">
        <v>247</v>
      </c>
      <c r="B200">
        <v>0</v>
      </c>
      <c r="C200">
        <v>0</v>
      </c>
    </row>
    <row r="201" spans="1:3">
      <c r="A201" t="s">
        <v>248</v>
      </c>
      <c r="B201">
        <v>5</v>
      </c>
      <c r="C201">
        <v>39</v>
      </c>
    </row>
    <row r="202" spans="1:3">
      <c r="A202" t="s">
        <v>249</v>
      </c>
      <c r="B202">
        <v>0</v>
      </c>
      <c r="C202">
        <v>15</v>
      </c>
    </row>
    <row r="203" spans="1:3">
      <c r="A203" t="s">
        <v>250</v>
      </c>
      <c r="B203">
        <v>0</v>
      </c>
      <c r="C203">
        <v>0</v>
      </c>
    </row>
    <row r="204" spans="1:3">
      <c r="A204" t="s">
        <v>251</v>
      </c>
      <c r="B204">
        <v>0</v>
      </c>
      <c r="C204">
        <v>0</v>
      </c>
    </row>
    <row r="205" spans="1:3">
      <c r="A205" t="s">
        <v>252</v>
      </c>
      <c r="B205">
        <v>288</v>
      </c>
      <c r="C205">
        <v>2692</v>
      </c>
    </row>
    <row r="206" spans="1:3">
      <c r="A206" t="s">
        <v>253</v>
      </c>
      <c r="B206">
        <v>1</v>
      </c>
      <c r="C206">
        <v>70</v>
      </c>
    </row>
    <row r="207" spans="1:3">
      <c r="A207" t="s">
        <v>254</v>
      </c>
      <c r="B207">
        <v>0</v>
      </c>
      <c r="C207">
        <v>0</v>
      </c>
    </row>
    <row r="208" spans="1:3">
      <c r="A208" t="s">
        <v>255</v>
      </c>
      <c r="B208">
        <v>0</v>
      </c>
      <c r="C208">
        <v>0</v>
      </c>
    </row>
    <row r="209" spans="1:3">
      <c r="A209" t="s">
        <v>256</v>
      </c>
      <c r="B209">
        <v>2</v>
      </c>
      <c r="C209">
        <v>42</v>
      </c>
    </row>
    <row r="210" spans="1:3">
      <c r="A210" t="s">
        <v>257</v>
      </c>
      <c r="B210">
        <v>0</v>
      </c>
      <c r="C210">
        <v>3</v>
      </c>
    </row>
    <row r="211" spans="1:3">
      <c r="A211" t="s">
        <v>258</v>
      </c>
      <c r="B211">
        <v>0</v>
      </c>
      <c r="C211">
        <v>2</v>
      </c>
    </row>
    <row r="212" spans="1:3">
      <c r="A212" t="s">
        <v>259</v>
      </c>
      <c r="B212">
        <v>0</v>
      </c>
      <c r="C212">
        <v>0</v>
      </c>
    </row>
    <row r="213" spans="1:3">
      <c r="A213" t="s">
        <v>260</v>
      </c>
      <c r="B213">
        <v>74</v>
      </c>
      <c r="C213">
        <v>4038</v>
      </c>
    </row>
    <row r="214" spans="1:3">
      <c r="A214" t="s">
        <v>261</v>
      </c>
      <c r="B214">
        <v>27</v>
      </c>
      <c r="C214">
        <v>2153</v>
      </c>
    </row>
    <row r="215" spans="1:3">
      <c r="A215" t="s">
        <v>262</v>
      </c>
      <c r="B215">
        <v>0</v>
      </c>
      <c r="C215">
        <v>0</v>
      </c>
    </row>
    <row r="216" spans="1:3">
      <c r="A216" t="s">
        <v>263</v>
      </c>
      <c r="B216">
        <v>0</v>
      </c>
      <c r="C216">
        <v>0</v>
      </c>
    </row>
    <row r="217" spans="1:3">
      <c r="A217" t="s">
        <v>264</v>
      </c>
      <c r="B217">
        <v>2</v>
      </c>
      <c r="C217">
        <v>83</v>
      </c>
    </row>
    <row r="218" spans="1:3">
      <c r="A218" t="s">
        <v>265</v>
      </c>
      <c r="B218">
        <v>1</v>
      </c>
      <c r="C218">
        <v>36</v>
      </c>
    </row>
    <row r="219" spans="1:3">
      <c r="A219" t="s">
        <v>266</v>
      </c>
      <c r="B219">
        <v>0</v>
      </c>
      <c r="C219">
        <v>4</v>
      </c>
    </row>
    <row r="220" spans="1:3">
      <c r="A220" t="s">
        <v>267</v>
      </c>
      <c r="B220">
        <v>0</v>
      </c>
      <c r="C220">
        <v>0</v>
      </c>
    </row>
    <row r="221" spans="1:3">
      <c r="A221" t="s">
        <v>268</v>
      </c>
      <c r="B221">
        <v>221</v>
      </c>
      <c r="C221">
        <v>5208</v>
      </c>
    </row>
    <row r="222" spans="1:3">
      <c r="A222" t="s">
        <v>269</v>
      </c>
      <c r="B222">
        <v>182</v>
      </c>
      <c r="C222">
        <v>3631</v>
      </c>
    </row>
    <row r="223" spans="1:3">
      <c r="A223" t="s">
        <v>270</v>
      </c>
      <c r="B223">
        <v>0</v>
      </c>
      <c r="C223">
        <v>0</v>
      </c>
    </row>
    <row r="224" spans="1:3">
      <c r="A224" t="s">
        <v>271</v>
      </c>
      <c r="B224">
        <v>0</v>
      </c>
      <c r="C224">
        <v>0</v>
      </c>
    </row>
    <row r="225" spans="1:3">
      <c r="A225" t="s">
        <v>272</v>
      </c>
      <c r="B225">
        <v>6</v>
      </c>
      <c r="C225">
        <v>138</v>
      </c>
    </row>
    <row r="226" spans="1:3">
      <c r="A226" t="s">
        <v>273</v>
      </c>
      <c r="B226">
        <v>3</v>
      </c>
      <c r="C226">
        <v>90</v>
      </c>
    </row>
    <row r="227" spans="1:3">
      <c r="A227" t="s">
        <v>274</v>
      </c>
      <c r="B227">
        <v>1</v>
      </c>
      <c r="C227">
        <v>5</v>
      </c>
    </row>
    <row r="228" spans="1:3">
      <c r="A228" t="s">
        <v>275</v>
      </c>
      <c r="B228">
        <v>0</v>
      </c>
      <c r="C228">
        <v>0</v>
      </c>
    </row>
    <row r="229" spans="1:3">
      <c r="A229" t="s">
        <v>276</v>
      </c>
      <c r="B229">
        <v>118</v>
      </c>
      <c r="C229">
        <v>2867</v>
      </c>
    </row>
    <row r="230" spans="1:3">
      <c r="A230" t="s">
        <v>277</v>
      </c>
      <c r="B230">
        <v>24</v>
      </c>
      <c r="C230">
        <v>920</v>
      </c>
    </row>
    <row r="231" spans="1:3">
      <c r="A231" t="s">
        <v>278</v>
      </c>
      <c r="B231">
        <v>0</v>
      </c>
      <c r="C231">
        <v>0</v>
      </c>
    </row>
    <row r="232" spans="1:3">
      <c r="A232" t="s">
        <v>279</v>
      </c>
      <c r="B232">
        <v>0</v>
      </c>
      <c r="C232">
        <v>0</v>
      </c>
    </row>
    <row r="233" spans="1:3">
      <c r="A233" t="s">
        <v>280</v>
      </c>
      <c r="B233">
        <v>3</v>
      </c>
      <c r="C233">
        <v>71</v>
      </c>
    </row>
    <row r="234" spans="1:3">
      <c r="A234" t="s">
        <v>281</v>
      </c>
      <c r="B234">
        <v>0</v>
      </c>
      <c r="C234">
        <v>17</v>
      </c>
    </row>
    <row r="235" spans="1:3">
      <c r="A235" t="s">
        <v>282</v>
      </c>
      <c r="B235">
        <v>0</v>
      </c>
      <c r="C235">
        <v>4</v>
      </c>
    </row>
    <row r="236" spans="1:3">
      <c r="A236" t="s">
        <v>283</v>
      </c>
      <c r="B236">
        <v>0</v>
      </c>
      <c r="C236">
        <v>0</v>
      </c>
    </row>
    <row r="237" spans="1:3">
      <c r="A237" t="s">
        <v>284</v>
      </c>
      <c r="B237">
        <v>102</v>
      </c>
      <c r="C237">
        <v>5108</v>
      </c>
    </row>
    <row r="238" spans="1:3">
      <c r="A238" t="s">
        <v>285</v>
      </c>
      <c r="B238">
        <v>94</v>
      </c>
      <c r="C238">
        <v>2688</v>
      </c>
    </row>
    <row r="239" spans="1:3">
      <c r="A239" t="s">
        <v>286</v>
      </c>
      <c r="B239">
        <v>0</v>
      </c>
      <c r="C239">
        <v>0</v>
      </c>
    </row>
    <row r="240" spans="1:3">
      <c r="A240" t="s">
        <v>287</v>
      </c>
      <c r="B240">
        <v>0</v>
      </c>
      <c r="C240">
        <v>0</v>
      </c>
    </row>
    <row r="241" spans="1:3">
      <c r="A241" t="s">
        <v>288</v>
      </c>
      <c r="B241">
        <v>4</v>
      </c>
      <c r="C241">
        <v>116</v>
      </c>
    </row>
    <row r="242" spans="1:3">
      <c r="A242" t="s">
        <v>289</v>
      </c>
      <c r="B242">
        <v>0</v>
      </c>
      <c r="C242">
        <v>58</v>
      </c>
    </row>
    <row r="243" spans="1:3">
      <c r="A243" t="s">
        <v>290</v>
      </c>
      <c r="B243">
        <v>0</v>
      </c>
      <c r="C243">
        <v>2</v>
      </c>
    </row>
    <row r="244" spans="1:3">
      <c r="A244" t="s">
        <v>291</v>
      </c>
      <c r="B244">
        <v>0</v>
      </c>
      <c r="C244">
        <v>0</v>
      </c>
    </row>
    <row r="245" spans="1:3">
      <c r="A245" t="s">
        <v>292</v>
      </c>
      <c r="B245">
        <v>114</v>
      </c>
      <c r="C245">
        <v>3222</v>
      </c>
    </row>
    <row r="246" spans="1:3">
      <c r="A246" t="s">
        <v>293</v>
      </c>
      <c r="B246">
        <v>62</v>
      </c>
      <c r="C246">
        <v>1283</v>
      </c>
    </row>
    <row r="247" spans="1:3">
      <c r="A247" t="s">
        <v>294</v>
      </c>
      <c r="B247">
        <v>0</v>
      </c>
      <c r="C247">
        <v>0</v>
      </c>
    </row>
    <row r="248" spans="1:3">
      <c r="A248" t="s">
        <v>295</v>
      </c>
      <c r="B248">
        <v>0</v>
      </c>
      <c r="C248">
        <v>0</v>
      </c>
    </row>
    <row r="249" spans="1:3">
      <c r="A249" t="s">
        <v>296</v>
      </c>
      <c r="B249">
        <v>2</v>
      </c>
      <c r="C249">
        <v>71</v>
      </c>
    </row>
    <row r="250" spans="1:3">
      <c r="A250" t="s">
        <v>297</v>
      </c>
      <c r="B250">
        <v>0</v>
      </c>
      <c r="C250">
        <v>29</v>
      </c>
    </row>
    <row r="251" spans="1:3">
      <c r="A251" t="s">
        <v>298</v>
      </c>
      <c r="B251">
        <v>0</v>
      </c>
      <c r="C251">
        <v>1</v>
      </c>
    </row>
    <row r="252" spans="1:3">
      <c r="A252" t="s">
        <v>299</v>
      </c>
      <c r="B252">
        <v>0</v>
      </c>
      <c r="C252">
        <v>0</v>
      </c>
    </row>
    <row r="253" spans="1:3">
      <c r="A253" t="s">
        <v>300</v>
      </c>
      <c r="B253">
        <v>199</v>
      </c>
      <c r="C253">
        <v>3077</v>
      </c>
    </row>
    <row r="254" spans="1:3">
      <c r="A254" t="s">
        <v>301</v>
      </c>
      <c r="B254">
        <v>16</v>
      </c>
      <c r="C254">
        <v>1510</v>
      </c>
    </row>
    <row r="255" spans="1:3">
      <c r="A255" t="s">
        <v>302</v>
      </c>
      <c r="B255">
        <v>0</v>
      </c>
      <c r="C255">
        <v>0</v>
      </c>
    </row>
    <row r="256" spans="1:3">
      <c r="A256" t="s">
        <v>303</v>
      </c>
      <c r="B256">
        <v>0</v>
      </c>
      <c r="C256">
        <v>0</v>
      </c>
    </row>
    <row r="257" spans="1:3">
      <c r="A257" t="s">
        <v>304</v>
      </c>
      <c r="B257">
        <v>3</v>
      </c>
      <c r="C257">
        <v>97</v>
      </c>
    </row>
    <row r="258" spans="1:3">
      <c r="A258" t="s">
        <v>305</v>
      </c>
      <c r="B258">
        <v>0</v>
      </c>
      <c r="C258">
        <v>40</v>
      </c>
    </row>
    <row r="259" spans="1:3">
      <c r="A259" t="s">
        <v>306</v>
      </c>
      <c r="B259">
        <v>0</v>
      </c>
      <c r="C259">
        <v>3</v>
      </c>
    </row>
    <row r="260" spans="1:3">
      <c r="A260" t="s">
        <v>307</v>
      </c>
      <c r="B260">
        <v>0</v>
      </c>
      <c r="C2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sqref="A1:A1048576"/>
    </sheetView>
  </sheetViews>
  <sheetFormatPr defaultRowHeight="16.5"/>
  <cols>
    <col min="1" max="1" width="19" bestFit="1" customWidth="1"/>
    <col min="2" max="2" width="24.42578125" bestFit="1" customWidth="1"/>
  </cols>
  <sheetData>
    <row r="1" spans="1:2">
      <c r="A1" t="s">
        <v>308</v>
      </c>
      <c r="B1" t="s">
        <v>322</v>
      </c>
    </row>
    <row r="2" spans="1:2">
      <c r="A2" t="s">
        <v>309</v>
      </c>
      <c r="B2" t="s">
        <v>808</v>
      </c>
    </row>
    <row r="3" spans="1:2">
      <c r="A3" t="s">
        <v>310</v>
      </c>
      <c r="B3" t="s">
        <v>809</v>
      </c>
    </row>
    <row r="4" spans="1:2">
      <c r="A4" t="s">
        <v>312</v>
      </c>
    </row>
    <row r="5" spans="1:2">
      <c r="A5" t="s">
        <v>313</v>
      </c>
    </row>
    <row r="6" spans="1:2">
      <c r="A6" t="s">
        <v>314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5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  <col min="8" max="8" width="10.28515625" bestFit="1" customWidth="1"/>
  </cols>
  <sheetData>
    <row r="1" spans="1:8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8">
      <c r="A2" t="s">
        <v>309</v>
      </c>
      <c r="B2" t="s">
        <v>810</v>
      </c>
      <c r="C2" t="s">
        <v>811</v>
      </c>
      <c r="D2" t="s">
        <v>812</v>
      </c>
      <c r="E2" t="s">
        <v>813</v>
      </c>
      <c r="F2" t="s">
        <v>805</v>
      </c>
      <c r="G2" s="15" t="s">
        <v>814</v>
      </c>
      <c r="H2" s="14"/>
    </row>
    <row r="3" spans="1:8">
      <c r="A3" t="s">
        <v>310</v>
      </c>
      <c r="B3" t="s">
        <v>311</v>
      </c>
      <c r="C3" t="s">
        <v>311</v>
      </c>
      <c r="D3" t="s">
        <v>311</v>
      </c>
      <c r="E3" t="s">
        <v>311</v>
      </c>
      <c r="F3" t="s">
        <v>809</v>
      </c>
      <c r="G3" t="s">
        <v>311</v>
      </c>
    </row>
    <row r="4" spans="1:8">
      <c r="A4" t="s">
        <v>312</v>
      </c>
      <c r="B4">
        <v>2</v>
      </c>
      <c r="C4">
        <v>1</v>
      </c>
      <c r="D4">
        <v>1</v>
      </c>
      <c r="E4">
        <v>2</v>
      </c>
      <c r="G4">
        <v>2</v>
      </c>
    </row>
    <row r="5" spans="1:8">
      <c r="A5" t="s">
        <v>313</v>
      </c>
      <c r="B5">
        <v>2</v>
      </c>
      <c r="C5">
        <v>1</v>
      </c>
      <c r="D5">
        <v>1</v>
      </c>
      <c r="E5">
        <v>2</v>
      </c>
      <c r="G5">
        <v>2</v>
      </c>
    </row>
    <row r="6" spans="1:8">
      <c r="A6" t="s">
        <v>314</v>
      </c>
      <c r="B6">
        <v>2</v>
      </c>
      <c r="C6">
        <v>1</v>
      </c>
      <c r="D6">
        <v>1</v>
      </c>
      <c r="E6">
        <v>2</v>
      </c>
      <c r="G6">
        <v>2</v>
      </c>
    </row>
    <row r="7" spans="1:8">
      <c r="A7" t="s">
        <v>815</v>
      </c>
      <c r="B7">
        <v>2</v>
      </c>
      <c r="C7">
        <v>1</v>
      </c>
      <c r="D7">
        <v>1</v>
      </c>
      <c r="E7">
        <v>2</v>
      </c>
      <c r="G7">
        <v>2</v>
      </c>
    </row>
    <row r="8" spans="1:8">
      <c r="A8" t="s">
        <v>816</v>
      </c>
    </row>
    <row r="9" spans="1:8">
      <c r="A9" t="s">
        <v>817</v>
      </c>
    </row>
    <row r="10" spans="1:8">
      <c r="A10" t="s">
        <v>818</v>
      </c>
    </row>
    <row r="11" spans="1:8">
      <c r="A11" t="s">
        <v>819</v>
      </c>
    </row>
    <row r="12" spans="1:8">
      <c r="A12" t="s">
        <v>820</v>
      </c>
    </row>
    <row r="13" spans="1:8">
      <c r="A13" t="s">
        <v>821</v>
      </c>
    </row>
    <row r="14" spans="1:8">
      <c r="A14" t="s">
        <v>822</v>
      </c>
    </row>
    <row r="15" spans="1:8">
      <c r="A15" t="s">
        <v>823</v>
      </c>
    </row>
    <row r="16" spans="1:8">
      <c r="A16" t="s">
        <v>824</v>
      </c>
    </row>
    <row r="17" spans="1:1">
      <c r="A17" t="s">
        <v>825</v>
      </c>
    </row>
    <row r="18" spans="1:1">
      <c r="A18" t="s">
        <v>826</v>
      </c>
    </row>
    <row r="19" spans="1:1">
      <c r="A19" t="s">
        <v>827</v>
      </c>
    </row>
    <row r="20" spans="1:1">
      <c r="A20" t="s">
        <v>828</v>
      </c>
    </row>
    <row r="21" spans="1:1">
      <c r="A21" t="s">
        <v>829</v>
      </c>
    </row>
    <row r="22" spans="1:1">
      <c r="A22" t="s">
        <v>830</v>
      </c>
    </row>
    <row r="23" spans="1:1">
      <c r="A23" t="s">
        <v>831</v>
      </c>
    </row>
    <row r="24" spans="1:1">
      <c r="A24" t="s">
        <v>832</v>
      </c>
    </row>
    <row r="25" spans="1:1">
      <c r="A25" t="s">
        <v>833</v>
      </c>
    </row>
    <row r="26" spans="1:1">
      <c r="A26" t="s">
        <v>834</v>
      </c>
    </row>
    <row r="27" spans="1:1">
      <c r="A27" t="s">
        <v>835</v>
      </c>
    </row>
    <row r="28" spans="1:1">
      <c r="A28" t="s">
        <v>836</v>
      </c>
    </row>
    <row r="29" spans="1:1">
      <c r="A29" t="s">
        <v>837</v>
      </c>
    </row>
    <row r="30" spans="1:1">
      <c r="A30" t="s">
        <v>838</v>
      </c>
    </row>
    <row r="31" spans="1:1">
      <c r="A31" t="s">
        <v>839</v>
      </c>
    </row>
    <row r="32" spans="1:1">
      <c r="A32" t="s">
        <v>840</v>
      </c>
    </row>
    <row r="33" spans="1:1">
      <c r="A33" t="s">
        <v>841</v>
      </c>
    </row>
    <row r="34" spans="1:1">
      <c r="A34" t="s">
        <v>842</v>
      </c>
    </row>
    <row r="35" spans="1:1">
      <c r="A35" t="s">
        <v>843</v>
      </c>
    </row>
    <row r="36" spans="1:1">
      <c r="A36" t="s">
        <v>844</v>
      </c>
    </row>
    <row r="37" spans="1:1">
      <c r="A37" t="s">
        <v>845</v>
      </c>
    </row>
    <row r="38" spans="1:1">
      <c r="A38" t="s">
        <v>846</v>
      </c>
    </row>
    <row r="39" spans="1:1">
      <c r="A39" t="s">
        <v>847</v>
      </c>
    </row>
    <row r="40" spans="1:1">
      <c r="A40" t="s">
        <v>848</v>
      </c>
    </row>
    <row r="41" spans="1:1">
      <c r="A41" t="s">
        <v>849</v>
      </c>
    </row>
    <row r="42" spans="1:1">
      <c r="A42" t="s">
        <v>850</v>
      </c>
    </row>
    <row r="43" spans="1:1">
      <c r="A43" t="s">
        <v>851</v>
      </c>
    </row>
    <row r="44" spans="1:1">
      <c r="A44" t="s">
        <v>852</v>
      </c>
    </row>
    <row r="45" spans="1:1">
      <c r="A45" t="s">
        <v>853</v>
      </c>
    </row>
    <row r="46" spans="1:1">
      <c r="A46" t="s">
        <v>854</v>
      </c>
    </row>
    <row r="47" spans="1:1">
      <c r="A47" t="s">
        <v>855</v>
      </c>
    </row>
    <row r="48" spans="1:1">
      <c r="A48" t="s">
        <v>856</v>
      </c>
    </row>
    <row r="49" spans="1:1">
      <c r="A49" t="s">
        <v>857</v>
      </c>
    </row>
    <row r="50" spans="1:1">
      <c r="A50" t="s">
        <v>858</v>
      </c>
    </row>
    <row r="51" spans="1:1">
      <c r="A51" t="s">
        <v>859</v>
      </c>
    </row>
    <row r="52" spans="1:1">
      <c r="A52" t="s">
        <v>860</v>
      </c>
    </row>
    <row r="53" spans="1:1">
      <c r="A53" t="s">
        <v>861</v>
      </c>
    </row>
    <row r="54" spans="1:1">
      <c r="A54" t="s">
        <v>862</v>
      </c>
    </row>
    <row r="55" spans="1:1">
      <c r="A55" t="s">
        <v>863</v>
      </c>
    </row>
    <row r="56" spans="1:1">
      <c r="A56" t="s">
        <v>864</v>
      </c>
    </row>
    <row r="57" spans="1:1">
      <c r="A57" t="s">
        <v>865</v>
      </c>
    </row>
    <row r="58" spans="1:1">
      <c r="A58" t="s">
        <v>866</v>
      </c>
    </row>
    <row r="59" spans="1:1">
      <c r="A59" t="s">
        <v>867</v>
      </c>
    </row>
    <row r="60" spans="1:1">
      <c r="A60" t="s">
        <v>868</v>
      </c>
    </row>
    <row r="61" spans="1:1">
      <c r="A61" t="s">
        <v>869</v>
      </c>
    </row>
    <row r="62" spans="1:1">
      <c r="A62" t="s">
        <v>870</v>
      </c>
    </row>
    <row r="63" spans="1:1">
      <c r="A63" t="s">
        <v>871</v>
      </c>
    </row>
    <row r="64" spans="1:1">
      <c r="A64" t="s">
        <v>872</v>
      </c>
    </row>
    <row r="65" spans="1:1">
      <c r="A65" t="s">
        <v>873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>
      <selection sqref="A1:A1048576"/>
    </sheetView>
  </sheetViews>
  <sheetFormatPr defaultRowHeight="16.5"/>
  <cols>
    <col min="1" max="1" width="19.28515625" bestFit="1" customWidth="1"/>
    <col min="2" max="9" width="16.42578125" bestFit="1" customWidth="1"/>
  </cols>
  <sheetData>
    <row r="1" spans="1:9">
      <c r="A1" t="s">
        <v>308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</row>
    <row r="2" spans="1:9">
      <c r="A2" t="s">
        <v>309</v>
      </c>
      <c r="B2" t="s">
        <v>874</v>
      </c>
      <c r="C2" t="s">
        <v>875</v>
      </c>
      <c r="D2" t="s">
        <v>876</v>
      </c>
      <c r="E2" t="s">
        <v>877</v>
      </c>
      <c r="F2" t="s">
        <v>878</v>
      </c>
      <c r="G2" t="s">
        <v>879</v>
      </c>
      <c r="H2" t="s">
        <v>880</v>
      </c>
      <c r="I2" t="s">
        <v>881</v>
      </c>
    </row>
    <row r="3" spans="1:9">
      <c r="A3" t="s">
        <v>310</v>
      </c>
      <c r="B3" t="s">
        <v>809</v>
      </c>
      <c r="C3" t="s">
        <v>809</v>
      </c>
      <c r="D3" t="s">
        <v>809</v>
      </c>
      <c r="E3" t="s">
        <v>809</v>
      </c>
      <c r="F3" t="s">
        <v>809</v>
      </c>
      <c r="G3" t="s">
        <v>809</v>
      </c>
      <c r="H3" t="s">
        <v>809</v>
      </c>
      <c r="I3" t="s">
        <v>809</v>
      </c>
    </row>
    <row r="4" spans="1:9">
      <c r="A4" t="s">
        <v>312</v>
      </c>
    </row>
    <row r="5" spans="1:9">
      <c r="A5" t="s">
        <v>313</v>
      </c>
    </row>
    <row r="6" spans="1:9">
      <c r="A6" t="s">
        <v>314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6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</cols>
  <sheetData>
    <row r="1" spans="1:7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7">
      <c r="A2" t="s">
        <v>309</v>
      </c>
      <c r="B2" t="s">
        <v>884</v>
      </c>
      <c r="C2" t="s">
        <v>885</v>
      </c>
      <c r="D2" t="s">
        <v>886</v>
      </c>
      <c r="E2" t="s">
        <v>887</v>
      </c>
      <c r="F2" t="s">
        <v>805</v>
      </c>
      <c r="G2" t="s">
        <v>888</v>
      </c>
    </row>
    <row r="3" spans="1:7">
      <c r="A3" t="s">
        <v>310</v>
      </c>
      <c r="B3" t="s">
        <v>809</v>
      </c>
      <c r="C3" t="s">
        <v>806</v>
      </c>
      <c r="D3" t="s">
        <v>809</v>
      </c>
      <c r="E3" t="s">
        <v>809</v>
      </c>
      <c r="F3" t="s">
        <v>806</v>
      </c>
      <c r="G3" t="s">
        <v>809</v>
      </c>
    </row>
    <row r="4" spans="1:7">
      <c r="A4" t="s">
        <v>312</v>
      </c>
    </row>
    <row r="5" spans="1:7">
      <c r="A5" t="s">
        <v>313</v>
      </c>
    </row>
    <row r="6" spans="1:7">
      <c r="A6" t="s">
        <v>314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82</vt:i4>
      </vt:variant>
    </vt:vector>
  </HeadingPairs>
  <TitlesOfParts>
    <vt:vector size="99" baseType="lpstr">
      <vt:lpstr>HOME</vt:lpstr>
      <vt:lpstr>Base</vt:lpstr>
      <vt:lpstr>PPR</vt:lpstr>
      <vt:lpstr>PPR_V2</vt:lpstr>
      <vt:lpstr>Ship Sorter</vt:lpstr>
      <vt:lpstr>Data</vt:lpstr>
      <vt:lpstr>Data_V2</vt:lpstr>
      <vt:lpstr>Data_V3</vt:lpstr>
      <vt:lpstr>Data_V4</vt:lpstr>
      <vt:lpstr>Data_V5</vt:lpstr>
      <vt:lpstr>Data_V6</vt:lpstr>
      <vt:lpstr>Data_V7</vt:lpstr>
      <vt:lpstr>Data_V8</vt:lpstr>
      <vt:lpstr>Data_V9</vt:lpstr>
      <vt:lpstr>Data_V10</vt:lpstr>
      <vt:lpstr>Data_V11</vt:lpstr>
      <vt:lpstr>Data_V12</vt:lpstr>
      <vt:lpstr>PPR!PPA</vt:lpstr>
      <vt:lpstr>PPR_V2!PPA</vt:lpstr>
      <vt:lpstr>PPR!PPA_1</vt:lpstr>
      <vt:lpstr>PPR_V2!PPA_1</vt:lpstr>
      <vt:lpstr>PPR!PPA_10</vt:lpstr>
      <vt:lpstr>PPR_V2!PPA_10</vt:lpstr>
      <vt:lpstr>PPR!PPA_11</vt:lpstr>
      <vt:lpstr>PPR_V2!PPA_11</vt:lpstr>
      <vt:lpstr>PPR!PPA_12</vt:lpstr>
      <vt:lpstr>PPR_V2!PPA_12</vt:lpstr>
      <vt:lpstr>PPR!PPA_13</vt:lpstr>
      <vt:lpstr>PPR_V2!PPA_13</vt:lpstr>
      <vt:lpstr>PPR!PPA_14</vt:lpstr>
      <vt:lpstr>PPR_V2!PPA_14</vt:lpstr>
      <vt:lpstr>PPR!PPA_15</vt:lpstr>
      <vt:lpstr>PPR_V2!PPA_15</vt:lpstr>
      <vt:lpstr>PPR!PPA_16</vt:lpstr>
      <vt:lpstr>PPR_V2!PPA_16</vt:lpstr>
      <vt:lpstr>PPR!PPA_17</vt:lpstr>
      <vt:lpstr>PPR_V2!PPA_17</vt:lpstr>
      <vt:lpstr>PPR!PPA_18</vt:lpstr>
      <vt:lpstr>PPR_V2!PPA_18</vt:lpstr>
      <vt:lpstr>PPR!PPA_19</vt:lpstr>
      <vt:lpstr>PPR_V2!PPA_19</vt:lpstr>
      <vt:lpstr>PPR!PPA_2</vt:lpstr>
      <vt:lpstr>PPR_V2!PPA_2</vt:lpstr>
      <vt:lpstr>PPR!PPA_20</vt:lpstr>
      <vt:lpstr>PPR_V2!PPA_20</vt:lpstr>
      <vt:lpstr>PPR!PPA_21</vt:lpstr>
      <vt:lpstr>PPR_V2!PPA_21</vt:lpstr>
      <vt:lpstr>PPR!PPA_22</vt:lpstr>
      <vt:lpstr>PPR_V2!PPA_22</vt:lpstr>
      <vt:lpstr>PPR!PPA_23</vt:lpstr>
      <vt:lpstr>PPR_V2!PPA_23</vt:lpstr>
      <vt:lpstr>PPR!PPA_24</vt:lpstr>
      <vt:lpstr>PPR_V2!PPA_24</vt:lpstr>
      <vt:lpstr>PPR!PPA_25</vt:lpstr>
      <vt:lpstr>PPR_V2!PPA_25</vt:lpstr>
      <vt:lpstr>PPR!PPA_26</vt:lpstr>
      <vt:lpstr>PPR_V2!PPA_26</vt:lpstr>
      <vt:lpstr>PPR!PPA_27</vt:lpstr>
      <vt:lpstr>PPR_V2!PPA_27</vt:lpstr>
      <vt:lpstr>PPR_V2!PPA_28</vt:lpstr>
      <vt:lpstr>PPR_V2!PPA_29</vt:lpstr>
      <vt:lpstr>PPR!PPA_3</vt:lpstr>
      <vt:lpstr>PPR_V2!PPA_3</vt:lpstr>
      <vt:lpstr>PPR_V2!PPA_30</vt:lpstr>
      <vt:lpstr>PPR!PPA_34</vt:lpstr>
      <vt:lpstr>PPR!PPA_35</vt:lpstr>
      <vt:lpstr>PPR!PPA_36</vt:lpstr>
      <vt:lpstr>PPR!PPA_37</vt:lpstr>
      <vt:lpstr>PPR!PPA_38</vt:lpstr>
      <vt:lpstr>PPR!PPA_4</vt:lpstr>
      <vt:lpstr>PPR_V2!PPA_4</vt:lpstr>
      <vt:lpstr>PPR!PPA_5</vt:lpstr>
      <vt:lpstr>PPR_V2!PPA_5</vt:lpstr>
      <vt:lpstr>PPR!PPA_6</vt:lpstr>
      <vt:lpstr>PPR_V2!PPA_6</vt:lpstr>
      <vt:lpstr>PPR!PPA_7</vt:lpstr>
      <vt:lpstr>PPR_V2!PPA_7</vt:lpstr>
      <vt:lpstr>PPR!PPA_8</vt:lpstr>
      <vt:lpstr>PPR_V2!PPA_8</vt:lpstr>
      <vt:lpstr>PPR!PPA_9</vt:lpstr>
      <vt:lpstr>PPR_V2!PPA_9</vt:lpstr>
      <vt:lpstr>'Ship Sorter'!RS_Query</vt:lpstr>
      <vt:lpstr>'Ship Sorter'!RS_Query_1</vt:lpstr>
      <vt:lpstr>'Ship Sorter'!RS_Query_10</vt:lpstr>
      <vt:lpstr>'Ship Sorter'!RS_Query_11</vt:lpstr>
      <vt:lpstr>'Ship Sorter'!RS_Query_12</vt:lpstr>
      <vt:lpstr>'Ship Sorter'!RS_Query_13</vt:lpstr>
      <vt:lpstr>'Ship Sorter'!RS_Query_14</vt:lpstr>
      <vt:lpstr>'Ship Sorter'!RS_Query_15</vt:lpstr>
      <vt:lpstr>'Ship Sorter'!RS_Query_16</vt:lpstr>
      <vt:lpstr>'Ship Sorter'!RS_Query_17</vt:lpstr>
      <vt:lpstr>'Ship Sorter'!RS_Query_18</vt:lpstr>
      <vt:lpstr>'Ship Sorter'!RS_Query_3</vt:lpstr>
      <vt:lpstr>'Ship Sorter'!RS_Query_4</vt:lpstr>
      <vt:lpstr>'Ship Sorter'!RS_Query_5</vt:lpstr>
      <vt:lpstr>'Ship Sorter'!RS_Query_6</vt:lpstr>
      <vt:lpstr>'Ship Sorter'!RS_Query_7</vt:lpstr>
      <vt:lpstr>'Ship Sorter'!RS_Query_8</vt:lpstr>
      <vt:lpstr>'Ship Sorter'!RS_Query_9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Ayala, Alex</dc:creator>
  <cp:lastModifiedBy>Klink, Michael</cp:lastModifiedBy>
  <dcterms:created xsi:type="dcterms:W3CDTF">2020-09-17T20:06:13Z</dcterms:created>
  <dcterms:modified xsi:type="dcterms:W3CDTF">2021-04-15T23:28:08Z</dcterms:modified>
</cp:coreProperties>
</file>